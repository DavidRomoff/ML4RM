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0E701036-8BCF-0E43-BE4A-705521A6724A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state="veryHidden" r:id="rId5"/>
    <sheet name="Linearity" sheetId="8" state="veryHidden" r:id="rId6"/>
    <sheet name="NormalErrors" sheetId="68" state="veryHidden" r:id="rId7"/>
    <sheet name="ConstantVariance" sheetId="9" state="veryHidden" r:id="rId8"/>
    <sheet name="Leverage" sheetId="10" state="veryHidden" r:id="rId9"/>
    <sheet name="CooksDistance" sheetId="69" state="veryHidden" r:id="rId10"/>
    <sheet name="IndependentErrors" sheetId="11" state="veryHidden" r:id="rId11"/>
    <sheet name="DurbinWatson" sheetId="16" state="veryHidden" r:id="rId12"/>
    <sheet name="KNN" sheetId="34" r:id="rId13"/>
    <sheet name="KNN_Data" sheetId="45" state="veryHidden" r:id="rId14"/>
    <sheet name="KNN_XNew" sheetId="46" state="veryHidden" r:id="rId15"/>
    <sheet name="KNN_Distance" sheetId="47" state="veryHidden" r:id="rId16"/>
    <sheet name="KNN_Nearest" sheetId="48" state="veryHidden" r:id="rId17"/>
    <sheet name="KNN_K" sheetId="49" state="veryHidden" r:id="rId18"/>
    <sheet name="KNN_Vote" sheetId="50" state="veryHidden" r:id="rId19"/>
    <sheet name="KNN_Link" sheetId="28" state="veryHidden" r:id="rId20"/>
    <sheet name="OutOfSampleTesting" sheetId="36" r:id="rId21"/>
    <sheet name="LearningCurves" sheetId="29" state="veryHidden" r:id="rId22"/>
    <sheet name="Contents" sheetId="37" state="veryHidden" r:id="rId23"/>
    <sheet name="BasicsWarmup" sheetId="38" state="veryHidden" r:id="rId24"/>
    <sheet name="Setup_" sheetId="39" state="veryHidden" r:id="rId25"/>
    <sheet name="Explore" sheetId="40" state="veryHidden" r:id="rId26"/>
    <sheet name="Tools" sheetId="41" state="veryHidden" r:id="rId27"/>
    <sheet name="LM_InAndOut" sheetId="42" state="veryHidden" r:id="rId28"/>
    <sheet name="Optim_InAndOut" sheetId="43" state="veryHidden" r:id="rId29"/>
    <sheet name="Optim_Shrinkage" sheetId="44" state="veryHidden" r:id="rId30"/>
    <sheet name="Diagnostics" sheetId="32" r:id="rId31"/>
    <sheet name="AIC" sheetId="64" r:id="rId32"/>
    <sheet name="MLR_Step" sheetId="51" state="veryHidden" r:id="rId33"/>
    <sheet name="Data" sheetId="53" state="veryHidden" r:id="rId34"/>
    <sheet name="AIC_0" sheetId="62" state="veryHidden" r:id="rId35"/>
    <sheet name="AIC_1" sheetId="63" state="veryHidden" r:id="rId36"/>
    <sheet name="PreWork4NextClass" sheetId="27" r:id="rId37"/>
    <sheet name="InClassProjects" sheetId="26" r:id="rId38"/>
    <sheet name="Q_KNN" sheetId="25" r:id="rId39"/>
    <sheet name="Q_Regression" sheetId="33" r:id="rId40"/>
    <sheet name="Q_Diagnostics" sheetId="31" r:id="rId41"/>
    <sheet name="Q_AIC" sheetId="65" r:id="rId42"/>
  </sheets>
  <externalReferences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4">[2]Binomial!$C$14</definedName>
    <definedName name="k" localSheetId="35">[2]Binomial!$C$14</definedName>
    <definedName name="k" localSheetId="33">[2]Binomial!$C$14</definedName>
    <definedName name="k" localSheetId="17">KNN_K!$AB$4</definedName>
    <definedName name="k" localSheetId="32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4">[2]Binomial!$C$13</definedName>
    <definedName name="p" localSheetId="35">[2]Binomial!$C$13</definedName>
    <definedName name="p" localSheetId="33">[2]Binomial!$C$13</definedName>
    <definedName name="p" localSheetId="32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K2" i="63" s="1"/>
  <c r="D12" i="16"/>
  <c r="F4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<sst xmlns="http://schemas.openxmlformats.org/spreadsheetml/2006/main" count="1736" uniqueCount="213">
  <si>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</si>
  <si>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</si>
  <si>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</si>
  <si>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</si>
  <si>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</si>
  <si>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</si>
  <si>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</si>
  <si>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</si>
  <si>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</si>
  <si>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</si>
  <si>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Your answer should include 3 thing pasted into this page.</t>
  </si>
  <si>
    <t>Learning Curve plot</t>
  </si>
  <si>
    <t>With a dataset of your choice and using Excel, R, Python, or Matlab …</t>
  </si>
  <si>
    <t>Code or Excel work</t>
  </si>
  <si>
    <t>Visualization of the forecast</t>
  </si>
  <si>
    <t>KNN</t>
  </si>
  <si>
    <t>K Nearest Neighbors</t>
  </si>
  <si>
    <t>Out of Sample Testing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</si>
  <si>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</si>
  <si>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</si>
  <si>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</si>
  <si>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</si>
  <si>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</si>
  <si>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</si>
  <si>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</si>
  <si>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</si>
  <si>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</si>
  <si>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</si>
  <si>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</si>
  <si>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</si>
  <si>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</si>
  <si>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</si>
  <si>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</si>
  <si>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</si>
  <si>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</si>
  <si>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</si>
  <si>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Fit a regression model and find the best lambda .</t>
  </si>
  <si>
    <t>Plot of MSE by lambda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</si>
  <si>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</si>
  <si>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</si>
  <si>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</si>
  <si>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</si>
  <si>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</si>
  <si>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</si>
  <si>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</si>
  <si>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</si>
  <si>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</si>
  <si>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</si>
  <si>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</si>
  <si>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</si>
  <si>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</si>
  <si>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</si>
  <si>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</si>
  <si>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</si>
  <si>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</si>
  <si>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</si>
  <si>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</si>
  <si>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</si>
  <si>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</si>
  <si>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</si>
  <si>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</si>
  <si>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</si>
  <si>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</si>
  <si>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</si>
  <si>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</si>
  <si>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</si>
  <si>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</si>
  <si>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</si>
  <si>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</si>
  <si>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</si>
  <si>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</si>
  <si>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</si>
  <si>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</si>
  <si>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</si>
  <si>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</si>
  <si>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</si>
  <si>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</si>
  <si>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</si>
  <si>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</si>
  <si>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</si>
  <si>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</si>
  <si>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</si>
  <si>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</si>
  <si>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KNN_Link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</si>
  <si>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</si>
  <si>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</si>
  <si>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</si>
  <si>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</si>
  <si>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</si>
  <si>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</si>
  <si>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</si>
  <si>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</si>
  <si>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</si>
  <si>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</si>
  <si>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</si>
  <si>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</si>
  <si>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</si>
  <si>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</si>
  <si>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</si>
  <si>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</si>
  <si>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</si>
  <si>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</si>
  <si>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</si>
  <si>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</si>
  <si>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</si>
  <si>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</si>
  <si>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</si>
  <si>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</si>
  <si>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</si>
  <si>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</si>
  <si>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</si>
  <si>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</si>
  <si>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</si>
  <si>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</si>
  <si>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</si>
  <si>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</si>
  <si>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</si>
  <si>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</si>
  <si>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</si>
  <si>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</si>
  <si>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</si>
  <si>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</si>
  <si>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</si>
  <si>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</si>
  <si>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</si>
  <si>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</si>
  <si>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</si>
  <si>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</si>
  <si>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</si>
  <si>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</si>
  <si>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</si>
  <si>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</si>
  <si>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</si>
  <si>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</si>
  <si>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</si>
  <si>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</si>
  <si>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</si>
  <si>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</si>
  <si>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</si>
  <si>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</si>
  <si>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</si>
  <si>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</si>
  <si>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</si>
  <si>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</si>
  <si>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</si>
  <si>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</si>
  <si>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</si>
  <si>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</si>
  <si>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</si>
  <si>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</si>
  <si>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</si>
  <si>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</si>
  <si>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</si>
  <si>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</si>
  <si>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</si>
  <si>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</si>
  <si>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</si>
  <si>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</si>
  <si>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</si>
  <si>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</si>
  <si>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</si>
  <si>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</si>
  <si>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</si>
  <si>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</si>
  <si>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</si>
  <si>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</si>
  <si>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</si>
  <si>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</si>
  <si>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</si>
  <si>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</si>
  <si>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</si>
  <si>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</si>
  <si>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</si>
  <si>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</si>
  <si>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</si>
  <si>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</si>
  <si>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</si>
  <si>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</si>
  <si>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</si>
  <si>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</si>
  <si>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</si>
  <si>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</si>
  <si>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</si>
  <si>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</si>
  <si>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</si>
  <si>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</si>
  <si>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</si>
  <si>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</si>
  <si>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</si>
  <si>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</si>
  <si>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</si>
  <si>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</si>
  <si>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Display the following below.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</si>
  <si>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</si>
  <si>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</si>
  <si>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</si>
  <si>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</si>
  <si>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</si>
  <si>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</si>
  <si>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</si>
  <si>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</si>
  <si>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</si>
  <si>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</si>
  <si>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</si>
  <si>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</si>
  <si>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</si>
  <si>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</si>
  <si>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Regression</t>
  </si>
  <si>
    <t>Question</t>
  </si>
  <si>
    <t>Points</t>
  </si>
  <si>
    <t>Your answer should include  thing pasted into this page.</t>
  </si>
  <si>
    <t>If you do the work manually, you only need to try five lambdas.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</si>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</sst>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5.xml"/><Relationship Id="rId50" Type="http://schemas.openxmlformats.org/officeDocument/2006/relationships/externalLink" Target="externalLinks/externalLink8.xml"/><Relationship Id="rId55" Type="http://schemas.openxmlformats.org/officeDocument/2006/relationships/externalLink" Target="externalLinks/externalLink13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3.xml"/><Relationship Id="rId53" Type="http://schemas.openxmlformats.org/officeDocument/2006/relationships/externalLink" Target="externalLinks/externalLink11.xml"/><Relationship Id="rId58" Type="http://schemas.openxmlformats.org/officeDocument/2006/relationships/externalLink" Target="externalLinks/externalLink16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externalLink" Target="externalLinks/externalLink6.xml"/><Relationship Id="rId56" Type="http://schemas.openxmlformats.org/officeDocument/2006/relationships/externalLink" Target="externalLinks/externalLink14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4.xml"/><Relationship Id="rId59" Type="http://schemas.openxmlformats.org/officeDocument/2006/relationships/externalLink" Target="externalLinks/externalLink17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2.xml"/><Relationship Id="rId62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7.xml"/><Relationship Id="rId57" Type="http://schemas.openxmlformats.org/officeDocument/2006/relationships/externalLink" Target="externalLinks/externalLink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52" Type="http://schemas.openxmlformats.org/officeDocument/2006/relationships/externalLink" Target="externalLinks/externalLink10.xml"/><Relationship Id="rId60" Type="http://schemas.openxmlformats.org/officeDocument/2006/relationships/externalLink" Target="externalLinks/externalLink18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0.44384252723711093</c:v>
                </c:pt>
                <c:pt idx="1">
                  <c:v>0.33405649922778002</c:v>
                </c:pt>
                <c:pt idx="2">
                  <c:v>0.95911487992905808</c:v>
                </c:pt>
                <c:pt idx="3">
                  <c:v>0.67195718743079791</c:v>
                </c:pt>
                <c:pt idx="4">
                  <c:v>0.96866853732302283</c:v>
                </c:pt>
                <c:pt idx="5">
                  <c:v>0.26329522991603427</c:v>
                </c:pt>
                <c:pt idx="6">
                  <c:v>0.36474243117406191</c:v>
                </c:pt>
                <c:pt idx="7">
                  <c:v>0.37743211474056271</c:v>
                </c:pt>
                <c:pt idx="8">
                  <c:v>0.63305250282647396</c:v>
                </c:pt>
                <c:pt idx="9">
                  <c:v>9.7297994966288881E-2</c:v>
                </c:pt>
                <c:pt idx="10">
                  <c:v>6.9361044747246803E-2</c:v>
                </c:pt>
                <c:pt idx="11">
                  <c:v>0.66982328758535847</c:v>
                </c:pt>
                <c:pt idx="12">
                  <c:v>8.1609020298713308E-2</c:v>
                </c:pt>
                <c:pt idx="13">
                  <c:v>0.26003008007945116</c:v>
                </c:pt>
                <c:pt idx="14">
                  <c:v>0.50612067014510087</c:v>
                </c:pt>
                <c:pt idx="15">
                  <c:v>0.92717058937190389</c:v>
                </c:pt>
                <c:pt idx="16">
                  <c:v>0.22860065393118689</c:v>
                </c:pt>
                <c:pt idx="17">
                  <c:v>0.44192254172656753</c:v>
                </c:pt>
                <c:pt idx="18">
                  <c:v>0.45214222574567253</c:v>
                </c:pt>
                <c:pt idx="19">
                  <c:v>0.98288722561761033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0.61627973060908248</c:v>
                </c:pt>
                <c:pt idx="1">
                  <c:v>0.87186844906495331</c:v>
                </c:pt>
                <c:pt idx="2">
                  <c:v>0.99622709891807104</c:v>
                </c:pt>
                <c:pt idx="3">
                  <c:v>0.75004003500677296</c:v>
                </c:pt>
                <c:pt idx="4">
                  <c:v>0.97346985001612407</c:v>
                </c:pt>
                <c:pt idx="5">
                  <c:v>0.97846951403817073</c:v>
                </c:pt>
                <c:pt idx="6">
                  <c:v>0.89862360233076177</c:v>
                </c:pt>
                <c:pt idx="7">
                  <c:v>0.97661885485657485</c:v>
                </c:pt>
                <c:pt idx="8">
                  <c:v>0.64667273073064024</c:v>
                </c:pt>
                <c:pt idx="9">
                  <c:v>0.71264749429148988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0.44384252723711093</c:v>
                </c:pt>
                <c:pt idx="1">
                  <c:v>0.33405649922778002</c:v>
                </c:pt>
                <c:pt idx="2">
                  <c:v>0.95911487992905808</c:v>
                </c:pt>
                <c:pt idx="3">
                  <c:v>0.67195718743079791</c:v>
                </c:pt>
                <c:pt idx="4">
                  <c:v>0.96866853732302283</c:v>
                </c:pt>
                <c:pt idx="5">
                  <c:v>0.26329522991603427</c:v>
                </c:pt>
                <c:pt idx="6">
                  <c:v>0.36474243117406191</c:v>
                </c:pt>
                <c:pt idx="7">
                  <c:v>0.37743211474056271</c:v>
                </c:pt>
                <c:pt idx="8">
                  <c:v>0.63305250282647396</c:v>
                </c:pt>
                <c:pt idx="9">
                  <c:v>9.7297994966288881E-2</c:v>
                </c:pt>
                <c:pt idx="10">
                  <c:v>6.9361044747246803E-2</c:v>
                </c:pt>
                <c:pt idx="11">
                  <c:v>0.66982328758535847</c:v>
                </c:pt>
                <c:pt idx="12">
                  <c:v>8.1609020298713308E-2</c:v>
                </c:pt>
                <c:pt idx="13">
                  <c:v>0.26003008007945116</c:v>
                </c:pt>
                <c:pt idx="14">
                  <c:v>0.50612067014510087</c:v>
                </c:pt>
                <c:pt idx="15">
                  <c:v>0.92717058937190389</c:v>
                </c:pt>
                <c:pt idx="16">
                  <c:v>0.22860065393118689</c:v>
                </c:pt>
                <c:pt idx="17">
                  <c:v>0.44192254172656753</c:v>
                </c:pt>
                <c:pt idx="18">
                  <c:v>0.45214222574567253</c:v>
                </c:pt>
                <c:pt idx="19">
                  <c:v>0.98288722561761033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5.2300279253065379E-2</c:v>
                </c:pt>
                <c:pt idx="11">
                  <c:v>0.61978125626417713</c:v>
                </c:pt>
                <c:pt idx="12">
                  <c:v>7.5198877744078615E-2</c:v>
                </c:pt>
                <c:pt idx="13">
                  <c:v>0.19704557818982515</c:v>
                </c:pt>
                <c:pt idx="14">
                  <c:v>6.7413498653687162E-2</c:v>
                </c:pt>
                <c:pt idx="15">
                  <c:v>0.56599516269585382</c:v>
                </c:pt>
                <c:pt idx="16">
                  <c:v>0.16354576420514597</c:v>
                </c:pt>
                <c:pt idx="17">
                  <c:v>0.3533498518405771</c:v>
                </c:pt>
                <c:pt idx="18">
                  <c:v>0.41298548126130741</c:v>
                </c:pt>
                <c:pt idx="19">
                  <c:v>0.62950655448499537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0.63585505919828977</c:v>
                </c:pt>
                <c:pt idx="1">
                  <c:v>0.97054183822648188</c:v>
                </c:pt>
                <c:pt idx="2">
                  <c:v>0.75984243133269536</c:v>
                </c:pt>
                <c:pt idx="3">
                  <c:v>0.2514413699310043</c:v>
                </c:pt>
                <c:pt idx="4">
                  <c:v>0.96511432645186079</c:v>
                </c:pt>
                <c:pt idx="5">
                  <c:v>0.7935531986705463</c:v>
                </c:pt>
                <c:pt idx="6">
                  <c:v>0.34472439608334238</c:v>
                </c:pt>
                <c:pt idx="7">
                  <c:v>0.66862235647686863</c:v>
                </c:pt>
                <c:pt idx="8">
                  <c:v>0.76142383728728691</c:v>
                </c:pt>
                <c:pt idx="9">
                  <c:v>2.165678658097725E-2</c:v>
                </c:pt>
                <c:pt idx="10">
                  <c:v>0.41074207954180575</c:v>
                </c:pt>
                <c:pt idx="11">
                  <c:v>0.95176151523177854</c:v>
                </c:pt>
                <c:pt idx="12">
                  <c:v>0.59653186240787426</c:v>
                </c:pt>
                <c:pt idx="13">
                  <c:v>0.15725234188987181</c:v>
                </c:pt>
                <c:pt idx="14">
                  <c:v>0.98451987708569311</c:v>
                </c:pt>
                <c:pt idx="15">
                  <c:v>0.18897018894013506</c:v>
                </c:pt>
                <c:pt idx="16">
                  <c:v>0.46922597083243389</c:v>
                </c:pt>
                <c:pt idx="17">
                  <c:v>0.13849441672522156</c:v>
                </c:pt>
                <c:pt idx="18">
                  <c:v>9.8802362982183478E-2</c:v>
                </c:pt>
                <c:pt idx="19">
                  <c:v>0.95555815034941305</c:v>
                </c:pt>
                <c:pt idx="20">
                  <c:v>0.69780751821767939</c:v>
                </c:pt>
                <c:pt idx="21">
                  <c:v>6.0529639598824181E-2</c:v>
                </c:pt>
                <c:pt idx="22">
                  <c:v>0.20795835790826911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0.69107190448193379</c:v>
                </c:pt>
                <c:pt idx="1">
                  <c:v>0.99568912629253414</c:v>
                </c:pt>
                <c:pt idx="2">
                  <c:v>0.93365392278171466</c:v>
                </c:pt>
                <c:pt idx="3">
                  <c:v>0.8412001351075582</c:v>
                </c:pt>
                <c:pt idx="4">
                  <c:v>0.98059895268580388</c:v>
                </c:pt>
                <c:pt idx="5">
                  <c:v>0.97938441618695071</c:v>
                </c:pt>
                <c:pt idx="6">
                  <c:v>0.48301425710717172</c:v>
                </c:pt>
                <c:pt idx="7">
                  <c:v>0.99371603248727747</c:v>
                </c:pt>
                <c:pt idx="8">
                  <c:v>0.99282190518138003</c:v>
                </c:pt>
                <c:pt idx="9">
                  <c:v>0.95300158235710719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0.63585505919828977</c:v>
                </c:pt>
                <c:pt idx="1">
                  <c:v>0.97054183822648188</c:v>
                </c:pt>
                <c:pt idx="2">
                  <c:v>0.75984243133269536</c:v>
                </c:pt>
                <c:pt idx="3">
                  <c:v>0.2514413699310043</c:v>
                </c:pt>
                <c:pt idx="4">
                  <c:v>0.96511432645186079</c:v>
                </c:pt>
                <c:pt idx="5">
                  <c:v>0.7935531986705463</c:v>
                </c:pt>
                <c:pt idx="6">
                  <c:v>0.34472439608334238</c:v>
                </c:pt>
                <c:pt idx="7">
                  <c:v>0.66862235647686863</c:v>
                </c:pt>
                <c:pt idx="8">
                  <c:v>0.76142383728728691</c:v>
                </c:pt>
                <c:pt idx="9">
                  <c:v>2.165678658097725E-2</c:v>
                </c:pt>
                <c:pt idx="10">
                  <c:v>0.41074207954180575</c:v>
                </c:pt>
                <c:pt idx="11">
                  <c:v>0.95176151523177854</c:v>
                </c:pt>
                <c:pt idx="12">
                  <c:v>0.59653186240787426</c:v>
                </c:pt>
                <c:pt idx="13">
                  <c:v>0.15725234188987181</c:v>
                </c:pt>
                <c:pt idx="14">
                  <c:v>0.98451987708569311</c:v>
                </c:pt>
                <c:pt idx="15">
                  <c:v>0.18897018894013506</c:v>
                </c:pt>
                <c:pt idx="16">
                  <c:v>0.46922597083243389</c:v>
                </c:pt>
                <c:pt idx="17">
                  <c:v>0.13849441672522156</c:v>
                </c:pt>
                <c:pt idx="18">
                  <c:v>9.8802362982183478E-2</c:v>
                </c:pt>
                <c:pt idx="19">
                  <c:v>0.95555815034941305</c:v>
                </c:pt>
                <c:pt idx="20">
                  <c:v>0.69780751821767939</c:v>
                </c:pt>
                <c:pt idx="21">
                  <c:v>6.0529639598824181E-2</c:v>
                </c:pt>
                <c:pt idx="22">
                  <c:v>0.20795835790826911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0.32984684705984108</c:v>
                </c:pt>
                <c:pt idx="11">
                  <c:v>0.54405394002838325</c:v>
                </c:pt>
                <c:pt idx="12">
                  <c:v>3.9250712955993104E-2</c:v>
                </c:pt>
                <c:pt idx="13">
                  <c:v>3.3228220132311289E-3</c:v>
                </c:pt>
                <c:pt idx="14">
                  <c:v>0.14447494112261877</c:v>
                </c:pt>
                <c:pt idx="15">
                  <c:v>6.5112548116047622E-2</c:v>
                </c:pt>
                <c:pt idx="16">
                  <c:v>0.19075022397563057</c:v>
                </c:pt>
                <c:pt idx="17">
                  <c:v>7.6559202999492912E-2</c:v>
                </c:pt>
                <c:pt idx="18">
                  <c:v>2.5295814411977209E-2</c:v>
                </c:pt>
                <c:pt idx="19">
                  <c:v>0.70905896942686675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0.63585505919828977</c:v>
                </c:pt>
                <c:pt idx="1">
                  <c:v>0.97054183822648188</c:v>
                </c:pt>
                <c:pt idx="2">
                  <c:v>0.75984243133269536</c:v>
                </c:pt>
                <c:pt idx="3">
                  <c:v>0.2514413699310043</c:v>
                </c:pt>
                <c:pt idx="4">
                  <c:v>0.96511432645186079</c:v>
                </c:pt>
                <c:pt idx="5">
                  <c:v>0.7935531986705463</c:v>
                </c:pt>
                <c:pt idx="6">
                  <c:v>0.34472439608334238</c:v>
                </c:pt>
                <c:pt idx="7">
                  <c:v>0.66862235647686863</c:v>
                </c:pt>
                <c:pt idx="8">
                  <c:v>0.76142383728728691</c:v>
                </c:pt>
                <c:pt idx="9">
                  <c:v>2.165678658097725E-2</c:v>
                </c:pt>
                <c:pt idx="10">
                  <c:v>0.41074207954180575</c:v>
                </c:pt>
                <c:pt idx="11">
                  <c:v>0.95176151523177854</c:v>
                </c:pt>
                <c:pt idx="12">
                  <c:v>0.59653186240787426</c:v>
                </c:pt>
                <c:pt idx="13">
                  <c:v>0.15725234188987181</c:v>
                </c:pt>
                <c:pt idx="14">
                  <c:v>0.98451987708569311</c:v>
                </c:pt>
                <c:pt idx="15">
                  <c:v>0.18897018894013506</c:v>
                </c:pt>
                <c:pt idx="16">
                  <c:v>0.46922597083243389</c:v>
                </c:pt>
                <c:pt idx="17">
                  <c:v>0.13849441672522156</c:v>
                </c:pt>
                <c:pt idx="18">
                  <c:v>9.8802362982183478E-2</c:v>
                </c:pt>
                <c:pt idx="19">
                  <c:v>0.95555815034941305</c:v>
                </c:pt>
                <c:pt idx="20">
                  <c:v>0.69780751821767939</c:v>
                </c:pt>
                <c:pt idx="21">
                  <c:v>6.0529639598824181E-2</c:v>
                </c:pt>
                <c:pt idx="22">
                  <c:v>0.20795835790826911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0.73059986695091717</c:v>
                </c:pt>
                <c:pt idx="21" formatCode="0.00">
                  <c:v>7.5769677595259211E-2</c:v>
                </c:pt>
                <c:pt idx="22" formatCode="0.00">
                  <c:v>0.14770980789997257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0.24623387639580252</c:v>
                </c:pt>
                <c:pt idx="1">
                  <c:v>0.63119871762325597</c:v>
                </c:pt>
                <c:pt idx="2">
                  <c:v>0.44504859270310548</c:v>
                </c:pt>
                <c:pt idx="3">
                  <c:v>0.21631843597261913</c:v>
                </c:pt>
                <c:pt idx="4">
                  <c:v>0.62942232104249696</c:v>
                </c:pt>
                <c:pt idx="5">
                  <c:v>0.39457912123195737</c:v>
                </c:pt>
                <c:pt idx="6">
                  <c:v>0.78136471312126976</c:v>
                </c:pt>
                <c:pt idx="7">
                  <c:v>0.52168509272794061</c:v>
                </c:pt>
                <c:pt idx="8">
                  <c:v>0.34367968069068078</c:v>
                </c:pt>
                <c:pt idx="9">
                  <c:v>0.4282559857091448</c:v>
                </c:pt>
                <c:pt idx="10">
                  <c:v>0.90795999234131508</c:v>
                </c:pt>
                <c:pt idx="11">
                  <c:v>0.67346382128753535</c:v>
                </c:pt>
                <c:pt idx="12">
                  <c:v>0.24697095066187502</c:v>
                </c:pt>
                <c:pt idx="13">
                  <c:v>0.3333976765503962</c:v>
                </c:pt>
                <c:pt idx="14">
                  <c:v>0.57980200564881368</c:v>
                </c:pt>
                <c:pt idx="15">
                  <c:v>0.23256083837339525</c:v>
                </c:pt>
                <c:pt idx="16">
                  <c:v>0.25648695941221977</c:v>
                </c:pt>
                <c:pt idx="17">
                  <c:v>0.6001852975882952</c:v>
                </c:pt>
                <c:pt idx="18">
                  <c:v>0.33371557798451035</c:v>
                </c:pt>
                <c:pt idx="19">
                  <c:v>0.55079603149714884</c:v>
                </c:pt>
                <c:pt idx="20">
                  <c:v>0.43072150059506553</c:v>
                </c:pt>
                <c:pt idx="21">
                  <c:v>0.17537786519943876</c:v>
                </c:pt>
                <c:pt idx="22">
                  <c:v>0.71412949363165346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0.7895141627399912</c:v>
                </c:pt>
                <c:pt idx="1">
                  <c:v>0.75162821993239326</c:v>
                </c:pt>
                <c:pt idx="2">
                  <c:v>0.7025283753906566</c:v>
                </c:pt>
                <c:pt idx="3">
                  <c:v>0.56438147385804538</c:v>
                </c:pt>
                <c:pt idx="4">
                  <c:v>0.77346802327604436</c:v>
                </c:pt>
                <c:pt idx="5">
                  <c:v>0.95775914254523264</c:v>
                </c:pt>
                <c:pt idx="6">
                  <c:v>0.89002422633197475</c:v>
                </c:pt>
                <c:pt idx="7">
                  <c:v>0.65756569200745185</c:v>
                </c:pt>
                <c:pt idx="8">
                  <c:v>0.71451987206010381</c:v>
                </c:pt>
                <c:pt idx="9">
                  <c:v>0.52641575276970465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0.24623387639580252</c:v>
                </c:pt>
                <c:pt idx="1">
                  <c:v>0.63119871762325597</c:v>
                </c:pt>
                <c:pt idx="2">
                  <c:v>0.44504859270310548</c:v>
                </c:pt>
                <c:pt idx="3">
                  <c:v>0.21631843597261913</c:v>
                </c:pt>
                <c:pt idx="4">
                  <c:v>0.62942232104249696</c:v>
                </c:pt>
                <c:pt idx="5">
                  <c:v>0.39457912123195737</c:v>
                </c:pt>
                <c:pt idx="6">
                  <c:v>0.78136471312126976</c:v>
                </c:pt>
                <c:pt idx="7">
                  <c:v>0.52168509272794061</c:v>
                </c:pt>
                <c:pt idx="8">
                  <c:v>0.34367968069068078</c:v>
                </c:pt>
                <c:pt idx="9">
                  <c:v>0.4282559857091448</c:v>
                </c:pt>
                <c:pt idx="10">
                  <c:v>0.90795999234131508</c:v>
                </c:pt>
                <c:pt idx="11">
                  <c:v>0.67346382128753535</c:v>
                </c:pt>
                <c:pt idx="12">
                  <c:v>0.24697095066187502</c:v>
                </c:pt>
                <c:pt idx="13">
                  <c:v>0.3333976765503962</c:v>
                </c:pt>
                <c:pt idx="14">
                  <c:v>0.57980200564881368</c:v>
                </c:pt>
                <c:pt idx="15">
                  <c:v>0.23256083837339525</c:v>
                </c:pt>
                <c:pt idx="16">
                  <c:v>0.25648695941221977</c:v>
                </c:pt>
                <c:pt idx="17">
                  <c:v>0.6001852975882952</c:v>
                </c:pt>
                <c:pt idx="18">
                  <c:v>0.33371557798451035</c:v>
                </c:pt>
                <c:pt idx="19">
                  <c:v>0.55079603149714884</c:v>
                </c:pt>
                <c:pt idx="20">
                  <c:v>0.43072150059506553</c:v>
                </c:pt>
                <c:pt idx="21">
                  <c:v>0.17537786519943876</c:v>
                </c:pt>
                <c:pt idx="22">
                  <c:v>0.71412949363165346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0.50324844634318944</c:v>
                </c:pt>
                <c:pt idx="11">
                  <c:v>0.10538779574823139</c:v>
                </c:pt>
                <c:pt idx="12">
                  <c:v>0.18347664879131548</c:v>
                </c:pt>
                <c:pt idx="13">
                  <c:v>0.22172718099410463</c:v>
                </c:pt>
                <c:pt idx="14">
                  <c:v>0.46907945445858595</c:v>
                </c:pt>
                <c:pt idx="15">
                  <c:v>0.15301546972123653</c:v>
                </c:pt>
                <c:pt idx="16">
                  <c:v>8.8583866632930941E-2</c:v>
                </c:pt>
                <c:pt idx="17">
                  <c:v>0.57167470159319012</c:v>
                </c:pt>
                <c:pt idx="18">
                  <c:v>0.28339949060060993</c:v>
                </c:pt>
                <c:pt idx="19">
                  <c:v>0.12616776930710458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0.24623387639580252</c:v>
                </c:pt>
                <c:pt idx="1">
                  <c:v>0.63119871762325597</c:v>
                </c:pt>
                <c:pt idx="2">
                  <c:v>0.44504859270310548</c:v>
                </c:pt>
                <c:pt idx="3">
                  <c:v>0.21631843597261913</c:v>
                </c:pt>
                <c:pt idx="4">
                  <c:v>0.62942232104249696</c:v>
                </c:pt>
                <c:pt idx="5">
                  <c:v>0.39457912123195737</c:v>
                </c:pt>
                <c:pt idx="6">
                  <c:v>0.78136471312126976</c:v>
                </c:pt>
                <c:pt idx="7">
                  <c:v>0.52168509272794061</c:v>
                </c:pt>
                <c:pt idx="8">
                  <c:v>0.34367968069068078</c:v>
                </c:pt>
                <c:pt idx="9">
                  <c:v>0.4282559857091448</c:v>
                </c:pt>
                <c:pt idx="10">
                  <c:v>0.90795999234131508</c:v>
                </c:pt>
                <c:pt idx="11">
                  <c:v>0.67346382128753535</c:v>
                </c:pt>
                <c:pt idx="12">
                  <c:v>0.24697095066187502</c:v>
                </c:pt>
                <c:pt idx="13">
                  <c:v>0.3333976765503962</c:v>
                </c:pt>
                <c:pt idx="14">
                  <c:v>0.57980200564881368</c:v>
                </c:pt>
                <c:pt idx="15">
                  <c:v>0.23256083837339525</c:v>
                </c:pt>
                <c:pt idx="16">
                  <c:v>0.25648695941221977</c:v>
                </c:pt>
                <c:pt idx="17">
                  <c:v>0.6001852975882952</c:v>
                </c:pt>
                <c:pt idx="18">
                  <c:v>0.33371557798451035</c:v>
                </c:pt>
                <c:pt idx="19">
                  <c:v>0.55079603149714884</c:v>
                </c:pt>
                <c:pt idx="20">
                  <c:v>0.43072150059506553</c:v>
                </c:pt>
                <c:pt idx="21">
                  <c:v>0.17537786519943876</c:v>
                </c:pt>
                <c:pt idx="22">
                  <c:v>0.71412949363165346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0.3688879164365475</c:v>
                </c:pt>
                <c:pt idx="21" formatCode="0.00">
                  <c:v>0.55125981527312329</c:v>
                </c:pt>
                <c:pt idx="22" formatCode="0.00">
                  <c:v>0.88739089215417899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0.28511089348463248</c:v>
                </c:pt>
                <c:pt idx="1">
                  <c:v>0.3168459554761055</c:v>
                </c:pt>
                <c:pt idx="2">
                  <c:v>2.5837723324818818E-2</c:v>
                </c:pt>
                <c:pt idx="3">
                  <c:v>0.66801543813042541</c:v>
                </c:pt>
                <c:pt idx="4">
                  <c:v>0.33032037262185043</c:v>
                </c:pt>
                <c:pt idx="5">
                  <c:v>0.17137078618258061</c:v>
                </c:pt>
                <c:pt idx="6">
                  <c:v>0.34484204052429301</c:v>
                </c:pt>
                <c:pt idx="7">
                  <c:v>0.45503521006098357</c:v>
                </c:pt>
                <c:pt idx="8">
                  <c:v>0.81865551826094196</c:v>
                </c:pt>
                <c:pt idx="9">
                  <c:v>0.97123988014519891</c:v>
                </c:pt>
                <c:pt idx="10">
                  <c:v>0.27083496620284508</c:v>
                </c:pt>
                <c:pt idx="11">
                  <c:v>0.73473322775558259</c:v>
                </c:pt>
                <c:pt idx="12">
                  <c:v>4.3461759405878597E-2</c:v>
                </c:pt>
                <c:pt idx="13">
                  <c:v>0.43463707739931401</c:v>
                </c:pt>
                <c:pt idx="14">
                  <c:v>0.96373444175660883</c:v>
                </c:pt>
                <c:pt idx="15">
                  <c:v>0.39524124022638796</c:v>
                </c:pt>
                <c:pt idx="16">
                  <c:v>0.55425810014702592</c:v>
                </c:pt>
                <c:pt idx="17">
                  <c:v>0.26284187975548434</c:v>
                </c:pt>
                <c:pt idx="18">
                  <c:v>7.6510548527650601E-2</c:v>
                </c:pt>
                <c:pt idx="19">
                  <c:v>0.42495434477230454</c:v>
                </c:pt>
                <c:pt idx="21">
                  <c:v>0.13863167662558451</c:v>
                </c:pt>
                <c:pt idx="22">
                  <c:v>0.67535494079756775</c:v>
                </c:pt>
                <c:pt idx="23">
                  <c:v>0.56798089201968682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0.88464882932165156</c:v>
                </c:pt>
                <c:pt idx="1">
                  <c:v>0.52271587557388266</c:v>
                </c:pt>
                <c:pt idx="2">
                  <c:v>0.53362385967764236</c:v>
                </c:pt>
                <c:pt idx="3">
                  <c:v>0.93152891785571668</c:v>
                </c:pt>
                <c:pt idx="4">
                  <c:v>0.44170420105467001</c:v>
                </c:pt>
                <c:pt idx="5">
                  <c:v>0.74303909543076108</c:v>
                </c:pt>
                <c:pt idx="6">
                  <c:v>0.72209421519098327</c:v>
                </c:pt>
                <c:pt idx="7">
                  <c:v>0.89654448559746625</c:v>
                </c:pt>
                <c:pt idx="8">
                  <c:v>0.97534654586244796</c:v>
                </c:pt>
                <c:pt idx="9">
                  <c:v>0.99411820238509885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0.28511089348463248</c:v>
                </c:pt>
                <c:pt idx="1">
                  <c:v>0.3168459554761055</c:v>
                </c:pt>
                <c:pt idx="2">
                  <c:v>2.5837723324818818E-2</c:v>
                </c:pt>
                <c:pt idx="3">
                  <c:v>0.66801543813042541</c:v>
                </c:pt>
                <c:pt idx="4">
                  <c:v>0.33032037262185043</c:v>
                </c:pt>
                <c:pt idx="5">
                  <c:v>0.17137078618258061</c:v>
                </c:pt>
                <c:pt idx="6">
                  <c:v>0.34484204052429301</c:v>
                </c:pt>
                <c:pt idx="7">
                  <c:v>0.45503521006098357</c:v>
                </c:pt>
                <c:pt idx="8">
                  <c:v>0.81865551826094196</c:v>
                </c:pt>
                <c:pt idx="9">
                  <c:v>0.97123988014519891</c:v>
                </c:pt>
                <c:pt idx="10">
                  <c:v>0.27083496620284508</c:v>
                </c:pt>
                <c:pt idx="11">
                  <c:v>0.73473322775558259</c:v>
                </c:pt>
                <c:pt idx="12">
                  <c:v>4.3461759405878597E-2</c:v>
                </c:pt>
                <c:pt idx="13">
                  <c:v>0.43463707739931401</c:v>
                </c:pt>
                <c:pt idx="14">
                  <c:v>0.96373444175660883</c:v>
                </c:pt>
                <c:pt idx="15">
                  <c:v>0.39524124022638796</c:v>
                </c:pt>
                <c:pt idx="16">
                  <c:v>0.55425810014702592</c:v>
                </c:pt>
                <c:pt idx="17">
                  <c:v>0.26284187975548434</c:v>
                </c:pt>
                <c:pt idx="18">
                  <c:v>7.6510548527650601E-2</c:v>
                </c:pt>
                <c:pt idx="19">
                  <c:v>0.42495434477230454</c:v>
                </c:pt>
                <c:pt idx="21">
                  <c:v>0.13863167662558451</c:v>
                </c:pt>
                <c:pt idx="22">
                  <c:v>0.67535494079756775</c:v>
                </c:pt>
                <c:pt idx="23">
                  <c:v>0.56798089201968682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0.25505575319098278</c:v>
                </c:pt>
                <c:pt idx="11">
                  <c:v>0.47624244153531914</c:v>
                </c:pt>
                <c:pt idx="12">
                  <c:v>1.870813977627369E-2</c:v>
                </c:pt>
                <c:pt idx="13">
                  <c:v>0.17585713080608861</c:v>
                </c:pt>
                <c:pt idx="14">
                  <c:v>0.14740054218316612</c:v>
                </c:pt>
                <c:pt idx="15">
                  <c:v>0.32084448240321672</c:v>
                </c:pt>
                <c:pt idx="16">
                  <c:v>0.39824884625987261</c:v>
                </c:pt>
                <c:pt idx="17">
                  <c:v>0.16731640082996888</c:v>
                </c:pt>
                <c:pt idx="18">
                  <c:v>1.7921522265081476E-2</c:v>
                </c:pt>
                <c:pt idx="19">
                  <c:v>0.19204904415271445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0.28511089348463248</c:v>
                </c:pt>
                <c:pt idx="1">
                  <c:v>0.3168459554761055</c:v>
                </c:pt>
                <c:pt idx="2">
                  <c:v>2.5837723324818818E-2</c:v>
                </c:pt>
                <c:pt idx="3">
                  <c:v>0.66801543813042541</c:v>
                </c:pt>
                <c:pt idx="4">
                  <c:v>0.33032037262185043</c:v>
                </c:pt>
                <c:pt idx="5">
                  <c:v>0.17137078618258061</c:v>
                </c:pt>
                <c:pt idx="6">
                  <c:v>0.34484204052429301</c:v>
                </c:pt>
                <c:pt idx="7">
                  <c:v>0.45503521006098357</c:v>
                </c:pt>
                <c:pt idx="8">
                  <c:v>0.81865551826094196</c:v>
                </c:pt>
                <c:pt idx="9">
                  <c:v>0.97123988014519891</c:v>
                </c:pt>
                <c:pt idx="10">
                  <c:v>0.27083496620284508</c:v>
                </c:pt>
                <c:pt idx="11">
                  <c:v>0.73473322775558259</c:v>
                </c:pt>
                <c:pt idx="12">
                  <c:v>4.3461759405878597E-2</c:v>
                </c:pt>
                <c:pt idx="13">
                  <c:v>0.43463707739931401</c:v>
                </c:pt>
                <c:pt idx="14">
                  <c:v>0.96373444175660883</c:v>
                </c:pt>
                <c:pt idx="15">
                  <c:v>0.39524124022638796</c:v>
                </c:pt>
                <c:pt idx="16">
                  <c:v>0.55425810014702592</c:v>
                </c:pt>
                <c:pt idx="17">
                  <c:v>0.26284187975548434</c:v>
                </c:pt>
                <c:pt idx="18">
                  <c:v>7.6510548527650601E-2</c:v>
                </c:pt>
                <c:pt idx="19">
                  <c:v>0.42495434477230454</c:v>
                </c:pt>
                <c:pt idx="21">
                  <c:v>0.13863167662558451</c:v>
                </c:pt>
                <c:pt idx="22">
                  <c:v>0.67535494079756775</c:v>
                </c:pt>
                <c:pt idx="23">
                  <c:v>0.56798089201968682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0.21280541790791885</c:v>
                </c:pt>
                <c:pt idx="22" formatCode="0.00">
                  <c:v>0.26137330357875443</c:v>
                </c:pt>
                <c:pt idx="23" formatCode="0.00">
                  <c:v>0.90175629158739778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0.81611320413278476</c:v>
                </c:pt>
                <c:pt idx="1">
                  <c:v>0.13310377260043993</c:v>
                </c:pt>
                <c:pt idx="2">
                  <c:v>0.58601217186013821</c:v>
                </c:pt>
                <c:pt idx="3">
                  <c:v>0.14981924209620412</c:v>
                </c:pt>
                <c:pt idx="4">
                  <c:v>0.51645781660932322</c:v>
                </c:pt>
                <c:pt idx="5">
                  <c:v>0.55306109951208848</c:v>
                </c:pt>
                <c:pt idx="6">
                  <c:v>0.86934180914037118</c:v>
                </c:pt>
                <c:pt idx="7">
                  <c:v>0.48686298901869163</c:v>
                </c:pt>
                <c:pt idx="8">
                  <c:v>0.82913713141190493</c:v>
                </c:pt>
                <c:pt idx="9">
                  <c:v>0.72120663638043714</c:v>
                </c:pt>
                <c:pt idx="10">
                  <c:v>0.82895313738880028</c:v>
                </c:pt>
                <c:pt idx="11">
                  <c:v>0.80553255543157309</c:v>
                </c:pt>
                <c:pt idx="12">
                  <c:v>0.88351851303384921</c:v>
                </c:pt>
                <c:pt idx="13">
                  <c:v>0.58743735292392274</c:v>
                </c:pt>
                <c:pt idx="14">
                  <c:v>0.56474429330820486</c:v>
                </c:pt>
                <c:pt idx="15">
                  <c:v>0.44772887582174392</c:v>
                </c:pt>
                <c:pt idx="16">
                  <c:v>0.92265854113236179</c:v>
                </c:pt>
                <c:pt idx="17">
                  <c:v>0.69227475751438095</c:v>
                </c:pt>
                <c:pt idx="18">
                  <c:v>0.29292007549048549</c:v>
                </c:pt>
                <c:pt idx="19">
                  <c:v>0.9059246532347176</c:v>
                </c:pt>
                <c:pt idx="21">
                  <c:v>0.31550088663173492</c:v>
                </c:pt>
                <c:pt idx="22">
                  <c:v>9.4677332496912237E-2</c:v>
                </c:pt>
                <c:pt idx="23">
                  <c:v>0.32643361712262886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0.87382989500226582</c:v>
                </c:pt>
                <c:pt idx="1">
                  <c:v>0.69441434034434502</c:v>
                </c:pt>
                <c:pt idx="2">
                  <c:v>0.83585985191849854</c:v>
                </c:pt>
                <c:pt idx="3">
                  <c:v>0.17516234356478738</c:v>
                </c:pt>
                <c:pt idx="4">
                  <c:v>0.5289374605251812</c:v>
                </c:pt>
                <c:pt idx="5">
                  <c:v>0.98404266716346911</c:v>
                </c:pt>
                <c:pt idx="6">
                  <c:v>0.98872224210237836</c:v>
                </c:pt>
                <c:pt idx="7">
                  <c:v>0.84361983871634139</c:v>
                </c:pt>
                <c:pt idx="8">
                  <c:v>0.83252196487942232</c:v>
                </c:pt>
                <c:pt idx="9">
                  <c:v>0.90188904016378424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0.81611320413278476</c:v>
                </c:pt>
                <c:pt idx="1">
                  <c:v>0.13310377260043993</c:v>
                </c:pt>
                <c:pt idx="2">
                  <c:v>0.58601217186013821</c:v>
                </c:pt>
                <c:pt idx="3">
                  <c:v>0.14981924209620412</c:v>
                </c:pt>
                <c:pt idx="4">
                  <c:v>0.51645781660932322</c:v>
                </c:pt>
                <c:pt idx="5">
                  <c:v>0.55306109951208848</c:v>
                </c:pt>
                <c:pt idx="6">
                  <c:v>0.86934180914037118</c:v>
                </c:pt>
                <c:pt idx="7">
                  <c:v>0.48686298901869163</c:v>
                </c:pt>
                <c:pt idx="8">
                  <c:v>0.82913713141190493</c:v>
                </c:pt>
                <c:pt idx="9">
                  <c:v>0.72120663638043714</c:v>
                </c:pt>
                <c:pt idx="10">
                  <c:v>0.82895313738880028</c:v>
                </c:pt>
                <c:pt idx="11">
                  <c:v>0.80553255543157309</c:v>
                </c:pt>
                <c:pt idx="12">
                  <c:v>0.88351851303384921</c:v>
                </c:pt>
                <c:pt idx="13">
                  <c:v>0.58743735292392274</c:v>
                </c:pt>
                <c:pt idx="14">
                  <c:v>0.56474429330820486</c:v>
                </c:pt>
                <c:pt idx="15">
                  <c:v>0.44772887582174392</c:v>
                </c:pt>
                <c:pt idx="16">
                  <c:v>0.92265854113236179</c:v>
                </c:pt>
                <c:pt idx="17">
                  <c:v>0.69227475751438095</c:v>
                </c:pt>
                <c:pt idx="18">
                  <c:v>0.29292007549048549</c:v>
                </c:pt>
                <c:pt idx="19">
                  <c:v>0.9059246532347176</c:v>
                </c:pt>
                <c:pt idx="21">
                  <c:v>0.31550088663173492</c:v>
                </c:pt>
                <c:pt idx="22">
                  <c:v>9.4677332496912237E-2</c:v>
                </c:pt>
                <c:pt idx="23">
                  <c:v>0.32643361712262886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0.25394243491395463</c:v>
                </c:pt>
                <c:pt idx="11">
                  <c:v>0.50442638441456988</c:v>
                </c:pt>
                <c:pt idx="12">
                  <c:v>0.22124377012918134</c:v>
                </c:pt>
                <c:pt idx="13">
                  <c:v>0.18457523564346415</c:v>
                </c:pt>
                <c:pt idx="14">
                  <c:v>0.37200608651737727</c:v>
                </c:pt>
                <c:pt idx="15">
                  <c:v>0.33021875696517849</c:v>
                </c:pt>
                <c:pt idx="16">
                  <c:v>3.0216736097583595E-2</c:v>
                </c:pt>
                <c:pt idx="17">
                  <c:v>0.16758543240175025</c:v>
                </c:pt>
                <c:pt idx="18">
                  <c:v>0.22278798627226493</c:v>
                </c:pt>
                <c:pt idx="19">
                  <c:v>0.54214773748593814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0.81611320413278476</c:v>
                </c:pt>
                <c:pt idx="1">
                  <c:v>0.13310377260043993</c:v>
                </c:pt>
                <c:pt idx="2">
                  <c:v>0.58601217186013821</c:v>
                </c:pt>
                <c:pt idx="3">
                  <c:v>0.14981924209620412</c:v>
                </c:pt>
                <c:pt idx="4">
                  <c:v>0.51645781660932322</c:v>
                </c:pt>
                <c:pt idx="5">
                  <c:v>0.55306109951208848</c:v>
                </c:pt>
                <c:pt idx="6">
                  <c:v>0.86934180914037118</c:v>
                </c:pt>
                <c:pt idx="7">
                  <c:v>0.48686298901869163</c:v>
                </c:pt>
                <c:pt idx="8">
                  <c:v>0.82913713141190493</c:v>
                </c:pt>
                <c:pt idx="9">
                  <c:v>0.72120663638043714</c:v>
                </c:pt>
                <c:pt idx="10">
                  <c:v>0.82895313738880028</c:v>
                </c:pt>
                <c:pt idx="11">
                  <c:v>0.80553255543157309</c:v>
                </c:pt>
                <c:pt idx="12">
                  <c:v>0.88351851303384921</c:v>
                </c:pt>
                <c:pt idx="13">
                  <c:v>0.58743735292392274</c:v>
                </c:pt>
                <c:pt idx="14">
                  <c:v>0.56474429330820486</c:v>
                </c:pt>
                <c:pt idx="15">
                  <c:v>0.44772887582174392</c:v>
                </c:pt>
                <c:pt idx="16">
                  <c:v>0.92265854113236179</c:v>
                </c:pt>
                <c:pt idx="17">
                  <c:v>0.69227475751438095</c:v>
                </c:pt>
                <c:pt idx="18">
                  <c:v>0.29292007549048549</c:v>
                </c:pt>
                <c:pt idx="19">
                  <c:v>0.9059246532347176</c:v>
                </c:pt>
                <c:pt idx="21">
                  <c:v>0.31550088663173492</c:v>
                </c:pt>
                <c:pt idx="22">
                  <c:v>9.4677332496912237E-2</c:v>
                </c:pt>
                <c:pt idx="23">
                  <c:v>0.32643361712262886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0.66803386068504489</c:v>
                </c:pt>
                <c:pt idx="22" formatCode="0.00">
                  <c:v>0.68901798036423123</c:v>
                </c:pt>
                <c:pt idx="23" formatCode="0.00">
                  <c:v>9.8474117221330593E-2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0.31073246279005085</c:v>
                </c:pt>
                <c:pt idx="1">
                  <c:v>0.74236173939406924</c:v>
                </c:pt>
                <c:pt idx="2">
                  <c:v>0.63151921670404598</c:v>
                </c:pt>
                <c:pt idx="3">
                  <c:v>0.76387461855434369</c:v>
                </c:pt>
                <c:pt idx="4">
                  <c:v>0.98601716514601734</c:v>
                </c:pt>
                <c:pt idx="5">
                  <c:v>0.86725811459754676</c:v>
                </c:pt>
                <c:pt idx="6">
                  <c:v>0.2190168294792888</c:v>
                </c:pt>
                <c:pt idx="7">
                  <c:v>0.12683416085620769</c:v>
                </c:pt>
                <c:pt idx="8">
                  <c:v>0.59375627606331849</c:v>
                </c:pt>
                <c:pt idx="9">
                  <c:v>0.22000536810801707</c:v>
                </c:pt>
                <c:pt idx="10">
                  <c:v>0.26393770250506154</c:v>
                </c:pt>
                <c:pt idx="11">
                  <c:v>1.4845090440334552E-2</c:v>
                </c:pt>
                <c:pt idx="12">
                  <c:v>0.2662177273013524</c:v>
                </c:pt>
                <c:pt idx="13">
                  <c:v>2.4655311366625354E-2</c:v>
                </c:pt>
                <c:pt idx="14">
                  <c:v>0.31513289888718643</c:v>
                </c:pt>
                <c:pt idx="15">
                  <c:v>0.31098373819057112</c:v>
                </c:pt>
                <c:pt idx="16">
                  <c:v>0.49123883312041539</c:v>
                </c:pt>
                <c:pt idx="17">
                  <c:v>0.72308693112239941</c:v>
                </c:pt>
                <c:pt idx="18">
                  <c:v>0.77805167205697268</c:v>
                </c:pt>
                <c:pt idx="19">
                  <c:v>1.0325787424197652E-2</c:v>
                </c:pt>
                <c:pt idx="21">
                  <c:v>0.47148572595950855</c:v>
                </c:pt>
                <c:pt idx="22">
                  <c:v>0.59684379802052467</c:v>
                </c:pt>
                <c:pt idx="23">
                  <c:v>0.43924418953963751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0.89895482059460974</c:v>
                </c:pt>
                <c:pt idx="1">
                  <c:v>0.86199445849970979</c:v>
                </c:pt>
                <c:pt idx="2">
                  <c:v>0.71442719277723765</c:v>
                </c:pt>
                <c:pt idx="3">
                  <c:v>0.93013185514649421</c:v>
                </c:pt>
                <c:pt idx="4">
                  <c:v>0.9971274845453052</c:v>
                </c:pt>
                <c:pt idx="5">
                  <c:v>0.8684829261040895</c:v>
                </c:pt>
                <c:pt idx="6">
                  <c:v>0.6122200072507592</c:v>
                </c:pt>
                <c:pt idx="7">
                  <c:v>0.99121349027138228</c:v>
                </c:pt>
                <c:pt idx="8">
                  <c:v>0.79623903919309402</c:v>
                </c:pt>
                <c:pt idx="9">
                  <c:v>0.32103409631225155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0.31073246279005085</c:v>
                </c:pt>
                <c:pt idx="1">
                  <c:v>0.74236173939406924</c:v>
                </c:pt>
                <c:pt idx="2">
                  <c:v>0.63151921670404598</c:v>
                </c:pt>
                <c:pt idx="3">
                  <c:v>0.76387461855434369</c:v>
                </c:pt>
                <c:pt idx="4">
                  <c:v>0.98601716514601734</c:v>
                </c:pt>
                <c:pt idx="5">
                  <c:v>0.86725811459754676</c:v>
                </c:pt>
                <c:pt idx="6">
                  <c:v>0.2190168294792888</c:v>
                </c:pt>
                <c:pt idx="7">
                  <c:v>0.12683416085620769</c:v>
                </c:pt>
                <c:pt idx="8">
                  <c:v>0.59375627606331849</c:v>
                </c:pt>
                <c:pt idx="9">
                  <c:v>0.22000536810801707</c:v>
                </c:pt>
                <c:pt idx="10">
                  <c:v>0.26393770250506154</c:v>
                </c:pt>
                <c:pt idx="11">
                  <c:v>1.4845090440334552E-2</c:v>
                </c:pt>
                <c:pt idx="12">
                  <c:v>0.2662177273013524</c:v>
                </c:pt>
                <c:pt idx="13">
                  <c:v>2.4655311366625354E-2</c:v>
                </c:pt>
                <c:pt idx="14">
                  <c:v>0.31513289888718643</c:v>
                </c:pt>
                <c:pt idx="15">
                  <c:v>0.31098373819057112</c:v>
                </c:pt>
                <c:pt idx="16">
                  <c:v>0.49123883312041539</c:v>
                </c:pt>
                <c:pt idx="17">
                  <c:v>0.72308693112239941</c:v>
                </c:pt>
                <c:pt idx="18">
                  <c:v>0.77805167205697268</c:v>
                </c:pt>
                <c:pt idx="19">
                  <c:v>1.0325787424197652E-2</c:v>
                </c:pt>
                <c:pt idx="21">
                  <c:v>0.47148572595950855</c:v>
                </c:pt>
                <c:pt idx="22">
                  <c:v>0.59684379802052467</c:v>
                </c:pt>
                <c:pt idx="23">
                  <c:v>0.43924418953963751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5.9496760715837135E-2</c:v>
                </c:pt>
                <c:pt idx="11">
                  <c:v>3.0545613186366218E-3</c:v>
                </c:pt>
                <c:pt idx="12">
                  <c:v>7.7827753673668079E-2</c:v>
                </c:pt>
                <c:pt idx="13">
                  <c:v>2.1217438980668437E-2</c:v>
                </c:pt>
                <c:pt idx="14">
                  <c:v>0.22812253713493488</c:v>
                </c:pt>
                <c:pt idx="15">
                  <c:v>1.5235118797628377E-2</c:v>
                </c:pt>
                <c:pt idx="16">
                  <c:v>6.6893082362652026E-2</c:v>
                </c:pt>
                <c:pt idx="17">
                  <c:v>0.1522458817543593</c:v>
                </c:pt>
                <c:pt idx="18">
                  <c:v>0.23688851675422509</c:v>
                </c:pt>
                <c:pt idx="19">
                  <c:v>1.2722830738605693E-3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0.31073246279005085</c:v>
                </c:pt>
                <c:pt idx="1">
                  <c:v>0.74236173939406924</c:v>
                </c:pt>
                <c:pt idx="2">
                  <c:v>0.63151921670404598</c:v>
                </c:pt>
                <c:pt idx="3">
                  <c:v>0.76387461855434369</c:v>
                </c:pt>
                <c:pt idx="4">
                  <c:v>0.98601716514601734</c:v>
                </c:pt>
                <c:pt idx="5">
                  <c:v>0.86725811459754676</c:v>
                </c:pt>
                <c:pt idx="6">
                  <c:v>0.2190168294792888</c:v>
                </c:pt>
                <c:pt idx="7">
                  <c:v>0.12683416085620769</c:v>
                </c:pt>
                <c:pt idx="8">
                  <c:v>0.59375627606331849</c:v>
                </c:pt>
                <c:pt idx="9">
                  <c:v>0.22000536810801707</c:v>
                </c:pt>
                <c:pt idx="10">
                  <c:v>0.26393770250506154</c:v>
                </c:pt>
                <c:pt idx="11">
                  <c:v>1.4845090440334552E-2</c:v>
                </c:pt>
                <c:pt idx="12">
                  <c:v>0.2662177273013524</c:v>
                </c:pt>
                <c:pt idx="13">
                  <c:v>2.4655311366625354E-2</c:v>
                </c:pt>
                <c:pt idx="14">
                  <c:v>0.31513289888718643</c:v>
                </c:pt>
                <c:pt idx="15">
                  <c:v>0.31098373819057112</c:v>
                </c:pt>
                <c:pt idx="16">
                  <c:v>0.49123883312041539</c:v>
                </c:pt>
                <c:pt idx="17">
                  <c:v>0.72308693112239941</c:v>
                </c:pt>
                <c:pt idx="18">
                  <c:v>0.77805167205697268</c:v>
                </c:pt>
                <c:pt idx="19">
                  <c:v>1.0325787424197652E-2</c:v>
                </c:pt>
                <c:pt idx="21">
                  <c:v>0.47148572595950855</c:v>
                </c:pt>
                <c:pt idx="22">
                  <c:v>0.59684379802052467</c:v>
                </c:pt>
                <c:pt idx="23">
                  <c:v>0.43924418953963751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0.58321970592128825</c:v>
                </c:pt>
                <c:pt idx="22" formatCode="0.00">
                  <c:v>0.57213790441639811</c:v>
                </c:pt>
                <c:pt idx="23" formatCode="0.00">
                  <c:v>0.9518025646688133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11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install.packages('tidyverse')</a:t>
          </a:r>
        </a:p>
        <a:p>
          <a:r>
            <a:rPr lang="en-US" sz="2000"/>
            <a:t># 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r>
            <a:rPr lang="en-US" sz="2000"/>
            <a:t>preds = predict(fit_lm,marketing)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r>
            <a:rPr lang="en-US" sz="2000"/>
            <a:t># Manual Plot</a:t>
          </a:r>
        </a:p>
        <a:p>
          <a:r>
            <a:rPr lang="en-US" sz="2000"/>
            <a:t>idx_sort = order(marketing$youtube,decreasing = F)</a:t>
          </a:r>
        </a:p>
        <a:p>
          <a:r>
            <a:rPr lang="en-US" sz="2000"/>
            <a:t>preds = predict(object = fit_lm,newdata = marketing)</a:t>
          </a:r>
        </a:p>
        <a:p>
          <a:r>
            <a:rPr lang="en-US" sz="2000"/>
            <a:t>errors = marketing$sales - preds</a:t>
          </a:r>
        </a:p>
        <a:p>
          <a:r>
            <a:rPr lang="en-US" sz="2000"/>
            <a:t>plot(errors[idx_sort])</a:t>
          </a:r>
        </a:p>
      </xdr:txBody>
    </xdr:sp>
    <xdr:clientData/>
  </xdr:twoCellAnchor>
  <xdr:twoCellAnchor editAs="oneCell">
    <xdr:from>
      <xdr:col>10</xdr:col>
      <xdr:colOff>457200</xdr:colOff>
      <xdr:row>1</xdr:row>
      <xdr:rowOff>12700</xdr:rowOff>
    </xdr:from>
    <xdr:to>
      <xdr:col>21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10</xdr:col>
      <xdr:colOff>469900</xdr:colOff>
      <xdr:row>1</xdr:row>
      <xdr:rowOff>0</xdr:rowOff>
    </xdr:from>
    <xdr:to>
      <xdr:col>21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idx_yhat = order(preds)</a:t>
          </a:r>
        </a:p>
        <a:p>
          <a:r>
            <a:rPr lang="en-US" sz="2000"/>
            <a:t>plot(preds,sqrt(abs(std_residual)))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10</xdr:col>
      <xdr:colOff>495300</xdr:colOff>
      <xdr:row>1</xdr:row>
      <xdr:rowOff>12700</xdr:rowOff>
    </xdr:from>
    <xdr:to>
      <xdr:col>21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Leverage Points ####</a:t>
          </a:r>
        </a:p>
        <a:p>
          <a:endParaRPr lang="en-US" sz="1800"/>
        </a:p>
        <a:p>
          <a:r>
            <a:rPr lang="en-US" sz="1800"/>
            <a:t># Automatic Plot</a:t>
          </a:r>
        </a:p>
        <a:p>
          <a:r>
            <a:rPr lang="en-US" sz="1800"/>
            <a:t>plot(fit_lm, 5)</a:t>
          </a:r>
        </a:p>
        <a:p>
          <a:endParaRPr lang="en-US" sz="1800"/>
        </a:p>
        <a:p>
          <a:r>
            <a:rPr lang="en-US" sz="1800"/>
            <a:t># Manual Plot</a:t>
          </a:r>
        </a:p>
        <a:p>
          <a:r>
            <a:rPr lang="en-US" sz="1800"/>
            <a:t>X = cbind(1,as.matrix(marketing$youtube))</a:t>
          </a:r>
        </a:p>
        <a:p>
          <a:r>
            <a:rPr lang="en-US" sz="1800"/>
            <a:t>y = as.matrix(marketing$sales)</a:t>
          </a:r>
        </a:p>
        <a:p>
          <a:r>
            <a:rPr lang="en-US" sz="1800"/>
            <a:t>plot(hatvalues(fit_lm),std_residual,xlim = c(0,max(hatvalues(fit_lm))))</a:t>
          </a:r>
        </a:p>
        <a:p>
          <a:endParaRPr lang="en-US" sz="1800"/>
        </a:p>
        <a:p>
          <a:r>
            <a:rPr lang="en-US" sz="1800"/>
            <a:t># Hat Values</a:t>
          </a:r>
        </a:p>
        <a:p>
          <a:r>
            <a:rPr lang="en-US" sz="1800"/>
            <a:t>H = X %*% solve(t(X) %*% X) %*% t(X)</a:t>
          </a:r>
        </a:p>
        <a:p>
          <a:r>
            <a:rPr lang="en-US" sz="1800"/>
            <a:t>yhat_CF = H %*% y</a:t>
          </a:r>
        </a:p>
        <a:p>
          <a:r>
            <a:rPr lang="en-US" sz="1800"/>
            <a:t>hatvalues(fit_lm)</a:t>
          </a:r>
        </a:p>
        <a:p>
          <a:r>
            <a:rPr lang="en-US" sz="1800"/>
            <a:t>plot(diag(H),hatvalues(fit_lm))</a:t>
          </a:r>
        </a:p>
        <a:p>
          <a:r>
            <a:rPr lang="en-US" sz="1800"/>
            <a:t>abline(0,1,col='green')</a:t>
          </a:r>
        </a:p>
      </xdr:txBody>
    </xdr:sp>
    <xdr:clientData/>
  </xdr:twoCellAnchor>
  <xdr:twoCellAnchor editAs="oneCell">
    <xdr:from>
      <xdr:col>10</xdr:col>
      <xdr:colOff>508000</xdr:colOff>
      <xdr:row>1</xdr:row>
      <xdr:rowOff>0</xdr:rowOff>
    </xdr:from>
    <xdr:to>
      <xdr:col>21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10</xdr:col>
      <xdr:colOff>508000</xdr:colOff>
      <xdr:row>1</xdr:row>
      <xdr:rowOff>0</xdr:rowOff>
    </xdr:from>
    <xdr:to>
      <xdr:col>21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10</xdr:col>
      <xdr:colOff>406400</xdr:colOff>
      <xdr:row>1</xdr:row>
      <xdr:rowOff>12700</xdr:rowOff>
    </xdr:from>
    <xdr:to>
      <xdr:col>21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Basics warm up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2MVIm4m5PMVoHgIivc8hu7DHEQg8jgcF/edit?usp=sharing&amp;ouid=116641273197698817700&amp;rtpof=true&amp;sd=true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en.wikipedia.org/wiki/Precision_and_recall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16</v>
      </c>
    </row>
    <row r="7" spans="2:2" x14ac:dyDescent="0.3">
      <c r="B7" s="1" t="s">
        <v>17</v>
      </c>
    </row>
    <row r="9" spans="2:2" x14ac:dyDescent="0.3">
      <c r="B9" s="1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</v>
      </c>
    </row>
    <row r="4" spans="2:2" x14ac:dyDescent="0.3">
      <c r="B4" s="1" t="s">
        <v>20</v>
      </c>
    </row>
    <row r="6" spans="2:2" x14ac:dyDescent="0.3">
      <c r="B6" s="1" t="s">
        <v>21</v>
      </c>
    </row>
    <row r="8" spans="2:2" x14ac:dyDescent="0.3">
      <c r="B8" s="1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194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53</v>
      </c>
    </row>
    <row r="2" spans="1:1" x14ac:dyDescent="0.3">
      <c r="A2" s="1" t="s">
        <v>0</v>
      </c>
    </row>
    <row r="3" spans="1:1" x14ac:dyDescent="0.3">
      <c r="A3" s="1" t="s">
        <v>195</v>
      </c>
    </row>
    <row r="4" spans="1:1" x14ac:dyDescent="0.3">
      <c r="A4" s="1" t="s">
        <v>54</v>
      </c>
    </row>
    <row r="5" spans="1:1" x14ac:dyDescent="0.3">
      <c r="A5" s="1" t="s">
        <v>206</v>
      </c>
    </row>
    <row r="6" spans="1:1" x14ac:dyDescent="0.3">
      <c r="A6" s="1" t="s">
        <v>55</v>
      </c>
    </row>
    <row r="7" spans="1:1" x14ac:dyDescent="0.3">
      <c r="A7" s="1" t="s">
        <v>56</v>
      </c>
    </row>
    <row r="8" spans="1:1" x14ac:dyDescent="0.3">
      <c r="A8" s="1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>
      <selection activeCell="L2" sqref="L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3.53724081227422</v>
      </c>
      <c r="I2" s="6">
        <f t="shared" si="0"/>
        <v>3.16763067039399</v>
      </c>
      <c r="J2" s="6">
        <f t="shared" si="0"/>
        <v>2.7916560882720365</v>
      </c>
      <c r="K2" s="6">
        <f t="shared" si="0"/>
        <v>2.3937784350541675</v>
      </c>
      <c r="L2" s="6">
        <f t="shared" si="0"/>
        <v>2.0061393525881046</v>
      </c>
      <c r="M2" s="6">
        <f t="shared" si="0"/>
        <v>1.6133587633046131</v>
      </c>
      <c r="N2" s="6">
        <f t="shared" si="0"/>
        <v>1.2262715098414216</v>
      </c>
      <c r="O2" s="6">
        <f t="shared" si="0"/>
        <v>0.81046515912301698</v>
      </c>
      <c r="P2" s="6">
        <f t="shared" si="0"/>
        <v>0.42378193048155105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0.57785254686640464</v>
      </c>
    </row>
    <row r="4" spans="1:17" x14ac:dyDescent="0.2">
      <c r="F4" s="4">
        <f ca="1">D12</f>
        <v>0.84147586058802215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-0.57635861885972395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3.3972648599193276</v>
      </c>
      <c r="I5" s="3">
        <v>3.2942697447581692</v>
      </c>
      <c r="J5" s="3">
        <v>2.6964803181540478</v>
      </c>
      <c r="K5" s="3">
        <v>2.7942254736098175</v>
      </c>
      <c r="L5" s="3">
        <v>2.28205697950404</v>
      </c>
      <c r="M5" s="3">
        <v>1.6821702077876699</v>
      </c>
      <c r="N5" s="3">
        <v>1.248869410857721</v>
      </c>
      <c r="O5" s="3">
        <v>0.93671808318830263</v>
      </c>
      <c r="P5" s="3">
        <v>0.42949504651947407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-0.85656224234748191</v>
      </c>
      <c r="D6" s="5">
        <f ca="1">SUMXMY2(OFFSET(B4,1,0,99),OFFSET(B4,2,0,99))</f>
        <v>119.82941026783845</v>
      </c>
      <c r="F6" s="4">
        <v>2</v>
      </c>
      <c r="G6" s="3">
        <v>3.96</v>
      </c>
      <c r="H6" s="3">
        <v>3.6960260436340073</v>
      </c>
      <c r="I6" s="3">
        <v>3.3368688679200114</v>
      </c>
      <c r="J6" s="3">
        <v>2.4203395632206881</v>
      </c>
      <c r="K6" s="3">
        <v>2.4414245000798478</v>
      </c>
      <c r="L6" s="3">
        <v>1.7340609205728477</v>
      </c>
      <c r="M6" s="3">
        <v>1.7815781208710335</v>
      </c>
      <c r="N6" s="3">
        <v>1.459992668483951</v>
      </c>
      <c r="O6" s="3">
        <v>0.82159358870381405</v>
      </c>
      <c r="P6" s="3">
        <v>0.5495899016495468</v>
      </c>
      <c r="Q6" s="3">
        <v>0</v>
      </c>
    </row>
    <row r="7" spans="1:17" x14ac:dyDescent="0.2">
      <c r="A7" s="2">
        <v>3</v>
      </c>
      <c r="B7" s="2">
        <f t="shared" ca="1" si="1"/>
        <v>-1.6126429542856755</v>
      </c>
      <c r="F7" s="4">
        <v>3</v>
      </c>
      <c r="G7" s="3">
        <v>3.9599999999999995</v>
      </c>
      <c r="H7" s="3">
        <v>3.6796359498833748</v>
      </c>
      <c r="I7" s="3">
        <v>3.1366443993416402</v>
      </c>
      <c r="J7" s="3">
        <v>2.9438906969999583</v>
      </c>
      <c r="K7" s="3">
        <v>2.1413689588617526</v>
      </c>
      <c r="L7" s="3">
        <v>1.7366839437907142</v>
      </c>
      <c r="M7" s="3">
        <v>2.111776700794354</v>
      </c>
      <c r="N7" s="3">
        <v>1.1370139377248443</v>
      </c>
      <c r="O7" s="3">
        <v>0.89567917190427992</v>
      </c>
      <c r="P7" s="3">
        <v>0.69981403801264674</v>
      </c>
      <c r="Q7" s="3">
        <v>0</v>
      </c>
    </row>
    <row r="8" spans="1:17" x14ac:dyDescent="0.2">
      <c r="A8" s="2">
        <v>4</v>
      </c>
      <c r="B8" s="2">
        <f t="shared" ca="1" si="1"/>
        <v>-1.7736005440651399</v>
      </c>
      <c r="D8" s="2" t="s">
        <v>3</v>
      </c>
      <c r="F8" s="4">
        <v>4</v>
      </c>
      <c r="G8" s="3">
        <v>3.9600000000000004</v>
      </c>
      <c r="H8" s="3">
        <v>3.6535719275759266</v>
      </c>
      <c r="I8" s="3">
        <v>3.3057095891954487</v>
      </c>
      <c r="J8" s="3">
        <v>2.6526719571468225</v>
      </c>
      <c r="K8" s="3">
        <v>2.2065275281131256</v>
      </c>
      <c r="L8" s="3">
        <v>2.2171258804792102</v>
      </c>
      <c r="M8" s="3">
        <v>1.7334732731394895</v>
      </c>
      <c r="N8" s="3">
        <v>1.351019444230563</v>
      </c>
      <c r="O8" s="3">
        <v>0.62511496395018207</v>
      </c>
      <c r="P8" s="3">
        <v>0.4762742023724636</v>
      </c>
      <c r="Q8" s="3">
        <v>0</v>
      </c>
    </row>
    <row r="9" spans="1:17" x14ac:dyDescent="0.2">
      <c r="A9" s="2">
        <v>5</v>
      </c>
      <c r="B9" s="2">
        <f t="shared" ca="1" si="1"/>
        <v>-0.44413271613040378</v>
      </c>
      <c r="D9" s="2">
        <f ca="1">SUMSQ(B5:B104)</f>
        <v>142.40385955231304</v>
      </c>
      <c r="F9" s="4">
        <v>5</v>
      </c>
      <c r="G9" s="3">
        <v>3.96</v>
      </c>
      <c r="H9" s="3">
        <v>3.5024149082196794</v>
      </c>
      <c r="I9" s="3">
        <v>3.2754041744685809</v>
      </c>
      <c r="J9" s="3">
        <v>2.6201571985920142</v>
      </c>
      <c r="K9" s="3">
        <v>2.635156864668085</v>
      </c>
      <c r="L9" s="3">
        <v>1.8376874538575758</v>
      </c>
      <c r="M9" s="3">
        <v>1.4421144743838599</v>
      </c>
      <c r="N9" s="3">
        <v>1.2325608989472125</v>
      </c>
      <c r="O9" s="3">
        <v>0.64338643548108532</v>
      </c>
      <c r="P9" s="3">
        <v>0.49469464579601907</v>
      </c>
      <c r="Q9" s="3">
        <v>0</v>
      </c>
    </row>
    <row r="10" spans="1:17" x14ac:dyDescent="0.2">
      <c r="A10" s="2">
        <v>6</v>
      </c>
      <c r="B10" s="2">
        <f t="shared" ca="1" si="1"/>
        <v>-1.6029437361545273</v>
      </c>
      <c r="F10" s="4">
        <v>6</v>
      </c>
      <c r="G10" s="3">
        <v>3.96</v>
      </c>
      <c r="H10" s="3">
        <v>3.4829227173252755</v>
      </c>
      <c r="I10" s="3">
        <v>3.4142736290886844</v>
      </c>
      <c r="J10" s="3">
        <v>2.6986695975992063</v>
      </c>
      <c r="K10" s="3">
        <v>2.4803432860350454</v>
      </c>
      <c r="L10" s="3">
        <v>1.8554851249393345</v>
      </c>
      <c r="M10" s="3">
        <v>1.5639099890383588</v>
      </c>
      <c r="N10" s="3">
        <v>1.3013366812330691</v>
      </c>
      <c r="O10" s="3">
        <v>0.85967334311448618</v>
      </c>
      <c r="P10" s="3">
        <v>0.53502427185782597</v>
      </c>
      <c r="Q10" s="3">
        <v>0</v>
      </c>
    </row>
    <row r="11" spans="1:17" x14ac:dyDescent="0.2">
      <c r="A11" s="2">
        <v>7</v>
      </c>
      <c r="B11" s="2">
        <f t="shared" ca="1" si="1"/>
        <v>-0.68687998131167316</v>
      </c>
      <c r="D11" s="2" t="s">
        <v>2</v>
      </c>
      <c r="F11" s="4">
        <v>7</v>
      </c>
      <c r="G11" s="3">
        <v>3.9600000000000004</v>
      </c>
      <c r="H11" s="3">
        <v>3.4400014277014836</v>
      </c>
      <c r="I11" s="3">
        <v>3.1712759780078157</v>
      </c>
      <c r="J11" s="3">
        <v>2.8806579691905938</v>
      </c>
      <c r="K11" s="3">
        <v>2.2748733194700956</v>
      </c>
      <c r="L11" s="3">
        <v>1.830889102081966</v>
      </c>
      <c r="M11" s="3">
        <v>1.7519667856481465</v>
      </c>
      <c r="N11" s="3">
        <v>1.077843575210778</v>
      </c>
      <c r="O11" s="3">
        <v>0.78679722527057361</v>
      </c>
      <c r="P11" s="3">
        <v>0.33521006779849444</v>
      </c>
      <c r="Q11" s="3">
        <v>0</v>
      </c>
    </row>
    <row r="12" spans="1:17" x14ac:dyDescent="0.2">
      <c r="A12" s="2">
        <v>8</v>
      </c>
      <c r="B12" s="2">
        <f t="shared" ca="1" si="1"/>
        <v>-0.81277360427696133</v>
      </c>
      <c r="D12" s="2">
        <f ca="1">D6/D9</f>
        <v>0.84147586058802215</v>
      </c>
      <c r="F12" s="4">
        <v>8</v>
      </c>
      <c r="G12" s="3">
        <v>3.96</v>
      </c>
      <c r="H12" s="3">
        <v>3.4441087308394489</v>
      </c>
      <c r="I12" s="3">
        <v>3.2075088407005752</v>
      </c>
      <c r="J12" s="3">
        <v>2.5970427937750697</v>
      </c>
      <c r="K12" s="3">
        <v>2.3295778249473846</v>
      </c>
      <c r="L12" s="3">
        <v>2.2177574683158072</v>
      </c>
      <c r="M12" s="3">
        <v>1.8943711955109921</v>
      </c>
      <c r="N12" s="3">
        <v>1.0992092569249552</v>
      </c>
      <c r="O12" s="3">
        <v>0.9818156902311056</v>
      </c>
      <c r="P12" s="3">
        <v>0.17717568792096294</v>
      </c>
      <c r="Q12" s="3">
        <v>0</v>
      </c>
    </row>
    <row r="13" spans="1:17" x14ac:dyDescent="0.2">
      <c r="A13" s="2">
        <v>9</v>
      </c>
      <c r="B13" s="2">
        <f t="shared" ca="1" si="1"/>
        <v>-0.18581769967721581</v>
      </c>
      <c r="F13" s="4">
        <v>9</v>
      </c>
      <c r="G13" s="3">
        <v>3.96</v>
      </c>
      <c r="H13" s="3">
        <v>3.7524698499623192</v>
      </c>
      <c r="I13" s="3">
        <v>3.2411381548092244</v>
      </c>
      <c r="J13" s="3">
        <v>2.7920765561166379</v>
      </c>
      <c r="K13" s="3">
        <v>2.233977642085323</v>
      </c>
      <c r="L13" s="3">
        <v>2.0923235719586111</v>
      </c>
      <c r="M13" s="3">
        <v>1.828416808673998</v>
      </c>
      <c r="N13" s="3">
        <v>1.4304721556801985</v>
      </c>
      <c r="O13" s="3">
        <v>0.57012302719932706</v>
      </c>
      <c r="P13" s="3">
        <v>0.52170146708928633</v>
      </c>
      <c r="Q13" s="3">
        <v>0</v>
      </c>
    </row>
    <row r="14" spans="1:17" x14ac:dyDescent="0.2">
      <c r="A14" s="2">
        <v>10</v>
      </c>
      <c r="B14" s="2">
        <f t="shared" ca="1" si="1"/>
        <v>-2.3303908362357459</v>
      </c>
      <c r="F14" s="4">
        <v>10</v>
      </c>
      <c r="G14" s="3">
        <v>3.9600000000000004</v>
      </c>
      <c r="H14" s="3">
        <v>3.479823844089613</v>
      </c>
      <c r="I14" s="3">
        <v>3.3244571113286452</v>
      </c>
      <c r="J14" s="3">
        <v>2.8643256878127121</v>
      </c>
      <c r="K14" s="3">
        <v>2.1801356098539189</v>
      </c>
      <c r="L14" s="3">
        <v>2.0575696020198508</v>
      </c>
      <c r="M14" s="3">
        <v>1.4979118503504005</v>
      </c>
      <c r="N14" s="3">
        <v>1.3063093736836959</v>
      </c>
      <c r="O14" s="3">
        <v>0.8865492776732915</v>
      </c>
      <c r="P14" s="3">
        <v>0.57787316794839094</v>
      </c>
      <c r="Q14" s="3">
        <v>0</v>
      </c>
    </row>
    <row r="15" spans="1:17" x14ac:dyDescent="0.2">
      <c r="A15" s="2">
        <v>11</v>
      </c>
      <c r="B15" s="2">
        <f t="shared" ca="1" si="1"/>
        <v>-0.30572034473349829</v>
      </c>
      <c r="F15" s="4">
        <v>11</v>
      </c>
      <c r="G15" s="3">
        <v>3.96</v>
      </c>
      <c r="H15" s="3">
        <v>3.45443559873073</v>
      </c>
      <c r="I15" s="3">
        <v>3.2645157580130566</v>
      </c>
      <c r="J15" s="3">
        <v>2.8895106669614665</v>
      </c>
      <c r="K15" s="3">
        <v>2.1641581559874377</v>
      </c>
      <c r="L15" s="3">
        <v>1.9089655481128589</v>
      </c>
      <c r="M15" s="3">
        <v>1.2703300379138147</v>
      </c>
      <c r="N15" s="3">
        <v>1.1298972813857311</v>
      </c>
      <c r="O15" s="3">
        <v>1.0232555724876715</v>
      </c>
      <c r="P15" s="3">
        <v>0.48221340223635673</v>
      </c>
      <c r="Q15" s="3">
        <v>0</v>
      </c>
    </row>
    <row r="16" spans="1:17" x14ac:dyDescent="0.2">
      <c r="A16" s="2">
        <v>12</v>
      </c>
      <c r="B16" s="2">
        <f t="shared" ca="1" si="1"/>
        <v>0.28548846234474706</v>
      </c>
      <c r="F16" s="4">
        <v>12</v>
      </c>
      <c r="G16" s="3">
        <v>3.96</v>
      </c>
      <c r="H16" s="3">
        <v>3.6272699325581663</v>
      </c>
      <c r="I16" s="3">
        <v>3.2649417999705288</v>
      </c>
      <c r="J16" s="3">
        <v>2.8198799284607556</v>
      </c>
      <c r="K16" s="3">
        <v>2.4438938145419065</v>
      </c>
      <c r="L16" s="3">
        <v>2.1768399767166553</v>
      </c>
      <c r="M16" s="3">
        <v>1.7635443929043872</v>
      </c>
      <c r="N16" s="3">
        <v>1.0672307359471473</v>
      </c>
      <c r="O16" s="3">
        <v>0.97138117272276914</v>
      </c>
      <c r="P16" s="3">
        <v>0.60818827026692424</v>
      </c>
      <c r="Q16" s="3">
        <v>0</v>
      </c>
    </row>
    <row r="17" spans="1:17" x14ac:dyDescent="0.2">
      <c r="A17" s="2">
        <v>13</v>
      </c>
      <c r="B17" s="2">
        <f t="shared" ca="1" si="1"/>
        <v>-1.6975895538377777</v>
      </c>
      <c r="F17" s="4">
        <v>13</v>
      </c>
      <c r="G17" s="3">
        <v>3.96</v>
      </c>
      <c r="H17" s="3">
        <v>3.5156183326351655</v>
      </c>
      <c r="I17" s="3">
        <v>3.2690578721557242</v>
      </c>
      <c r="J17" s="3">
        <v>2.8827436463996925</v>
      </c>
      <c r="K17" s="3">
        <v>2.287380059275431</v>
      </c>
      <c r="L17" s="3">
        <v>2.0998804234625066</v>
      </c>
      <c r="M17" s="3">
        <v>1.3405043570386777</v>
      </c>
      <c r="N17" s="3">
        <v>1.2894649296147709</v>
      </c>
      <c r="O17" s="3">
        <v>0.64116564750947291</v>
      </c>
      <c r="P17" s="3">
        <v>0.50427957171742421</v>
      </c>
      <c r="Q17" s="3">
        <v>0</v>
      </c>
    </row>
    <row r="18" spans="1:17" x14ac:dyDescent="0.2">
      <c r="A18" s="2">
        <v>14</v>
      </c>
      <c r="B18" s="2">
        <f t="shared" ca="1" si="1"/>
        <v>-2.1640343763752554</v>
      </c>
      <c r="F18" s="4">
        <v>14</v>
      </c>
      <c r="G18" s="3">
        <v>3.9600000000000004</v>
      </c>
      <c r="H18" s="3">
        <v>3.2098314635561263</v>
      </c>
      <c r="I18" s="3">
        <v>3.5185371427746657</v>
      </c>
      <c r="J18" s="3">
        <v>3.0286302113112953</v>
      </c>
      <c r="K18" s="3">
        <v>2.3330026657211644</v>
      </c>
      <c r="L18" s="3">
        <v>2.2725296271360471</v>
      </c>
      <c r="M18" s="3">
        <v>1.3577207103424198</v>
      </c>
      <c r="N18" s="3">
        <v>0.91092661134263586</v>
      </c>
      <c r="O18" s="3">
        <v>0.99490884534964963</v>
      </c>
      <c r="P18" s="3">
        <v>0.4367308461983187</v>
      </c>
      <c r="Q18" s="3">
        <v>0</v>
      </c>
    </row>
    <row r="19" spans="1:17" x14ac:dyDescent="0.2">
      <c r="A19" s="2">
        <v>15</v>
      </c>
      <c r="B19" s="2">
        <f t="shared" ca="1" si="1"/>
        <v>-0.9487210035102398</v>
      </c>
      <c r="F19" s="4">
        <v>15</v>
      </c>
      <c r="G19" s="3">
        <v>3.96</v>
      </c>
      <c r="H19" s="3">
        <v>3.7549119557982489</v>
      </c>
      <c r="I19" s="3">
        <v>3.0261687211636894</v>
      </c>
      <c r="J19" s="3">
        <v>2.9077285342263237</v>
      </c>
      <c r="K19" s="3">
        <v>1.9988900798491398</v>
      </c>
      <c r="L19" s="3">
        <v>2.0123066001699743</v>
      </c>
      <c r="M19" s="3">
        <v>1.5205900324275536</v>
      </c>
      <c r="N19" s="3">
        <v>0.9122583099808077</v>
      </c>
      <c r="O19" s="3">
        <v>0.93188294107749092</v>
      </c>
      <c r="P19" s="3">
        <v>0.62070317847329448</v>
      </c>
      <c r="Q19" s="3">
        <v>0</v>
      </c>
    </row>
    <row r="20" spans="1:17" x14ac:dyDescent="0.2">
      <c r="A20" s="2">
        <v>16</v>
      </c>
      <c r="B20" s="2">
        <f t="shared" ca="1" si="1"/>
        <v>2.3312542670470537</v>
      </c>
      <c r="F20" s="4">
        <v>16</v>
      </c>
      <c r="G20" s="3">
        <v>3.96</v>
      </c>
      <c r="H20" s="3">
        <v>3.6136847263717251</v>
      </c>
      <c r="I20" s="3">
        <v>3.1366780093834326</v>
      </c>
      <c r="J20" s="3">
        <v>2.8287728184733716</v>
      </c>
      <c r="K20" s="3">
        <v>2.323421040449555</v>
      </c>
      <c r="L20" s="3">
        <v>1.9248149033351258</v>
      </c>
      <c r="M20" s="3">
        <v>2.0356685277775584</v>
      </c>
      <c r="N20" s="3">
        <v>1.2651630898564048</v>
      </c>
      <c r="O20" s="3">
        <v>0.73749753704651233</v>
      </c>
      <c r="P20" s="3">
        <v>0.59896165865230067</v>
      </c>
      <c r="Q20" s="3">
        <v>0</v>
      </c>
    </row>
    <row r="21" spans="1:17" x14ac:dyDescent="0.2">
      <c r="A21" s="2">
        <v>17</v>
      </c>
      <c r="B21" s="2">
        <f t="shared" ca="1" si="1"/>
        <v>1.1977009728061243</v>
      </c>
      <c r="F21" s="4">
        <v>17</v>
      </c>
      <c r="G21" s="3">
        <v>3.96</v>
      </c>
      <c r="H21" s="3">
        <v>3.6105584946254408</v>
      </c>
      <c r="I21" s="3">
        <v>2.9609100835028679</v>
      </c>
      <c r="J21" s="3">
        <v>2.664200673561373</v>
      </c>
      <c r="K21" s="3">
        <v>2.6992482583748076</v>
      </c>
      <c r="L21" s="3">
        <v>2.4380698071938567</v>
      </c>
      <c r="M21" s="3">
        <v>1.8591263742943731</v>
      </c>
      <c r="N21" s="3">
        <v>1.1953423033894219</v>
      </c>
      <c r="O21" s="3">
        <v>0.7758071095465765</v>
      </c>
      <c r="P21" s="3">
        <v>0.41520739667104145</v>
      </c>
      <c r="Q21" s="3">
        <v>0</v>
      </c>
    </row>
    <row r="22" spans="1:17" x14ac:dyDescent="0.2">
      <c r="A22" s="2">
        <v>18</v>
      </c>
      <c r="B22" s="2">
        <f t="shared" ca="1" si="1"/>
        <v>1.0894369964639263</v>
      </c>
      <c r="F22" s="4">
        <v>18</v>
      </c>
      <c r="G22" s="3">
        <v>3.96</v>
      </c>
      <c r="H22" s="3">
        <v>3.6693826486283463</v>
      </c>
      <c r="I22" s="3">
        <v>3.2863786671276238</v>
      </c>
      <c r="J22" s="3">
        <v>2.9923846039078335</v>
      </c>
      <c r="K22" s="3">
        <v>2.5414908397155038</v>
      </c>
      <c r="L22" s="3">
        <v>2.172242436401949</v>
      </c>
      <c r="M22" s="3">
        <v>1.5381837672709451</v>
      </c>
      <c r="N22" s="3">
        <v>0.70874633999542214</v>
      </c>
      <c r="O22" s="3">
        <v>0.96431977992777063</v>
      </c>
      <c r="P22" s="3">
        <v>0.45762224135557938</v>
      </c>
      <c r="Q22" s="3">
        <v>0</v>
      </c>
    </row>
    <row r="23" spans="1:17" x14ac:dyDescent="0.2">
      <c r="A23" s="2">
        <v>19</v>
      </c>
      <c r="B23" s="2">
        <f t="shared" ca="1" si="1"/>
        <v>1.3938908105224443</v>
      </c>
      <c r="F23" s="4">
        <v>19</v>
      </c>
      <c r="G23" s="3">
        <v>3.9599999999999995</v>
      </c>
      <c r="H23" s="3">
        <v>3.6028196295657473</v>
      </c>
      <c r="I23" s="3">
        <v>3.0110427606986838</v>
      </c>
      <c r="J23" s="3">
        <v>2.8075983344287723</v>
      </c>
      <c r="K23" s="3">
        <v>2.4595010055313589</v>
      </c>
      <c r="L23" s="3">
        <v>2.3933588086907172</v>
      </c>
      <c r="M23" s="3">
        <v>1.8909269138734981</v>
      </c>
      <c r="N23" s="3">
        <v>0.85310387769472373</v>
      </c>
      <c r="O23" s="3">
        <v>1.0573483584776897</v>
      </c>
      <c r="P23" s="3">
        <v>0.24736809686770786</v>
      </c>
      <c r="Q23" s="3">
        <v>0</v>
      </c>
    </row>
    <row r="24" spans="1:17" x14ac:dyDescent="0.2">
      <c r="A24" s="2">
        <v>20</v>
      </c>
      <c r="B24" s="2">
        <f t="shared" ca="1" si="1"/>
        <v>0.91512235022915978</v>
      </c>
      <c r="F24" s="4">
        <v>20</v>
      </c>
      <c r="G24" s="3">
        <v>3.96</v>
      </c>
      <c r="H24" s="3">
        <v>3.5864800526978011</v>
      </c>
      <c r="I24" s="3">
        <v>3.4038935865222806</v>
      </c>
      <c r="J24" s="3">
        <v>3.0277102490813101</v>
      </c>
      <c r="K24" s="3">
        <v>2.2487518285258679</v>
      </c>
      <c r="L24" s="3">
        <v>2.1009960465236999</v>
      </c>
      <c r="M24" s="3">
        <v>1.6198387605618587</v>
      </c>
      <c r="N24" s="3">
        <v>1.3228304172646819</v>
      </c>
      <c r="O24" s="3">
        <v>0.869725587065596</v>
      </c>
      <c r="P24" s="3">
        <v>0.43573051847600491</v>
      </c>
      <c r="Q24" s="3">
        <v>0</v>
      </c>
    </row>
    <row r="25" spans="1:17" x14ac:dyDescent="0.2">
      <c r="A25" s="2">
        <v>21</v>
      </c>
      <c r="B25" s="2">
        <f t="shared" ca="1" si="1"/>
        <v>3.3211529520853544E-2</v>
      </c>
      <c r="F25" s="4">
        <v>21</v>
      </c>
      <c r="G25" s="3">
        <v>3.96</v>
      </c>
      <c r="H25" s="3">
        <v>3.4785810710964409</v>
      </c>
      <c r="I25" s="3">
        <v>2.9422008381791307</v>
      </c>
      <c r="J25" s="3">
        <v>2.7638147111371087</v>
      </c>
      <c r="K25" s="3">
        <v>2.4344175801754857</v>
      </c>
      <c r="L25" s="3">
        <v>1.7525537991314961</v>
      </c>
      <c r="M25" s="3">
        <v>1.747060291754079</v>
      </c>
      <c r="N25" s="3">
        <v>1.3362967287984071</v>
      </c>
      <c r="O25" s="3">
        <v>1.166013700992268</v>
      </c>
      <c r="P25" s="3">
        <v>0.48051150602215681</v>
      </c>
      <c r="Q25" s="3">
        <v>0</v>
      </c>
    </row>
    <row r="26" spans="1:17" x14ac:dyDescent="0.2">
      <c r="A26" s="2">
        <v>22</v>
      </c>
      <c r="B26" s="2">
        <f t="shared" ca="1" si="1"/>
        <v>2.1753951356575891</v>
      </c>
      <c r="F26" s="4">
        <v>22</v>
      </c>
      <c r="G26" s="3">
        <v>3.9599999999999995</v>
      </c>
      <c r="H26" s="3">
        <v>3.5992517155271155</v>
      </c>
      <c r="I26" s="3">
        <v>3.2310451389291499</v>
      </c>
      <c r="J26" s="3">
        <v>2.5765053493561432</v>
      </c>
      <c r="K26" s="3">
        <v>2.3061809620527982</v>
      </c>
      <c r="L26" s="3">
        <v>2.1402187230037542</v>
      </c>
      <c r="M26" s="3">
        <v>1.4941124280047511</v>
      </c>
      <c r="N26" s="3">
        <v>1.2376121813042651</v>
      </c>
      <c r="O26" s="3">
        <v>0.86814363804139061</v>
      </c>
      <c r="P26" s="3">
        <v>0.51391522283812785</v>
      </c>
      <c r="Q26" s="3">
        <v>0</v>
      </c>
    </row>
    <row r="27" spans="1:17" x14ac:dyDescent="0.2">
      <c r="A27" s="2">
        <v>23</v>
      </c>
      <c r="B27" s="2">
        <f t="shared" ca="1" si="1"/>
        <v>2.4558719597640639</v>
      </c>
      <c r="F27" s="4">
        <v>23</v>
      </c>
      <c r="G27" s="3">
        <v>3.96</v>
      </c>
      <c r="H27" s="3">
        <v>3.4013367457539605</v>
      </c>
      <c r="I27" s="3">
        <v>3.2263196301958326</v>
      </c>
      <c r="J27" s="3">
        <v>3.0919452186375871</v>
      </c>
      <c r="K27" s="3">
        <v>2.7147152239336401</v>
      </c>
      <c r="L27" s="3">
        <v>1.9931755892816192</v>
      </c>
      <c r="M27" s="3">
        <v>1.9019231239501697</v>
      </c>
      <c r="N27" s="3">
        <v>1.3148681554664274</v>
      </c>
      <c r="O27" s="3">
        <v>1.0907634868630165</v>
      </c>
      <c r="P27" s="3">
        <v>0.30321018207234385</v>
      </c>
      <c r="Q27" s="3">
        <v>0</v>
      </c>
    </row>
    <row r="28" spans="1:17" x14ac:dyDescent="0.2">
      <c r="A28" s="2">
        <v>24</v>
      </c>
      <c r="B28" s="2">
        <f t="shared" ca="1" si="1"/>
        <v>0.98854106916842177</v>
      </c>
      <c r="F28" s="4">
        <v>24</v>
      </c>
      <c r="G28" s="3">
        <v>3.96</v>
      </c>
      <c r="H28" s="3">
        <v>3.5185826842037193</v>
      </c>
      <c r="I28" s="3">
        <v>3.1298452790452043</v>
      </c>
      <c r="J28" s="3">
        <v>2.9496535674652646</v>
      </c>
      <c r="K28" s="3">
        <v>2.5960551610500229</v>
      </c>
      <c r="L28" s="3">
        <v>1.9079195423435809</v>
      </c>
      <c r="M28" s="3">
        <v>1.2622171242435971</v>
      </c>
      <c r="N28" s="3">
        <v>1.3241725091351222</v>
      </c>
      <c r="O28" s="3">
        <v>0.99298886704665457</v>
      </c>
      <c r="P28" s="3">
        <v>0.41342193583915132</v>
      </c>
      <c r="Q28" s="3">
        <v>0</v>
      </c>
    </row>
    <row r="29" spans="1:17" x14ac:dyDescent="0.2">
      <c r="A29" s="2">
        <v>25</v>
      </c>
      <c r="B29" s="2">
        <f t="shared" ca="1" si="1"/>
        <v>1.4291699346194133</v>
      </c>
      <c r="F29" s="4">
        <v>25</v>
      </c>
      <c r="G29" s="3">
        <v>3.96</v>
      </c>
      <c r="H29" s="3">
        <v>3.5695370021374866</v>
      </c>
      <c r="I29" s="3">
        <v>3.2687767087635788</v>
      </c>
      <c r="J29" s="3">
        <v>3.0378289929605122</v>
      </c>
      <c r="K29" s="3">
        <v>2.4121469870276879</v>
      </c>
      <c r="L29" s="3">
        <v>2.2712581141319821</v>
      </c>
      <c r="M29" s="3">
        <v>1.2457607963459223</v>
      </c>
      <c r="N29" s="3">
        <v>0.88088687616966099</v>
      </c>
      <c r="O29" s="3">
        <v>0.82888349451280907</v>
      </c>
      <c r="P29" s="3">
        <v>0.45167693841947593</v>
      </c>
      <c r="Q29" s="3">
        <v>0</v>
      </c>
    </row>
    <row r="30" spans="1:17" x14ac:dyDescent="0.2">
      <c r="A30" s="2">
        <v>26</v>
      </c>
      <c r="B30" s="2">
        <f t="shared" ca="1" si="1"/>
        <v>1.2011970672269692</v>
      </c>
      <c r="F30" s="4">
        <v>26</v>
      </c>
      <c r="G30" s="3">
        <v>3.96</v>
      </c>
      <c r="H30" s="3">
        <v>3.513643689637624</v>
      </c>
      <c r="I30" s="3">
        <v>3.2886795890296789</v>
      </c>
      <c r="J30" s="3">
        <v>2.6209358921845127</v>
      </c>
      <c r="K30" s="3">
        <v>2.6051576480667342</v>
      </c>
      <c r="L30" s="3">
        <v>2.39143331078595</v>
      </c>
      <c r="M30" s="3">
        <v>1.8847528034473888</v>
      </c>
      <c r="N30" s="3">
        <v>1.5256703346698681</v>
      </c>
      <c r="O30" s="3">
        <v>0.76183139399343169</v>
      </c>
      <c r="P30" s="3">
        <v>0.43233417012417924</v>
      </c>
      <c r="Q30" s="3">
        <v>0</v>
      </c>
    </row>
    <row r="31" spans="1:17" x14ac:dyDescent="0.2">
      <c r="A31" s="2">
        <v>27</v>
      </c>
      <c r="B31" s="2">
        <f t="shared" ca="1" si="1"/>
        <v>1.3187049175708467</v>
      </c>
      <c r="F31" s="4">
        <v>27</v>
      </c>
      <c r="G31" s="3">
        <v>3.96</v>
      </c>
      <c r="H31" s="3">
        <v>3.6252775537651893</v>
      </c>
      <c r="I31" s="3">
        <v>3.2920585385403136</v>
      </c>
      <c r="J31" s="3">
        <v>2.7664654346438375</v>
      </c>
      <c r="K31" s="3">
        <v>2.5169597357466547</v>
      </c>
      <c r="L31" s="3">
        <v>1.876754671760376</v>
      </c>
      <c r="M31" s="3">
        <v>1.3721855888808081</v>
      </c>
      <c r="N31" s="3">
        <v>1.7079488457308514</v>
      </c>
      <c r="O31" s="3">
        <v>0.83155376211335874</v>
      </c>
      <c r="P31" s="3">
        <v>0.41502587385452033</v>
      </c>
      <c r="Q31" s="3">
        <v>0</v>
      </c>
    </row>
    <row r="32" spans="1:17" x14ac:dyDescent="0.2">
      <c r="A32" s="2">
        <v>28</v>
      </c>
      <c r="B32" s="2">
        <f t="shared" ca="1" si="1"/>
        <v>-0.27690436455145084</v>
      </c>
      <c r="F32" s="4">
        <v>28</v>
      </c>
      <c r="G32" s="3">
        <v>3.96</v>
      </c>
      <c r="H32" s="3">
        <v>3.5831241374323728</v>
      </c>
      <c r="I32" s="3">
        <v>3.0095955345322212</v>
      </c>
      <c r="J32" s="3">
        <v>2.7821203946800965</v>
      </c>
      <c r="K32" s="3">
        <v>2.4325593683523206</v>
      </c>
      <c r="L32" s="3">
        <v>1.7294630006452838</v>
      </c>
      <c r="M32" s="3">
        <v>1.7774617999228433</v>
      </c>
      <c r="N32" s="3">
        <v>1.6325386052980702</v>
      </c>
      <c r="O32" s="3">
        <v>0.65344126269663061</v>
      </c>
      <c r="P32" s="3">
        <v>0.29754587720673081</v>
      </c>
      <c r="Q32" s="3">
        <v>0</v>
      </c>
    </row>
    <row r="33" spans="1:17" x14ac:dyDescent="0.2">
      <c r="A33" s="2">
        <v>29</v>
      </c>
      <c r="B33" s="2">
        <f t="shared" ca="1" si="1"/>
        <v>-0.90583236510876641</v>
      </c>
      <c r="F33" s="4">
        <v>29</v>
      </c>
      <c r="G33" s="3">
        <v>3.96</v>
      </c>
      <c r="H33" s="3">
        <v>3.4256061089709302</v>
      </c>
      <c r="I33" s="3">
        <v>3.2652499652226012</v>
      </c>
      <c r="J33" s="3">
        <v>2.8772654568512093</v>
      </c>
      <c r="K33" s="3">
        <v>2.4423735379310805</v>
      </c>
      <c r="L33" s="3">
        <v>1.9050398152220731</v>
      </c>
      <c r="M33" s="3">
        <v>1.5079458644545438</v>
      </c>
      <c r="N33" s="3">
        <v>1.1178139246673828</v>
      </c>
      <c r="O33" s="3">
        <v>0.55705974094922317</v>
      </c>
      <c r="P33" s="3">
        <v>0.35869562429607604</v>
      </c>
      <c r="Q33" s="3">
        <v>0</v>
      </c>
    </row>
    <row r="34" spans="1:17" x14ac:dyDescent="0.2">
      <c r="A34" s="2">
        <v>30</v>
      </c>
      <c r="B34" s="2">
        <f t="shared" ca="1" si="1"/>
        <v>-1.267229034719406</v>
      </c>
      <c r="F34" s="4">
        <v>30</v>
      </c>
      <c r="G34" s="3">
        <v>3.96</v>
      </c>
      <c r="H34" s="3">
        <v>3.4213062719434109</v>
      </c>
      <c r="I34" s="3">
        <v>3.0718204787311674</v>
      </c>
      <c r="J34" s="3">
        <v>2.6965050998508855</v>
      </c>
      <c r="K34" s="3">
        <v>2.3755352825489089</v>
      </c>
      <c r="L34" s="3">
        <v>2.2327127593350529</v>
      </c>
      <c r="M34" s="3">
        <v>1.6911347422328364</v>
      </c>
      <c r="N34" s="3">
        <v>1.1543645873365322</v>
      </c>
      <c r="O34" s="3">
        <v>0.75712033259391454</v>
      </c>
      <c r="P34" s="3">
        <v>0.35331378090891491</v>
      </c>
      <c r="Q34" s="3">
        <v>0</v>
      </c>
    </row>
    <row r="35" spans="1:17" x14ac:dyDescent="0.2">
      <c r="A35" s="2">
        <v>31</v>
      </c>
      <c r="B35" s="2">
        <f t="shared" ca="1" si="1"/>
        <v>-1.7290028537052924</v>
      </c>
      <c r="F35" s="4">
        <v>31</v>
      </c>
      <c r="G35" s="3">
        <v>3.96</v>
      </c>
      <c r="H35" s="3">
        <v>3.7184103893272091</v>
      </c>
      <c r="I35" s="3">
        <v>3.0250294272638838</v>
      </c>
      <c r="J35" s="3">
        <v>2.7016174346476598</v>
      </c>
      <c r="K35" s="3">
        <v>2.0919772664294753</v>
      </c>
      <c r="L35" s="3">
        <v>1.858719333259752</v>
      </c>
      <c r="M35" s="3">
        <v>1.5918237257406089</v>
      </c>
      <c r="N35" s="3">
        <v>1.3161014167919818</v>
      </c>
      <c r="O35" s="3">
        <v>0.80844067729238578</v>
      </c>
      <c r="P35" s="3">
        <v>0.28947086913643127</v>
      </c>
      <c r="Q35" s="3">
        <v>0</v>
      </c>
    </row>
    <row r="36" spans="1:17" x14ac:dyDescent="0.2">
      <c r="A36" s="2">
        <v>32</v>
      </c>
      <c r="B36" s="2">
        <f t="shared" ca="1" si="1"/>
        <v>-1.8711580970533599</v>
      </c>
      <c r="F36" s="4">
        <v>32</v>
      </c>
      <c r="G36" s="3">
        <v>3.96</v>
      </c>
      <c r="H36" s="3">
        <v>3.2602039886269987</v>
      </c>
      <c r="I36" s="3">
        <v>3.2962276685588212</v>
      </c>
      <c r="J36" s="3">
        <v>2.9656987207338785</v>
      </c>
      <c r="K36" s="3">
        <v>2.3875443270683152</v>
      </c>
      <c r="L36" s="3">
        <v>1.5612988352248651</v>
      </c>
      <c r="M36" s="3">
        <v>1.8934018902791523</v>
      </c>
      <c r="N36" s="3">
        <v>1.3384290868273478</v>
      </c>
      <c r="O36" s="3">
        <v>0.57156407363943584</v>
      </c>
      <c r="P36" s="3">
        <v>0.53366097999413697</v>
      </c>
      <c r="Q36" s="3">
        <v>0</v>
      </c>
    </row>
    <row r="37" spans="1:17" x14ac:dyDescent="0.2">
      <c r="A37" s="2">
        <v>33</v>
      </c>
      <c r="B37" s="2">
        <f t="shared" ca="1" si="1"/>
        <v>-0.41061398966068308</v>
      </c>
      <c r="F37" s="4">
        <v>33</v>
      </c>
      <c r="G37" s="3">
        <v>3.9600000000000004</v>
      </c>
      <c r="H37" s="3">
        <v>3.5256184652216036</v>
      </c>
      <c r="I37" s="3">
        <v>3.3399374297790141</v>
      </c>
      <c r="J37" s="3">
        <v>2.9936420496204379</v>
      </c>
      <c r="K37" s="3">
        <v>2.5147530544796144</v>
      </c>
      <c r="L37" s="3">
        <v>2.0240164149251498</v>
      </c>
      <c r="M37" s="3">
        <v>1.8553081382754895</v>
      </c>
      <c r="N37" s="3">
        <v>1.111131453278406</v>
      </c>
      <c r="O37" s="3">
        <v>0.75468336984949513</v>
      </c>
      <c r="P37" s="3">
        <v>0.59725096002398748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-0.37556857084126261</v>
      </c>
      <c r="F38" s="4">
        <v>34</v>
      </c>
      <c r="G38" s="3">
        <v>3.96</v>
      </c>
      <c r="H38" s="3">
        <v>3.5521113693364925</v>
      </c>
      <c r="I38" s="3">
        <v>2.4818456414982291</v>
      </c>
      <c r="J38" s="3">
        <v>2.8935003921758078</v>
      </c>
      <c r="K38" s="3">
        <v>2.51220991004053</v>
      </c>
      <c r="L38" s="3">
        <v>2.0404533304349131</v>
      </c>
      <c r="M38" s="3">
        <v>1.9164830099710211</v>
      </c>
      <c r="N38" s="3">
        <v>1.5369611968842147</v>
      </c>
      <c r="O38" s="3">
        <v>0.86111623325061371</v>
      </c>
      <c r="P38" s="3">
        <v>0.33298192064357596</v>
      </c>
      <c r="Q38" s="3">
        <v>0</v>
      </c>
    </row>
    <row r="39" spans="1:17" x14ac:dyDescent="0.2">
      <c r="A39" s="2">
        <v>35</v>
      </c>
      <c r="B39" s="2">
        <f t="shared" ca="1" si="2"/>
        <v>-0.46401886329227143</v>
      </c>
      <c r="F39" s="4">
        <v>35</v>
      </c>
      <c r="G39" s="3">
        <v>3.9600000000000004</v>
      </c>
      <c r="H39" s="3">
        <v>3.5785566026590403</v>
      </c>
      <c r="I39" s="3">
        <v>3.3755928456515152</v>
      </c>
      <c r="J39" s="3">
        <v>2.4404558150744173</v>
      </c>
      <c r="K39" s="3">
        <v>2.2983153280664927</v>
      </c>
      <c r="L39" s="3">
        <v>1.9996353284979933</v>
      </c>
      <c r="M39" s="3">
        <v>1.4575536215772669</v>
      </c>
      <c r="N39" s="3">
        <v>0.99490927669315388</v>
      </c>
      <c r="O39" s="3">
        <v>0.80996235003008332</v>
      </c>
      <c r="P39" s="3">
        <v>0.37507481702792722</v>
      </c>
      <c r="Q39" s="3">
        <v>0</v>
      </c>
    </row>
    <row r="40" spans="1:17" x14ac:dyDescent="0.2">
      <c r="A40" s="2">
        <v>36</v>
      </c>
      <c r="B40" s="2">
        <f t="shared" ca="1" si="2"/>
        <v>-1.8088013141539525</v>
      </c>
      <c r="F40" s="4">
        <v>36</v>
      </c>
      <c r="G40" s="3">
        <v>3.96</v>
      </c>
      <c r="H40" s="3">
        <v>3.4562137163058586</v>
      </c>
      <c r="I40" s="3">
        <v>3.3003598243284844</v>
      </c>
      <c r="J40" s="3">
        <v>2.5034239847131952</v>
      </c>
      <c r="K40" s="3">
        <v>2.1158938329176653</v>
      </c>
      <c r="L40" s="3">
        <v>1.9001876831104674</v>
      </c>
      <c r="M40" s="3">
        <v>1.6294698653598503</v>
      </c>
      <c r="N40" s="3">
        <v>1.3462573023532542</v>
      </c>
      <c r="O40" s="3">
        <v>0.88346478636651871</v>
      </c>
      <c r="P40" s="3">
        <v>0.46160027289177369</v>
      </c>
      <c r="Q40" s="3">
        <v>0</v>
      </c>
    </row>
    <row r="41" spans="1:17" x14ac:dyDescent="0.2">
      <c r="A41" s="2">
        <v>37</v>
      </c>
      <c r="B41" s="2">
        <f t="shared" ca="1" si="2"/>
        <v>-1.2151106915210153</v>
      </c>
      <c r="F41" s="4">
        <v>37</v>
      </c>
      <c r="G41" s="3">
        <v>3.96</v>
      </c>
      <c r="H41" s="3">
        <v>3.7570187947229359</v>
      </c>
      <c r="I41" s="3">
        <v>3.1755350773425328</v>
      </c>
      <c r="J41" s="3">
        <v>2.5437040965967008</v>
      </c>
      <c r="K41" s="3">
        <v>2.5120811559070395</v>
      </c>
      <c r="L41" s="3">
        <v>2.1678399159825799</v>
      </c>
      <c r="M41" s="3">
        <v>1.4355952180490397</v>
      </c>
      <c r="N41" s="3">
        <v>1.0478254857685549</v>
      </c>
      <c r="O41" s="3">
        <v>0.61441657832986418</v>
      </c>
      <c r="P41" s="3">
        <v>0.57114935774371789</v>
      </c>
      <c r="Q41" s="3">
        <v>0</v>
      </c>
    </row>
    <row r="42" spans="1:17" x14ac:dyDescent="0.2">
      <c r="A42" s="2">
        <v>38</v>
      </c>
      <c r="B42" s="2">
        <f t="shared" ca="1" si="2"/>
        <v>-0.15247052088401641</v>
      </c>
      <c r="F42" s="4">
        <v>38</v>
      </c>
      <c r="G42" s="3">
        <v>3.96</v>
      </c>
      <c r="H42" s="3">
        <v>3.5854187723043927</v>
      </c>
      <c r="I42" s="3">
        <v>2.9991438758337954</v>
      </c>
      <c r="J42" s="3">
        <v>2.7733795950567792</v>
      </c>
      <c r="K42" s="3">
        <v>2.0794241302496501</v>
      </c>
      <c r="L42" s="3">
        <v>2.2083448348921655</v>
      </c>
      <c r="M42" s="3">
        <v>1.8066938596241688</v>
      </c>
      <c r="N42" s="3">
        <v>0.9332948374294987</v>
      </c>
      <c r="O42" s="3">
        <v>0.75824516814007781</v>
      </c>
      <c r="P42" s="3">
        <v>0.35701729331198084</v>
      </c>
      <c r="Q42" s="3">
        <v>0</v>
      </c>
    </row>
    <row r="43" spans="1:17" x14ac:dyDescent="0.2">
      <c r="A43" s="2">
        <v>39</v>
      </c>
      <c r="B43" s="2">
        <f t="shared" ca="1" si="2"/>
        <v>-0.58234473630807893</v>
      </c>
      <c r="F43" s="4">
        <v>39</v>
      </c>
      <c r="G43" s="3">
        <v>3.96</v>
      </c>
      <c r="H43" s="3">
        <v>3.3550436689697127</v>
      </c>
      <c r="I43" s="3">
        <v>3.111765616216283</v>
      </c>
      <c r="J43" s="3">
        <v>2.8973064874522239</v>
      </c>
      <c r="K43" s="3">
        <v>2.104425141702619</v>
      </c>
      <c r="L43" s="3">
        <v>2.0029211338046231</v>
      </c>
      <c r="M43" s="3">
        <v>1.6347767811912401</v>
      </c>
      <c r="N43" s="3">
        <v>1.2833435910842501</v>
      </c>
      <c r="O43" s="3">
        <v>1.1116365056067774</v>
      </c>
      <c r="P43" s="3">
        <v>0.37375507870062236</v>
      </c>
      <c r="Q43" s="3">
        <v>0</v>
      </c>
    </row>
    <row r="44" spans="1:17" x14ac:dyDescent="0.2">
      <c r="A44" s="2">
        <v>40</v>
      </c>
      <c r="B44" s="2">
        <f t="shared" ca="1" si="2"/>
        <v>0.49149811193085335</v>
      </c>
      <c r="F44" s="4">
        <v>40</v>
      </c>
      <c r="G44" s="3">
        <v>3.96</v>
      </c>
      <c r="H44" s="3">
        <v>3.7199947931824582</v>
      </c>
      <c r="I44" s="3">
        <v>3.1986243033011363</v>
      </c>
      <c r="J44" s="3">
        <v>2.8510746686156399</v>
      </c>
      <c r="K44" s="3">
        <v>2.0155813922712298</v>
      </c>
      <c r="L44" s="3">
        <v>1.7069631294656331</v>
      </c>
      <c r="M44" s="3">
        <v>1.4971686954969528</v>
      </c>
      <c r="N44" s="3">
        <v>1.2106181721000173</v>
      </c>
      <c r="O44" s="3">
        <v>0.94421401690499052</v>
      </c>
      <c r="P44" s="3">
        <v>0.46313609082137053</v>
      </c>
      <c r="Q44" s="3">
        <v>0</v>
      </c>
    </row>
    <row r="45" spans="1:17" x14ac:dyDescent="0.2">
      <c r="A45" s="2">
        <v>41</v>
      </c>
      <c r="B45" s="2">
        <f t="shared" ca="1" si="2"/>
        <v>0.35265507479870417</v>
      </c>
      <c r="F45" s="4">
        <v>41</v>
      </c>
      <c r="G45" s="3">
        <v>3.96</v>
      </c>
      <c r="H45" s="3">
        <v>2.9944201883781645</v>
      </c>
      <c r="I45" s="3">
        <v>2.9747447560934561</v>
      </c>
      <c r="J45" s="3">
        <v>2.7818225440221629</v>
      </c>
      <c r="K45" s="3">
        <v>2.5396010751106961</v>
      </c>
      <c r="L45" s="3">
        <v>1.7985099439800096</v>
      </c>
      <c r="M45" s="3">
        <v>1.7769662850902759</v>
      </c>
      <c r="N45" s="3">
        <v>1.5092112363182992</v>
      </c>
      <c r="O45" s="3">
        <v>0.89691053877260773</v>
      </c>
      <c r="P45" s="3">
        <v>0.30028226634792538</v>
      </c>
      <c r="Q45" s="3">
        <v>0</v>
      </c>
    </row>
    <row r="46" spans="1:17" x14ac:dyDescent="0.2">
      <c r="A46" s="2">
        <v>42</v>
      </c>
      <c r="B46" s="2">
        <f t="shared" ca="1" si="2"/>
        <v>0.83725172242072587</v>
      </c>
      <c r="F46" s="4">
        <v>42</v>
      </c>
      <c r="G46" s="3">
        <v>3.96</v>
      </c>
      <c r="H46" s="3">
        <v>3.7162735815873997</v>
      </c>
      <c r="I46" s="3">
        <v>3.1747898222908164</v>
      </c>
      <c r="J46" s="3">
        <v>2.805868858012273</v>
      </c>
      <c r="K46" s="3">
        <v>2.2429382920741294</v>
      </c>
      <c r="L46" s="3">
        <v>1.6033963432918137</v>
      </c>
      <c r="M46" s="3">
        <v>1.9294957276224258</v>
      </c>
      <c r="N46" s="3">
        <v>1.1250602092849005</v>
      </c>
      <c r="O46" s="3">
        <v>0.84393318534456818</v>
      </c>
      <c r="P46" s="3">
        <v>0.29303959514197342</v>
      </c>
      <c r="Q46" s="3">
        <v>0</v>
      </c>
    </row>
    <row r="47" spans="1:17" x14ac:dyDescent="0.2">
      <c r="A47" s="2">
        <v>43</v>
      </c>
      <c r="B47" s="2">
        <f t="shared" ca="1" si="2"/>
        <v>-0.34689214797503198</v>
      </c>
      <c r="F47" s="4">
        <v>43</v>
      </c>
      <c r="G47" s="3">
        <v>3.9600000000000004</v>
      </c>
      <c r="H47" s="3">
        <v>3.514137129462847</v>
      </c>
      <c r="I47" s="3">
        <v>3.4333164044989304</v>
      </c>
      <c r="J47" s="3">
        <v>2.9026378303306726</v>
      </c>
      <c r="K47" s="3">
        <v>2.2720253810154505</v>
      </c>
      <c r="L47" s="3">
        <v>1.7966090113272333</v>
      </c>
      <c r="M47" s="3">
        <v>1.8713954141077551</v>
      </c>
      <c r="N47" s="3">
        <v>1.3840341554585507</v>
      </c>
      <c r="O47" s="3">
        <v>0.82653583075578541</v>
      </c>
      <c r="P47" s="3">
        <v>0.22883924515811846</v>
      </c>
      <c r="Q47" s="3">
        <v>0</v>
      </c>
    </row>
    <row r="48" spans="1:17" x14ac:dyDescent="0.2">
      <c r="A48" s="2">
        <v>44</v>
      </c>
      <c r="B48" s="2">
        <f t="shared" ca="1" si="2"/>
        <v>-1.1994381405867567</v>
      </c>
      <c r="F48" s="4">
        <v>44</v>
      </c>
      <c r="G48" s="3">
        <v>3.9600000000000004</v>
      </c>
      <c r="H48" s="3">
        <v>3.6996089302777087</v>
      </c>
      <c r="I48" s="3">
        <v>3.0749982150239736</v>
      </c>
      <c r="J48" s="3">
        <v>2.7810389061831211</v>
      </c>
      <c r="K48" s="3">
        <v>2.6631887579150151</v>
      </c>
      <c r="L48" s="3">
        <v>2.1361428585278865</v>
      </c>
      <c r="M48" s="3">
        <v>1.5675416303500402</v>
      </c>
      <c r="N48" s="3">
        <v>1.684495373077032</v>
      </c>
      <c r="O48" s="3">
        <v>0.72670602780551097</v>
      </c>
      <c r="P48" s="3">
        <v>0.22469099651748545</v>
      </c>
      <c r="Q48" s="3">
        <v>0</v>
      </c>
    </row>
    <row r="49" spans="1:17" x14ac:dyDescent="0.2">
      <c r="A49" s="2">
        <v>45</v>
      </c>
      <c r="B49" s="2">
        <f t="shared" ca="1" si="2"/>
        <v>-0.39139849676341842</v>
      </c>
      <c r="F49" s="4">
        <v>45</v>
      </c>
      <c r="G49" s="3">
        <v>3.9600000000000004</v>
      </c>
      <c r="H49" s="3">
        <v>3.4638790103758406</v>
      </c>
      <c r="I49" s="3">
        <v>3.2488458886738325</v>
      </c>
      <c r="J49" s="3">
        <v>2.909358836152816</v>
      </c>
      <c r="K49" s="3">
        <v>2.5075212958473649</v>
      </c>
      <c r="L49" s="3">
        <v>1.8227235178415679</v>
      </c>
      <c r="M49" s="3">
        <v>1.6244684372628042</v>
      </c>
      <c r="N49" s="3">
        <v>1.2565067317759735</v>
      </c>
      <c r="O49" s="3">
        <v>0.76591014533122481</v>
      </c>
      <c r="P49" s="3">
        <v>0.55835667436270153</v>
      </c>
      <c r="Q49" s="3">
        <v>0</v>
      </c>
    </row>
    <row r="50" spans="1:17" x14ac:dyDescent="0.2">
      <c r="A50" s="2">
        <v>46</v>
      </c>
      <c r="B50" s="2">
        <f t="shared" ca="1" si="2"/>
        <v>-0.95779526307125362</v>
      </c>
      <c r="F50" s="4">
        <v>46</v>
      </c>
      <c r="G50" s="3">
        <v>3.96</v>
      </c>
      <c r="H50" s="3">
        <v>3.3115907153610702</v>
      </c>
      <c r="I50" s="3">
        <v>3.424456591745066</v>
      </c>
      <c r="J50" s="3">
        <v>2.7626525689597869</v>
      </c>
      <c r="K50" s="3">
        <v>2.2638460411500541</v>
      </c>
      <c r="L50" s="3">
        <v>1.9973845440959601</v>
      </c>
      <c r="M50" s="3">
        <v>1.4914284585902069</v>
      </c>
      <c r="N50" s="3">
        <v>1.650724847691398</v>
      </c>
      <c r="O50" s="3">
        <v>0.7191094497061199</v>
      </c>
      <c r="P50" s="3">
        <v>0.42874725846929984</v>
      </c>
      <c r="Q50" s="3">
        <v>0</v>
      </c>
    </row>
    <row r="51" spans="1:17" x14ac:dyDescent="0.2">
      <c r="A51" s="2">
        <v>47</v>
      </c>
      <c r="B51" s="2">
        <f t="shared" ca="1" si="2"/>
        <v>0.89638070707974626</v>
      </c>
      <c r="F51" s="4">
        <v>47</v>
      </c>
      <c r="G51" s="3">
        <v>3.96</v>
      </c>
      <c r="H51" s="3">
        <v>3.2394381896232058</v>
      </c>
      <c r="I51" s="3">
        <v>3.083836946209527</v>
      </c>
      <c r="J51" s="3">
        <v>2.5695228648416011</v>
      </c>
      <c r="K51" s="3">
        <v>2.570183792525838</v>
      </c>
      <c r="L51" s="3">
        <v>1.8516856066510583</v>
      </c>
      <c r="M51" s="3">
        <v>1.3473620137417075</v>
      </c>
      <c r="N51" s="3">
        <v>1.0786661255784393</v>
      </c>
      <c r="O51" s="3">
        <v>0.7503225202848457</v>
      </c>
      <c r="P51" s="3">
        <v>0.31212762981235209</v>
      </c>
      <c r="Q51" s="3">
        <v>0</v>
      </c>
    </row>
    <row r="52" spans="1:17" x14ac:dyDescent="0.2">
      <c r="A52" s="2">
        <v>48</v>
      </c>
      <c r="B52" s="2">
        <f t="shared" ca="1" si="2"/>
        <v>-0.57000184474173021</v>
      </c>
      <c r="F52" s="4">
        <v>48</v>
      </c>
      <c r="G52" s="3">
        <v>3.96</v>
      </c>
      <c r="H52" s="3">
        <v>3.5739109372588427</v>
      </c>
      <c r="I52" s="3">
        <v>2.9318146661134401</v>
      </c>
      <c r="J52" s="3">
        <v>2.8932993635976718</v>
      </c>
      <c r="K52" s="3">
        <v>1.9638386496474687</v>
      </c>
      <c r="L52" s="3">
        <v>2.3079085563398958</v>
      </c>
      <c r="M52" s="3">
        <v>1.3899572724793594</v>
      </c>
      <c r="N52" s="3">
        <v>1.1695466714646341</v>
      </c>
      <c r="O52" s="3">
        <v>0.93106755776926675</v>
      </c>
      <c r="P52" s="3">
        <v>0.29259299786330262</v>
      </c>
      <c r="Q52" s="3">
        <v>0</v>
      </c>
    </row>
    <row r="53" spans="1:17" x14ac:dyDescent="0.2">
      <c r="A53" s="2">
        <v>49</v>
      </c>
      <c r="B53" s="2">
        <f t="shared" ca="1" si="2"/>
        <v>-2.601875529614611</v>
      </c>
      <c r="F53" s="4">
        <v>49</v>
      </c>
      <c r="G53" s="3">
        <v>3.9599999999999995</v>
      </c>
      <c r="H53" s="3">
        <v>3.6673202298623013</v>
      </c>
      <c r="I53" s="3">
        <v>3.0955884644602811</v>
      </c>
      <c r="J53" s="3">
        <v>2.9515685766644792</v>
      </c>
      <c r="K53" s="3">
        <v>2.6872112475888432</v>
      </c>
      <c r="L53" s="3">
        <v>1.555292573507614</v>
      </c>
      <c r="M53" s="3">
        <v>1.7114394292544826</v>
      </c>
      <c r="N53" s="3">
        <v>1.1013527052151433</v>
      </c>
      <c r="O53" s="3">
        <v>0.84348411032382897</v>
      </c>
      <c r="P53" s="3">
        <v>0.44698186452015914</v>
      </c>
      <c r="Q53" s="3">
        <v>0</v>
      </c>
    </row>
    <row r="54" spans="1:17" x14ac:dyDescent="0.2">
      <c r="A54" s="2">
        <v>50</v>
      </c>
      <c r="B54" s="2">
        <f t="shared" ca="1" si="2"/>
        <v>-0.86784508019736684</v>
      </c>
      <c r="F54" s="4">
        <v>50</v>
      </c>
      <c r="G54" s="3">
        <v>3.96</v>
      </c>
      <c r="H54" s="3">
        <v>3.4682916538708501</v>
      </c>
      <c r="I54" s="3">
        <v>3.2388292220116957</v>
      </c>
      <c r="J54" s="3">
        <v>3.0186635965196813</v>
      </c>
      <c r="K54" s="3">
        <v>2.600210457854208</v>
      </c>
      <c r="L54" s="3">
        <v>1.9495062821727644</v>
      </c>
      <c r="M54" s="3">
        <v>1.7522426026380102</v>
      </c>
      <c r="N54" s="3">
        <v>1.0127270302455675</v>
      </c>
      <c r="O54" s="3">
        <v>0.70738424337231443</v>
      </c>
      <c r="P54" s="3">
        <v>0.59895652074578798</v>
      </c>
      <c r="Q54" s="3">
        <v>0</v>
      </c>
    </row>
    <row r="55" spans="1:17" x14ac:dyDescent="0.2">
      <c r="A55" s="2">
        <v>51</v>
      </c>
      <c r="B55" s="2">
        <f t="shared" ca="1" si="2"/>
        <v>-1.0230617183467943</v>
      </c>
      <c r="F55" s="4">
        <v>51</v>
      </c>
      <c r="G55" s="3">
        <v>3.96</v>
      </c>
      <c r="H55" s="3">
        <v>3.4587408534968151</v>
      </c>
      <c r="I55" s="3">
        <v>3.109335200242112</v>
      </c>
      <c r="J55" s="3">
        <v>2.9244780222935596</v>
      </c>
      <c r="K55" s="3">
        <v>2.2083879660157093</v>
      </c>
      <c r="L55" s="3">
        <v>2.0698615303799417</v>
      </c>
      <c r="M55" s="3">
        <v>1.5743570325369411</v>
      </c>
      <c r="N55" s="3">
        <v>1.1118232782207393</v>
      </c>
      <c r="O55" s="3">
        <v>0.69075562197835616</v>
      </c>
      <c r="P55" s="3">
        <v>0.38581058388800327</v>
      </c>
      <c r="Q55" s="3">
        <v>0</v>
      </c>
    </row>
    <row r="56" spans="1:17" x14ac:dyDescent="0.2">
      <c r="A56" s="2">
        <v>52</v>
      </c>
      <c r="B56" s="2">
        <f t="shared" ca="1" si="2"/>
        <v>0.55574421833318111</v>
      </c>
      <c r="F56" s="4">
        <v>52</v>
      </c>
      <c r="G56" s="3">
        <v>3.9600000000000004</v>
      </c>
      <c r="H56" s="3">
        <v>3.6250607114357547</v>
      </c>
      <c r="I56" s="3">
        <v>3.2806443884988177</v>
      </c>
      <c r="J56" s="3">
        <v>3.0075709257051977</v>
      </c>
      <c r="K56" s="3">
        <v>2.4345377469710732</v>
      </c>
      <c r="L56" s="3">
        <v>1.7006945499513784</v>
      </c>
      <c r="M56" s="3">
        <v>1.3838929195620433</v>
      </c>
      <c r="N56" s="3">
        <v>1.0665129561721998</v>
      </c>
      <c r="O56" s="3">
        <v>0.50626408706832271</v>
      </c>
      <c r="P56" s="3">
        <v>0.45463779874279669</v>
      </c>
      <c r="Q56" s="3">
        <v>0</v>
      </c>
    </row>
    <row r="57" spans="1:17" x14ac:dyDescent="0.2">
      <c r="A57" s="2">
        <v>53</v>
      </c>
      <c r="B57" s="2">
        <f t="shared" ca="1" si="2"/>
        <v>0.3245046069845175</v>
      </c>
      <c r="F57" s="4">
        <v>53</v>
      </c>
      <c r="G57" s="3">
        <v>3.96</v>
      </c>
      <c r="H57" s="3">
        <v>3.665714633160988</v>
      </c>
      <c r="I57" s="3">
        <v>3.1710185276271319</v>
      </c>
      <c r="J57" s="3">
        <v>2.8394847346546594</v>
      </c>
      <c r="K57" s="3">
        <v>2.3230134835540444</v>
      </c>
      <c r="L57" s="3">
        <v>2.1672180490080137</v>
      </c>
      <c r="M57" s="3">
        <v>1.7279060856035948</v>
      </c>
      <c r="N57" s="3">
        <v>1.0742252879415986</v>
      </c>
      <c r="O57" s="3">
        <v>0.95382569291328301</v>
      </c>
      <c r="P57" s="3">
        <v>0.36508149197765188</v>
      </c>
      <c r="Q57" s="3">
        <v>0</v>
      </c>
    </row>
    <row r="58" spans="1:17" x14ac:dyDescent="0.2">
      <c r="A58" s="2">
        <v>54</v>
      </c>
      <c r="B58" s="2">
        <f t="shared" ca="1" si="2"/>
        <v>-1.0433683149463977</v>
      </c>
      <c r="F58" s="4">
        <v>54</v>
      </c>
      <c r="G58" s="3">
        <v>3.96</v>
      </c>
      <c r="H58" s="3">
        <v>3.3339924612439309</v>
      </c>
      <c r="I58" s="3">
        <v>3.0914631265410839</v>
      </c>
      <c r="J58" s="3">
        <v>2.6363630409433609</v>
      </c>
      <c r="K58" s="3">
        <v>2.4653084868737256</v>
      </c>
      <c r="L58" s="3">
        <v>1.9772421499972834</v>
      </c>
      <c r="M58" s="3">
        <v>1.4057963292063642</v>
      </c>
      <c r="N58" s="3">
        <v>1.0130676740886999</v>
      </c>
      <c r="O58" s="3">
        <v>0.73601601638313841</v>
      </c>
      <c r="P58" s="3">
        <v>0.51631898888558792</v>
      </c>
      <c r="Q58" s="3">
        <v>0</v>
      </c>
    </row>
    <row r="59" spans="1:17" x14ac:dyDescent="0.2">
      <c r="A59" s="2">
        <v>55</v>
      </c>
      <c r="B59" s="2">
        <f t="shared" ca="1" si="2"/>
        <v>-1.6557806205218943</v>
      </c>
      <c r="F59" s="4">
        <v>55</v>
      </c>
      <c r="G59" s="3">
        <v>3.96</v>
      </c>
      <c r="H59" s="3">
        <v>3.5669722708085598</v>
      </c>
      <c r="I59" s="3">
        <v>3.3719242576491313</v>
      </c>
      <c r="J59" s="3">
        <v>2.6754209272873775</v>
      </c>
      <c r="K59" s="3">
        <v>2.6479844196248803</v>
      </c>
      <c r="L59" s="3">
        <v>2.2507298457103158</v>
      </c>
      <c r="M59" s="3">
        <v>1.6766706012658918</v>
      </c>
      <c r="N59" s="3">
        <v>1.6051589276349028</v>
      </c>
      <c r="O59" s="3">
        <v>1.1465471574710369</v>
      </c>
      <c r="P59" s="3">
        <v>0.27319073098130525</v>
      </c>
      <c r="Q59" s="3">
        <v>0</v>
      </c>
    </row>
    <row r="60" spans="1:17" x14ac:dyDescent="0.2">
      <c r="A60" s="2">
        <v>56</v>
      </c>
      <c r="B60" s="2">
        <f t="shared" ca="1" si="2"/>
        <v>-1.2932622908539217</v>
      </c>
      <c r="F60" s="4">
        <v>56</v>
      </c>
      <c r="G60" s="3">
        <v>3.96</v>
      </c>
      <c r="H60" s="3">
        <v>3.4825238729177559</v>
      </c>
      <c r="I60" s="3">
        <v>3.0836503284049614</v>
      </c>
      <c r="J60" s="3">
        <v>2.3325855045198765</v>
      </c>
      <c r="K60" s="3">
        <v>2.6245975008205984</v>
      </c>
      <c r="L60" s="3">
        <v>2.5105288232857665</v>
      </c>
      <c r="M60" s="3">
        <v>1.7595211678374008</v>
      </c>
      <c r="N60" s="3">
        <v>1.4461351305690668</v>
      </c>
      <c r="O60" s="3">
        <v>1.0980138700148145</v>
      </c>
      <c r="P60" s="3">
        <v>0.35152096897626101</v>
      </c>
      <c r="Q60" s="3">
        <v>0</v>
      </c>
    </row>
    <row r="61" spans="1:17" x14ac:dyDescent="0.2">
      <c r="A61" s="2">
        <v>57</v>
      </c>
      <c r="B61" s="2">
        <f t="shared" ca="1" si="2"/>
        <v>0.59270970584328841</v>
      </c>
      <c r="F61" s="4">
        <v>57</v>
      </c>
      <c r="G61" s="3">
        <v>3.96</v>
      </c>
      <c r="H61" s="3">
        <v>3.4976585346172331</v>
      </c>
      <c r="I61" s="3">
        <v>3.1353505994721296</v>
      </c>
      <c r="J61" s="3">
        <v>2.4828303661016924</v>
      </c>
      <c r="K61" s="3">
        <v>2.2670172341131809</v>
      </c>
      <c r="L61" s="3">
        <v>2.1189798109453473</v>
      </c>
      <c r="M61" s="3">
        <v>1.628613102272032</v>
      </c>
      <c r="N61" s="3">
        <v>1.341609572187608</v>
      </c>
      <c r="O61" s="3">
        <v>0.89849275168797904</v>
      </c>
      <c r="P61" s="3">
        <v>0.32515261898981385</v>
      </c>
      <c r="Q61" s="3">
        <v>0</v>
      </c>
    </row>
    <row r="62" spans="1:17" x14ac:dyDescent="0.2">
      <c r="A62" s="2">
        <v>58</v>
      </c>
      <c r="B62" s="2">
        <f t="shared" ca="1" si="2"/>
        <v>-1.0630204555079019</v>
      </c>
      <c r="F62" s="4">
        <v>58</v>
      </c>
      <c r="G62" s="3">
        <v>3.96</v>
      </c>
      <c r="H62" s="3">
        <v>3.6753933920828632</v>
      </c>
      <c r="I62" s="3">
        <v>3.2508282042389158</v>
      </c>
      <c r="J62" s="3">
        <v>3.0885343624847543</v>
      </c>
      <c r="K62" s="3">
        <v>2.4667410782000689</v>
      </c>
      <c r="L62" s="3">
        <v>2.0110817983608693</v>
      </c>
      <c r="M62" s="3">
        <v>1.7454464846856823</v>
      </c>
      <c r="N62" s="3">
        <v>1.2368805026349365</v>
      </c>
      <c r="O62" s="3">
        <v>0.93829242955110803</v>
      </c>
      <c r="P62" s="3">
        <v>0.40822588314533687</v>
      </c>
      <c r="Q62" s="3">
        <v>0</v>
      </c>
    </row>
    <row r="63" spans="1:17" x14ac:dyDescent="0.2">
      <c r="A63" s="2">
        <v>59</v>
      </c>
      <c r="B63" s="2">
        <f t="shared" ca="1" si="2"/>
        <v>0.16285218527008449</v>
      </c>
      <c r="F63" s="4">
        <v>59</v>
      </c>
      <c r="G63" s="3">
        <v>3.96</v>
      </c>
      <c r="H63" s="3">
        <v>3.4827925544765801</v>
      </c>
      <c r="I63" s="3">
        <v>3.27186726710003</v>
      </c>
      <c r="J63" s="3">
        <v>2.8288909880818882</v>
      </c>
      <c r="K63" s="3">
        <v>2.1457177473554339</v>
      </c>
      <c r="L63" s="3">
        <v>1.6847259813415305</v>
      </c>
      <c r="M63" s="3">
        <v>1.4940838595584829</v>
      </c>
      <c r="N63" s="3">
        <v>1.0701691477553616</v>
      </c>
      <c r="O63" s="3">
        <v>0.93693303066154277</v>
      </c>
      <c r="P63" s="3">
        <v>0.43642837809948171</v>
      </c>
      <c r="Q63" s="3">
        <v>0</v>
      </c>
    </row>
    <row r="64" spans="1:17" x14ac:dyDescent="0.2">
      <c r="A64" s="2">
        <v>60</v>
      </c>
      <c r="B64" s="2">
        <f t="shared" ca="1" si="2"/>
        <v>0.65093139861010552</v>
      </c>
      <c r="F64" s="4">
        <v>60</v>
      </c>
      <c r="G64" s="3">
        <v>3.96</v>
      </c>
      <c r="H64" s="3">
        <v>3.5759882205314741</v>
      </c>
      <c r="I64" s="3">
        <v>3.2547067457611161</v>
      </c>
      <c r="J64" s="3">
        <v>2.9045301169153759</v>
      </c>
      <c r="K64" s="3">
        <v>2.2859176993227068</v>
      </c>
      <c r="L64" s="3">
        <v>2.1307755890105282</v>
      </c>
      <c r="M64" s="3">
        <v>1.7285568544839081</v>
      </c>
      <c r="N64" s="3">
        <v>1.2292716913797432</v>
      </c>
      <c r="O64" s="3">
        <v>0.72756589836055785</v>
      </c>
      <c r="P64" s="3">
        <v>0.63549044366252327</v>
      </c>
      <c r="Q64" s="3">
        <v>0</v>
      </c>
    </row>
    <row r="65" spans="1:17" x14ac:dyDescent="0.2">
      <c r="A65" s="2">
        <v>61</v>
      </c>
      <c r="B65" s="2">
        <f t="shared" ca="1" si="2"/>
        <v>1.0252072185054575</v>
      </c>
      <c r="F65" s="4">
        <v>61</v>
      </c>
      <c r="G65" s="3">
        <v>3.96</v>
      </c>
      <c r="H65" s="3">
        <v>3.4660075692235606</v>
      </c>
      <c r="I65" s="3">
        <v>3.2001215395908438</v>
      </c>
      <c r="J65" s="3">
        <v>2.9122636661324379</v>
      </c>
      <c r="K65" s="3">
        <v>2.5018359824454253</v>
      </c>
      <c r="L65" s="3">
        <v>2.0417561684962688</v>
      </c>
      <c r="M65" s="3">
        <v>1.7003121453214787</v>
      </c>
      <c r="N65" s="3">
        <v>1.2292490547680333</v>
      </c>
      <c r="O65" s="3">
        <v>0.78475155060627988</v>
      </c>
      <c r="P65" s="3">
        <v>0.21463222249828201</v>
      </c>
      <c r="Q65" s="3">
        <v>0</v>
      </c>
    </row>
    <row r="66" spans="1:17" x14ac:dyDescent="0.2">
      <c r="A66" s="2">
        <v>62</v>
      </c>
      <c r="B66" s="2">
        <f t="shared" ca="1" si="2"/>
        <v>0.21923564748244695</v>
      </c>
      <c r="F66" s="4">
        <v>62</v>
      </c>
      <c r="G66" s="3">
        <v>3.96</v>
      </c>
      <c r="H66" s="3">
        <v>3.6625724403658539</v>
      </c>
      <c r="I66" s="3">
        <v>3.199334493614681</v>
      </c>
      <c r="J66" s="3">
        <v>3.1041613049491308</v>
      </c>
      <c r="K66" s="3">
        <v>2.4506059901482198</v>
      </c>
      <c r="L66" s="3">
        <v>1.9825391424560384</v>
      </c>
      <c r="M66" s="3">
        <v>1.5054007181218003</v>
      </c>
      <c r="N66" s="3">
        <v>1.2587772092833649</v>
      </c>
      <c r="O66" s="3">
        <v>0.89678431453418683</v>
      </c>
      <c r="P66" s="3">
        <v>0.71470464559840519</v>
      </c>
      <c r="Q66" s="3">
        <v>0</v>
      </c>
    </row>
    <row r="67" spans="1:17" x14ac:dyDescent="0.2">
      <c r="A67" s="2">
        <v>63</v>
      </c>
      <c r="B67" s="2">
        <f t="shared" ca="1" si="2"/>
        <v>-6.0318637403107944E-2</v>
      </c>
      <c r="F67" s="4">
        <v>63</v>
      </c>
      <c r="G67" s="3">
        <v>3.9599999999999995</v>
      </c>
      <c r="H67" s="3">
        <v>3.6688606883323347</v>
      </c>
      <c r="I67" s="3">
        <v>2.8296478246658916</v>
      </c>
      <c r="J67" s="3">
        <v>2.6906906470273007</v>
      </c>
      <c r="K67" s="3">
        <v>2.3842592302681553</v>
      </c>
      <c r="L67" s="3">
        <v>2.066158450184564</v>
      </c>
      <c r="M67" s="3">
        <v>1.4679330445060379</v>
      </c>
      <c r="N67" s="3">
        <v>0.93021979526596921</v>
      </c>
      <c r="O67" s="3">
        <v>0.8537402004908955</v>
      </c>
      <c r="P67" s="3">
        <v>0.38783295732746725</v>
      </c>
      <c r="Q67" s="3">
        <v>0</v>
      </c>
    </row>
    <row r="68" spans="1:17" x14ac:dyDescent="0.2">
      <c r="A68" s="2">
        <v>64</v>
      </c>
      <c r="B68" s="2">
        <f t="shared" ca="1" si="2"/>
        <v>0.61917163277620513</v>
      </c>
      <c r="F68" s="4">
        <v>64</v>
      </c>
      <c r="G68" s="3">
        <v>3.96</v>
      </c>
      <c r="H68" s="3">
        <v>3.5093277282428681</v>
      </c>
      <c r="I68" s="3">
        <v>3.1689811664666041</v>
      </c>
      <c r="J68" s="3">
        <v>2.910318170315926</v>
      </c>
      <c r="K68" s="3">
        <v>2.4515794739602965</v>
      </c>
      <c r="L68" s="3">
        <v>2.2679845906661096</v>
      </c>
      <c r="M68" s="3">
        <v>1.3319113094236821</v>
      </c>
      <c r="N68" s="3">
        <v>1.2536710033755767</v>
      </c>
      <c r="O68" s="3">
        <v>1.0233741790002726</v>
      </c>
      <c r="P68" s="3">
        <v>0.53516845585138539</v>
      </c>
      <c r="Q68" s="3">
        <v>0</v>
      </c>
    </row>
    <row r="69" spans="1:17" x14ac:dyDescent="0.2">
      <c r="A69" s="2">
        <v>65</v>
      </c>
      <c r="B69" s="2">
        <f t="shared" ca="1" si="2"/>
        <v>0.52743526392220452</v>
      </c>
      <c r="F69" s="4">
        <v>65</v>
      </c>
      <c r="G69" s="3">
        <v>3.96</v>
      </c>
      <c r="H69" s="3">
        <v>3.6216527472905873</v>
      </c>
      <c r="I69" s="3">
        <v>3.3201973171874055</v>
      </c>
      <c r="J69" s="3">
        <v>2.7767907097672091</v>
      </c>
      <c r="K69" s="3">
        <v>2.134164218097951</v>
      </c>
      <c r="L69" s="3">
        <v>1.9767070455646978</v>
      </c>
      <c r="M69" s="3">
        <v>1.4363866194642472</v>
      </c>
      <c r="N69" s="3">
        <v>1.6107657980404906</v>
      </c>
      <c r="O69" s="3">
        <v>1.1053109786050066</v>
      </c>
      <c r="P69" s="3">
        <v>0.41033222405600567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-8.6574174814404437E-2</v>
      </c>
      <c r="F70" s="4">
        <v>66</v>
      </c>
      <c r="G70" s="3">
        <v>3.96</v>
      </c>
      <c r="H70" s="3">
        <v>3.4723180940540326</v>
      </c>
      <c r="I70" s="3">
        <v>3.095958153580511</v>
      </c>
      <c r="J70" s="3">
        <v>2.3107869469824274</v>
      </c>
      <c r="K70" s="3">
        <v>2.4800335348280336</v>
      </c>
      <c r="L70" s="3">
        <v>1.8325368592499829</v>
      </c>
      <c r="M70" s="3">
        <v>1.4411341457090319</v>
      </c>
      <c r="N70" s="3">
        <v>1.3717161577370569</v>
      </c>
      <c r="O70" s="3">
        <v>0.73525028544528981</v>
      </c>
      <c r="P70" s="3">
        <v>0.37759202538381526</v>
      </c>
      <c r="Q70" s="3">
        <v>0</v>
      </c>
    </row>
    <row r="71" spans="1:17" x14ac:dyDescent="0.2">
      <c r="A71" s="2">
        <v>67</v>
      </c>
      <c r="B71" s="2">
        <f t="shared" ca="1" si="3"/>
        <v>-0.278270455035594</v>
      </c>
      <c r="F71" s="4">
        <v>67</v>
      </c>
      <c r="G71" s="3">
        <v>3.9599999999999995</v>
      </c>
      <c r="H71" s="3">
        <v>3.27503057968848</v>
      </c>
      <c r="I71" s="3">
        <v>3.1205478872010382</v>
      </c>
      <c r="J71" s="3">
        <v>3.0618050829937782</v>
      </c>
      <c r="K71" s="3">
        <v>2.3918814109317563</v>
      </c>
      <c r="L71" s="3">
        <v>2.007578576328287</v>
      </c>
      <c r="M71" s="3">
        <v>1.685373088208949</v>
      </c>
      <c r="N71" s="3">
        <v>1.259196687611728</v>
      </c>
      <c r="O71" s="3">
        <v>0.620187474613759</v>
      </c>
      <c r="P71" s="3">
        <v>0.56308653802286379</v>
      </c>
      <c r="Q71" s="3">
        <v>0</v>
      </c>
    </row>
    <row r="72" spans="1:17" x14ac:dyDescent="0.2">
      <c r="A72" s="2">
        <v>68</v>
      </c>
      <c r="B72" s="2">
        <f t="shared" ca="1" si="3"/>
        <v>0.61447536839101646</v>
      </c>
      <c r="F72" s="4">
        <v>68</v>
      </c>
      <c r="G72" s="3">
        <v>3.96</v>
      </c>
      <c r="H72" s="3">
        <v>3.5712198739186882</v>
      </c>
      <c r="I72" s="3">
        <v>3.0908816597530646</v>
      </c>
      <c r="J72" s="3">
        <v>2.9424065751688557</v>
      </c>
      <c r="K72" s="3">
        <v>2.5459443631176608</v>
      </c>
      <c r="L72" s="3">
        <v>2.1493459854156152</v>
      </c>
      <c r="M72" s="3">
        <v>1.4546764582569673</v>
      </c>
      <c r="N72" s="3">
        <v>1.3246395122623085</v>
      </c>
      <c r="O72" s="3">
        <v>0.68425164847315656</v>
      </c>
      <c r="P72" s="3">
        <v>0.34518566520325233</v>
      </c>
      <c r="Q72" s="3">
        <v>0</v>
      </c>
    </row>
    <row r="73" spans="1:17" x14ac:dyDescent="0.2">
      <c r="A73" s="2">
        <v>69</v>
      </c>
      <c r="B73" s="2">
        <f t="shared" ca="1" si="3"/>
        <v>-0.15615825706621328</v>
      </c>
      <c r="F73" s="4">
        <v>69</v>
      </c>
      <c r="G73" s="3">
        <v>3.96</v>
      </c>
      <c r="H73" s="3">
        <v>3.5092016076020109</v>
      </c>
      <c r="I73" s="3">
        <v>3.2958003446544537</v>
      </c>
      <c r="J73" s="3">
        <v>3.0486715372569502</v>
      </c>
      <c r="K73" s="3">
        <v>2.2024055889309588</v>
      </c>
      <c r="L73" s="3">
        <v>1.8420340842006886</v>
      </c>
      <c r="M73" s="3">
        <v>1.5773384494420799</v>
      </c>
      <c r="N73" s="3">
        <v>1.3118643167822033</v>
      </c>
      <c r="O73" s="3">
        <v>0.81932703051582989</v>
      </c>
      <c r="P73" s="3">
        <v>0.54705755211335649</v>
      </c>
      <c r="Q73" s="3">
        <v>0</v>
      </c>
    </row>
    <row r="74" spans="1:17" x14ac:dyDescent="0.2">
      <c r="A74" s="2">
        <v>70</v>
      </c>
      <c r="B74" s="2">
        <f t="shared" ca="1" si="3"/>
        <v>0.76262273208784481</v>
      </c>
      <c r="F74" s="4">
        <v>70</v>
      </c>
      <c r="G74" s="3">
        <v>3.9600000000000004</v>
      </c>
      <c r="H74" s="3">
        <v>3.5792146990087561</v>
      </c>
      <c r="I74" s="3">
        <v>3.2264504432463963</v>
      </c>
      <c r="J74" s="3">
        <v>2.6522970442788854</v>
      </c>
      <c r="K74" s="3">
        <v>2.2671609954838261</v>
      </c>
      <c r="L74" s="3">
        <v>2.0205044418335016</v>
      </c>
      <c r="M74" s="3">
        <v>1.6212369089581495</v>
      </c>
      <c r="N74" s="3">
        <v>1.1378120232788658</v>
      </c>
      <c r="O74" s="3">
        <v>0.88676881925331286</v>
      </c>
      <c r="P74" s="3">
        <v>0.29770408424998429</v>
      </c>
      <c r="Q74" s="3">
        <v>0</v>
      </c>
    </row>
    <row r="75" spans="1:17" x14ac:dyDescent="0.2">
      <c r="A75" s="2">
        <v>71</v>
      </c>
      <c r="B75" s="2">
        <f t="shared" ca="1" si="3"/>
        <v>1.120525496018401</v>
      </c>
      <c r="F75" s="4">
        <v>71</v>
      </c>
      <c r="G75" s="3">
        <v>3.96</v>
      </c>
      <c r="H75" s="3">
        <v>3.4160249864179022</v>
      </c>
      <c r="I75" s="3">
        <v>3.1220826710813827</v>
      </c>
      <c r="J75" s="3">
        <v>3.0020194624332857</v>
      </c>
      <c r="K75" s="3">
        <v>2.2667837207426507</v>
      </c>
      <c r="L75" s="3">
        <v>1.6587758242258406</v>
      </c>
      <c r="M75" s="3">
        <v>1.7284689493567904</v>
      </c>
      <c r="N75" s="3">
        <v>1.0130321709369059</v>
      </c>
      <c r="O75" s="3">
        <v>0.61662916196522122</v>
      </c>
      <c r="P75" s="3">
        <v>0.34581677314654441</v>
      </c>
      <c r="Q75" s="3">
        <v>0</v>
      </c>
    </row>
    <row r="76" spans="1:17" x14ac:dyDescent="0.2">
      <c r="A76" s="2">
        <v>72</v>
      </c>
      <c r="B76" s="2">
        <f t="shared" ca="1" si="3"/>
        <v>0.27597552479328008</v>
      </c>
      <c r="F76" s="4">
        <v>72</v>
      </c>
      <c r="G76" s="3">
        <v>3.96</v>
      </c>
      <c r="H76" s="3">
        <v>3.64096426861731</v>
      </c>
      <c r="I76" s="3">
        <v>2.9808804077478381</v>
      </c>
      <c r="J76" s="3">
        <v>2.9150302350078259</v>
      </c>
      <c r="K76" s="3">
        <v>2.6126282696274425</v>
      </c>
      <c r="L76" s="3">
        <v>2.0218348607721874</v>
      </c>
      <c r="M76" s="3">
        <v>1.5544519373118522</v>
      </c>
      <c r="N76" s="3">
        <v>1.0429907151911111</v>
      </c>
      <c r="O76" s="3">
        <v>0.85184377734751615</v>
      </c>
      <c r="P76" s="3">
        <v>0.32009324520805821</v>
      </c>
      <c r="Q76" s="3">
        <v>0</v>
      </c>
    </row>
    <row r="77" spans="1:17" x14ac:dyDescent="0.2">
      <c r="A77" s="2">
        <v>73</v>
      </c>
      <c r="B77" s="2">
        <f t="shared" ca="1" si="3"/>
        <v>-0.83940537548450378</v>
      </c>
      <c r="F77" s="4">
        <v>73</v>
      </c>
      <c r="G77" s="3">
        <v>3.96</v>
      </c>
      <c r="H77" s="3">
        <v>3.6316751229001798</v>
      </c>
      <c r="I77" s="3">
        <v>3.0014134624416946</v>
      </c>
      <c r="J77" s="3">
        <v>2.8636604603582589</v>
      </c>
      <c r="K77" s="3">
        <v>2.5121350067921067</v>
      </c>
      <c r="L77" s="3">
        <v>2.1094439495261046</v>
      </c>
      <c r="M77" s="3">
        <v>1.3806465743616754</v>
      </c>
      <c r="N77" s="3">
        <v>1.372557272181625</v>
      </c>
      <c r="O77" s="3">
        <v>0.93649218365087072</v>
      </c>
      <c r="P77" s="3">
        <v>0.35675099630997281</v>
      </c>
      <c r="Q77" s="3">
        <v>0</v>
      </c>
    </row>
    <row r="78" spans="1:17" x14ac:dyDescent="0.2">
      <c r="A78" s="2">
        <v>74</v>
      </c>
      <c r="B78" s="2">
        <f t="shared" ca="1" si="3"/>
        <v>-0.33473519790420225</v>
      </c>
      <c r="F78" s="4">
        <v>74</v>
      </c>
      <c r="G78" s="3">
        <v>3.9600000000000004</v>
      </c>
      <c r="H78" s="3">
        <v>3.5651619107428134</v>
      </c>
      <c r="I78" s="3">
        <v>3.0620189151561439</v>
      </c>
      <c r="J78" s="3">
        <v>2.794400535792104</v>
      </c>
      <c r="K78" s="3">
        <v>2.6134564691092361</v>
      </c>
      <c r="L78" s="3">
        <v>2.3733132337805891</v>
      </c>
      <c r="M78" s="3">
        <v>1.1779548302168992</v>
      </c>
      <c r="N78" s="3">
        <v>1.3207508249356343</v>
      </c>
      <c r="O78" s="3">
        <v>0.65168080518342708</v>
      </c>
      <c r="P78" s="3">
        <v>0.60859149801723889</v>
      </c>
      <c r="Q78" s="3">
        <v>0</v>
      </c>
    </row>
    <row r="79" spans="1:17" x14ac:dyDescent="0.2">
      <c r="A79" s="2">
        <v>75</v>
      </c>
      <c r="B79" s="2">
        <f t="shared" ca="1" si="3"/>
        <v>0.28967026370304594</v>
      </c>
      <c r="F79" s="4">
        <v>75</v>
      </c>
      <c r="G79" s="3">
        <v>3.9600000000000004</v>
      </c>
      <c r="H79" s="3">
        <v>3.5825652415749585</v>
      </c>
      <c r="I79" s="3">
        <v>3.130085190845826</v>
      </c>
      <c r="J79" s="3">
        <v>2.8777825232770087</v>
      </c>
      <c r="K79" s="3">
        <v>2.1782408663259489</v>
      </c>
      <c r="L79" s="3">
        <v>2.0412851116226909</v>
      </c>
      <c r="M79" s="3">
        <v>1.6667474792501489</v>
      </c>
      <c r="N79" s="3">
        <v>1.2556749926398951</v>
      </c>
      <c r="O79" s="3">
        <v>0.88766669341572146</v>
      </c>
      <c r="P79" s="3">
        <v>0.47133448877904482</v>
      </c>
      <c r="Q79" s="3">
        <v>0</v>
      </c>
    </row>
    <row r="80" spans="1:17" x14ac:dyDescent="0.2">
      <c r="A80" s="2">
        <v>76</v>
      </c>
      <c r="B80" s="2">
        <f t="shared" ca="1" si="3"/>
        <v>1.5877180193068048</v>
      </c>
      <c r="F80" s="4">
        <v>76</v>
      </c>
      <c r="G80" s="3">
        <v>3.96</v>
      </c>
      <c r="H80" s="3">
        <v>3.4523512200875341</v>
      </c>
      <c r="I80" s="3">
        <v>3.0507280120346252</v>
      </c>
      <c r="J80" s="3">
        <v>2.5651342094007936</v>
      </c>
      <c r="K80" s="3">
        <v>2.9613071362742103</v>
      </c>
      <c r="L80" s="3">
        <v>1.8485664847187626</v>
      </c>
      <c r="M80" s="3">
        <v>1.5323592674861672</v>
      </c>
      <c r="N80" s="3">
        <v>1.2577887723971164</v>
      </c>
      <c r="O80" s="3">
        <v>0.86026962735830059</v>
      </c>
      <c r="P80" s="3">
        <v>0.37211214022773148</v>
      </c>
      <c r="Q80" s="3">
        <v>0</v>
      </c>
    </row>
    <row r="81" spans="1:17" x14ac:dyDescent="0.2">
      <c r="A81" s="2">
        <v>77</v>
      </c>
      <c r="B81" s="2">
        <f t="shared" ca="1" si="3"/>
        <v>1.5846403778378746</v>
      </c>
      <c r="F81" s="4">
        <v>77</v>
      </c>
      <c r="G81" s="3">
        <v>3.96</v>
      </c>
      <c r="H81" s="3">
        <v>3.4563647005637232</v>
      </c>
      <c r="I81" s="3">
        <v>3.1029503435702157</v>
      </c>
      <c r="J81" s="3">
        <v>2.8505490490636807</v>
      </c>
      <c r="K81" s="3">
        <v>2.366874986668972</v>
      </c>
      <c r="L81" s="3">
        <v>2.2983192466693865</v>
      </c>
      <c r="M81" s="3">
        <v>1.5976640488068896</v>
      </c>
      <c r="N81" s="3">
        <v>1.3021261578000538</v>
      </c>
      <c r="O81" s="3">
        <v>0.74572849685854237</v>
      </c>
      <c r="P81" s="3">
        <v>0.42360047546910101</v>
      </c>
      <c r="Q81" s="3">
        <v>0</v>
      </c>
    </row>
    <row r="82" spans="1:17" x14ac:dyDescent="0.2">
      <c r="A82" s="2">
        <v>78</v>
      </c>
      <c r="B82" s="2">
        <f t="shared" ca="1" si="3"/>
        <v>1.3315153197989935</v>
      </c>
      <c r="F82" s="4">
        <v>78</v>
      </c>
      <c r="G82" s="3">
        <v>3.96</v>
      </c>
      <c r="H82" s="3">
        <v>3.5380435463589834</v>
      </c>
      <c r="I82" s="3">
        <v>3.0534577646870549</v>
      </c>
      <c r="J82" s="3">
        <v>2.6806727252875362</v>
      </c>
      <c r="K82" s="3">
        <v>2.3327775283711811</v>
      </c>
      <c r="L82" s="3">
        <v>2.0854451050220328</v>
      </c>
      <c r="M82" s="3">
        <v>1.6920206410514529</v>
      </c>
      <c r="N82" s="3">
        <v>1.1061894259690701</v>
      </c>
      <c r="O82" s="3">
        <v>0.95011091155644301</v>
      </c>
      <c r="P82" s="3">
        <v>0.2721172302335384</v>
      </c>
      <c r="Q82" s="3">
        <v>0</v>
      </c>
    </row>
    <row r="83" spans="1:17" x14ac:dyDescent="0.2">
      <c r="A83" s="2">
        <v>79</v>
      </c>
      <c r="B83" s="2">
        <f t="shared" ca="1" si="3"/>
        <v>2.5753379679048516</v>
      </c>
      <c r="F83" s="4">
        <v>79</v>
      </c>
      <c r="G83" s="3">
        <v>3.96</v>
      </c>
      <c r="H83" s="3">
        <v>3.5703534630492348</v>
      </c>
      <c r="I83" s="3">
        <v>3.2372916107223473</v>
      </c>
      <c r="J83" s="3">
        <v>2.9822311970257651</v>
      </c>
      <c r="K83" s="3">
        <v>2.2137645103590629</v>
      </c>
      <c r="L83" s="3">
        <v>2.0037351469135318</v>
      </c>
      <c r="M83" s="3">
        <v>1.7701007989315567</v>
      </c>
      <c r="N83" s="3">
        <v>1.2992647992259156</v>
      </c>
      <c r="O83" s="3">
        <v>0.80896409553410698</v>
      </c>
      <c r="P83" s="3">
        <v>0.62135189273144653</v>
      </c>
      <c r="Q83" s="3">
        <v>0</v>
      </c>
    </row>
    <row r="84" spans="1:17" x14ac:dyDescent="0.2">
      <c r="A84" s="2">
        <v>80</v>
      </c>
      <c r="B84" s="2">
        <f t="shared" ca="1" si="3"/>
        <v>1.6270667501716694</v>
      </c>
      <c r="F84" s="4">
        <v>80</v>
      </c>
      <c r="G84" s="3">
        <v>3.9600000000000004</v>
      </c>
      <c r="H84" s="3">
        <v>3.6684115503654251</v>
      </c>
      <c r="I84" s="3">
        <v>3.3039599672648996</v>
      </c>
      <c r="J84" s="3">
        <v>2.6766915789575267</v>
      </c>
      <c r="K84" s="3">
        <v>2.5802428649209639</v>
      </c>
      <c r="L84" s="3">
        <v>1.6788916664778593</v>
      </c>
      <c r="M84" s="3">
        <v>1.6093978048664044</v>
      </c>
      <c r="N84" s="3">
        <v>1.0752430785236302</v>
      </c>
      <c r="O84" s="3">
        <v>0.84611989620031525</v>
      </c>
      <c r="P84" s="3">
        <v>0.28377942398827655</v>
      </c>
      <c r="Q84" s="3">
        <v>0</v>
      </c>
    </row>
    <row r="85" spans="1:17" x14ac:dyDescent="0.2">
      <c r="A85" s="2">
        <v>81</v>
      </c>
      <c r="B85" s="2">
        <f t="shared" ca="1" si="3"/>
        <v>0.38061806211942845</v>
      </c>
      <c r="F85" s="4">
        <v>81</v>
      </c>
      <c r="G85" s="3">
        <v>3.96</v>
      </c>
      <c r="H85" s="3">
        <v>3.5112883927878658</v>
      </c>
      <c r="I85" s="3">
        <v>3.2166095071618517</v>
      </c>
      <c r="J85" s="3">
        <v>2.9427245811910581</v>
      </c>
      <c r="K85" s="3">
        <v>1.9905923084721604</v>
      </c>
      <c r="L85" s="3">
        <v>1.8886309158095109</v>
      </c>
      <c r="M85" s="3">
        <v>1.6690892386894836</v>
      </c>
      <c r="N85" s="3">
        <v>1.1958242101884764</v>
      </c>
      <c r="O85" s="3">
        <v>0.76301015774055203</v>
      </c>
      <c r="P85" s="3">
        <v>0.42009997711339925</v>
      </c>
      <c r="Q85" s="3">
        <v>0</v>
      </c>
    </row>
    <row r="86" spans="1:17" x14ac:dyDescent="0.2">
      <c r="A86" s="2">
        <v>82</v>
      </c>
      <c r="B86" s="2">
        <f t="shared" ca="1" si="3"/>
        <v>0.41577752953167035</v>
      </c>
      <c r="F86" s="4">
        <v>82</v>
      </c>
      <c r="G86" s="3">
        <v>3.96</v>
      </c>
      <c r="H86" s="3">
        <v>3.6320364231295166</v>
      </c>
      <c r="I86" s="3">
        <v>3.3275488577842705</v>
      </c>
      <c r="J86" s="3">
        <v>2.7659839404646962</v>
      </c>
      <c r="K86" s="3">
        <v>2.4732003775850853</v>
      </c>
      <c r="L86" s="3">
        <v>1.8455461771696258</v>
      </c>
      <c r="M86" s="3">
        <v>1.6282404043756464</v>
      </c>
      <c r="N86" s="3">
        <v>1.2338869712439513</v>
      </c>
      <c r="O86" s="3">
        <v>0.75790915744016141</v>
      </c>
      <c r="P86" s="3">
        <v>0.41100363050440286</v>
      </c>
      <c r="Q86" s="3">
        <v>0</v>
      </c>
    </row>
    <row r="87" spans="1:17" x14ac:dyDescent="0.2">
      <c r="A87" s="2">
        <v>83</v>
      </c>
      <c r="B87" s="2">
        <f t="shared" ca="1" si="3"/>
        <v>-2.2245584576786674</v>
      </c>
      <c r="F87" s="4">
        <v>83</v>
      </c>
      <c r="G87" s="3">
        <v>3.96</v>
      </c>
      <c r="H87" s="3">
        <v>3.5261906934275054</v>
      </c>
      <c r="I87" s="3">
        <v>3.1963323902863574</v>
      </c>
      <c r="J87" s="3">
        <v>2.3364663205193543</v>
      </c>
      <c r="K87" s="3">
        <v>2.6812124782432658</v>
      </c>
      <c r="L87" s="3">
        <v>1.7703461955977089</v>
      </c>
      <c r="M87" s="3">
        <v>1.9316999923554043</v>
      </c>
      <c r="N87" s="3">
        <v>1.1114593802558477</v>
      </c>
      <c r="O87" s="3">
        <v>0.80170140989031113</v>
      </c>
      <c r="P87" s="3">
        <v>0.36736578572071604</v>
      </c>
      <c r="Q87" s="3">
        <v>0</v>
      </c>
    </row>
    <row r="88" spans="1:17" x14ac:dyDescent="0.2">
      <c r="A88" s="2">
        <v>84</v>
      </c>
      <c r="B88" s="2">
        <f t="shared" ca="1" si="3"/>
        <v>-1.5790664192189581</v>
      </c>
      <c r="F88" s="4">
        <v>84</v>
      </c>
      <c r="G88" s="3">
        <v>3.96</v>
      </c>
      <c r="H88" s="3">
        <v>3.3950473064384936</v>
      </c>
      <c r="I88" s="3">
        <v>3.160746857589479</v>
      </c>
      <c r="J88" s="3">
        <v>2.820751045476956</v>
      </c>
      <c r="K88" s="3">
        <v>2.0034972401481901</v>
      </c>
      <c r="L88" s="3">
        <v>2.0462627249493033</v>
      </c>
      <c r="M88" s="3">
        <v>1.3239775234499198</v>
      </c>
      <c r="N88" s="3">
        <v>1.161527471516137</v>
      </c>
      <c r="O88" s="3">
        <v>0.70816917371160604</v>
      </c>
      <c r="P88" s="3">
        <v>0.29477626644795857</v>
      </c>
      <c r="Q88" s="3">
        <v>0</v>
      </c>
    </row>
    <row r="89" spans="1:17" x14ac:dyDescent="0.2">
      <c r="A89" s="2">
        <v>85</v>
      </c>
      <c r="B89" s="2">
        <f t="shared" ca="1" si="3"/>
        <v>-0.83963476990211405</v>
      </c>
      <c r="F89" s="4">
        <v>85</v>
      </c>
      <c r="G89" s="3">
        <v>3.96</v>
      </c>
      <c r="H89" s="3">
        <v>3.7298284366707084</v>
      </c>
      <c r="I89" s="3">
        <v>3.1018650647670505</v>
      </c>
      <c r="J89" s="3">
        <v>2.7160699638627221</v>
      </c>
      <c r="K89" s="3">
        <v>2.2693495912991968</v>
      </c>
      <c r="L89" s="3">
        <v>2.2763309370046065</v>
      </c>
      <c r="M89" s="3">
        <v>1.5456225696975938</v>
      </c>
      <c r="N89" s="3">
        <v>1.4425745605473401</v>
      </c>
      <c r="O89" s="3">
        <v>0.92544249817202284</v>
      </c>
      <c r="P89" s="3">
        <v>0.80757947008318609</v>
      </c>
      <c r="Q89" s="3">
        <v>0</v>
      </c>
    </row>
    <row r="90" spans="1:17" x14ac:dyDescent="0.2">
      <c r="A90" s="2">
        <v>86</v>
      </c>
      <c r="B90" s="2">
        <f t="shared" ca="1" si="3"/>
        <v>-0.77247147288056028</v>
      </c>
      <c r="F90" s="4">
        <v>86</v>
      </c>
      <c r="G90" s="3">
        <v>3.96</v>
      </c>
      <c r="H90" s="3">
        <v>3.7266516190240146</v>
      </c>
      <c r="I90" s="3">
        <v>3.2388979601026922</v>
      </c>
      <c r="J90" s="3">
        <v>2.9744321966715752</v>
      </c>
      <c r="K90" s="3">
        <v>2.3423767584184469</v>
      </c>
      <c r="L90" s="3">
        <v>2.0129282567778608</v>
      </c>
      <c r="M90" s="3">
        <v>1.399327991301424</v>
      </c>
      <c r="N90" s="3">
        <v>1.1771084135773553</v>
      </c>
      <c r="O90" s="3">
        <v>0.68432126705411966</v>
      </c>
      <c r="P90" s="3">
        <v>0.24998840162297573</v>
      </c>
      <c r="Q90" s="3">
        <v>0</v>
      </c>
    </row>
    <row r="91" spans="1:17" x14ac:dyDescent="0.2">
      <c r="A91" s="2">
        <v>87</v>
      </c>
      <c r="B91" s="2">
        <f t="shared" ca="1" si="3"/>
        <v>-1.1229006330692948</v>
      </c>
      <c r="F91" s="4">
        <v>87</v>
      </c>
      <c r="G91" s="3">
        <v>3.96</v>
      </c>
      <c r="H91" s="3">
        <v>3.4528069134601727</v>
      </c>
      <c r="I91" s="3">
        <v>2.9044323859347596</v>
      </c>
      <c r="J91" s="3">
        <v>2.716834506504552</v>
      </c>
      <c r="K91" s="3">
        <v>2.4499245635776279</v>
      </c>
      <c r="L91" s="3">
        <v>1.9766024246064291</v>
      </c>
      <c r="M91" s="3">
        <v>1.6712574005162857</v>
      </c>
      <c r="N91" s="3">
        <v>1.4039139537439895</v>
      </c>
      <c r="O91" s="3">
        <v>0.54301983766562734</v>
      </c>
      <c r="P91" s="3">
        <v>0.54872174304001076</v>
      </c>
      <c r="Q91" s="3">
        <v>0</v>
      </c>
    </row>
    <row r="92" spans="1:17" x14ac:dyDescent="0.2">
      <c r="A92" s="2">
        <v>88</v>
      </c>
      <c r="B92" s="2">
        <f t="shared" ca="1" si="3"/>
        <v>-0.96843695526559548</v>
      </c>
      <c r="F92" s="4">
        <v>88</v>
      </c>
      <c r="G92" s="3">
        <v>3.96</v>
      </c>
      <c r="H92" s="3">
        <v>3.4316836465196072</v>
      </c>
      <c r="I92" s="3">
        <v>3.3818158425634457</v>
      </c>
      <c r="J92" s="3">
        <v>2.749532630896462</v>
      </c>
      <c r="K92" s="3">
        <v>2.3185782455283901</v>
      </c>
      <c r="L92" s="3">
        <v>1.9028756465590382</v>
      </c>
      <c r="M92" s="3">
        <v>1.8943129954024498</v>
      </c>
      <c r="N92" s="3">
        <v>1.121557592042892</v>
      </c>
      <c r="O92" s="3">
        <v>0.6370874310003054</v>
      </c>
      <c r="P92" s="3">
        <v>0.35621457678204665</v>
      </c>
      <c r="Q92" s="3">
        <v>0</v>
      </c>
    </row>
    <row r="93" spans="1:17" x14ac:dyDescent="0.2">
      <c r="A93" s="2">
        <v>89</v>
      </c>
      <c r="B93" s="2">
        <f t="shared" ca="1" si="3"/>
        <v>0.81496312793813908</v>
      </c>
      <c r="F93" s="4">
        <v>89</v>
      </c>
      <c r="G93" s="3">
        <v>3.9600000000000004</v>
      </c>
      <c r="H93" s="3">
        <v>3.7188257657929547</v>
      </c>
      <c r="I93" s="3">
        <v>3.0329354455725799</v>
      </c>
      <c r="J93" s="3">
        <v>2.7094755141726803</v>
      </c>
      <c r="K93" s="3">
        <v>2.5666476541041363</v>
      </c>
      <c r="L93" s="3">
        <v>1.9002412647539051</v>
      </c>
      <c r="M93" s="3">
        <v>1.8042866235308339</v>
      </c>
      <c r="N93" s="3">
        <v>1.2952614483875859</v>
      </c>
      <c r="O93" s="3">
        <v>0.68668182960610469</v>
      </c>
      <c r="P93" s="3">
        <v>0.40492023472214972</v>
      </c>
      <c r="Q93" s="3">
        <v>0</v>
      </c>
    </row>
    <row r="94" spans="1:17" x14ac:dyDescent="0.2">
      <c r="A94" s="2">
        <v>90</v>
      </c>
      <c r="B94" s="2">
        <f t="shared" ca="1" si="3"/>
        <v>1.2669937333600481</v>
      </c>
      <c r="F94" s="4">
        <v>90</v>
      </c>
      <c r="G94" s="3">
        <v>3.96</v>
      </c>
      <c r="H94" s="3">
        <v>3.52048394309129</v>
      </c>
      <c r="I94" s="3">
        <v>3.2824883163955243</v>
      </c>
      <c r="J94" s="3">
        <v>2.8631973793855057</v>
      </c>
      <c r="K94" s="3">
        <v>2.4073061544612768</v>
      </c>
      <c r="L94" s="3">
        <v>1.997777596933799</v>
      </c>
      <c r="M94" s="3">
        <v>1.6920050794328194</v>
      </c>
      <c r="N94" s="3">
        <v>1.5131060859169929</v>
      </c>
      <c r="O94" s="3">
        <v>0.54544098680000874</v>
      </c>
      <c r="P94" s="3">
        <v>0.3753351034966067</v>
      </c>
      <c r="Q94" s="3">
        <v>0</v>
      </c>
    </row>
    <row r="95" spans="1:17" x14ac:dyDescent="0.2">
      <c r="A95" s="2">
        <v>91</v>
      </c>
      <c r="B95" s="2">
        <f t="shared" ca="1" si="3"/>
        <v>2.1983759071096562</v>
      </c>
      <c r="F95" s="4">
        <v>91</v>
      </c>
      <c r="G95" s="3">
        <v>3.96</v>
      </c>
      <c r="H95" s="3">
        <v>3.62998362755742</v>
      </c>
      <c r="I95" s="3">
        <v>2.9671333317793303</v>
      </c>
      <c r="J95" s="3">
        <v>2.5230546500377775</v>
      </c>
      <c r="K95" s="3">
        <v>2.4125097266944988</v>
      </c>
      <c r="L95" s="3">
        <v>2.1816009648562913</v>
      </c>
      <c r="M95" s="3">
        <v>1.6103554615952929</v>
      </c>
      <c r="N95" s="3">
        <v>0.93861173339705761</v>
      </c>
      <c r="O95" s="3">
        <v>0.69760615999483833</v>
      </c>
      <c r="P95" s="3">
        <v>0.31414813301537675</v>
      </c>
      <c r="Q95" s="3">
        <v>0</v>
      </c>
    </row>
    <row r="96" spans="1:17" x14ac:dyDescent="0.2">
      <c r="A96" s="2">
        <v>92</v>
      </c>
      <c r="B96" s="2">
        <f t="shared" ca="1" si="3"/>
        <v>1.1217329889941539</v>
      </c>
      <c r="F96" s="4">
        <v>92</v>
      </c>
      <c r="G96" s="3">
        <v>3.96</v>
      </c>
      <c r="H96" s="3">
        <v>3.4581673498348389</v>
      </c>
      <c r="I96" s="3">
        <v>3.2320541396527225</v>
      </c>
      <c r="J96" s="3">
        <v>2.5238430916047601</v>
      </c>
      <c r="K96" s="3">
        <v>2.6650076210553215</v>
      </c>
      <c r="L96" s="3">
        <v>2.0838819404622639</v>
      </c>
      <c r="M96" s="3">
        <v>1.3336552652839495</v>
      </c>
      <c r="N96" s="3">
        <v>1.0166148779768891</v>
      </c>
      <c r="O96" s="3">
        <v>0.82970848136253283</v>
      </c>
      <c r="P96" s="3">
        <v>0.44869180446078527</v>
      </c>
      <c r="Q96" s="3">
        <v>0</v>
      </c>
    </row>
    <row r="97" spans="1:17" x14ac:dyDescent="0.2">
      <c r="A97" s="2">
        <v>93</v>
      </c>
      <c r="B97" s="2">
        <f t="shared" ca="1" si="3"/>
        <v>0.40328706283555549</v>
      </c>
      <c r="F97" s="4">
        <v>93</v>
      </c>
      <c r="G97" s="3">
        <v>3.96</v>
      </c>
      <c r="H97" s="3">
        <v>3.4625839473152196</v>
      </c>
      <c r="I97" s="3">
        <v>2.8300403411288184</v>
      </c>
      <c r="J97" s="3">
        <v>2.7916344191394331</v>
      </c>
      <c r="K97" s="3">
        <v>2.5095716784487152</v>
      </c>
      <c r="L97" s="3">
        <v>2.2408528896554647</v>
      </c>
      <c r="M97" s="3">
        <v>1.7345118833487898</v>
      </c>
      <c r="N97" s="3">
        <v>1.3220173676642728</v>
      </c>
      <c r="O97" s="3">
        <v>0.67473479644430168</v>
      </c>
      <c r="P97" s="3">
        <v>0.57360436296796025</v>
      </c>
      <c r="Q97" s="3">
        <v>0</v>
      </c>
    </row>
    <row r="98" spans="1:17" x14ac:dyDescent="0.2">
      <c r="A98" s="2">
        <v>94</v>
      </c>
      <c r="B98" s="2">
        <f t="shared" ca="1" si="3"/>
        <v>2.5428594515344085</v>
      </c>
      <c r="F98" s="4">
        <v>94</v>
      </c>
      <c r="G98" s="3">
        <v>3.96</v>
      </c>
      <c r="H98" s="3">
        <v>3.5522115440687991</v>
      </c>
      <c r="I98" s="3">
        <v>3.1273187516952135</v>
      </c>
      <c r="J98" s="3">
        <v>2.6537818478219233</v>
      </c>
      <c r="K98" s="3">
        <v>1.9786809896415154</v>
      </c>
      <c r="L98" s="3">
        <v>1.8538751941512024</v>
      </c>
      <c r="M98" s="3">
        <v>1.5895754558449091</v>
      </c>
      <c r="N98" s="3">
        <v>1.1924832950657185</v>
      </c>
      <c r="O98" s="3">
        <v>0.64236012852319657</v>
      </c>
      <c r="P98" s="3">
        <v>0.30334095034920211</v>
      </c>
      <c r="Q98" s="3">
        <v>0</v>
      </c>
    </row>
    <row r="99" spans="1:17" x14ac:dyDescent="0.2">
      <c r="A99" s="2">
        <v>95</v>
      </c>
      <c r="B99" s="2">
        <f t="shared" ca="1" si="3"/>
        <v>2.1450362621457204</v>
      </c>
      <c r="F99" s="4">
        <v>95</v>
      </c>
      <c r="G99" s="3">
        <v>3.96</v>
      </c>
      <c r="H99" s="3">
        <v>3.6487290626118134</v>
      </c>
      <c r="I99" s="3">
        <v>2.8481468764265241</v>
      </c>
      <c r="J99" s="3">
        <v>2.9311477765975904</v>
      </c>
      <c r="K99" s="3">
        <v>2.5980016322061492</v>
      </c>
      <c r="L99" s="3">
        <v>2.0049043060415812</v>
      </c>
      <c r="M99" s="3">
        <v>1.3070319059212887</v>
      </c>
      <c r="N99" s="3">
        <v>1.3608632292362954</v>
      </c>
      <c r="O99" s="3">
        <v>0.6254521741517266</v>
      </c>
      <c r="P99" s="3">
        <v>0.20656425578196597</v>
      </c>
      <c r="Q99" s="3">
        <v>0</v>
      </c>
    </row>
    <row r="100" spans="1:17" x14ac:dyDescent="0.2">
      <c r="A100" s="2">
        <v>96</v>
      </c>
      <c r="B100" s="2">
        <f t="shared" ca="1" si="3"/>
        <v>-0.21600999708425817</v>
      </c>
      <c r="F100" s="4">
        <v>96</v>
      </c>
      <c r="G100" s="3">
        <v>3.9599999999999995</v>
      </c>
      <c r="H100" s="3">
        <v>3.4913538857155304</v>
      </c>
      <c r="I100" s="3">
        <v>3.0004519428949754</v>
      </c>
      <c r="J100" s="3">
        <v>2.7010670427515189</v>
      </c>
      <c r="K100" s="3">
        <v>2.4185033620953638</v>
      </c>
      <c r="L100" s="3">
        <v>1.7266325951937014</v>
      </c>
      <c r="M100" s="3">
        <v>1.5621387634902439</v>
      </c>
      <c r="N100" s="3">
        <v>0.8734244723659923</v>
      </c>
      <c r="O100" s="3">
        <v>0.79255049363776764</v>
      </c>
      <c r="P100" s="3">
        <v>0.26119834421223026</v>
      </c>
      <c r="Q100" s="3">
        <v>0</v>
      </c>
    </row>
    <row r="101" spans="1:17" x14ac:dyDescent="0.2">
      <c r="A101" s="2">
        <v>97</v>
      </c>
      <c r="B101" s="2">
        <f t="shared" ca="1" si="3"/>
        <v>-0.97052918858316917</v>
      </c>
      <c r="F101" s="4">
        <v>97</v>
      </c>
      <c r="G101" s="3">
        <v>3.96</v>
      </c>
      <c r="H101" s="3">
        <v>3.7341691868900417</v>
      </c>
      <c r="I101" s="3">
        <v>3.1797315949076568</v>
      </c>
      <c r="J101" s="3">
        <v>2.5713944685330326</v>
      </c>
      <c r="K101" s="3">
        <v>2.7235800692568528</v>
      </c>
      <c r="L101" s="3">
        <v>1.9782939274450499</v>
      </c>
      <c r="M101" s="3">
        <v>1.4961490473300938</v>
      </c>
      <c r="N101" s="3">
        <v>1.2296804599860589</v>
      </c>
      <c r="O101" s="3">
        <v>0.55758099104514236</v>
      </c>
      <c r="P101" s="3">
        <v>0.44939283861516144</v>
      </c>
      <c r="Q101" s="3">
        <v>0</v>
      </c>
    </row>
    <row r="102" spans="1:17" x14ac:dyDescent="0.2">
      <c r="A102" s="2">
        <v>98</v>
      </c>
      <c r="B102" s="2">
        <f t="shared" ca="1" si="3"/>
        <v>0.60160578621718708</v>
      </c>
      <c r="F102" s="4">
        <v>98</v>
      </c>
      <c r="G102" s="3">
        <v>3.96</v>
      </c>
      <c r="H102" s="3">
        <v>3.4603295640998604</v>
      </c>
      <c r="I102" s="3">
        <v>3.2956004908433809</v>
      </c>
      <c r="J102" s="3">
        <v>2.7876388772373475</v>
      </c>
      <c r="K102" s="3">
        <v>2.1880312481941933</v>
      </c>
      <c r="L102" s="3">
        <v>1.6615357111774849</v>
      </c>
      <c r="M102" s="3">
        <v>1.6523513221955997</v>
      </c>
      <c r="N102" s="3">
        <v>1.1303293566429429</v>
      </c>
      <c r="O102" s="3">
        <v>0.74333104124150862</v>
      </c>
      <c r="P102" s="3">
        <v>0.3910073414591293</v>
      </c>
      <c r="Q102" s="3">
        <v>0</v>
      </c>
    </row>
    <row r="103" spans="1:17" x14ac:dyDescent="0.2">
      <c r="A103" s="2">
        <v>99</v>
      </c>
      <c r="B103" s="2">
        <f t="shared" ca="1" si="3"/>
        <v>5.233012777815238E-3</v>
      </c>
      <c r="F103" s="4">
        <v>99</v>
      </c>
      <c r="G103" s="3">
        <v>3.96</v>
      </c>
      <c r="H103" s="3">
        <v>3.446916913980473</v>
      </c>
      <c r="I103" s="3">
        <v>3.0314288085446566</v>
      </c>
      <c r="J103" s="3">
        <v>3.036845008076213</v>
      </c>
      <c r="K103" s="3">
        <v>2.427192591726119</v>
      </c>
      <c r="L103" s="3">
        <v>2.1518764870372209</v>
      </c>
      <c r="M103" s="3">
        <v>1.3254916186947414</v>
      </c>
      <c r="N103" s="3">
        <v>1.085800903341106</v>
      </c>
      <c r="O103" s="3">
        <v>0.91415657579944165</v>
      </c>
      <c r="P103" s="3">
        <v>0.42466165936200184</v>
      </c>
      <c r="Q103" s="3">
        <v>0</v>
      </c>
    </row>
    <row r="104" spans="1:17" x14ac:dyDescent="0.2">
      <c r="A104" s="2">
        <v>100</v>
      </c>
      <c r="B104" s="2">
        <f t="shared" ca="1" si="3"/>
        <v>0.74918452635680199</v>
      </c>
      <c r="F104" s="4">
        <v>100</v>
      </c>
      <c r="G104" s="3">
        <v>3.96</v>
      </c>
      <c r="H104" s="3">
        <v>3.5056922603274958</v>
      </c>
      <c r="I104" s="3">
        <v>3.2333610333244835</v>
      </c>
      <c r="J104" s="3">
        <v>2.5919316026360395</v>
      </c>
      <c r="K104" s="3">
        <v>2.6405529315612073</v>
      </c>
      <c r="L104" s="3">
        <v>2.332632272274294</v>
      </c>
      <c r="M104" s="3">
        <v>1.5591862113976813</v>
      </c>
      <c r="N104" s="3">
        <v>1.2697603109079074</v>
      </c>
      <c r="O104" s="3">
        <v>0.70664222771518326</v>
      </c>
      <c r="P104" s="3">
        <v>0.48565426793691285</v>
      </c>
      <c r="Q104" s="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77</v>
      </c>
    </row>
    <row r="2" spans="1:1" x14ac:dyDescent="0.3">
      <c r="A2" s="1" t="s">
        <v>78</v>
      </c>
    </row>
    <row r="3" spans="1:1" x14ac:dyDescent="0.3">
      <c r="A3" s="1" t="s">
        <v>79</v>
      </c>
    </row>
    <row r="4" spans="1:1" x14ac:dyDescent="0.3">
      <c r="A4" s="1" t="s">
        <v>80</v>
      </c>
    </row>
    <row r="5" spans="1:1" x14ac:dyDescent="0.3">
      <c r="A5" s="1" t="s">
        <v>81</v>
      </c>
    </row>
    <row r="6" spans="1:1" x14ac:dyDescent="0.3">
      <c r="A6" s="1" t="s">
        <v>82</v>
      </c>
    </row>
    <row r="7" spans="1:1" x14ac:dyDescent="0.3">
      <c r="A7" s="1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7" t="s">
        <v>68</v>
      </c>
      <c r="C2" s="16" t="s">
        <v>67</v>
      </c>
      <c r="D2" s="16" t="s">
        <v>66</v>
      </c>
      <c r="E2" s="16" t="s">
        <v>65</v>
      </c>
    </row>
    <row r="3" spans="2:5" x14ac:dyDescent="0.3">
      <c r="B3" s="1" t="s">
        <v>64</v>
      </c>
      <c r="C3" s="15">
        <f t="shared" ref="C3:C22" ca="1" si="0">RAND()</f>
        <v>0.44384252723711093</v>
      </c>
      <c r="D3" s="15">
        <f t="shared" ref="D3:D12" ca="1" si="1">C3+RAND()*(1-C3)</f>
        <v>0.61627973060908248</v>
      </c>
      <c r="E3" s="15"/>
    </row>
    <row r="4" spans="2:5" x14ac:dyDescent="0.3">
      <c r="B4" s="1" t="s">
        <v>64</v>
      </c>
      <c r="C4" s="15">
        <f t="shared" ca="1" si="0"/>
        <v>0.33405649922778002</v>
      </c>
      <c r="D4" s="15">
        <f t="shared" ca="1" si="1"/>
        <v>0.87186844906495331</v>
      </c>
      <c r="E4" s="15"/>
    </row>
    <row r="5" spans="2:5" x14ac:dyDescent="0.3">
      <c r="B5" s="1" t="s">
        <v>64</v>
      </c>
      <c r="C5" s="15">
        <f t="shared" ca="1" si="0"/>
        <v>0.95911487992905808</v>
      </c>
      <c r="D5" s="15">
        <f t="shared" ca="1" si="1"/>
        <v>0.99622709891807104</v>
      </c>
      <c r="E5" s="15"/>
    </row>
    <row r="6" spans="2:5" x14ac:dyDescent="0.3">
      <c r="B6" s="1" t="s">
        <v>64</v>
      </c>
      <c r="C6" s="15">
        <f t="shared" ca="1" si="0"/>
        <v>0.67195718743079791</v>
      </c>
      <c r="D6" s="15">
        <f t="shared" ca="1" si="1"/>
        <v>0.75004003500677296</v>
      </c>
      <c r="E6" s="15"/>
    </row>
    <row r="7" spans="2:5" x14ac:dyDescent="0.3">
      <c r="B7" s="1" t="s">
        <v>64</v>
      </c>
      <c r="C7" s="15">
        <f t="shared" ca="1" si="0"/>
        <v>0.96866853732302283</v>
      </c>
      <c r="D7" s="15">
        <f t="shared" ca="1" si="1"/>
        <v>0.97346985001612407</v>
      </c>
      <c r="E7" s="15"/>
    </row>
    <row r="8" spans="2:5" x14ac:dyDescent="0.3">
      <c r="B8" s="1" t="s">
        <v>64</v>
      </c>
      <c r="C8" s="15">
        <f t="shared" ca="1" si="0"/>
        <v>0.26329522991603427</v>
      </c>
      <c r="D8" s="15">
        <f t="shared" ca="1" si="1"/>
        <v>0.97846951403817073</v>
      </c>
      <c r="E8" s="15"/>
    </row>
    <row r="9" spans="2:5" x14ac:dyDescent="0.3">
      <c r="B9" s="1" t="s">
        <v>64</v>
      </c>
      <c r="C9" s="15">
        <f t="shared" ca="1" si="0"/>
        <v>0.36474243117406191</v>
      </c>
      <c r="D9" s="15">
        <f t="shared" ca="1" si="1"/>
        <v>0.89862360233076177</v>
      </c>
      <c r="E9" s="15"/>
    </row>
    <row r="10" spans="2:5" x14ac:dyDescent="0.3">
      <c r="B10" s="1" t="s">
        <v>64</v>
      </c>
      <c r="C10" s="15">
        <f t="shared" ca="1" si="0"/>
        <v>0.37743211474056271</v>
      </c>
      <c r="D10" s="15">
        <f t="shared" ca="1" si="1"/>
        <v>0.97661885485657485</v>
      </c>
      <c r="E10" s="15"/>
    </row>
    <row r="11" spans="2:5" x14ac:dyDescent="0.3">
      <c r="B11" s="1" t="s">
        <v>64</v>
      </c>
      <c r="C11" s="15">
        <f t="shared" ca="1" si="0"/>
        <v>0.63305250282647396</v>
      </c>
      <c r="D11" s="15">
        <f t="shared" ca="1" si="1"/>
        <v>0.64667273073064024</v>
      </c>
      <c r="E11" s="15"/>
    </row>
    <row r="12" spans="2:5" x14ac:dyDescent="0.3">
      <c r="B12" s="1" t="s">
        <v>64</v>
      </c>
      <c r="C12" s="15">
        <f t="shared" ca="1" si="0"/>
        <v>9.7297994966288881E-2</v>
      </c>
      <c r="D12" s="15">
        <f t="shared" ca="1" si="1"/>
        <v>0.71264749429148988</v>
      </c>
      <c r="E12" s="15"/>
    </row>
    <row r="13" spans="2:5" x14ac:dyDescent="0.3">
      <c r="B13" s="1" t="s">
        <v>63</v>
      </c>
      <c r="C13" s="15">
        <f t="shared" ca="1" si="0"/>
        <v>6.9361044747246803E-2</v>
      </c>
      <c r="D13" s="15"/>
      <c r="E13" s="15">
        <f t="shared" ref="E13:E22" ca="1" si="2">RAND()*C13</f>
        <v>5.2300279253065379E-2</v>
      </c>
    </row>
    <row r="14" spans="2:5" x14ac:dyDescent="0.3">
      <c r="B14" s="1" t="s">
        <v>63</v>
      </c>
      <c r="C14" s="15">
        <f t="shared" ca="1" si="0"/>
        <v>0.66982328758535847</v>
      </c>
      <c r="D14" s="15"/>
      <c r="E14" s="15">
        <f t="shared" ca="1" si="2"/>
        <v>0.61978125626417713</v>
      </c>
    </row>
    <row r="15" spans="2:5" x14ac:dyDescent="0.3">
      <c r="B15" s="1" t="s">
        <v>63</v>
      </c>
      <c r="C15" s="15">
        <f t="shared" ca="1" si="0"/>
        <v>8.1609020298713308E-2</v>
      </c>
      <c r="D15" s="15"/>
      <c r="E15" s="15">
        <f t="shared" ca="1" si="2"/>
        <v>7.5198877744078615E-2</v>
      </c>
    </row>
    <row r="16" spans="2:5" x14ac:dyDescent="0.3">
      <c r="B16" s="1" t="s">
        <v>63</v>
      </c>
      <c r="C16" s="15">
        <f t="shared" ca="1" si="0"/>
        <v>0.26003008007945116</v>
      </c>
      <c r="D16" s="15"/>
      <c r="E16" s="15">
        <f t="shared" ca="1" si="2"/>
        <v>0.19704557818982515</v>
      </c>
    </row>
    <row r="17" spans="2:5" x14ac:dyDescent="0.3">
      <c r="B17" s="1" t="s">
        <v>63</v>
      </c>
      <c r="C17" s="15">
        <f t="shared" ca="1" si="0"/>
        <v>0.50612067014510087</v>
      </c>
      <c r="D17" s="15"/>
      <c r="E17" s="15">
        <f t="shared" ca="1" si="2"/>
        <v>6.7413498653687162E-2</v>
      </c>
    </row>
    <row r="18" spans="2:5" x14ac:dyDescent="0.3">
      <c r="B18" s="1" t="s">
        <v>63</v>
      </c>
      <c r="C18" s="15">
        <f t="shared" ca="1" si="0"/>
        <v>0.92717058937190389</v>
      </c>
      <c r="D18" s="15"/>
      <c r="E18" s="15">
        <f t="shared" ca="1" si="2"/>
        <v>0.56599516269585382</v>
      </c>
    </row>
    <row r="19" spans="2:5" x14ac:dyDescent="0.3">
      <c r="B19" s="1" t="s">
        <v>63</v>
      </c>
      <c r="C19" s="15">
        <f t="shared" ca="1" si="0"/>
        <v>0.22860065393118689</v>
      </c>
      <c r="D19" s="15"/>
      <c r="E19" s="15">
        <f t="shared" ca="1" si="2"/>
        <v>0.16354576420514597</v>
      </c>
    </row>
    <row r="20" spans="2:5" x14ac:dyDescent="0.3">
      <c r="B20" s="1" t="s">
        <v>63</v>
      </c>
      <c r="C20" s="15">
        <f t="shared" ca="1" si="0"/>
        <v>0.44192254172656753</v>
      </c>
      <c r="D20" s="15"/>
      <c r="E20" s="15">
        <f t="shared" ca="1" si="2"/>
        <v>0.3533498518405771</v>
      </c>
    </row>
    <row r="21" spans="2:5" x14ac:dyDescent="0.3">
      <c r="B21" s="1" t="s">
        <v>63</v>
      </c>
      <c r="C21" s="15">
        <f t="shared" ca="1" si="0"/>
        <v>0.45214222574567253</v>
      </c>
      <c r="D21" s="15"/>
      <c r="E21" s="15">
        <f t="shared" ca="1" si="2"/>
        <v>0.41298548126130741</v>
      </c>
    </row>
    <row r="22" spans="2:5" x14ac:dyDescent="0.3">
      <c r="B22" s="1" t="s">
        <v>63</v>
      </c>
      <c r="C22" s="15">
        <f t="shared" ca="1" si="0"/>
        <v>0.98288722561761033</v>
      </c>
      <c r="D22" s="15"/>
      <c r="E22" s="15">
        <f t="shared" ca="1" si="2"/>
        <v>0.62950655448499537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7" t="s">
        <v>68</v>
      </c>
      <c r="C2" s="16" t="s">
        <v>67</v>
      </c>
      <c r="D2" s="16" t="s">
        <v>66</v>
      </c>
      <c r="E2" s="16" t="s">
        <v>65</v>
      </c>
      <c r="F2" s="1" t="s">
        <v>72</v>
      </c>
    </row>
    <row r="3" spans="2:6" x14ac:dyDescent="0.3">
      <c r="B3" s="1" t="s">
        <v>64</v>
      </c>
      <c r="C3" s="15">
        <f t="shared" ref="C3:C25" ca="1" si="0">RAND()</f>
        <v>0.63585505919828977</v>
      </c>
      <c r="D3" s="15">
        <f t="shared" ref="D3:D12" ca="1" si="1">C3+RAND()*(1-C3)</f>
        <v>0.69107190448193379</v>
      </c>
      <c r="E3" s="15"/>
    </row>
    <row r="4" spans="2:6" x14ac:dyDescent="0.3">
      <c r="B4" s="1" t="s">
        <v>64</v>
      </c>
      <c r="C4" s="15">
        <f t="shared" ca="1" si="0"/>
        <v>0.97054183822648188</v>
      </c>
      <c r="D4" s="15">
        <f t="shared" ca="1" si="1"/>
        <v>0.99568912629253414</v>
      </c>
      <c r="E4" s="15"/>
    </row>
    <row r="5" spans="2:6" x14ac:dyDescent="0.3">
      <c r="B5" s="1" t="s">
        <v>64</v>
      </c>
      <c r="C5" s="15">
        <f t="shared" ca="1" si="0"/>
        <v>0.75984243133269536</v>
      </c>
      <c r="D5" s="15">
        <f t="shared" ca="1" si="1"/>
        <v>0.93365392278171466</v>
      </c>
      <c r="E5" s="15"/>
    </row>
    <row r="6" spans="2:6" x14ac:dyDescent="0.3">
      <c r="B6" s="1" t="s">
        <v>64</v>
      </c>
      <c r="C6" s="15">
        <f t="shared" ca="1" si="0"/>
        <v>0.2514413699310043</v>
      </c>
      <c r="D6" s="15">
        <f t="shared" ca="1" si="1"/>
        <v>0.8412001351075582</v>
      </c>
      <c r="E6" s="15"/>
    </row>
    <row r="7" spans="2:6" x14ac:dyDescent="0.3">
      <c r="B7" s="1" t="s">
        <v>64</v>
      </c>
      <c r="C7" s="15">
        <f t="shared" ca="1" si="0"/>
        <v>0.96511432645186079</v>
      </c>
      <c r="D7" s="15">
        <f t="shared" ca="1" si="1"/>
        <v>0.98059895268580388</v>
      </c>
      <c r="E7" s="15"/>
    </row>
    <row r="8" spans="2:6" x14ac:dyDescent="0.3">
      <c r="B8" s="1" t="s">
        <v>64</v>
      </c>
      <c r="C8" s="15">
        <f t="shared" ca="1" si="0"/>
        <v>0.7935531986705463</v>
      </c>
      <c r="D8" s="15">
        <f t="shared" ca="1" si="1"/>
        <v>0.97938441618695071</v>
      </c>
      <c r="E8" s="15"/>
    </row>
    <row r="9" spans="2:6" x14ac:dyDescent="0.3">
      <c r="B9" s="1" t="s">
        <v>64</v>
      </c>
      <c r="C9" s="15">
        <f t="shared" ca="1" si="0"/>
        <v>0.34472439608334238</v>
      </c>
      <c r="D9" s="15">
        <f t="shared" ca="1" si="1"/>
        <v>0.48301425710717172</v>
      </c>
      <c r="E9" s="15"/>
    </row>
    <row r="10" spans="2:6" x14ac:dyDescent="0.3">
      <c r="B10" s="1" t="s">
        <v>64</v>
      </c>
      <c r="C10" s="15">
        <f t="shared" ca="1" si="0"/>
        <v>0.66862235647686863</v>
      </c>
      <c r="D10" s="15">
        <f t="shared" ca="1" si="1"/>
        <v>0.99371603248727747</v>
      </c>
      <c r="E10" s="15"/>
    </row>
    <row r="11" spans="2:6" x14ac:dyDescent="0.3">
      <c r="B11" s="1" t="s">
        <v>64</v>
      </c>
      <c r="C11" s="15">
        <f t="shared" ca="1" si="0"/>
        <v>0.76142383728728691</v>
      </c>
      <c r="D11" s="15">
        <f t="shared" ca="1" si="1"/>
        <v>0.99282190518138003</v>
      </c>
      <c r="E11" s="15"/>
    </row>
    <row r="12" spans="2:6" x14ac:dyDescent="0.3">
      <c r="B12" s="1" t="s">
        <v>64</v>
      </c>
      <c r="C12" s="15">
        <f t="shared" ca="1" si="0"/>
        <v>2.165678658097725E-2</v>
      </c>
      <c r="D12" s="15">
        <f t="shared" ca="1" si="1"/>
        <v>0.95300158235710719</v>
      </c>
      <c r="E12" s="15"/>
    </row>
    <row r="13" spans="2:6" x14ac:dyDescent="0.3">
      <c r="B13" s="1" t="s">
        <v>63</v>
      </c>
      <c r="C13" s="15">
        <f t="shared" ca="1" si="0"/>
        <v>0.41074207954180575</v>
      </c>
      <c r="D13" s="15"/>
      <c r="E13" s="15">
        <f t="shared" ref="E13:E22" ca="1" si="2">RAND()*C13</f>
        <v>0.32984684705984108</v>
      </c>
    </row>
    <row r="14" spans="2:6" x14ac:dyDescent="0.3">
      <c r="B14" s="1" t="s">
        <v>63</v>
      </c>
      <c r="C14" s="15">
        <f t="shared" ca="1" si="0"/>
        <v>0.95176151523177854</v>
      </c>
      <c r="D14" s="15"/>
      <c r="E14" s="15">
        <f t="shared" ca="1" si="2"/>
        <v>0.54405394002838325</v>
      </c>
    </row>
    <row r="15" spans="2:6" x14ac:dyDescent="0.3">
      <c r="B15" s="1" t="s">
        <v>63</v>
      </c>
      <c r="C15" s="15">
        <f t="shared" ca="1" si="0"/>
        <v>0.59653186240787426</v>
      </c>
      <c r="D15" s="15"/>
      <c r="E15" s="15">
        <f t="shared" ca="1" si="2"/>
        <v>3.9250712955993104E-2</v>
      </c>
    </row>
    <row r="16" spans="2:6" x14ac:dyDescent="0.3">
      <c r="B16" s="1" t="s">
        <v>63</v>
      </c>
      <c r="C16" s="15">
        <f t="shared" ca="1" si="0"/>
        <v>0.15725234188987181</v>
      </c>
      <c r="D16" s="15"/>
      <c r="E16" s="15">
        <f t="shared" ca="1" si="2"/>
        <v>3.3228220132311289E-3</v>
      </c>
    </row>
    <row r="17" spans="2:6" x14ac:dyDescent="0.3">
      <c r="B17" s="1" t="s">
        <v>63</v>
      </c>
      <c r="C17" s="15">
        <f t="shared" ca="1" si="0"/>
        <v>0.98451987708569311</v>
      </c>
      <c r="D17" s="15"/>
      <c r="E17" s="15">
        <f t="shared" ca="1" si="2"/>
        <v>0.14447494112261877</v>
      </c>
    </row>
    <row r="18" spans="2:6" x14ac:dyDescent="0.3">
      <c r="B18" s="1" t="s">
        <v>63</v>
      </c>
      <c r="C18" s="15">
        <f t="shared" ca="1" si="0"/>
        <v>0.18897018894013506</v>
      </c>
      <c r="D18" s="15"/>
      <c r="E18" s="15">
        <f t="shared" ca="1" si="2"/>
        <v>6.5112548116047622E-2</v>
      </c>
    </row>
    <row r="19" spans="2:6" x14ac:dyDescent="0.3">
      <c r="B19" s="1" t="s">
        <v>63</v>
      </c>
      <c r="C19" s="15">
        <f t="shared" ca="1" si="0"/>
        <v>0.46922597083243389</v>
      </c>
      <c r="D19" s="15"/>
      <c r="E19" s="15">
        <f t="shared" ca="1" si="2"/>
        <v>0.19075022397563057</v>
      </c>
    </row>
    <row r="20" spans="2:6" x14ac:dyDescent="0.3">
      <c r="B20" s="1" t="s">
        <v>63</v>
      </c>
      <c r="C20" s="15">
        <f t="shared" ca="1" si="0"/>
        <v>0.13849441672522156</v>
      </c>
      <c r="D20" s="15"/>
      <c r="E20" s="15">
        <f t="shared" ca="1" si="2"/>
        <v>7.6559202999492912E-2</v>
      </c>
    </row>
    <row r="21" spans="2:6" x14ac:dyDescent="0.3">
      <c r="B21" s="1" t="s">
        <v>63</v>
      </c>
      <c r="C21" s="15">
        <f t="shared" ca="1" si="0"/>
        <v>9.8802362982183478E-2</v>
      </c>
      <c r="D21" s="15"/>
      <c r="E21" s="15">
        <f t="shared" ca="1" si="2"/>
        <v>2.5295814411977209E-2</v>
      </c>
    </row>
    <row r="22" spans="2:6" x14ac:dyDescent="0.3">
      <c r="B22" s="1" t="s">
        <v>63</v>
      </c>
      <c r="C22" s="15">
        <f t="shared" ca="1" si="0"/>
        <v>0.95555815034941305</v>
      </c>
      <c r="D22" s="15"/>
      <c r="E22" s="15">
        <f t="shared" ca="1" si="2"/>
        <v>0.70905896942686675</v>
      </c>
    </row>
    <row r="23" spans="2:6" x14ac:dyDescent="0.3">
      <c r="B23" s="1" t="s">
        <v>71</v>
      </c>
      <c r="C23" s="15">
        <f t="shared" ca="1" si="0"/>
        <v>0.69780751821767939</v>
      </c>
      <c r="F23" s="15">
        <f ca="1">RAND()</f>
        <v>0.73059986695091717</v>
      </c>
    </row>
    <row r="24" spans="2:6" x14ac:dyDescent="0.3">
      <c r="B24" s="1" t="s">
        <v>70</v>
      </c>
      <c r="C24" s="15">
        <f t="shared" ca="1" si="0"/>
        <v>6.0529639598824181E-2</v>
      </c>
      <c r="F24" s="15">
        <f ca="1">RAND()</f>
        <v>7.5769677595259211E-2</v>
      </c>
    </row>
    <row r="25" spans="2:6" x14ac:dyDescent="0.3">
      <c r="B25" s="1" t="s">
        <v>69</v>
      </c>
      <c r="C25" s="15">
        <f t="shared" ca="1" si="0"/>
        <v>0.20795835790826911</v>
      </c>
      <c r="F25" s="15">
        <f ca="1">RAND()</f>
        <v>0.14770980789997257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>
      <selection activeCell="C3" sqref="C3:F22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7" t="s">
        <v>68</v>
      </c>
      <c r="C2" s="16" t="s">
        <v>67</v>
      </c>
      <c r="D2" s="16" t="s">
        <v>66</v>
      </c>
      <c r="E2" s="16" t="s">
        <v>65</v>
      </c>
      <c r="F2" s="1" t="s">
        <v>72</v>
      </c>
      <c r="G2" s="19" t="s">
        <v>75</v>
      </c>
      <c r="H2" s="19" t="s">
        <v>74</v>
      </c>
      <c r="I2" s="18" t="s">
        <v>73</v>
      </c>
    </row>
    <row r="3" spans="2:9" x14ac:dyDescent="0.3">
      <c r="B3" s="1" t="s">
        <v>64</v>
      </c>
      <c r="C3" s="15">
        <f t="shared" ref="C3:C25" ca="1" si="0">RAND()</f>
        <v>0.24623387639580252</v>
      </c>
      <c r="D3" s="15">
        <f t="shared" ref="D3:D12" ca="1" si="1">C3+RAND()*(1-C3)</f>
        <v>0.7895141627399912</v>
      </c>
      <c r="E3" s="15"/>
      <c r="G3" s="15">
        <f t="shared" ref="G3:G12" ca="1" si="2">SUMSQ($C3-$C$23,$D3-$F$23)</f>
        <v>0.2109621225620138</v>
      </c>
      <c r="H3" s="15">
        <f t="shared" ref="H3:H12" ca="1" si="3">SUMSQ($C3-$C$24,$D3-$F$24)</f>
        <v>6.1785708409522251E-2</v>
      </c>
      <c r="I3" s="15">
        <f t="shared" ref="I3:I12" ca="1" si="4">SUMSQ($C3-$C$25,$D3-$F$25)</f>
        <v>0.22850616278933605</v>
      </c>
    </row>
    <row r="4" spans="2:9" x14ac:dyDescent="0.3">
      <c r="B4" s="1" t="s">
        <v>64</v>
      </c>
      <c r="C4" s="15">
        <f t="shared" ca="1" si="0"/>
        <v>0.63119871762325597</v>
      </c>
      <c r="D4" s="15">
        <f t="shared" ca="1" si="1"/>
        <v>0.75162821993239326</v>
      </c>
      <c r="E4" s="15"/>
      <c r="G4" s="15">
        <f t="shared" ca="1" si="2"/>
        <v>0.18668125446746031</v>
      </c>
      <c r="H4" s="15">
        <f t="shared" ca="1" si="3"/>
        <v>0.24792014709007631</v>
      </c>
      <c r="I4" s="15">
        <f t="shared" ca="1" si="4"/>
        <v>2.5309016778155027E-2</v>
      </c>
    </row>
    <row r="5" spans="2:9" x14ac:dyDescent="0.3">
      <c r="B5" s="1" t="s">
        <v>64</v>
      </c>
      <c r="C5" s="15">
        <f t="shared" ca="1" si="0"/>
        <v>0.44504859270310548</v>
      </c>
      <c r="D5" s="15">
        <f t="shared" ca="1" si="1"/>
        <v>0.7025283753906566</v>
      </c>
      <c r="E5" s="15"/>
      <c r="G5" s="15">
        <f t="shared" ca="1" si="2"/>
        <v>0.11152122141938081</v>
      </c>
      <c r="H5" s="15">
        <f t="shared" ca="1" si="3"/>
        <v>9.5604478552388669E-2</v>
      </c>
      <c r="I5" s="15">
        <f t="shared" ca="1" si="4"/>
        <v>0.10657868134866265</v>
      </c>
    </row>
    <row r="6" spans="2:9" x14ac:dyDescent="0.3">
      <c r="B6" s="1" t="s">
        <v>64</v>
      </c>
      <c r="C6" s="15">
        <f t="shared" ca="1" si="0"/>
        <v>0.21631843597261913</v>
      </c>
      <c r="D6" s="15">
        <f t="shared" ca="1" si="1"/>
        <v>0.56438147385804538</v>
      </c>
      <c r="E6" s="15"/>
      <c r="G6" s="15">
        <f t="shared" ca="1" si="2"/>
        <v>8.418640511280942E-2</v>
      </c>
      <c r="H6" s="15">
        <f t="shared" ca="1" si="3"/>
        <v>1.8483082592530497E-3</v>
      </c>
      <c r="I6" s="15">
        <f t="shared" ca="1" si="4"/>
        <v>0.35215093343561299</v>
      </c>
    </row>
    <row r="7" spans="2:9" x14ac:dyDescent="0.3">
      <c r="B7" s="1" t="s">
        <v>64</v>
      </c>
      <c r="C7" s="15">
        <f t="shared" ca="1" si="0"/>
        <v>0.62942232104249696</v>
      </c>
      <c r="D7" s="15">
        <f t="shared" ca="1" si="1"/>
        <v>0.77346802327604436</v>
      </c>
      <c r="E7" s="15"/>
      <c r="G7" s="15">
        <f t="shared" ca="1" si="2"/>
        <v>0.20316707889674107</v>
      </c>
      <c r="H7" s="15">
        <f t="shared" ca="1" si="3"/>
        <v>0.25553285558568828</v>
      </c>
      <c r="I7" s="15">
        <f t="shared" ca="1" si="4"/>
        <v>2.0153725141473802E-2</v>
      </c>
    </row>
    <row r="8" spans="2:9" x14ac:dyDescent="0.3">
      <c r="B8" s="1" t="s">
        <v>64</v>
      </c>
      <c r="C8" s="15">
        <f t="shared" ca="1" si="0"/>
        <v>0.39457912123195737</v>
      </c>
      <c r="D8" s="15">
        <f t="shared" ca="1" si="1"/>
        <v>0.95775914254523264</v>
      </c>
      <c r="E8" s="15"/>
      <c r="G8" s="15">
        <f t="shared" ca="1" si="2"/>
        <v>0.34807559252477299</v>
      </c>
      <c r="H8" s="15">
        <f t="shared" ca="1" si="3"/>
        <v>0.21329089371891125</v>
      </c>
      <c r="I8" s="15">
        <f t="shared" ca="1" si="4"/>
        <v>0.10706413116388247</v>
      </c>
    </row>
    <row r="9" spans="2:9" x14ac:dyDescent="0.3">
      <c r="B9" s="1" t="s">
        <v>64</v>
      </c>
      <c r="C9" s="15">
        <f t="shared" ca="1" si="0"/>
        <v>0.78136471312126976</v>
      </c>
      <c r="D9" s="15">
        <f t="shared" ca="1" si="1"/>
        <v>0.89002422633197475</v>
      </c>
      <c r="E9" s="15"/>
      <c r="G9" s="15">
        <f t="shared" ca="1" si="2"/>
        <v>0.39453371598211961</v>
      </c>
      <c r="H9" s="15">
        <f t="shared" ca="1" si="3"/>
        <v>0.48198138605428681</v>
      </c>
      <c r="I9" s="15">
        <f t="shared" ca="1" si="4"/>
        <v>4.5275091887088271E-3</v>
      </c>
    </row>
    <row r="10" spans="2:9" x14ac:dyDescent="0.3">
      <c r="B10" s="1" t="s">
        <v>64</v>
      </c>
      <c r="C10" s="15">
        <f t="shared" ca="1" si="0"/>
        <v>0.52168509272794061</v>
      </c>
      <c r="D10" s="15">
        <f t="shared" ca="1" si="1"/>
        <v>0.65756569200745185</v>
      </c>
      <c r="E10" s="15"/>
      <c r="G10" s="15">
        <f t="shared" ca="1" si="2"/>
        <v>9.1609233202281468E-2</v>
      </c>
      <c r="H10" s="15">
        <f t="shared" ca="1" si="3"/>
        <v>0.13122963526673181</v>
      </c>
      <c r="I10" s="15">
        <f t="shared" ca="1" si="4"/>
        <v>8.9854470061672131E-2</v>
      </c>
    </row>
    <row r="11" spans="2:9" x14ac:dyDescent="0.3">
      <c r="B11" s="1" t="s">
        <v>64</v>
      </c>
      <c r="C11" s="15">
        <f t="shared" ca="1" si="0"/>
        <v>0.34367968069068078</v>
      </c>
      <c r="D11" s="15">
        <f t="shared" ca="1" si="1"/>
        <v>0.71451987206010381</v>
      </c>
      <c r="E11" s="15"/>
      <c r="G11" s="15">
        <f t="shared" ca="1" si="2"/>
        <v>0.12703772716043135</v>
      </c>
      <c r="H11" s="15">
        <f t="shared" ca="1" si="3"/>
        <v>5.4979347239736173E-2</v>
      </c>
      <c r="I11" s="15">
        <f t="shared" ca="1" si="4"/>
        <v>0.16711745349636778</v>
      </c>
    </row>
    <row r="12" spans="2:9" x14ac:dyDescent="0.3">
      <c r="B12" s="1" t="s">
        <v>64</v>
      </c>
      <c r="C12" s="15">
        <f t="shared" ca="1" si="0"/>
        <v>0.4282559857091448</v>
      </c>
      <c r="D12" s="15">
        <f t="shared" ca="1" si="1"/>
        <v>0.52641575276970465</v>
      </c>
      <c r="E12" s="15"/>
      <c r="G12" s="15">
        <f t="shared" ca="1" si="2"/>
        <v>2.4821097983458641E-2</v>
      </c>
      <c r="H12" s="15">
        <f t="shared" ca="1" si="3"/>
        <v>6.4564571274195195E-2</v>
      </c>
      <c r="I12" s="15">
        <f t="shared" ca="1" si="4"/>
        <v>0.21202671378556129</v>
      </c>
    </row>
    <row r="13" spans="2:9" x14ac:dyDescent="0.3">
      <c r="B13" s="1" t="s">
        <v>63</v>
      </c>
      <c r="C13" s="15">
        <f t="shared" ca="1" si="0"/>
        <v>0.90795999234131508</v>
      </c>
      <c r="D13" s="15"/>
      <c r="E13" s="15">
        <f t="shared" ref="E13:E22" ca="1" si="5">RAND()*C13</f>
        <v>0.50324844634318944</v>
      </c>
      <c r="G13" s="15">
        <f t="shared" ref="G13:G22" ca="1" si="6">SUMSQ(C13-$C$23,E13-$F$23)</f>
        <v>0.24580933000102873</v>
      </c>
      <c r="H13" s="15">
        <f t="shared" ref="H13:H22" ca="1" si="7">SUMSQ($C13-$C$24,$E13-$F$24)</f>
        <v>0.53898166455424246</v>
      </c>
      <c r="I13" s="15">
        <f t="shared" ref="I13:I22" ca="1" si="8">SUMSQ($C13-$C$25,$E13-$F$25)</f>
        <v>0.18513568090368521</v>
      </c>
    </row>
    <row r="14" spans="2:9" x14ac:dyDescent="0.3">
      <c r="B14" s="1" t="s">
        <v>63</v>
      </c>
      <c r="C14" s="15">
        <f t="shared" ca="1" si="0"/>
        <v>0.67346382128753535</v>
      </c>
      <c r="D14" s="15"/>
      <c r="E14" s="15">
        <f t="shared" ca="1" si="5"/>
        <v>0.10538779574823139</v>
      </c>
      <c r="G14" s="15">
        <f t="shared" ca="1" si="6"/>
        <v>0.12835614785792304</v>
      </c>
      <c r="H14" s="15">
        <f t="shared" ca="1" si="7"/>
        <v>0.44689147744739888</v>
      </c>
      <c r="I14" s="15">
        <f t="shared" ca="1" si="8"/>
        <v>0.61318253969568892</v>
      </c>
    </row>
    <row r="15" spans="2:9" x14ac:dyDescent="0.3">
      <c r="B15" s="1" t="s">
        <v>63</v>
      </c>
      <c r="C15" s="15">
        <f t="shared" ca="1" si="0"/>
        <v>0.24697095066187502</v>
      </c>
      <c r="D15" s="15"/>
      <c r="E15" s="15">
        <f t="shared" ca="1" si="5"/>
        <v>0.18347664879131548</v>
      </c>
      <c r="G15" s="15">
        <f t="shared" ca="1" si="6"/>
        <v>6.8141602770561804E-2</v>
      </c>
      <c r="H15" s="15">
        <f t="shared" ca="1" si="7"/>
        <v>0.14039002743341686</v>
      </c>
      <c r="I15" s="15">
        <f t="shared" ca="1" si="8"/>
        <v>0.71373236627875902</v>
      </c>
    </row>
    <row r="16" spans="2:9" x14ac:dyDescent="0.3">
      <c r="B16" s="1" t="s">
        <v>63</v>
      </c>
      <c r="C16" s="15">
        <f t="shared" ca="1" si="0"/>
        <v>0.3333976765503962</v>
      </c>
      <c r="D16" s="15"/>
      <c r="E16" s="15">
        <f t="shared" ca="1" si="5"/>
        <v>0.22172718099410463</v>
      </c>
      <c r="G16" s="15">
        <f t="shared" ca="1" si="6"/>
        <v>3.1128208782638417E-2</v>
      </c>
      <c r="H16" s="15">
        <f t="shared" ca="1" si="7"/>
        <v>0.13356201783426166</v>
      </c>
      <c r="I16" s="15">
        <f t="shared" ca="1" si="8"/>
        <v>0.58806489289339892</v>
      </c>
    </row>
    <row r="17" spans="2:9" x14ac:dyDescent="0.3">
      <c r="B17" s="1" t="s">
        <v>63</v>
      </c>
      <c r="C17" s="15">
        <f t="shared" ca="1" si="0"/>
        <v>0.57980200564881368</v>
      </c>
      <c r="D17" s="15"/>
      <c r="E17" s="15">
        <f t="shared" ca="1" si="5"/>
        <v>0.46907945445858595</v>
      </c>
      <c r="G17" s="15">
        <f t="shared" ca="1" si="6"/>
        <v>3.2263341278302202E-2</v>
      </c>
      <c r="H17" s="15">
        <f t="shared" ca="1" si="7"/>
        <v>0.17031249708182328</v>
      </c>
      <c r="I17" s="15">
        <f t="shared" ca="1" si="8"/>
        <v>0.19302833293473398</v>
      </c>
    </row>
    <row r="18" spans="2:9" x14ac:dyDescent="0.3">
      <c r="B18" s="1" t="s">
        <v>63</v>
      </c>
      <c r="C18" s="15">
        <f t="shared" ca="1" si="0"/>
        <v>0.23256083837339525</v>
      </c>
      <c r="D18" s="15"/>
      <c r="E18" s="15">
        <f t="shared" ca="1" si="5"/>
        <v>0.15301546972123653</v>
      </c>
      <c r="G18" s="15">
        <f t="shared" ca="1" si="6"/>
        <v>8.5868561302985674E-2</v>
      </c>
      <c r="H18" s="15">
        <f t="shared" ca="1" si="7"/>
        <v>0.16186845118506399</v>
      </c>
      <c r="I18" s="15">
        <f t="shared" ca="1" si="8"/>
        <v>0.77121563080080979</v>
      </c>
    </row>
    <row r="19" spans="2:9" x14ac:dyDescent="0.3">
      <c r="B19" s="1" t="s">
        <v>63</v>
      </c>
      <c r="C19" s="15">
        <f t="shared" ca="1" si="0"/>
        <v>0.25648695941221977</v>
      </c>
      <c r="D19" s="15"/>
      <c r="E19" s="15">
        <f t="shared" ca="1" si="5"/>
        <v>8.8583866632930941E-2</v>
      </c>
      <c r="G19" s="15">
        <f t="shared" ca="1" si="6"/>
        <v>0.10892803567750513</v>
      </c>
      <c r="H19" s="15">
        <f t="shared" ca="1" si="7"/>
        <v>0.22064771861411969</v>
      </c>
      <c r="I19" s="15">
        <f t="shared" ca="1" si="8"/>
        <v>0.84752935314888944</v>
      </c>
    </row>
    <row r="20" spans="2:9" x14ac:dyDescent="0.3">
      <c r="B20" s="1" t="s">
        <v>63</v>
      </c>
      <c r="C20" s="15">
        <f t="shared" ca="1" si="0"/>
        <v>0.6001852975882952</v>
      </c>
      <c r="D20" s="15"/>
      <c r="E20" s="15">
        <f t="shared" ca="1" si="5"/>
        <v>0.57167470159319012</v>
      </c>
      <c r="G20" s="15">
        <f t="shared" ca="1" si="6"/>
        <v>6.9840458725528881E-2</v>
      </c>
      <c r="H20" s="15">
        <f t="shared" ca="1" si="7"/>
        <v>0.18087812219627408</v>
      </c>
      <c r="I20" s="15">
        <f t="shared" ca="1" si="8"/>
        <v>0.1126599927943099</v>
      </c>
    </row>
    <row r="21" spans="2:9" x14ac:dyDescent="0.3">
      <c r="B21" s="1" t="s">
        <v>63</v>
      </c>
      <c r="C21" s="15">
        <f t="shared" ca="1" si="0"/>
        <v>0.33371557798451035</v>
      </c>
      <c r="D21" s="15"/>
      <c r="E21" s="15">
        <f t="shared" ca="1" si="5"/>
        <v>0.28339949060060993</v>
      </c>
      <c r="G21" s="15">
        <f t="shared" ca="1" si="6"/>
        <v>1.6718419973431618E-2</v>
      </c>
      <c r="H21" s="15">
        <f t="shared" ca="1" si="7"/>
        <v>9.6819984823672101E-2</v>
      </c>
      <c r="I21" s="15">
        <f t="shared" ca="1" si="8"/>
        <v>0.50952036036863635</v>
      </c>
    </row>
    <row r="22" spans="2:9" x14ac:dyDescent="0.3">
      <c r="B22" s="1" t="s">
        <v>63</v>
      </c>
      <c r="C22" s="15">
        <f t="shared" ca="1" si="0"/>
        <v>0.55079603149714884</v>
      </c>
      <c r="D22" s="15"/>
      <c r="E22" s="15">
        <f t="shared" ca="1" si="5"/>
        <v>0.12616776930710458</v>
      </c>
      <c r="G22" s="15">
        <f t="shared" ca="1" si="6"/>
        <v>7.3330962793893784E-2</v>
      </c>
      <c r="H22" s="15">
        <f t="shared" ca="1" si="7"/>
        <v>0.32164204712991085</v>
      </c>
      <c r="I22" s="15">
        <f t="shared" ca="1" si="8"/>
        <v>0.60613846260989579</v>
      </c>
    </row>
    <row r="23" spans="2:9" x14ac:dyDescent="0.3">
      <c r="B23" s="1" t="s">
        <v>71</v>
      </c>
      <c r="C23" s="15">
        <f t="shared" ca="1" si="0"/>
        <v>0.43072150059506553</v>
      </c>
      <c r="F23" s="15">
        <f ca="1">RAND()</f>
        <v>0.3688879164365475</v>
      </c>
    </row>
    <row r="24" spans="2:9" x14ac:dyDescent="0.3">
      <c r="B24" s="1" t="s">
        <v>70</v>
      </c>
      <c r="C24" s="15">
        <f t="shared" ca="1" si="0"/>
        <v>0.17537786519943876</v>
      </c>
      <c r="F24" s="15">
        <f ca="1">RAND()</f>
        <v>0.55125981527312329</v>
      </c>
    </row>
    <row r="25" spans="2:9" x14ac:dyDescent="0.3">
      <c r="B25" s="1" t="s">
        <v>69</v>
      </c>
      <c r="C25" s="15">
        <f t="shared" ca="1" si="0"/>
        <v>0.71412949363165346</v>
      </c>
      <c r="F25" s="15">
        <f ca="1">RAND()</f>
        <v>0.88739089215417899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>
      <selection activeCell="H24" sqref="H24:O24"/>
    </sheetView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5" t="s">
        <v>68</v>
      </c>
      <c r="C2" s="24" t="s">
        <v>67</v>
      </c>
      <c r="D2" s="24" t="s">
        <v>66</v>
      </c>
      <c r="E2" s="24" t="s">
        <v>65</v>
      </c>
      <c r="F2" s="8" t="s">
        <v>72</v>
      </c>
      <c r="H2" s="19" t="s">
        <v>75</v>
      </c>
      <c r="I2" s="19" t="s">
        <v>74</v>
      </c>
      <c r="J2" s="18" t="s">
        <v>73</v>
      </c>
    </row>
    <row r="3" spans="2:10" x14ac:dyDescent="0.25">
      <c r="B3" s="8" t="s">
        <v>64</v>
      </c>
      <c r="C3" s="21">
        <f t="shared" ref="C3:C22" ca="1" si="0">RAND()</f>
        <v>0.28511089348463248</v>
      </c>
      <c r="D3" s="21">
        <f t="shared" ref="D3:D12" ca="1" si="1">C3+RAND()*(1-C3)</f>
        <v>0.88464882932165156</v>
      </c>
      <c r="E3" s="21"/>
      <c r="H3" s="21">
        <f t="shared" ref="H3:H12" ca="1" si="2">SUMSQ($C3-$C$24,$D3-$F$24)</f>
        <v>0.47282973043168214</v>
      </c>
      <c r="I3" s="21">
        <f t="shared" ref="I3:I12" ca="1" si="3">SUMSQ($C3-$C$25,$D3-$F$25)</f>
        <v>0.54076279745326528</v>
      </c>
      <c r="J3" s="21">
        <f t="shared" ref="J3:J12" ca="1" si="4">SUMSQ($C3-$C$26,$D3-$F$26)</f>
        <v>8.0308101336395585E-2</v>
      </c>
    </row>
    <row r="4" spans="2:10" x14ac:dyDescent="0.25">
      <c r="B4" s="8" t="s">
        <v>64</v>
      </c>
      <c r="C4" s="21">
        <f t="shared" ca="1" si="0"/>
        <v>0.3168459554761055</v>
      </c>
      <c r="D4" s="21">
        <f t="shared" ca="1" si="1"/>
        <v>0.52271587557388266</v>
      </c>
      <c r="E4" s="21"/>
      <c r="H4" s="21">
        <f t="shared" ca="1" si="2"/>
        <v>0.1278048209569384</v>
      </c>
      <c r="I4" s="21">
        <f t="shared" ca="1" si="3"/>
        <v>0.19682863249325322</v>
      </c>
      <c r="J4" s="21">
        <f t="shared" ca="1" si="4"/>
        <v>0.20674039332444721</v>
      </c>
    </row>
    <row r="5" spans="2:10" x14ac:dyDescent="0.25">
      <c r="B5" s="8" t="s">
        <v>64</v>
      </c>
      <c r="C5" s="21">
        <f t="shared" ca="1" si="0"/>
        <v>2.5837723324818818E-2</v>
      </c>
      <c r="D5" s="21">
        <f t="shared" ca="1" si="1"/>
        <v>0.53362385967764236</v>
      </c>
      <c r="E5" s="21"/>
      <c r="H5" s="21">
        <f t="shared" ca="1" si="2"/>
        <v>0.11564694848076879</v>
      </c>
      <c r="I5" s="21">
        <f t="shared" ca="1" si="3"/>
        <v>0.49599298108969597</v>
      </c>
      <c r="J5" s="21">
        <f t="shared" ca="1" si="4"/>
        <v>0.42944070278630281</v>
      </c>
    </row>
    <row r="6" spans="2:10" x14ac:dyDescent="0.25">
      <c r="B6" s="8" t="s">
        <v>64</v>
      </c>
      <c r="C6" s="21">
        <f t="shared" ca="1" si="0"/>
        <v>0.66801543813042541</v>
      </c>
      <c r="D6" s="21">
        <f t="shared" ca="1" si="1"/>
        <v>0.93152891785571668</v>
      </c>
      <c r="E6" s="21"/>
      <c r="H6" s="21">
        <f t="shared" ca="1" si="2"/>
        <v>0.79681063632222637</v>
      </c>
      <c r="I6" s="21">
        <f t="shared" ca="1" si="3"/>
        <v>0.44916241564633363</v>
      </c>
      <c r="J6" s="21">
        <f t="shared" ca="1" si="4"/>
        <v>1.0893319690494478E-2</v>
      </c>
    </row>
    <row r="7" spans="2:10" x14ac:dyDescent="0.25">
      <c r="B7" s="8" t="s">
        <v>64</v>
      </c>
      <c r="C7" s="21">
        <f t="shared" ca="1" si="0"/>
        <v>0.33032037262185043</v>
      </c>
      <c r="D7" s="21">
        <f t="shared" ca="1" si="1"/>
        <v>0.44170420105467001</v>
      </c>
      <c r="E7" s="21"/>
      <c r="H7" s="21">
        <f t="shared" ca="1" si="2"/>
        <v>8.9139209098812261E-2</v>
      </c>
      <c r="I7" s="21">
        <f t="shared" ca="1" si="3"/>
        <v>0.15156808582067288</v>
      </c>
      <c r="J7" s="21">
        <f t="shared" ca="1" si="4"/>
        <v>0.26813044848398254</v>
      </c>
    </row>
    <row r="8" spans="2:10" x14ac:dyDescent="0.25">
      <c r="B8" s="8" t="s">
        <v>64</v>
      </c>
      <c r="C8" s="21">
        <f t="shared" ca="1" si="0"/>
        <v>0.17137078618258061</v>
      </c>
      <c r="D8" s="21">
        <f t="shared" ca="1" si="1"/>
        <v>0.74303909543076108</v>
      </c>
      <c r="E8" s="21"/>
      <c r="H8" s="21">
        <f t="shared" ca="1" si="2"/>
        <v>0.28221960207398245</v>
      </c>
      <c r="I8" s="21">
        <f t="shared" ca="1" si="3"/>
        <v>0.48600196314340383</v>
      </c>
      <c r="J8" s="21">
        <f t="shared" ca="1" si="4"/>
        <v>0.18249072440794487</v>
      </c>
    </row>
    <row r="9" spans="2:10" x14ac:dyDescent="0.25">
      <c r="B9" s="8" t="s">
        <v>64</v>
      </c>
      <c r="C9" s="21">
        <f t="shared" ca="1" si="0"/>
        <v>0.34484204052429301</v>
      </c>
      <c r="D9" s="21">
        <f t="shared" ca="1" si="1"/>
        <v>0.72209421519098327</v>
      </c>
      <c r="E9" s="21"/>
      <c r="H9" s="21">
        <f t="shared" ca="1" si="2"/>
        <v>0.30189779321726806</v>
      </c>
      <c r="I9" s="21">
        <f t="shared" ca="1" si="3"/>
        <v>0.32150253564385484</v>
      </c>
      <c r="J9" s="21">
        <f t="shared" ca="1" si="4"/>
        <v>8.2069408741754502E-2</v>
      </c>
    </row>
    <row r="10" spans="2:10" x14ac:dyDescent="0.25">
      <c r="B10" s="8" t="s">
        <v>64</v>
      </c>
      <c r="C10" s="21">
        <f t="shared" ca="1" si="0"/>
        <v>0.45503521006098357</v>
      </c>
      <c r="D10" s="21">
        <f t="shared" ca="1" si="1"/>
        <v>0.89654448559746625</v>
      </c>
      <c r="E10" s="21"/>
      <c r="H10" s="21">
        <f t="shared" ca="1" si="2"/>
        <v>0.5676103086553772</v>
      </c>
      <c r="I10" s="21">
        <f t="shared" ca="1" si="3"/>
        <v>0.45198321421888848</v>
      </c>
      <c r="J10" s="21">
        <f t="shared" ca="1" si="4"/>
        <v>1.2783889994793232E-2</v>
      </c>
    </row>
    <row r="11" spans="2:10" x14ac:dyDescent="0.25">
      <c r="B11" s="8" t="s">
        <v>64</v>
      </c>
      <c r="C11" s="21">
        <f t="shared" ca="1" si="0"/>
        <v>0.81865551826094196</v>
      </c>
      <c r="D11" s="21">
        <f t="shared" ca="1" si="1"/>
        <v>0.97534654586244796</v>
      </c>
      <c r="E11" s="21"/>
      <c r="H11" s="21">
        <f t="shared" ca="1" si="2"/>
        <v>1.0439013970146753</v>
      </c>
      <c r="I11" s="21">
        <f t="shared" ca="1" si="3"/>
        <v>0.5302928461984262</v>
      </c>
      <c r="J11" s="21">
        <f t="shared" ca="1" si="4"/>
        <v>6.8253293765459494E-2</v>
      </c>
    </row>
    <row r="12" spans="2:10" x14ac:dyDescent="0.25">
      <c r="B12" s="8" t="s">
        <v>64</v>
      </c>
      <c r="C12" s="21">
        <f t="shared" ca="1" si="0"/>
        <v>0.97123988014519891</v>
      </c>
      <c r="D12" s="21">
        <f t="shared" ca="1" si="1"/>
        <v>0.99411820238509885</v>
      </c>
      <c r="E12" s="21"/>
      <c r="H12" s="21">
        <f t="shared" ca="1" si="2"/>
        <v>1.303686087755644</v>
      </c>
      <c r="I12" s="21">
        <f t="shared" ca="1" si="3"/>
        <v>0.62446298405947132</v>
      </c>
      <c r="J12" s="21">
        <f t="shared" ca="1" si="4"/>
        <v>0.17114853407021438</v>
      </c>
    </row>
    <row r="13" spans="2:10" x14ac:dyDescent="0.25">
      <c r="B13" s="8" t="s">
        <v>63</v>
      </c>
      <c r="C13" s="21">
        <f t="shared" ca="1" si="0"/>
        <v>0.27083496620284508</v>
      </c>
      <c r="D13" s="21"/>
      <c r="E13" s="21">
        <f t="shared" ref="E13:E22" ca="1" si="5">RAND()*C13</f>
        <v>0.25505575319098278</v>
      </c>
      <c r="H13" s="21">
        <f t="shared" ref="H13:H22" ca="1" si="6">SUMSQ(C13-$C$24,E13-$F$24)</f>
        <v>1.9262800606580331E-2</v>
      </c>
      <c r="I13" s="21">
        <f t="shared" ref="I13:I22" ca="1" si="7">SUMSQ($C13-$C$25,$E13-$F$25)</f>
        <v>0.1636763212890171</v>
      </c>
      <c r="J13" s="21">
        <f t="shared" ref="J13:J22" ca="1" si="8">SUMSQ($C13-$C$26,$E13-$F$26)</f>
        <v>0.50651728759176118</v>
      </c>
    </row>
    <row r="14" spans="2:10" x14ac:dyDescent="0.25">
      <c r="B14" s="8" t="s">
        <v>63</v>
      </c>
      <c r="C14" s="21">
        <f t="shared" ca="1" si="0"/>
        <v>0.73473322775558259</v>
      </c>
      <c r="D14" s="21"/>
      <c r="E14" s="21">
        <f t="shared" ca="1" si="5"/>
        <v>0.47624244153531914</v>
      </c>
      <c r="H14" s="21">
        <f t="shared" ca="1" si="6"/>
        <v>0.42473612467725314</v>
      </c>
      <c r="I14" s="21">
        <f t="shared" ca="1" si="7"/>
        <v>4.969452740826559E-2</v>
      </c>
      <c r="J14" s="21">
        <f t="shared" ca="1" si="8"/>
        <v>0.20886837805951977</v>
      </c>
    </row>
    <row r="15" spans="2:10" x14ac:dyDescent="0.25">
      <c r="B15" s="8" t="s">
        <v>63</v>
      </c>
      <c r="C15" s="21">
        <f t="shared" ca="1" si="0"/>
        <v>4.3461759405878597E-2</v>
      </c>
      <c r="D15" s="21"/>
      <c r="E15" s="21">
        <f t="shared" ca="1" si="5"/>
        <v>1.870813977627369E-2</v>
      </c>
      <c r="H15" s="21">
        <f t="shared" ca="1" si="6"/>
        <v>4.6731066521718892E-2</v>
      </c>
      <c r="I15" s="21">
        <f t="shared" ca="1" si="7"/>
        <v>0.45817537441259498</v>
      </c>
      <c r="J15" s="21">
        <f t="shared" ca="1" si="8"/>
        <v>1.0548943588949837</v>
      </c>
    </row>
    <row r="16" spans="2:10" x14ac:dyDescent="0.25">
      <c r="B16" s="8" t="s">
        <v>63</v>
      </c>
      <c r="C16" s="21">
        <f t="shared" ca="1" si="0"/>
        <v>0.43463707739931401</v>
      </c>
      <c r="D16" s="21"/>
      <c r="E16" s="21">
        <f t="shared" ca="1" si="5"/>
        <v>0.17585713080608861</v>
      </c>
      <c r="H16" s="21">
        <f t="shared" ca="1" si="6"/>
        <v>8.8984373206975498E-2</v>
      </c>
      <c r="I16" s="21">
        <f t="shared" ca="1" si="7"/>
        <v>6.525810556470478E-2</v>
      </c>
      <c r="J16" s="21">
        <f t="shared" ca="1" si="8"/>
        <v>0.54471016452052134</v>
      </c>
    </row>
    <row r="17" spans="2:27" x14ac:dyDescent="0.25">
      <c r="B17" s="8" t="s">
        <v>63</v>
      </c>
      <c r="C17" s="21">
        <f t="shared" ca="1" si="0"/>
        <v>0.96373444175660883</v>
      </c>
      <c r="D17" s="21"/>
      <c r="E17" s="21">
        <f t="shared" ca="1" si="5"/>
        <v>0.14740054218316612</v>
      </c>
      <c r="H17" s="21">
        <f t="shared" ca="1" si="6"/>
        <v>0.68507237079543271</v>
      </c>
      <c r="I17" s="21">
        <f t="shared" ca="1" si="7"/>
        <v>9.6152526913521288E-2</v>
      </c>
      <c r="J17" s="21">
        <f t="shared" ca="1" si="8"/>
        <v>0.72567346878859429</v>
      </c>
    </row>
    <row r="18" spans="2:27" x14ac:dyDescent="0.25">
      <c r="B18" s="8" t="s">
        <v>63</v>
      </c>
      <c r="C18" s="21">
        <f t="shared" ca="1" si="0"/>
        <v>0.39524124022638796</v>
      </c>
      <c r="D18" s="21"/>
      <c r="E18" s="21">
        <f t="shared" ca="1" si="5"/>
        <v>0.32084448240321672</v>
      </c>
      <c r="H18" s="21">
        <f t="shared" ca="1" si="6"/>
        <v>7.7520907588413929E-2</v>
      </c>
      <c r="I18" s="21">
        <f t="shared" ca="1" si="7"/>
        <v>8.2000506358451741E-2</v>
      </c>
      <c r="J18" s="21">
        <f t="shared" ca="1" si="8"/>
        <v>0.3672975173513085</v>
      </c>
    </row>
    <row r="19" spans="2:27" x14ac:dyDescent="0.25">
      <c r="B19" s="8" t="s">
        <v>63</v>
      </c>
      <c r="C19" s="21">
        <f t="shared" ca="1" si="0"/>
        <v>0.55425810014702592</v>
      </c>
      <c r="D19" s="21"/>
      <c r="E19" s="21">
        <f t="shared" ca="1" si="5"/>
        <v>0.39824884625987261</v>
      </c>
      <c r="H19" s="21">
        <f t="shared" ca="1" si="6"/>
        <v>0.2071345890481508</v>
      </c>
      <c r="I19" s="21">
        <f t="shared" ca="1" si="7"/>
        <v>3.3399358999793322E-2</v>
      </c>
      <c r="J19" s="21">
        <f t="shared" ca="1" si="8"/>
        <v>0.25370806251703115</v>
      </c>
    </row>
    <row r="20" spans="2:27" x14ac:dyDescent="0.25">
      <c r="B20" s="8" t="s">
        <v>63</v>
      </c>
      <c r="C20" s="21">
        <f t="shared" ca="1" si="0"/>
        <v>0.26284187975548434</v>
      </c>
      <c r="D20" s="21"/>
      <c r="E20" s="21">
        <f t="shared" ca="1" si="5"/>
        <v>0.16731640082996888</v>
      </c>
      <c r="H20" s="21">
        <f t="shared" ca="1" si="6"/>
        <v>1.7497425236289003E-2</v>
      </c>
      <c r="I20" s="21">
        <f t="shared" ca="1" si="7"/>
        <v>0.17901372648500413</v>
      </c>
      <c r="J20" s="21">
        <f t="shared" ca="1" si="8"/>
        <v>0.63251176994135716</v>
      </c>
    </row>
    <row r="21" spans="2:27" x14ac:dyDescent="0.25">
      <c r="B21" s="8" t="s">
        <v>63</v>
      </c>
      <c r="C21" s="21">
        <f t="shared" ca="1" si="0"/>
        <v>7.6510548527650601E-2</v>
      </c>
      <c r="D21" s="21"/>
      <c r="E21" s="21">
        <f t="shared" ca="1" si="5"/>
        <v>1.7921522265081476E-2</v>
      </c>
      <c r="H21" s="21">
        <f t="shared" ca="1" si="6"/>
        <v>4.1838767337088238E-2</v>
      </c>
      <c r="I21" s="21">
        <f t="shared" ca="1" si="7"/>
        <v>0.41788337597792685</v>
      </c>
      <c r="J21" s="21">
        <f t="shared" ca="1" si="8"/>
        <v>1.0227069979952121</v>
      </c>
    </row>
    <row r="22" spans="2:27" x14ac:dyDescent="0.25">
      <c r="B22" s="8" t="s">
        <v>63</v>
      </c>
      <c r="C22" s="21">
        <f t="shared" ca="1" si="0"/>
        <v>0.42495434477230454</v>
      </c>
      <c r="D22" s="21"/>
      <c r="E22" s="21">
        <f t="shared" ca="1" si="5"/>
        <v>0.19204904415271445</v>
      </c>
      <c r="H22" s="21">
        <f t="shared" ca="1" si="6"/>
        <v>8.2411497346122506E-2</v>
      </c>
      <c r="I22" s="21">
        <f t="shared" ca="1" si="7"/>
        <v>6.7506311434775951E-2</v>
      </c>
      <c r="J22" s="21">
        <f t="shared" ca="1" si="8"/>
        <v>0.52414097027882245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71</v>
      </c>
      <c r="C24" s="21">
        <f ca="1">RAND()</f>
        <v>0.13863167662558451</v>
      </c>
      <c r="F24" s="21">
        <f ca="1">RAND()</f>
        <v>0.21280541790791885</v>
      </c>
      <c r="G24" s="23" t="s">
        <v>75</v>
      </c>
      <c r="H24" s="20" t="str">
        <f t="shared" ref="H24:AA24" ca="1" si="9">OFFSET($B$2,MATCH(SMALL($H$3:$H$22,H$27),$H$3:$H$22,0),0)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>Orange</v>
      </c>
      <c r="O24" s="20" t="str">
        <f t="shared" ca="1" si="9"/>
        <v>Blue</v>
      </c>
      <c r="P24" s="20" t="str">
        <f t="shared" ca="1" si="9"/>
        <v>Blue</v>
      </c>
      <c r="Q24" s="20" t="str">
        <f t="shared" ca="1" si="9"/>
        <v>Blue</v>
      </c>
      <c r="R24" s="20" t="str">
        <f t="shared" ca="1" si="9"/>
        <v>Orange</v>
      </c>
      <c r="S24" s="20" t="str">
        <f t="shared" ca="1" si="9"/>
        <v>Blue</v>
      </c>
      <c r="T24" s="20" t="str">
        <f t="shared" ca="1" si="9"/>
        <v>Blue</v>
      </c>
      <c r="U24" s="20" t="str">
        <f t="shared" ca="1" si="9"/>
        <v>Orange</v>
      </c>
      <c r="V24" s="20" t="str">
        <f t="shared" ca="1" si="9"/>
        <v>Blue</v>
      </c>
      <c r="W24" s="20" t="str">
        <f t="shared" ca="1" si="9"/>
        <v>Blue</v>
      </c>
      <c r="X24" s="20" t="str">
        <f t="shared" ca="1" si="9"/>
        <v>Orange</v>
      </c>
      <c r="Y24" s="20" t="str">
        <f t="shared" ca="1" si="9"/>
        <v>Blue</v>
      </c>
      <c r="Z24" s="20" t="str">
        <f t="shared" ca="1" si="9"/>
        <v>Blue</v>
      </c>
      <c r="AA24" s="20" t="str">
        <f t="shared" ca="1" si="9"/>
        <v>Blue</v>
      </c>
    </row>
    <row r="25" spans="2:27" x14ac:dyDescent="0.25">
      <c r="B25" s="8" t="s">
        <v>70</v>
      </c>
      <c r="C25" s="21">
        <f ca="1">RAND()</f>
        <v>0.67535494079756775</v>
      </c>
      <c r="F25" s="21">
        <f ca="1">RAND()</f>
        <v>0.26137330357875443</v>
      </c>
      <c r="G25" s="22" t="s">
        <v>74</v>
      </c>
      <c r="H25" s="20" t="str">
        <f t="shared" ref="H25:Q25" ca="1" si="10">OFFSET($B$2,MATCH(SMALL($I$3:$I$22,H$27),$I$3:$I$22,0),0)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>Blue</v>
      </c>
      <c r="O25" s="20" t="str">
        <f t="shared" ca="1" si="10"/>
        <v>Orange</v>
      </c>
      <c r="P25" s="20" t="str">
        <f t="shared" ca="1" si="10"/>
        <v>Orange</v>
      </c>
      <c r="Q25" s="20" t="str">
        <f t="shared" ca="1" si="10"/>
        <v>Blue</v>
      </c>
      <c r="R25" s="20" t="str">
        <f t="shared" ref="R25:AA25" ca="1" si="11">OFFSET($B$2,MATCH(SMALL($I$3:$I$22,R$27),$I$3:$I$22,0),0)</f>
        <v>Blue</v>
      </c>
      <c r="S25" s="20" t="str">
        <f t="shared" ca="1" si="11"/>
        <v>Orange</v>
      </c>
      <c r="T25" s="20" t="str">
        <f t="shared" ca="1" si="11"/>
        <v>Blue</v>
      </c>
      <c r="U25" s="20" t="str">
        <f t="shared" ca="1" si="11"/>
        <v>Blue</v>
      </c>
      <c r="V25" s="20" t="str">
        <f t="shared" ca="1" si="11"/>
        <v>Orange</v>
      </c>
      <c r="W25" s="20" t="str">
        <f t="shared" ca="1" si="11"/>
        <v>Blue</v>
      </c>
      <c r="X25" s="20" t="str">
        <f t="shared" ca="1" si="11"/>
        <v>Blue</v>
      </c>
      <c r="Y25" s="20" t="str">
        <f t="shared" ca="1" si="11"/>
        <v>Blue</v>
      </c>
      <c r="Z25" s="20" t="str">
        <f t="shared" ca="1" si="11"/>
        <v>Blue</v>
      </c>
      <c r="AA25" s="20" t="str">
        <f t="shared" ca="1" si="11"/>
        <v>Blue</v>
      </c>
    </row>
    <row r="26" spans="2:27" x14ac:dyDescent="0.25">
      <c r="B26" s="8" t="s">
        <v>69</v>
      </c>
      <c r="C26" s="21">
        <f ca="1">RAND()</f>
        <v>0.56798089201968682</v>
      </c>
      <c r="F26" s="21">
        <f ca="1">RAND()</f>
        <v>0.90175629158739778</v>
      </c>
      <c r="G26" s="19" t="s">
        <v>73</v>
      </c>
      <c r="H26" s="20" t="str">
        <f ca="1">OFFSET($B$2,MATCH(SMALL($J$3:$J$22,H$27),$J$3:$J$22,0),0)</f>
        <v>Blue</v>
      </c>
      <c r="I26" s="20" t="str">
        <f t="shared" ref="I26:AA26" ca="1" si="12">OFFSET($B$2,MATCH(SMALL($J$3:$J$22,I$27),$J$3:$J$22,0),0)</f>
        <v>Blue</v>
      </c>
      <c r="J26" s="20" t="str">
        <f t="shared" ca="1" si="12"/>
        <v>Blue</v>
      </c>
      <c r="K26" s="20" t="str">
        <f t="shared" ca="1" si="12"/>
        <v>Blue</v>
      </c>
      <c r="L26" s="20" t="str">
        <f t="shared" ca="1" si="12"/>
        <v>Blue</v>
      </c>
      <c r="M26" s="20" t="str">
        <f t="shared" ca="1" si="12"/>
        <v>Blue</v>
      </c>
      <c r="N26" s="20" t="str">
        <f t="shared" ca="1" si="12"/>
        <v>Blue</v>
      </c>
      <c r="O26" s="20" t="str">
        <f t="shared" ca="1" si="12"/>
        <v>Blue</v>
      </c>
      <c r="P26" s="20" t="str">
        <f t="shared" ca="1" si="12"/>
        <v>Orange</v>
      </c>
      <c r="Q26" s="20" t="str">
        <f t="shared" ca="1" si="12"/>
        <v>Orange</v>
      </c>
      <c r="R26" s="20" t="str">
        <f t="shared" ca="1" si="12"/>
        <v>Blue</v>
      </c>
      <c r="S26" s="20" t="str">
        <f t="shared" ca="1" si="12"/>
        <v>Orange</v>
      </c>
      <c r="T26" s="20" t="str">
        <f t="shared" ca="1" si="12"/>
        <v>Blue</v>
      </c>
      <c r="U26" s="20" t="str">
        <f t="shared" ca="1" si="12"/>
        <v>Orange</v>
      </c>
      <c r="V26" s="20" t="str">
        <f t="shared" ca="1" si="12"/>
        <v>Orange</v>
      </c>
      <c r="W26" s="20" t="str">
        <f t="shared" ca="1" si="12"/>
        <v>Orange</v>
      </c>
      <c r="X26" s="20" t="str">
        <f t="shared" ca="1" si="12"/>
        <v>Orange</v>
      </c>
      <c r="Y26" s="20" t="str">
        <f t="shared" ca="1" si="12"/>
        <v>Orange</v>
      </c>
      <c r="Z26" s="20" t="str">
        <f t="shared" ca="1" si="12"/>
        <v>Orange</v>
      </c>
      <c r="AA26" s="20" t="str">
        <f t="shared" ca="1" si="12"/>
        <v>Orange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68</v>
      </c>
      <c r="C2" s="24" t="s">
        <v>67</v>
      </c>
      <c r="D2" s="24" t="s">
        <v>66</v>
      </c>
      <c r="E2" s="24" t="s">
        <v>65</v>
      </c>
      <c r="F2" s="8" t="s">
        <v>72</v>
      </c>
      <c r="H2" s="19" t="s">
        <v>75</v>
      </c>
      <c r="I2" s="19" t="s">
        <v>74</v>
      </c>
      <c r="J2" s="18" t="s">
        <v>73</v>
      </c>
    </row>
    <row r="3" spans="2:28" x14ac:dyDescent="0.25">
      <c r="B3" s="8" t="s">
        <v>64</v>
      </c>
      <c r="C3" s="21">
        <f t="shared" ref="C3:C22" ca="1" si="0">RAND()</f>
        <v>0.81611320413278476</v>
      </c>
      <c r="D3" s="21">
        <f t="shared" ref="D3:D12" ca="1" si="1">C3+RAND()*(1-C3)</f>
        <v>0.87382989500226582</v>
      </c>
      <c r="E3" s="21"/>
      <c r="H3" s="21">
        <f t="shared" ref="H3:H12" ca="1" si="2">SUMSQ($C3-$C$24,$D3-$F$24)</f>
        <v>0.29296470017446669</v>
      </c>
      <c r="I3" s="21">
        <f t="shared" ref="I3:I12" ca="1" si="3">SUMSQ($C3-$C$25,$D3-$F$25)</f>
        <v>0.5546251606751873</v>
      </c>
      <c r="J3" s="21">
        <f t="shared" ref="J3:J12" ca="1" si="4">SUMSQ($C3-$C$26,$D3-$F$26)</f>
        <v>0.8409626800727158</v>
      </c>
      <c r="AB3" s="22" t="s">
        <v>76</v>
      </c>
    </row>
    <row r="4" spans="2:28" x14ac:dyDescent="0.25">
      <c r="B4" s="8" t="s">
        <v>64</v>
      </c>
      <c r="C4" s="21">
        <f t="shared" ca="1" si="0"/>
        <v>0.13310377260043993</v>
      </c>
      <c r="D4" s="21">
        <f t="shared" ca="1" si="1"/>
        <v>0.69441434034434502</v>
      </c>
      <c r="E4" s="21"/>
      <c r="H4" s="21">
        <f t="shared" ca="1" si="2"/>
        <v>3.3964636913999972E-2</v>
      </c>
      <c r="I4" s="21">
        <f t="shared" ca="1" si="3"/>
        <v>1.5057120000649749E-3</v>
      </c>
      <c r="J4" s="21">
        <f t="shared" ca="1" si="4"/>
        <v>0.39252117831888195</v>
      </c>
      <c r="AB4" s="26">
        <v>6</v>
      </c>
    </row>
    <row r="5" spans="2:28" x14ac:dyDescent="0.25">
      <c r="B5" s="8" t="s">
        <v>64</v>
      </c>
      <c r="C5" s="21">
        <f t="shared" ca="1" si="0"/>
        <v>0.58601217186013821</v>
      </c>
      <c r="D5" s="21">
        <f t="shared" ca="1" si="1"/>
        <v>0.83585985191849854</v>
      </c>
      <c r="E5" s="21"/>
      <c r="H5" s="21">
        <f t="shared" ca="1" si="2"/>
        <v>0.10134191876941383</v>
      </c>
      <c r="I5" s="21">
        <f t="shared" ca="1" si="3"/>
        <v>0.26297245961364701</v>
      </c>
      <c r="J5" s="21">
        <f t="shared" ca="1" si="4"/>
        <v>0.61111874781449627</v>
      </c>
    </row>
    <row r="6" spans="2:28" x14ac:dyDescent="0.25">
      <c r="B6" s="8" t="s">
        <v>64</v>
      </c>
      <c r="C6" s="21">
        <f t="shared" ca="1" si="0"/>
        <v>0.14981924209620412</v>
      </c>
      <c r="D6" s="21">
        <f t="shared" ca="1" si="1"/>
        <v>0.17516234356478738</v>
      </c>
      <c r="E6" s="21"/>
      <c r="H6" s="21">
        <f t="shared" ca="1" si="2"/>
        <v>0.27037273972442227</v>
      </c>
      <c r="I6" s="21">
        <f t="shared" ca="1" si="3"/>
        <v>0.26708824566481837</v>
      </c>
      <c r="J6" s="21">
        <f t="shared" ca="1" si="4"/>
        <v>3.7073721525679865E-2</v>
      </c>
    </row>
    <row r="7" spans="2:28" x14ac:dyDescent="0.25">
      <c r="B7" s="8" t="s">
        <v>64</v>
      </c>
      <c r="C7" s="21">
        <f t="shared" ca="1" si="0"/>
        <v>0.51645781660932322</v>
      </c>
      <c r="D7" s="21">
        <f t="shared" ca="1" si="1"/>
        <v>0.5289374605251812</v>
      </c>
      <c r="E7" s="21"/>
      <c r="H7" s="21">
        <f t="shared" ca="1" si="2"/>
        <v>5.9731496243450248E-2</v>
      </c>
      <c r="I7" s="21">
        <f t="shared" ca="1" si="3"/>
        <v>0.20352454961004024</v>
      </c>
      <c r="J7" s="21">
        <f t="shared" ca="1" si="4"/>
        <v>0.22140788631888775</v>
      </c>
    </row>
    <row r="8" spans="2:28" x14ac:dyDescent="0.25">
      <c r="B8" s="8" t="s">
        <v>64</v>
      </c>
      <c r="C8" s="21">
        <f t="shared" ca="1" si="0"/>
        <v>0.55306109951208848</v>
      </c>
      <c r="D8" s="21">
        <f t="shared" ca="1" si="1"/>
        <v>0.98404266716346911</v>
      </c>
      <c r="E8" s="21"/>
      <c r="H8" s="21">
        <f t="shared" ca="1" si="2"/>
        <v>0.15629642051567708</v>
      </c>
      <c r="I8" s="21">
        <f t="shared" ca="1" si="3"/>
        <v>0.2971552436840118</v>
      </c>
      <c r="J8" s="21">
        <f t="shared" ca="1" si="4"/>
        <v>0.83559167242080667</v>
      </c>
    </row>
    <row r="9" spans="2:28" x14ac:dyDescent="0.25">
      <c r="B9" s="8" t="s">
        <v>64</v>
      </c>
      <c r="C9" s="21">
        <f t="shared" ca="1" si="0"/>
        <v>0.86934180914037118</v>
      </c>
      <c r="D9" s="21">
        <f t="shared" ca="1" si="1"/>
        <v>0.98872224210237836</v>
      </c>
      <c r="E9" s="21"/>
      <c r="H9" s="21">
        <f t="shared" ca="1" si="2"/>
        <v>0.40958080542128639</v>
      </c>
      <c r="I9" s="21">
        <f t="shared" ca="1" si="3"/>
        <v>0.68992769587729197</v>
      </c>
      <c r="J9" s="21">
        <f t="shared" ca="1" si="4"/>
        <v>1.0872910288141955</v>
      </c>
    </row>
    <row r="10" spans="2:28" x14ac:dyDescent="0.25">
      <c r="B10" s="8" t="s">
        <v>64</v>
      </c>
      <c r="C10" s="21">
        <f t="shared" ca="1" si="0"/>
        <v>0.48686298901869163</v>
      </c>
      <c r="D10" s="21">
        <f t="shared" ca="1" si="1"/>
        <v>0.84361983871634139</v>
      </c>
      <c r="E10" s="21"/>
      <c r="H10" s="21">
        <f t="shared" ca="1" si="2"/>
        <v>6.0195405815684763E-2</v>
      </c>
      <c r="I10" s="21">
        <f t="shared" ca="1" si="3"/>
        <v>0.17771132378734505</v>
      </c>
      <c r="J10" s="21">
        <f t="shared" ca="1" si="4"/>
        <v>0.58097972962928535</v>
      </c>
    </row>
    <row r="11" spans="2:28" x14ac:dyDescent="0.25">
      <c r="B11" s="8" t="s">
        <v>64</v>
      </c>
      <c r="C11" s="21">
        <f t="shared" ca="1" si="0"/>
        <v>0.82913713141190493</v>
      </c>
      <c r="D11" s="21">
        <f t="shared" ca="1" si="1"/>
        <v>0.83252196487942232</v>
      </c>
      <c r="E11" s="21"/>
      <c r="H11" s="21">
        <f t="shared" ca="1" si="2"/>
        <v>0.29087852837333511</v>
      </c>
      <c r="I11" s="21">
        <f t="shared" ca="1" si="3"/>
        <v>0.56002458979398773</v>
      </c>
      <c r="J11" s="21">
        <f t="shared" ca="1" si="4"/>
        <v>0.7915370659302654</v>
      </c>
    </row>
    <row r="12" spans="2:28" x14ac:dyDescent="0.25">
      <c r="B12" s="8" t="s">
        <v>64</v>
      </c>
      <c r="C12" s="21">
        <f t="shared" ca="1" si="0"/>
        <v>0.72120663638043714</v>
      </c>
      <c r="D12" s="21">
        <f t="shared" ca="1" si="1"/>
        <v>0.90188904016378424</v>
      </c>
      <c r="E12" s="21"/>
      <c r="H12" s="21">
        <f t="shared" ca="1" si="2"/>
        <v>0.21928540034819</v>
      </c>
      <c r="I12" s="21">
        <f t="shared" ca="1" si="3"/>
        <v>0.43785305672495917</v>
      </c>
      <c r="J12" s="21">
        <f t="shared" ca="1" si="4"/>
        <v>0.80132127514055462</v>
      </c>
    </row>
    <row r="13" spans="2:28" x14ac:dyDescent="0.25">
      <c r="B13" s="8" t="s">
        <v>63</v>
      </c>
      <c r="C13" s="21">
        <f t="shared" ca="1" si="0"/>
        <v>0.82895313738880028</v>
      </c>
      <c r="D13" s="21"/>
      <c r="E13" s="21">
        <f t="shared" ref="E13:E22" ca="1" si="5">RAND()*C13</f>
        <v>0.25394243491395463</v>
      </c>
      <c r="H13" s="21">
        <f t="shared" ref="H13:H22" ca="1" si="6">SUMSQ(C13-$C$24,E13-$F$24)</f>
        <v>0.43510492270463069</v>
      </c>
      <c r="I13" s="21">
        <f t="shared" ref="I13:I22" ca="1" si="7">SUMSQ($C13-$C$25,$E13-$F$25)</f>
        <v>0.72845168789848569</v>
      </c>
      <c r="J13" s="21">
        <f t="shared" ref="J13:J22" ca="1" si="8">SUMSQ($C13-$C$26,$E13-$F$26)</f>
        <v>0.27669626605471775</v>
      </c>
    </row>
    <row r="14" spans="2:28" x14ac:dyDescent="0.25">
      <c r="B14" s="8" t="s">
        <v>63</v>
      </c>
      <c r="C14" s="21">
        <f t="shared" ca="1" si="0"/>
        <v>0.80553255543157309</v>
      </c>
      <c r="D14" s="21"/>
      <c r="E14" s="21">
        <f t="shared" ca="1" si="5"/>
        <v>0.50442638441456988</v>
      </c>
      <c r="H14" s="21">
        <f t="shared" ca="1" si="6"/>
        <v>0.26689844271834834</v>
      </c>
      <c r="I14" s="21">
        <f t="shared" ca="1" si="7"/>
        <v>0.53938920526872947</v>
      </c>
      <c r="J14" s="21">
        <f t="shared" ca="1" si="8"/>
        <v>0.39433303592808866</v>
      </c>
    </row>
    <row r="15" spans="2:28" x14ac:dyDescent="0.25">
      <c r="B15" s="8" t="s">
        <v>63</v>
      </c>
      <c r="C15" s="21">
        <f t="shared" ca="1" si="0"/>
        <v>0.88351851303384921</v>
      </c>
      <c r="D15" s="21"/>
      <c r="E15" s="21">
        <f t="shared" ca="1" si="5"/>
        <v>0.22124377012918134</v>
      </c>
      <c r="H15" s="21">
        <f t="shared" ca="1" si="6"/>
        <v>0.52226540892240858</v>
      </c>
      <c r="I15" s="21">
        <f t="shared" ca="1" si="7"/>
        <v>0.84108311987193307</v>
      </c>
      <c r="J15" s="21">
        <f t="shared" ca="1" si="8"/>
        <v>0.32541596892752939</v>
      </c>
    </row>
    <row r="16" spans="2:28" x14ac:dyDescent="0.25">
      <c r="B16" s="8" t="s">
        <v>63</v>
      </c>
      <c r="C16" s="21">
        <f t="shared" ca="1" si="0"/>
        <v>0.58743735292392274</v>
      </c>
      <c r="D16" s="21"/>
      <c r="E16" s="21">
        <f t="shared" ca="1" si="5"/>
        <v>0.18457523564346415</v>
      </c>
      <c r="H16" s="21">
        <f t="shared" ca="1" si="6"/>
        <v>0.30768168382657801</v>
      </c>
      <c r="I16" s="21">
        <f t="shared" ca="1" si="7"/>
        <v>0.49727492043264887</v>
      </c>
      <c r="J16" s="21">
        <f t="shared" ca="1" si="8"/>
        <v>7.5536352695773884E-2</v>
      </c>
    </row>
    <row r="17" spans="2:27" x14ac:dyDescent="0.25">
      <c r="B17" s="8" t="s">
        <v>63</v>
      </c>
      <c r="C17" s="21">
        <f t="shared" ca="1" si="0"/>
        <v>0.56474429330820486</v>
      </c>
      <c r="D17" s="21"/>
      <c r="E17" s="21">
        <f t="shared" ca="1" si="5"/>
        <v>0.37200608651737727</v>
      </c>
      <c r="H17" s="21">
        <f t="shared" ca="1" si="6"/>
        <v>0.14975471885035579</v>
      </c>
      <c r="I17" s="21">
        <f t="shared" ca="1" si="7"/>
        <v>0.32145948848673433</v>
      </c>
      <c r="J17" s="21">
        <f t="shared" ca="1" si="8"/>
        <v>0.13161171661099988</v>
      </c>
    </row>
    <row r="18" spans="2:27" x14ac:dyDescent="0.25">
      <c r="B18" s="8" t="s">
        <v>63</v>
      </c>
      <c r="C18" s="21">
        <f t="shared" ca="1" si="0"/>
        <v>0.44772887582174392</v>
      </c>
      <c r="D18" s="21"/>
      <c r="E18" s="21">
        <f t="shared" ca="1" si="5"/>
        <v>0.33021875696517849</v>
      </c>
      <c r="H18" s="21">
        <f t="shared" ca="1" si="6"/>
        <v>0.13160328542649721</v>
      </c>
      <c r="I18" s="21">
        <f t="shared" ca="1" si="7"/>
        <v>0.25338227495580884</v>
      </c>
      <c r="J18" s="21">
        <f t="shared" ca="1" si="8"/>
        <v>6.8418117832891104E-2</v>
      </c>
    </row>
    <row r="19" spans="2:27" x14ac:dyDescent="0.25">
      <c r="B19" s="8" t="s">
        <v>63</v>
      </c>
      <c r="C19" s="21">
        <f t="shared" ca="1" si="0"/>
        <v>0.92265854113236179</v>
      </c>
      <c r="D19" s="21"/>
      <c r="E19" s="21">
        <f t="shared" ca="1" si="5"/>
        <v>3.0216736097583595E-2</v>
      </c>
      <c r="H19" s="21">
        <f t="shared" ca="1" si="6"/>
        <v>0.77545110183571975</v>
      </c>
      <c r="I19" s="21">
        <f t="shared" ca="1" si="7"/>
        <v>1.1195719613007029</v>
      </c>
      <c r="J19" s="21">
        <f t="shared" ca="1" si="8"/>
        <v>0.36014323008828425</v>
      </c>
    </row>
    <row r="20" spans="2:27" x14ac:dyDescent="0.25">
      <c r="B20" s="8" t="s">
        <v>63</v>
      </c>
      <c r="C20" s="21">
        <f t="shared" ca="1" si="0"/>
        <v>0.69227475751438095</v>
      </c>
      <c r="D20" s="21"/>
      <c r="E20" s="21">
        <f t="shared" ca="1" si="5"/>
        <v>0.16758543240175025</v>
      </c>
      <c r="H20" s="21">
        <f t="shared" ca="1" si="6"/>
        <v>0.39240717915111267</v>
      </c>
      <c r="I20" s="21">
        <f t="shared" ca="1" si="7"/>
        <v>0.62901458446215419</v>
      </c>
      <c r="J20" s="21">
        <f t="shared" ca="1" si="8"/>
        <v>0.13861611388910497</v>
      </c>
    </row>
    <row r="21" spans="2:27" x14ac:dyDescent="0.25">
      <c r="B21" s="8" t="s">
        <v>63</v>
      </c>
      <c r="C21" s="21">
        <f t="shared" ca="1" si="0"/>
        <v>0.29292007549048549</v>
      </c>
      <c r="D21" s="21"/>
      <c r="E21" s="21">
        <f t="shared" ca="1" si="5"/>
        <v>0.22278798627226493</v>
      </c>
      <c r="H21" s="21">
        <f t="shared" ca="1" si="6"/>
        <v>0.1987537817133978</v>
      </c>
      <c r="I21" s="21">
        <f t="shared" ca="1" si="7"/>
        <v>0.25667059254061086</v>
      </c>
      <c r="J21" s="21">
        <f t="shared" ca="1" si="8"/>
        <v>1.6577095511142257E-2</v>
      </c>
    </row>
    <row r="22" spans="2:27" x14ac:dyDescent="0.25">
      <c r="B22" s="8" t="s">
        <v>63</v>
      </c>
      <c r="C22" s="21">
        <f t="shared" ca="1" si="0"/>
        <v>0.9059246532347176</v>
      </c>
      <c r="D22" s="21"/>
      <c r="E22" s="21">
        <f t="shared" ca="1" si="5"/>
        <v>0.54214773748593814</v>
      </c>
      <c r="H22" s="21">
        <f t="shared" ca="1" si="6"/>
        <v>0.36444754018375403</v>
      </c>
      <c r="I22" s="21">
        <f t="shared" ca="1" si="7"/>
        <v>0.67969308364739645</v>
      </c>
      <c r="J22" s="21">
        <f t="shared" ca="1" si="8"/>
        <v>0.53265614225296531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71</v>
      </c>
      <c r="C24" s="21">
        <f ca="1">RAND()</f>
        <v>0.31550088663173492</v>
      </c>
      <c r="F24" s="21">
        <f ca="1">RAND()</f>
        <v>0.66803386068504489</v>
      </c>
      <c r="G24" s="23" t="s">
        <v>75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70</v>
      </c>
      <c r="C25" s="21">
        <f ca="1">RAND()</f>
        <v>9.4677332496912237E-2</v>
      </c>
      <c r="F25" s="21">
        <f ca="1">RAND()</f>
        <v>0.68901798036423123</v>
      </c>
      <c r="G25" s="22" t="s">
        <v>74</v>
      </c>
      <c r="H25" s="20" t="str">
        <f t="shared" ref="H25:AA25" ca="1" si="10">IF(H27&lt;=k,OFFSET($B$2,MATCH(SMALL($I$3:$I$22,H$27),$I$3:$I$22,0),0),"")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Orange</v>
      </c>
      <c r="L25" s="20" t="str">
        <f t="shared" ca="1" si="10"/>
        <v>Orange</v>
      </c>
      <c r="M25" s="20" t="str">
        <f t="shared" ca="1" si="10"/>
        <v>Blue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69</v>
      </c>
      <c r="C26" s="21">
        <f ca="1">RAND()</f>
        <v>0.32643361712262886</v>
      </c>
      <c r="F26" s="21">
        <f ca="1">RAND()</f>
        <v>9.8474117221330593E-2</v>
      </c>
      <c r="G26" s="19" t="s">
        <v>73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Blue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>Orange</v>
      </c>
      <c r="M26" s="20" t="str">
        <f t="shared" ca="1" si="11"/>
        <v>Orange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>
      <selection activeCell="AB24" sqref="AB24"/>
    </sheetView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68</v>
      </c>
      <c r="C2" s="24" t="s">
        <v>67</v>
      </c>
      <c r="D2" s="24" t="s">
        <v>66</v>
      </c>
      <c r="E2" s="24" t="s">
        <v>65</v>
      </c>
      <c r="F2" s="8" t="s">
        <v>72</v>
      </c>
      <c r="H2" s="19" t="s">
        <v>75</v>
      </c>
      <c r="I2" s="19" t="s">
        <v>74</v>
      </c>
      <c r="J2" s="18" t="s">
        <v>73</v>
      </c>
    </row>
    <row r="3" spans="2:28" x14ac:dyDescent="0.25">
      <c r="B3" s="8" t="s">
        <v>64</v>
      </c>
      <c r="C3" s="21">
        <f t="shared" ref="C3:C22" ca="1" si="0">RAND()</f>
        <v>0.31073246279005085</v>
      </c>
      <c r="D3" s="21">
        <f t="shared" ref="D3:D12" ca="1" si="1">C3+RAND()*(1-C3)</f>
        <v>0.89895482059460974</v>
      </c>
      <c r="E3" s="21"/>
      <c r="H3" s="21">
        <f t="shared" ref="H3:H12" ca="1" si="2">SUMSQ($C3-$C$24,$D3-$F$24)</f>
        <v>0.1255302742574044</v>
      </c>
      <c r="I3" s="21">
        <f t="shared" ref="I3:I12" ca="1" si="3">SUMSQ($C3-$C$25,$D3-$F$25)</f>
        <v>0.18866899284760077</v>
      </c>
      <c r="J3" s="21">
        <f t="shared" ref="J3:J12" ca="1" si="4">SUMSQ($C3-$C$26,$D3-$F$26)</f>
        <v>1.9308147965892947E-2</v>
      </c>
      <c r="AB3" s="22" t="s">
        <v>76</v>
      </c>
    </row>
    <row r="4" spans="2:28" x14ac:dyDescent="0.25">
      <c r="B4" s="8" t="s">
        <v>64</v>
      </c>
      <c r="C4" s="21">
        <f t="shared" ca="1" si="0"/>
        <v>0.74236173939406924</v>
      </c>
      <c r="D4" s="21">
        <f t="shared" ca="1" si="1"/>
        <v>0.86199445849970979</v>
      </c>
      <c r="E4" s="21"/>
      <c r="H4" s="21">
        <f t="shared" ca="1" si="2"/>
        <v>0.15108917732936045</v>
      </c>
      <c r="I4" s="21">
        <f t="shared" ca="1" si="3"/>
        <v>0.10519229320664615</v>
      </c>
      <c r="J4" s="21">
        <f t="shared" ca="1" si="4"/>
        <v>9.9945744963434877E-2</v>
      </c>
      <c r="AB4" s="26">
        <v>4</v>
      </c>
    </row>
    <row r="5" spans="2:28" x14ac:dyDescent="0.25">
      <c r="B5" s="8" t="s">
        <v>64</v>
      </c>
      <c r="C5" s="21">
        <f t="shared" ca="1" si="0"/>
        <v>0.63151921670404598</v>
      </c>
      <c r="D5" s="21">
        <f t="shared" ca="1" si="1"/>
        <v>0.71442719277723765</v>
      </c>
      <c r="E5" s="21"/>
      <c r="H5" s="21">
        <f t="shared" ca="1" si="2"/>
        <v>4.2826122766936085E-2</v>
      </c>
      <c r="I5" s="21">
        <f t="shared" ca="1" si="3"/>
        <v>2.1448626243111647E-2</v>
      </c>
      <c r="J5" s="21">
        <f t="shared" ca="1" si="4"/>
        <v>9.3316753251737855E-2</v>
      </c>
    </row>
    <row r="6" spans="2:28" x14ac:dyDescent="0.25">
      <c r="B6" s="8" t="s">
        <v>64</v>
      </c>
      <c r="C6" s="21">
        <f t="shared" ca="1" si="0"/>
        <v>0.76387461855434369</v>
      </c>
      <c r="D6" s="21">
        <f t="shared" ca="1" si="1"/>
        <v>0.93013185514649421</v>
      </c>
      <c r="E6" s="21"/>
      <c r="H6" s="21">
        <f t="shared" ca="1" si="2"/>
        <v>0.20583930379288562</v>
      </c>
      <c r="I6" s="21">
        <f t="shared" ca="1" si="3"/>
        <v>0.15605896376754333</v>
      </c>
      <c r="J6" s="21">
        <f t="shared" ca="1" si="4"/>
        <v>0.10585453509347292</v>
      </c>
    </row>
    <row r="7" spans="2:28" x14ac:dyDescent="0.25">
      <c r="B7" s="8" t="s">
        <v>64</v>
      </c>
      <c r="C7" s="21">
        <f t="shared" ca="1" si="0"/>
        <v>0.98601716514601734</v>
      </c>
      <c r="D7" s="21">
        <f t="shared" ca="1" si="1"/>
        <v>0.9971274845453052</v>
      </c>
      <c r="E7" s="21"/>
      <c r="H7" s="21">
        <f t="shared" ca="1" si="2"/>
        <v>0.43606225111680819</v>
      </c>
      <c r="I7" s="21">
        <f t="shared" ca="1" si="3"/>
        <v>0.33207205289793823</v>
      </c>
      <c r="J7" s="21">
        <f t="shared" ca="1" si="4"/>
        <v>0.30101503521526524</v>
      </c>
    </row>
    <row r="8" spans="2:28" x14ac:dyDescent="0.25">
      <c r="B8" s="8" t="s">
        <v>64</v>
      </c>
      <c r="C8" s="21">
        <f t="shared" ca="1" si="0"/>
        <v>0.86725811459754676</v>
      </c>
      <c r="D8" s="21">
        <f t="shared" ca="1" si="1"/>
        <v>0.8684829261040895</v>
      </c>
      <c r="E8" s="21"/>
      <c r="H8" s="21">
        <f t="shared" ca="1" si="2"/>
        <v>0.23801088839731971</v>
      </c>
      <c r="I8" s="21">
        <f t="shared" ca="1" si="3"/>
        <v>0.1609442744888962</v>
      </c>
      <c r="J8" s="21">
        <f t="shared" ca="1" si="4"/>
        <v>0.19013808221403378</v>
      </c>
    </row>
    <row r="9" spans="2:28" x14ac:dyDescent="0.25">
      <c r="B9" s="8" t="s">
        <v>64</v>
      </c>
      <c r="C9" s="21">
        <f t="shared" ca="1" si="0"/>
        <v>0.2190168294792888</v>
      </c>
      <c r="D9" s="21">
        <f t="shared" ca="1" si="1"/>
        <v>0.6122200072507592</v>
      </c>
      <c r="E9" s="21"/>
      <c r="H9" s="21">
        <f t="shared" ca="1" si="2"/>
        <v>6.4581561167140034E-2</v>
      </c>
      <c r="I9" s="21">
        <f t="shared" ca="1" si="3"/>
        <v>0.14435979312468433</v>
      </c>
      <c r="J9" s="21">
        <f t="shared" ca="1" si="4"/>
        <v>0.16381640342173648</v>
      </c>
    </row>
    <row r="10" spans="2:28" x14ac:dyDescent="0.25">
      <c r="B10" s="8" t="s">
        <v>64</v>
      </c>
      <c r="C10" s="21">
        <f t="shared" ca="1" si="0"/>
        <v>0.12683416085620769</v>
      </c>
      <c r="D10" s="21">
        <f t="shared" ca="1" si="1"/>
        <v>0.99121349027138228</v>
      </c>
      <c r="E10" s="21"/>
      <c r="H10" s="21">
        <f t="shared" ca="1" si="2"/>
        <v>0.28524362939646586</v>
      </c>
      <c r="I10" s="21">
        <f t="shared" ca="1" si="3"/>
        <v>0.3965334056870311</v>
      </c>
      <c r="J10" s="21">
        <f t="shared" ca="1" si="4"/>
        <v>9.9153247078832663E-2</v>
      </c>
    </row>
    <row r="11" spans="2:28" x14ac:dyDescent="0.25">
      <c r="B11" s="8" t="s">
        <v>64</v>
      </c>
      <c r="C11" s="21">
        <f t="shared" ca="1" si="0"/>
        <v>0.59375627606331849</v>
      </c>
      <c r="D11" s="21">
        <f t="shared" ca="1" si="1"/>
        <v>0.79623903919309402</v>
      </c>
      <c r="E11" s="21"/>
      <c r="H11" s="21">
        <f t="shared" ca="1" si="2"/>
        <v>6.0327323770252954E-2</v>
      </c>
      <c r="I11" s="21">
        <f t="shared" ca="1" si="3"/>
        <v>5.023085140003905E-2</v>
      </c>
      <c r="J11" s="21">
        <f t="shared" ca="1" si="4"/>
        <v>4.807399534033624E-2</v>
      </c>
    </row>
    <row r="12" spans="2:28" x14ac:dyDescent="0.25">
      <c r="B12" s="8" t="s">
        <v>64</v>
      </c>
      <c r="C12" s="21">
        <f t="shared" ca="1" si="0"/>
        <v>0.22000536810801707</v>
      </c>
      <c r="D12" s="21">
        <f t="shared" ca="1" si="1"/>
        <v>0.32103409631225155</v>
      </c>
      <c r="E12" s="21"/>
      <c r="H12" s="21">
        <f t="shared" ca="1" si="2"/>
        <v>0.13198366427117642</v>
      </c>
      <c r="I12" s="21">
        <f t="shared" ca="1" si="3"/>
        <v>0.20506032470332797</v>
      </c>
      <c r="J12" s="21">
        <f t="shared" ca="1" si="4"/>
        <v>0.4459345214956088</v>
      </c>
    </row>
    <row r="13" spans="2:28" x14ac:dyDescent="0.25">
      <c r="B13" s="8" t="s">
        <v>63</v>
      </c>
      <c r="C13" s="21">
        <f t="shared" ca="1" si="0"/>
        <v>0.26393770250506154</v>
      </c>
      <c r="D13" s="21"/>
      <c r="E13" s="21">
        <f t="shared" ref="E13:E22" ca="1" si="5">RAND()*C13</f>
        <v>5.9496760715837135E-2</v>
      </c>
      <c r="H13" s="21">
        <f t="shared" ref="H13:H22" ca="1" si="6">SUMSQ(C13-$C$24,E13-$F$24)</f>
        <v>0.31736190537451969</v>
      </c>
      <c r="I13" s="21">
        <f t="shared" ref="I13:I22" ca="1" si="7">SUMSQ($C13-$C$25,$E13-$F$25)</f>
        <v>0.37362741064596994</v>
      </c>
      <c r="J13" s="21">
        <f t="shared" ref="J13:J22" ca="1" si="8">SUMSQ($C13-$C$26,$E13-$F$26)</f>
        <v>0.82694201216457108</v>
      </c>
    </row>
    <row r="14" spans="2:28" x14ac:dyDescent="0.25">
      <c r="B14" s="8" t="s">
        <v>63</v>
      </c>
      <c r="C14" s="21">
        <f t="shared" ca="1" si="0"/>
        <v>1.4845090440334552E-2</v>
      </c>
      <c r="D14" s="21"/>
      <c r="E14" s="21">
        <f t="shared" ca="1" si="5"/>
        <v>3.0545613186366218E-3</v>
      </c>
      <c r="H14" s="21">
        <f t="shared" ca="1" si="6"/>
        <v>0.54511226501917087</v>
      </c>
      <c r="I14" s="21">
        <f t="shared" ca="1" si="7"/>
        <v>0.66257834701633622</v>
      </c>
      <c r="J14" s="21">
        <f t="shared" ca="1" si="8"/>
        <v>1.0802373691772469</v>
      </c>
    </row>
    <row r="15" spans="2:28" x14ac:dyDescent="0.25">
      <c r="B15" s="8" t="s">
        <v>63</v>
      </c>
      <c r="C15" s="21">
        <f t="shared" ca="1" si="0"/>
        <v>0.2662177273013524</v>
      </c>
      <c r="D15" s="21"/>
      <c r="E15" s="21">
        <f t="shared" ca="1" si="5"/>
        <v>7.7827753673668079E-2</v>
      </c>
      <c r="H15" s="21">
        <f t="shared" ca="1" si="6"/>
        <v>0.2975559766697855</v>
      </c>
      <c r="I15" s="21">
        <f t="shared" ca="1" si="7"/>
        <v>0.35365612376649963</v>
      </c>
      <c r="J15" s="21">
        <f t="shared" ca="1" si="8"/>
        <v>0.79377012688869641</v>
      </c>
    </row>
    <row r="16" spans="2:28" x14ac:dyDescent="0.25">
      <c r="B16" s="8" t="s">
        <v>63</v>
      </c>
      <c r="C16" s="21">
        <f t="shared" ca="1" si="0"/>
        <v>2.4655311366625354E-2</v>
      </c>
      <c r="D16" s="21"/>
      <c r="E16" s="21">
        <f t="shared" ca="1" si="5"/>
        <v>2.1217438980668437E-2</v>
      </c>
      <c r="H16" s="21">
        <f t="shared" ca="1" si="6"/>
        <v>0.51550396745164362</v>
      </c>
      <c r="I16" s="21">
        <f t="shared" ca="1" si="7"/>
        <v>0.63091302349520051</v>
      </c>
      <c r="J16" s="21">
        <f t="shared" ca="1" si="8"/>
        <v>1.0378726140567771</v>
      </c>
    </row>
    <row r="17" spans="2:28" x14ac:dyDescent="0.25">
      <c r="B17" s="8" t="s">
        <v>63</v>
      </c>
      <c r="C17" s="21">
        <f t="shared" ca="1" si="0"/>
        <v>0.31513289888718643</v>
      </c>
      <c r="D17" s="21"/>
      <c r="E17" s="21">
        <f t="shared" ca="1" si="5"/>
        <v>0.22812253713493488</v>
      </c>
      <c r="H17" s="21">
        <f t="shared" ca="1" si="6"/>
        <v>0.15054020581359137</v>
      </c>
      <c r="I17" s="21">
        <f t="shared" ca="1" si="7"/>
        <v>0.1977076036163139</v>
      </c>
      <c r="J17" s="21">
        <f t="shared" ca="1" si="8"/>
        <v>0.5391163947188522</v>
      </c>
    </row>
    <row r="18" spans="2:28" x14ac:dyDescent="0.25">
      <c r="B18" s="8" t="s">
        <v>63</v>
      </c>
      <c r="C18" s="21">
        <f t="shared" ca="1" si="0"/>
        <v>0.31098373819057112</v>
      </c>
      <c r="D18" s="21"/>
      <c r="E18" s="21">
        <f t="shared" ca="1" si="5"/>
        <v>1.5235118797628377E-2</v>
      </c>
      <c r="H18" s="21">
        <f t="shared" ca="1" si="6"/>
        <v>0.34836737928781447</v>
      </c>
      <c r="I18" s="21">
        <f t="shared" ca="1" si="7"/>
        <v>0.39185668643592997</v>
      </c>
      <c r="J18" s="21">
        <f t="shared" ca="1" si="8"/>
        <v>0.89360932404594107</v>
      </c>
    </row>
    <row r="19" spans="2:28" x14ac:dyDescent="0.25">
      <c r="B19" s="8" t="s">
        <v>63</v>
      </c>
      <c r="C19" s="21">
        <f t="shared" ca="1" si="0"/>
        <v>0.49123883312041539</v>
      </c>
      <c r="D19" s="21"/>
      <c r="E19" s="21">
        <f t="shared" ca="1" si="5"/>
        <v>6.6893082362652026E-2</v>
      </c>
      <c r="H19" s="21">
        <f t="shared" ca="1" si="6"/>
        <v>0.26698336743797191</v>
      </c>
      <c r="I19" s="21">
        <f t="shared" ca="1" si="7"/>
        <v>0.2664247388236749</v>
      </c>
      <c r="J19" s="21">
        <f t="shared" ca="1" si="8"/>
        <v>0.78576823483645053</v>
      </c>
    </row>
    <row r="20" spans="2:28" x14ac:dyDescent="0.25">
      <c r="B20" s="8" t="s">
        <v>63</v>
      </c>
      <c r="C20" s="21">
        <f t="shared" ca="1" si="0"/>
        <v>0.72308693112239941</v>
      </c>
      <c r="D20" s="21"/>
      <c r="E20" s="21">
        <f t="shared" ca="1" si="5"/>
        <v>0.1522458817543593</v>
      </c>
      <c r="H20" s="21">
        <f t="shared" ca="1" si="6"/>
        <v>0.24904160355648608</v>
      </c>
      <c r="I20" s="21">
        <f t="shared" ca="1" si="7"/>
        <v>0.1922466393505958</v>
      </c>
      <c r="J20" s="21">
        <f t="shared" ca="1" si="8"/>
        <v>0.71985759114238335</v>
      </c>
    </row>
    <row r="21" spans="2:28" x14ac:dyDescent="0.25">
      <c r="B21" s="8" t="s">
        <v>63</v>
      </c>
      <c r="C21" s="21">
        <f t="shared" ca="1" si="0"/>
        <v>0.77805167205697268</v>
      </c>
      <c r="D21" s="21"/>
      <c r="E21" s="21">
        <f t="shared" ca="1" si="5"/>
        <v>0.23688851675422509</v>
      </c>
      <c r="H21" s="21">
        <f t="shared" ca="1" si="6"/>
        <v>0.21392797189650536</v>
      </c>
      <c r="I21" s="21">
        <f t="shared" ca="1" si="7"/>
        <v>0.14522844554067121</v>
      </c>
      <c r="J21" s="21">
        <f t="shared" ca="1" si="8"/>
        <v>0.62589260611535658</v>
      </c>
    </row>
    <row r="22" spans="2:28" x14ac:dyDescent="0.25">
      <c r="B22" s="8" t="s">
        <v>63</v>
      </c>
      <c r="C22" s="21">
        <f t="shared" ca="1" si="0"/>
        <v>1.0325787424197652E-2</v>
      </c>
      <c r="D22" s="21"/>
      <c r="E22" s="21">
        <f t="shared" ca="1" si="5"/>
        <v>1.2722830738605693E-3</v>
      </c>
      <c r="H22" s="21">
        <f t="shared" ca="1" si="6"/>
        <v>0.55133129186865459</v>
      </c>
      <c r="I22" s="21">
        <f t="shared" ca="1" si="7"/>
        <v>0.66989093438467462</v>
      </c>
      <c r="J22" s="21">
        <f t="shared" ca="1" si="8"/>
        <v>1.0874788119022425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71</v>
      </c>
      <c r="C24" s="21">
        <f ca="1">RAND()</f>
        <v>0.47148572595950855</v>
      </c>
      <c r="F24" s="21">
        <f ca="1">RAND()</f>
        <v>0.58321970592128825</v>
      </c>
      <c r="G24" s="23" t="s">
        <v>75</v>
      </c>
      <c r="H24" s="20" t="str">
        <f ca="1">IF(H27&lt;=k,OFFSET($B$2,MATCH(SMALL($H$3:$H$22,H$27),$H$3:$H$22,0),0),"")</f>
        <v>Blue</v>
      </c>
      <c r="I24" s="20" t="str">
        <f t="shared" ref="I24:AA24" ca="1" si="9">IF(I27&lt;=k,OFFSET($B$2,MATCH(SMALL($H$3:$H$22,I$27),$H$3:$H$22,0),0),"")</f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70</v>
      </c>
      <c r="C25" s="21">
        <f ca="1">RAND()</f>
        <v>0.59684379802052467</v>
      </c>
      <c r="F25" s="21">
        <f ca="1">RAND()</f>
        <v>0.57213790441639811</v>
      </c>
      <c r="G25" s="22" t="s">
        <v>74</v>
      </c>
      <c r="H25" s="20" t="str">
        <f t="shared" ref="H25:AA25" ca="1" si="10">IF(H27&lt;=k,OFFSET($B$2,MATCH(SMALL($I$3:$I$22,H$27),$I$3:$I$22,0),0),"")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69</v>
      </c>
      <c r="C26" s="21">
        <f ca="1">RAND()</f>
        <v>0.43924418953963751</v>
      </c>
      <c r="F26" s="21">
        <f ca="1">RAND()</f>
        <v>0.9518025646688133</v>
      </c>
      <c r="G26" s="19" t="s">
        <v>73</v>
      </c>
      <c r="H26" s="20" t="str">
        <f t="shared" ref="H26:AA26" ca="1" si="11">IF(H27&lt;=k,OFFSET($B$2,MATCH(SMALL($J$3:$J$22,H$27),$J$3:$J$22,0),0),"")</f>
        <v>Blue</v>
      </c>
      <c r="I26" s="20" t="str">
        <f t="shared" ca="1" si="11"/>
        <v>Blue</v>
      </c>
      <c r="J26" s="20" t="str">
        <f t="shared" ca="1" si="11"/>
        <v>Blue</v>
      </c>
      <c r="K26" s="20" t="str">
        <f t="shared" ca="1" si="11"/>
        <v>Blue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98B1-EC95-7443-AF9F-02D1D7B5F523}">
  <sheetPr codeName="Sheet12"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16</v>
      </c>
    </row>
  </sheetData>
  <hyperlinks>
    <hyperlink ref="B2" r:id="rId1" xr:uid="{CA93D91C-34F8-2546-BDB0-17415129BFBA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58</v>
      </c>
    </row>
    <row r="2" spans="1:1" x14ac:dyDescent="0.3">
      <c r="A2" s="1" t="s">
        <v>59</v>
      </c>
    </row>
    <row r="3" spans="1:1" x14ac:dyDescent="0.3">
      <c r="A3" s="1" t="s">
        <v>60</v>
      </c>
    </row>
    <row r="4" spans="1:1" x14ac:dyDescent="0.3">
      <c r="A4" s="1" t="s">
        <v>61</v>
      </c>
    </row>
    <row r="5" spans="1:1" x14ac:dyDescent="0.3">
      <c r="A5" s="1" t="s">
        <v>62</v>
      </c>
    </row>
    <row r="6" spans="1:1" x14ac:dyDescent="0.3">
      <c r="A6" s="1" t="s">
        <v>49</v>
      </c>
    </row>
    <row r="7" spans="1:1" x14ac:dyDescent="0.3">
      <c r="A7" s="1" t="s">
        <v>47</v>
      </c>
    </row>
    <row r="8" spans="1:1" x14ac:dyDescent="0.3">
      <c r="A8" s="1" t="s">
        <v>45</v>
      </c>
    </row>
    <row r="9" spans="1:1" x14ac:dyDescent="0.3">
      <c r="A9" s="1" t="s">
        <v>43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19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53</v>
      </c>
      <c r="C2" s="14" t="s">
        <v>52</v>
      </c>
    </row>
    <row r="3" spans="2:3" x14ac:dyDescent="0.3">
      <c r="B3" s="10" t="s">
        <v>51</v>
      </c>
      <c r="C3" s="14" t="s">
        <v>50</v>
      </c>
    </row>
    <row r="4" spans="2:3" x14ac:dyDescent="0.3">
      <c r="B4" s="10" t="s">
        <v>49</v>
      </c>
      <c r="C4" s="14" t="s">
        <v>48</v>
      </c>
    </row>
    <row r="5" spans="2:3" x14ac:dyDescent="0.3">
      <c r="B5" s="10" t="s">
        <v>47</v>
      </c>
      <c r="C5" s="14" t="s">
        <v>46</v>
      </c>
    </row>
    <row r="6" spans="2:3" x14ac:dyDescent="0.3">
      <c r="B6" s="10" t="s">
        <v>45</v>
      </c>
      <c r="C6" s="14" t="s">
        <v>44</v>
      </c>
    </row>
    <row r="7" spans="2:3" x14ac:dyDescent="0.3">
      <c r="B7" s="10" t="s">
        <v>43</v>
      </c>
      <c r="C7" s="14" t="s">
        <v>42</v>
      </c>
    </row>
    <row r="8" spans="2:3" x14ac:dyDescent="0.3">
      <c r="B8" s="10" t="s">
        <v>41</v>
      </c>
      <c r="C8" s="14" t="s">
        <v>40</v>
      </c>
    </row>
    <row r="9" spans="2:3" x14ac:dyDescent="0.3">
      <c r="B9" s="10" t="s">
        <v>39</v>
      </c>
      <c r="C9" s="14" t="s">
        <v>38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27</v>
      </c>
    </row>
    <row r="3" spans="2:5" x14ac:dyDescent="0.25">
      <c r="B3" s="9" t="s">
        <v>31</v>
      </c>
      <c r="C3" s="9"/>
    </row>
    <row r="4" spans="2:5" x14ac:dyDescent="0.25">
      <c r="B4" s="8" t="s">
        <v>28</v>
      </c>
    </row>
    <row r="5" spans="2:5" x14ac:dyDescent="0.25">
      <c r="B5" s="8" t="s">
        <v>29</v>
      </c>
    </row>
    <row r="7" spans="2:5" x14ac:dyDescent="0.25">
      <c r="B7" s="11" t="s">
        <v>23</v>
      </c>
      <c r="C7" s="11" t="s">
        <v>24</v>
      </c>
      <c r="E7" s="11" t="s">
        <v>27</v>
      </c>
    </row>
    <row r="8" spans="2:5" x14ac:dyDescent="0.25">
      <c r="B8" s="8" t="s">
        <v>25</v>
      </c>
      <c r="C8" s="8" t="s">
        <v>25</v>
      </c>
      <c r="E8" s="8" cm="1">
        <f t="array" ref="E8">SUM((B8:B27=C8:C27)*(C8:C27="Sick"))/SUM((C8:C27="Sick")*1)</f>
        <v>0.66666666666666663</v>
      </c>
    </row>
    <row r="9" spans="2:5" x14ac:dyDescent="0.25">
      <c r="B9" s="8" t="s">
        <v>26</v>
      </c>
      <c r="C9" s="8" t="s">
        <v>25</v>
      </c>
    </row>
    <row r="10" spans="2:5" x14ac:dyDescent="0.25">
      <c r="B10" s="8" t="s">
        <v>26</v>
      </c>
      <c r="C10" s="8" t="s">
        <v>25</v>
      </c>
    </row>
    <row r="11" spans="2:5" x14ac:dyDescent="0.25">
      <c r="B11" s="8" t="s">
        <v>26</v>
      </c>
      <c r="C11" s="8" t="s">
        <v>26</v>
      </c>
    </row>
    <row r="12" spans="2:5" x14ac:dyDescent="0.25">
      <c r="B12" s="8" t="s">
        <v>25</v>
      </c>
      <c r="C12" s="8" t="s">
        <v>26</v>
      </c>
    </row>
    <row r="13" spans="2:5" x14ac:dyDescent="0.25">
      <c r="B13" s="8" t="s">
        <v>26</v>
      </c>
      <c r="C13" s="8" t="s">
        <v>26</v>
      </c>
    </row>
    <row r="14" spans="2:5" x14ac:dyDescent="0.25">
      <c r="B14" s="8" t="s">
        <v>25</v>
      </c>
      <c r="C14" s="8" t="s">
        <v>25</v>
      </c>
    </row>
    <row r="15" spans="2:5" x14ac:dyDescent="0.25">
      <c r="B15" s="8" t="s">
        <v>26</v>
      </c>
      <c r="C15" s="8" t="s">
        <v>26</v>
      </c>
    </row>
    <row r="16" spans="2:5" x14ac:dyDescent="0.25">
      <c r="B16" s="8" t="s">
        <v>25</v>
      </c>
      <c r="C16" s="8" t="s">
        <v>25</v>
      </c>
    </row>
    <row r="17" spans="2:3" x14ac:dyDescent="0.25">
      <c r="B17" s="8" t="s">
        <v>26</v>
      </c>
      <c r="C17" s="8" t="s">
        <v>25</v>
      </c>
    </row>
    <row r="18" spans="2:3" x14ac:dyDescent="0.25">
      <c r="B18" s="8" t="s">
        <v>25</v>
      </c>
      <c r="C18" s="8" t="s">
        <v>25</v>
      </c>
    </row>
    <row r="19" spans="2:3" x14ac:dyDescent="0.25">
      <c r="B19" s="8" t="s">
        <v>25</v>
      </c>
      <c r="C19" s="8" t="s">
        <v>25</v>
      </c>
    </row>
    <row r="20" spans="2:3" x14ac:dyDescent="0.25">
      <c r="B20" s="8" t="s">
        <v>25</v>
      </c>
      <c r="C20" s="8" t="s">
        <v>26</v>
      </c>
    </row>
    <row r="21" spans="2:3" x14ac:dyDescent="0.25">
      <c r="B21" s="8" t="s">
        <v>26</v>
      </c>
      <c r="C21" s="8" t="s">
        <v>26</v>
      </c>
    </row>
    <row r="22" spans="2:3" x14ac:dyDescent="0.25">
      <c r="B22" s="8" t="s">
        <v>26</v>
      </c>
      <c r="C22" s="8" t="s">
        <v>25</v>
      </c>
    </row>
    <row r="23" spans="2:3" x14ac:dyDescent="0.25">
      <c r="B23" s="8" t="s">
        <v>25</v>
      </c>
      <c r="C23" s="8" t="s">
        <v>25</v>
      </c>
    </row>
    <row r="24" spans="2:3" x14ac:dyDescent="0.25">
      <c r="B24" s="8" t="s">
        <v>26</v>
      </c>
      <c r="C24" s="8" t="s">
        <v>26</v>
      </c>
    </row>
    <row r="25" spans="2:3" x14ac:dyDescent="0.25">
      <c r="B25" s="8" t="s">
        <v>26</v>
      </c>
      <c r="C25" s="8" t="s">
        <v>26</v>
      </c>
    </row>
    <row r="26" spans="2:3" x14ac:dyDescent="0.25">
      <c r="B26" s="8" t="s">
        <v>25</v>
      </c>
      <c r="C26" s="8" t="s">
        <v>25</v>
      </c>
    </row>
    <row r="27" spans="2:3" x14ac:dyDescent="0.25">
      <c r="B27" s="8" t="s">
        <v>25</v>
      </c>
      <c r="C27" s="8" t="s">
        <v>25</v>
      </c>
    </row>
  </sheetData>
  <hyperlinks>
    <hyperlink ref="B3" r:id="rId1" xr:uid="{FF44839E-5187-E04A-B2FB-DF9FF4B73D53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185</v>
      </c>
    </row>
    <row r="2" spans="1:1" x14ac:dyDescent="0.3">
      <c r="A2" s="1" t="s">
        <v>186</v>
      </c>
    </row>
    <row r="3" spans="1:1" x14ac:dyDescent="0.3">
      <c r="A3" s="1" t="s">
        <v>187</v>
      </c>
    </row>
    <row r="4" spans="1:1" x14ac:dyDescent="0.3">
      <c r="A4" s="1" t="s">
        <v>188</v>
      </c>
    </row>
  </sheetData>
  <phoneticPr fontId="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84</v>
      </c>
      <c r="B1" s="27" t="s">
        <v>85</v>
      </c>
      <c r="C1" s="27" t="s">
        <v>86</v>
      </c>
      <c r="D1" s="27" t="s">
        <v>87</v>
      </c>
      <c r="E1" s="27" t="s">
        <v>88</v>
      </c>
      <c r="F1" s="27" t="s">
        <v>89</v>
      </c>
      <c r="G1" s="27" t="s">
        <v>90</v>
      </c>
      <c r="H1" s="27" t="s">
        <v>91</v>
      </c>
      <c r="I1" s="27" t="s">
        <v>92</v>
      </c>
      <c r="J1" s="27" t="s">
        <v>93</v>
      </c>
      <c r="K1" s="27" t="s">
        <v>94</v>
      </c>
    </row>
    <row r="2" spans="1:11" x14ac:dyDescent="0.2">
      <c r="A2" s="27" t="s">
        <v>95</v>
      </c>
      <c r="B2" s="27" t="s">
        <v>96</v>
      </c>
      <c r="C2" s="27">
        <v>1.8</v>
      </c>
      <c r="D2" s="27">
        <v>1999</v>
      </c>
      <c r="E2" s="27">
        <v>4</v>
      </c>
      <c r="F2" s="27" t="s">
        <v>97</v>
      </c>
      <c r="G2" s="27" t="s">
        <v>98</v>
      </c>
      <c r="H2" s="27">
        <v>18</v>
      </c>
      <c r="I2" s="27">
        <v>29</v>
      </c>
      <c r="J2" s="27" t="s">
        <v>6</v>
      </c>
      <c r="K2" s="27" t="s">
        <v>99</v>
      </c>
    </row>
    <row r="3" spans="1:11" x14ac:dyDescent="0.2">
      <c r="A3" s="27" t="s">
        <v>95</v>
      </c>
      <c r="B3" s="27" t="s">
        <v>96</v>
      </c>
      <c r="C3" s="27">
        <v>1.8</v>
      </c>
      <c r="D3" s="27">
        <v>1999</v>
      </c>
      <c r="E3" s="27">
        <v>4</v>
      </c>
      <c r="F3" s="27" t="s">
        <v>100</v>
      </c>
      <c r="G3" s="27" t="s">
        <v>98</v>
      </c>
      <c r="H3" s="27">
        <v>21</v>
      </c>
      <c r="I3" s="27">
        <v>29</v>
      </c>
      <c r="J3" s="27" t="s">
        <v>6</v>
      </c>
      <c r="K3" s="27" t="s">
        <v>99</v>
      </c>
    </row>
    <row r="4" spans="1:11" x14ac:dyDescent="0.2">
      <c r="A4" s="27" t="s">
        <v>95</v>
      </c>
      <c r="B4" s="27" t="s">
        <v>96</v>
      </c>
      <c r="C4" s="27">
        <v>2</v>
      </c>
      <c r="D4" s="27">
        <v>2008</v>
      </c>
      <c r="E4" s="27">
        <v>4</v>
      </c>
      <c r="F4" s="27" t="s">
        <v>101</v>
      </c>
      <c r="G4" s="27" t="s">
        <v>98</v>
      </c>
      <c r="H4" s="27">
        <v>20</v>
      </c>
      <c r="I4" s="27">
        <v>31</v>
      </c>
      <c r="J4" s="27" t="s">
        <v>6</v>
      </c>
      <c r="K4" s="27" t="s">
        <v>99</v>
      </c>
    </row>
    <row r="5" spans="1:11" x14ac:dyDescent="0.2">
      <c r="A5" s="27" t="s">
        <v>95</v>
      </c>
      <c r="B5" s="27" t="s">
        <v>96</v>
      </c>
      <c r="C5" s="27">
        <v>2</v>
      </c>
      <c r="D5" s="27">
        <v>2008</v>
      </c>
      <c r="E5" s="27">
        <v>4</v>
      </c>
      <c r="F5" s="27" t="s">
        <v>102</v>
      </c>
      <c r="G5" s="27" t="s">
        <v>98</v>
      </c>
      <c r="H5" s="27">
        <v>21</v>
      </c>
      <c r="I5" s="27">
        <v>30</v>
      </c>
      <c r="J5" s="27" t="s">
        <v>6</v>
      </c>
      <c r="K5" s="27" t="s">
        <v>99</v>
      </c>
    </row>
    <row r="6" spans="1:11" x14ac:dyDescent="0.2">
      <c r="A6" s="27" t="s">
        <v>95</v>
      </c>
      <c r="B6" s="27" t="s">
        <v>96</v>
      </c>
      <c r="C6" s="27">
        <v>2.8</v>
      </c>
      <c r="D6" s="27">
        <v>1999</v>
      </c>
      <c r="E6" s="27">
        <v>6</v>
      </c>
      <c r="F6" s="27" t="s">
        <v>97</v>
      </c>
      <c r="G6" s="27" t="s">
        <v>98</v>
      </c>
      <c r="H6" s="27">
        <v>16</v>
      </c>
      <c r="I6" s="27">
        <v>26</v>
      </c>
      <c r="J6" s="27" t="s">
        <v>6</v>
      </c>
      <c r="K6" s="27" t="s">
        <v>99</v>
      </c>
    </row>
    <row r="7" spans="1:11" x14ac:dyDescent="0.2">
      <c r="A7" s="27" t="s">
        <v>95</v>
      </c>
      <c r="B7" s="27" t="s">
        <v>96</v>
      </c>
      <c r="C7" s="27">
        <v>2.8</v>
      </c>
      <c r="D7" s="27">
        <v>1999</v>
      </c>
      <c r="E7" s="27">
        <v>6</v>
      </c>
      <c r="F7" s="27" t="s">
        <v>100</v>
      </c>
      <c r="G7" s="27" t="s">
        <v>98</v>
      </c>
      <c r="H7" s="27">
        <v>18</v>
      </c>
      <c r="I7" s="27">
        <v>26</v>
      </c>
      <c r="J7" s="27" t="s">
        <v>6</v>
      </c>
      <c r="K7" s="27" t="s">
        <v>99</v>
      </c>
    </row>
    <row r="8" spans="1:11" x14ac:dyDescent="0.2">
      <c r="A8" s="27" t="s">
        <v>95</v>
      </c>
      <c r="B8" s="27" t="s">
        <v>96</v>
      </c>
      <c r="C8" s="27">
        <v>3.1</v>
      </c>
      <c r="D8" s="27">
        <v>2008</v>
      </c>
      <c r="E8" s="27">
        <v>6</v>
      </c>
      <c r="F8" s="27" t="s">
        <v>102</v>
      </c>
      <c r="G8" s="27" t="s">
        <v>98</v>
      </c>
      <c r="H8" s="27">
        <v>18</v>
      </c>
      <c r="I8" s="27">
        <v>27</v>
      </c>
      <c r="J8" s="27" t="s">
        <v>6</v>
      </c>
      <c r="K8" s="27" t="s">
        <v>99</v>
      </c>
    </row>
    <row r="9" spans="1:11" x14ac:dyDescent="0.2">
      <c r="A9" s="27" t="s">
        <v>95</v>
      </c>
      <c r="B9" s="27" t="s">
        <v>103</v>
      </c>
      <c r="C9" s="27">
        <v>1.8</v>
      </c>
      <c r="D9" s="27">
        <v>1999</v>
      </c>
      <c r="E9" s="27">
        <v>4</v>
      </c>
      <c r="F9" s="27" t="s">
        <v>100</v>
      </c>
      <c r="G9" s="27">
        <v>4</v>
      </c>
      <c r="H9" s="27">
        <v>18</v>
      </c>
      <c r="I9" s="27">
        <v>26</v>
      </c>
      <c r="J9" s="27" t="s">
        <v>6</v>
      </c>
      <c r="K9" s="27" t="s">
        <v>99</v>
      </c>
    </row>
    <row r="10" spans="1:11" x14ac:dyDescent="0.2">
      <c r="A10" s="27" t="s">
        <v>95</v>
      </c>
      <c r="B10" s="27" t="s">
        <v>103</v>
      </c>
      <c r="C10" s="27">
        <v>1.8</v>
      </c>
      <c r="D10" s="27">
        <v>1999</v>
      </c>
      <c r="E10" s="27">
        <v>4</v>
      </c>
      <c r="F10" s="27" t="s">
        <v>97</v>
      </c>
      <c r="G10" s="27">
        <v>4</v>
      </c>
      <c r="H10" s="27">
        <v>16</v>
      </c>
      <c r="I10" s="27">
        <v>25</v>
      </c>
      <c r="J10" s="27" t="s">
        <v>6</v>
      </c>
      <c r="K10" s="27" t="s">
        <v>99</v>
      </c>
    </row>
    <row r="11" spans="1:11" x14ac:dyDescent="0.2">
      <c r="A11" s="27" t="s">
        <v>95</v>
      </c>
      <c r="B11" s="27" t="s">
        <v>103</v>
      </c>
      <c r="C11" s="27">
        <v>2</v>
      </c>
      <c r="D11" s="27">
        <v>2008</v>
      </c>
      <c r="E11" s="27">
        <v>4</v>
      </c>
      <c r="F11" s="27" t="s">
        <v>101</v>
      </c>
      <c r="G11" s="27">
        <v>4</v>
      </c>
      <c r="H11" s="27">
        <v>20</v>
      </c>
      <c r="I11" s="27">
        <v>28</v>
      </c>
      <c r="J11" s="27" t="s">
        <v>6</v>
      </c>
      <c r="K11" s="27" t="s">
        <v>99</v>
      </c>
    </row>
    <row r="12" spans="1:11" x14ac:dyDescent="0.2">
      <c r="A12" s="27" t="s">
        <v>95</v>
      </c>
      <c r="B12" s="27" t="s">
        <v>103</v>
      </c>
      <c r="C12" s="27">
        <v>2</v>
      </c>
      <c r="D12" s="27">
        <v>2008</v>
      </c>
      <c r="E12" s="27">
        <v>4</v>
      </c>
      <c r="F12" s="27" t="s">
        <v>104</v>
      </c>
      <c r="G12" s="27">
        <v>4</v>
      </c>
      <c r="H12" s="27">
        <v>19</v>
      </c>
      <c r="I12" s="27">
        <v>27</v>
      </c>
      <c r="J12" s="27" t="s">
        <v>6</v>
      </c>
      <c r="K12" s="27" t="s">
        <v>99</v>
      </c>
    </row>
    <row r="13" spans="1:11" x14ac:dyDescent="0.2">
      <c r="A13" s="27" t="s">
        <v>95</v>
      </c>
      <c r="B13" s="27" t="s">
        <v>103</v>
      </c>
      <c r="C13" s="27">
        <v>2.8</v>
      </c>
      <c r="D13" s="27">
        <v>1999</v>
      </c>
      <c r="E13" s="27">
        <v>6</v>
      </c>
      <c r="F13" s="27" t="s">
        <v>97</v>
      </c>
      <c r="G13" s="27">
        <v>4</v>
      </c>
      <c r="H13" s="27">
        <v>15</v>
      </c>
      <c r="I13" s="27">
        <v>25</v>
      </c>
      <c r="J13" s="27" t="s">
        <v>6</v>
      </c>
      <c r="K13" s="27" t="s">
        <v>99</v>
      </c>
    </row>
    <row r="14" spans="1:11" x14ac:dyDescent="0.2">
      <c r="A14" s="27" t="s">
        <v>95</v>
      </c>
      <c r="B14" s="27" t="s">
        <v>103</v>
      </c>
      <c r="C14" s="27">
        <v>2.8</v>
      </c>
      <c r="D14" s="27">
        <v>1999</v>
      </c>
      <c r="E14" s="27">
        <v>6</v>
      </c>
      <c r="F14" s="27" t="s">
        <v>100</v>
      </c>
      <c r="G14" s="27">
        <v>4</v>
      </c>
      <c r="H14" s="27">
        <v>17</v>
      </c>
      <c r="I14" s="27">
        <v>25</v>
      </c>
      <c r="J14" s="27" t="s">
        <v>6</v>
      </c>
      <c r="K14" s="27" t="s">
        <v>99</v>
      </c>
    </row>
    <row r="15" spans="1:11" x14ac:dyDescent="0.2">
      <c r="A15" s="27" t="s">
        <v>95</v>
      </c>
      <c r="B15" s="27" t="s">
        <v>103</v>
      </c>
      <c r="C15" s="27">
        <v>3.1</v>
      </c>
      <c r="D15" s="27">
        <v>2008</v>
      </c>
      <c r="E15" s="27">
        <v>6</v>
      </c>
      <c r="F15" s="27" t="s">
        <v>104</v>
      </c>
      <c r="G15" s="27">
        <v>4</v>
      </c>
      <c r="H15" s="27">
        <v>17</v>
      </c>
      <c r="I15" s="27">
        <v>25</v>
      </c>
      <c r="J15" s="27" t="s">
        <v>6</v>
      </c>
      <c r="K15" s="27" t="s">
        <v>99</v>
      </c>
    </row>
    <row r="16" spans="1:11" x14ac:dyDescent="0.2">
      <c r="A16" s="27" t="s">
        <v>95</v>
      </c>
      <c r="B16" s="27" t="s">
        <v>103</v>
      </c>
      <c r="C16" s="27">
        <v>3.1</v>
      </c>
      <c r="D16" s="27">
        <v>2008</v>
      </c>
      <c r="E16" s="27">
        <v>6</v>
      </c>
      <c r="F16" s="27" t="s">
        <v>101</v>
      </c>
      <c r="G16" s="27">
        <v>4</v>
      </c>
      <c r="H16" s="27">
        <v>15</v>
      </c>
      <c r="I16" s="27">
        <v>25</v>
      </c>
      <c r="J16" s="27" t="s">
        <v>6</v>
      </c>
      <c r="K16" s="27" t="s">
        <v>99</v>
      </c>
    </row>
    <row r="17" spans="1:11" x14ac:dyDescent="0.2">
      <c r="A17" s="27" t="s">
        <v>95</v>
      </c>
      <c r="B17" s="27" t="s">
        <v>105</v>
      </c>
      <c r="C17" s="27">
        <v>2.8</v>
      </c>
      <c r="D17" s="27">
        <v>1999</v>
      </c>
      <c r="E17" s="27">
        <v>6</v>
      </c>
      <c r="F17" s="27" t="s">
        <v>97</v>
      </c>
      <c r="G17" s="27">
        <v>4</v>
      </c>
      <c r="H17" s="27">
        <v>15</v>
      </c>
      <c r="I17" s="27">
        <v>24</v>
      </c>
      <c r="J17" s="27" t="s">
        <v>6</v>
      </c>
      <c r="K17" s="27" t="s">
        <v>106</v>
      </c>
    </row>
    <row r="18" spans="1:11" x14ac:dyDescent="0.2">
      <c r="A18" s="27" t="s">
        <v>95</v>
      </c>
      <c r="B18" s="27" t="s">
        <v>105</v>
      </c>
      <c r="C18" s="27">
        <v>3.1</v>
      </c>
      <c r="D18" s="27">
        <v>2008</v>
      </c>
      <c r="E18" s="27">
        <v>6</v>
      </c>
      <c r="F18" s="27" t="s">
        <v>104</v>
      </c>
      <c r="G18" s="27">
        <v>4</v>
      </c>
      <c r="H18" s="27">
        <v>17</v>
      </c>
      <c r="I18" s="27">
        <v>25</v>
      </c>
      <c r="J18" s="27" t="s">
        <v>6</v>
      </c>
      <c r="K18" s="27" t="s">
        <v>106</v>
      </c>
    </row>
    <row r="19" spans="1:11" x14ac:dyDescent="0.2">
      <c r="A19" s="27" t="s">
        <v>95</v>
      </c>
      <c r="B19" s="27" t="s">
        <v>105</v>
      </c>
      <c r="C19" s="27">
        <v>4.2</v>
      </c>
      <c r="D19" s="27">
        <v>2008</v>
      </c>
      <c r="E19" s="27">
        <v>8</v>
      </c>
      <c r="F19" s="27" t="s">
        <v>104</v>
      </c>
      <c r="G19" s="27">
        <v>4</v>
      </c>
      <c r="H19" s="27">
        <v>16</v>
      </c>
      <c r="I19" s="27">
        <v>23</v>
      </c>
      <c r="J19" s="27" t="s">
        <v>6</v>
      </c>
      <c r="K19" s="27" t="s">
        <v>106</v>
      </c>
    </row>
    <row r="20" spans="1:11" x14ac:dyDescent="0.2">
      <c r="A20" s="27" t="s">
        <v>107</v>
      </c>
      <c r="B20" s="27" t="s">
        <v>108</v>
      </c>
      <c r="C20" s="27">
        <v>5.3</v>
      </c>
      <c r="D20" s="27">
        <v>2008</v>
      </c>
      <c r="E20" s="27">
        <v>8</v>
      </c>
      <c r="F20" s="27" t="s">
        <v>109</v>
      </c>
      <c r="G20" s="27" t="s">
        <v>110</v>
      </c>
      <c r="H20" s="27">
        <v>14</v>
      </c>
      <c r="I20" s="27">
        <v>20</v>
      </c>
      <c r="J20" s="27" t="s">
        <v>110</v>
      </c>
      <c r="K20" s="27" t="s">
        <v>111</v>
      </c>
    </row>
    <row r="21" spans="1:11" x14ac:dyDescent="0.2">
      <c r="A21" s="27" t="s">
        <v>107</v>
      </c>
      <c r="B21" s="27" t="s">
        <v>108</v>
      </c>
      <c r="C21" s="27">
        <v>5.3</v>
      </c>
      <c r="D21" s="27">
        <v>2008</v>
      </c>
      <c r="E21" s="27">
        <v>8</v>
      </c>
      <c r="F21" s="27" t="s">
        <v>109</v>
      </c>
      <c r="G21" s="27" t="s">
        <v>110</v>
      </c>
      <c r="H21" s="27">
        <v>11</v>
      </c>
      <c r="I21" s="27">
        <v>15</v>
      </c>
      <c r="J21" s="27" t="s">
        <v>112</v>
      </c>
      <c r="K21" s="27" t="s">
        <v>111</v>
      </c>
    </row>
    <row r="22" spans="1:11" x14ac:dyDescent="0.2">
      <c r="A22" s="27" t="s">
        <v>107</v>
      </c>
      <c r="B22" s="27" t="s">
        <v>108</v>
      </c>
      <c r="C22" s="27">
        <v>5.3</v>
      </c>
      <c r="D22" s="27">
        <v>2008</v>
      </c>
      <c r="E22" s="27">
        <v>8</v>
      </c>
      <c r="F22" s="27" t="s">
        <v>109</v>
      </c>
      <c r="G22" s="27" t="s">
        <v>110</v>
      </c>
      <c r="H22" s="27">
        <v>14</v>
      </c>
      <c r="I22" s="27">
        <v>20</v>
      </c>
      <c r="J22" s="27" t="s">
        <v>110</v>
      </c>
      <c r="K22" s="27" t="s">
        <v>111</v>
      </c>
    </row>
    <row r="23" spans="1:11" x14ac:dyDescent="0.2">
      <c r="A23" s="27" t="s">
        <v>107</v>
      </c>
      <c r="B23" s="27" t="s">
        <v>108</v>
      </c>
      <c r="C23" s="27">
        <v>5.7</v>
      </c>
      <c r="D23" s="27">
        <v>1999</v>
      </c>
      <c r="E23" s="27">
        <v>8</v>
      </c>
      <c r="F23" s="27" t="s">
        <v>109</v>
      </c>
      <c r="G23" s="27" t="s">
        <v>110</v>
      </c>
      <c r="H23" s="27">
        <v>13</v>
      </c>
      <c r="I23" s="27">
        <v>17</v>
      </c>
      <c r="J23" s="27" t="s">
        <v>110</v>
      </c>
      <c r="K23" s="27" t="s">
        <v>111</v>
      </c>
    </row>
    <row r="24" spans="1:11" x14ac:dyDescent="0.2">
      <c r="A24" s="27" t="s">
        <v>107</v>
      </c>
      <c r="B24" s="27" t="s">
        <v>108</v>
      </c>
      <c r="C24" s="27">
        <v>6</v>
      </c>
      <c r="D24" s="27">
        <v>2008</v>
      </c>
      <c r="E24" s="27">
        <v>8</v>
      </c>
      <c r="F24" s="27" t="s">
        <v>109</v>
      </c>
      <c r="G24" s="27" t="s">
        <v>110</v>
      </c>
      <c r="H24" s="27">
        <v>12</v>
      </c>
      <c r="I24" s="27">
        <v>17</v>
      </c>
      <c r="J24" s="27" t="s">
        <v>110</v>
      </c>
      <c r="K24" s="27" t="s">
        <v>111</v>
      </c>
    </row>
    <row r="25" spans="1:11" x14ac:dyDescent="0.2">
      <c r="A25" s="27" t="s">
        <v>107</v>
      </c>
      <c r="B25" s="27" t="s">
        <v>113</v>
      </c>
      <c r="C25" s="27">
        <v>5.7</v>
      </c>
      <c r="D25" s="27">
        <v>1999</v>
      </c>
      <c r="E25" s="27">
        <v>8</v>
      </c>
      <c r="F25" s="27" t="s">
        <v>101</v>
      </c>
      <c r="G25" s="27" t="s">
        <v>110</v>
      </c>
      <c r="H25" s="27">
        <v>16</v>
      </c>
      <c r="I25" s="27">
        <v>26</v>
      </c>
      <c r="J25" s="27" t="s">
        <v>6</v>
      </c>
      <c r="K25" s="27" t="s">
        <v>114</v>
      </c>
    </row>
    <row r="26" spans="1:11" x14ac:dyDescent="0.2">
      <c r="A26" s="27" t="s">
        <v>107</v>
      </c>
      <c r="B26" s="27" t="s">
        <v>113</v>
      </c>
      <c r="C26" s="27">
        <v>5.7</v>
      </c>
      <c r="D26" s="27">
        <v>1999</v>
      </c>
      <c r="E26" s="27">
        <v>8</v>
      </c>
      <c r="F26" s="27" t="s">
        <v>109</v>
      </c>
      <c r="G26" s="27" t="s">
        <v>110</v>
      </c>
      <c r="H26" s="27">
        <v>15</v>
      </c>
      <c r="I26" s="27">
        <v>23</v>
      </c>
      <c r="J26" s="27" t="s">
        <v>6</v>
      </c>
      <c r="K26" s="27" t="s">
        <v>114</v>
      </c>
    </row>
    <row r="27" spans="1:11" x14ac:dyDescent="0.2">
      <c r="A27" s="27" t="s">
        <v>107</v>
      </c>
      <c r="B27" s="27" t="s">
        <v>113</v>
      </c>
      <c r="C27" s="27">
        <v>6.2</v>
      </c>
      <c r="D27" s="27">
        <v>2008</v>
      </c>
      <c r="E27" s="27">
        <v>8</v>
      </c>
      <c r="F27" s="27" t="s">
        <v>101</v>
      </c>
      <c r="G27" s="27" t="s">
        <v>110</v>
      </c>
      <c r="H27" s="27">
        <v>16</v>
      </c>
      <c r="I27" s="27">
        <v>26</v>
      </c>
      <c r="J27" s="27" t="s">
        <v>6</v>
      </c>
      <c r="K27" s="27" t="s">
        <v>114</v>
      </c>
    </row>
    <row r="28" spans="1:11" x14ac:dyDescent="0.2">
      <c r="A28" s="27" t="s">
        <v>107</v>
      </c>
      <c r="B28" s="27" t="s">
        <v>113</v>
      </c>
      <c r="C28" s="27">
        <v>6.2</v>
      </c>
      <c r="D28" s="27">
        <v>2008</v>
      </c>
      <c r="E28" s="27">
        <v>8</v>
      </c>
      <c r="F28" s="27" t="s">
        <v>104</v>
      </c>
      <c r="G28" s="27" t="s">
        <v>110</v>
      </c>
      <c r="H28" s="27">
        <v>15</v>
      </c>
      <c r="I28" s="27">
        <v>25</v>
      </c>
      <c r="J28" s="27" t="s">
        <v>6</v>
      </c>
      <c r="K28" s="27" t="s">
        <v>114</v>
      </c>
    </row>
    <row r="29" spans="1:11" x14ac:dyDescent="0.2">
      <c r="A29" s="27" t="s">
        <v>107</v>
      </c>
      <c r="B29" s="27" t="s">
        <v>113</v>
      </c>
      <c r="C29" s="27">
        <v>7</v>
      </c>
      <c r="D29" s="27">
        <v>2008</v>
      </c>
      <c r="E29" s="27">
        <v>8</v>
      </c>
      <c r="F29" s="27" t="s">
        <v>101</v>
      </c>
      <c r="G29" s="27" t="s">
        <v>110</v>
      </c>
      <c r="H29" s="27">
        <v>15</v>
      </c>
      <c r="I29" s="27">
        <v>24</v>
      </c>
      <c r="J29" s="27" t="s">
        <v>6</v>
      </c>
      <c r="K29" s="27" t="s">
        <v>114</v>
      </c>
    </row>
    <row r="30" spans="1:11" x14ac:dyDescent="0.2">
      <c r="A30" s="27" t="s">
        <v>107</v>
      </c>
      <c r="B30" s="27" t="s">
        <v>115</v>
      </c>
      <c r="C30" s="27">
        <v>5.3</v>
      </c>
      <c r="D30" s="27">
        <v>2008</v>
      </c>
      <c r="E30" s="27">
        <v>8</v>
      </c>
      <c r="F30" s="27" t="s">
        <v>109</v>
      </c>
      <c r="G30" s="27">
        <v>4</v>
      </c>
      <c r="H30" s="27">
        <v>14</v>
      </c>
      <c r="I30" s="27">
        <v>19</v>
      </c>
      <c r="J30" s="27" t="s">
        <v>110</v>
      </c>
      <c r="K30" s="27" t="s">
        <v>111</v>
      </c>
    </row>
    <row r="31" spans="1:11" x14ac:dyDescent="0.2">
      <c r="A31" s="27" t="s">
        <v>107</v>
      </c>
      <c r="B31" s="27" t="s">
        <v>115</v>
      </c>
      <c r="C31" s="27">
        <v>5.3</v>
      </c>
      <c r="D31" s="27">
        <v>2008</v>
      </c>
      <c r="E31" s="27">
        <v>8</v>
      </c>
      <c r="F31" s="27" t="s">
        <v>109</v>
      </c>
      <c r="G31" s="27">
        <v>4</v>
      </c>
      <c r="H31" s="27">
        <v>11</v>
      </c>
      <c r="I31" s="27">
        <v>14</v>
      </c>
      <c r="J31" s="27" t="s">
        <v>112</v>
      </c>
      <c r="K31" s="27" t="s">
        <v>111</v>
      </c>
    </row>
    <row r="32" spans="1:11" x14ac:dyDescent="0.2">
      <c r="A32" s="27" t="s">
        <v>107</v>
      </c>
      <c r="B32" s="27" t="s">
        <v>115</v>
      </c>
      <c r="C32" s="27">
        <v>5.7</v>
      </c>
      <c r="D32" s="27">
        <v>1999</v>
      </c>
      <c r="E32" s="27">
        <v>8</v>
      </c>
      <c r="F32" s="27" t="s">
        <v>109</v>
      </c>
      <c r="G32" s="27">
        <v>4</v>
      </c>
      <c r="H32" s="27">
        <v>11</v>
      </c>
      <c r="I32" s="27">
        <v>15</v>
      </c>
      <c r="J32" s="27" t="s">
        <v>110</v>
      </c>
      <c r="K32" s="27" t="s">
        <v>111</v>
      </c>
    </row>
    <row r="33" spans="1:11" x14ac:dyDescent="0.2">
      <c r="A33" s="27" t="s">
        <v>107</v>
      </c>
      <c r="B33" s="27" t="s">
        <v>115</v>
      </c>
      <c r="C33" s="27">
        <v>6.5</v>
      </c>
      <c r="D33" s="27">
        <v>1999</v>
      </c>
      <c r="E33" s="27">
        <v>8</v>
      </c>
      <c r="F33" s="27" t="s">
        <v>109</v>
      </c>
      <c r="G33" s="27">
        <v>4</v>
      </c>
      <c r="H33" s="27">
        <v>14</v>
      </c>
      <c r="I33" s="27">
        <v>17</v>
      </c>
      <c r="J33" s="27" t="s">
        <v>116</v>
      </c>
      <c r="K33" s="27" t="s">
        <v>111</v>
      </c>
    </row>
    <row r="34" spans="1:11" x14ac:dyDescent="0.2">
      <c r="A34" s="27" t="s">
        <v>107</v>
      </c>
      <c r="B34" s="27" t="s">
        <v>117</v>
      </c>
      <c r="C34" s="27">
        <v>2.4</v>
      </c>
      <c r="D34" s="27">
        <v>1999</v>
      </c>
      <c r="E34" s="27">
        <v>4</v>
      </c>
      <c r="F34" s="27" t="s">
        <v>109</v>
      </c>
      <c r="G34" s="27" t="s">
        <v>98</v>
      </c>
      <c r="H34" s="27">
        <v>19</v>
      </c>
      <c r="I34" s="27">
        <v>27</v>
      </c>
      <c r="J34" s="27" t="s">
        <v>110</v>
      </c>
      <c r="K34" s="27" t="s">
        <v>106</v>
      </c>
    </row>
    <row r="35" spans="1:11" x14ac:dyDescent="0.2">
      <c r="A35" s="27" t="s">
        <v>107</v>
      </c>
      <c r="B35" s="27" t="s">
        <v>117</v>
      </c>
      <c r="C35" s="27">
        <v>2.4</v>
      </c>
      <c r="D35" s="27">
        <v>2008</v>
      </c>
      <c r="E35" s="27">
        <v>4</v>
      </c>
      <c r="F35" s="27" t="s">
        <v>109</v>
      </c>
      <c r="G35" s="27" t="s">
        <v>98</v>
      </c>
      <c r="H35" s="27">
        <v>22</v>
      </c>
      <c r="I35" s="27">
        <v>30</v>
      </c>
      <c r="J35" s="27" t="s">
        <v>110</v>
      </c>
      <c r="K35" s="27" t="s">
        <v>106</v>
      </c>
    </row>
    <row r="36" spans="1:11" x14ac:dyDescent="0.2">
      <c r="A36" s="27" t="s">
        <v>107</v>
      </c>
      <c r="B36" s="27" t="s">
        <v>117</v>
      </c>
      <c r="C36" s="27">
        <v>3.1</v>
      </c>
      <c r="D36" s="27">
        <v>1999</v>
      </c>
      <c r="E36" s="27">
        <v>6</v>
      </c>
      <c r="F36" s="27" t="s">
        <v>109</v>
      </c>
      <c r="G36" s="27" t="s">
        <v>98</v>
      </c>
      <c r="H36" s="27">
        <v>18</v>
      </c>
      <c r="I36" s="27">
        <v>26</v>
      </c>
      <c r="J36" s="27" t="s">
        <v>110</v>
      </c>
      <c r="K36" s="27" t="s">
        <v>106</v>
      </c>
    </row>
    <row r="37" spans="1:11" x14ac:dyDescent="0.2">
      <c r="A37" s="27" t="s">
        <v>107</v>
      </c>
      <c r="B37" s="27" t="s">
        <v>117</v>
      </c>
      <c r="C37" s="27">
        <v>3.5</v>
      </c>
      <c r="D37" s="27">
        <v>2008</v>
      </c>
      <c r="E37" s="27">
        <v>6</v>
      </c>
      <c r="F37" s="27" t="s">
        <v>109</v>
      </c>
      <c r="G37" s="27" t="s">
        <v>98</v>
      </c>
      <c r="H37" s="27">
        <v>18</v>
      </c>
      <c r="I37" s="27">
        <v>29</v>
      </c>
      <c r="J37" s="27" t="s">
        <v>110</v>
      </c>
      <c r="K37" s="27" t="s">
        <v>106</v>
      </c>
    </row>
    <row r="38" spans="1:11" x14ac:dyDescent="0.2">
      <c r="A38" s="27" t="s">
        <v>107</v>
      </c>
      <c r="B38" s="27" t="s">
        <v>117</v>
      </c>
      <c r="C38" s="27">
        <v>3.6</v>
      </c>
      <c r="D38" s="27">
        <v>2008</v>
      </c>
      <c r="E38" s="27">
        <v>6</v>
      </c>
      <c r="F38" s="27" t="s">
        <v>104</v>
      </c>
      <c r="G38" s="27" t="s">
        <v>98</v>
      </c>
      <c r="H38" s="27">
        <v>17</v>
      </c>
      <c r="I38" s="27">
        <v>26</v>
      </c>
      <c r="J38" s="27" t="s">
        <v>110</v>
      </c>
      <c r="K38" s="27" t="s">
        <v>106</v>
      </c>
    </row>
    <row r="39" spans="1:11" x14ac:dyDescent="0.2">
      <c r="A39" s="27" t="s">
        <v>118</v>
      </c>
      <c r="B39" s="27" t="s">
        <v>119</v>
      </c>
      <c r="C39" s="27">
        <v>2.4</v>
      </c>
      <c r="D39" s="27">
        <v>1999</v>
      </c>
      <c r="E39" s="27">
        <v>4</v>
      </c>
      <c r="F39" s="27" t="s">
        <v>120</v>
      </c>
      <c r="G39" s="27" t="s">
        <v>98</v>
      </c>
      <c r="H39" s="27">
        <v>18</v>
      </c>
      <c r="I39" s="27">
        <v>24</v>
      </c>
      <c r="J39" s="27" t="s">
        <v>110</v>
      </c>
      <c r="K39" s="27" t="s">
        <v>121</v>
      </c>
    </row>
    <row r="40" spans="1:11" x14ac:dyDescent="0.2">
      <c r="A40" s="27" t="s">
        <v>118</v>
      </c>
      <c r="B40" s="27" t="s">
        <v>119</v>
      </c>
      <c r="C40" s="27">
        <v>3</v>
      </c>
      <c r="D40" s="27">
        <v>1999</v>
      </c>
      <c r="E40" s="27">
        <v>6</v>
      </c>
      <c r="F40" s="27" t="s">
        <v>109</v>
      </c>
      <c r="G40" s="27" t="s">
        <v>98</v>
      </c>
      <c r="H40" s="27">
        <v>17</v>
      </c>
      <c r="I40" s="27">
        <v>24</v>
      </c>
      <c r="J40" s="27" t="s">
        <v>110</v>
      </c>
      <c r="K40" s="27" t="s">
        <v>121</v>
      </c>
    </row>
    <row r="41" spans="1:11" x14ac:dyDescent="0.2">
      <c r="A41" s="27" t="s">
        <v>118</v>
      </c>
      <c r="B41" s="27" t="s">
        <v>119</v>
      </c>
      <c r="C41" s="27">
        <v>3.3</v>
      </c>
      <c r="D41" s="27">
        <v>1999</v>
      </c>
      <c r="E41" s="27">
        <v>6</v>
      </c>
      <c r="F41" s="27" t="s">
        <v>109</v>
      </c>
      <c r="G41" s="27" t="s">
        <v>98</v>
      </c>
      <c r="H41" s="27">
        <v>16</v>
      </c>
      <c r="I41" s="27">
        <v>22</v>
      </c>
      <c r="J41" s="27" t="s">
        <v>110</v>
      </c>
      <c r="K41" s="27" t="s">
        <v>121</v>
      </c>
    </row>
    <row r="42" spans="1:11" x14ac:dyDescent="0.2">
      <c r="A42" s="27" t="s">
        <v>118</v>
      </c>
      <c r="B42" s="27" t="s">
        <v>119</v>
      </c>
      <c r="C42" s="27">
        <v>3.3</v>
      </c>
      <c r="D42" s="27">
        <v>1999</v>
      </c>
      <c r="E42" s="27">
        <v>6</v>
      </c>
      <c r="F42" s="27" t="s">
        <v>109</v>
      </c>
      <c r="G42" s="27" t="s">
        <v>98</v>
      </c>
      <c r="H42" s="27">
        <v>16</v>
      </c>
      <c r="I42" s="27">
        <v>22</v>
      </c>
      <c r="J42" s="27" t="s">
        <v>110</v>
      </c>
      <c r="K42" s="27" t="s">
        <v>121</v>
      </c>
    </row>
    <row r="43" spans="1:11" x14ac:dyDescent="0.2">
      <c r="A43" s="27" t="s">
        <v>118</v>
      </c>
      <c r="B43" s="27" t="s">
        <v>119</v>
      </c>
      <c r="C43" s="27">
        <v>3.3</v>
      </c>
      <c r="D43" s="27">
        <v>2008</v>
      </c>
      <c r="E43" s="27">
        <v>6</v>
      </c>
      <c r="F43" s="27" t="s">
        <v>109</v>
      </c>
      <c r="G43" s="27" t="s">
        <v>98</v>
      </c>
      <c r="H43" s="27">
        <v>17</v>
      </c>
      <c r="I43" s="27">
        <v>24</v>
      </c>
      <c r="J43" s="27" t="s">
        <v>110</v>
      </c>
      <c r="K43" s="27" t="s">
        <v>121</v>
      </c>
    </row>
    <row r="44" spans="1:11" x14ac:dyDescent="0.2">
      <c r="A44" s="27" t="s">
        <v>118</v>
      </c>
      <c r="B44" s="27" t="s">
        <v>119</v>
      </c>
      <c r="C44" s="27">
        <v>3.3</v>
      </c>
      <c r="D44" s="27">
        <v>2008</v>
      </c>
      <c r="E44" s="27">
        <v>6</v>
      </c>
      <c r="F44" s="27" t="s">
        <v>109</v>
      </c>
      <c r="G44" s="27" t="s">
        <v>98</v>
      </c>
      <c r="H44" s="27">
        <v>17</v>
      </c>
      <c r="I44" s="27">
        <v>24</v>
      </c>
      <c r="J44" s="27" t="s">
        <v>110</v>
      </c>
      <c r="K44" s="27" t="s">
        <v>121</v>
      </c>
    </row>
    <row r="45" spans="1:11" x14ac:dyDescent="0.2">
      <c r="A45" s="27" t="s">
        <v>118</v>
      </c>
      <c r="B45" s="27" t="s">
        <v>119</v>
      </c>
      <c r="C45" s="27">
        <v>3.3</v>
      </c>
      <c r="D45" s="27">
        <v>2008</v>
      </c>
      <c r="E45" s="27">
        <v>6</v>
      </c>
      <c r="F45" s="27" t="s">
        <v>109</v>
      </c>
      <c r="G45" s="27" t="s">
        <v>98</v>
      </c>
      <c r="H45" s="27">
        <v>11</v>
      </c>
      <c r="I45" s="27">
        <v>17</v>
      </c>
      <c r="J45" s="27" t="s">
        <v>112</v>
      </c>
      <c r="K45" s="27" t="s">
        <v>121</v>
      </c>
    </row>
    <row r="46" spans="1:11" x14ac:dyDescent="0.2">
      <c r="A46" s="27" t="s">
        <v>118</v>
      </c>
      <c r="B46" s="27" t="s">
        <v>119</v>
      </c>
      <c r="C46" s="27">
        <v>3.8</v>
      </c>
      <c r="D46" s="27">
        <v>1999</v>
      </c>
      <c r="E46" s="27">
        <v>6</v>
      </c>
      <c r="F46" s="27" t="s">
        <v>109</v>
      </c>
      <c r="G46" s="27" t="s">
        <v>98</v>
      </c>
      <c r="H46" s="27">
        <v>15</v>
      </c>
      <c r="I46" s="27">
        <v>22</v>
      </c>
      <c r="J46" s="27" t="s">
        <v>110</v>
      </c>
      <c r="K46" s="27" t="s">
        <v>121</v>
      </c>
    </row>
    <row r="47" spans="1:11" x14ac:dyDescent="0.2">
      <c r="A47" s="27" t="s">
        <v>118</v>
      </c>
      <c r="B47" s="27" t="s">
        <v>119</v>
      </c>
      <c r="C47" s="27">
        <v>3.8</v>
      </c>
      <c r="D47" s="27">
        <v>1999</v>
      </c>
      <c r="E47" s="27">
        <v>6</v>
      </c>
      <c r="F47" s="27" t="s">
        <v>109</v>
      </c>
      <c r="G47" s="27" t="s">
        <v>98</v>
      </c>
      <c r="H47" s="27">
        <v>15</v>
      </c>
      <c r="I47" s="27">
        <v>21</v>
      </c>
      <c r="J47" s="27" t="s">
        <v>110</v>
      </c>
      <c r="K47" s="27" t="s">
        <v>121</v>
      </c>
    </row>
    <row r="48" spans="1:11" x14ac:dyDescent="0.2">
      <c r="A48" s="27" t="s">
        <v>118</v>
      </c>
      <c r="B48" s="27" t="s">
        <v>119</v>
      </c>
      <c r="C48" s="27">
        <v>3.8</v>
      </c>
      <c r="D48" s="27">
        <v>2008</v>
      </c>
      <c r="E48" s="27">
        <v>6</v>
      </c>
      <c r="F48" s="27" t="s">
        <v>122</v>
      </c>
      <c r="G48" s="27" t="s">
        <v>98</v>
      </c>
      <c r="H48" s="27">
        <v>16</v>
      </c>
      <c r="I48" s="27">
        <v>23</v>
      </c>
      <c r="J48" s="27" t="s">
        <v>110</v>
      </c>
      <c r="K48" s="27" t="s">
        <v>121</v>
      </c>
    </row>
    <row r="49" spans="1:11" x14ac:dyDescent="0.2">
      <c r="A49" s="27" t="s">
        <v>118</v>
      </c>
      <c r="B49" s="27" t="s">
        <v>119</v>
      </c>
      <c r="C49" s="27">
        <v>4</v>
      </c>
      <c r="D49" s="27">
        <v>2008</v>
      </c>
      <c r="E49" s="27">
        <v>6</v>
      </c>
      <c r="F49" s="27" t="s">
        <v>122</v>
      </c>
      <c r="G49" s="27" t="s">
        <v>98</v>
      </c>
      <c r="H49" s="27">
        <v>16</v>
      </c>
      <c r="I49" s="27">
        <v>23</v>
      </c>
      <c r="J49" s="27" t="s">
        <v>110</v>
      </c>
      <c r="K49" s="27" t="s">
        <v>121</v>
      </c>
    </row>
    <row r="50" spans="1:11" x14ac:dyDescent="0.2">
      <c r="A50" s="27" t="s">
        <v>118</v>
      </c>
      <c r="B50" s="27" t="s">
        <v>123</v>
      </c>
      <c r="C50" s="27">
        <v>3.7</v>
      </c>
      <c r="D50" s="27">
        <v>2008</v>
      </c>
      <c r="E50" s="27">
        <v>6</v>
      </c>
      <c r="F50" s="27" t="s">
        <v>101</v>
      </c>
      <c r="G50" s="27">
        <v>4</v>
      </c>
      <c r="H50" s="27">
        <v>15</v>
      </c>
      <c r="I50" s="27">
        <v>19</v>
      </c>
      <c r="J50" s="27" t="s">
        <v>110</v>
      </c>
      <c r="K50" s="27" t="s">
        <v>124</v>
      </c>
    </row>
    <row r="51" spans="1:11" x14ac:dyDescent="0.2">
      <c r="A51" s="27" t="s">
        <v>118</v>
      </c>
      <c r="B51" s="27" t="s">
        <v>123</v>
      </c>
      <c r="C51" s="27">
        <v>3.7</v>
      </c>
      <c r="D51" s="27">
        <v>2008</v>
      </c>
      <c r="E51" s="27">
        <v>6</v>
      </c>
      <c r="F51" s="27" t="s">
        <v>109</v>
      </c>
      <c r="G51" s="27">
        <v>4</v>
      </c>
      <c r="H51" s="27">
        <v>14</v>
      </c>
      <c r="I51" s="27">
        <v>18</v>
      </c>
      <c r="J51" s="27" t="s">
        <v>110</v>
      </c>
      <c r="K51" s="27" t="s">
        <v>124</v>
      </c>
    </row>
    <row r="52" spans="1:11" x14ac:dyDescent="0.2">
      <c r="A52" s="27" t="s">
        <v>118</v>
      </c>
      <c r="B52" s="27" t="s">
        <v>123</v>
      </c>
      <c r="C52" s="27">
        <v>3.9</v>
      </c>
      <c r="D52" s="27">
        <v>1999</v>
      </c>
      <c r="E52" s="27">
        <v>6</v>
      </c>
      <c r="F52" s="27" t="s">
        <v>109</v>
      </c>
      <c r="G52" s="27">
        <v>4</v>
      </c>
      <c r="H52" s="27">
        <v>13</v>
      </c>
      <c r="I52" s="27">
        <v>17</v>
      </c>
      <c r="J52" s="27" t="s">
        <v>110</v>
      </c>
      <c r="K52" s="27" t="s">
        <v>124</v>
      </c>
    </row>
    <row r="53" spans="1:11" x14ac:dyDescent="0.2">
      <c r="A53" s="27" t="s">
        <v>118</v>
      </c>
      <c r="B53" s="27" t="s">
        <v>123</v>
      </c>
      <c r="C53" s="27">
        <v>3.9</v>
      </c>
      <c r="D53" s="27">
        <v>1999</v>
      </c>
      <c r="E53" s="27">
        <v>6</v>
      </c>
      <c r="F53" s="27" t="s">
        <v>100</v>
      </c>
      <c r="G53" s="27">
        <v>4</v>
      </c>
      <c r="H53" s="27">
        <v>14</v>
      </c>
      <c r="I53" s="27">
        <v>17</v>
      </c>
      <c r="J53" s="27" t="s">
        <v>110</v>
      </c>
      <c r="K53" s="27" t="s">
        <v>124</v>
      </c>
    </row>
    <row r="54" spans="1:11" x14ac:dyDescent="0.2">
      <c r="A54" s="27" t="s">
        <v>118</v>
      </c>
      <c r="B54" s="27" t="s">
        <v>123</v>
      </c>
      <c r="C54" s="27">
        <v>4.7</v>
      </c>
      <c r="D54" s="27">
        <v>2008</v>
      </c>
      <c r="E54" s="27">
        <v>8</v>
      </c>
      <c r="F54" s="27" t="s">
        <v>97</v>
      </c>
      <c r="G54" s="27">
        <v>4</v>
      </c>
      <c r="H54" s="27">
        <v>14</v>
      </c>
      <c r="I54" s="27">
        <v>19</v>
      </c>
      <c r="J54" s="27" t="s">
        <v>110</v>
      </c>
      <c r="K54" s="27" t="s">
        <v>124</v>
      </c>
    </row>
    <row r="55" spans="1:11" x14ac:dyDescent="0.2">
      <c r="A55" s="27" t="s">
        <v>118</v>
      </c>
      <c r="B55" s="27" t="s">
        <v>123</v>
      </c>
      <c r="C55" s="27">
        <v>4.7</v>
      </c>
      <c r="D55" s="27">
        <v>2008</v>
      </c>
      <c r="E55" s="27">
        <v>8</v>
      </c>
      <c r="F55" s="27" t="s">
        <v>97</v>
      </c>
      <c r="G55" s="27">
        <v>4</v>
      </c>
      <c r="H55" s="27">
        <v>14</v>
      </c>
      <c r="I55" s="27">
        <v>19</v>
      </c>
      <c r="J55" s="27" t="s">
        <v>110</v>
      </c>
      <c r="K55" s="27" t="s">
        <v>124</v>
      </c>
    </row>
    <row r="56" spans="1:11" x14ac:dyDescent="0.2">
      <c r="A56" s="27" t="s">
        <v>118</v>
      </c>
      <c r="B56" s="27" t="s">
        <v>123</v>
      </c>
      <c r="C56" s="27">
        <v>4.7</v>
      </c>
      <c r="D56" s="27">
        <v>2008</v>
      </c>
      <c r="E56" s="27">
        <v>8</v>
      </c>
      <c r="F56" s="27" t="s">
        <v>97</v>
      </c>
      <c r="G56" s="27">
        <v>4</v>
      </c>
      <c r="H56" s="27">
        <v>9</v>
      </c>
      <c r="I56" s="27">
        <v>12</v>
      </c>
      <c r="J56" s="27" t="s">
        <v>112</v>
      </c>
      <c r="K56" s="27" t="s">
        <v>124</v>
      </c>
    </row>
    <row r="57" spans="1:11" x14ac:dyDescent="0.2">
      <c r="A57" s="27" t="s">
        <v>118</v>
      </c>
      <c r="B57" s="27" t="s">
        <v>123</v>
      </c>
      <c r="C57" s="27">
        <v>5.2</v>
      </c>
      <c r="D57" s="27">
        <v>1999</v>
      </c>
      <c r="E57" s="27">
        <v>8</v>
      </c>
      <c r="F57" s="27" t="s">
        <v>100</v>
      </c>
      <c r="G57" s="27">
        <v>4</v>
      </c>
      <c r="H57" s="27">
        <v>11</v>
      </c>
      <c r="I57" s="27">
        <v>17</v>
      </c>
      <c r="J57" s="27" t="s">
        <v>110</v>
      </c>
      <c r="K57" s="27" t="s">
        <v>124</v>
      </c>
    </row>
    <row r="58" spans="1:11" x14ac:dyDescent="0.2">
      <c r="A58" s="27" t="s">
        <v>118</v>
      </c>
      <c r="B58" s="27" t="s">
        <v>123</v>
      </c>
      <c r="C58" s="27">
        <v>5.2</v>
      </c>
      <c r="D58" s="27">
        <v>1999</v>
      </c>
      <c r="E58" s="27">
        <v>8</v>
      </c>
      <c r="F58" s="27" t="s">
        <v>109</v>
      </c>
      <c r="G58" s="27">
        <v>4</v>
      </c>
      <c r="H58" s="27">
        <v>11</v>
      </c>
      <c r="I58" s="27">
        <v>15</v>
      </c>
      <c r="J58" s="27" t="s">
        <v>110</v>
      </c>
      <c r="K58" s="27" t="s">
        <v>124</v>
      </c>
    </row>
    <row r="59" spans="1:11" x14ac:dyDescent="0.2">
      <c r="A59" s="27" t="s">
        <v>118</v>
      </c>
      <c r="B59" s="27" t="s">
        <v>125</v>
      </c>
      <c r="C59" s="27">
        <v>3.9</v>
      </c>
      <c r="D59" s="27">
        <v>1999</v>
      </c>
      <c r="E59" s="27">
        <v>6</v>
      </c>
      <c r="F59" s="27" t="s">
        <v>109</v>
      </c>
      <c r="G59" s="27">
        <v>4</v>
      </c>
      <c r="H59" s="27">
        <v>13</v>
      </c>
      <c r="I59" s="27">
        <v>17</v>
      </c>
      <c r="J59" s="27" t="s">
        <v>110</v>
      </c>
      <c r="K59" s="27" t="s">
        <v>111</v>
      </c>
    </row>
    <row r="60" spans="1:11" x14ac:dyDescent="0.2">
      <c r="A60" s="27" t="s">
        <v>118</v>
      </c>
      <c r="B60" s="27" t="s">
        <v>125</v>
      </c>
      <c r="C60" s="27">
        <v>4.7</v>
      </c>
      <c r="D60" s="27">
        <v>2008</v>
      </c>
      <c r="E60" s="27">
        <v>8</v>
      </c>
      <c r="F60" s="27" t="s">
        <v>97</v>
      </c>
      <c r="G60" s="27">
        <v>4</v>
      </c>
      <c r="H60" s="27">
        <v>13</v>
      </c>
      <c r="I60" s="27">
        <v>17</v>
      </c>
      <c r="J60" s="27" t="s">
        <v>110</v>
      </c>
      <c r="K60" s="27" t="s">
        <v>111</v>
      </c>
    </row>
    <row r="61" spans="1:11" x14ac:dyDescent="0.2">
      <c r="A61" s="27" t="s">
        <v>118</v>
      </c>
      <c r="B61" s="27" t="s">
        <v>125</v>
      </c>
      <c r="C61" s="27">
        <v>4.7</v>
      </c>
      <c r="D61" s="27">
        <v>2008</v>
      </c>
      <c r="E61" s="27">
        <v>8</v>
      </c>
      <c r="F61" s="27" t="s">
        <v>97</v>
      </c>
      <c r="G61" s="27">
        <v>4</v>
      </c>
      <c r="H61" s="27">
        <v>9</v>
      </c>
      <c r="I61" s="27">
        <v>12</v>
      </c>
      <c r="J61" s="27" t="s">
        <v>112</v>
      </c>
      <c r="K61" s="27" t="s">
        <v>111</v>
      </c>
    </row>
    <row r="62" spans="1:11" x14ac:dyDescent="0.2">
      <c r="A62" s="27" t="s">
        <v>118</v>
      </c>
      <c r="B62" s="27" t="s">
        <v>125</v>
      </c>
      <c r="C62" s="27">
        <v>4.7</v>
      </c>
      <c r="D62" s="27">
        <v>2008</v>
      </c>
      <c r="E62" s="27">
        <v>8</v>
      </c>
      <c r="F62" s="27" t="s">
        <v>97</v>
      </c>
      <c r="G62" s="27">
        <v>4</v>
      </c>
      <c r="H62" s="27">
        <v>13</v>
      </c>
      <c r="I62" s="27">
        <v>17</v>
      </c>
      <c r="J62" s="27" t="s">
        <v>110</v>
      </c>
      <c r="K62" s="27" t="s">
        <v>111</v>
      </c>
    </row>
    <row r="63" spans="1:11" x14ac:dyDescent="0.2">
      <c r="A63" s="27" t="s">
        <v>118</v>
      </c>
      <c r="B63" s="27" t="s">
        <v>125</v>
      </c>
      <c r="C63" s="27">
        <v>5.2</v>
      </c>
      <c r="D63" s="27">
        <v>1999</v>
      </c>
      <c r="E63" s="27">
        <v>8</v>
      </c>
      <c r="F63" s="27" t="s">
        <v>109</v>
      </c>
      <c r="G63" s="27">
        <v>4</v>
      </c>
      <c r="H63" s="27">
        <v>11</v>
      </c>
      <c r="I63" s="27">
        <v>16</v>
      </c>
      <c r="J63" s="27" t="s">
        <v>110</v>
      </c>
      <c r="K63" s="27" t="s">
        <v>111</v>
      </c>
    </row>
    <row r="64" spans="1:11" x14ac:dyDescent="0.2">
      <c r="A64" s="27" t="s">
        <v>118</v>
      </c>
      <c r="B64" s="27" t="s">
        <v>125</v>
      </c>
      <c r="C64" s="27">
        <v>5.7</v>
      </c>
      <c r="D64" s="27">
        <v>2008</v>
      </c>
      <c r="E64" s="27">
        <v>8</v>
      </c>
      <c r="F64" s="27" t="s">
        <v>97</v>
      </c>
      <c r="G64" s="27">
        <v>4</v>
      </c>
      <c r="H64" s="27">
        <v>13</v>
      </c>
      <c r="I64" s="27">
        <v>18</v>
      </c>
      <c r="J64" s="27" t="s">
        <v>110</v>
      </c>
      <c r="K64" s="27" t="s">
        <v>111</v>
      </c>
    </row>
    <row r="65" spans="1:11" x14ac:dyDescent="0.2">
      <c r="A65" s="27" t="s">
        <v>118</v>
      </c>
      <c r="B65" s="27" t="s">
        <v>125</v>
      </c>
      <c r="C65" s="27">
        <v>5.9</v>
      </c>
      <c r="D65" s="27">
        <v>1999</v>
      </c>
      <c r="E65" s="27">
        <v>8</v>
      </c>
      <c r="F65" s="27" t="s">
        <v>109</v>
      </c>
      <c r="G65" s="27">
        <v>4</v>
      </c>
      <c r="H65" s="27">
        <v>11</v>
      </c>
      <c r="I65" s="27">
        <v>15</v>
      </c>
      <c r="J65" s="27" t="s">
        <v>110</v>
      </c>
      <c r="K65" s="27" t="s">
        <v>111</v>
      </c>
    </row>
    <row r="66" spans="1:11" x14ac:dyDescent="0.2">
      <c r="A66" s="27" t="s">
        <v>118</v>
      </c>
      <c r="B66" s="27" t="s">
        <v>126</v>
      </c>
      <c r="C66" s="27">
        <v>4.7</v>
      </c>
      <c r="D66" s="27">
        <v>2008</v>
      </c>
      <c r="E66" s="27">
        <v>8</v>
      </c>
      <c r="F66" s="27" t="s">
        <v>101</v>
      </c>
      <c r="G66" s="27">
        <v>4</v>
      </c>
      <c r="H66" s="27">
        <v>12</v>
      </c>
      <c r="I66" s="27">
        <v>16</v>
      </c>
      <c r="J66" s="27" t="s">
        <v>110</v>
      </c>
      <c r="K66" s="27" t="s">
        <v>124</v>
      </c>
    </row>
    <row r="67" spans="1:11" x14ac:dyDescent="0.2">
      <c r="A67" s="27" t="s">
        <v>118</v>
      </c>
      <c r="B67" s="27" t="s">
        <v>126</v>
      </c>
      <c r="C67" s="27">
        <v>4.7</v>
      </c>
      <c r="D67" s="27">
        <v>2008</v>
      </c>
      <c r="E67" s="27">
        <v>8</v>
      </c>
      <c r="F67" s="27" t="s">
        <v>97</v>
      </c>
      <c r="G67" s="27">
        <v>4</v>
      </c>
      <c r="H67" s="27">
        <v>9</v>
      </c>
      <c r="I67" s="27">
        <v>12</v>
      </c>
      <c r="J67" s="27" t="s">
        <v>112</v>
      </c>
      <c r="K67" s="27" t="s">
        <v>124</v>
      </c>
    </row>
    <row r="68" spans="1:11" x14ac:dyDescent="0.2">
      <c r="A68" s="27" t="s">
        <v>118</v>
      </c>
      <c r="B68" s="27" t="s">
        <v>126</v>
      </c>
      <c r="C68" s="27">
        <v>4.7</v>
      </c>
      <c r="D68" s="27">
        <v>2008</v>
      </c>
      <c r="E68" s="27">
        <v>8</v>
      </c>
      <c r="F68" s="27" t="s">
        <v>97</v>
      </c>
      <c r="G68" s="27">
        <v>4</v>
      </c>
      <c r="H68" s="27">
        <v>13</v>
      </c>
      <c r="I68" s="27">
        <v>17</v>
      </c>
      <c r="J68" s="27" t="s">
        <v>110</v>
      </c>
      <c r="K68" s="27" t="s">
        <v>124</v>
      </c>
    </row>
    <row r="69" spans="1:11" x14ac:dyDescent="0.2">
      <c r="A69" s="27" t="s">
        <v>118</v>
      </c>
      <c r="B69" s="27" t="s">
        <v>126</v>
      </c>
      <c r="C69" s="27">
        <v>4.7</v>
      </c>
      <c r="D69" s="27">
        <v>2008</v>
      </c>
      <c r="E69" s="27">
        <v>8</v>
      </c>
      <c r="F69" s="27" t="s">
        <v>97</v>
      </c>
      <c r="G69" s="27">
        <v>4</v>
      </c>
      <c r="H69" s="27">
        <v>13</v>
      </c>
      <c r="I69" s="27">
        <v>17</v>
      </c>
      <c r="J69" s="27" t="s">
        <v>110</v>
      </c>
      <c r="K69" s="27" t="s">
        <v>124</v>
      </c>
    </row>
    <row r="70" spans="1:11" x14ac:dyDescent="0.2">
      <c r="A70" s="27" t="s">
        <v>118</v>
      </c>
      <c r="B70" s="27" t="s">
        <v>126</v>
      </c>
      <c r="C70" s="27">
        <v>4.7</v>
      </c>
      <c r="D70" s="27">
        <v>2008</v>
      </c>
      <c r="E70" s="27">
        <v>8</v>
      </c>
      <c r="F70" s="27" t="s">
        <v>101</v>
      </c>
      <c r="G70" s="27">
        <v>4</v>
      </c>
      <c r="H70" s="27">
        <v>12</v>
      </c>
      <c r="I70" s="27">
        <v>16</v>
      </c>
      <c r="J70" s="27" t="s">
        <v>110</v>
      </c>
      <c r="K70" s="27" t="s">
        <v>124</v>
      </c>
    </row>
    <row r="71" spans="1:11" x14ac:dyDescent="0.2">
      <c r="A71" s="27" t="s">
        <v>118</v>
      </c>
      <c r="B71" s="27" t="s">
        <v>126</v>
      </c>
      <c r="C71" s="27">
        <v>4.7</v>
      </c>
      <c r="D71" s="27">
        <v>2008</v>
      </c>
      <c r="E71" s="27">
        <v>8</v>
      </c>
      <c r="F71" s="27" t="s">
        <v>101</v>
      </c>
      <c r="G71" s="27">
        <v>4</v>
      </c>
      <c r="H71" s="27">
        <v>9</v>
      </c>
      <c r="I71" s="27">
        <v>12</v>
      </c>
      <c r="J71" s="27" t="s">
        <v>112</v>
      </c>
      <c r="K71" s="27" t="s">
        <v>124</v>
      </c>
    </row>
    <row r="72" spans="1:11" x14ac:dyDescent="0.2">
      <c r="A72" s="27" t="s">
        <v>118</v>
      </c>
      <c r="B72" s="27" t="s">
        <v>126</v>
      </c>
      <c r="C72" s="27">
        <v>5.2</v>
      </c>
      <c r="D72" s="27">
        <v>1999</v>
      </c>
      <c r="E72" s="27">
        <v>8</v>
      </c>
      <c r="F72" s="27" t="s">
        <v>109</v>
      </c>
      <c r="G72" s="27">
        <v>4</v>
      </c>
      <c r="H72" s="27">
        <v>11</v>
      </c>
      <c r="I72" s="27">
        <v>15</v>
      </c>
      <c r="J72" s="27" t="s">
        <v>110</v>
      </c>
      <c r="K72" s="27" t="s">
        <v>124</v>
      </c>
    </row>
    <row r="73" spans="1:11" x14ac:dyDescent="0.2">
      <c r="A73" s="27" t="s">
        <v>118</v>
      </c>
      <c r="B73" s="27" t="s">
        <v>126</v>
      </c>
      <c r="C73" s="27">
        <v>5.2</v>
      </c>
      <c r="D73" s="27">
        <v>1999</v>
      </c>
      <c r="E73" s="27">
        <v>8</v>
      </c>
      <c r="F73" s="27" t="s">
        <v>100</v>
      </c>
      <c r="G73" s="27">
        <v>4</v>
      </c>
      <c r="H73" s="27">
        <v>11</v>
      </c>
      <c r="I73" s="27">
        <v>16</v>
      </c>
      <c r="J73" s="27" t="s">
        <v>110</v>
      </c>
      <c r="K73" s="27" t="s">
        <v>124</v>
      </c>
    </row>
    <row r="74" spans="1:11" x14ac:dyDescent="0.2">
      <c r="A74" s="27" t="s">
        <v>118</v>
      </c>
      <c r="B74" s="27" t="s">
        <v>126</v>
      </c>
      <c r="C74" s="27">
        <v>5.7</v>
      </c>
      <c r="D74" s="27">
        <v>2008</v>
      </c>
      <c r="E74" s="27">
        <v>8</v>
      </c>
      <c r="F74" s="27" t="s">
        <v>97</v>
      </c>
      <c r="G74" s="27">
        <v>4</v>
      </c>
      <c r="H74" s="27">
        <v>13</v>
      </c>
      <c r="I74" s="27">
        <v>17</v>
      </c>
      <c r="J74" s="27" t="s">
        <v>110</v>
      </c>
      <c r="K74" s="27" t="s">
        <v>124</v>
      </c>
    </row>
    <row r="75" spans="1:11" x14ac:dyDescent="0.2">
      <c r="A75" s="27" t="s">
        <v>118</v>
      </c>
      <c r="B75" s="27" t="s">
        <v>126</v>
      </c>
      <c r="C75" s="27">
        <v>5.9</v>
      </c>
      <c r="D75" s="27">
        <v>1999</v>
      </c>
      <c r="E75" s="27">
        <v>8</v>
      </c>
      <c r="F75" s="27" t="s">
        <v>109</v>
      </c>
      <c r="G75" s="27">
        <v>4</v>
      </c>
      <c r="H75" s="27">
        <v>11</v>
      </c>
      <c r="I75" s="27">
        <v>15</v>
      </c>
      <c r="J75" s="27" t="s">
        <v>110</v>
      </c>
      <c r="K75" s="27" t="s">
        <v>124</v>
      </c>
    </row>
    <row r="76" spans="1:11" x14ac:dyDescent="0.2">
      <c r="A76" s="27" t="s">
        <v>127</v>
      </c>
      <c r="B76" s="27" t="s">
        <v>128</v>
      </c>
      <c r="C76" s="27">
        <v>4.5999999999999996</v>
      </c>
      <c r="D76" s="27">
        <v>1999</v>
      </c>
      <c r="E76" s="27">
        <v>8</v>
      </c>
      <c r="F76" s="27" t="s">
        <v>109</v>
      </c>
      <c r="G76" s="27" t="s">
        <v>110</v>
      </c>
      <c r="H76" s="27">
        <v>11</v>
      </c>
      <c r="I76" s="27">
        <v>17</v>
      </c>
      <c r="J76" s="27" t="s">
        <v>110</v>
      </c>
      <c r="K76" s="27" t="s">
        <v>111</v>
      </c>
    </row>
    <row r="77" spans="1:11" x14ac:dyDescent="0.2">
      <c r="A77" s="27" t="s">
        <v>127</v>
      </c>
      <c r="B77" s="27" t="s">
        <v>128</v>
      </c>
      <c r="C77" s="27">
        <v>5.4</v>
      </c>
      <c r="D77" s="27">
        <v>1999</v>
      </c>
      <c r="E77" s="27">
        <v>8</v>
      </c>
      <c r="F77" s="27" t="s">
        <v>109</v>
      </c>
      <c r="G77" s="27" t="s">
        <v>110</v>
      </c>
      <c r="H77" s="27">
        <v>11</v>
      </c>
      <c r="I77" s="27">
        <v>17</v>
      </c>
      <c r="J77" s="27" t="s">
        <v>110</v>
      </c>
      <c r="K77" s="27" t="s">
        <v>111</v>
      </c>
    </row>
    <row r="78" spans="1:11" x14ac:dyDescent="0.2">
      <c r="A78" s="27" t="s">
        <v>127</v>
      </c>
      <c r="B78" s="27" t="s">
        <v>128</v>
      </c>
      <c r="C78" s="27">
        <v>5.4</v>
      </c>
      <c r="D78" s="27">
        <v>2008</v>
      </c>
      <c r="E78" s="27">
        <v>8</v>
      </c>
      <c r="F78" s="27" t="s">
        <v>122</v>
      </c>
      <c r="G78" s="27" t="s">
        <v>110</v>
      </c>
      <c r="H78" s="27">
        <v>12</v>
      </c>
      <c r="I78" s="27">
        <v>18</v>
      </c>
      <c r="J78" s="27" t="s">
        <v>110</v>
      </c>
      <c r="K78" s="27" t="s">
        <v>111</v>
      </c>
    </row>
    <row r="79" spans="1:11" x14ac:dyDescent="0.2">
      <c r="A79" s="27" t="s">
        <v>127</v>
      </c>
      <c r="B79" s="27" t="s">
        <v>129</v>
      </c>
      <c r="C79" s="27">
        <v>4</v>
      </c>
      <c r="D79" s="27">
        <v>1999</v>
      </c>
      <c r="E79" s="27">
        <v>6</v>
      </c>
      <c r="F79" s="27" t="s">
        <v>97</v>
      </c>
      <c r="G79" s="27">
        <v>4</v>
      </c>
      <c r="H79" s="27">
        <v>14</v>
      </c>
      <c r="I79" s="27">
        <v>17</v>
      </c>
      <c r="J79" s="27" t="s">
        <v>110</v>
      </c>
      <c r="K79" s="27" t="s">
        <v>111</v>
      </c>
    </row>
    <row r="80" spans="1:11" x14ac:dyDescent="0.2">
      <c r="A80" s="27" t="s">
        <v>127</v>
      </c>
      <c r="B80" s="27" t="s">
        <v>129</v>
      </c>
      <c r="C80" s="27">
        <v>4</v>
      </c>
      <c r="D80" s="27">
        <v>1999</v>
      </c>
      <c r="E80" s="27">
        <v>6</v>
      </c>
      <c r="F80" s="27" t="s">
        <v>100</v>
      </c>
      <c r="G80" s="27">
        <v>4</v>
      </c>
      <c r="H80" s="27">
        <v>15</v>
      </c>
      <c r="I80" s="27">
        <v>19</v>
      </c>
      <c r="J80" s="27" t="s">
        <v>110</v>
      </c>
      <c r="K80" s="27" t="s">
        <v>111</v>
      </c>
    </row>
    <row r="81" spans="1:11" x14ac:dyDescent="0.2">
      <c r="A81" s="27" t="s">
        <v>127</v>
      </c>
      <c r="B81" s="27" t="s">
        <v>129</v>
      </c>
      <c r="C81" s="27">
        <v>4</v>
      </c>
      <c r="D81" s="27">
        <v>1999</v>
      </c>
      <c r="E81" s="27">
        <v>6</v>
      </c>
      <c r="F81" s="27" t="s">
        <v>97</v>
      </c>
      <c r="G81" s="27">
        <v>4</v>
      </c>
      <c r="H81" s="27">
        <v>14</v>
      </c>
      <c r="I81" s="27">
        <v>17</v>
      </c>
      <c r="J81" s="27" t="s">
        <v>110</v>
      </c>
      <c r="K81" s="27" t="s">
        <v>111</v>
      </c>
    </row>
    <row r="82" spans="1:11" x14ac:dyDescent="0.2">
      <c r="A82" s="27" t="s">
        <v>127</v>
      </c>
      <c r="B82" s="27" t="s">
        <v>129</v>
      </c>
      <c r="C82" s="27">
        <v>4</v>
      </c>
      <c r="D82" s="27">
        <v>2008</v>
      </c>
      <c r="E82" s="27">
        <v>6</v>
      </c>
      <c r="F82" s="27" t="s">
        <v>97</v>
      </c>
      <c r="G82" s="27">
        <v>4</v>
      </c>
      <c r="H82" s="27">
        <v>13</v>
      </c>
      <c r="I82" s="27">
        <v>19</v>
      </c>
      <c r="J82" s="27" t="s">
        <v>110</v>
      </c>
      <c r="K82" s="27" t="s">
        <v>111</v>
      </c>
    </row>
    <row r="83" spans="1:11" x14ac:dyDescent="0.2">
      <c r="A83" s="27" t="s">
        <v>127</v>
      </c>
      <c r="B83" s="27" t="s">
        <v>129</v>
      </c>
      <c r="C83" s="27">
        <v>4.5999999999999996</v>
      </c>
      <c r="D83" s="27">
        <v>2008</v>
      </c>
      <c r="E83" s="27">
        <v>8</v>
      </c>
      <c r="F83" s="27" t="s">
        <v>122</v>
      </c>
      <c r="G83" s="27">
        <v>4</v>
      </c>
      <c r="H83" s="27">
        <v>13</v>
      </c>
      <c r="I83" s="27">
        <v>19</v>
      </c>
      <c r="J83" s="27" t="s">
        <v>110</v>
      </c>
      <c r="K83" s="27" t="s">
        <v>111</v>
      </c>
    </row>
    <row r="84" spans="1:11" x14ac:dyDescent="0.2">
      <c r="A84" s="27" t="s">
        <v>127</v>
      </c>
      <c r="B84" s="27" t="s">
        <v>129</v>
      </c>
      <c r="C84" s="27">
        <v>5</v>
      </c>
      <c r="D84" s="27">
        <v>1999</v>
      </c>
      <c r="E84" s="27">
        <v>8</v>
      </c>
      <c r="F84" s="27" t="s">
        <v>109</v>
      </c>
      <c r="G84" s="27">
        <v>4</v>
      </c>
      <c r="H84" s="27">
        <v>13</v>
      </c>
      <c r="I84" s="27">
        <v>17</v>
      </c>
      <c r="J84" s="27" t="s">
        <v>110</v>
      </c>
      <c r="K84" s="27" t="s">
        <v>111</v>
      </c>
    </row>
    <row r="85" spans="1:11" x14ac:dyDescent="0.2">
      <c r="A85" s="27" t="s">
        <v>127</v>
      </c>
      <c r="B85" s="27" t="s">
        <v>130</v>
      </c>
      <c r="C85" s="27">
        <v>4.2</v>
      </c>
      <c r="D85" s="27">
        <v>1999</v>
      </c>
      <c r="E85" s="27">
        <v>6</v>
      </c>
      <c r="F85" s="27" t="s">
        <v>109</v>
      </c>
      <c r="G85" s="27">
        <v>4</v>
      </c>
      <c r="H85" s="27">
        <v>14</v>
      </c>
      <c r="I85" s="27">
        <v>17</v>
      </c>
      <c r="J85" s="27" t="s">
        <v>110</v>
      </c>
      <c r="K85" s="27" t="s">
        <v>124</v>
      </c>
    </row>
    <row r="86" spans="1:11" x14ac:dyDescent="0.2">
      <c r="A86" s="27" t="s">
        <v>127</v>
      </c>
      <c r="B86" s="27" t="s">
        <v>130</v>
      </c>
      <c r="C86" s="27">
        <v>4.2</v>
      </c>
      <c r="D86" s="27">
        <v>1999</v>
      </c>
      <c r="E86" s="27">
        <v>6</v>
      </c>
      <c r="F86" s="27" t="s">
        <v>100</v>
      </c>
      <c r="G86" s="27">
        <v>4</v>
      </c>
      <c r="H86" s="27">
        <v>14</v>
      </c>
      <c r="I86" s="27">
        <v>17</v>
      </c>
      <c r="J86" s="27" t="s">
        <v>110</v>
      </c>
      <c r="K86" s="27" t="s">
        <v>124</v>
      </c>
    </row>
    <row r="87" spans="1:11" x14ac:dyDescent="0.2">
      <c r="A87" s="27" t="s">
        <v>127</v>
      </c>
      <c r="B87" s="27" t="s">
        <v>130</v>
      </c>
      <c r="C87" s="27">
        <v>4.5999999999999996</v>
      </c>
      <c r="D87" s="27">
        <v>1999</v>
      </c>
      <c r="E87" s="27">
        <v>8</v>
      </c>
      <c r="F87" s="27" t="s">
        <v>100</v>
      </c>
      <c r="G87" s="27">
        <v>4</v>
      </c>
      <c r="H87" s="27">
        <v>13</v>
      </c>
      <c r="I87" s="27">
        <v>16</v>
      </c>
      <c r="J87" s="27" t="s">
        <v>110</v>
      </c>
      <c r="K87" s="27" t="s">
        <v>124</v>
      </c>
    </row>
    <row r="88" spans="1:11" x14ac:dyDescent="0.2">
      <c r="A88" s="27" t="s">
        <v>127</v>
      </c>
      <c r="B88" s="27" t="s">
        <v>130</v>
      </c>
      <c r="C88" s="27">
        <v>4.5999999999999996</v>
      </c>
      <c r="D88" s="27">
        <v>1999</v>
      </c>
      <c r="E88" s="27">
        <v>8</v>
      </c>
      <c r="F88" s="27" t="s">
        <v>109</v>
      </c>
      <c r="G88" s="27">
        <v>4</v>
      </c>
      <c r="H88" s="27">
        <v>13</v>
      </c>
      <c r="I88" s="27">
        <v>16</v>
      </c>
      <c r="J88" s="27" t="s">
        <v>110</v>
      </c>
      <c r="K88" s="27" t="s">
        <v>124</v>
      </c>
    </row>
    <row r="89" spans="1:11" x14ac:dyDescent="0.2">
      <c r="A89" s="27" t="s">
        <v>127</v>
      </c>
      <c r="B89" s="27" t="s">
        <v>130</v>
      </c>
      <c r="C89" s="27">
        <v>4.5999999999999996</v>
      </c>
      <c r="D89" s="27">
        <v>2008</v>
      </c>
      <c r="E89" s="27">
        <v>8</v>
      </c>
      <c r="F89" s="27" t="s">
        <v>109</v>
      </c>
      <c r="G89" s="27">
        <v>4</v>
      </c>
      <c r="H89" s="27">
        <v>13</v>
      </c>
      <c r="I89" s="27">
        <v>17</v>
      </c>
      <c r="J89" s="27" t="s">
        <v>110</v>
      </c>
      <c r="K89" s="27" t="s">
        <v>124</v>
      </c>
    </row>
    <row r="90" spans="1:11" x14ac:dyDescent="0.2">
      <c r="A90" s="27" t="s">
        <v>127</v>
      </c>
      <c r="B90" s="27" t="s">
        <v>130</v>
      </c>
      <c r="C90" s="27">
        <v>5.4</v>
      </c>
      <c r="D90" s="27">
        <v>1999</v>
      </c>
      <c r="E90" s="27">
        <v>8</v>
      </c>
      <c r="F90" s="27" t="s">
        <v>109</v>
      </c>
      <c r="G90" s="27">
        <v>4</v>
      </c>
      <c r="H90" s="27">
        <v>11</v>
      </c>
      <c r="I90" s="27">
        <v>15</v>
      </c>
      <c r="J90" s="27" t="s">
        <v>110</v>
      </c>
      <c r="K90" s="27" t="s">
        <v>124</v>
      </c>
    </row>
    <row r="91" spans="1:11" x14ac:dyDescent="0.2">
      <c r="A91" s="27" t="s">
        <v>127</v>
      </c>
      <c r="B91" s="27" t="s">
        <v>130</v>
      </c>
      <c r="C91" s="27">
        <v>5.4</v>
      </c>
      <c r="D91" s="27">
        <v>2008</v>
      </c>
      <c r="E91" s="27">
        <v>8</v>
      </c>
      <c r="F91" s="27" t="s">
        <v>109</v>
      </c>
      <c r="G91" s="27">
        <v>4</v>
      </c>
      <c r="H91" s="27">
        <v>13</v>
      </c>
      <c r="I91" s="27">
        <v>17</v>
      </c>
      <c r="J91" s="27" t="s">
        <v>110</v>
      </c>
      <c r="K91" s="27" t="s">
        <v>124</v>
      </c>
    </row>
    <row r="92" spans="1:11" x14ac:dyDescent="0.2">
      <c r="A92" s="27" t="s">
        <v>127</v>
      </c>
      <c r="B92" s="27" t="s">
        <v>131</v>
      </c>
      <c r="C92" s="27">
        <v>3.8</v>
      </c>
      <c r="D92" s="27">
        <v>1999</v>
      </c>
      <c r="E92" s="27">
        <v>6</v>
      </c>
      <c r="F92" s="27" t="s">
        <v>100</v>
      </c>
      <c r="G92" s="27" t="s">
        <v>110</v>
      </c>
      <c r="H92" s="27">
        <v>18</v>
      </c>
      <c r="I92" s="27">
        <v>26</v>
      </c>
      <c r="J92" s="27" t="s">
        <v>110</v>
      </c>
      <c r="K92" s="27" t="s">
        <v>132</v>
      </c>
    </row>
    <row r="93" spans="1:11" x14ac:dyDescent="0.2">
      <c r="A93" s="27" t="s">
        <v>127</v>
      </c>
      <c r="B93" s="27" t="s">
        <v>131</v>
      </c>
      <c r="C93" s="27">
        <v>3.8</v>
      </c>
      <c r="D93" s="27">
        <v>1999</v>
      </c>
      <c r="E93" s="27">
        <v>6</v>
      </c>
      <c r="F93" s="27" t="s">
        <v>109</v>
      </c>
      <c r="G93" s="27" t="s">
        <v>110</v>
      </c>
      <c r="H93" s="27">
        <v>18</v>
      </c>
      <c r="I93" s="27">
        <v>25</v>
      </c>
      <c r="J93" s="27" t="s">
        <v>110</v>
      </c>
      <c r="K93" s="27" t="s">
        <v>132</v>
      </c>
    </row>
    <row r="94" spans="1:11" x14ac:dyDescent="0.2">
      <c r="A94" s="27" t="s">
        <v>127</v>
      </c>
      <c r="B94" s="27" t="s">
        <v>131</v>
      </c>
      <c r="C94" s="27">
        <v>4</v>
      </c>
      <c r="D94" s="27">
        <v>2008</v>
      </c>
      <c r="E94" s="27">
        <v>6</v>
      </c>
      <c r="F94" s="27" t="s">
        <v>100</v>
      </c>
      <c r="G94" s="27" t="s">
        <v>110</v>
      </c>
      <c r="H94" s="27">
        <v>17</v>
      </c>
      <c r="I94" s="27">
        <v>26</v>
      </c>
      <c r="J94" s="27" t="s">
        <v>110</v>
      </c>
      <c r="K94" s="27" t="s">
        <v>132</v>
      </c>
    </row>
    <row r="95" spans="1:11" x14ac:dyDescent="0.2">
      <c r="A95" s="27" t="s">
        <v>127</v>
      </c>
      <c r="B95" s="27" t="s">
        <v>131</v>
      </c>
      <c r="C95" s="27">
        <v>4</v>
      </c>
      <c r="D95" s="27">
        <v>2008</v>
      </c>
      <c r="E95" s="27">
        <v>6</v>
      </c>
      <c r="F95" s="27" t="s">
        <v>97</v>
      </c>
      <c r="G95" s="27" t="s">
        <v>110</v>
      </c>
      <c r="H95" s="27">
        <v>16</v>
      </c>
      <c r="I95" s="27">
        <v>24</v>
      </c>
      <c r="J95" s="27" t="s">
        <v>110</v>
      </c>
      <c r="K95" s="27" t="s">
        <v>132</v>
      </c>
    </row>
    <row r="96" spans="1:11" x14ac:dyDescent="0.2">
      <c r="A96" s="27" t="s">
        <v>127</v>
      </c>
      <c r="B96" s="27" t="s">
        <v>131</v>
      </c>
      <c r="C96" s="27">
        <v>4.5999999999999996</v>
      </c>
      <c r="D96" s="27">
        <v>1999</v>
      </c>
      <c r="E96" s="27">
        <v>8</v>
      </c>
      <c r="F96" s="27" t="s">
        <v>109</v>
      </c>
      <c r="G96" s="27" t="s">
        <v>110</v>
      </c>
      <c r="H96" s="27">
        <v>15</v>
      </c>
      <c r="I96" s="27">
        <v>21</v>
      </c>
      <c r="J96" s="27" t="s">
        <v>110</v>
      </c>
      <c r="K96" s="27" t="s">
        <v>132</v>
      </c>
    </row>
    <row r="97" spans="1:11" x14ac:dyDescent="0.2">
      <c r="A97" s="27" t="s">
        <v>127</v>
      </c>
      <c r="B97" s="27" t="s">
        <v>131</v>
      </c>
      <c r="C97" s="27">
        <v>4.5999999999999996</v>
      </c>
      <c r="D97" s="27">
        <v>1999</v>
      </c>
      <c r="E97" s="27">
        <v>8</v>
      </c>
      <c r="F97" s="27" t="s">
        <v>100</v>
      </c>
      <c r="G97" s="27" t="s">
        <v>110</v>
      </c>
      <c r="H97" s="27">
        <v>15</v>
      </c>
      <c r="I97" s="27">
        <v>22</v>
      </c>
      <c r="J97" s="27" t="s">
        <v>110</v>
      </c>
      <c r="K97" s="27" t="s">
        <v>132</v>
      </c>
    </row>
    <row r="98" spans="1:11" x14ac:dyDescent="0.2">
      <c r="A98" s="27" t="s">
        <v>127</v>
      </c>
      <c r="B98" s="27" t="s">
        <v>131</v>
      </c>
      <c r="C98" s="27">
        <v>4.5999999999999996</v>
      </c>
      <c r="D98" s="27">
        <v>2008</v>
      </c>
      <c r="E98" s="27">
        <v>8</v>
      </c>
      <c r="F98" s="27" t="s">
        <v>100</v>
      </c>
      <c r="G98" s="27" t="s">
        <v>110</v>
      </c>
      <c r="H98" s="27">
        <v>15</v>
      </c>
      <c r="I98" s="27">
        <v>23</v>
      </c>
      <c r="J98" s="27" t="s">
        <v>110</v>
      </c>
      <c r="K98" s="27" t="s">
        <v>132</v>
      </c>
    </row>
    <row r="99" spans="1:11" x14ac:dyDescent="0.2">
      <c r="A99" s="27" t="s">
        <v>127</v>
      </c>
      <c r="B99" s="27" t="s">
        <v>131</v>
      </c>
      <c r="C99" s="27">
        <v>4.5999999999999996</v>
      </c>
      <c r="D99" s="27">
        <v>2008</v>
      </c>
      <c r="E99" s="27">
        <v>8</v>
      </c>
      <c r="F99" s="27" t="s">
        <v>97</v>
      </c>
      <c r="G99" s="27" t="s">
        <v>110</v>
      </c>
      <c r="H99" s="27">
        <v>15</v>
      </c>
      <c r="I99" s="27">
        <v>22</v>
      </c>
      <c r="J99" s="27" t="s">
        <v>110</v>
      </c>
      <c r="K99" s="27" t="s">
        <v>132</v>
      </c>
    </row>
    <row r="100" spans="1:11" x14ac:dyDescent="0.2">
      <c r="A100" s="27" t="s">
        <v>127</v>
      </c>
      <c r="B100" s="27" t="s">
        <v>131</v>
      </c>
      <c r="C100" s="27">
        <v>5.4</v>
      </c>
      <c r="D100" s="27">
        <v>2008</v>
      </c>
      <c r="E100" s="27">
        <v>8</v>
      </c>
      <c r="F100" s="27" t="s">
        <v>101</v>
      </c>
      <c r="G100" s="27" t="s">
        <v>110</v>
      </c>
      <c r="H100" s="27">
        <v>14</v>
      </c>
      <c r="I100" s="27">
        <v>20</v>
      </c>
      <c r="J100" s="27" t="s">
        <v>6</v>
      </c>
      <c r="K100" s="27" t="s">
        <v>132</v>
      </c>
    </row>
    <row r="101" spans="1:11" x14ac:dyDescent="0.2">
      <c r="A101" s="27" t="s">
        <v>133</v>
      </c>
      <c r="B101" s="27" t="s">
        <v>134</v>
      </c>
      <c r="C101" s="27">
        <v>1.6</v>
      </c>
      <c r="D101" s="27">
        <v>1999</v>
      </c>
      <c r="E101" s="27">
        <v>4</v>
      </c>
      <c r="F101" s="27" t="s">
        <v>100</v>
      </c>
      <c r="G101" s="27" t="s">
        <v>98</v>
      </c>
      <c r="H101" s="27">
        <v>28</v>
      </c>
      <c r="I101" s="27">
        <v>33</v>
      </c>
      <c r="J101" s="27" t="s">
        <v>110</v>
      </c>
      <c r="K101" s="27" t="s">
        <v>132</v>
      </c>
    </row>
    <row r="102" spans="1:11" x14ac:dyDescent="0.2">
      <c r="A102" s="27" t="s">
        <v>133</v>
      </c>
      <c r="B102" s="27" t="s">
        <v>134</v>
      </c>
      <c r="C102" s="27">
        <v>1.6</v>
      </c>
      <c r="D102" s="27">
        <v>1999</v>
      </c>
      <c r="E102" s="27">
        <v>4</v>
      </c>
      <c r="F102" s="27" t="s">
        <v>109</v>
      </c>
      <c r="G102" s="27" t="s">
        <v>98</v>
      </c>
      <c r="H102" s="27">
        <v>24</v>
      </c>
      <c r="I102" s="27">
        <v>32</v>
      </c>
      <c r="J102" s="27" t="s">
        <v>110</v>
      </c>
      <c r="K102" s="27" t="s">
        <v>132</v>
      </c>
    </row>
    <row r="103" spans="1:11" x14ac:dyDescent="0.2">
      <c r="A103" s="27" t="s">
        <v>133</v>
      </c>
      <c r="B103" s="27" t="s">
        <v>134</v>
      </c>
      <c r="C103" s="27">
        <v>1.6</v>
      </c>
      <c r="D103" s="27">
        <v>1999</v>
      </c>
      <c r="E103" s="27">
        <v>4</v>
      </c>
      <c r="F103" s="27" t="s">
        <v>100</v>
      </c>
      <c r="G103" s="27" t="s">
        <v>98</v>
      </c>
      <c r="H103" s="27">
        <v>25</v>
      </c>
      <c r="I103" s="27">
        <v>32</v>
      </c>
      <c r="J103" s="27" t="s">
        <v>110</v>
      </c>
      <c r="K103" s="27" t="s">
        <v>132</v>
      </c>
    </row>
    <row r="104" spans="1:11" x14ac:dyDescent="0.2">
      <c r="A104" s="27" t="s">
        <v>133</v>
      </c>
      <c r="B104" s="27" t="s">
        <v>134</v>
      </c>
      <c r="C104" s="27">
        <v>1.6</v>
      </c>
      <c r="D104" s="27">
        <v>1999</v>
      </c>
      <c r="E104" s="27">
        <v>4</v>
      </c>
      <c r="F104" s="27" t="s">
        <v>100</v>
      </c>
      <c r="G104" s="27" t="s">
        <v>98</v>
      </c>
      <c r="H104" s="27">
        <v>23</v>
      </c>
      <c r="I104" s="27">
        <v>29</v>
      </c>
      <c r="J104" s="27" t="s">
        <v>6</v>
      </c>
      <c r="K104" s="27" t="s">
        <v>132</v>
      </c>
    </row>
    <row r="105" spans="1:11" x14ac:dyDescent="0.2">
      <c r="A105" s="27" t="s">
        <v>133</v>
      </c>
      <c r="B105" s="27" t="s">
        <v>134</v>
      </c>
      <c r="C105" s="27">
        <v>1.6</v>
      </c>
      <c r="D105" s="27">
        <v>1999</v>
      </c>
      <c r="E105" s="27">
        <v>4</v>
      </c>
      <c r="F105" s="27" t="s">
        <v>109</v>
      </c>
      <c r="G105" s="27" t="s">
        <v>98</v>
      </c>
      <c r="H105" s="27">
        <v>24</v>
      </c>
      <c r="I105" s="27">
        <v>32</v>
      </c>
      <c r="J105" s="27" t="s">
        <v>110</v>
      </c>
      <c r="K105" s="27" t="s">
        <v>132</v>
      </c>
    </row>
    <row r="106" spans="1:11" x14ac:dyDescent="0.2">
      <c r="A106" s="27" t="s">
        <v>133</v>
      </c>
      <c r="B106" s="27" t="s">
        <v>134</v>
      </c>
      <c r="C106" s="27">
        <v>1.8</v>
      </c>
      <c r="D106" s="27">
        <v>2008</v>
      </c>
      <c r="E106" s="27">
        <v>4</v>
      </c>
      <c r="F106" s="27" t="s">
        <v>100</v>
      </c>
      <c r="G106" s="27" t="s">
        <v>98</v>
      </c>
      <c r="H106" s="27">
        <v>26</v>
      </c>
      <c r="I106" s="27">
        <v>34</v>
      </c>
      <c r="J106" s="27" t="s">
        <v>110</v>
      </c>
      <c r="K106" s="27" t="s">
        <v>132</v>
      </c>
    </row>
    <row r="107" spans="1:11" x14ac:dyDescent="0.2">
      <c r="A107" s="27" t="s">
        <v>133</v>
      </c>
      <c r="B107" s="27" t="s">
        <v>134</v>
      </c>
      <c r="C107" s="27">
        <v>1.8</v>
      </c>
      <c r="D107" s="27">
        <v>2008</v>
      </c>
      <c r="E107" s="27">
        <v>4</v>
      </c>
      <c r="F107" s="27" t="s">
        <v>97</v>
      </c>
      <c r="G107" s="27" t="s">
        <v>98</v>
      </c>
      <c r="H107" s="27">
        <v>25</v>
      </c>
      <c r="I107" s="27">
        <v>36</v>
      </c>
      <c r="J107" s="27" t="s">
        <v>110</v>
      </c>
      <c r="K107" s="27" t="s">
        <v>132</v>
      </c>
    </row>
    <row r="108" spans="1:11" x14ac:dyDescent="0.2">
      <c r="A108" s="27" t="s">
        <v>133</v>
      </c>
      <c r="B108" s="27" t="s">
        <v>134</v>
      </c>
      <c r="C108" s="27">
        <v>1.8</v>
      </c>
      <c r="D108" s="27">
        <v>2008</v>
      </c>
      <c r="E108" s="27">
        <v>4</v>
      </c>
      <c r="F108" s="27" t="s">
        <v>97</v>
      </c>
      <c r="G108" s="27" t="s">
        <v>98</v>
      </c>
      <c r="H108" s="27">
        <v>24</v>
      </c>
      <c r="I108" s="27">
        <v>36</v>
      </c>
      <c r="J108" s="27" t="s">
        <v>135</v>
      </c>
      <c r="K108" s="27" t="s">
        <v>132</v>
      </c>
    </row>
    <row r="109" spans="1:11" x14ac:dyDescent="0.2">
      <c r="A109" s="27" t="s">
        <v>133</v>
      </c>
      <c r="B109" s="27" t="s">
        <v>134</v>
      </c>
      <c r="C109" s="27">
        <v>2</v>
      </c>
      <c r="D109" s="27">
        <v>2008</v>
      </c>
      <c r="E109" s="27">
        <v>4</v>
      </c>
      <c r="F109" s="27" t="s">
        <v>101</v>
      </c>
      <c r="G109" s="27" t="s">
        <v>98</v>
      </c>
      <c r="H109" s="27">
        <v>21</v>
      </c>
      <c r="I109" s="27">
        <v>29</v>
      </c>
      <c r="J109" s="27" t="s">
        <v>6</v>
      </c>
      <c r="K109" s="27" t="s">
        <v>132</v>
      </c>
    </row>
    <row r="110" spans="1:11" x14ac:dyDescent="0.2">
      <c r="A110" s="27" t="s">
        <v>136</v>
      </c>
      <c r="B110" s="27" t="s">
        <v>137</v>
      </c>
      <c r="C110" s="27">
        <v>2.4</v>
      </c>
      <c r="D110" s="27">
        <v>1999</v>
      </c>
      <c r="E110" s="27">
        <v>4</v>
      </c>
      <c r="F110" s="27" t="s">
        <v>109</v>
      </c>
      <c r="G110" s="27" t="s">
        <v>98</v>
      </c>
      <c r="H110" s="27">
        <v>18</v>
      </c>
      <c r="I110" s="27">
        <v>26</v>
      </c>
      <c r="J110" s="27" t="s">
        <v>110</v>
      </c>
      <c r="K110" s="27" t="s">
        <v>106</v>
      </c>
    </row>
    <row r="111" spans="1:11" x14ac:dyDescent="0.2">
      <c r="A111" s="27" t="s">
        <v>136</v>
      </c>
      <c r="B111" s="27" t="s">
        <v>137</v>
      </c>
      <c r="C111" s="27">
        <v>2.4</v>
      </c>
      <c r="D111" s="27">
        <v>1999</v>
      </c>
      <c r="E111" s="27">
        <v>4</v>
      </c>
      <c r="F111" s="27" t="s">
        <v>100</v>
      </c>
      <c r="G111" s="27" t="s">
        <v>98</v>
      </c>
      <c r="H111" s="27">
        <v>18</v>
      </c>
      <c r="I111" s="27">
        <v>27</v>
      </c>
      <c r="J111" s="27" t="s">
        <v>110</v>
      </c>
      <c r="K111" s="27" t="s">
        <v>106</v>
      </c>
    </row>
    <row r="112" spans="1:11" x14ac:dyDescent="0.2">
      <c r="A112" s="27" t="s">
        <v>136</v>
      </c>
      <c r="B112" s="27" t="s">
        <v>137</v>
      </c>
      <c r="C112" s="27">
        <v>2.4</v>
      </c>
      <c r="D112" s="27">
        <v>2008</v>
      </c>
      <c r="E112" s="27">
        <v>4</v>
      </c>
      <c r="F112" s="27" t="s">
        <v>109</v>
      </c>
      <c r="G112" s="27" t="s">
        <v>98</v>
      </c>
      <c r="H112" s="27">
        <v>21</v>
      </c>
      <c r="I112" s="27">
        <v>30</v>
      </c>
      <c r="J112" s="27" t="s">
        <v>110</v>
      </c>
      <c r="K112" s="27" t="s">
        <v>106</v>
      </c>
    </row>
    <row r="113" spans="1:11" x14ac:dyDescent="0.2">
      <c r="A113" s="27" t="s">
        <v>136</v>
      </c>
      <c r="B113" s="27" t="s">
        <v>137</v>
      </c>
      <c r="C113" s="27">
        <v>2.4</v>
      </c>
      <c r="D113" s="27">
        <v>2008</v>
      </c>
      <c r="E113" s="27">
        <v>4</v>
      </c>
      <c r="F113" s="27" t="s">
        <v>100</v>
      </c>
      <c r="G113" s="27" t="s">
        <v>98</v>
      </c>
      <c r="H113" s="27">
        <v>21</v>
      </c>
      <c r="I113" s="27">
        <v>31</v>
      </c>
      <c r="J113" s="27" t="s">
        <v>110</v>
      </c>
      <c r="K113" s="27" t="s">
        <v>106</v>
      </c>
    </row>
    <row r="114" spans="1:11" x14ac:dyDescent="0.2">
      <c r="A114" s="27" t="s">
        <v>136</v>
      </c>
      <c r="B114" s="27" t="s">
        <v>137</v>
      </c>
      <c r="C114" s="27">
        <v>2.5</v>
      </c>
      <c r="D114" s="27">
        <v>1999</v>
      </c>
      <c r="E114" s="27">
        <v>6</v>
      </c>
      <c r="F114" s="27" t="s">
        <v>109</v>
      </c>
      <c r="G114" s="27" t="s">
        <v>98</v>
      </c>
      <c r="H114" s="27">
        <v>18</v>
      </c>
      <c r="I114" s="27">
        <v>26</v>
      </c>
      <c r="J114" s="27" t="s">
        <v>110</v>
      </c>
      <c r="K114" s="27" t="s">
        <v>106</v>
      </c>
    </row>
    <row r="115" spans="1:11" x14ac:dyDescent="0.2">
      <c r="A115" s="27" t="s">
        <v>136</v>
      </c>
      <c r="B115" s="27" t="s">
        <v>137</v>
      </c>
      <c r="C115" s="27">
        <v>2.5</v>
      </c>
      <c r="D115" s="27">
        <v>1999</v>
      </c>
      <c r="E115" s="27">
        <v>6</v>
      </c>
      <c r="F115" s="27" t="s">
        <v>100</v>
      </c>
      <c r="G115" s="27" t="s">
        <v>98</v>
      </c>
      <c r="H115" s="27">
        <v>18</v>
      </c>
      <c r="I115" s="27">
        <v>26</v>
      </c>
      <c r="J115" s="27" t="s">
        <v>110</v>
      </c>
      <c r="K115" s="27" t="s">
        <v>106</v>
      </c>
    </row>
    <row r="116" spans="1:11" x14ac:dyDescent="0.2">
      <c r="A116" s="27" t="s">
        <v>136</v>
      </c>
      <c r="B116" s="27" t="s">
        <v>137</v>
      </c>
      <c r="C116" s="27">
        <v>3.3</v>
      </c>
      <c r="D116" s="27">
        <v>2008</v>
      </c>
      <c r="E116" s="27">
        <v>6</v>
      </c>
      <c r="F116" s="27" t="s">
        <v>97</v>
      </c>
      <c r="G116" s="27" t="s">
        <v>98</v>
      </c>
      <c r="H116" s="27">
        <v>19</v>
      </c>
      <c r="I116" s="27">
        <v>28</v>
      </c>
      <c r="J116" s="27" t="s">
        <v>110</v>
      </c>
      <c r="K116" s="27" t="s">
        <v>106</v>
      </c>
    </row>
    <row r="117" spans="1:11" x14ac:dyDescent="0.2">
      <c r="A117" s="27" t="s">
        <v>136</v>
      </c>
      <c r="B117" s="27" t="s">
        <v>138</v>
      </c>
      <c r="C117" s="27">
        <v>2</v>
      </c>
      <c r="D117" s="27">
        <v>1999</v>
      </c>
      <c r="E117" s="27">
        <v>4</v>
      </c>
      <c r="F117" s="27" t="s">
        <v>109</v>
      </c>
      <c r="G117" s="27" t="s">
        <v>98</v>
      </c>
      <c r="H117" s="27">
        <v>19</v>
      </c>
      <c r="I117" s="27">
        <v>26</v>
      </c>
      <c r="J117" s="27" t="s">
        <v>110</v>
      </c>
      <c r="K117" s="27" t="s">
        <v>132</v>
      </c>
    </row>
    <row r="118" spans="1:11" x14ac:dyDescent="0.2">
      <c r="A118" s="27" t="s">
        <v>136</v>
      </c>
      <c r="B118" s="27" t="s">
        <v>138</v>
      </c>
      <c r="C118" s="27">
        <v>2</v>
      </c>
      <c r="D118" s="27">
        <v>1999</v>
      </c>
      <c r="E118" s="27">
        <v>4</v>
      </c>
      <c r="F118" s="27" t="s">
        <v>100</v>
      </c>
      <c r="G118" s="27" t="s">
        <v>98</v>
      </c>
      <c r="H118" s="27">
        <v>19</v>
      </c>
      <c r="I118" s="27">
        <v>29</v>
      </c>
      <c r="J118" s="27" t="s">
        <v>110</v>
      </c>
      <c r="K118" s="27" t="s">
        <v>132</v>
      </c>
    </row>
    <row r="119" spans="1:11" x14ac:dyDescent="0.2">
      <c r="A119" s="27" t="s">
        <v>136</v>
      </c>
      <c r="B119" s="27" t="s">
        <v>138</v>
      </c>
      <c r="C119" s="27">
        <v>2</v>
      </c>
      <c r="D119" s="27">
        <v>2008</v>
      </c>
      <c r="E119" s="27">
        <v>4</v>
      </c>
      <c r="F119" s="27" t="s">
        <v>100</v>
      </c>
      <c r="G119" s="27" t="s">
        <v>98</v>
      </c>
      <c r="H119" s="27">
        <v>20</v>
      </c>
      <c r="I119" s="27">
        <v>28</v>
      </c>
      <c r="J119" s="27" t="s">
        <v>110</v>
      </c>
      <c r="K119" s="27" t="s">
        <v>132</v>
      </c>
    </row>
    <row r="120" spans="1:11" x14ac:dyDescent="0.2">
      <c r="A120" s="27" t="s">
        <v>136</v>
      </c>
      <c r="B120" s="27" t="s">
        <v>138</v>
      </c>
      <c r="C120" s="27">
        <v>2</v>
      </c>
      <c r="D120" s="27">
        <v>2008</v>
      </c>
      <c r="E120" s="27">
        <v>4</v>
      </c>
      <c r="F120" s="27" t="s">
        <v>109</v>
      </c>
      <c r="G120" s="27" t="s">
        <v>98</v>
      </c>
      <c r="H120" s="27">
        <v>20</v>
      </c>
      <c r="I120" s="27">
        <v>27</v>
      </c>
      <c r="J120" s="27" t="s">
        <v>110</v>
      </c>
      <c r="K120" s="27" t="s">
        <v>132</v>
      </c>
    </row>
    <row r="121" spans="1:11" x14ac:dyDescent="0.2">
      <c r="A121" s="27" t="s">
        <v>136</v>
      </c>
      <c r="B121" s="27" t="s">
        <v>138</v>
      </c>
      <c r="C121" s="27">
        <v>2.7</v>
      </c>
      <c r="D121" s="27">
        <v>2008</v>
      </c>
      <c r="E121" s="27">
        <v>6</v>
      </c>
      <c r="F121" s="27" t="s">
        <v>109</v>
      </c>
      <c r="G121" s="27" t="s">
        <v>98</v>
      </c>
      <c r="H121" s="27">
        <v>17</v>
      </c>
      <c r="I121" s="27">
        <v>24</v>
      </c>
      <c r="J121" s="27" t="s">
        <v>110</v>
      </c>
      <c r="K121" s="27" t="s">
        <v>132</v>
      </c>
    </row>
    <row r="122" spans="1:11" x14ac:dyDescent="0.2">
      <c r="A122" s="27" t="s">
        <v>136</v>
      </c>
      <c r="B122" s="27" t="s">
        <v>138</v>
      </c>
      <c r="C122" s="27">
        <v>2.7</v>
      </c>
      <c r="D122" s="27">
        <v>2008</v>
      </c>
      <c r="E122" s="27">
        <v>6</v>
      </c>
      <c r="F122" s="27" t="s">
        <v>101</v>
      </c>
      <c r="G122" s="27" t="s">
        <v>98</v>
      </c>
      <c r="H122" s="27">
        <v>16</v>
      </c>
      <c r="I122" s="27">
        <v>24</v>
      </c>
      <c r="J122" s="27" t="s">
        <v>110</v>
      </c>
      <c r="K122" s="27" t="s">
        <v>132</v>
      </c>
    </row>
    <row r="123" spans="1:11" x14ac:dyDescent="0.2">
      <c r="A123" s="27" t="s">
        <v>136</v>
      </c>
      <c r="B123" s="27" t="s">
        <v>138</v>
      </c>
      <c r="C123" s="27">
        <v>2.7</v>
      </c>
      <c r="D123" s="27">
        <v>2008</v>
      </c>
      <c r="E123" s="27">
        <v>6</v>
      </c>
      <c r="F123" s="27" t="s">
        <v>100</v>
      </c>
      <c r="G123" s="27" t="s">
        <v>98</v>
      </c>
      <c r="H123" s="27">
        <v>17</v>
      </c>
      <c r="I123" s="27">
        <v>24</v>
      </c>
      <c r="J123" s="27" t="s">
        <v>110</v>
      </c>
      <c r="K123" s="27" t="s">
        <v>132</v>
      </c>
    </row>
    <row r="124" spans="1:11" x14ac:dyDescent="0.2">
      <c r="A124" s="27" t="s">
        <v>139</v>
      </c>
      <c r="B124" s="27" t="s">
        <v>140</v>
      </c>
      <c r="C124" s="27">
        <v>3</v>
      </c>
      <c r="D124" s="27">
        <v>2008</v>
      </c>
      <c r="E124" s="27">
        <v>6</v>
      </c>
      <c r="F124" s="27" t="s">
        <v>97</v>
      </c>
      <c r="G124" s="27">
        <v>4</v>
      </c>
      <c r="H124" s="27">
        <v>17</v>
      </c>
      <c r="I124" s="27">
        <v>22</v>
      </c>
      <c r="J124" s="27" t="s">
        <v>116</v>
      </c>
      <c r="K124" s="27" t="s">
        <v>111</v>
      </c>
    </row>
    <row r="125" spans="1:11" x14ac:dyDescent="0.2">
      <c r="A125" s="27" t="s">
        <v>139</v>
      </c>
      <c r="B125" s="27" t="s">
        <v>140</v>
      </c>
      <c r="C125" s="27">
        <v>3.7</v>
      </c>
      <c r="D125" s="27">
        <v>2008</v>
      </c>
      <c r="E125" s="27">
        <v>6</v>
      </c>
      <c r="F125" s="27" t="s">
        <v>97</v>
      </c>
      <c r="G125" s="27">
        <v>4</v>
      </c>
      <c r="H125" s="27">
        <v>15</v>
      </c>
      <c r="I125" s="27">
        <v>19</v>
      </c>
      <c r="J125" s="27" t="s">
        <v>110</v>
      </c>
      <c r="K125" s="27" t="s">
        <v>111</v>
      </c>
    </row>
    <row r="126" spans="1:11" x14ac:dyDescent="0.2">
      <c r="A126" s="27" t="s">
        <v>139</v>
      </c>
      <c r="B126" s="27" t="s">
        <v>140</v>
      </c>
      <c r="C126" s="27">
        <v>4</v>
      </c>
      <c r="D126" s="27">
        <v>1999</v>
      </c>
      <c r="E126" s="27">
        <v>6</v>
      </c>
      <c r="F126" s="27" t="s">
        <v>109</v>
      </c>
      <c r="G126" s="27">
        <v>4</v>
      </c>
      <c r="H126" s="27">
        <v>15</v>
      </c>
      <c r="I126" s="27">
        <v>20</v>
      </c>
      <c r="J126" s="27" t="s">
        <v>110</v>
      </c>
      <c r="K126" s="27" t="s">
        <v>111</v>
      </c>
    </row>
    <row r="127" spans="1:11" x14ac:dyDescent="0.2">
      <c r="A127" s="27" t="s">
        <v>139</v>
      </c>
      <c r="B127" s="27" t="s">
        <v>140</v>
      </c>
      <c r="C127" s="27">
        <v>4.7</v>
      </c>
      <c r="D127" s="27">
        <v>1999</v>
      </c>
      <c r="E127" s="27">
        <v>8</v>
      </c>
      <c r="F127" s="27" t="s">
        <v>109</v>
      </c>
      <c r="G127" s="27">
        <v>4</v>
      </c>
      <c r="H127" s="27">
        <v>14</v>
      </c>
      <c r="I127" s="27">
        <v>17</v>
      </c>
      <c r="J127" s="27" t="s">
        <v>110</v>
      </c>
      <c r="K127" s="27" t="s">
        <v>111</v>
      </c>
    </row>
    <row r="128" spans="1:11" x14ac:dyDescent="0.2">
      <c r="A128" s="27" t="s">
        <v>139</v>
      </c>
      <c r="B128" s="27" t="s">
        <v>140</v>
      </c>
      <c r="C128" s="27">
        <v>4.7</v>
      </c>
      <c r="D128" s="27">
        <v>2008</v>
      </c>
      <c r="E128" s="27">
        <v>8</v>
      </c>
      <c r="F128" s="27" t="s">
        <v>97</v>
      </c>
      <c r="G128" s="27">
        <v>4</v>
      </c>
      <c r="H128" s="27">
        <v>9</v>
      </c>
      <c r="I128" s="27">
        <v>12</v>
      </c>
      <c r="J128" s="27" t="s">
        <v>112</v>
      </c>
      <c r="K128" s="27" t="s">
        <v>111</v>
      </c>
    </row>
    <row r="129" spans="1:11" x14ac:dyDescent="0.2">
      <c r="A129" s="27" t="s">
        <v>139</v>
      </c>
      <c r="B129" s="27" t="s">
        <v>140</v>
      </c>
      <c r="C129" s="27">
        <v>4.7</v>
      </c>
      <c r="D129" s="27">
        <v>2008</v>
      </c>
      <c r="E129" s="27">
        <v>8</v>
      </c>
      <c r="F129" s="27" t="s">
        <v>97</v>
      </c>
      <c r="G129" s="27">
        <v>4</v>
      </c>
      <c r="H129" s="27">
        <v>14</v>
      </c>
      <c r="I129" s="27">
        <v>19</v>
      </c>
      <c r="J129" s="27" t="s">
        <v>110</v>
      </c>
      <c r="K129" s="27" t="s">
        <v>111</v>
      </c>
    </row>
    <row r="130" spans="1:11" x14ac:dyDescent="0.2">
      <c r="A130" s="27" t="s">
        <v>139</v>
      </c>
      <c r="B130" s="27" t="s">
        <v>140</v>
      </c>
      <c r="C130" s="27">
        <v>5.7</v>
      </c>
      <c r="D130" s="27">
        <v>2008</v>
      </c>
      <c r="E130" s="27">
        <v>8</v>
      </c>
      <c r="F130" s="27" t="s">
        <v>97</v>
      </c>
      <c r="G130" s="27">
        <v>4</v>
      </c>
      <c r="H130" s="27">
        <v>13</v>
      </c>
      <c r="I130" s="27">
        <v>18</v>
      </c>
      <c r="J130" s="27" t="s">
        <v>110</v>
      </c>
      <c r="K130" s="27" t="s">
        <v>111</v>
      </c>
    </row>
    <row r="131" spans="1:11" x14ac:dyDescent="0.2">
      <c r="A131" s="27" t="s">
        <v>139</v>
      </c>
      <c r="B131" s="27" t="s">
        <v>140</v>
      </c>
      <c r="C131" s="27">
        <v>6.1</v>
      </c>
      <c r="D131" s="27">
        <v>2008</v>
      </c>
      <c r="E131" s="27">
        <v>8</v>
      </c>
      <c r="F131" s="27" t="s">
        <v>97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111</v>
      </c>
    </row>
    <row r="132" spans="1:11" x14ac:dyDescent="0.2">
      <c r="A132" s="27" t="s">
        <v>141</v>
      </c>
      <c r="B132" s="27" t="s">
        <v>142</v>
      </c>
      <c r="C132" s="27">
        <v>4</v>
      </c>
      <c r="D132" s="27">
        <v>1999</v>
      </c>
      <c r="E132" s="27">
        <v>8</v>
      </c>
      <c r="F132" s="27" t="s">
        <v>109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111</v>
      </c>
    </row>
    <row r="133" spans="1:11" x14ac:dyDescent="0.2">
      <c r="A133" s="27" t="s">
        <v>141</v>
      </c>
      <c r="B133" s="27" t="s">
        <v>142</v>
      </c>
      <c r="C133" s="27">
        <v>4.2</v>
      </c>
      <c r="D133" s="27">
        <v>2008</v>
      </c>
      <c r="E133" s="27">
        <v>8</v>
      </c>
      <c r="F133" s="27" t="s">
        <v>104</v>
      </c>
      <c r="G133" s="27">
        <v>4</v>
      </c>
      <c r="H133" s="27">
        <v>12</v>
      </c>
      <c r="I133" s="27">
        <v>18</v>
      </c>
      <c r="J133" s="27" t="s">
        <v>110</v>
      </c>
      <c r="K133" s="27" t="s">
        <v>111</v>
      </c>
    </row>
    <row r="134" spans="1:11" x14ac:dyDescent="0.2">
      <c r="A134" s="27" t="s">
        <v>141</v>
      </c>
      <c r="B134" s="27" t="s">
        <v>142</v>
      </c>
      <c r="C134" s="27">
        <v>4.4000000000000004</v>
      </c>
      <c r="D134" s="27">
        <v>2008</v>
      </c>
      <c r="E134" s="27">
        <v>8</v>
      </c>
      <c r="F134" s="27" t="s">
        <v>104</v>
      </c>
      <c r="G134" s="27">
        <v>4</v>
      </c>
      <c r="H134" s="27">
        <v>12</v>
      </c>
      <c r="I134" s="27">
        <v>18</v>
      </c>
      <c r="J134" s="27" t="s">
        <v>110</v>
      </c>
      <c r="K134" s="27" t="s">
        <v>111</v>
      </c>
    </row>
    <row r="135" spans="1:11" x14ac:dyDescent="0.2">
      <c r="A135" s="27" t="s">
        <v>141</v>
      </c>
      <c r="B135" s="27" t="s">
        <v>142</v>
      </c>
      <c r="C135" s="27">
        <v>4.5999999999999996</v>
      </c>
      <c r="D135" s="27">
        <v>1999</v>
      </c>
      <c r="E135" s="27">
        <v>8</v>
      </c>
      <c r="F135" s="27" t="s">
        <v>109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111</v>
      </c>
    </row>
    <row r="136" spans="1:11" x14ac:dyDescent="0.2">
      <c r="A136" s="27" t="s">
        <v>143</v>
      </c>
      <c r="B136" s="27" t="s">
        <v>144</v>
      </c>
      <c r="C136" s="27">
        <v>5.4</v>
      </c>
      <c r="D136" s="27">
        <v>1999</v>
      </c>
      <c r="E136" s="27">
        <v>8</v>
      </c>
      <c r="F136" s="27" t="s">
        <v>109</v>
      </c>
      <c r="G136" s="27" t="s">
        <v>110</v>
      </c>
      <c r="H136" s="27">
        <v>11</v>
      </c>
      <c r="I136" s="27">
        <v>17</v>
      </c>
      <c r="J136" s="27" t="s">
        <v>110</v>
      </c>
      <c r="K136" s="27" t="s">
        <v>111</v>
      </c>
    </row>
    <row r="137" spans="1:11" x14ac:dyDescent="0.2">
      <c r="A137" s="27" t="s">
        <v>143</v>
      </c>
      <c r="B137" s="27" t="s">
        <v>144</v>
      </c>
      <c r="C137" s="27">
        <v>5.4</v>
      </c>
      <c r="D137" s="27">
        <v>1999</v>
      </c>
      <c r="E137" s="27">
        <v>8</v>
      </c>
      <c r="F137" s="27" t="s">
        <v>109</v>
      </c>
      <c r="G137" s="27" t="s">
        <v>110</v>
      </c>
      <c r="H137" s="27">
        <v>11</v>
      </c>
      <c r="I137" s="27">
        <v>16</v>
      </c>
      <c r="J137" s="27" t="s">
        <v>6</v>
      </c>
      <c r="K137" s="27" t="s">
        <v>111</v>
      </c>
    </row>
    <row r="138" spans="1:11" x14ac:dyDescent="0.2">
      <c r="A138" s="27" t="s">
        <v>143</v>
      </c>
      <c r="B138" s="27" t="s">
        <v>144</v>
      </c>
      <c r="C138" s="27">
        <v>5.4</v>
      </c>
      <c r="D138" s="27">
        <v>2008</v>
      </c>
      <c r="E138" s="27">
        <v>8</v>
      </c>
      <c r="F138" s="27" t="s">
        <v>122</v>
      </c>
      <c r="G138" s="27" t="s">
        <v>110</v>
      </c>
      <c r="H138" s="27">
        <v>12</v>
      </c>
      <c r="I138" s="27">
        <v>18</v>
      </c>
      <c r="J138" s="27" t="s">
        <v>110</v>
      </c>
      <c r="K138" s="27" t="s">
        <v>111</v>
      </c>
    </row>
    <row r="139" spans="1:11" x14ac:dyDescent="0.2">
      <c r="A139" s="27" t="s">
        <v>145</v>
      </c>
      <c r="B139" s="27" t="s">
        <v>146</v>
      </c>
      <c r="C139" s="27">
        <v>4</v>
      </c>
      <c r="D139" s="27">
        <v>1999</v>
      </c>
      <c r="E139" s="27">
        <v>6</v>
      </c>
      <c r="F139" s="27" t="s">
        <v>97</v>
      </c>
      <c r="G139" s="27">
        <v>4</v>
      </c>
      <c r="H139" s="27">
        <v>14</v>
      </c>
      <c r="I139" s="27">
        <v>17</v>
      </c>
      <c r="J139" s="27" t="s">
        <v>110</v>
      </c>
      <c r="K139" s="27" t="s">
        <v>111</v>
      </c>
    </row>
    <row r="140" spans="1:11" x14ac:dyDescent="0.2">
      <c r="A140" s="27" t="s">
        <v>145</v>
      </c>
      <c r="B140" s="27" t="s">
        <v>146</v>
      </c>
      <c r="C140" s="27">
        <v>4</v>
      </c>
      <c r="D140" s="27">
        <v>2008</v>
      </c>
      <c r="E140" s="27">
        <v>6</v>
      </c>
      <c r="F140" s="27" t="s">
        <v>97</v>
      </c>
      <c r="G140" s="27">
        <v>4</v>
      </c>
      <c r="H140" s="27">
        <v>13</v>
      </c>
      <c r="I140" s="27">
        <v>19</v>
      </c>
      <c r="J140" s="27" t="s">
        <v>110</v>
      </c>
      <c r="K140" s="27" t="s">
        <v>111</v>
      </c>
    </row>
    <row r="141" spans="1:11" x14ac:dyDescent="0.2">
      <c r="A141" s="27" t="s">
        <v>145</v>
      </c>
      <c r="B141" s="27" t="s">
        <v>146</v>
      </c>
      <c r="C141" s="27">
        <v>4.5999999999999996</v>
      </c>
      <c r="D141" s="27">
        <v>2008</v>
      </c>
      <c r="E141" s="27">
        <v>8</v>
      </c>
      <c r="F141" s="27" t="s">
        <v>122</v>
      </c>
      <c r="G141" s="27">
        <v>4</v>
      </c>
      <c r="H141" s="27">
        <v>13</v>
      </c>
      <c r="I141" s="27">
        <v>19</v>
      </c>
      <c r="J141" s="27" t="s">
        <v>110</v>
      </c>
      <c r="K141" s="27" t="s">
        <v>111</v>
      </c>
    </row>
    <row r="142" spans="1:11" x14ac:dyDescent="0.2">
      <c r="A142" s="27" t="s">
        <v>145</v>
      </c>
      <c r="B142" s="27" t="s">
        <v>146</v>
      </c>
      <c r="C142" s="27">
        <v>5</v>
      </c>
      <c r="D142" s="27">
        <v>1999</v>
      </c>
      <c r="E142" s="27">
        <v>8</v>
      </c>
      <c r="F142" s="27" t="s">
        <v>109</v>
      </c>
      <c r="G142" s="27">
        <v>4</v>
      </c>
      <c r="H142" s="27">
        <v>13</v>
      </c>
      <c r="I142" s="27">
        <v>17</v>
      </c>
      <c r="J142" s="27" t="s">
        <v>110</v>
      </c>
      <c r="K142" s="27" t="s">
        <v>111</v>
      </c>
    </row>
    <row r="143" spans="1:11" x14ac:dyDescent="0.2">
      <c r="A143" s="27" t="s">
        <v>147</v>
      </c>
      <c r="B143" s="27" t="s">
        <v>148</v>
      </c>
      <c r="C143" s="27">
        <v>2.4</v>
      </c>
      <c r="D143" s="27">
        <v>1999</v>
      </c>
      <c r="E143" s="27">
        <v>4</v>
      </c>
      <c r="F143" s="27" t="s">
        <v>100</v>
      </c>
      <c r="G143" s="27" t="s">
        <v>98</v>
      </c>
      <c r="H143" s="27">
        <v>21</v>
      </c>
      <c r="I143" s="27">
        <v>29</v>
      </c>
      <c r="J143" s="27" t="s">
        <v>110</v>
      </c>
      <c r="K143" s="27" t="s">
        <v>99</v>
      </c>
    </row>
    <row r="144" spans="1:11" x14ac:dyDescent="0.2">
      <c r="A144" s="27" t="s">
        <v>147</v>
      </c>
      <c r="B144" s="27" t="s">
        <v>148</v>
      </c>
      <c r="C144" s="27">
        <v>2.4</v>
      </c>
      <c r="D144" s="27">
        <v>1999</v>
      </c>
      <c r="E144" s="27">
        <v>4</v>
      </c>
      <c r="F144" s="27" t="s">
        <v>109</v>
      </c>
      <c r="G144" s="27" t="s">
        <v>98</v>
      </c>
      <c r="H144" s="27">
        <v>19</v>
      </c>
      <c r="I144" s="27">
        <v>27</v>
      </c>
      <c r="J144" s="27" t="s">
        <v>110</v>
      </c>
      <c r="K144" s="27" t="s">
        <v>99</v>
      </c>
    </row>
    <row r="145" spans="1:11" x14ac:dyDescent="0.2">
      <c r="A145" s="27" t="s">
        <v>147</v>
      </c>
      <c r="B145" s="27" t="s">
        <v>148</v>
      </c>
      <c r="C145" s="27">
        <v>2.5</v>
      </c>
      <c r="D145" s="27">
        <v>2008</v>
      </c>
      <c r="E145" s="27">
        <v>4</v>
      </c>
      <c r="F145" s="27" t="s">
        <v>102</v>
      </c>
      <c r="G145" s="27" t="s">
        <v>98</v>
      </c>
      <c r="H145" s="27">
        <v>23</v>
      </c>
      <c r="I145" s="27">
        <v>31</v>
      </c>
      <c r="J145" s="27" t="s">
        <v>110</v>
      </c>
      <c r="K145" s="27" t="s">
        <v>106</v>
      </c>
    </row>
    <row r="146" spans="1:11" x14ac:dyDescent="0.2">
      <c r="A146" s="27" t="s">
        <v>147</v>
      </c>
      <c r="B146" s="27" t="s">
        <v>148</v>
      </c>
      <c r="C146" s="27">
        <v>2.5</v>
      </c>
      <c r="D146" s="27">
        <v>2008</v>
      </c>
      <c r="E146" s="27">
        <v>4</v>
      </c>
      <c r="F146" s="27" t="s">
        <v>101</v>
      </c>
      <c r="G146" s="27" t="s">
        <v>98</v>
      </c>
      <c r="H146" s="27">
        <v>23</v>
      </c>
      <c r="I146" s="27">
        <v>32</v>
      </c>
      <c r="J146" s="27" t="s">
        <v>110</v>
      </c>
      <c r="K146" s="27" t="s">
        <v>106</v>
      </c>
    </row>
    <row r="147" spans="1:11" x14ac:dyDescent="0.2">
      <c r="A147" s="27" t="s">
        <v>147</v>
      </c>
      <c r="B147" s="27" t="s">
        <v>148</v>
      </c>
      <c r="C147" s="27">
        <v>3.5</v>
      </c>
      <c r="D147" s="27">
        <v>2008</v>
      </c>
      <c r="E147" s="27">
        <v>6</v>
      </c>
      <c r="F147" s="27" t="s">
        <v>101</v>
      </c>
      <c r="G147" s="27" t="s">
        <v>98</v>
      </c>
      <c r="H147" s="27">
        <v>19</v>
      </c>
      <c r="I147" s="27">
        <v>27</v>
      </c>
      <c r="J147" s="27" t="s">
        <v>6</v>
      </c>
      <c r="K147" s="27" t="s">
        <v>106</v>
      </c>
    </row>
    <row r="148" spans="1:11" x14ac:dyDescent="0.2">
      <c r="A148" s="27" t="s">
        <v>147</v>
      </c>
      <c r="B148" s="27" t="s">
        <v>148</v>
      </c>
      <c r="C148" s="27">
        <v>3.5</v>
      </c>
      <c r="D148" s="27">
        <v>2008</v>
      </c>
      <c r="E148" s="27">
        <v>6</v>
      </c>
      <c r="F148" s="27" t="s">
        <v>102</v>
      </c>
      <c r="G148" s="27" t="s">
        <v>98</v>
      </c>
      <c r="H148" s="27">
        <v>19</v>
      </c>
      <c r="I148" s="27">
        <v>26</v>
      </c>
      <c r="J148" s="27" t="s">
        <v>6</v>
      </c>
      <c r="K148" s="27" t="s">
        <v>106</v>
      </c>
    </row>
    <row r="149" spans="1:11" x14ac:dyDescent="0.2">
      <c r="A149" s="27" t="s">
        <v>147</v>
      </c>
      <c r="B149" s="27" t="s">
        <v>149</v>
      </c>
      <c r="C149" s="27">
        <v>3</v>
      </c>
      <c r="D149" s="27">
        <v>1999</v>
      </c>
      <c r="E149" s="27">
        <v>6</v>
      </c>
      <c r="F149" s="27" t="s">
        <v>109</v>
      </c>
      <c r="G149" s="27" t="s">
        <v>98</v>
      </c>
      <c r="H149" s="27">
        <v>18</v>
      </c>
      <c r="I149" s="27">
        <v>26</v>
      </c>
      <c r="J149" s="27" t="s">
        <v>110</v>
      </c>
      <c r="K149" s="27" t="s">
        <v>106</v>
      </c>
    </row>
    <row r="150" spans="1:11" x14ac:dyDescent="0.2">
      <c r="A150" s="27" t="s">
        <v>147</v>
      </c>
      <c r="B150" s="27" t="s">
        <v>149</v>
      </c>
      <c r="C150" s="27">
        <v>3</v>
      </c>
      <c r="D150" s="27">
        <v>1999</v>
      </c>
      <c r="E150" s="27">
        <v>6</v>
      </c>
      <c r="F150" s="27" t="s">
        <v>100</v>
      </c>
      <c r="G150" s="27" t="s">
        <v>98</v>
      </c>
      <c r="H150" s="27">
        <v>19</v>
      </c>
      <c r="I150" s="27">
        <v>25</v>
      </c>
      <c r="J150" s="27" t="s">
        <v>110</v>
      </c>
      <c r="K150" s="27" t="s">
        <v>106</v>
      </c>
    </row>
    <row r="151" spans="1:11" x14ac:dyDescent="0.2">
      <c r="A151" s="27" t="s">
        <v>147</v>
      </c>
      <c r="B151" s="27" t="s">
        <v>149</v>
      </c>
      <c r="C151" s="27">
        <v>3.5</v>
      </c>
      <c r="D151" s="27">
        <v>2008</v>
      </c>
      <c r="E151" s="27">
        <v>6</v>
      </c>
      <c r="F151" s="27" t="s">
        <v>102</v>
      </c>
      <c r="G151" s="27" t="s">
        <v>98</v>
      </c>
      <c r="H151" s="27">
        <v>19</v>
      </c>
      <c r="I151" s="27">
        <v>25</v>
      </c>
      <c r="J151" s="27" t="s">
        <v>6</v>
      </c>
      <c r="K151" s="27" t="s">
        <v>106</v>
      </c>
    </row>
    <row r="152" spans="1:11" x14ac:dyDescent="0.2">
      <c r="A152" s="27" t="s">
        <v>147</v>
      </c>
      <c r="B152" s="27" t="s">
        <v>150</v>
      </c>
      <c r="C152" s="27">
        <v>3.3</v>
      </c>
      <c r="D152" s="27">
        <v>1999</v>
      </c>
      <c r="E152" s="27">
        <v>6</v>
      </c>
      <c r="F152" s="27" t="s">
        <v>109</v>
      </c>
      <c r="G152" s="27">
        <v>4</v>
      </c>
      <c r="H152" s="27">
        <v>14</v>
      </c>
      <c r="I152" s="27">
        <v>17</v>
      </c>
      <c r="J152" s="27" t="s">
        <v>110</v>
      </c>
      <c r="K152" s="27" t="s">
        <v>111</v>
      </c>
    </row>
    <row r="153" spans="1:11" x14ac:dyDescent="0.2">
      <c r="A153" s="27" t="s">
        <v>147</v>
      </c>
      <c r="B153" s="27" t="s">
        <v>150</v>
      </c>
      <c r="C153" s="27">
        <v>3.3</v>
      </c>
      <c r="D153" s="27">
        <v>1999</v>
      </c>
      <c r="E153" s="27">
        <v>6</v>
      </c>
      <c r="F153" s="27" t="s">
        <v>100</v>
      </c>
      <c r="G153" s="27">
        <v>4</v>
      </c>
      <c r="H153" s="27">
        <v>15</v>
      </c>
      <c r="I153" s="27">
        <v>17</v>
      </c>
      <c r="J153" s="27" t="s">
        <v>110</v>
      </c>
      <c r="K153" s="27" t="s">
        <v>111</v>
      </c>
    </row>
    <row r="154" spans="1:11" x14ac:dyDescent="0.2">
      <c r="A154" s="27" t="s">
        <v>147</v>
      </c>
      <c r="B154" s="27" t="s">
        <v>150</v>
      </c>
      <c r="C154" s="27">
        <v>4</v>
      </c>
      <c r="D154" s="27">
        <v>2008</v>
      </c>
      <c r="E154" s="27">
        <v>6</v>
      </c>
      <c r="F154" s="27" t="s">
        <v>97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111</v>
      </c>
    </row>
    <row r="155" spans="1:11" x14ac:dyDescent="0.2">
      <c r="A155" s="27" t="s">
        <v>147</v>
      </c>
      <c r="B155" s="27" t="s">
        <v>150</v>
      </c>
      <c r="C155" s="27">
        <v>5.6</v>
      </c>
      <c r="D155" s="27">
        <v>2008</v>
      </c>
      <c r="E155" s="27">
        <v>8</v>
      </c>
      <c r="F155" s="27" t="s">
        <v>151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111</v>
      </c>
    </row>
    <row r="156" spans="1:11" x14ac:dyDescent="0.2">
      <c r="A156" s="27" t="s">
        <v>152</v>
      </c>
      <c r="B156" s="27" t="s">
        <v>153</v>
      </c>
      <c r="C156" s="27">
        <v>3.1</v>
      </c>
      <c r="D156" s="27">
        <v>1999</v>
      </c>
      <c r="E156" s="27">
        <v>6</v>
      </c>
      <c r="F156" s="27" t="s">
        <v>109</v>
      </c>
      <c r="G156" s="27" t="s">
        <v>98</v>
      </c>
      <c r="H156" s="27">
        <v>18</v>
      </c>
      <c r="I156" s="27">
        <v>26</v>
      </c>
      <c r="J156" s="27" t="s">
        <v>110</v>
      </c>
      <c r="K156" s="27" t="s">
        <v>106</v>
      </c>
    </row>
    <row r="157" spans="1:11" x14ac:dyDescent="0.2">
      <c r="A157" s="27" t="s">
        <v>152</v>
      </c>
      <c r="B157" s="27" t="s">
        <v>153</v>
      </c>
      <c r="C157" s="27">
        <v>3.8</v>
      </c>
      <c r="D157" s="27">
        <v>1999</v>
      </c>
      <c r="E157" s="27">
        <v>6</v>
      </c>
      <c r="F157" s="27" t="s">
        <v>109</v>
      </c>
      <c r="G157" s="27" t="s">
        <v>98</v>
      </c>
      <c r="H157" s="27">
        <v>16</v>
      </c>
      <c r="I157" s="27">
        <v>26</v>
      </c>
      <c r="J157" s="27" t="s">
        <v>6</v>
      </c>
      <c r="K157" s="27" t="s">
        <v>106</v>
      </c>
    </row>
    <row r="158" spans="1:11" x14ac:dyDescent="0.2">
      <c r="A158" s="27" t="s">
        <v>152</v>
      </c>
      <c r="B158" s="27" t="s">
        <v>153</v>
      </c>
      <c r="C158" s="27">
        <v>3.8</v>
      </c>
      <c r="D158" s="27">
        <v>1999</v>
      </c>
      <c r="E158" s="27">
        <v>6</v>
      </c>
      <c r="F158" s="27" t="s">
        <v>109</v>
      </c>
      <c r="G158" s="27" t="s">
        <v>98</v>
      </c>
      <c r="H158" s="27">
        <v>17</v>
      </c>
      <c r="I158" s="27">
        <v>27</v>
      </c>
      <c r="J158" s="27" t="s">
        <v>110</v>
      </c>
      <c r="K158" s="27" t="s">
        <v>106</v>
      </c>
    </row>
    <row r="159" spans="1:11" x14ac:dyDescent="0.2">
      <c r="A159" s="27" t="s">
        <v>152</v>
      </c>
      <c r="B159" s="27" t="s">
        <v>153</v>
      </c>
      <c r="C159" s="27">
        <v>3.8</v>
      </c>
      <c r="D159" s="27">
        <v>2008</v>
      </c>
      <c r="E159" s="27">
        <v>6</v>
      </c>
      <c r="F159" s="27" t="s">
        <v>109</v>
      </c>
      <c r="G159" s="27" t="s">
        <v>98</v>
      </c>
      <c r="H159" s="27">
        <v>18</v>
      </c>
      <c r="I159" s="27">
        <v>28</v>
      </c>
      <c r="J159" s="27" t="s">
        <v>110</v>
      </c>
      <c r="K159" s="27" t="s">
        <v>106</v>
      </c>
    </row>
    <row r="160" spans="1:11" x14ac:dyDescent="0.2">
      <c r="A160" s="27" t="s">
        <v>152</v>
      </c>
      <c r="B160" s="27" t="s">
        <v>153</v>
      </c>
      <c r="C160" s="27">
        <v>5.3</v>
      </c>
      <c r="D160" s="27">
        <v>2008</v>
      </c>
      <c r="E160" s="27">
        <v>8</v>
      </c>
      <c r="F160" s="27" t="s">
        <v>154</v>
      </c>
      <c r="G160" s="27" t="s">
        <v>98</v>
      </c>
      <c r="H160" s="27">
        <v>16</v>
      </c>
      <c r="I160" s="27">
        <v>25</v>
      </c>
      <c r="J160" s="27" t="s">
        <v>6</v>
      </c>
      <c r="K160" s="27" t="s">
        <v>106</v>
      </c>
    </row>
    <row r="161" spans="1:11" x14ac:dyDescent="0.2">
      <c r="A161" s="27" t="s">
        <v>155</v>
      </c>
      <c r="B161" s="27" t="s">
        <v>156</v>
      </c>
      <c r="C161" s="27">
        <v>2.5</v>
      </c>
      <c r="D161" s="27">
        <v>1999</v>
      </c>
      <c r="E161" s="27">
        <v>4</v>
      </c>
      <c r="F161" s="27" t="s">
        <v>100</v>
      </c>
      <c r="G161" s="27">
        <v>4</v>
      </c>
      <c r="H161" s="27">
        <v>18</v>
      </c>
      <c r="I161" s="27">
        <v>25</v>
      </c>
      <c r="J161" s="27" t="s">
        <v>110</v>
      </c>
      <c r="K161" s="27" t="s">
        <v>111</v>
      </c>
    </row>
    <row r="162" spans="1:11" x14ac:dyDescent="0.2">
      <c r="A162" s="27" t="s">
        <v>155</v>
      </c>
      <c r="B162" s="27" t="s">
        <v>156</v>
      </c>
      <c r="C162" s="27">
        <v>2.5</v>
      </c>
      <c r="D162" s="27">
        <v>1999</v>
      </c>
      <c r="E162" s="27">
        <v>4</v>
      </c>
      <c r="F162" s="27" t="s">
        <v>109</v>
      </c>
      <c r="G162" s="27">
        <v>4</v>
      </c>
      <c r="H162" s="27">
        <v>18</v>
      </c>
      <c r="I162" s="27">
        <v>24</v>
      </c>
      <c r="J162" s="27" t="s">
        <v>110</v>
      </c>
      <c r="K162" s="27" t="s">
        <v>111</v>
      </c>
    </row>
    <row r="163" spans="1:11" x14ac:dyDescent="0.2">
      <c r="A163" s="27" t="s">
        <v>155</v>
      </c>
      <c r="B163" s="27" t="s">
        <v>156</v>
      </c>
      <c r="C163" s="27">
        <v>2.5</v>
      </c>
      <c r="D163" s="27">
        <v>2008</v>
      </c>
      <c r="E163" s="27">
        <v>4</v>
      </c>
      <c r="F163" s="27" t="s">
        <v>100</v>
      </c>
      <c r="G163" s="27">
        <v>4</v>
      </c>
      <c r="H163" s="27">
        <v>20</v>
      </c>
      <c r="I163" s="27">
        <v>27</v>
      </c>
      <c r="J163" s="27" t="s">
        <v>110</v>
      </c>
      <c r="K163" s="27" t="s">
        <v>111</v>
      </c>
    </row>
    <row r="164" spans="1:11" x14ac:dyDescent="0.2">
      <c r="A164" s="27" t="s">
        <v>155</v>
      </c>
      <c r="B164" s="27" t="s">
        <v>156</v>
      </c>
      <c r="C164" s="27">
        <v>2.5</v>
      </c>
      <c r="D164" s="27">
        <v>2008</v>
      </c>
      <c r="E164" s="27">
        <v>4</v>
      </c>
      <c r="F164" s="27" t="s">
        <v>100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111</v>
      </c>
    </row>
    <row r="165" spans="1:11" x14ac:dyDescent="0.2">
      <c r="A165" s="27" t="s">
        <v>155</v>
      </c>
      <c r="B165" s="27" t="s">
        <v>156</v>
      </c>
      <c r="C165" s="27">
        <v>2.5</v>
      </c>
      <c r="D165" s="27">
        <v>2008</v>
      </c>
      <c r="E165" s="27">
        <v>4</v>
      </c>
      <c r="F165" s="27" t="s">
        <v>109</v>
      </c>
      <c r="G165" s="27">
        <v>4</v>
      </c>
      <c r="H165" s="27">
        <v>20</v>
      </c>
      <c r="I165" s="27">
        <v>26</v>
      </c>
      <c r="J165" s="27" t="s">
        <v>110</v>
      </c>
      <c r="K165" s="27" t="s">
        <v>111</v>
      </c>
    </row>
    <row r="166" spans="1:11" x14ac:dyDescent="0.2">
      <c r="A166" s="27" t="s">
        <v>155</v>
      </c>
      <c r="B166" s="27" t="s">
        <v>156</v>
      </c>
      <c r="C166" s="27">
        <v>2.5</v>
      </c>
      <c r="D166" s="27">
        <v>2008</v>
      </c>
      <c r="E166" s="27">
        <v>4</v>
      </c>
      <c r="F166" s="27" t="s">
        <v>109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111</v>
      </c>
    </row>
    <row r="167" spans="1:11" x14ac:dyDescent="0.2">
      <c r="A167" s="27" t="s">
        <v>155</v>
      </c>
      <c r="B167" s="27" t="s">
        <v>157</v>
      </c>
      <c r="C167" s="27">
        <v>2.2000000000000002</v>
      </c>
      <c r="D167" s="27">
        <v>1999</v>
      </c>
      <c r="E167" s="27">
        <v>4</v>
      </c>
      <c r="F167" s="27" t="s">
        <v>109</v>
      </c>
      <c r="G167" s="27">
        <v>4</v>
      </c>
      <c r="H167" s="27">
        <v>21</v>
      </c>
      <c r="I167" s="27">
        <v>26</v>
      </c>
      <c r="J167" s="27" t="s">
        <v>110</v>
      </c>
      <c r="K167" s="27" t="s">
        <v>132</v>
      </c>
    </row>
    <row r="168" spans="1:11" x14ac:dyDescent="0.2">
      <c r="A168" s="27" t="s">
        <v>155</v>
      </c>
      <c r="B168" s="27" t="s">
        <v>157</v>
      </c>
      <c r="C168" s="27">
        <v>2.2000000000000002</v>
      </c>
      <c r="D168" s="27">
        <v>1999</v>
      </c>
      <c r="E168" s="27">
        <v>4</v>
      </c>
      <c r="F168" s="27" t="s">
        <v>100</v>
      </c>
      <c r="G168" s="27">
        <v>4</v>
      </c>
      <c r="H168" s="27">
        <v>19</v>
      </c>
      <c r="I168" s="27">
        <v>26</v>
      </c>
      <c r="J168" s="27" t="s">
        <v>110</v>
      </c>
      <c r="K168" s="27" t="s">
        <v>132</v>
      </c>
    </row>
    <row r="169" spans="1:11" x14ac:dyDescent="0.2">
      <c r="A169" s="27" t="s">
        <v>155</v>
      </c>
      <c r="B169" s="27" t="s">
        <v>157</v>
      </c>
      <c r="C169" s="27">
        <v>2.5</v>
      </c>
      <c r="D169" s="27">
        <v>1999</v>
      </c>
      <c r="E169" s="27">
        <v>4</v>
      </c>
      <c r="F169" s="27" t="s">
        <v>100</v>
      </c>
      <c r="G169" s="27">
        <v>4</v>
      </c>
      <c r="H169" s="27">
        <v>19</v>
      </c>
      <c r="I169" s="27">
        <v>26</v>
      </c>
      <c r="J169" s="27" t="s">
        <v>110</v>
      </c>
      <c r="K169" s="27" t="s">
        <v>132</v>
      </c>
    </row>
    <row r="170" spans="1:11" x14ac:dyDescent="0.2">
      <c r="A170" s="27" t="s">
        <v>155</v>
      </c>
      <c r="B170" s="27" t="s">
        <v>157</v>
      </c>
      <c r="C170" s="27">
        <v>2.5</v>
      </c>
      <c r="D170" s="27">
        <v>1999</v>
      </c>
      <c r="E170" s="27">
        <v>4</v>
      </c>
      <c r="F170" s="27" t="s">
        <v>109</v>
      </c>
      <c r="G170" s="27">
        <v>4</v>
      </c>
      <c r="H170" s="27">
        <v>19</v>
      </c>
      <c r="I170" s="27">
        <v>26</v>
      </c>
      <c r="J170" s="27" t="s">
        <v>110</v>
      </c>
      <c r="K170" s="27" t="s">
        <v>132</v>
      </c>
    </row>
    <row r="171" spans="1:11" x14ac:dyDescent="0.2">
      <c r="A171" s="27" t="s">
        <v>155</v>
      </c>
      <c r="B171" s="27" t="s">
        <v>157</v>
      </c>
      <c r="C171" s="27">
        <v>2.5</v>
      </c>
      <c r="D171" s="27">
        <v>2008</v>
      </c>
      <c r="E171" s="27">
        <v>4</v>
      </c>
      <c r="F171" s="27" t="s">
        <v>154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99</v>
      </c>
    </row>
    <row r="172" spans="1:11" x14ac:dyDescent="0.2">
      <c r="A172" s="27" t="s">
        <v>155</v>
      </c>
      <c r="B172" s="27" t="s">
        <v>157</v>
      </c>
      <c r="C172" s="27">
        <v>2.5</v>
      </c>
      <c r="D172" s="27">
        <v>2008</v>
      </c>
      <c r="E172" s="27">
        <v>4</v>
      </c>
      <c r="F172" s="27" t="s">
        <v>154</v>
      </c>
      <c r="G172" s="27">
        <v>4</v>
      </c>
      <c r="H172" s="27">
        <v>20</v>
      </c>
      <c r="I172" s="27">
        <v>27</v>
      </c>
      <c r="J172" s="27" t="s">
        <v>110</v>
      </c>
      <c r="K172" s="27" t="s">
        <v>99</v>
      </c>
    </row>
    <row r="173" spans="1:11" x14ac:dyDescent="0.2">
      <c r="A173" s="27" t="s">
        <v>155</v>
      </c>
      <c r="B173" s="27" t="s">
        <v>157</v>
      </c>
      <c r="C173" s="27">
        <v>2.5</v>
      </c>
      <c r="D173" s="27">
        <v>2008</v>
      </c>
      <c r="E173" s="27">
        <v>4</v>
      </c>
      <c r="F173" s="27" t="s">
        <v>100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99</v>
      </c>
    </row>
    <row r="174" spans="1:11" x14ac:dyDescent="0.2">
      <c r="A174" s="27" t="s">
        <v>155</v>
      </c>
      <c r="B174" s="27" t="s">
        <v>157</v>
      </c>
      <c r="C174" s="27">
        <v>2.5</v>
      </c>
      <c r="D174" s="27">
        <v>2008</v>
      </c>
      <c r="E174" s="27">
        <v>4</v>
      </c>
      <c r="F174" s="27" t="s">
        <v>100</v>
      </c>
      <c r="G174" s="27">
        <v>4</v>
      </c>
      <c r="H174" s="27">
        <v>20</v>
      </c>
      <c r="I174" s="27">
        <v>27</v>
      </c>
      <c r="J174" s="27" t="s">
        <v>110</v>
      </c>
      <c r="K174" s="27" t="s">
        <v>99</v>
      </c>
    </row>
    <row r="175" spans="1:11" x14ac:dyDescent="0.2">
      <c r="A175" s="27" t="s">
        <v>158</v>
      </c>
      <c r="B175" s="27" t="s">
        <v>159</v>
      </c>
      <c r="C175" s="27">
        <v>2.7</v>
      </c>
      <c r="D175" s="27">
        <v>1999</v>
      </c>
      <c r="E175" s="27">
        <v>4</v>
      </c>
      <c r="F175" s="27" t="s">
        <v>100</v>
      </c>
      <c r="G175" s="27">
        <v>4</v>
      </c>
      <c r="H175" s="27">
        <v>15</v>
      </c>
      <c r="I175" s="27">
        <v>20</v>
      </c>
      <c r="J175" s="27" t="s">
        <v>110</v>
      </c>
      <c r="K175" s="27" t="s">
        <v>111</v>
      </c>
    </row>
    <row r="176" spans="1:11" x14ac:dyDescent="0.2">
      <c r="A176" s="27" t="s">
        <v>158</v>
      </c>
      <c r="B176" s="27" t="s">
        <v>159</v>
      </c>
      <c r="C176" s="27">
        <v>2.7</v>
      </c>
      <c r="D176" s="27">
        <v>1999</v>
      </c>
      <c r="E176" s="27">
        <v>4</v>
      </c>
      <c r="F176" s="27" t="s">
        <v>109</v>
      </c>
      <c r="G176" s="27">
        <v>4</v>
      </c>
      <c r="H176" s="27">
        <v>16</v>
      </c>
      <c r="I176" s="27">
        <v>20</v>
      </c>
      <c r="J176" s="27" t="s">
        <v>110</v>
      </c>
      <c r="K176" s="27" t="s">
        <v>111</v>
      </c>
    </row>
    <row r="177" spans="1:11" x14ac:dyDescent="0.2">
      <c r="A177" s="27" t="s">
        <v>158</v>
      </c>
      <c r="B177" s="27" t="s">
        <v>159</v>
      </c>
      <c r="C177" s="27">
        <v>3.4</v>
      </c>
      <c r="D177" s="27">
        <v>1999</v>
      </c>
      <c r="E177" s="27">
        <v>6</v>
      </c>
      <c r="F177" s="27" t="s">
        <v>109</v>
      </c>
      <c r="G177" s="27">
        <v>4</v>
      </c>
      <c r="H177" s="27">
        <v>15</v>
      </c>
      <c r="I177" s="27">
        <v>19</v>
      </c>
      <c r="J177" s="27" t="s">
        <v>110</v>
      </c>
      <c r="K177" s="27" t="s">
        <v>111</v>
      </c>
    </row>
    <row r="178" spans="1:11" x14ac:dyDescent="0.2">
      <c r="A178" s="27" t="s">
        <v>158</v>
      </c>
      <c r="B178" s="27" t="s">
        <v>159</v>
      </c>
      <c r="C178" s="27">
        <v>3.4</v>
      </c>
      <c r="D178" s="27">
        <v>1999</v>
      </c>
      <c r="E178" s="27">
        <v>6</v>
      </c>
      <c r="F178" s="27" t="s">
        <v>100</v>
      </c>
      <c r="G178" s="27">
        <v>4</v>
      </c>
      <c r="H178" s="27">
        <v>15</v>
      </c>
      <c r="I178" s="27">
        <v>17</v>
      </c>
      <c r="J178" s="27" t="s">
        <v>110</v>
      </c>
      <c r="K178" s="27" t="s">
        <v>111</v>
      </c>
    </row>
    <row r="179" spans="1:11" x14ac:dyDescent="0.2">
      <c r="A179" s="27" t="s">
        <v>158</v>
      </c>
      <c r="B179" s="27" t="s">
        <v>159</v>
      </c>
      <c r="C179" s="27">
        <v>4</v>
      </c>
      <c r="D179" s="27">
        <v>2008</v>
      </c>
      <c r="E179" s="27">
        <v>6</v>
      </c>
      <c r="F179" s="27" t="s">
        <v>97</v>
      </c>
      <c r="G179" s="27">
        <v>4</v>
      </c>
      <c r="H179" s="27">
        <v>16</v>
      </c>
      <c r="I179" s="27">
        <v>20</v>
      </c>
      <c r="J179" s="27" t="s">
        <v>110</v>
      </c>
      <c r="K179" s="27" t="s">
        <v>111</v>
      </c>
    </row>
    <row r="180" spans="1:11" x14ac:dyDescent="0.2">
      <c r="A180" s="27" t="s">
        <v>158</v>
      </c>
      <c r="B180" s="27" t="s">
        <v>159</v>
      </c>
      <c r="C180" s="27">
        <v>4.7</v>
      </c>
      <c r="D180" s="27">
        <v>2008</v>
      </c>
      <c r="E180" s="27">
        <v>8</v>
      </c>
      <c r="F180" s="27" t="s">
        <v>97</v>
      </c>
      <c r="G180" s="27">
        <v>4</v>
      </c>
      <c r="H180" s="27">
        <v>14</v>
      </c>
      <c r="I180" s="27">
        <v>17</v>
      </c>
      <c r="J180" s="27" t="s">
        <v>110</v>
      </c>
      <c r="K180" s="27" t="s">
        <v>111</v>
      </c>
    </row>
    <row r="181" spans="1:11" x14ac:dyDescent="0.2">
      <c r="A181" s="27" t="s">
        <v>158</v>
      </c>
      <c r="B181" s="27" t="s">
        <v>160</v>
      </c>
      <c r="C181" s="27">
        <v>2.2000000000000002</v>
      </c>
      <c r="D181" s="27">
        <v>1999</v>
      </c>
      <c r="E181" s="27">
        <v>4</v>
      </c>
      <c r="F181" s="27" t="s">
        <v>100</v>
      </c>
      <c r="G181" s="27" t="s">
        <v>98</v>
      </c>
      <c r="H181" s="27">
        <v>21</v>
      </c>
      <c r="I181" s="27">
        <v>29</v>
      </c>
      <c r="J181" s="27" t="s">
        <v>110</v>
      </c>
      <c r="K181" s="27" t="s">
        <v>106</v>
      </c>
    </row>
    <row r="182" spans="1:11" x14ac:dyDescent="0.2">
      <c r="A182" s="27" t="s">
        <v>158</v>
      </c>
      <c r="B182" s="27" t="s">
        <v>160</v>
      </c>
      <c r="C182" s="27">
        <v>2.2000000000000002</v>
      </c>
      <c r="D182" s="27">
        <v>1999</v>
      </c>
      <c r="E182" s="27">
        <v>4</v>
      </c>
      <c r="F182" s="27" t="s">
        <v>109</v>
      </c>
      <c r="G182" s="27" t="s">
        <v>98</v>
      </c>
      <c r="H182" s="27">
        <v>21</v>
      </c>
      <c r="I182" s="27">
        <v>27</v>
      </c>
      <c r="J182" s="27" t="s">
        <v>110</v>
      </c>
      <c r="K182" s="27" t="s">
        <v>106</v>
      </c>
    </row>
    <row r="183" spans="1:11" x14ac:dyDescent="0.2">
      <c r="A183" s="27" t="s">
        <v>158</v>
      </c>
      <c r="B183" s="27" t="s">
        <v>160</v>
      </c>
      <c r="C183" s="27">
        <v>2.4</v>
      </c>
      <c r="D183" s="27">
        <v>2008</v>
      </c>
      <c r="E183" s="27">
        <v>4</v>
      </c>
      <c r="F183" s="27" t="s">
        <v>100</v>
      </c>
      <c r="G183" s="27" t="s">
        <v>98</v>
      </c>
      <c r="H183" s="27">
        <v>21</v>
      </c>
      <c r="I183" s="27">
        <v>31</v>
      </c>
      <c r="J183" s="27" t="s">
        <v>110</v>
      </c>
      <c r="K183" s="27" t="s">
        <v>106</v>
      </c>
    </row>
    <row r="184" spans="1:11" x14ac:dyDescent="0.2">
      <c r="A184" s="27" t="s">
        <v>158</v>
      </c>
      <c r="B184" s="27" t="s">
        <v>160</v>
      </c>
      <c r="C184" s="27">
        <v>2.4</v>
      </c>
      <c r="D184" s="27">
        <v>2008</v>
      </c>
      <c r="E184" s="27">
        <v>4</v>
      </c>
      <c r="F184" s="27" t="s">
        <v>97</v>
      </c>
      <c r="G184" s="27" t="s">
        <v>98</v>
      </c>
      <c r="H184" s="27">
        <v>21</v>
      </c>
      <c r="I184" s="27">
        <v>31</v>
      </c>
      <c r="J184" s="27" t="s">
        <v>110</v>
      </c>
      <c r="K184" s="27" t="s">
        <v>106</v>
      </c>
    </row>
    <row r="185" spans="1:11" x14ac:dyDescent="0.2">
      <c r="A185" s="27" t="s">
        <v>158</v>
      </c>
      <c r="B185" s="27" t="s">
        <v>160</v>
      </c>
      <c r="C185" s="27">
        <v>3</v>
      </c>
      <c r="D185" s="27">
        <v>1999</v>
      </c>
      <c r="E185" s="27">
        <v>6</v>
      </c>
      <c r="F185" s="27" t="s">
        <v>109</v>
      </c>
      <c r="G185" s="27" t="s">
        <v>98</v>
      </c>
      <c r="H185" s="27">
        <v>18</v>
      </c>
      <c r="I185" s="27">
        <v>26</v>
      </c>
      <c r="J185" s="27" t="s">
        <v>110</v>
      </c>
      <c r="K185" s="27" t="s">
        <v>106</v>
      </c>
    </row>
    <row r="186" spans="1:11" x14ac:dyDescent="0.2">
      <c r="A186" s="27" t="s">
        <v>158</v>
      </c>
      <c r="B186" s="27" t="s">
        <v>160</v>
      </c>
      <c r="C186" s="27">
        <v>3</v>
      </c>
      <c r="D186" s="27">
        <v>1999</v>
      </c>
      <c r="E186" s="27">
        <v>6</v>
      </c>
      <c r="F186" s="27" t="s">
        <v>100</v>
      </c>
      <c r="G186" s="27" t="s">
        <v>98</v>
      </c>
      <c r="H186" s="27">
        <v>18</v>
      </c>
      <c r="I186" s="27">
        <v>26</v>
      </c>
      <c r="J186" s="27" t="s">
        <v>110</v>
      </c>
      <c r="K186" s="27" t="s">
        <v>106</v>
      </c>
    </row>
    <row r="187" spans="1:11" x14ac:dyDescent="0.2">
      <c r="A187" s="27" t="s">
        <v>158</v>
      </c>
      <c r="B187" s="27" t="s">
        <v>160</v>
      </c>
      <c r="C187" s="27">
        <v>3.5</v>
      </c>
      <c r="D187" s="27">
        <v>2008</v>
      </c>
      <c r="E187" s="27">
        <v>6</v>
      </c>
      <c r="F187" s="27" t="s">
        <v>104</v>
      </c>
      <c r="G187" s="27" t="s">
        <v>98</v>
      </c>
      <c r="H187" s="27">
        <v>19</v>
      </c>
      <c r="I187" s="27">
        <v>28</v>
      </c>
      <c r="J187" s="27" t="s">
        <v>110</v>
      </c>
      <c r="K187" s="27" t="s">
        <v>106</v>
      </c>
    </row>
    <row r="188" spans="1:11" x14ac:dyDescent="0.2">
      <c r="A188" s="27" t="s">
        <v>158</v>
      </c>
      <c r="B188" s="27" t="s">
        <v>161</v>
      </c>
      <c r="C188" s="27">
        <v>2.2000000000000002</v>
      </c>
      <c r="D188" s="27">
        <v>1999</v>
      </c>
      <c r="E188" s="27">
        <v>4</v>
      </c>
      <c r="F188" s="27" t="s">
        <v>109</v>
      </c>
      <c r="G188" s="27" t="s">
        <v>98</v>
      </c>
      <c r="H188" s="27">
        <v>21</v>
      </c>
      <c r="I188" s="27">
        <v>27</v>
      </c>
      <c r="J188" s="27" t="s">
        <v>110</v>
      </c>
      <c r="K188" s="27" t="s">
        <v>99</v>
      </c>
    </row>
    <row r="189" spans="1:11" x14ac:dyDescent="0.2">
      <c r="A189" s="27" t="s">
        <v>158</v>
      </c>
      <c r="B189" s="27" t="s">
        <v>161</v>
      </c>
      <c r="C189" s="27">
        <v>2.2000000000000002</v>
      </c>
      <c r="D189" s="27">
        <v>1999</v>
      </c>
      <c r="E189" s="27">
        <v>4</v>
      </c>
      <c r="F189" s="27" t="s">
        <v>100</v>
      </c>
      <c r="G189" s="27" t="s">
        <v>98</v>
      </c>
      <c r="H189" s="27">
        <v>21</v>
      </c>
      <c r="I189" s="27">
        <v>29</v>
      </c>
      <c r="J189" s="27" t="s">
        <v>110</v>
      </c>
      <c r="K189" s="27" t="s">
        <v>99</v>
      </c>
    </row>
    <row r="190" spans="1:11" x14ac:dyDescent="0.2">
      <c r="A190" s="27" t="s">
        <v>158</v>
      </c>
      <c r="B190" s="27" t="s">
        <v>161</v>
      </c>
      <c r="C190" s="27">
        <v>2.4</v>
      </c>
      <c r="D190" s="27">
        <v>2008</v>
      </c>
      <c r="E190" s="27">
        <v>4</v>
      </c>
      <c r="F190" s="27" t="s">
        <v>100</v>
      </c>
      <c r="G190" s="27" t="s">
        <v>98</v>
      </c>
      <c r="H190" s="27">
        <v>21</v>
      </c>
      <c r="I190" s="27">
        <v>31</v>
      </c>
      <c r="J190" s="27" t="s">
        <v>110</v>
      </c>
      <c r="K190" s="27" t="s">
        <v>99</v>
      </c>
    </row>
    <row r="191" spans="1:11" x14ac:dyDescent="0.2">
      <c r="A191" s="27" t="s">
        <v>158</v>
      </c>
      <c r="B191" s="27" t="s">
        <v>161</v>
      </c>
      <c r="C191" s="27">
        <v>2.4</v>
      </c>
      <c r="D191" s="27">
        <v>2008</v>
      </c>
      <c r="E191" s="27">
        <v>4</v>
      </c>
      <c r="F191" s="27" t="s">
        <v>151</v>
      </c>
      <c r="G191" s="27" t="s">
        <v>98</v>
      </c>
      <c r="H191" s="27">
        <v>22</v>
      </c>
      <c r="I191" s="27">
        <v>31</v>
      </c>
      <c r="J191" s="27" t="s">
        <v>110</v>
      </c>
      <c r="K191" s="27" t="s">
        <v>99</v>
      </c>
    </row>
    <row r="192" spans="1:11" x14ac:dyDescent="0.2">
      <c r="A192" s="27" t="s">
        <v>158</v>
      </c>
      <c r="B192" s="27" t="s">
        <v>161</v>
      </c>
      <c r="C192" s="27">
        <v>3</v>
      </c>
      <c r="D192" s="27">
        <v>1999</v>
      </c>
      <c r="E192" s="27">
        <v>6</v>
      </c>
      <c r="F192" s="27" t="s">
        <v>109</v>
      </c>
      <c r="G192" s="27" t="s">
        <v>98</v>
      </c>
      <c r="H192" s="27">
        <v>18</v>
      </c>
      <c r="I192" s="27">
        <v>26</v>
      </c>
      <c r="J192" s="27" t="s">
        <v>110</v>
      </c>
      <c r="K192" s="27" t="s">
        <v>99</v>
      </c>
    </row>
    <row r="193" spans="1:11" x14ac:dyDescent="0.2">
      <c r="A193" s="27" t="s">
        <v>158</v>
      </c>
      <c r="B193" s="27" t="s">
        <v>161</v>
      </c>
      <c r="C193" s="27">
        <v>3</v>
      </c>
      <c r="D193" s="27">
        <v>1999</v>
      </c>
      <c r="E193" s="27">
        <v>6</v>
      </c>
      <c r="F193" s="27" t="s">
        <v>100</v>
      </c>
      <c r="G193" s="27" t="s">
        <v>98</v>
      </c>
      <c r="H193" s="27">
        <v>18</v>
      </c>
      <c r="I193" s="27">
        <v>26</v>
      </c>
      <c r="J193" s="27" t="s">
        <v>110</v>
      </c>
      <c r="K193" s="27" t="s">
        <v>99</v>
      </c>
    </row>
    <row r="194" spans="1:11" x14ac:dyDescent="0.2">
      <c r="A194" s="27" t="s">
        <v>158</v>
      </c>
      <c r="B194" s="27" t="s">
        <v>161</v>
      </c>
      <c r="C194" s="27">
        <v>3.3</v>
      </c>
      <c r="D194" s="27">
        <v>2008</v>
      </c>
      <c r="E194" s="27">
        <v>6</v>
      </c>
      <c r="F194" s="27" t="s">
        <v>151</v>
      </c>
      <c r="G194" s="27" t="s">
        <v>98</v>
      </c>
      <c r="H194" s="27">
        <v>18</v>
      </c>
      <c r="I194" s="27">
        <v>27</v>
      </c>
      <c r="J194" s="27" t="s">
        <v>110</v>
      </c>
      <c r="K194" s="27" t="s">
        <v>99</v>
      </c>
    </row>
    <row r="195" spans="1:11" x14ac:dyDescent="0.2">
      <c r="A195" s="27" t="s">
        <v>158</v>
      </c>
      <c r="B195" s="27" t="s">
        <v>162</v>
      </c>
      <c r="C195" s="27">
        <v>1.8</v>
      </c>
      <c r="D195" s="27">
        <v>1999</v>
      </c>
      <c r="E195" s="27">
        <v>4</v>
      </c>
      <c r="F195" s="27" t="s">
        <v>120</v>
      </c>
      <c r="G195" s="27" t="s">
        <v>98</v>
      </c>
      <c r="H195" s="27">
        <v>24</v>
      </c>
      <c r="I195" s="27">
        <v>30</v>
      </c>
      <c r="J195" s="27" t="s">
        <v>110</v>
      </c>
      <c r="K195" s="27" t="s">
        <v>99</v>
      </c>
    </row>
    <row r="196" spans="1:11" x14ac:dyDescent="0.2">
      <c r="A196" s="27" t="s">
        <v>158</v>
      </c>
      <c r="B196" s="27" t="s">
        <v>162</v>
      </c>
      <c r="C196" s="27">
        <v>1.8</v>
      </c>
      <c r="D196" s="27">
        <v>1999</v>
      </c>
      <c r="E196" s="27">
        <v>4</v>
      </c>
      <c r="F196" s="27" t="s">
        <v>109</v>
      </c>
      <c r="G196" s="27" t="s">
        <v>98</v>
      </c>
      <c r="H196" s="27">
        <v>24</v>
      </c>
      <c r="I196" s="27">
        <v>33</v>
      </c>
      <c r="J196" s="27" t="s">
        <v>110</v>
      </c>
      <c r="K196" s="27" t="s">
        <v>99</v>
      </c>
    </row>
    <row r="197" spans="1:11" x14ac:dyDescent="0.2">
      <c r="A197" s="27" t="s">
        <v>158</v>
      </c>
      <c r="B197" s="27" t="s">
        <v>162</v>
      </c>
      <c r="C197" s="27">
        <v>1.8</v>
      </c>
      <c r="D197" s="27">
        <v>1999</v>
      </c>
      <c r="E197" s="27">
        <v>4</v>
      </c>
      <c r="F197" s="27" t="s">
        <v>100</v>
      </c>
      <c r="G197" s="27" t="s">
        <v>98</v>
      </c>
      <c r="H197" s="27">
        <v>26</v>
      </c>
      <c r="I197" s="27">
        <v>35</v>
      </c>
      <c r="J197" s="27" t="s">
        <v>110</v>
      </c>
      <c r="K197" s="27" t="s">
        <v>99</v>
      </c>
    </row>
    <row r="198" spans="1:11" x14ac:dyDescent="0.2">
      <c r="A198" s="27" t="s">
        <v>158</v>
      </c>
      <c r="B198" s="27" t="s">
        <v>162</v>
      </c>
      <c r="C198" s="27">
        <v>1.8</v>
      </c>
      <c r="D198" s="27">
        <v>2008</v>
      </c>
      <c r="E198" s="27">
        <v>4</v>
      </c>
      <c r="F198" s="27" t="s">
        <v>100</v>
      </c>
      <c r="G198" s="27" t="s">
        <v>98</v>
      </c>
      <c r="H198" s="27">
        <v>28</v>
      </c>
      <c r="I198" s="27">
        <v>37</v>
      </c>
      <c r="J198" s="27" t="s">
        <v>110</v>
      </c>
      <c r="K198" s="27" t="s">
        <v>99</v>
      </c>
    </row>
    <row r="199" spans="1:11" x14ac:dyDescent="0.2">
      <c r="A199" s="27" t="s">
        <v>158</v>
      </c>
      <c r="B199" s="27" t="s">
        <v>162</v>
      </c>
      <c r="C199" s="27">
        <v>1.8</v>
      </c>
      <c r="D199" s="27">
        <v>2008</v>
      </c>
      <c r="E199" s="27">
        <v>4</v>
      </c>
      <c r="F199" s="27" t="s">
        <v>109</v>
      </c>
      <c r="G199" s="27" t="s">
        <v>98</v>
      </c>
      <c r="H199" s="27">
        <v>26</v>
      </c>
      <c r="I199" s="27">
        <v>35</v>
      </c>
      <c r="J199" s="27" t="s">
        <v>110</v>
      </c>
      <c r="K199" s="27" t="s">
        <v>99</v>
      </c>
    </row>
    <row r="200" spans="1:11" x14ac:dyDescent="0.2">
      <c r="A200" s="27" t="s">
        <v>158</v>
      </c>
      <c r="B200" s="27" t="s">
        <v>163</v>
      </c>
      <c r="C200" s="27">
        <v>4.7</v>
      </c>
      <c r="D200" s="27">
        <v>1999</v>
      </c>
      <c r="E200" s="27">
        <v>8</v>
      </c>
      <c r="F200" s="27" t="s">
        <v>109</v>
      </c>
      <c r="G200" s="27">
        <v>4</v>
      </c>
      <c r="H200" s="27">
        <v>11</v>
      </c>
      <c r="I200" s="27">
        <v>15</v>
      </c>
      <c r="J200" s="27" t="s">
        <v>110</v>
      </c>
      <c r="K200" s="27" t="s">
        <v>111</v>
      </c>
    </row>
    <row r="201" spans="1:11" x14ac:dyDescent="0.2">
      <c r="A201" s="27" t="s">
        <v>158</v>
      </c>
      <c r="B201" s="27" t="s">
        <v>163</v>
      </c>
      <c r="C201" s="27">
        <v>5.7</v>
      </c>
      <c r="D201" s="27">
        <v>2008</v>
      </c>
      <c r="E201" s="27">
        <v>8</v>
      </c>
      <c r="F201" s="27" t="s">
        <v>104</v>
      </c>
      <c r="G201" s="27">
        <v>4</v>
      </c>
      <c r="H201" s="27">
        <v>13</v>
      </c>
      <c r="I201" s="27">
        <v>18</v>
      </c>
      <c r="J201" s="27" t="s">
        <v>110</v>
      </c>
      <c r="K201" s="27" t="s">
        <v>111</v>
      </c>
    </row>
    <row r="202" spans="1:11" x14ac:dyDescent="0.2">
      <c r="A202" s="27" t="s">
        <v>158</v>
      </c>
      <c r="B202" s="27" t="s">
        <v>164</v>
      </c>
      <c r="C202" s="27">
        <v>2.7</v>
      </c>
      <c r="D202" s="27">
        <v>1999</v>
      </c>
      <c r="E202" s="27">
        <v>4</v>
      </c>
      <c r="F202" s="27" t="s">
        <v>100</v>
      </c>
      <c r="G202" s="27">
        <v>4</v>
      </c>
      <c r="H202" s="27">
        <v>15</v>
      </c>
      <c r="I202" s="27">
        <v>20</v>
      </c>
      <c r="J202" s="27" t="s">
        <v>110</v>
      </c>
      <c r="K202" s="27" t="s">
        <v>124</v>
      </c>
    </row>
    <row r="203" spans="1:11" x14ac:dyDescent="0.2">
      <c r="A203" s="27" t="s">
        <v>158</v>
      </c>
      <c r="B203" s="27" t="s">
        <v>164</v>
      </c>
      <c r="C203" s="27">
        <v>2.7</v>
      </c>
      <c r="D203" s="27">
        <v>1999</v>
      </c>
      <c r="E203" s="27">
        <v>4</v>
      </c>
      <c r="F203" s="27" t="s">
        <v>109</v>
      </c>
      <c r="G203" s="27">
        <v>4</v>
      </c>
      <c r="H203" s="27">
        <v>16</v>
      </c>
      <c r="I203" s="27">
        <v>20</v>
      </c>
      <c r="J203" s="27" t="s">
        <v>110</v>
      </c>
      <c r="K203" s="27" t="s">
        <v>124</v>
      </c>
    </row>
    <row r="204" spans="1:11" x14ac:dyDescent="0.2">
      <c r="A204" s="27" t="s">
        <v>158</v>
      </c>
      <c r="B204" s="27" t="s">
        <v>164</v>
      </c>
      <c r="C204" s="27">
        <v>2.7</v>
      </c>
      <c r="D204" s="27">
        <v>2008</v>
      </c>
      <c r="E204" s="27">
        <v>4</v>
      </c>
      <c r="F204" s="27" t="s">
        <v>100</v>
      </c>
      <c r="G204" s="27">
        <v>4</v>
      </c>
      <c r="H204" s="27">
        <v>17</v>
      </c>
      <c r="I204" s="27">
        <v>22</v>
      </c>
      <c r="J204" s="27" t="s">
        <v>110</v>
      </c>
      <c r="K204" s="27" t="s">
        <v>124</v>
      </c>
    </row>
    <row r="205" spans="1:11" x14ac:dyDescent="0.2">
      <c r="A205" s="27" t="s">
        <v>158</v>
      </c>
      <c r="B205" s="27" t="s">
        <v>164</v>
      </c>
      <c r="C205" s="27">
        <v>3.4</v>
      </c>
      <c r="D205" s="27">
        <v>1999</v>
      </c>
      <c r="E205" s="27">
        <v>6</v>
      </c>
      <c r="F205" s="27" t="s">
        <v>100</v>
      </c>
      <c r="G205" s="27">
        <v>4</v>
      </c>
      <c r="H205" s="27">
        <v>15</v>
      </c>
      <c r="I205" s="27">
        <v>17</v>
      </c>
      <c r="J205" s="27" t="s">
        <v>110</v>
      </c>
      <c r="K205" s="27" t="s">
        <v>124</v>
      </c>
    </row>
    <row r="206" spans="1:11" x14ac:dyDescent="0.2">
      <c r="A206" s="27" t="s">
        <v>158</v>
      </c>
      <c r="B206" s="27" t="s">
        <v>164</v>
      </c>
      <c r="C206" s="27">
        <v>3.4</v>
      </c>
      <c r="D206" s="27">
        <v>1999</v>
      </c>
      <c r="E206" s="27">
        <v>6</v>
      </c>
      <c r="F206" s="27" t="s">
        <v>109</v>
      </c>
      <c r="G206" s="27">
        <v>4</v>
      </c>
      <c r="H206" s="27">
        <v>15</v>
      </c>
      <c r="I206" s="27">
        <v>19</v>
      </c>
      <c r="J206" s="27" t="s">
        <v>110</v>
      </c>
      <c r="K206" s="27" t="s">
        <v>124</v>
      </c>
    </row>
    <row r="207" spans="1:11" x14ac:dyDescent="0.2">
      <c r="A207" s="27" t="s">
        <v>158</v>
      </c>
      <c r="B207" s="27" t="s">
        <v>164</v>
      </c>
      <c r="C207" s="27">
        <v>4</v>
      </c>
      <c r="D207" s="27">
        <v>2008</v>
      </c>
      <c r="E207" s="27">
        <v>6</v>
      </c>
      <c r="F207" s="27" t="s">
        <v>101</v>
      </c>
      <c r="G207" s="27">
        <v>4</v>
      </c>
      <c r="H207" s="27">
        <v>15</v>
      </c>
      <c r="I207" s="27">
        <v>18</v>
      </c>
      <c r="J207" s="27" t="s">
        <v>110</v>
      </c>
      <c r="K207" s="27" t="s">
        <v>124</v>
      </c>
    </row>
    <row r="208" spans="1:11" x14ac:dyDescent="0.2">
      <c r="A208" s="27" t="s">
        <v>158</v>
      </c>
      <c r="B208" s="27" t="s">
        <v>164</v>
      </c>
      <c r="C208" s="27">
        <v>4</v>
      </c>
      <c r="D208" s="27">
        <v>2008</v>
      </c>
      <c r="E208" s="27">
        <v>6</v>
      </c>
      <c r="F208" s="27" t="s">
        <v>97</v>
      </c>
      <c r="G208" s="27">
        <v>4</v>
      </c>
      <c r="H208" s="27">
        <v>16</v>
      </c>
      <c r="I208" s="27">
        <v>20</v>
      </c>
      <c r="J208" s="27" t="s">
        <v>110</v>
      </c>
      <c r="K208" s="27" t="s">
        <v>124</v>
      </c>
    </row>
    <row r="209" spans="1:11" x14ac:dyDescent="0.2">
      <c r="A209" s="27" t="s">
        <v>165</v>
      </c>
      <c r="B209" s="27" t="s">
        <v>166</v>
      </c>
      <c r="C209" s="27">
        <v>2</v>
      </c>
      <c r="D209" s="27">
        <v>1999</v>
      </c>
      <c r="E209" s="27">
        <v>4</v>
      </c>
      <c r="F209" s="27" t="s">
        <v>100</v>
      </c>
      <c r="G209" s="27" t="s">
        <v>98</v>
      </c>
      <c r="H209" s="27">
        <v>21</v>
      </c>
      <c r="I209" s="27">
        <v>29</v>
      </c>
      <c r="J209" s="27" t="s">
        <v>110</v>
      </c>
      <c r="K209" s="27" t="s">
        <v>99</v>
      </c>
    </row>
    <row r="210" spans="1:11" x14ac:dyDescent="0.2">
      <c r="A210" s="27" t="s">
        <v>165</v>
      </c>
      <c r="B210" s="27" t="s">
        <v>166</v>
      </c>
      <c r="C210" s="27">
        <v>2</v>
      </c>
      <c r="D210" s="27">
        <v>1999</v>
      </c>
      <c r="E210" s="27">
        <v>4</v>
      </c>
      <c r="F210" s="27" t="s">
        <v>109</v>
      </c>
      <c r="G210" s="27" t="s">
        <v>98</v>
      </c>
      <c r="H210" s="27">
        <v>19</v>
      </c>
      <c r="I210" s="27">
        <v>26</v>
      </c>
      <c r="J210" s="27" t="s">
        <v>110</v>
      </c>
      <c r="K210" s="27" t="s">
        <v>99</v>
      </c>
    </row>
    <row r="211" spans="1:11" x14ac:dyDescent="0.2">
      <c r="A211" s="27" t="s">
        <v>165</v>
      </c>
      <c r="B211" s="27" t="s">
        <v>166</v>
      </c>
      <c r="C211" s="27">
        <v>2</v>
      </c>
      <c r="D211" s="27">
        <v>2008</v>
      </c>
      <c r="E211" s="27">
        <v>4</v>
      </c>
      <c r="F211" s="27" t="s">
        <v>101</v>
      </c>
      <c r="G211" s="27" t="s">
        <v>98</v>
      </c>
      <c r="H211" s="27">
        <v>21</v>
      </c>
      <c r="I211" s="27">
        <v>29</v>
      </c>
      <c r="J211" s="27" t="s">
        <v>6</v>
      </c>
      <c r="K211" s="27" t="s">
        <v>99</v>
      </c>
    </row>
    <row r="212" spans="1:11" x14ac:dyDescent="0.2">
      <c r="A212" s="27" t="s">
        <v>165</v>
      </c>
      <c r="B212" s="27" t="s">
        <v>166</v>
      </c>
      <c r="C212" s="27">
        <v>2</v>
      </c>
      <c r="D212" s="27">
        <v>2008</v>
      </c>
      <c r="E212" s="27">
        <v>4</v>
      </c>
      <c r="F212" s="27" t="s">
        <v>104</v>
      </c>
      <c r="G212" s="27" t="s">
        <v>98</v>
      </c>
      <c r="H212" s="27">
        <v>22</v>
      </c>
      <c r="I212" s="27">
        <v>29</v>
      </c>
      <c r="J212" s="27" t="s">
        <v>6</v>
      </c>
      <c r="K212" s="27" t="s">
        <v>99</v>
      </c>
    </row>
    <row r="213" spans="1:11" x14ac:dyDescent="0.2">
      <c r="A213" s="27" t="s">
        <v>165</v>
      </c>
      <c r="B213" s="27" t="s">
        <v>166</v>
      </c>
      <c r="C213" s="27">
        <v>2.8</v>
      </c>
      <c r="D213" s="27">
        <v>1999</v>
      </c>
      <c r="E213" s="27">
        <v>6</v>
      </c>
      <c r="F213" s="27" t="s">
        <v>100</v>
      </c>
      <c r="G213" s="27" t="s">
        <v>98</v>
      </c>
      <c r="H213" s="27">
        <v>17</v>
      </c>
      <c r="I213" s="27">
        <v>24</v>
      </c>
      <c r="J213" s="27" t="s">
        <v>110</v>
      </c>
      <c r="K213" s="27" t="s">
        <v>99</v>
      </c>
    </row>
    <row r="214" spans="1:11" x14ac:dyDescent="0.2">
      <c r="A214" s="27" t="s">
        <v>165</v>
      </c>
      <c r="B214" s="27" t="s">
        <v>167</v>
      </c>
      <c r="C214" s="27">
        <v>1.9</v>
      </c>
      <c r="D214" s="27">
        <v>1999</v>
      </c>
      <c r="E214" s="27">
        <v>4</v>
      </c>
      <c r="F214" s="27" t="s">
        <v>100</v>
      </c>
      <c r="G214" s="27" t="s">
        <v>98</v>
      </c>
      <c r="H214" s="27">
        <v>33</v>
      </c>
      <c r="I214" s="27">
        <v>44</v>
      </c>
      <c r="J214" s="27" t="s">
        <v>116</v>
      </c>
      <c r="K214" s="27" t="s">
        <v>99</v>
      </c>
    </row>
    <row r="215" spans="1:11" x14ac:dyDescent="0.2">
      <c r="A215" s="27" t="s">
        <v>165</v>
      </c>
      <c r="B215" s="27" t="s">
        <v>167</v>
      </c>
      <c r="C215" s="27">
        <v>2</v>
      </c>
      <c r="D215" s="27">
        <v>1999</v>
      </c>
      <c r="E215" s="27">
        <v>4</v>
      </c>
      <c r="F215" s="27" t="s">
        <v>100</v>
      </c>
      <c r="G215" s="27" t="s">
        <v>98</v>
      </c>
      <c r="H215" s="27">
        <v>21</v>
      </c>
      <c r="I215" s="27">
        <v>29</v>
      </c>
      <c r="J215" s="27" t="s">
        <v>110</v>
      </c>
      <c r="K215" s="27" t="s">
        <v>99</v>
      </c>
    </row>
    <row r="216" spans="1:11" x14ac:dyDescent="0.2">
      <c r="A216" s="27" t="s">
        <v>165</v>
      </c>
      <c r="B216" s="27" t="s">
        <v>167</v>
      </c>
      <c r="C216" s="27">
        <v>2</v>
      </c>
      <c r="D216" s="27">
        <v>1999</v>
      </c>
      <c r="E216" s="27">
        <v>4</v>
      </c>
      <c r="F216" s="27" t="s">
        <v>109</v>
      </c>
      <c r="G216" s="27" t="s">
        <v>98</v>
      </c>
      <c r="H216" s="27">
        <v>19</v>
      </c>
      <c r="I216" s="27">
        <v>26</v>
      </c>
      <c r="J216" s="27" t="s">
        <v>110</v>
      </c>
      <c r="K216" s="27" t="s">
        <v>99</v>
      </c>
    </row>
    <row r="217" spans="1:11" x14ac:dyDescent="0.2">
      <c r="A217" s="27" t="s">
        <v>165</v>
      </c>
      <c r="B217" s="27" t="s">
        <v>167</v>
      </c>
      <c r="C217" s="27">
        <v>2</v>
      </c>
      <c r="D217" s="27">
        <v>2008</v>
      </c>
      <c r="E217" s="27">
        <v>4</v>
      </c>
      <c r="F217" s="27" t="s">
        <v>104</v>
      </c>
      <c r="G217" s="27" t="s">
        <v>98</v>
      </c>
      <c r="H217" s="27">
        <v>22</v>
      </c>
      <c r="I217" s="27">
        <v>29</v>
      </c>
      <c r="J217" s="27" t="s">
        <v>6</v>
      </c>
      <c r="K217" s="27" t="s">
        <v>99</v>
      </c>
    </row>
    <row r="218" spans="1:11" x14ac:dyDescent="0.2">
      <c r="A218" s="27" t="s">
        <v>165</v>
      </c>
      <c r="B218" s="27" t="s">
        <v>167</v>
      </c>
      <c r="C218" s="27">
        <v>2</v>
      </c>
      <c r="D218" s="27">
        <v>2008</v>
      </c>
      <c r="E218" s="27">
        <v>4</v>
      </c>
      <c r="F218" s="27" t="s">
        <v>101</v>
      </c>
      <c r="G218" s="27" t="s">
        <v>98</v>
      </c>
      <c r="H218" s="27">
        <v>21</v>
      </c>
      <c r="I218" s="27">
        <v>29</v>
      </c>
      <c r="J218" s="27" t="s">
        <v>6</v>
      </c>
      <c r="K218" s="27" t="s">
        <v>99</v>
      </c>
    </row>
    <row r="219" spans="1:11" x14ac:dyDescent="0.2">
      <c r="A219" s="27" t="s">
        <v>165</v>
      </c>
      <c r="B219" s="27" t="s">
        <v>167</v>
      </c>
      <c r="C219" s="27">
        <v>2.5</v>
      </c>
      <c r="D219" s="27">
        <v>2008</v>
      </c>
      <c r="E219" s="27">
        <v>5</v>
      </c>
      <c r="F219" s="27" t="s">
        <v>104</v>
      </c>
      <c r="G219" s="27" t="s">
        <v>98</v>
      </c>
      <c r="H219" s="27">
        <v>21</v>
      </c>
      <c r="I219" s="27">
        <v>29</v>
      </c>
      <c r="J219" s="27" t="s">
        <v>110</v>
      </c>
      <c r="K219" s="27" t="s">
        <v>99</v>
      </c>
    </row>
    <row r="220" spans="1:11" x14ac:dyDescent="0.2">
      <c r="A220" s="27" t="s">
        <v>165</v>
      </c>
      <c r="B220" s="27" t="s">
        <v>167</v>
      </c>
      <c r="C220" s="27">
        <v>2.5</v>
      </c>
      <c r="D220" s="27">
        <v>2008</v>
      </c>
      <c r="E220" s="27">
        <v>5</v>
      </c>
      <c r="F220" s="27" t="s">
        <v>100</v>
      </c>
      <c r="G220" s="27" t="s">
        <v>98</v>
      </c>
      <c r="H220" s="27">
        <v>21</v>
      </c>
      <c r="I220" s="27">
        <v>29</v>
      </c>
      <c r="J220" s="27" t="s">
        <v>110</v>
      </c>
      <c r="K220" s="27" t="s">
        <v>99</v>
      </c>
    </row>
    <row r="221" spans="1:11" x14ac:dyDescent="0.2">
      <c r="A221" s="27" t="s">
        <v>165</v>
      </c>
      <c r="B221" s="27" t="s">
        <v>167</v>
      </c>
      <c r="C221" s="27">
        <v>2.8</v>
      </c>
      <c r="D221" s="27">
        <v>1999</v>
      </c>
      <c r="E221" s="27">
        <v>6</v>
      </c>
      <c r="F221" s="27" t="s">
        <v>109</v>
      </c>
      <c r="G221" s="27" t="s">
        <v>98</v>
      </c>
      <c r="H221" s="27">
        <v>16</v>
      </c>
      <c r="I221" s="27">
        <v>23</v>
      </c>
      <c r="J221" s="27" t="s">
        <v>110</v>
      </c>
      <c r="K221" s="27" t="s">
        <v>99</v>
      </c>
    </row>
    <row r="222" spans="1:11" x14ac:dyDescent="0.2">
      <c r="A222" s="27" t="s">
        <v>165</v>
      </c>
      <c r="B222" s="27" t="s">
        <v>167</v>
      </c>
      <c r="C222" s="27">
        <v>2.8</v>
      </c>
      <c r="D222" s="27">
        <v>1999</v>
      </c>
      <c r="E222" s="27">
        <v>6</v>
      </c>
      <c r="F222" s="27" t="s">
        <v>100</v>
      </c>
      <c r="G222" s="27" t="s">
        <v>98</v>
      </c>
      <c r="H222" s="27">
        <v>17</v>
      </c>
      <c r="I222" s="27">
        <v>24</v>
      </c>
      <c r="J222" s="27" t="s">
        <v>110</v>
      </c>
      <c r="K222" s="27" t="s">
        <v>99</v>
      </c>
    </row>
    <row r="223" spans="1:11" x14ac:dyDescent="0.2">
      <c r="A223" s="27" t="s">
        <v>165</v>
      </c>
      <c r="B223" s="27" t="s">
        <v>168</v>
      </c>
      <c r="C223" s="27">
        <v>1.9</v>
      </c>
      <c r="D223" s="27">
        <v>1999</v>
      </c>
      <c r="E223" s="27">
        <v>4</v>
      </c>
      <c r="F223" s="27" t="s">
        <v>100</v>
      </c>
      <c r="G223" s="27" t="s">
        <v>98</v>
      </c>
      <c r="H223" s="27">
        <v>35</v>
      </c>
      <c r="I223" s="27">
        <v>44</v>
      </c>
      <c r="J223" s="27" t="s">
        <v>116</v>
      </c>
      <c r="K223" s="27" t="s">
        <v>132</v>
      </c>
    </row>
    <row r="224" spans="1:11" x14ac:dyDescent="0.2">
      <c r="A224" s="27" t="s">
        <v>165</v>
      </c>
      <c r="B224" s="27" t="s">
        <v>168</v>
      </c>
      <c r="C224" s="27">
        <v>1.9</v>
      </c>
      <c r="D224" s="27">
        <v>1999</v>
      </c>
      <c r="E224" s="27">
        <v>4</v>
      </c>
      <c r="F224" s="27" t="s">
        <v>109</v>
      </c>
      <c r="G224" s="27" t="s">
        <v>98</v>
      </c>
      <c r="H224" s="27">
        <v>29</v>
      </c>
      <c r="I224" s="27">
        <v>41</v>
      </c>
      <c r="J224" s="27" t="s">
        <v>116</v>
      </c>
      <c r="K224" s="27" t="s">
        <v>132</v>
      </c>
    </row>
    <row r="225" spans="1:11" x14ac:dyDescent="0.2">
      <c r="A225" s="27" t="s">
        <v>165</v>
      </c>
      <c r="B225" s="27" t="s">
        <v>168</v>
      </c>
      <c r="C225" s="27">
        <v>2</v>
      </c>
      <c r="D225" s="27">
        <v>1999</v>
      </c>
      <c r="E225" s="27">
        <v>4</v>
      </c>
      <c r="F225" s="27" t="s">
        <v>100</v>
      </c>
      <c r="G225" s="27" t="s">
        <v>98</v>
      </c>
      <c r="H225" s="27">
        <v>21</v>
      </c>
      <c r="I225" s="27">
        <v>29</v>
      </c>
      <c r="J225" s="27" t="s">
        <v>110</v>
      </c>
      <c r="K225" s="27" t="s">
        <v>132</v>
      </c>
    </row>
    <row r="226" spans="1:11" x14ac:dyDescent="0.2">
      <c r="A226" s="27" t="s">
        <v>165</v>
      </c>
      <c r="B226" s="27" t="s">
        <v>168</v>
      </c>
      <c r="C226" s="27">
        <v>2</v>
      </c>
      <c r="D226" s="27">
        <v>1999</v>
      </c>
      <c r="E226" s="27">
        <v>4</v>
      </c>
      <c r="F226" s="27" t="s">
        <v>109</v>
      </c>
      <c r="G226" s="27" t="s">
        <v>98</v>
      </c>
      <c r="H226" s="27">
        <v>19</v>
      </c>
      <c r="I226" s="27">
        <v>26</v>
      </c>
      <c r="J226" s="27" t="s">
        <v>110</v>
      </c>
      <c r="K226" s="27" t="s">
        <v>132</v>
      </c>
    </row>
    <row r="227" spans="1:11" x14ac:dyDescent="0.2">
      <c r="A227" s="27" t="s">
        <v>165</v>
      </c>
      <c r="B227" s="27" t="s">
        <v>168</v>
      </c>
      <c r="C227" s="27">
        <v>2.5</v>
      </c>
      <c r="D227" s="27">
        <v>2008</v>
      </c>
      <c r="E227" s="27">
        <v>5</v>
      </c>
      <c r="F227" s="27" t="s">
        <v>100</v>
      </c>
      <c r="G227" s="27" t="s">
        <v>98</v>
      </c>
      <c r="H227" s="27">
        <v>20</v>
      </c>
      <c r="I227" s="27">
        <v>28</v>
      </c>
      <c r="J227" s="27" t="s">
        <v>110</v>
      </c>
      <c r="K227" s="27" t="s">
        <v>132</v>
      </c>
    </row>
    <row r="228" spans="1:11" x14ac:dyDescent="0.2">
      <c r="A228" s="27" t="s">
        <v>165</v>
      </c>
      <c r="B228" s="27" t="s">
        <v>168</v>
      </c>
      <c r="C228" s="27">
        <v>2.5</v>
      </c>
      <c r="D228" s="27">
        <v>2008</v>
      </c>
      <c r="E228" s="27">
        <v>5</v>
      </c>
      <c r="F228" s="27" t="s">
        <v>104</v>
      </c>
      <c r="G228" s="27" t="s">
        <v>98</v>
      </c>
      <c r="H228" s="27">
        <v>20</v>
      </c>
      <c r="I228" s="27">
        <v>29</v>
      </c>
      <c r="J228" s="27" t="s">
        <v>110</v>
      </c>
      <c r="K228" s="27" t="s">
        <v>132</v>
      </c>
    </row>
    <row r="229" spans="1:11" x14ac:dyDescent="0.2">
      <c r="A229" s="27" t="s">
        <v>165</v>
      </c>
      <c r="B229" s="27" t="s">
        <v>169</v>
      </c>
      <c r="C229" s="27">
        <v>1.8</v>
      </c>
      <c r="D229" s="27">
        <v>1999</v>
      </c>
      <c r="E229" s="27">
        <v>4</v>
      </c>
      <c r="F229" s="27" t="s">
        <v>100</v>
      </c>
      <c r="G229" s="27" t="s">
        <v>98</v>
      </c>
      <c r="H229" s="27">
        <v>21</v>
      </c>
      <c r="I229" s="27">
        <v>29</v>
      </c>
      <c r="J229" s="27" t="s">
        <v>6</v>
      </c>
      <c r="K229" s="27" t="s">
        <v>106</v>
      </c>
    </row>
    <row r="230" spans="1:11" x14ac:dyDescent="0.2">
      <c r="A230" s="27" t="s">
        <v>165</v>
      </c>
      <c r="B230" s="27" t="s">
        <v>169</v>
      </c>
      <c r="C230" s="27">
        <v>1.8</v>
      </c>
      <c r="D230" s="27">
        <v>1999</v>
      </c>
      <c r="E230" s="27">
        <v>4</v>
      </c>
      <c r="F230" s="27" t="s">
        <v>97</v>
      </c>
      <c r="G230" s="27" t="s">
        <v>98</v>
      </c>
      <c r="H230" s="27">
        <v>18</v>
      </c>
      <c r="I230" s="27">
        <v>29</v>
      </c>
      <c r="J230" s="27" t="s">
        <v>6</v>
      </c>
      <c r="K230" s="27" t="s">
        <v>106</v>
      </c>
    </row>
    <row r="231" spans="1:11" x14ac:dyDescent="0.2">
      <c r="A231" s="27" t="s">
        <v>165</v>
      </c>
      <c r="B231" s="27" t="s">
        <v>169</v>
      </c>
      <c r="C231" s="27">
        <v>2</v>
      </c>
      <c r="D231" s="27">
        <v>2008</v>
      </c>
      <c r="E231" s="27">
        <v>4</v>
      </c>
      <c r="F231" s="27" t="s">
        <v>104</v>
      </c>
      <c r="G231" s="27" t="s">
        <v>98</v>
      </c>
      <c r="H231" s="27">
        <v>19</v>
      </c>
      <c r="I231" s="27">
        <v>28</v>
      </c>
      <c r="J231" s="27" t="s">
        <v>6</v>
      </c>
      <c r="K231" s="27" t="s">
        <v>106</v>
      </c>
    </row>
    <row r="232" spans="1:11" x14ac:dyDescent="0.2">
      <c r="A232" s="27" t="s">
        <v>165</v>
      </c>
      <c r="B232" s="27" t="s">
        <v>169</v>
      </c>
      <c r="C232" s="27">
        <v>2</v>
      </c>
      <c r="D232" s="27">
        <v>2008</v>
      </c>
      <c r="E232" s="27">
        <v>4</v>
      </c>
      <c r="F232" s="27" t="s">
        <v>101</v>
      </c>
      <c r="G232" s="27" t="s">
        <v>98</v>
      </c>
      <c r="H232" s="27">
        <v>21</v>
      </c>
      <c r="I232" s="27">
        <v>29</v>
      </c>
      <c r="J232" s="27" t="s">
        <v>6</v>
      </c>
      <c r="K232" s="27" t="s">
        <v>106</v>
      </c>
    </row>
    <row r="233" spans="1:11" x14ac:dyDescent="0.2">
      <c r="A233" s="27" t="s">
        <v>165</v>
      </c>
      <c r="B233" s="27" t="s">
        <v>169</v>
      </c>
      <c r="C233" s="27">
        <v>2.8</v>
      </c>
      <c r="D233" s="27">
        <v>1999</v>
      </c>
      <c r="E233" s="27">
        <v>6</v>
      </c>
      <c r="F233" s="27" t="s">
        <v>97</v>
      </c>
      <c r="G233" s="27" t="s">
        <v>98</v>
      </c>
      <c r="H233" s="27">
        <v>16</v>
      </c>
      <c r="I233" s="27">
        <v>26</v>
      </c>
      <c r="J233" s="27" t="s">
        <v>6</v>
      </c>
      <c r="K233" s="27" t="s">
        <v>106</v>
      </c>
    </row>
    <row r="234" spans="1:11" x14ac:dyDescent="0.2">
      <c r="A234" s="27" t="s">
        <v>165</v>
      </c>
      <c r="B234" s="27" t="s">
        <v>169</v>
      </c>
      <c r="C234" s="27">
        <v>2.8</v>
      </c>
      <c r="D234" s="27">
        <v>1999</v>
      </c>
      <c r="E234" s="27">
        <v>6</v>
      </c>
      <c r="F234" s="27" t="s">
        <v>100</v>
      </c>
      <c r="G234" s="27" t="s">
        <v>98</v>
      </c>
      <c r="H234" s="27">
        <v>18</v>
      </c>
      <c r="I234" s="27">
        <v>26</v>
      </c>
      <c r="J234" s="27" t="s">
        <v>6</v>
      </c>
      <c r="K234" s="27" t="s">
        <v>106</v>
      </c>
    </row>
    <row r="235" spans="1:11" x14ac:dyDescent="0.2">
      <c r="A235" s="27" t="s">
        <v>165</v>
      </c>
      <c r="B235" s="27" t="s">
        <v>169</v>
      </c>
      <c r="C235" s="27">
        <v>3.6</v>
      </c>
      <c r="D235" s="27">
        <v>2008</v>
      </c>
      <c r="E235" s="27">
        <v>6</v>
      </c>
      <c r="F235" s="27" t="s">
        <v>104</v>
      </c>
      <c r="G235" s="27" t="s">
        <v>98</v>
      </c>
      <c r="H235" s="27">
        <v>17</v>
      </c>
      <c r="I235" s="27">
        <v>26</v>
      </c>
      <c r="J235" s="27" t="s">
        <v>6</v>
      </c>
      <c r="K235" s="27" t="s">
        <v>106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2" x14ac:dyDescent="0.2">
      <c r="A1" s="27" t="s">
        <v>91</v>
      </c>
      <c r="B1" s="27" t="s">
        <v>170</v>
      </c>
      <c r="C1" s="27"/>
      <c r="D1" s="28" t="s">
        <v>171</v>
      </c>
      <c r="E1" s="28" t="s">
        <v>172</v>
      </c>
      <c r="F1" s="28" t="s">
        <v>173</v>
      </c>
      <c r="G1" s="28" t="s">
        <v>175</v>
      </c>
      <c r="H1" s="28" t="s">
        <v>174</v>
      </c>
      <c r="I1" s="28" t="s">
        <v>177</v>
      </c>
      <c r="J1" s="28" t="s">
        <v>6</v>
      </c>
      <c r="K1" s="28" t="s">
        <v>176</v>
      </c>
      <c r="L1" s="28"/>
    </row>
    <row r="2" spans="1:12" x14ac:dyDescent="0.2">
      <c r="A2" s="27">
        <v>18</v>
      </c>
      <c r="B2" s="27">
        <v>1</v>
      </c>
      <c r="C2" s="27"/>
      <c r="D2" s="28" cm="1">
        <f t="array" ref="D2:D235">TREND(A2:A235,B2:B235,B2:B235,FALSE)</f>
        <v>16.858974358974358</v>
      </c>
      <c r="E2" s="28">
        <f>D2-A2</f>
        <v>-1.1410256410256423</v>
      </c>
      <c r="F2" s="28">
        <f>STDEV(E2:E235)</f>
        <v>4.2559456788893932</v>
      </c>
      <c r="G2" s="28">
        <f>_xlfn.NORM.DIST(E2,0,$F$2,FALSE)</f>
        <v>9.0428595220514676E-2</v>
      </c>
      <c r="H2" s="28" cm="1">
        <f t="array" ref="H2">SUM(LN(G2:G235))</f>
        <v>-670.43779208802937</v>
      </c>
      <c r="I2" s="28">
        <f>COUNT(A2:A235)</f>
        <v>234</v>
      </c>
      <c r="J2" s="28">
        <v>1</v>
      </c>
      <c r="K2" s="28">
        <f>-2*H2+2*J2</f>
        <v>1342.8755841760587</v>
      </c>
      <c r="L2" s="28"/>
    </row>
    <row r="3" spans="1:12" x14ac:dyDescent="0.2">
      <c r="A3" s="27">
        <v>21</v>
      </c>
      <c r="B3" s="27">
        <v>1</v>
      </c>
      <c r="C3" s="27"/>
      <c r="D3" s="28">
        <v>16.858974358974358</v>
      </c>
      <c r="E3" s="28">
        <f t="shared" ref="E3:E66" si="0">D3-A3</f>
        <v>-4.1410256410256423</v>
      </c>
      <c r="G3" s="28">
        <f t="shared" ref="G3:G66" si="1">_xlfn.NORM.DIST(E3,0,$F$2,FALSE)</f>
        <v>5.8389578885814829E-2</v>
      </c>
      <c r="L3" s="28"/>
    </row>
    <row r="4" spans="1:12" x14ac:dyDescent="0.2">
      <c r="A4" s="27">
        <v>20</v>
      </c>
      <c r="B4" s="27">
        <v>1</v>
      </c>
      <c r="C4" s="27"/>
      <c r="D4" s="28">
        <v>16.858974358974358</v>
      </c>
      <c r="E4" s="28">
        <f t="shared" si="0"/>
        <v>-3.1410256410256423</v>
      </c>
      <c r="G4" s="28">
        <f t="shared" si="1"/>
        <v>7.138971945227178E-2</v>
      </c>
      <c r="H4" s="28" t="s">
        <v>178</v>
      </c>
      <c r="I4" s="28" t="s">
        <v>179</v>
      </c>
      <c r="L4" s="28"/>
    </row>
    <row r="5" spans="1:12" x14ac:dyDescent="0.2">
      <c r="A5" s="27">
        <v>21</v>
      </c>
      <c r="B5" s="27">
        <v>1</v>
      </c>
      <c r="C5" s="27"/>
      <c r="D5" s="28">
        <v>16.858974358974358</v>
      </c>
      <c r="E5" s="28">
        <f t="shared" si="0"/>
        <v>-4.1410256410256423</v>
      </c>
      <c r="G5" s="28">
        <f t="shared" si="1"/>
        <v>5.8389578885814829E-2</v>
      </c>
      <c r="H5" s="28">
        <f>SUMSQ(E2:E235)</f>
        <v>4220.3461538461506</v>
      </c>
      <c r="I5" s="28">
        <f>H5/I2</f>
        <v>18.035667324128848</v>
      </c>
      <c r="L5" s="28"/>
    </row>
    <row r="6" spans="1:12" x14ac:dyDescent="0.2">
      <c r="A6" s="27">
        <v>16</v>
      </c>
      <c r="B6" s="27">
        <v>1</v>
      </c>
      <c r="C6" s="27"/>
      <c r="D6" s="28">
        <v>16.858974358974358</v>
      </c>
      <c r="E6" s="28">
        <f t="shared" si="0"/>
        <v>0.8589743589743577</v>
      </c>
      <c r="G6" s="28">
        <f t="shared" si="1"/>
        <v>9.1847742433773194E-2</v>
      </c>
      <c r="L6" s="28"/>
    </row>
    <row r="7" spans="1:12" x14ac:dyDescent="0.2">
      <c r="A7" s="27">
        <v>18</v>
      </c>
      <c r="B7" s="27">
        <v>1</v>
      </c>
      <c r="C7" s="27"/>
      <c r="D7" s="28">
        <v>16.858974358974358</v>
      </c>
      <c r="E7" s="28">
        <f t="shared" si="0"/>
        <v>-1.1410256410256423</v>
      </c>
      <c r="G7" s="28">
        <f t="shared" si="1"/>
        <v>9.0428595220514676E-2</v>
      </c>
      <c r="H7" s="28" t="s">
        <v>181</v>
      </c>
      <c r="K7" s="28" t="s">
        <v>183</v>
      </c>
      <c r="L7" s="28"/>
    </row>
    <row r="8" spans="1:12" x14ac:dyDescent="0.2">
      <c r="A8" s="27">
        <v>18</v>
      </c>
      <c r="B8" s="27">
        <v>1</v>
      </c>
      <c r="C8" s="27"/>
      <c r="D8" s="28">
        <v>16.858974358974358</v>
      </c>
      <c r="E8" s="28">
        <f t="shared" si="0"/>
        <v>-1.1410256410256423</v>
      </c>
      <c r="G8" s="28">
        <f t="shared" si="1"/>
        <v>9.0428595220514676E-2</v>
      </c>
      <c r="H8" s="28">
        <f>I2*LN(I5)</f>
        <v>676.81020777694471</v>
      </c>
      <c r="K8" s="28">
        <f>H8+2*J2</f>
        <v>678.81020777694471</v>
      </c>
      <c r="L8" s="28"/>
    </row>
    <row r="9" spans="1:12" x14ac:dyDescent="0.2">
      <c r="A9" s="27">
        <v>18</v>
      </c>
      <c r="B9" s="27">
        <v>1</v>
      </c>
      <c r="C9" s="27"/>
      <c r="D9" s="28">
        <v>16.858974358974358</v>
      </c>
      <c r="E9" s="28">
        <f t="shared" si="0"/>
        <v>-1.1410256410256423</v>
      </c>
      <c r="G9" s="28">
        <f t="shared" si="1"/>
        <v>9.0428595220514676E-2</v>
      </c>
      <c r="L9" s="28"/>
    </row>
    <row r="10" spans="1:12" x14ac:dyDescent="0.2">
      <c r="A10" s="27">
        <v>16</v>
      </c>
      <c r="B10" s="27">
        <v>1</v>
      </c>
      <c r="C10" s="27"/>
      <c r="D10" s="28">
        <v>16.858974358974358</v>
      </c>
      <c r="E10" s="28">
        <f t="shared" si="0"/>
        <v>0.8589743589743577</v>
      </c>
      <c r="G10" s="28">
        <f t="shared" si="1"/>
        <v>9.1847742433773194E-2</v>
      </c>
      <c r="H10" s="28" t="s">
        <v>182</v>
      </c>
      <c r="L10" s="28"/>
    </row>
    <row r="11" spans="1:12" x14ac:dyDescent="0.2">
      <c r="A11" s="27">
        <v>20</v>
      </c>
      <c r="B11" s="27">
        <v>1</v>
      </c>
      <c r="C11" s="27"/>
      <c r="D11" s="28">
        <v>16.858974358974358</v>
      </c>
      <c r="E11" s="28">
        <f t="shared" si="0"/>
        <v>-3.1410256410256423</v>
      </c>
      <c r="G11" s="28">
        <f t="shared" si="1"/>
        <v>7.138971945227178E-2</v>
      </c>
      <c r="H11" s="28">
        <f>I2*LN(2*PI())</f>
        <v>430.06323353978684</v>
      </c>
      <c r="L11" s="28"/>
    </row>
    <row r="12" spans="1:12" x14ac:dyDescent="0.2">
      <c r="A12" s="27">
        <v>19</v>
      </c>
      <c r="B12" s="27">
        <v>1</v>
      </c>
      <c r="C12" s="27"/>
      <c r="D12" s="28">
        <v>16.858974358974358</v>
      </c>
      <c r="E12" s="28">
        <f t="shared" si="0"/>
        <v>-2.1410256410256423</v>
      </c>
      <c r="G12" s="28">
        <f t="shared" si="1"/>
        <v>8.2596026638649928E-2</v>
      </c>
      <c r="L12" s="28"/>
    </row>
    <row r="13" spans="1:12" x14ac:dyDescent="0.2">
      <c r="A13" s="27">
        <v>15</v>
      </c>
      <c r="B13" s="27">
        <v>1</v>
      </c>
      <c r="C13" s="27"/>
      <c r="D13" s="28">
        <v>16.858974358974358</v>
      </c>
      <c r="E13" s="28">
        <f t="shared" si="0"/>
        <v>1.8589743589743577</v>
      </c>
      <c r="G13" s="28">
        <f t="shared" si="1"/>
        <v>8.5208821600122359E-2</v>
      </c>
      <c r="H13" s="28" t="s">
        <v>180</v>
      </c>
      <c r="K13" s="28" t="s">
        <v>176</v>
      </c>
      <c r="L13" s="28"/>
    </row>
    <row r="14" spans="1:12" x14ac:dyDescent="0.2">
      <c r="A14" s="27">
        <v>17</v>
      </c>
      <c r="B14" s="27">
        <v>1</v>
      </c>
      <c r="C14" s="27"/>
      <c r="D14" s="28">
        <v>16.858974358974358</v>
      </c>
      <c r="E14" s="28">
        <f t="shared" si="0"/>
        <v>-0.1410256410256423</v>
      </c>
      <c r="G14" s="28">
        <f t="shared" si="1"/>
        <v>9.3686186441259228E-2</v>
      </c>
      <c r="H14" s="28">
        <f>H8+H11+I2</f>
        <v>1340.8734413167315</v>
      </c>
      <c r="K14" s="28">
        <f>H14+2*J2</f>
        <v>1342.8734413167315</v>
      </c>
      <c r="L14" s="28"/>
    </row>
    <row r="15" spans="1:12" x14ac:dyDescent="0.2">
      <c r="A15" s="27">
        <v>17</v>
      </c>
      <c r="B15" s="27">
        <v>1</v>
      </c>
      <c r="C15" s="27"/>
      <c r="D15" s="28">
        <v>16.858974358974358</v>
      </c>
      <c r="E15" s="28">
        <f t="shared" si="0"/>
        <v>-0.1410256410256423</v>
      </c>
      <c r="G15" s="28">
        <f t="shared" si="1"/>
        <v>9.3686186441259228E-2</v>
      </c>
      <c r="L15" s="28"/>
    </row>
    <row r="16" spans="1:12" x14ac:dyDescent="0.2">
      <c r="A16" s="27">
        <v>15</v>
      </c>
      <c r="B16" s="27">
        <v>1</v>
      </c>
      <c r="C16" s="27"/>
      <c r="D16" s="28">
        <v>16.858974358974358</v>
      </c>
      <c r="E16" s="28">
        <f t="shared" si="0"/>
        <v>1.8589743589743577</v>
      </c>
      <c r="G16" s="28">
        <f t="shared" si="1"/>
        <v>8.5208821600122359E-2</v>
      </c>
      <c r="L16" s="28"/>
    </row>
    <row r="17" spans="1:12" x14ac:dyDescent="0.2">
      <c r="A17" s="27">
        <v>15</v>
      </c>
      <c r="B17" s="27">
        <v>1</v>
      </c>
      <c r="C17" s="27"/>
      <c r="D17" s="28">
        <v>16.858974358974358</v>
      </c>
      <c r="E17" s="28">
        <f t="shared" si="0"/>
        <v>1.8589743589743577</v>
      </c>
      <c r="G17" s="28">
        <f t="shared" si="1"/>
        <v>8.5208821600122359E-2</v>
      </c>
      <c r="L17" s="28"/>
    </row>
    <row r="18" spans="1:12" x14ac:dyDescent="0.2">
      <c r="A18" s="27">
        <v>17</v>
      </c>
      <c r="B18" s="27">
        <v>1</v>
      </c>
      <c r="C18" s="27"/>
      <c r="D18" s="28">
        <v>16.858974358974358</v>
      </c>
      <c r="E18" s="28">
        <f t="shared" si="0"/>
        <v>-0.1410256410256423</v>
      </c>
      <c r="G18" s="28">
        <f t="shared" si="1"/>
        <v>9.3686186441259228E-2</v>
      </c>
      <c r="L18" s="28"/>
    </row>
    <row r="19" spans="1:12" x14ac:dyDescent="0.2">
      <c r="A19" s="27">
        <v>16</v>
      </c>
      <c r="B19" s="27">
        <v>1</v>
      </c>
      <c r="C19" s="27"/>
      <c r="D19" s="28">
        <v>16.858974358974358</v>
      </c>
      <c r="E19" s="28">
        <f t="shared" si="0"/>
        <v>0.8589743589743577</v>
      </c>
      <c r="G19" s="28">
        <f t="shared" si="1"/>
        <v>9.1847742433773194E-2</v>
      </c>
      <c r="L19" s="28"/>
    </row>
    <row r="20" spans="1:12" x14ac:dyDescent="0.2">
      <c r="A20" s="27">
        <v>14</v>
      </c>
      <c r="B20" s="27">
        <v>1</v>
      </c>
      <c r="C20" s="27"/>
      <c r="D20" s="28">
        <v>16.858974358974358</v>
      </c>
      <c r="E20" s="28">
        <f t="shared" si="0"/>
        <v>2.8589743589743577</v>
      </c>
      <c r="G20" s="28">
        <f t="shared" si="1"/>
        <v>7.4803820711623142E-2</v>
      </c>
      <c r="L20" s="28"/>
    </row>
    <row r="21" spans="1:12" x14ac:dyDescent="0.2">
      <c r="A21" s="27">
        <v>11</v>
      </c>
      <c r="B21" s="27">
        <v>1</v>
      </c>
      <c r="C21" s="27"/>
      <c r="D21" s="28">
        <v>16.858974358974358</v>
      </c>
      <c r="E21" s="28">
        <f t="shared" si="0"/>
        <v>5.8589743589743577</v>
      </c>
      <c r="G21" s="28">
        <f t="shared" si="1"/>
        <v>3.6339616015446226E-2</v>
      </c>
      <c r="L21" s="28"/>
    </row>
    <row r="22" spans="1:12" x14ac:dyDescent="0.2">
      <c r="A22" s="27">
        <v>14</v>
      </c>
      <c r="B22" s="27">
        <v>1</v>
      </c>
      <c r="C22" s="27"/>
      <c r="D22" s="28">
        <v>16.858974358974358</v>
      </c>
      <c r="E22" s="28">
        <f t="shared" si="0"/>
        <v>2.8589743589743577</v>
      </c>
      <c r="G22" s="28">
        <f t="shared" si="1"/>
        <v>7.4803820711623142E-2</v>
      </c>
      <c r="L22" s="28"/>
    </row>
    <row r="23" spans="1:12" x14ac:dyDescent="0.2">
      <c r="A23" s="27">
        <v>13</v>
      </c>
      <c r="B23" s="27">
        <v>1</v>
      </c>
      <c r="C23" s="27"/>
      <c r="D23" s="28">
        <v>16.858974358974358</v>
      </c>
      <c r="E23" s="28">
        <f t="shared" si="0"/>
        <v>3.8589743589743577</v>
      </c>
      <c r="G23" s="28">
        <f t="shared" si="1"/>
        <v>6.2142132155231941E-2</v>
      </c>
      <c r="L23" s="28"/>
    </row>
    <row r="24" spans="1:12" x14ac:dyDescent="0.2">
      <c r="A24" s="27">
        <v>12</v>
      </c>
      <c r="B24" s="27">
        <v>1</v>
      </c>
      <c r="C24" s="27"/>
      <c r="D24" s="28">
        <v>16.858974358974358</v>
      </c>
      <c r="E24" s="28">
        <f t="shared" si="0"/>
        <v>4.8589743589743577</v>
      </c>
      <c r="G24" s="28">
        <f t="shared" si="1"/>
        <v>4.8850798619149906E-2</v>
      </c>
      <c r="L24" s="28"/>
    </row>
    <row r="25" spans="1:12" x14ac:dyDescent="0.2">
      <c r="A25" s="27">
        <v>16</v>
      </c>
      <c r="B25" s="27">
        <v>1</v>
      </c>
      <c r="C25" s="27"/>
      <c r="D25" s="28">
        <v>16.858974358974358</v>
      </c>
      <c r="E25" s="28">
        <f t="shared" si="0"/>
        <v>0.8589743589743577</v>
      </c>
      <c r="G25" s="28">
        <f t="shared" si="1"/>
        <v>9.1847742433773194E-2</v>
      </c>
      <c r="L25" s="28"/>
    </row>
    <row r="26" spans="1:12" x14ac:dyDescent="0.2">
      <c r="A26" s="27">
        <v>15</v>
      </c>
      <c r="B26" s="27">
        <v>1</v>
      </c>
      <c r="C26" s="27"/>
      <c r="D26" s="28">
        <v>16.858974358974358</v>
      </c>
      <c r="E26" s="28">
        <f t="shared" si="0"/>
        <v>1.8589743589743577</v>
      </c>
      <c r="G26" s="28">
        <f t="shared" si="1"/>
        <v>8.5208821600122359E-2</v>
      </c>
      <c r="L26" s="28"/>
    </row>
    <row r="27" spans="1:12" x14ac:dyDescent="0.2">
      <c r="A27" s="27">
        <v>16</v>
      </c>
      <c r="B27" s="27">
        <v>1</v>
      </c>
      <c r="C27" s="27"/>
      <c r="D27" s="28">
        <v>16.858974358974358</v>
      </c>
      <c r="E27" s="28">
        <f t="shared" si="0"/>
        <v>0.8589743589743577</v>
      </c>
      <c r="G27" s="28">
        <f t="shared" si="1"/>
        <v>9.1847742433773194E-2</v>
      </c>
      <c r="L27" s="28"/>
    </row>
    <row r="28" spans="1:12" x14ac:dyDescent="0.2">
      <c r="A28" s="27">
        <v>15</v>
      </c>
      <c r="B28" s="27">
        <v>1</v>
      </c>
      <c r="C28" s="27"/>
      <c r="D28" s="28">
        <v>16.858974358974358</v>
      </c>
      <c r="E28" s="28">
        <f t="shared" si="0"/>
        <v>1.8589743589743577</v>
      </c>
      <c r="G28" s="28">
        <f t="shared" si="1"/>
        <v>8.5208821600122359E-2</v>
      </c>
      <c r="L28" s="28"/>
    </row>
    <row r="29" spans="1:12" x14ac:dyDescent="0.2">
      <c r="A29" s="27">
        <v>15</v>
      </c>
      <c r="B29" s="27">
        <v>1</v>
      </c>
      <c r="C29" s="27"/>
      <c r="D29" s="28">
        <v>16.858974358974358</v>
      </c>
      <c r="E29" s="28">
        <f t="shared" si="0"/>
        <v>1.8589743589743577</v>
      </c>
      <c r="G29" s="28">
        <f t="shared" si="1"/>
        <v>8.5208821600122359E-2</v>
      </c>
      <c r="L29" s="28"/>
    </row>
    <row r="30" spans="1:12" x14ac:dyDescent="0.2">
      <c r="A30" s="27">
        <v>14</v>
      </c>
      <c r="B30" s="27">
        <v>1</v>
      </c>
      <c r="C30" s="27"/>
      <c r="D30" s="28">
        <v>16.858974358974358</v>
      </c>
      <c r="E30" s="28">
        <f t="shared" si="0"/>
        <v>2.8589743589743577</v>
      </c>
      <c r="G30" s="28">
        <f t="shared" si="1"/>
        <v>7.4803820711623142E-2</v>
      </c>
      <c r="L30" s="28"/>
    </row>
    <row r="31" spans="1:12" x14ac:dyDescent="0.2">
      <c r="A31" s="27">
        <v>11</v>
      </c>
      <c r="B31" s="27">
        <v>1</v>
      </c>
      <c r="C31" s="27"/>
      <c r="D31" s="28">
        <v>16.858974358974358</v>
      </c>
      <c r="E31" s="28">
        <f t="shared" si="0"/>
        <v>5.8589743589743577</v>
      </c>
      <c r="G31" s="28">
        <f t="shared" si="1"/>
        <v>3.6339616015446226E-2</v>
      </c>
      <c r="L31" s="28"/>
    </row>
    <row r="32" spans="1:12" x14ac:dyDescent="0.2">
      <c r="A32" s="27">
        <v>11</v>
      </c>
      <c r="B32" s="27">
        <v>1</v>
      </c>
      <c r="C32" s="27"/>
      <c r="D32" s="28">
        <v>16.858974358974358</v>
      </c>
      <c r="E32" s="28">
        <f t="shared" si="0"/>
        <v>5.8589743589743577</v>
      </c>
      <c r="G32" s="28">
        <f t="shared" si="1"/>
        <v>3.6339616015446226E-2</v>
      </c>
      <c r="L32" s="28"/>
    </row>
    <row r="33" spans="1:12" x14ac:dyDescent="0.2">
      <c r="A33" s="27">
        <v>14</v>
      </c>
      <c r="B33" s="27">
        <v>1</v>
      </c>
      <c r="C33" s="27"/>
      <c r="D33" s="28">
        <v>16.858974358974358</v>
      </c>
      <c r="E33" s="28">
        <f t="shared" si="0"/>
        <v>2.8589743589743577</v>
      </c>
      <c r="G33" s="28">
        <f t="shared" si="1"/>
        <v>7.4803820711623142E-2</v>
      </c>
      <c r="L33" s="28"/>
    </row>
    <row r="34" spans="1:12" x14ac:dyDescent="0.2">
      <c r="A34" s="27">
        <v>19</v>
      </c>
      <c r="B34" s="27">
        <v>1</v>
      </c>
      <c r="C34" s="27"/>
      <c r="D34" s="28">
        <v>16.858974358974358</v>
      </c>
      <c r="E34" s="28">
        <f t="shared" si="0"/>
        <v>-2.1410256410256423</v>
      </c>
      <c r="G34" s="28">
        <f t="shared" si="1"/>
        <v>8.2596026638649928E-2</v>
      </c>
      <c r="L34" s="28"/>
    </row>
    <row r="35" spans="1:12" x14ac:dyDescent="0.2">
      <c r="A35" s="27">
        <v>22</v>
      </c>
      <c r="B35" s="27">
        <v>1</v>
      </c>
      <c r="C35" s="27"/>
      <c r="D35" s="28">
        <v>16.858974358974358</v>
      </c>
      <c r="E35" s="28">
        <f t="shared" si="0"/>
        <v>-5.1410256410256423</v>
      </c>
      <c r="G35" s="28">
        <f t="shared" si="1"/>
        <v>4.5191645925457373E-2</v>
      </c>
      <c r="L35" s="28"/>
    </row>
    <row r="36" spans="1:12" x14ac:dyDescent="0.2">
      <c r="A36" s="27">
        <v>18</v>
      </c>
      <c r="B36" s="27">
        <v>1</v>
      </c>
      <c r="C36" s="27"/>
      <c r="D36" s="28">
        <v>16.858974358974358</v>
      </c>
      <c r="E36" s="28">
        <f t="shared" si="0"/>
        <v>-1.1410256410256423</v>
      </c>
      <c r="G36" s="28">
        <f t="shared" si="1"/>
        <v>9.0428595220514676E-2</v>
      </c>
      <c r="L36" s="28"/>
    </row>
    <row r="37" spans="1:12" x14ac:dyDescent="0.2">
      <c r="A37" s="27">
        <v>18</v>
      </c>
      <c r="B37" s="27">
        <v>1</v>
      </c>
      <c r="C37" s="27"/>
      <c r="D37" s="28">
        <v>16.858974358974358</v>
      </c>
      <c r="E37" s="28">
        <f t="shared" si="0"/>
        <v>-1.1410256410256423</v>
      </c>
      <c r="G37" s="28">
        <f t="shared" si="1"/>
        <v>9.0428595220514676E-2</v>
      </c>
      <c r="L37" s="28"/>
    </row>
    <row r="38" spans="1:12" x14ac:dyDescent="0.2">
      <c r="A38" s="27">
        <v>17</v>
      </c>
      <c r="B38" s="27">
        <v>1</v>
      </c>
      <c r="C38" s="27"/>
      <c r="D38" s="28">
        <v>16.858974358974358</v>
      </c>
      <c r="E38" s="28">
        <f t="shared" si="0"/>
        <v>-0.1410256410256423</v>
      </c>
      <c r="G38" s="28">
        <f t="shared" si="1"/>
        <v>9.3686186441259228E-2</v>
      </c>
      <c r="L38" s="28"/>
    </row>
    <row r="39" spans="1:12" x14ac:dyDescent="0.2">
      <c r="A39" s="27">
        <v>18</v>
      </c>
      <c r="B39" s="27">
        <v>1</v>
      </c>
      <c r="C39" s="27"/>
      <c r="D39" s="28">
        <v>16.858974358974358</v>
      </c>
      <c r="E39" s="28">
        <f t="shared" si="0"/>
        <v>-1.1410256410256423</v>
      </c>
      <c r="G39" s="28">
        <f t="shared" si="1"/>
        <v>9.0428595220514676E-2</v>
      </c>
      <c r="L39" s="28"/>
    </row>
    <row r="40" spans="1:12" x14ac:dyDescent="0.2">
      <c r="A40" s="27">
        <v>17</v>
      </c>
      <c r="B40" s="27">
        <v>1</v>
      </c>
      <c r="C40" s="27"/>
      <c r="D40" s="28">
        <v>16.858974358974358</v>
      </c>
      <c r="E40" s="28">
        <f t="shared" si="0"/>
        <v>-0.1410256410256423</v>
      </c>
      <c r="G40" s="28">
        <f t="shared" si="1"/>
        <v>9.3686186441259228E-2</v>
      </c>
      <c r="L40" s="28"/>
    </row>
    <row r="41" spans="1:12" x14ac:dyDescent="0.2">
      <c r="A41" s="27">
        <v>16</v>
      </c>
      <c r="B41" s="27">
        <v>1</v>
      </c>
      <c r="C41" s="27"/>
      <c r="D41" s="28">
        <v>16.858974358974358</v>
      </c>
      <c r="E41" s="28">
        <f t="shared" si="0"/>
        <v>0.8589743589743577</v>
      </c>
      <c r="G41" s="28">
        <f t="shared" si="1"/>
        <v>9.1847742433773194E-2</v>
      </c>
      <c r="L41" s="28"/>
    </row>
    <row r="42" spans="1:12" x14ac:dyDescent="0.2">
      <c r="A42" s="27">
        <v>16</v>
      </c>
      <c r="B42" s="27">
        <v>1</v>
      </c>
      <c r="C42" s="27"/>
      <c r="D42" s="28">
        <v>16.858974358974358</v>
      </c>
      <c r="E42" s="28">
        <f t="shared" si="0"/>
        <v>0.8589743589743577</v>
      </c>
      <c r="G42" s="28">
        <f t="shared" si="1"/>
        <v>9.1847742433773194E-2</v>
      </c>
      <c r="L42" s="28"/>
    </row>
    <row r="43" spans="1:12" x14ac:dyDescent="0.2">
      <c r="A43" s="27">
        <v>17</v>
      </c>
      <c r="B43" s="27">
        <v>1</v>
      </c>
      <c r="C43" s="27"/>
      <c r="D43" s="28">
        <v>16.858974358974358</v>
      </c>
      <c r="E43" s="28">
        <f t="shared" si="0"/>
        <v>-0.1410256410256423</v>
      </c>
      <c r="G43" s="28">
        <f t="shared" si="1"/>
        <v>9.3686186441259228E-2</v>
      </c>
      <c r="L43" s="28"/>
    </row>
    <row r="44" spans="1:12" x14ac:dyDescent="0.2">
      <c r="A44" s="27">
        <v>17</v>
      </c>
      <c r="B44" s="27">
        <v>1</v>
      </c>
      <c r="C44" s="27"/>
      <c r="D44" s="28">
        <v>16.858974358974358</v>
      </c>
      <c r="E44" s="28">
        <f t="shared" si="0"/>
        <v>-0.1410256410256423</v>
      </c>
      <c r="G44" s="28">
        <f t="shared" si="1"/>
        <v>9.3686186441259228E-2</v>
      </c>
      <c r="L44" s="28"/>
    </row>
    <row r="45" spans="1:12" x14ac:dyDescent="0.2">
      <c r="A45" s="27">
        <v>11</v>
      </c>
      <c r="B45" s="27">
        <v>1</v>
      </c>
      <c r="C45" s="27"/>
      <c r="D45" s="28">
        <v>16.858974358974358</v>
      </c>
      <c r="E45" s="28">
        <f t="shared" si="0"/>
        <v>5.8589743589743577</v>
      </c>
      <c r="G45" s="28">
        <f t="shared" si="1"/>
        <v>3.6339616015446226E-2</v>
      </c>
      <c r="L45" s="28"/>
    </row>
    <row r="46" spans="1:12" x14ac:dyDescent="0.2">
      <c r="A46" s="27">
        <v>15</v>
      </c>
      <c r="B46" s="27">
        <v>1</v>
      </c>
      <c r="C46" s="27"/>
      <c r="D46" s="28">
        <v>16.858974358974358</v>
      </c>
      <c r="E46" s="28">
        <f t="shared" si="0"/>
        <v>1.8589743589743577</v>
      </c>
      <c r="G46" s="28">
        <f t="shared" si="1"/>
        <v>8.5208821600122359E-2</v>
      </c>
      <c r="L46" s="28"/>
    </row>
    <row r="47" spans="1:12" x14ac:dyDescent="0.2">
      <c r="A47" s="27">
        <v>15</v>
      </c>
      <c r="B47" s="27">
        <v>1</v>
      </c>
      <c r="C47" s="27"/>
      <c r="D47" s="28">
        <v>16.858974358974358</v>
      </c>
      <c r="E47" s="28">
        <f t="shared" si="0"/>
        <v>1.8589743589743577</v>
      </c>
      <c r="G47" s="28">
        <f t="shared" si="1"/>
        <v>8.5208821600122359E-2</v>
      </c>
      <c r="L47" s="28"/>
    </row>
    <row r="48" spans="1:12" x14ac:dyDescent="0.2">
      <c r="A48" s="27">
        <v>16</v>
      </c>
      <c r="B48" s="27">
        <v>1</v>
      </c>
      <c r="C48" s="27"/>
      <c r="D48" s="28">
        <v>16.858974358974358</v>
      </c>
      <c r="E48" s="28">
        <f t="shared" si="0"/>
        <v>0.8589743589743577</v>
      </c>
      <c r="G48" s="28">
        <f t="shared" si="1"/>
        <v>9.1847742433773194E-2</v>
      </c>
      <c r="L48" s="28"/>
    </row>
    <row r="49" spans="1:12" x14ac:dyDescent="0.2">
      <c r="A49" s="27">
        <v>16</v>
      </c>
      <c r="B49" s="27">
        <v>1</v>
      </c>
      <c r="C49" s="27"/>
      <c r="D49" s="28">
        <v>16.858974358974358</v>
      </c>
      <c r="E49" s="28">
        <f t="shared" si="0"/>
        <v>0.8589743589743577</v>
      </c>
      <c r="G49" s="28">
        <f t="shared" si="1"/>
        <v>9.1847742433773194E-2</v>
      </c>
      <c r="L49" s="28"/>
    </row>
    <row r="50" spans="1:12" x14ac:dyDescent="0.2">
      <c r="A50" s="27">
        <v>15</v>
      </c>
      <c r="B50" s="27">
        <v>1</v>
      </c>
      <c r="C50" s="27"/>
      <c r="D50" s="28">
        <v>16.858974358974358</v>
      </c>
      <c r="E50" s="28">
        <f t="shared" si="0"/>
        <v>1.8589743589743577</v>
      </c>
      <c r="G50" s="28">
        <f t="shared" si="1"/>
        <v>8.5208821600122359E-2</v>
      </c>
      <c r="L50" s="28"/>
    </row>
    <row r="51" spans="1:12" x14ac:dyDescent="0.2">
      <c r="A51" s="27">
        <v>14</v>
      </c>
      <c r="B51" s="27">
        <v>1</v>
      </c>
      <c r="C51" s="27"/>
      <c r="D51" s="28">
        <v>16.858974358974358</v>
      </c>
      <c r="E51" s="28">
        <f t="shared" si="0"/>
        <v>2.8589743589743577</v>
      </c>
      <c r="G51" s="28">
        <f t="shared" si="1"/>
        <v>7.4803820711623142E-2</v>
      </c>
      <c r="L51" s="28"/>
    </row>
    <row r="52" spans="1:12" x14ac:dyDescent="0.2">
      <c r="A52" s="27">
        <v>13</v>
      </c>
      <c r="B52" s="27">
        <v>1</v>
      </c>
      <c r="C52" s="27"/>
      <c r="D52" s="28">
        <v>16.858974358974358</v>
      </c>
      <c r="E52" s="28">
        <f t="shared" si="0"/>
        <v>3.8589743589743577</v>
      </c>
      <c r="G52" s="28">
        <f t="shared" si="1"/>
        <v>6.2142132155231941E-2</v>
      </c>
      <c r="L52" s="28"/>
    </row>
    <row r="53" spans="1:12" x14ac:dyDescent="0.2">
      <c r="A53" s="27">
        <v>14</v>
      </c>
      <c r="B53" s="27">
        <v>1</v>
      </c>
      <c r="C53" s="27"/>
      <c r="D53" s="28">
        <v>16.858974358974358</v>
      </c>
      <c r="E53" s="28">
        <f t="shared" si="0"/>
        <v>2.8589743589743577</v>
      </c>
      <c r="G53" s="28">
        <f t="shared" si="1"/>
        <v>7.4803820711623142E-2</v>
      </c>
      <c r="L53" s="28"/>
    </row>
    <row r="54" spans="1:12" x14ac:dyDescent="0.2">
      <c r="A54" s="27">
        <v>14</v>
      </c>
      <c r="B54" s="27">
        <v>1</v>
      </c>
      <c r="C54" s="27"/>
      <c r="D54" s="28">
        <v>16.858974358974358</v>
      </c>
      <c r="E54" s="28">
        <f t="shared" si="0"/>
        <v>2.8589743589743577</v>
      </c>
      <c r="G54" s="28">
        <f t="shared" si="1"/>
        <v>7.4803820711623142E-2</v>
      </c>
      <c r="L54" s="28"/>
    </row>
    <row r="55" spans="1:12" x14ac:dyDescent="0.2">
      <c r="A55" s="27">
        <v>14</v>
      </c>
      <c r="B55" s="27">
        <v>1</v>
      </c>
      <c r="C55" s="27"/>
      <c r="D55" s="28">
        <v>16.858974358974358</v>
      </c>
      <c r="E55" s="28">
        <f t="shared" si="0"/>
        <v>2.8589743589743577</v>
      </c>
      <c r="G55" s="28">
        <f t="shared" si="1"/>
        <v>7.4803820711623142E-2</v>
      </c>
      <c r="L55" s="28"/>
    </row>
    <row r="56" spans="1:12" x14ac:dyDescent="0.2">
      <c r="A56" s="27">
        <v>9</v>
      </c>
      <c r="B56" s="27">
        <v>1</v>
      </c>
      <c r="C56" s="27"/>
      <c r="D56" s="28">
        <v>16.858974358974358</v>
      </c>
      <c r="E56" s="28">
        <f t="shared" si="0"/>
        <v>7.8589743589743577</v>
      </c>
      <c r="G56" s="28">
        <f t="shared" si="1"/>
        <v>1.7039902700084295E-2</v>
      </c>
      <c r="L56" s="28"/>
    </row>
    <row r="57" spans="1:12" x14ac:dyDescent="0.2">
      <c r="A57" s="27">
        <v>11</v>
      </c>
      <c r="B57" s="27">
        <v>1</v>
      </c>
      <c r="C57" s="27"/>
      <c r="D57" s="28">
        <v>16.858974358974358</v>
      </c>
      <c r="E57" s="28">
        <f t="shared" si="0"/>
        <v>5.8589743589743577</v>
      </c>
      <c r="G57" s="28">
        <f t="shared" si="1"/>
        <v>3.6339616015446226E-2</v>
      </c>
      <c r="L57" s="28"/>
    </row>
    <row r="58" spans="1:12" x14ac:dyDescent="0.2">
      <c r="A58" s="27">
        <v>11</v>
      </c>
      <c r="B58" s="27">
        <v>1</v>
      </c>
      <c r="C58" s="27"/>
      <c r="D58" s="28">
        <v>16.858974358974358</v>
      </c>
      <c r="E58" s="28">
        <f t="shared" si="0"/>
        <v>5.8589743589743577</v>
      </c>
      <c r="G58" s="28">
        <f t="shared" si="1"/>
        <v>3.6339616015446226E-2</v>
      </c>
      <c r="L58" s="28"/>
    </row>
    <row r="59" spans="1:12" x14ac:dyDescent="0.2">
      <c r="A59" s="27">
        <v>13</v>
      </c>
      <c r="B59" s="27">
        <v>1</v>
      </c>
      <c r="C59" s="27"/>
      <c r="D59" s="28">
        <v>16.858974358974358</v>
      </c>
      <c r="E59" s="28">
        <f t="shared" si="0"/>
        <v>3.8589743589743577</v>
      </c>
      <c r="G59" s="28">
        <f t="shared" si="1"/>
        <v>6.2142132155231941E-2</v>
      </c>
      <c r="L59" s="28"/>
    </row>
    <row r="60" spans="1:12" x14ac:dyDescent="0.2">
      <c r="A60" s="27">
        <v>13</v>
      </c>
      <c r="B60" s="27">
        <v>1</v>
      </c>
      <c r="C60" s="27"/>
      <c r="D60" s="28">
        <v>16.858974358974358</v>
      </c>
      <c r="E60" s="28">
        <f t="shared" si="0"/>
        <v>3.8589743589743577</v>
      </c>
      <c r="G60" s="28">
        <f t="shared" si="1"/>
        <v>6.2142132155231941E-2</v>
      </c>
      <c r="L60" s="28"/>
    </row>
    <row r="61" spans="1:12" x14ac:dyDescent="0.2">
      <c r="A61" s="27">
        <v>9</v>
      </c>
      <c r="B61" s="27">
        <v>1</v>
      </c>
      <c r="C61" s="27"/>
      <c r="D61" s="28">
        <v>16.858974358974358</v>
      </c>
      <c r="E61" s="28">
        <f t="shared" si="0"/>
        <v>7.8589743589743577</v>
      </c>
      <c r="G61" s="28">
        <f t="shared" si="1"/>
        <v>1.7039902700084295E-2</v>
      </c>
      <c r="L61" s="28"/>
    </row>
    <row r="62" spans="1:12" x14ac:dyDescent="0.2">
      <c r="A62" s="27">
        <v>13</v>
      </c>
      <c r="B62" s="27">
        <v>1</v>
      </c>
      <c r="C62" s="27"/>
      <c r="D62" s="28">
        <v>16.858974358974358</v>
      </c>
      <c r="E62" s="28">
        <f t="shared" si="0"/>
        <v>3.8589743589743577</v>
      </c>
      <c r="G62" s="28">
        <f t="shared" si="1"/>
        <v>6.2142132155231941E-2</v>
      </c>
      <c r="L62" s="28"/>
    </row>
    <row r="63" spans="1:12" x14ac:dyDescent="0.2">
      <c r="A63" s="27">
        <v>11</v>
      </c>
      <c r="B63" s="27">
        <v>1</v>
      </c>
      <c r="C63" s="27"/>
      <c r="D63" s="28">
        <v>16.858974358974358</v>
      </c>
      <c r="E63" s="28">
        <f t="shared" si="0"/>
        <v>5.8589743589743577</v>
      </c>
      <c r="G63" s="28">
        <f t="shared" si="1"/>
        <v>3.6339616015446226E-2</v>
      </c>
      <c r="L63" s="28"/>
    </row>
    <row r="64" spans="1:12" x14ac:dyDescent="0.2">
      <c r="A64" s="27">
        <v>13</v>
      </c>
      <c r="B64" s="27">
        <v>1</v>
      </c>
      <c r="C64" s="27"/>
      <c r="D64" s="28">
        <v>16.858974358974358</v>
      </c>
      <c r="E64" s="28">
        <f t="shared" si="0"/>
        <v>3.8589743589743577</v>
      </c>
      <c r="G64" s="28">
        <f t="shared" si="1"/>
        <v>6.2142132155231941E-2</v>
      </c>
      <c r="L64" s="28"/>
    </row>
    <row r="65" spans="1:12" x14ac:dyDescent="0.2">
      <c r="A65" s="27">
        <v>11</v>
      </c>
      <c r="B65" s="27">
        <v>1</v>
      </c>
      <c r="C65" s="27"/>
      <c r="D65" s="28">
        <v>16.858974358974358</v>
      </c>
      <c r="E65" s="28">
        <f t="shared" si="0"/>
        <v>5.8589743589743577</v>
      </c>
      <c r="G65" s="28">
        <f t="shared" si="1"/>
        <v>3.6339616015446226E-2</v>
      </c>
      <c r="L65" s="28"/>
    </row>
    <row r="66" spans="1:12" x14ac:dyDescent="0.2">
      <c r="A66" s="27">
        <v>12</v>
      </c>
      <c r="B66" s="27">
        <v>1</v>
      </c>
      <c r="C66" s="27"/>
      <c r="D66" s="28">
        <v>16.858974358974358</v>
      </c>
      <c r="E66" s="28">
        <f t="shared" si="0"/>
        <v>4.8589743589743577</v>
      </c>
      <c r="G66" s="28">
        <f t="shared" si="1"/>
        <v>4.8850798619149906E-2</v>
      </c>
      <c r="L66" s="28"/>
    </row>
    <row r="67" spans="1:12" x14ac:dyDescent="0.2">
      <c r="A67" s="27">
        <v>9</v>
      </c>
      <c r="B67" s="27">
        <v>1</v>
      </c>
      <c r="C67" s="27"/>
      <c r="D67" s="28">
        <v>16.858974358974358</v>
      </c>
      <c r="E67" s="28">
        <f t="shared" ref="E67:E130" si="2">D67-A67</f>
        <v>7.8589743589743577</v>
      </c>
      <c r="G67" s="28">
        <f t="shared" ref="G67:G130" si="3">_xlfn.NORM.DIST(E67,0,$F$2,FALSE)</f>
        <v>1.7039902700084295E-2</v>
      </c>
      <c r="L67" s="28"/>
    </row>
    <row r="68" spans="1:12" x14ac:dyDescent="0.2">
      <c r="A68" s="27">
        <v>13</v>
      </c>
      <c r="B68" s="27">
        <v>1</v>
      </c>
      <c r="C68" s="27"/>
      <c r="D68" s="28">
        <v>16.858974358974358</v>
      </c>
      <c r="E68" s="28">
        <f t="shared" si="2"/>
        <v>3.8589743589743577</v>
      </c>
      <c r="G68" s="28">
        <f t="shared" si="3"/>
        <v>6.2142132155231941E-2</v>
      </c>
      <c r="L68" s="28"/>
    </row>
    <row r="69" spans="1:12" x14ac:dyDescent="0.2">
      <c r="A69" s="27">
        <v>13</v>
      </c>
      <c r="B69" s="27">
        <v>1</v>
      </c>
      <c r="C69" s="27"/>
      <c r="D69" s="28">
        <v>16.858974358974358</v>
      </c>
      <c r="E69" s="28">
        <f t="shared" si="2"/>
        <v>3.8589743589743577</v>
      </c>
      <c r="G69" s="28">
        <f t="shared" si="3"/>
        <v>6.2142132155231941E-2</v>
      </c>
      <c r="L69" s="28"/>
    </row>
    <row r="70" spans="1:12" x14ac:dyDescent="0.2">
      <c r="A70" s="27">
        <v>12</v>
      </c>
      <c r="B70" s="27">
        <v>1</v>
      </c>
      <c r="C70" s="27"/>
      <c r="D70" s="28">
        <v>16.858974358974358</v>
      </c>
      <c r="E70" s="28">
        <f t="shared" si="2"/>
        <v>4.8589743589743577</v>
      </c>
      <c r="G70" s="28">
        <f t="shared" si="3"/>
        <v>4.8850798619149906E-2</v>
      </c>
      <c r="L70" s="28"/>
    </row>
    <row r="71" spans="1:12" x14ac:dyDescent="0.2">
      <c r="A71" s="27">
        <v>9</v>
      </c>
      <c r="B71" s="27">
        <v>1</v>
      </c>
      <c r="C71" s="27"/>
      <c r="D71" s="28">
        <v>16.858974358974358</v>
      </c>
      <c r="E71" s="28">
        <f t="shared" si="2"/>
        <v>7.8589743589743577</v>
      </c>
      <c r="G71" s="28">
        <f t="shared" si="3"/>
        <v>1.7039902700084295E-2</v>
      </c>
      <c r="L71" s="28"/>
    </row>
    <row r="72" spans="1:12" x14ac:dyDescent="0.2">
      <c r="A72" s="27">
        <v>11</v>
      </c>
      <c r="B72" s="27">
        <v>1</v>
      </c>
      <c r="C72" s="27"/>
      <c r="D72" s="28">
        <v>16.858974358974358</v>
      </c>
      <c r="E72" s="28">
        <f t="shared" si="2"/>
        <v>5.8589743589743577</v>
      </c>
      <c r="G72" s="28">
        <f t="shared" si="3"/>
        <v>3.6339616015446226E-2</v>
      </c>
      <c r="L72" s="28"/>
    </row>
    <row r="73" spans="1:12" x14ac:dyDescent="0.2">
      <c r="A73" s="27">
        <v>11</v>
      </c>
      <c r="B73" s="27">
        <v>1</v>
      </c>
      <c r="C73" s="27"/>
      <c r="D73" s="28">
        <v>16.858974358974358</v>
      </c>
      <c r="E73" s="28">
        <f t="shared" si="2"/>
        <v>5.8589743589743577</v>
      </c>
      <c r="G73" s="28">
        <f t="shared" si="3"/>
        <v>3.6339616015446226E-2</v>
      </c>
      <c r="L73" s="28"/>
    </row>
    <row r="74" spans="1:12" x14ac:dyDescent="0.2">
      <c r="A74" s="27">
        <v>13</v>
      </c>
      <c r="B74" s="27">
        <v>1</v>
      </c>
      <c r="C74" s="27"/>
      <c r="D74" s="28">
        <v>16.858974358974358</v>
      </c>
      <c r="E74" s="28">
        <f t="shared" si="2"/>
        <v>3.8589743589743577</v>
      </c>
      <c r="G74" s="28">
        <f t="shared" si="3"/>
        <v>6.2142132155231941E-2</v>
      </c>
      <c r="L74" s="28"/>
    </row>
    <row r="75" spans="1:12" x14ac:dyDescent="0.2">
      <c r="A75" s="27">
        <v>11</v>
      </c>
      <c r="B75" s="27">
        <v>1</v>
      </c>
      <c r="C75" s="27"/>
      <c r="D75" s="28">
        <v>16.858974358974358</v>
      </c>
      <c r="E75" s="28">
        <f t="shared" si="2"/>
        <v>5.8589743589743577</v>
      </c>
      <c r="G75" s="28">
        <f t="shared" si="3"/>
        <v>3.6339616015446226E-2</v>
      </c>
      <c r="L75" s="28"/>
    </row>
    <row r="76" spans="1:12" x14ac:dyDescent="0.2">
      <c r="A76" s="27">
        <v>11</v>
      </c>
      <c r="B76" s="27">
        <v>1</v>
      </c>
      <c r="C76" s="27"/>
      <c r="D76" s="28">
        <v>16.858974358974358</v>
      </c>
      <c r="E76" s="28">
        <f t="shared" si="2"/>
        <v>5.8589743589743577</v>
      </c>
      <c r="G76" s="28">
        <f t="shared" si="3"/>
        <v>3.6339616015446226E-2</v>
      </c>
      <c r="L76" s="28"/>
    </row>
    <row r="77" spans="1:12" x14ac:dyDescent="0.2">
      <c r="A77" s="27">
        <v>11</v>
      </c>
      <c r="B77" s="27">
        <v>1</v>
      </c>
      <c r="C77" s="27"/>
      <c r="D77" s="28">
        <v>16.858974358974358</v>
      </c>
      <c r="E77" s="28">
        <f t="shared" si="2"/>
        <v>5.8589743589743577</v>
      </c>
      <c r="G77" s="28">
        <f t="shared" si="3"/>
        <v>3.6339616015446226E-2</v>
      </c>
      <c r="L77" s="28"/>
    </row>
    <row r="78" spans="1:12" x14ac:dyDescent="0.2">
      <c r="A78" s="27">
        <v>12</v>
      </c>
      <c r="B78" s="27">
        <v>1</v>
      </c>
      <c r="C78" s="27"/>
      <c r="D78" s="28">
        <v>16.858974358974358</v>
      </c>
      <c r="E78" s="28">
        <f t="shared" si="2"/>
        <v>4.8589743589743577</v>
      </c>
      <c r="G78" s="28">
        <f t="shared" si="3"/>
        <v>4.8850798619149906E-2</v>
      </c>
      <c r="L78" s="28"/>
    </row>
    <row r="79" spans="1:12" x14ac:dyDescent="0.2">
      <c r="A79" s="27">
        <v>14</v>
      </c>
      <c r="B79" s="27">
        <v>1</v>
      </c>
      <c r="C79" s="27"/>
      <c r="D79" s="28">
        <v>16.858974358974358</v>
      </c>
      <c r="E79" s="28">
        <f t="shared" si="2"/>
        <v>2.8589743589743577</v>
      </c>
      <c r="G79" s="28">
        <f t="shared" si="3"/>
        <v>7.4803820711623142E-2</v>
      </c>
      <c r="L79" s="28"/>
    </row>
    <row r="80" spans="1:12" x14ac:dyDescent="0.2">
      <c r="A80" s="27">
        <v>15</v>
      </c>
      <c r="B80" s="27">
        <v>1</v>
      </c>
      <c r="C80" s="27"/>
      <c r="D80" s="28">
        <v>16.858974358974358</v>
      </c>
      <c r="E80" s="28">
        <f t="shared" si="2"/>
        <v>1.8589743589743577</v>
      </c>
      <c r="G80" s="28">
        <f t="shared" si="3"/>
        <v>8.5208821600122359E-2</v>
      </c>
      <c r="L80" s="28"/>
    </row>
    <row r="81" spans="1:12" x14ac:dyDescent="0.2">
      <c r="A81" s="27">
        <v>14</v>
      </c>
      <c r="B81" s="27">
        <v>1</v>
      </c>
      <c r="C81" s="27"/>
      <c r="D81" s="28">
        <v>16.858974358974358</v>
      </c>
      <c r="E81" s="28">
        <f t="shared" si="2"/>
        <v>2.8589743589743577</v>
      </c>
      <c r="G81" s="28">
        <f t="shared" si="3"/>
        <v>7.4803820711623142E-2</v>
      </c>
      <c r="L81" s="28"/>
    </row>
    <row r="82" spans="1:12" x14ac:dyDescent="0.2">
      <c r="A82" s="27">
        <v>13</v>
      </c>
      <c r="B82" s="27">
        <v>1</v>
      </c>
      <c r="C82" s="27"/>
      <c r="D82" s="28">
        <v>16.858974358974358</v>
      </c>
      <c r="E82" s="28">
        <f t="shared" si="2"/>
        <v>3.8589743589743577</v>
      </c>
      <c r="G82" s="28">
        <f t="shared" si="3"/>
        <v>6.2142132155231941E-2</v>
      </c>
      <c r="L82" s="28"/>
    </row>
    <row r="83" spans="1:12" x14ac:dyDescent="0.2">
      <c r="A83" s="27">
        <v>13</v>
      </c>
      <c r="B83" s="27">
        <v>1</v>
      </c>
      <c r="C83" s="27"/>
      <c r="D83" s="28">
        <v>16.858974358974358</v>
      </c>
      <c r="E83" s="28">
        <f t="shared" si="2"/>
        <v>3.8589743589743577</v>
      </c>
      <c r="G83" s="28">
        <f t="shared" si="3"/>
        <v>6.2142132155231941E-2</v>
      </c>
      <c r="L83" s="28"/>
    </row>
    <row r="84" spans="1:12" x14ac:dyDescent="0.2">
      <c r="A84" s="27">
        <v>13</v>
      </c>
      <c r="B84" s="27">
        <v>1</v>
      </c>
      <c r="C84" s="27"/>
      <c r="D84" s="28">
        <v>16.858974358974358</v>
      </c>
      <c r="E84" s="28">
        <f t="shared" si="2"/>
        <v>3.8589743589743577</v>
      </c>
      <c r="G84" s="28">
        <f t="shared" si="3"/>
        <v>6.2142132155231941E-2</v>
      </c>
      <c r="L84" s="28"/>
    </row>
    <row r="85" spans="1:12" x14ac:dyDescent="0.2">
      <c r="A85" s="27">
        <v>14</v>
      </c>
      <c r="B85" s="27">
        <v>1</v>
      </c>
      <c r="C85" s="27"/>
      <c r="D85" s="28">
        <v>16.858974358974358</v>
      </c>
      <c r="E85" s="28">
        <f t="shared" si="2"/>
        <v>2.8589743589743577</v>
      </c>
      <c r="G85" s="28">
        <f t="shared" si="3"/>
        <v>7.4803820711623142E-2</v>
      </c>
      <c r="L85" s="28"/>
    </row>
    <row r="86" spans="1:12" x14ac:dyDescent="0.2">
      <c r="A86" s="27">
        <v>14</v>
      </c>
      <c r="B86" s="27">
        <v>1</v>
      </c>
      <c r="C86" s="27"/>
      <c r="D86" s="28">
        <v>16.858974358974358</v>
      </c>
      <c r="E86" s="28">
        <f t="shared" si="2"/>
        <v>2.8589743589743577</v>
      </c>
      <c r="G86" s="28">
        <f t="shared" si="3"/>
        <v>7.4803820711623142E-2</v>
      </c>
      <c r="L86" s="28"/>
    </row>
    <row r="87" spans="1:12" x14ac:dyDescent="0.2">
      <c r="A87" s="27">
        <v>13</v>
      </c>
      <c r="B87" s="27">
        <v>1</v>
      </c>
      <c r="C87" s="27"/>
      <c r="D87" s="28">
        <v>16.858974358974358</v>
      </c>
      <c r="E87" s="28">
        <f t="shared" si="2"/>
        <v>3.8589743589743577</v>
      </c>
      <c r="G87" s="28">
        <f t="shared" si="3"/>
        <v>6.2142132155231941E-2</v>
      </c>
      <c r="L87" s="28"/>
    </row>
    <row r="88" spans="1:12" x14ac:dyDescent="0.2">
      <c r="A88" s="27">
        <v>13</v>
      </c>
      <c r="B88" s="27">
        <v>1</v>
      </c>
      <c r="C88" s="27"/>
      <c r="D88" s="28">
        <v>16.858974358974358</v>
      </c>
      <c r="E88" s="28">
        <f t="shared" si="2"/>
        <v>3.8589743589743577</v>
      </c>
      <c r="G88" s="28">
        <f t="shared" si="3"/>
        <v>6.2142132155231941E-2</v>
      </c>
      <c r="L88" s="28"/>
    </row>
    <row r="89" spans="1:12" x14ac:dyDescent="0.2">
      <c r="A89" s="27">
        <v>13</v>
      </c>
      <c r="B89" s="27">
        <v>1</v>
      </c>
      <c r="C89" s="27"/>
      <c r="D89" s="28">
        <v>16.858974358974358</v>
      </c>
      <c r="E89" s="28">
        <f t="shared" si="2"/>
        <v>3.8589743589743577</v>
      </c>
      <c r="G89" s="28">
        <f t="shared" si="3"/>
        <v>6.2142132155231941E-2</v>
      </c>
      <c r="L89" s="28"/>
    </row>
    <row r="90" spans="1:12" x14ac:dyDescent="0.2">
      <c r="A90" s="27">
        <v>11</v>
      </c>
      <c r="B90" s="27">
        <v>1</v>
      </c>
      <c r="C90" s="27"/>
      <c r="D90" s="28">
        <v>16.858974358974358</v>
      </c>
      <c r="E90" s="28">
        <f t="shared" si="2"/>
        <v>5.8589743589743577</v>
      </c>
      <c r="G90" s="28">
        <f t="shared" si="3"/>
        <v>3.6339616015446226E-2</v>
      </c>
      <c r="L90" s="28"/>
    </row>
    <row r="91" spans="1:12" x14ac:dyDescent="0.2">
      <c r="A91" s="27">
        <v>13</v>
      </c>
      <c r="B91" s="27">
        <v>1</v>
      </c>
      <c r="C91" s="27"/>
      <c r="D91" s="28">
        <v>16.858974358974358</v>
      </c>
      <c r="E91" s="28">
        <f t="shared" si="2"/>
        <v>3.8589743589743577</v>
      </c>
      <c r="G91" s="28">
        <f t="shared" si="3"/>
        <v>6.2142132155231941E-2</v>
      </c>
      <c r="L91" s="28"/>
    </row>
    <row r="92" spans="1:12" x14ac:dyDescent="0.2">
      <c r="A92" s="27">
        <v>18</v>
      </c>
      <c r="B92" s="27">
        <v>1</v>
      </c>
      <c r="C92" s="27"/>
      <c r="D92" s="28">
        <v>16.858974358974358</v>
      </c>
      <c r="E92" s="28">
        <f t="shared" si="2"/>
        <v>-1.1410256410256423</v>
      </c>
      <c r="G92" s="28">
        <f t="shared" si="3"/>
        <v>9.0428595220514676E-2</v>
      </c>
      <c r="L92" s="28"/>
    </row>
    <row r="93" spans="1:12" x14ac:dyDescent="0.2">
      <c r="A93" s="27">
        <v>18</v>
      </c>
      <c r="B93" s="27">
        <v>1</v>
      </c>
      <c r="C93" s="27"/>
      <c r="D93" s="28">
        <v>16.858974358974358</v>
      </c>
      <c r="E93" s="28">
        <f t="shared" si="2"/>
        <v>-1.1410256410256423</v>
      </c>
      <c r="G93" s="28">
        <f t="shared" si="3"/>
        <v>9.0428595220514676E-2</v>
      </c>
      <c r="L93" s="28"/>
    </row>
    <row r="94" spans="1:12" x14ac:dyDescent="0.2">
      <c r="A94" s="27">
        <v>17</v>
      </c>
      <c r="B94" s="27">
        <v>1</v>
      </c>
      <c r="C94" s="27"/>
      <c r="D94" s="28">
        <v>16.858974358974358</v>
      </c>
      <c r="E94" s="28">
        <f t="shared" si="2"/>
        <v>-0.1410256410256423</v>
      </c>
      <c r="G94" s="28">
        <f t="shared" si="3"/>
        <v>9.3686186441259228E-2</v>
      </c>
      <c r="L94" s="28"/>
    </row>
    <row r="95" spans="1:12" x14ac:dyDescent="0.2">
      <c r="A95" s="27">
        <v>16</v>
      </c>
      <c r="B95" s="27">
        <v>1</v>
      </c>
      <c r="C95" s="27"/>
      <c r="D95" s="28">
        <v>16.858974358974358</v>
      </c>
      <c r="E95" s="28">
        <f t="shared" si="2"/>
        <v>0.8589743589743577</v>
      </c>
      <c r="G95" s="28">
        <f t="shared" si="3"/>
        <v>9.1847742433773194E-2</v>
      </c>
      <c r="L95" s="28"/>
    </row>
    <row r="96" spans="1:12" x14ac:dyDescent="0.2">
      <c r="A96" s="27">
        <v>15</v>
      </c>
      <c r="B96" s="27">
        <v>1</v>
      </c>
      <c r="C96" s="27"/>
      <c r="D96" s="28">
        <v>16.858974358974358</v>
      </c>
      <c r="E96" s="28">
        <f t="shared" si="2"/>
        <v>1.8589743589743577</v>
      </c>
      <c r="G96" s="28">
        <f t="shared" si="3"/>
        <v>8.5208821600122359E-2</v>
      </c>
      <c r="L96" s="28"/>
    </row>
    <row r="97" spans="1:12" x14ac:dyDescent="0.2">
      <c r="A97" s="27">
        <v>15</v>
      </c>
      <c r="B97" s="27">
        <v>1</v>
      </c>
      <c r="C97" s="27"/>
      <c r="D97" s="28">
        <v>16.858974358974358</v>
      </c>
      <c r="E97" s="28">
        <f t="shared" si="2"/>
        <v>1.8589743589743577</v>
      </c>
      <c r="G97" s="28">
        <f t="shared" si="3"/>
        <v>8.5208821600122359E-2</v>
      </c>
      <c r="L97" s="28"/>
    </row>
    <row r="98" spans="1:12" x14ac:dyDescent="0.2">
      <c r="A98" s="27">
        <v>15</v>
      </c>
      <c r="B98" s="27">
        <v>1</v>
      </c>
      <c r="C98" s="27"/>
      <c r="D98" s="28">
        <v>16.858974358974358</v>
      </c>
      <c r="E98" s="28">
        <f t="shared" si="2"/>
        <v>1.8589743589743577</v>
      </c>
      <c r="G98" s="28">
        <f t="shared" si="3"/>
        <v>8.5208821600122359E-2</v>
      </c>
      <c r="L98" s="28"/>
    </row>
    <row r="99" spans="1:12" x14ac:dyDescent="0.2">
      <c r="A99" s="27">
        <v>15</v>
      </c>
      <c r="B99" s="27">
        <v>1</v>
      </c>
      <c r="C99" s="27"/>
      <c r="D99" s="28">
        <v>16.858974358974358</v>
      </c>
      <c r="E99" s="28">
        <f t="shared" si="2"/>
        <v>1.8589743589743577</v>
      </c>
      <c r="G99" s="28">
        <f t="shared" si="3"/>
        <v>8.5208821600122359E-2</v>
      </c>
      <c r="L99" s="28"/>
    </row>
    <row r="100" spans="1:12" x14ac:dyDescent="0.2">
      <c r="A100" s="27">
        <v>14</v>
      </c>
      <c r="B100" s="27">
        <v>1</v>
      </c>
      <c r="C100" s="27"/>
      <c r="D100" s="28">
        <v>16.858974358974358</v>
      </c>
      <c r="E100" s="28">
        <f t="shared" si="2"/>
        <v>2.8589743589743577</v>
      </c>
      <c r="G100" s="28">
        <f t="shared" si="3"/>
        <v>7.4803820711623142E-2</v>
      </c>
      <c r="L100" s="28"/>
    </row>
    <row r="101" spans="1:12" x14ac:dyDescent="0.2">
      <c r="A101" s="27">
        <v>28</v>
      </c>
      <c r="B101" s="27">
        <v>1</v>
      </c>
      <c r="C101" s="27"/>
      <c r="D101" s="28">
        <v>16.858974358974358</v>
      </c>
      <c r="E101" s="28">
        <f t="shared" si="2"/>
        <v>-11.141025641025642</v>
      </c>
      <c r="G101" s="28">
        <f t="shared" si="3"/>
        <v>3.0470611306731058E-3</v>
      </c>
      <c r="L101" s="28"/>
    </row>
    <row r="102" spans="1:12" x14ac:dyDescent="0.2">
      <c r="A102" s="27">
        <v>24</v>
      </c>
      <c r="B102" s="27">
        <v>1</v>
      </c>
      <c r="C102" s="27"/>
      <c r="D102" s="28">
        <v>16.858974358974358</v>
      </c>
      <c r="E102" s="28">
        <f t="shared" si="2"/>
        <v>-7.1410256410256423</v>
      </c>
      <c r="G102" s="28">
        <f t="shared" si="3"/>
        <v>2.293893420103504E-2</v>
      </c>
      <c r="L102" s="28"/>
    </row>
    <row r="103" spans="1:12" x14ac:dyDescent="0.2">
      <c r="A103" s="27">
        <v>25</v>
      </c>
      <c r="B103" s="27">
        <v>1</v>
      </c>
      <c r="C103" s="27"/>
      <c r="D103" s="28">
        <v>16.858974358974358</v>
      </c>
      <c r="E103" s="28">
        <f t="shared" si="2"/>
        <v>-8.1410256410256423</v>
      </c>
      <c r="G103" s="28">
        <f t="shared" si="3"/>
        <v>1.5044075220828471E-2</v>
      </c>
      <c r="L103" s="28"/>
    </row>
    <row r="104" spans="1:12" x14ac:dyDescent="0.2">
      <c r="A104" s="27">
        <v>23</v>
      </c>
      <c r="B104" s="27">
        <v>1</v>
      </c>
      <c r="C104" s="27"/>
      <c r="D104" s="28">
        <v>16.858974358974358</v>
      </c>
      <c r="E104" s="28">
        <f t="shared" si="2"/>
        <v>-6.1410256410256423</v>
      </c>
      <c r="G104" s="28">
        <f t="shared" si="3"/>
        <v>3.3098180744967454E-2</v>
      </c>
      <c r="L104" s="28"/>
    </row>
    <row r="105" spans="1:12" x14ac:dyDescent="0.2">
      <c r="A105" s="27">
        <v>24</v>
      </c>
      <c r="B105" s="27">
        <v>1</v>
      </c>
      <c r="C105" s="27"/>
      <c r="D105" s="28">
        <v>16.858974358974358</v>
      </c>
      <c r="E105" s="28">
        <f t="shared" si="2"/>
        <v>-7.1410256410256423</v>
      </c>
      <c r="G105" s="28">
        <f t="shared" si="3"/>
        <v>2.293893420103504E-2</v>
      </c>
      <c r="L105" s="28"/>
    </row>
    <row r="106" spans="1:12" x14ac:dyDescent="0.2">
      <c r="A106" s="27">
        <v>26</v>
      </c>
      <c r="B106" s="27">
        <v>1</v>
      </c>
      <c r="C106" s="27"/>
      <c r="D106" s="28">
        <v>16.858974358974358</v>
      </c>
      <c r="E106" s="28">
        <f t="shared" si="2"/>
        <v>-9.1410256410256423</v>
      </c>
      <c r="G106" s="28">
        <f t="shared" si="3"/>
        <v>9.3364312813032559E-3</v>
      </c>
      <c r="L106" s="28"/>
    </row>
    <row r="107" spans="1:12" x14ac:dyDescent="0.2">
      <c r="A107" s="27">
        <v>25</v>
      </c>
      <c r="B107" s="27">
        <v>1</v>
      </c>
      <c r="C107" s="27"/>
      <c r="D107" s="28">
        <v>16.858974358974358</v>
      </c>
      <c r="E107" s="28">
        <f t="shared" si="2"/>
        <v>-8.1410256410256423</v>
      </c>
      <c r="G107" s="28">
        <f t="shared" si="3"/>
        <v>1.5044075220828471E-2</v>
      </c>
      <c r="L107" s="28"/>
    </row>
    <row r="108" spans="1:12" x14ac:dyDescent="0.2">
      <c r="A108" s="27">
        <v>24</v>
      </c>
      <c r="B108" s="27">
        <v>1</v>
      </c>
      <c r="C108" s="27"/>
      <c r="D108" s="28">
        <v>16.858974358974358</v>
      </c>
      <c r="E108" s="28">
        <f t="shared" si="2"/>
        <v>-7.1410256410256423</v>
      </c>
      <c r="G108" s="28">
        <f t="shared" si="3"/>
        <v>2.293893420103504E-2</v>
      </c>
      <c r="L108" s="28"/>
    </row>
    <row r="109" spans="1:12" x14ac:dyDescent="0.2">
      <c r="A109" s="27">
        <v>21</v>
      </c>
      <c r="B109" s="27">
        <v>1</v>
      </c>
      <c r="C109" s="27"/>
      <c r="D109" s="28">
        <v>16.858974358974358</v>
      </c>
      <c r="E109" s="28">
        <f t="shared" si="2"/>
        <v>-4.1410256410256423</v>
      </c>
      <c r="G109" s="28">
        <f t="shared" si="3"/>
        <v>5.8389578885814829E-2</v>
      </c>
      <c r="L109" s="28"/>
    </row>
    <row r="110" spans="1:12" x14ac:dyDescent="0.2">
      <c r="A110" s="27">
        <v>18</v>
      </c>
      <c r="B110" s="27">
        <v>1</v>
      </c>
      <c r="C110" s="27"/>
      <c r="D110" s="28">
        <v>16.858974358974358</v>
      </c>
      <c r="E110" s="28">
        <f t="shared" si="2"/>
        <v>-1.1410256410256423</v>
      </c>
      <c r="G110" s="28">
        <f t="shared" si="3"/>
        <v>9.0428595220514676E-2</v>
      </c>
      <c r="L110" s="28"/>
    </row>
    <row r="111" spans="1:12" x14ac:dyDescent="0.2">
      <c r="A111" s="27">
        <v>18</v>
      </c>
      <c r="B111" s="27">
        <v>1</v>
      </c>
      <c r="C111" s="27"/>
      <c r="D111" s="28">
        <v>16.858974358974358</v>
      </c>
      <c r="E111" s="28">
        <f t="shared" si="2"/>
        <v>-1.1410256410256423</v>
      </c>
      <c r="G111" s="28">
        <f t="shared" si="3"/>
        <v>9.0428595220514676E-2</v>
      </c>
      <c r="L111" s="28"/>
    </row>
    <row r="112" spans="1:12" x14ac:dyDescent="0.2">
      <c r="A112" s="27">
        <v>21</v>
      </c>
      <c r="B112" s="27">
        <v>1</v>
      </c>
      <c r="C112" s="27"/>
      <c r="D112" s="28">
        <v>16.858974358974358</v>
      </c>
      <c r="E112" s="28">
        <f t="shared" si="2"/>
        <v>-4.1410256410256423</v>
      </c>
      <c r="G112" s="28">
        <f t="shared" si="3"/>
        <v>5.8389578885814829E-2</v>
      </c>
      <c r="L112" s="28"/>
    </row>
    <row r="113" spans="1:12" x14ac:dyDescent="0.2">
      <c r="A113" s="27">
        <v>21</v>
      </c>
      <c r="B113" s="27">
        <v>1</v>
      </c>
      <c r="C113" s="27"/>
      <c r="D113" s="28">
        <v>16.858974358974358</v>
      </c>
      <c r="E113" s="28">
        <f t="shared" si="2"/>
        <v>-4.1410256410256423</v>
      </c>
      <c r="G113" s="28">
        <f t="shared" si="3"/>
        <v>5.8389578885814829E-2</v>
      </c>
      <c r="L113" s="28"/>
    </row>
    <row r="114" spans="1:12" x14ac:dyDescent="0.2">
      <c r="A114" s="27">
        <v>18</v>
      </c>
      <c r="B114" s="27">
        <v>1</v>
      </c>
      <c r="C114" s="27"/>
      <c r="D114" s="28">
        <v>16.858974358974358</v>
      </c>
      <c r="E114" s="28">
        <f t="shared" si="2"/>
        <v>-1.1410256410256423</v>
      </c>
      <c r="G114" s="28">
        <f t="shared" si="3"/>
        <v>9.0428595220514676E-2</v>
      </c>
      <c r="L114" s="28"/>
    </row>
    <row r="115" spans="1:12" x14ac:dyDescent="0.2">
      <c r="A115" s="27">
        <v>18</v>
      </c>
      <c r="B115" s="27">
        <v>1</v>
      </c>
      <c r="C115" s="27"/>
      <c r="D115" s="28">
        <v>16.858974358974358</v>
      </c>
      <c r="E115" s="28">
        <f t="shared" si="2"/>
        <v>-1.1410256410256423</v>
      </c>
      <c r="G115" s="28">
        <f t="shared" si="3"/>
        <v>9.0428595220514676E-2</v>
      </c>
      <c r="L115" s="28"/>
    </row>
    <row r="116" spans="1:12" x14ac:dyDescent="0.2">
      <c r="A116" s="27">
        <v>19</v>
      </c>
      <c r="B116" s="27">
        <v>1</v>
      </c>
      <c r="C116" s="27"/>
      <c r="D116" s="28">
        <v>16.858974358974358</v>
      </c>
      <c r="E116" s="28">
        <f t="shared" si="2"/>
        <v>-2.1410256410256423</v>
      </c>
      <c r="G116" s="28">
        <f t="shared" si="3"/>
        <v>8.2596026638649928E-2</v>
      </c>
      <c r="L116" s="28"/>
    </row>
    <row r="117" spans="1:12" x14ac:dyDescent="0.2">
      <c r="A117" s="27">
        <v>19</v>
      </c>
      <c r="B117" s="27">
        <v>1</v>
      </c>
      <c r="C117" s="27"/>
      <c r="D117" s="28">
        <v>16.858974358974358</v>
      </c>
      <c r="E117" s="28">
        <f t="shared" si="2"/>
        <v>-2.1410256410256423</v>
      </c>
      <c r="G117" s="28">
        <f t="shared" si="3"/>
        <v>8.2596026638649928E-2</v>
      </c>
      <c r="L117" s="28"/>
    </row>
    <row r="118" spans="1:12" x14ac:dyDescent="0.2">
      <c r="A118" s="27">
        <v>19</v>
      </c>
      <c r="B118" s="27">
        <v>1</v>
      </c>
      <c r="C118" s="27"/>
      <c r="D118" s="28">
        <v>16.858974358974358</v>
      </c>
      <c r="E118" s="28">
        <f t="shared" si="2"/>
        <v>-2.1410256410256423</v>
      </c>
      <c r="G118" s="28">
        <f t="shared" si="3"/>
        <v>8.2596026638649928E-2</v>
      </c>
      <c r="L118" s="28"/>
    </row>
    <row r="119" spans="1:12" x14ac:dyDescent="0.2">
      <c r="A119" s="27">
        <v>20</v>
      </c>
      <c r="B119" s="27">
        <v>1</v>
      </c>
      <c r="C119" s="27"/>
      <c r="D119" s="28">
        <v>16.858974358974358</v>
      </c>
      <c r="E119" s="28">
        <f t="shared" si="2"/>
        <v>-3.1410256410256423</v>
      </c>
      <c r="G119" s="28">
        <f t="shared" si="3"/>
        <v>7.138971945227178E-2</v>
      </c>
      <c r="L119" s="28"/>
    </row>
    <row r="120" spans="1:12" x14ac:dyDescent="0.2">
      <c r="A120" s="27">
        <v>20</v>
      </c>
      <c r="B120" s="27">
        <v>1</v>
      </c>
      <c r="C120" s="27"/>
      <c r="D120" s="28">
        <v>16.858974358974358</v>
      </c>
      <c r="E120" s="28">
        <f t="shared" si="2"/>
        <v>-3.1410256410256423</v>
      </c>
      <c r="G120" s="28">
        <f t="shared" si="3"/>
        <v>7.138971945227178E-2</v>
      </c>
      <c r="L120" s="28"/>
    </row>
    <row r="121" spans="1:12" x14ac:dyDescent="0.2">
      <c r="A121" s="27">
        <v>17</v>
      </c>
      <c r="B121" s="27">
        <v>1</v>
      </c>
      <c r="C121" s="27"/>
      <c r="D121" s="28">
        <v>16.858974358974358</v>
      </c>
      <c r="E121" s="28">
        <f t="shared" si="2"/>
        <v>-0.1410256410256423</v>
      </c>
      <c r="G121" s="28">
        <f t="shared" si="3"/>
        <v>9.3686186441259228E-2</v>
      </c>
      <c r="L121" s="28"/>
    </row>
    <row r="122" spans="1:12" x14ac:dyDescent="0.2">
      <c r="A122" s="27">
        <v>16</v>
      </c>
      <c r="B122" s="27">
        <v>1</v>
      </c>
      <c r="C122" s="27"/>
      <c r="D122" s="28">
        <v>16.858974358974358</v>
      </c>
      <c r="E122" s="28">
        <f t="shared" si="2"/>
        <v>0.8589743589743577</v>
      </c>
      <c r="G122" s="28">
        <f t="shared" si="3"/>
        <v>9.1847742433773194E-2</v>
      </c>
      <c r="L122" s="28"/>
    </row>
    <row r="123" spans="1:12" x14ac:dyDescent="0.2">
      <c r="A123" s="27">
        <v>17</v>
      </c>
      <c r="B123" s="27">
        <v>1</v>
      </c>
      <c r="C123" s="27"/>
      <c r="D123" s="28">
        <v>16.858974358974358</v>
      </c>
      <c r="E123" s="28">
        <f t="shared" si="2"/>
        <v>-0.1410256410256423</v>
      </c>
      <c r="G123" s="28">
        <f t="shared" si="3"/>
        <v>9.3686186441259228E-2</v>
      </c>
      <c r="L123" s="28"/>
    </row>
    <row r="124" spans="1:12" x14ac:dyDescent="0.2">
      <c r="A124" s="27">
        <v>17</v>
      </c>
      <c r="B124" s="27">
        <v>1</v>
      </c>
      <c r="C124" s="27"/>
      <c r="D124" s="28">
        <v>16.858974358974358</v>
      </c>
      <c r="E124" s="28">
        <f t="shared" si="2"/>
        <v>-0.1410256410256423</v>
      </c>
      <c r="G124" s="28">
        <f t="shared" si="3"/>
        <v>9.3686186441259228E-2</v>
      </c>
      <c r="L124" s="28"/>
    </row>
    <row r="125" spans="1:12" x14ac:dyDescent="0.2">
      <c r="A125" s="27">
        <v>15</v>
      </c>
      <c r="B125" s="27">
        <v>1</v>
      </c>
      <c r="C125" s="27"/>
      <c r="D125" s="28">
        <v>16.858974358974358</v>
      </c>
      <c r="E125" s="28">
        <f t="shared" si="2"/>
        <v>1.8589743589743577</v>
      </c>
      <c r="G125" s="28">
        <f t="shared" si="3"/>
        <v>8.5208821600122359E-2</v>
      </c>
      <c r="L125" s="28"/>
    </row>
    <row r="126" spans="1:12" x14ac:dyDescent="0.2">
      <c r="A126" s="27">
        <v>15</v>
      </c>
      <c r="B126" s="27">
        <v>1</v>
      </c>
      <c r="C126" s="27"/>
      <c r="D126" s="28">
        <v>16.858974358974358</v>
      </c>
      <c r="E126" s="28">
        <f t="shared" si="2"/>
        <v>1.8589743589743577</v>
      </c>
      <c r="G126" s="28">
        <f t="shared" si="3"/>
        <v>8.5208821600122359E-2</v>
      </c>
      <c r="L126" s="28"/>
    </row>
    <row r="127" spans="1:12" x14ac:dyDescent="0.2">
      <c r="A127" s="27">
        <v>14</v>
      </c>
      <c r="B127" s="27">
        <v>1</v>
      </c>
      <c r="C127" s="27"/>
      <c r="D127" s="28">
        <v>16.858974358974358</v>
      </c>
      <c r="E127" s="28">
        <f t="shared" si="2"/>
        <v>2.8589743589743577</v>
      </c>
      <c r="G127" s="28">
        <f t="shared" si="3"/>
        <v>7.4803820711623142E-2</v>
      </c>
      <c r="L127" s="28"/>
    </row>
    <row r="128" spans="1:12" x14ac:dyDescent="0.2">
      <c r="A128" s="27">
        <v>9</v>
      </c>
      <c r="B128" s="27">
        <v>1</v>
      </c>
      <c r="C128" s="27"/>
      <c r="D128" s="28">
        <v>16.858974358974358</v>
      </c>
      <c r="E128" s="28">
        <f t="shared" si="2"/>
        <v>7.8589743589743577</v>
      </c>
      <c r="G128" s="28">
        <f t="shared" si="3"/>
        <v>1.7039902700084295E-2</v>
      </c>
      <c r="L128" s="28"/>
    </row>
    <row r="129" spans="1:12" x14ac:dyDescent="0.2">
      <c r="A129" s="27">
        <v>14</v>
      </c>
      <c r="B129" s="27">
        <v>1</v>
      </c>
      <c r="C129" s="27"/>
      <c r="D129" s="28">
        <v>16.858974358974358</v>
      </c>
      <c r="E129" s="28">
        <f t="shared" si="2"/>
        <v>2.8589743589743577</v>
      </c>
      <c r="G129" s="28">
        <f t="shared" si="3"/>
        <v>7.4803820711623142E-2</v>
      </c>
      <c r="L129" s="28"/>
    </row>
    <row r="130" spans="1:12" x14ac:dyDescent="0.2">
      <c r="A130" s="27">
        <v>13</v>
      </c>
      <c r="B130" s="27">
        <v>1</v>
      </c>
      <c r="C130" s="27"/>
      <c r="D130" s="28">
        <v>16.858974358974358</v>
      </c>
      <c r="E130" s="28">
        <f t="shared" si="2"/>
        <v>3.8589743589743577</v>
      </c>
      <c r="G130" s="28">
        <f t="shared" si="3"/>
        <v>6.2142132155231941E-2</v>
      </c>
      <c r="L130" s="28"/>
    </row>
    <row r="131" spans="1:12" x14ac:dyDescent="0.2">
      <c r="A131" s="27">
        <v>11</v>
      </c>
      <c r="B131" s="27">
        <v>1</v>
      </c>
      <c r="C131" s="27"/>
      <c r="D131" s="28">
        <v>16.858974358974358</v>
      </c>
      <c r="E131" s="28">
        <f t="shared" ref="E131:E194" si="4">D131-A131</f>
        <v>5.8589743589743577</v>
      </c>
      <c r="G131" s="28">
        <f t="shared" ref="G131:G194" si="5">_xlfn.NORM.DIST(E131,0,$F$2,FALSE)</f>
        <v>3.6339616015446226E-2</v>
      </c>
      <c r="L131" s="28"/>
    </row>
    <row r="132" spans="1:12" x14ac:dyDescent="0.2">
      <c r="A132" s="27">
        <v>11</v>
      </c>
      <c r="B132" s="27">
        <v>1</v>
      </c>
      <c r="C132" s="27"/>
      <c r="D132" s="28">
        <v>16.858974358974358</v>
      </c>
      <c r="E132" s="28">
        <f t="shared" si="4"/>
        <v>5.8589743589743577</v>
      </c>
      <c r="G132" s="28">
        <f t="shared" si="5"/>
        <v>3.6339616015446226E-2</v>
      </c>
      <c r="L132" s="28"/>
    </row>
    <row r="133" spans="1:12" x14ac:dyDescent="0.2">
      <c r="A133" s="27">
        <v>12</v>
      </c>
      <c r="B133" s="27">
        <v>1</v>
      </c>
      <c r="C133" s="27"/>
      <c r="D133" s="28">
        <v>16.858974358974358</v>
      </c>
      <c r="E133" s="28">
        <f t="shared" si="4"/>
        <v>4.8589743589743577</v>
      </c>
      <c r="G133" s="28">
        <f t="shared" si="5"/>
        <v>4.8850798619149906E-2</v>
      </c>
      <c r="L133" s="28"/>
    </row>
    <row r="134" spans="1:12" x14ac:dyDescent="0.2">
      <c r="A134" s="27">
        <v>12</v>
      </c>
      <c r="B134" s="27">
        <v>1</v>
      </c>
      <c r="C134" s="27"/>
      <c r="D134" s="28">
        <v>16.858974358974358</v>
      </c>
      <c r="E134" s="28">
        <f t="shared" si="4"/>
        <v>4.8589743589743577</v>
      </c>
      <c r="G134" s="28">
        <f t="shared" si="5"/>
        <v>4.8850798619149906E-2</v>
      </c>
      <c r="L134" s="28"/>
    </row>
    <row r="135" spans="1:12" x14ac:dyDescent="0.2">
      <c r="A135" s="27">
        <v>11</v>
      </c>
      <c r="B135" s="27">
        <v>1</v>
      </c>
      <c r="C135" s="27"/>
      <c r="D135" s="28">
        <v>16.858974358974358</v>
      </c>
      <c r="E135" s="28">
        <f t="shared" si="4"/>
        <v>5.8589743589743577</v>
      </c>
      <c r="G135" s="28">
        <f t="shared" si="5"/>
        <v>3.6339616015446226E-2</v>
      </c>
      <c r="L135" s="28"/>
    </row>
    <row r="136" spans="1:12" x14ac:dyDescent="0.2">
      <c r="A136" s="27">
        <v>11</v>
      </c>
      <c r="B136" s="27">
        <v>1</v>
      </c>
      <c r="C136" s="27"/>
      <c r="D136" s="28">
        <v>16.858974358974358</v>
      </c>
      <c r="E136" s="28">
        <f t="shared" si="4"/>
        <v>5.8589743589743577</v>
      </c>
      <c r="G136" s="28">
        <f t="shared" si="5"/>
        <v>3.6339616015446226E-2</v>
      </c>
      <c r="L136" s="28"/>
    </row>
    <row r="137" spans="1:12" x14ac:dyDescent="0.2">
      <c r="A137" s="27">
        <v>11</v>
      </c>
      <c r="B137" s="27">
        <v>1</v>
      </c>
      <c r="C137" s="27"/>
      <c r="D137" s="28">
        <v>16.858974358974358</v>
      </c>
      <c r="E137" s="28">
        <f t="shared" si="4"/>
        <v>5.8589743589743577</v>
      </c>
      <c r="G137" s="28">
        <f t="shared" si="5"/>
        <v>3.6339616015446226E-2</v>
      </c>
      <c r="L137" s="28"/>
    </row>
    <row r="138" spans="1:12" x14ac:dyDescent="0.2">
      <c r="A138" s="27">
        <v>12</v>
      </c>
      <c r="B138" s="27">
        <v>1</v>
      </c>
      <c r="C138" s="27"/>
      <c r="D138" s="28">
        <v>16.858974358974358</v>
      </c>
      <c r="E138" s="28">
        <f t="shared" si="4"/>
        <v>4.8589743589743577</v>
      </c>
      <c r="G138" s="28">
        <f t="shared" si="5"/>
        <v>4.8850798619149906E-2</v>
      </c>
      <c r="L138" s="28"/>
    </row>
    <row r="139" spans="1:12" x14ac:dyDescent="0.2">
      <c r="A139" s="27">
        <v>14</v>
      </c>
      <c r="B139" s="27">
        <v>1</v>
      </c>
      <c r="C139" s="27"/>
      <c r="D139" s="28">
        <v>16.858974358974358</v>
      </c>
      <c r="E139" s="28">
        <f t="shared" si="4"/>
        <v>2.8589743589743577</v>
      </c>
      <c r="G139" s="28">
        <f t="shared" si="5"/>
        <v>7.4803820711623142E-2</v>
      </c>
      <c r="L139" s="28"/>
    </row>
    <row r="140" spans="1:12" x14ac:dyDescent="0.2">
      <c r="A140" s="27">
        <v>13</v>
      </c>
      <c r="B140" s="27">
        <v>1</v>
      </c>
      <c r="C140" s="27"/>
      <c r="D140" s="28">
        <v>16.858974358974358</v>
      </c>
      <c r="E140" s="28">
        <f t="shared" si="4"/>
        <v>3.8589743589743577</v>
      </c>
      <c r="G140" s="28">
        <f t="shared" si="5"/>
        <v>6.2142132155231941E-2</v>
      </c>
      <c r="L140" s="28"/>
    </row>
    <row r="141" spans="1:12" x14ac:dyDescent="0.2">
      <c r="A141" s="27">
        <v>13</v>
      </c>
      <c r="B141" s="27">
        <v>1</v>
      </c>
      <c r="C141" s="27"/>
      <c r="D141" s="28">
        <v>16.858974358974358</v>
      </c>
      <c r="E141" s="28">
        <f t="shared" si="4"/>
        <v>3.8589743589743577</v>
      </c>
      <c r="G141" s="28">
        <f t="shared" si="5"/>
        <v>6.2142132155231941E-2</v>
      </c>
      <c r="L141" s="28"/>
    </row>
    <row r="142" spans="1:12" x14ac:dyDescent="0.2">
      <c r="A142" s="27">
        <v>13</v>
      </c>
      <c r="B142" s="27">
        <v>1</v>
      </c>
      <c r="C142" s="27"/>
      <c r="D142" s="28">
        <v>16.858974358974358</v>
      </c>
      <c r="E142" s="28">
        <f t="shared" si="4"/>
        <v>3.8589743589743577</v>
      </c>
      <c r="G142" s="28">
        <f t="shared" si="5"/>
        <v>6.2142132155231941E-2</v>
      </c>
      <c r="L142" s="28"/>
    </row>
    <row r="143" spans="1:12" x14ac:dyDescent="0.2">
      <c r="A143" s="27">
        <v>21</v>
      </c>
      <c r="B143" s="27">
        <v>1</v>
      </c>
      <c r="C143" s="27"/>
      <c r="D143" s="28">
        <v>16.858974358974358</v>
      </c>
      <c r="E143" s="28">
        <f t="shared" si="4"/>
        <v>-4.1410256410256423</v>
      </c>
      <c r="G143" s="28">
        <f t="shared" si="5"/>
        <v>5.8389578885814829E-2</v>
      </c>
      <c r="L143" s="28"/>
    </row>
    <row r="144" spans="1:12" x14ac:dyDescent="0.2">
      <c r="A144" s="27">
        <v>19</v>
      </c>
      <c r="B144" s="27">
        <v>1</v>
      </c>
      <c r="C144" s="27"/>
      <c r="D144" s="28">
        <v>16.858974358974358</v>
      </c>
      <c r="E144" s="28">
        <f t="shared" si="4"/>
        <v>-2.1410256410256423</v>
      </c>
      <c r="G144" s="28">
        <f t="shared" si="5"/>
        <v>8.2596026638649928E-2</v>
      </c>
      <c r="L144" s="28"/>
    </row>
    <row r="145" spans="1:12" x14ac:dyDescent="0.2">
      <c r="A145" s="27">
        <v>23</v>
      </c>
      <c r="B145" s="27">
        <v>1</v>
      </c>
      <c r="C145" s="27"/>
      <c r="D145" s="28">
        <v>16.858974358974358</v>
      </c>
      <c r="E145" s="28">
        <f t="shared" si="4"/>
        <v>-6.1410256410256423</v>
      </c>
      <c r="G145" s="28">
        <f t="shared" si="5"/>
        <v>3.3098180744967454E-2</v>
      </c>
      <c r="L145" s="28"/>
    </row>
    <row r="146" spans="1:12" x14ac:dyDescent="0.2">
      <c r="A146" s="27">
        <v>23</v>
      </c>
      <c r="B146" s="27">
        <v>1</v>
      </c>
      <c r="C146" s="27"/>
      <c r="D146" s="28">
        <v>16.858974358974358</v>
      </c>
      <c r="E146" s="28">
        <f t="shared" si="4"/>
        <v>-6.1410256410256423</v>
      </c>
      <c r="G146" s="28">
        <f t="shared" si="5"/>
        <v>3.3098180744967454E-2</v>
      </c>
      <c r="L146" s="28"/>
    </row>
    <row r="147" spans="1:12" x14ac:dyDescent="0.2">
      <c r="A147" s="27">
        <v>19</v>
      </c>
      <c r="B147" s="27">
        <v>1</v>
      </c>
      <c r="C147" s="27"/>
      <c r="D147" s="28">
        <v>16.858974358974358</v>
      </c>
      <c r="E147" s="28">
        <f t="shared" si="4"/>
        <v>-2.1410256410256423</v>
      </c>
      <c r="G147" s="28">
        <f t="shared" si="5"/>
        <v>8.2596026638649928E-2</v>
      </c>
      <c r="L147" s="28"/>
    </row>
    <row r="148" spans="1:12" x14ac:dyDescent="0.2">
      <c r="A148" s="27">
        <v>19</v>
      </c>
      <c r="B148" s="27">
        <v>1</v>
      </c>
      <c r="C148" s="27"/>
      <c r="D148" s="28">
        <v>16.858974358974358</v>
      </c>
      <c r="E148" s="28">
        <f t="shared" si="4"/>
        <v>-2.1410256410256423</v>
      </c>
      <c r="G148" s="28">
        <f t="shared" si="5"/>
        <v>8.2596026638649928E-2</v>
      </c>
      <c r="L148" s="28"/>
    </row>
    <row r="149" spans="1:12" x14ac:dyDescent="0.2">
      <c r="A149" s="27">
        <v>18</v>
      </c>
      <c r="B149" s="27">
        <v>1</v>
      </c>
      <c r="C149" s="27"/>
      <c r="D149" s="28">
        <v>16.858974358974358</v>
      </c>
      <c r="E149" s="28">
        <f t="shared" si="4"/>
        <v>-1.1410256410256423</v>
      </c>
      <c r="G149" s="28">
        <f t="shared" si="5"/>
        <v>9.0428595220514676E-2</v>
      </c>
      <c r="L149" s="28"/>
    </row>
    <row r="150" spans="1:12" x14ac:dyDescent="0.2">
      <c r="A150" s="27">
        <v>19</v>
      </c>
      <c r="B150" s="27">
        <v>1</v>
      </c>
      <c r="C150" s="27"/>
      <c r="D150" s="28">
        <v>16.858974358974358</v>
      </c>
      <c r="E150" s="28">
        <f t="shared" si="4"/>
        <v>-2.1410256410256423</v>
      </c>
      <c r="G150" s="28">
        <f t="shared" si="5"/>
        <v>8.2596026638649928E-2</v>
      </c>
      <c r="L150" s="28"/>
    </row>
    <row r="151" spans="1:12" x14ac:dyDescent="0.2">
      <c r="A151" s="27">
        <v>19</v>
      </c>
      <c r="B151" s="27">
        <v>1</v>
      </c>
      <c r="C151" s="27"/>
      <c r="D151" s="28">
        <v>16.858974358974358</v>
      </c>
      <c r="E151" s="28">
        <f t="shared" si="4"/>
        <v>-2.1410256410256423</v>
      </c>
      <c r="G151" s="28">
        <f t="shared" si="5"/>
        <v>8.2596026638649928E-2</v>
      </c>
      <c r="L151" s="28"/>
    </row>
    <row r="152" spans="1:12" x14ac:dyDescent="0.2">
      <c r="A152" s="27">
        <v>14</v>
      </c>
      <c r="B152" s="27">
        <v>1</v>
      </c>
      <c r="C152" s="27"/>
      <c r="D152" s="28">
        <v>16.858974358974358</v>
      </c>
      <c r="E152" s="28">
        <f t="shared" si="4"/>
        <v>2.8589743589743577</v>
      </c>
      <c r="G152" s="28">
        <f t="shared" si="5"/>
        <v>7.4803820711623142E-2</v>
      </c>
      <c r="L152" s="28"/>
    </row>
    <row r="153" spans="1:12" x14ac:dyDescent="0.2">
      <c r="A153" s="27">
        <v>15</v>
      </c>
      <c r="B153" s="27">
        <v>1</v>
      </c>
      <c r="C153" s="27"/>
      <c r="D153" s="28">
        <v>16.858974358974358</v>
      </c>
      <c r="E153" s="28">
        <f t="shared" si="4"/>
        <v>1.8589743589743577</v>
      </c>
      <c r="G153" s="28">
        <f t="shared" si="5"/>
        <v>8.5208821600122359E-2</v>
      </c>
      <c r="L153" s="28"/>
    </row>
    <row r="154" spans="1:12" x14ac:dyDescent="0.2">
      <c r="A154" s="27">
        <v>14</v>
      </c>
      <c r="B154" s="27">
        <v>1</v>
      </c>
      <c r="C154" s="27"/>
      <c r="D154" s="28">
        <v>16.858974358974358</v>
      </c>
      <c r="E154" s="28">
        <f t="shared" si="4"/>
        <v>2.8589743589743577</v>
      </c>
      <c r="G154" s="28">
        <f t="shared" si="5"/>
        <v>7.4803820711623142E-2</v>
      </c>
      <c r="L154" s="28"/>
    </row>
    <row r="155" spans="1:12" x14ac:dyDescent="0.2">
      <c r="A155" s="27">
        <v>12</v>
      </c>
      <c r="B155" s="27">
        <v>1</v>
      </c>
      <c r="C155" s="27"/>
      <c r="D155" s="28">
        <v>16.858974358974358</v>
      </c>
      <c r="E155" s="28">
        <f t="shared" si="4"/>
        <v>4.8589743589743577</v>
      </c>
      <c r="G155" s="28">
        <f t="shared" si="5"/>
        <v>4.8850798619149906E-2</v>
      </c>
      <c r="L155" s="28"/>
    </row>
    <row r="156" spans="1:12" x14ac:dyDescent="0.2">
      <c r="A156" s="27">
        <v>18</v>
      </c>
      <c r="B156" s="27">
        <v>1</v>
      </c>
      <c r="C156" s="27"/>
      <c r="D156" s="28">
        <v>16.858974358974358</v>
      </c>
      <c r="E156" s="28">
        <f t="shared" si="4"/>
        <v>-1.1410256410256423</v>
      </c>
      <c r="G156" s="28">
        <f t="shared" si="5"/>
        <v>9.0428595220514676E-2</v>
      </c>
      <c r="L156" s="28"/>
    </row>
    <row r="157" spans="1:12" x14ac:dyDescent="0.2">
      <c r="A157" s="27">
        <v>16</v>
      </c>
      <c r="B157" s="27">
        <v>1</v>
      </c>
      <c r="C157" s="27"/>
      <c r="D157" s="28">
        <v>16.858974358974358</v>
      </c>
      <c r="E157" s="28">
        <f t="shared" si="4"/>
        <v>0.8589743589743577</v>
      </c>
      <c r="G157" s="28">
        <f t="shared" si="5"/>
        <v>9.1847742433773194E-2</v>
      </c>
      <c r="L157" s="28"/>
    </row>
    <row r="158" spans="1:12" x14ac:dyDescent="0.2">
      <c r="A158" s="27">
        <v>17</v>
      </c>
      <c r="B158" s="27">
        <v>1</v>
      </c>
      <c r="C158" s="27"/>
      <c r="D158" s="28">
        <v>16.858974358974358</v>
      </c>
      <c r="E158" s="28">
        <f t="shared" si="4"/>
        <v>-0.1410256410256423</v>
      </c>
      <c r="G158" s="28">
        <f t="shared" si="5"/>
        <v>9.3686186441259228E-2</v>
      </c>
      <c r="L158" s="28"/>
    </row>
    <row r="159" spans="1:12" x14ac:dyDescent="0.2">
      <c r="A159" s="27">
        <v>18</v>
      </c>
      <c r="B159" s="27">
        <v>1</v>
      </c>
      <c r="C159" s="27"/>
      <c r="D159" s="28">
        <v>16.858974358974358</v>
      </c>
      <c r="E159" s="28">
        <f t="shared" si="4"/>
        <v>-1.1410256410256423</v>
      </c>
      <c r="G159" s="28">
        <f t="shared" si="5"/>
        <v>9.0428595220514676E-2</v>
      </c>
      <c r="L159" s="28"/>
    </row>
    <row r="160" spans="1:12" x14ac:dyDescent="0.2">
      <c r="A160" s="27">
        <v>16</v>
      </c>
      <c r="B160" s="27">
        <v>1</v>
      </c>
      <c r="C160" s="27"/>
      <c r="D160" s="28">
        <v>16.858974358974358</v>
      </c>
      <c r="E160" s="28">
        <f t="shared" si="4"/>
        <v>0.8589743589743577</v>
      </c>
      <c r="G160" s="28">
        <f t="shared" si="5"/>
        <v>9.1847742433773194E-2</v>
      </c>
      <c r="L160" s="28"/>
    </row>
    <row r="161" spans="1:12" x14ac:dyDescent="0.2">
      <c r="A161" s="27">
        <v>18</v>
      </c>
      <c r="B161" s="27">
        <v>1</v>
      </c>
      <c r="C161" s="27"/>
      <c r="D161" s="28">
        <v>16.858974358974358</v>
      </c>
      <c r="E161" s="28">
        <f t="shared" si="4"/>
        <v>-1.1410256410256423</v>
      </c>
      <c r="G161" s="28">
        <f t="shared" si="5"/>
        <v>9.0428595220514676E-2</v>
      </c>
      <c r="L161" s="28"/>
    </row>
    <row r="162" spans="1:12" x14ac:dyDescent="0.2">
      <c r="A162" s="27">
        <v>18</v>
      </c>
      <c r="B162" s="27">
        <v>1</v>
      </c>
      <c r="C162" s="27"/>
      <c r="D162" s="28">
        <v>16.858974358974358</v>
      </c>
      <c r="E162" s="28">
        <f t="shared" si="4"/>
        <v>-1.1410256410256423</v>
      </c>
      <c r="G162" s="28">
        <f t="shared" si="5"/>
        <v>9.0428595220514676E-2</v>
      </c>
      <c r="L162" s="28"/>
    </row>
    <row r="163" spans="1:12" x14ac:dyDescent="0.2">
      <c r="A163" s="27">
        <v>20</v>
      </c>
      <c r="B163" s="27">
        <v>1</v>
      </c>
      <c r="C163" s="27"/>
      <c r="D163" s="28">
        <v>16.858974358974358</v>
      </c>
      <c r="E163" s="28">
        <f t="shared" si="4"/>
        <v>-3.1410256410256423</v>
      </c>
      <c r="G163" s="28">
        <f t="shared" si="5"/>
        <v>7.138971945227178E-2</v>
      </c>
      <c r="L163" s="28"/>
    </row>
    <row r="164" spans="1:12" x14ac:dyDescent="0.2">
      <c r="A164" s="27">
        <v>19</v>
      </c>
      <c r="B164" s="27">
        <v>1</v>
      </c>
      <c r="C164" s="27"/>
      <c r="D164" s="28">
        <v>16.858974358974358</v>
      </c>
      <c r="E164" s="28">
        <f t="shared" si="4"/>
        <v>-2.1410256410256423</v>
      </c>
      <c r="G164" s="28">
        <f t="shared" si="5"/>
        <v>8.2596026638649928E-2</v>
      </c>
      <c r="L164" s="28"/>
    </row>
    <row r="165" spans="1:12" x14ac:dyDescent="0.2">
      <c r="A165" s="27">
        <v>20</v>
      </c>
      <c r="B165" s="27">
        <v>1</v>
      </c>
      <c r="C165" s="27"/>
      <c r="D165" s="28">
        <v>16.858974358974358</v>
      </c>
      <c r="E165" s="28">
        <f t="shared" si="4"/>
        <v>-3.1410256410256423</v>
      </c>
      <c r="G165" s="28">
        <f t="shared" si="5"/>
        <v>7.138971945227178E-2</v>
      </c>
      <c r="L165" s="28"/>
    </row>
    <row r="166" spans="1:12" x14ac:dyDescent="0.2">
      <c r="A166" s="27">
        <v>18</v>
      </c>
      <c r="B166" s="27">
        <v>1</v>
      </c>
      <c r="C166" s="27"/>
      <c r="D166" s="28">
        <v>16.858974358974358</v>
      </c>
      <c r="E166" s="28">
        <f t="shared" si="4"/>
        <v>-1.1410256410256423</v>
      </c>
      <c r="G166" s="28">
        <f t="shared" si="5"/>
        <v>9.0428595220514676E-2</v>
      </c>
      <c r="L166" s="28"/>
    </row>
    <row r="167" spans="1:12" x14ac:dyDescent="0.2">
      <c r="A167" s="27">
        <v>21</v>
      </c>
      <c r="B167" s="27">
        <v>1</v>
      </c>
      <c r="C167" s="27"/>
      <c r="D167" s="28">
        <v>16.858974358974358</v>
      </c>
      <c r="E167" s="28">
        <f t="shared" si="4"/>
        <v>-4.1410256410256423</v>
      </c>
      <c r="G167" s="28">
        <f t="shared" si="5"/>
        <v>5.8389578885814829E-2</v>
      </c>
      <c r="L167" s="28"/>
    </row>
    <row r="168" spans="1:12" x14ac:dyDescent="0.2">
      <c r="A168" s="27">
        <v>19</v>
      </c>
      <c r="B168" s="27">
        <v>1</v>
      </c>
      <c r="C168" s="27"/>
      <c r="D168" s="28">
        <v>16.858974358974358</v>
      </c>
      <c r="E168" s="28">
        <f t="shared" si="4"/>
        <v>-2.1410256410256423</v>
      </c>
      <c r="G168" s="28">
        <f t="shared" si="5"/>
        <v>8.2596026638649928E-2</v>
      </c>
      <c r="L168" s="28"/>
    </row>
    <row r="169" spans="1:12" x14ac:dyDescent="0.2">
      <c r="A169" s="27">
        <v>19</v>
      </c>
      <c r="B169" s="27">
        <v>1</v>
      </c>
      <c r="C169" s="27"/>
      <c r="D169" s="28">
        <v>16.858974358974358</v>
      </c>
      <c r="E169" s="28">
        <f t="shared" si="4"/>
        <v>-2.1410256410256423</v>
      </c>
      <c r="G169" s="28">
        <f t="shared" si="5"/>
        <v>8.2596026638649928E-2</v>
      </c>
      <c r="L169" s="28"/>
    </row>
    <row r="170" spans="1:12" x14ac:dyDescent="0.2">
      <c r="A170" s="27">
        <v>19</v>
      </c>
      <c r="B170" s="27">
        <v>1</v>
      </c>
      <c r="C170" s="27"/>
      <c r="D170" s="28">
        <v>16.858974358974358</v>
      </c>
      <c r="E170" s="28">
        <f t="shared" si="4"/>
        <v>-2.1410256410256423</v>
      </c>
      <c r="G170" s="28">
        <f t="shared" si="5"/>
        <v>8.2596026638649928E-2</v>
      </c>
      <c r="L170" s="28"/>
    </row>
    <row r="171" spans="1:12" x14ac:dyDescent="0.2">
      <c r="A171" s="27">
        <v>20</v>
      </c>
      <c r="B171" s="27">
        <v>1</v>
      </c>
      <c r="C171" s="27"/>
      <c r="D171" s="28">
        <v>16.858974358974358</v>
      </c>
      <c r="E171" s="28">
        <f t="shared" si="4"/>
        <v>-3.1410256410256423</v>
      </c>
      <c r="G171" s="28">
        <f t="shared" si="5"/>
        <v>7.138971945227178E-2</v>
      </c>
      <c r="L171" s="28"/>
    </row>
    <row r="172" spans="1:12" x14ac:dyDescent="0.2">
      <c r="A172" s="27">
        <v>20</v>
      </c>
      <c r="B172" s="27">
        <v>1</v>
      </c>
      <c r="C172" s="27"/>
      <c r="D172" s="28">
        <v>16.858974358974358</v>
      </c>
      <c r="E172" s="28">
        <f t="shared" si="4"/>
        <v>-3.1410256410256423</v>
      </c>
      <c r="G172" s="28">
        <f t="shared" si="5"/>
        <v>7.138971945227178E-2</v>
      </c>
      <c r="L172" s="28"/>
    </row>
    <row r="173" spans="1:12" x14ac:dyDescent="0.2">
      <c r="A173" s="27">
        <v>19</v>
      </c>
      <c r="B173" s="27">
        <v>1</v>
      </c>
      <c r="C173" s="27"/>
      <c r="D173" s="28">
        <v>16.858974358974358</v>
      </c>
      <c r="E173" s="28">
        <f t="shared" si="4"/>
        <v>-2.1410256410256423</v>
      </c>
      <c r="G173" s="28">
        <f t="shared" si="5"/>
        <v>8.2596026638649928E-2</v>
      </c>
      <c r="L173" s="28"/>
    </row>
    <row r="174" spans="1:12" x14ac:dyDescent="0.2">
      <c r="A174" s="27">
        <v>20</v>
      </c>
      <c r="B174" s="27">
        <v>1</v>
      </c>
      <c r="C174" s="27"/>
      <c r="D174" s="28">
        <v>16.858974358974358</v>
      </c>
      <c r="E174" s="28">
        <f t="shared" si="4"/>
        <v>-3.1410256410256423</v>
      </c>
      <c r="G174" s="28">
        <f t="shared" si="5"/>
        <v>7.138971945227178E-2</v>
      </c>
      <c r="L174" s="28"/>
    </row>
    <row r="175" spans="1:12" x14ac:dyDescent="0.2">
      <c r="A175" s="27">
        <v>15</v>
      </c>
      <c r="B175" s="27">
        <v>1</v>
      </c>
      <c r="C175" s="27"/>
      <c r="D175" s="28">
        <v>16.858974358974358</v>
      </c>
      <c r="E175" s="28">
        <f t="shared" si="4"/>
        <v>1.8589743589743577</v>
      </c>
      <c r="G175" s="28">
        <f t="shared" si="5"/>
        <v>8.5208821600122359E-2</v>
      </c>
      <c r="L175" s="28"/>
    </row>
    <row r="176" spans="1:12" x14ac:dyDescent="0.2">
      <c r="A176" s="27">
        <v>16</v>
      </c>
      <c r="B176" s="27">
        <v>1</v>
      </c>
      <c r="C176" s="27"/>
      <c r="D176" s="28">
        <v>16.858974358974358</v>
      </c>
      <c r="E176" s="28">
        <f t="shared" si="4"/>
        <v>0.8589743589743577</v>
      </c>
      <c r="G176" s="28">
        <f t="shared" si="5"/>
        <v>9.1847742433773194E-2</v>
      </c>
      <c r="L176" s="28"/>
    </row>
    <row r="177" spans="1:12" x14ac:dyDescent="0.2">
      <c r="A177" s="27">
        <v>15</v>
      </c>
      <c r="B177" s="27">
        <v>1</v>
      </c>
      <c r="C177" s="27"/>
      <c r="D177" s="28">
        <v>16.858974358974358</v>
      </c>
      <c r="E177" s="28">
        <f t="shared" si="4"/>
        <v>1.8589743589743577</v>
      </c>
      <c r="G177" s="28">
        <f t="shared" si="5"/>
        <v>8.5208821600122359E-2</v>
      </c>
      <c r="L177" s="28"/>
    </row>
    <row r="178" spans="1:12" x14ac:dyDescent="0.2">
      <c r="A178" s="27">
        <v>15</v>
      </c>
      <c r="B178" s="27">
        <v>1</v>
      </c>
      <c r="C178" s="27"/>
      <c r="D178" s="28">
        <v>16.858974358974358</v>
      </c>
      <c r="E178" s="28">
        <f t="shared" si="4"/>
        <v>1.8589743589743577</v>
      </c>
      <c r="G178" s="28">
        <f t="shared" si="5"/>
        <v>8.5208821600122359E-2</v>
      </c>
      <c r="L178" s="28"/>
    </row>
    <row r="179" spans="1:12" x14ac:dyDescent="0.2">
      <c r="A179" s="27">
        <v>16</v>
      </c>
      <c r="B179" s="27">
        <v>1</v>
      </c>
      <c r="C179" s="27"/>
      <c r="D179" s="28">
        <v>16.858974358974358</v>
      </c>
      <c r="E179" s="28">
        <f t="shared" si="4"/>
        <v>0.8589743589743577</v>
      </c>
      <c r="G179" s="28">
        <f t="shared" si="5"/>
        <v>9.1847742433773194E-2</v>
      </c>
      <c r="L179" s="28"/>
    </row>
    <row r="180" spans="1:12" x14ac:dyDescent="0.2">
      <c r="A180" s="27">
        <v>14</v>
      </c>
      <c r="B180" s="27">
        <v>1</v>
      </c>
      <c r="C180" s="27"/>
      <c r="D180" s="28">
        <v>16.858974358974358</v>
      </c>
      <c r="E180" s="28">
        <f t="shared" si="4"/>
        <v>2.8589743589743577</v>
      </c>
      <c r="G180" s="28">
        <f t="shared" si="5"/>
        <v>7.4803820711623142E-2</v>
      </c>
      <c r="L180" s="28"/>
    </row>
    <row r="181" spans="1:12" x14ac:dyDescent="0.2">
      <c r="A181" s="27">
        <v>21</v>
      </c>
      <c r="B181" s="27">
        <v>1</v>
      </c>
      <c r="C181" s="27"/>
      <c r="D181" s="28">
        <v>16.858974358974358</v>
      </c>
      <c r="E181" s="28">
        <f t="shared" si="4"/>
        <v>-4.1410256410256423</v>
      </c>
      <c r="G181" s="28">
        <f t="shared" si="5"/>
        <v>5.8389578885814829E-2</v>
      </c>
      <c r="L181" s="28"/>
    </row>
    <row r="182" spans="1:12" x14ac:dyDescent="0.2">
      <c r="A182" s="27">
        <v>21</v>
      </c>
      <c r="B182" s="27">
        <v>1</v>
      </c>
      <c r="C182" s="27"/>
      <c r="D182" s="28">
        <v>16.858974358974358</v>
      </c>
      <c r="E182" s="28">
        <f t="shared" si="4"/>
        <v>-4.1410256410256423</v>
      </c>
      <c r="G182" s="28">
        <f t="shared" si="5"/>
        <v>5.8389578885814829E-2</v>
      </c>
      <c r="L182" s="28"/>
    </row>
    <row r="183" spans="1:12" x14ac:dyDescent="0.2">
      <c r="A183" s="27">
        <v>21</v>
      </c>
      <c r="B183" s="27">
        <v>1</v>
      </c>
      <c r="C183" s="27"/>
      <c r="D183" s="28">
        <v>16.858974358974358</v>
      </c>
      <c r="E183" s="28">
        <f t="shared" si="4"/>
        <v>-4.1410256410256423</v>
      </c>
      <c r="G183" s="28">
        <f t="shared" si="5"/>
        <v>5.8389578885814829E-2</v>
      </c>
      <c r="L183" s="28"/>
    </row>
    <row r="184" spans="1:12" x14ac:dyDescent="0.2">
      <c r="A184" s="27">
        <v>21</v>
      </c>
      <c r="B184" s="27">
        <v>1</v>
      </c>
      <c r="C184" s="27"/>
      <c r="D184" s="28">
        <v>16.858974358974358</v>
      </c>
      <c r="E184" s="28">
        <f t="shared" si="4"/>
        <v>-4.1410256410256423</v>
      </c>
      <c r="G184" s="28">
        <f t="shared" si="5"/>
        <v>5.8389578885814829E-2</v>
      </c>
      <c r="L184" s="28"/>
    </row>
    <row r="185" spans="1:12" x14ac:dyDescent="0.2">
      <c r="A185" s="27">
        <v>18</v>
      </c>
      <c r="B185" s="27">
        <v>1</v>
      </c>
      <c r="C185" s="27"/>
      <c r="D185" s="28">
        <v>16.858974358974358</v>
      </c>
      <c r="E185" s="28">
        <f t="shared" si="4"/>
        <v>-1.1410256410256423</v>
      </c>
      <c r="G185" s="28">
        <f t="shared" si="5"/>
        <v>9.0428595220514676E-2</v>
      </c>
      <c r="L185" s="28"/>
    </row>
    <row r="186" spans="1:12" x14ac:dyDescent="0.2">
      <c r="A186" s="27">
        <v>18</v>
      </c>
      <c r="B186" s="27">
        <v>1</v>
      </c>
      <c r="C186" s="27"/>
      <c r="D186" s="28">
        <v>16.858974358974358</v>
      </c>
      <c r="E186" s="28">
        <f t="shared" si="4"/>
        <v>-1.1410256410256423</v>
      </c>
      <c r="G186" s="28">
        <f t="shared" si="5"/>
        <v>9.0428595220514676E-2</v>
      </c>
      <c r="L186" s="28"/>
    </row>
    <row r="187" spans="1:12" x14ac:dyDescent="0.2">
      <c r="A187" s="27">
        <v>19</v>
      </c>
      <c r="B187" s="27">
        <v>1</v>
      </c>
      <c r="C187" s="27"/>
      <c r="D187" s="28">
        <v>16.858974358974358</v>
      </c>
      <c r="E187" s="28">
        <f t="shared" si="4"/>
        <v>-2.1410256410256423</v>
      </c>
      <c r="G187" s="28">
        <f t="shared" si="5"/>
        <v>8.2596026638649928E-2</v>
      </c>
      <c r="L187" s="28"/>
    </row>
    <row r="188" spans="1:12" x14ac:dyDescent="0.2">
      <c r="A188" s="27">
        <v>21</v>
      </c>
      <c r="B188" s="27">
        <v>1</v>
      </c>
      <c r="C188" s="27"/>
      <c r="D188" s="28">
        <v>16.858974358974358</v>
      </c>
      <c r="E188" s="28">
        <f t="shared" si="4"/>
        <v>-4.1410256410256423</v>
      </c>
      <c r="G188" s="28">
        <f t="shared" si="5"/>
        <v>5.8389578885814829E-2</v>
      </c>
      <c r="L188" s="28"/>
    </row>
    <row r="189" spans="1:12" x14ac:dyDescent="0.2">
      <c r="A189" s="27">
        <v>21</v>
      </c>
      <c r="B189" s="27">
        <v>1</v>
      </c>
      <c r="C189" s="27"/>
      <c r="D189" s="28">
        <v>16.858974358974358</v>
      </c>
      <c r="E189" s="28">
        <f t="shared" si="4"/>
        <v>-4.1410256410256423</v>
      </c>
      <c r="G189" s="28">
        <f t="shared" si="5"/>
        <v>5.8389578885814829E-2</v>
      </c>
      <c r="L189" s="28"/>
    </row>
    <row r="190" spans="1:12" x14ac:dyDescent="0.2">
      <c r="A190" s="27">
        <v>21</v>
      </c>
      <c r="B190" s="27">
        <v>1</v>
      </c>
      <c r="C190" s="27"/>
      <c r="D190" s="28">
        <v>16.858974358974358</v>
      </c>
      <c r="E190" s="28">
        <f t="shared" si="4"/>
        <v>-4.1410256410256423</v>
      </c>
      <c r="G190" s="28">
        <f t="shared" si="5"/>
        <v>5.8389578885814829E-2</v>
      </c>
      <c r="L190" s="28"/>
    </row>
    <row r="191" spans="1:12" x14ac:dyDescent="0.2">
      <c r="A191" s="27">
        <v>22</v>
      </c>
      <c r="B191" s="27">
        <v>1</v>
      </c>
      <c r="C191" s="27"/>
      <c r="D191" s="28">
        <v>16.858974358974358</v>
      </c>
      <c r="E191" s="28">
        <f t="shared" si="4"/>
        <v>-5.1410256410256423</v>
      </c>
      <c r="G191" s="28">
        <f t="shared" si="5"/>
        <v>4.5191645925457373E-2</v>
      </c>
      <c r="L191" s="28"/>
    </row>
    <row r="192" spans="1:12" x14ac:dyDescent="0.2">
      <c r="A192" s="27">
        <v>18</v>
      </c>
      <c r="B192" s="27">
        <v>1</v>
      </c>
      <c r="C192" s="27"/>
      <c r="D192" s="28">
        <v>16.858974358974358</v>
      </c>
      <c r="E192" s="28">
        <f t="shared" si="4"/>
        <v>-1.1410256410256423</v>
      </c>
      <c r="G192" s="28">
        <f t="shared" si="5"/>
        <v>9.0428595220514676E-2</v>
      </c>
      <c r="L192" s="28"/>
    </row>
    <row r="193" spans="1:12" x14ac:dyDescent="0.2">
      <c r="A193" s="27">
        <v>18</v>
      </c>
      <c r="B193" s="27">
        <v>1</v>
      </c>
      <c r="C193" s="27"/>
      <c r="D193" s="28">
        <v>16.858974358974358</v>
      </c>
      <c r="E193" s="28">
        <f t="shared" si="4"/>
        <v>-1.1410256410256423</v>
      </c>
      <c r="G193" s="28">
        <f t="shared" si="5"/>
        <v>9.0428595220514676E-2</v>
      </c>
      <c r="L193" s="28"/>
    </row>
    <row r="194" spans="1:12" x14ac:dyDescent="0.2">
      <c r="A194" s="27">
        <v>18</v>
      </c>
      <c r="B194" s="27">
        <v>1</v>
      </c>
      <c r="C194" s="27"/>
      <c r="D194" s="28">
        <v>16.858974358974358</v>
      </c>
      <c r="E194" s="28">
        <f t="shared" si="4"/>
        <v>-1.1410256410256423</v>
      </c>
      <c r="G194" s="28">
        <f t="shared" si="5"/>
        <v>9.0428595220514676E-2</v>
      </c>
      <c r="L194" s="28"/>
    </row>
    <row r="195" spans="1:12" x14ac:dyDescent="0.2">
      <c r="A195" s="27">
        <v>24</v>
      </c>
      <c r="B195" s="27">
        <v>1</v>
      </c>
      <c r="C195" s="27"/>
      <c r="D195" s="28">
        <v>16.858974358974358</v>
      </c>
      <c r="E195" s="28">
        <f t="shared" ref="E195:E235" si="6">D195-A195</f>
        <v>-7.1410256410256423</v>
      </c>
      <c r="G195" s="28">
        <f t="shared" ref="G195:G235" si="7">_xlfn.NORM.DIST(E195,0,$F$2,FALSE)</f>
        <v>2.293893420103504E-2</v>
      </c>
      <c r="L195" s="28"/>
    </row>
    <row r="196" spans="1:12" x14ac:dyDescent="0.2">
      <c r="A196" s="27">
        <v>24</v>
      </c>
      <c r="B196" s="27">
        <v>1</v>
      </c>
      <c r="C196" s="27"/>
      <c r="D196" s="28">
        <v>16.858974358974358</v>
      </c>
      <c r="E196" s="28">
        <f t="shared" si="6"/>
        <v>-7.1410256410256423</v>
      </c>
      <c r="G196" s="28">
        <f t="shared" si="7"/>
        <v>2.293893420103504E-2</v>
      </c>
      <c r="L196" s="28"/>
    </row>
    <row r="197" spans="1:12" x14ac:dyDescent="0.2">
      <c r="A197" s="27">
        <v>26</v>
      </c>
      <c r="B197" s="27">
        <v>1</v>
      </c>
      <c r="C197" s="27"/>
      <c r="D197" s="28">
        <v>16.858974358974358</v>
      </c>
      <c r="E197" s="28">
        <f t="shared" si="6"/>
        <v>-9.1410256410256423</v>
      </c>
      <c r="G197" s="28">
        <f t="shared" si="7"/>
        <v>9.3364312813032559E-3</v>
      </c>
      <c r="L197" s="28"/>
    </row>
    <row r="198" spans="1:12" x14ac:dyDescent="0.2">
      <c r="A198" s="27">
        <v>28</v>
      </c>
      <c r="B198" s="27">
        <v>1</v>
      </c>
      <c r="C198" s="27"/>
      <c r="D198" s="28">
        <v>16.858974358974358</v>
      </c>
      <c r="E198" s="28">
        <f t="shared" si="6"/>
        <v>-11.141025641025642</v>
      </c>
      <c r="G198" s="28">
        <f t="shared" si="7"/>
        <v>3.0470611306731058E-3</v>
      </c>
      <c r="L198" s="28"/>
    </row>
    <row r="199" spans="1:12" x14ac:dyDescent="0.2">
      <c r="A199" s="27">
        <v>26</v>
      </c>
      <c r="B199" s="27">
        <v>1</v>
      </c>
      <c r="C199" s="27"/>
      <c r="D199" s="28">
        <v>16.858974358974358</v>
      </c>
      <c r="E199" s="28">
        <f t="shared" si="6"/>
        <v>-9.1410256410256423</v>
      </c>
      <c r="G199" s="28">
        <f t="shared" si="7"/>
        <v>9.3364312813032559E-3</v>
      </c>
      <c r="L199" s="28"/>
    </row>
    <row r="200" spans="1:12" x14ac:dyDescent="0.2">
      <c r="A200" s="27">
        <v>11</v>
      </c>
      <c r="B200" s="27">
        <v>1</v>
      </c>
      <c r="C200" s="27"/>
      <c r="D200" s="28">
        <v>16.858974358974358</v>
      </c>
      <c r="E200" s="28">
        <f t="shared" si="6"/>
        <v>5.8589743589743577</v>
      </c>
      <c r="G200" s="28">
        <f t="shared" si="7"/>
        <v>3.6339616015446226E-2</v>
      </c>
      <c r="L200" s="28"/>
    </row>
    <row r="201" spans="1:12" x14ac:dyDescent="0.2">
      <c r="A201" s="27">
        <v>13</v>
      </c>
      <c r="B201" s="27">
        <v>1</v>
      </c>
      <c r="C201" s="27"/>
      <c r="D201" s="28">
        <v>16.858974358974358</v>
      </c>
      <c r="E201" s="28">
        <f t="shared" si="6"/>
        <v>3.8589743589743577</v>
      </c>
      <c r="G201" s="28">
        <f t="shared" si="7"/>
        <v>6.2142132155231941E-2</v>
      </c>
      <c r="L201" s="28"/>
    </row>
    <row r="202" spans="1:12" x14ac:dyDescent="0.2">
      <c r="A202" s="27">
        <v>15</v>
      </c>
      <c r="B202" s="27">
        <v>1</v>
      </c>
      <c r="C202" s="27"/>
      <c r="D202" s="28">
        <v>16.858974358974358</v>
      </c>
      <c r="E202" s="28">
        <f t="shared" si="6"/>
        <v>1.8589743589743577</v>
      </c>
      <c r="G202" s="28">
        <f t="shared" si="7"/>
        <v>8.5208821600122359E-2</v>
      </c>
      <c r="L202" s="28"/>
    </row>
    <row r="203" spans="1:12" x14ac:dyDescent="0.2">
      <c r="A203" s="27">
        <v>16</v>
      </c>
      <c r="B203" s="27">
        <v>1</v>
      </c>
      <c r="C203" s="27"/>
      <c r="D203" s="28">
        <v>16.858974358974358</v>
      </c>
      <c r="E203" s="28">
        <f t="shared" si="6"/>
        <v>0.8589743589743577</v>
      </c>
      <c r="G203" s="28">
        <f t="shared" si="7"/>
        <v>9.1847742433773194E-2</v>
      </c>
      <c r="L203" s="28"/>
    </row>
    <row r="204" spans="1:12" x14ac:dyDescent="0.2">
      <c r="A204" s="27">
        <v>17</v>
      </c>
      <c r="B204" s="27">
        <v>1</v>
      </c>
      <c r="C204" s="27"/>
      <c r="D204" s="28">
        <v>16.858974358974358</v>
      </c>
      <c r="E204" s="28">
        <f t="shared" si="6"/>
        <v>-0.1410256410256423</v>
      </c>
      <c r="G204" s="28">
        <f t="shared" si="7"/>
        <v>9.3686186441259228E-2</v>
      </c>
      <c r="L204" s="28"/>
    </row>
    <row r="205" spans="1:12" x14ac:dyDescent="0.2">
      <c r="A205" s="27">
        <v>15</v>
      </c>
      <c r="B205" s="27">
        <v>1</v>
      </c>
      <c r="C205" s="27"/>
      <c r="D205" s="28">
        <v>16.858974358974358</v>
      </c>
      <c r="E205" s="28">
        <f t="shared" si="6"/>
        <v>1.8589743589743577</v>
      </c>
      <c r="G205" s="28">
        <f t="shared" si="7"/>
        <v>8.5208821600122359E-2</v>
      </c>
      <c r="L205" s="28"/>
    </row>
    <row r="206" spans="1:12" x14ac:dyDescent="0.2">
      <c r="A206" s="27">
        <v>15</v>
      </c>
      <c r="B206" s="27">
        <v>1</v>
      </c>
      <c r="C206" s="27"/>
      <c r="D206" s="28">
        <v>16.858974358974358</v>
      </c>
      <c r="E206" s="28">
        <f t="shared" si="6"/>
        <v>1.8589743589743577</v>
      </c>
      <c r="G206" s="28">
        <f t="shared" si="7"/>
        <v>8.5208821600122359E-2</v>
      </c>
      <c r="L206" s="28"/>
    </row>
    <row r="207" spans="1:12" x14ac:dyDescent="0.2">
      <c r="A207" s="27">
        <v>15</v>
      </c>
      <c r="B207" s="27">
        <v>1</v>
      </c>
      <c r="C207" s="27"/>
      <c r="D207" s="28">
        <v>16.858974358974358</v>
      </c>
      <c r="E207" s="28">
        <f t="shared" si="6"/>
        <v>1.8589743589743577</v>
      </c>
      <c r="G207" s="28">
        <f t="shared" si="7"/>
        <v>8.5208821600122359E-2</v>
      </c>
      <c r="L207" s="28"/>
    </row>
    <row r="208" spans="1:12" x14ac:dyDescent="0.2">
      <c r="A208" s="27">
        <v>16</v>
      </c>
      <c r="B208" s="27">
        <v>1</v>
      </c>
      <c r="C208" s="27"/>
      <c r="D208" s="28">
        <v>16.858974358974358</v>
      </c>
      <c r="E208" s="28">
        <f t="shared" si="6"/>
        <v>0.8589743589743577</v>
      </c>
      <c r="G208" s="28">
        <f t="shared" si="7"/>
        <v>9.1847742433773194E-2</v>
      </c>
      <c r="L208" s="28"/>
    </row>
    <row r="209" spans="1:12" x14ac:dyDescent="0.2">
      <c r="A209" s="27">
        <v>21</v>
      </c>
      <c r="B209" s="27">
        <v>1</v>
      </c>
      <c r="C209" s="27"/>
      <c r="D209" s="28">
        <v>16.858974358974358</v>
      </c>
      <c r="E209" s="28">
        <f t="shared" si="6"/>
        <v>-4.1410256410256423</v>
      </c>
      <c r="G209" s="28">
        <f t="shared" si="7"/>
        <v>5.8389578885814829E-2</v>
      </c>
      <c r="L209" s="28"/>
    </row>
    <row r="210" spans="1:12" x14ac:dyDescent="0.2">
      <c r="A210" s="27">
        <v>19</v>
      </c>
      <c r="B210" s="27">
        <v>1</v>
      </c>
      <c r="C210" s="27"/>
      <c r="D210" s="28">
        <v>16.858974358974358</v>
      </c>
      <c r="E210" s="28">
        <f t="shared" si="6"/>
        <v>-2.1410256410256423</v>
      </c>
      <c r="G210" s="28">
        <f t="shared" si="7"/>
        <v>8.2596026638649928E-2</v>
      </c>
      <c r="L210" s="28"/>
    </row>
    <row r="211" spans="1:12" x14ac:dyDescent="0.2">
      <c r="A211" s="27">
        <v>21</v>
      </c>
      <c r="B211" s="27">
        <v>1</v>
      </c>
      <c r="C211" s="27"/>
      <c r="D211" s="28">
        <v>16.858974358974358</v>
      </c>
      <c r="E211" s="28">
        <f t="shared" si="6"/>
        <v>-4.1410256410256423</v>
      </c>
      <c r="G211" s="28">
        <f t="shared" si="7"/>
        <v>5.8389578885814829E-2</v>
      </c>
      <c r="L211" s="28"/>
    </row>
    <row r="212" spans="1:12" x14ac:dyDescent="0.2">
      <c r="A212" s="27">
        <v>22</v>
      </c>
      <c r="B212" s="27">
        <v>1</v>
      </c>
      <c r="C212" s="27"/>
      <c r="D212" s="28">
        <v>16.858974358974358</v>
      </c>
      <c r="E212" s="28">
        <f t="shared" si="6"/>
        <v>-5.1410256410256423</v>
      </c>
      <c r="G212" s="28">
        <f t="shared" si="7"/>
        <v>4.5191645925457373E-2</v>
      </c>
      <c r="L212" s="28"/>
    </row>
    <row r="213" spans="1:12" x14ac:dyDescent="0.2">
      <c r="A213" s="27">
        <v>17</v>
      </c>
      <c r="B213" s="27">
        <v>1</v>
      </c>
      <c r="C213" s="27"/>
      <c r="D213" s="28">
        <v>16.858974358974358</v>
      </c>
      <c r="E213" s="28">
        <f t="shared" si="6"/>
        <v>-0.1410256410256423</v>
      </c>
      <c r="G213" s="28">
        <f t="shared" si="7"/>
        <v>9.3686186441259228E-2</v>
      </c>
      <c r="L213" s="28"/>
    </row>
    <row r="214" spans="1:12" x14ac:dyDescent="0.2">
      <c r="A214" s="27">
        <v>33</v>
      </c>
      <c r="B214" s="27">
        <v>1</v>
      </c>
      <c r="C214" s="27"/>
      <c r="D214" s="28">
        <v>16.858974358974358</v>
      </c>
      <c r="E214" s="28">
        <f t="shared" si="6"/>
        <v>-16.141025641025642</v>
      </c>
      <c r="G214" s="28">
        <f t="shared" si="7"/>
        <v>7.0556481624534586E-5</v>
      </c>
      <c r="L214" s="28"/>
    </row>
    <row r="215" spans="1:12" x14ac:dyDescent="0.2">
      <c r="A215" s="27">
        <v>21</v>
      </c>
      <c r="B215" s="27">
        <v>1</v>
      </c>
      <c r="C215" s="27"/>
      <c r="D215" s="28">
        <v>16.858974358974358</v>
      </c>
      <c r="E215" s="28">
        <f t="shared" si="6"/>
        <v>-4.1410256410256423</v>
      </c>
      <c r="G215" s="28">
        <f t="shared" si="7"/>
        <v>5.8389578885814829E-2</v>
      </c>
      <c r="L215" s="28"/>
    </row>
    <row r="216" spans="1:12" x14ac:dyDescent="0.2">
      <c r="A216" s="27">
        <v>19</v>
      </c>
      <c r="B216" s="27">
        <v>1</v>
      </c>
      <c r="C216" s="27"/>
      <c r="D216" s="28">
        <v>16.858974358974358</v>
      </c>
      <c r="E216" s="28">
        <f t="shared" si="6"/>
        <v>-2.1410256410256423</v>
      </c>
      <c r="G216" s="28">
        <f t="shared" si="7"/>
        <v>8.2596026638649928E-2</v>
      </c>
      <c r="L216" s="28"/>
    </row>
    <row r="217" spans="1:12" x14ac:dyDescent="0.2">
      <c r="A217" s="27">
        <v>22</v>
      </c>
      <c r="B217" s="27">
        <v>1</v>
      </c>
      <c r="C217" s="27"/>
      <c r="D217" s="28">
        <v>16.858974358974358</v>
      </c>
      <c r="E217" s="28">
        <f t="shared" si="6"/>
        <v>-5.1410256410256423</v>
      </c>
      <c r="G217" s="28">
        <f t="shared" si="7"/>
        <v>4.5191645925457373E-2</v>
      </c>
      <c r="L217" s="28"/>
    </row>
    <row r="218" spans="1:12" x14ac:dyDescent="0.2">
      <c r="A218" s="27">
        <v>21</v>
      </c>
      <c r="B218" s="27">
        <v>1</v>
      </c>
      <c r="C218" s="27"/>
      <c r="D218" s="28">
        <v>16.858974358974358</v>
      </c>
      <c r="E218" s="28">
        <f t="shared" si="6"/>
        <v>-4.1410256410256423</v>
      </c>
      <c r="G218" s="28">
        <f t="shared" si="7"/>
        <v>5.8389578885814829E-2</v>
      </c>
      <c r="L218" s="28"/>
    </row>
    <row r="219" spans="1:12" x14ac:dyDescent="0.2">
      <c r="A219" s="27">
        <v>21</v>
      </c>
      <c r="B219" s="27">
        <v>1</v>
      </c>
      <c r="C219" s="27"/>
      <c r="D219" s="28">
        <v>16.858974358974358</v>
      </c>
      <c r="E219" s="28">
        <f t="shared" si="6"/>
        <v>-4.1410256410256423</v>
      </c>
      <c r="G219" s="28">
        <f t="shared" si="7"/>
        <v>5.8389578885814829E-2</v>
      </c>
      <c r="L219" s="28"/>
    </row>
    <row r="220" spans="1:12" x14ac:dyDescent="0.2">
      <c r="A220" s="27">
        <v>21</v>
      </c>
      <c r="B220" s="27">
        <v>1</v>
      </c>
      <c r="C220" s="27"/>
      <c r="D220" s="28">
        <v>16.858974358974358</v>
      </c>
      <c r="E220" s="28">
        <f t="shared" si="6"/>
        <v>-4.1410256410256423</v>
      </c>
      <c r="G220" s="28">
        <f t="shared" si="7"/>
        <v>5.8389578885814829E-2</v>
      </c>
      <c r="L220" s="28"/>
    </row>
    <row r="221" spans="1:12" x14ac:dyDescent="0.2">
      <c r="A221" s="27">
        <v>16</v>
      </c>
      <c r="B221" s="27">
        <v>1</v>
      </c>
      <c r="C221" s="27"/>
      <c r="D221" s="28">
        <v>16.858974358974358</v>
      </c>
      <c r="E221" s="28">
        <f t="shared" si="6"/>
        <v>0.8589743589743577</v>
      </c>
      <c r="G221" s="28">
        <f t="shared" si="7"/>
        <v>9.1847742433773194E-2</v>
      </c>
      <c r="L221" s="28"/>
    </row>
    <row r="222" spans="1:12" x14ac:dyDescent="0.2">
      <c r="A222" s="27">
        <v>17</v>
      </c>
      <c r="B222" s="27">
        <v>1</v>
      </c>
      <c r="C222" s="27"/>
      <c r="D222" s="28">
        <v>16.858974358974358</v>
      </c>
      <c r="E222" s="28">
        <f t="shared" si="6"/>
        <v>-0.1410256410256423</v>
      </c>
      <c r="G222" s="28">
        <f t="shared" si="7"/>
        <v>9.3686186441259228E-2</v>
      </c>
      <c r="L222" s="28"/>
    </row>
    <row r="223" spans="1:12" x14ac:dyDescent="0.2">
      <c r="A223" s="27">
        <v>35</v>
      </c>
      <c r="B223" s="27">
        <v>1</v>
      </c>
      <c r="C223" s="27"/>
      <c r="D223" s="28">
        <v>16.858974358974358</v>
      </c>
      <c r="E223" s="28">
        <f t="shared" si="6"/>
        <v>-18.141025641025642</v>
      </c>
      <c r="G223" s="28">
        <f t="shared" si="7"/>
        <v>1.0630685082524548E-5</v>
      </c>
      <c r="L223" s="28"/>
    </row>
    <row r="224" spans="1:12" x14ac:dyDescent="0.2">
      <c r="A224" s="27">
        <v>29</v>
      </c>
      <c r="B224" s="27">
        <v>1</v>
      </c>
      <c r="C224" s="27"/>
      <c r="D224" s="28">
        <v>16.858974358974358</v>
      </c>
      <c r="E224" s="28">
        <f t="shared" si="6"/>
        <v>-12.141025641025642</v>
      </c>
      <c r="G224" s="28">
        <f t="shared" si="7"/>
        <v>1.60238186282746E-3</v>
      </c>
      <c r="L224" s="28"/>
    </row>
    <row r="225" spans="1:12" x14ac:dyDescent="0.2">
      <c r="A225" s="27">
        <v>21</v>
      </c>
      <c r="B225" s="27">
        <v>1</v>
      </c>
      <c r="C225" s="27"/>
      <c r="D225" s="28">
        <v>16.858974358974358</v>
      </c>
      <c r="E225" s="28">
        <f t="shared" si="6"/>
        <v>-4.1410256410256423</v>
      </c>
      <c r="G225" s="28">
        <f t="shared" si="7"/>
        <v>5.8389578885814829E-2</v>
      </c>
      <c r="L225" s="28"/>
    </row>
    <row r="226" spans="1:12" x14ac:dyDescent="0.2">
      <c r="A226" s="27">
        <v>19</v>
      </c>
      <c r="B226" s="27">
        <v>1</v>
      </c>
      <c r="C226" s="27"/>
      <c r="D226" s="28">
        <v>16.858974358974358</v>
      </c>
      <c r="E226" s="28">
        <f t="shared" si="6"/>
        <v>-2.1410256410256423</v>
      </c>
      <c r="G226" s="28">
        <f t="shared" si="7"/>
        <v>8.2596026638649928E-2</v>
      </c>
      <c r="L226" s="28"/>
    </row>
    <row r="227" spans="1:12" x14ac:dyDescent="0.2">
      <c r="A227" s="27">
        <v>20</v>
      </c>
      <c r="B227" s="27">
        <v>1</v>
      </c>
      <c r="C227" s="27"/>
      <c r="D227" s="28">
        <v>16.858974358974358</v>
      </c>
      <c r="E227" s="28">
        <f t="shared" si="6"/>
        <v>-3.1410256410256423</v>
      </c>
      <c r="G227" s="28">
        <f t="shared" si="7"/>
        <v>7.138971945227178E-2</v>
      </c>
      <c r="L227" s="28"/>
    </row>
    <row r="228" spans="1:12" x14ac:dyDescent="0.2">
      <c r="A228" s="27">
        <v>20</v>
      </c>
      <c r="B228" s="27">
        <v>1</v>
      </c>
      <c r="C228" s="27"/>
      <c r="D228" s="28">
        <v>16.858974358974358</v>
      </c>
      <c r="E228" s="28">
        <f t="shared" si="6"/>
        <v>-3.1410256410256423</v>
      </c>
      <c r="G228" s="28">
        <f t="shared" si="7"/>
        <v>7.138971945227178E-2</v>
      </c>
      <c r="L228" s="28"/>
    </row>
    <row r="229" spans="1:12" x14ac:dyDescent="0.2">
      <c r="A229" s="27">
        <v>21</v>
      </c>
      <c r="B229" s="27">
        <v>1</v>
      </c>
      <c r="C229" s="27"/>
      <c r="D229" s="28">
        <v>16.858974358974358</v>
      </c>
      <c r="E229" s="28">
        <f t="shared" si="6"/>
        <v>-4.1410256410256423</v>
      </c>
      <c r="G229" s="28">
        <f t="shared" si="7"/>
        <v>5.8389578885814829E-2</v>
      </c>
      <c r="L229" s="28"/>
    </row>
    <row r="230" spans="1:12" x14ac:dyDescent="0.2">
      <c r="A230" s="27">
        <v>18</v>
      </c>
      <c r="B230" s="27">
        <v>1</v>
      </c>
      <c r="C230" s="27"/>
      <c r="D230" s="28">
        <v>16.858974358974358</v>
      </c>
      <c r="E230" s="28">
        <f t="shared" si="6"/>
        <v>-1.1410256410256423</v>
      </c>
      <c r="G230" s="28">
        <f t="shared" si="7"/>
        <v>9.0428595220514676E-2</v>
      </c>
      <c r="L230" s="28"/>
    </row>
    <row r="231" spans="1:12" x14ac:dyDescent="0.2">
      <c r="A231" s="27">
        <v>19</v>
      </c>
      <c r="B231" s="27">
        <v>1</v>
      </c>
      <c r="C231" s="27"/>
      <c r="D231" s="28">
        <v>16.858974358974358</v>
      </c>
      <c r="E231" s="28">
        <f t="shared" si="6"/>
        <v>-2.1410256410256423</v>
      </c>
      <c r="G231" s="28">
        <f t="shared" si="7"/>
        <v>8.2596026638649928E-2</v>
      </c>
      <c r="L231" s="28"/>
    </row>
    <row r="232" spans="1:12" x14ac:dyDescent="0.2">
      <c r="A232" s="27">
        <v>21</v>
      </c>
      <c r="B232" s="27">
        <v>1</v>
      </c>
      <c r="C232" s="27"/>
      <c r="D232" s="28">
        <v>16.858974358974358</v>
      </c>
      <c r="E232" s="28">
        <f t="shared" si="6"/>
        <v>-4.1410256410256423</v>
      </c>
      <c r="G232" s="28">
        <f t="shared" si="7"/>
        <v>5.8389578885814829E-2</v>
      </c>
      <c r="L232" s="28"/>
    </row>
    <row r="233" spans="1:12" x14ac:dyDescent="0.2">
      <c r="A233" s="27">
        <v>16</v>
      </c>
      <c r="B233" s="27">
        <v>1</v>
      </c>
      <c r="C233" s="27"/>
      <c r="D233" s="28">
        <v>16.858974358974358</v>
      </c>
      <c r="E233" s="28">
        <f t="shared" si="6"/>
        <v>0.8589743589743577</v>
      </c>
      <c r="G233" s="28">
        <f t="shared" si="7"/>
        <v>9.1847742433773194E-2</v>
      </c>
      <c r="L233" s="28"/>
    </row>
    <row r="234" spans="1:12" x14ac:dyDescent="0.2">
      <c r="A234" s="27">
        <v>18</v>
      </c>
      <c r="B234" s="27">
        <v>1</v>
      </c>
      <c r="C234" s="27"/>
      <c r="D234" s="28">
        <v>16.858974358974358</v>
      </c>
      <c r="E234" s="28">
        <f t="shared" si="6"/>
        <v>-1.1410256410256423</v>
      </c>
      <c r="G234" s="28">
        <f t="shared" si="7"/>
        <v>9.0428595220514676E-2</v>
      </c>
      <c r="L234" s="28"/>
    </row>
    <row r="235" spans="1:12" x14ac:dyDescent="0.2">
      <c r="A235" s="27">
        <v>17</v>
      </c>
      <c r="B235" s="27">
        <v>1</v>
      </c>
      <c r="C235" s="27"/>
      <c r="D235" s="28">
        <v>16.858974358974358</v>
      </c>
      <c r="E235" s="28">
        <f t="shared" si="6"/>
        <v>-0.1410256410256423</v>
      </c>
      <c r="G235" s="28">
        <f t="shared" si="7"/>
        <v>9.3686186441259228E-2</v>
      </c>
      <c r="L235" s="2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91</v>
      </c>
      <c r="B1" s="27" t="s">
        <v>170</v>
      </c>
      <c r="C1" s="27" t="s">
        <v>92</v>
      </c>
      <c r="D1" s="28" t="s">
        <v>171</v>
      </c>
      <c r="E1" s="28" t="s">
        <v>172</v>
      </c>
      <c r="F1" s="28" t="s">
        <v>173</v>
      </c>
      <c r="G1" s="28" t="s">
        <v>175</v>
      </c>
      <c r="H1" s="28" t="s">
        <v>174</v>
      </c>
      <c r="I1" s="28" t="s">
        <v>177</v>
      </c>
      <c r="J1" s="28" t="s">
        <v>6</v>
      </c>
      <c r="K1" s="28" t="s">
        <v>176</v>
      </c>
      <c r="L1" s="28"/>
      <c r="M1" s="28" t="s">
        <v>184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183</v>
      </c>
      <c r="O2" s="28" t="s">
        <v>176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178</v>
      </c>
      <c r="I4" s="28" t="s">
        <v>179</v>
      </c>
      <c r="L4" s="28"/>
      <c r="M4" s="29" t="s">
        <v>86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87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88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181</v>
      </c>
      <c r="K7" s="28" t="s">
        <v>183</v>
      </c>
      <c r="L7" s="28"/>
      <c r="M7" s="29" t="s">
        <v>92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182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180</v>
      </c>
      <c r="K13" s="28" t="s">
        <v>176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196</v>
      </c>
    </row>
    <row r="4" spans="2:4" x14ac:dyDescent="0.3">
      <c r="B4" s="1" t="s">
        <v>197</v>
      </c>
    </row>
    <row r="5" spans="2:4" x14ac:dyDescent="0.3">
      <c r="B5" s="9" t="s">
        <v>204</v>
      </c>
    </row>
    <row r="6" spans="2:4" x14ac:dyDescent="0.3">
      <c r="B6" s="9"/>
    </row>
    <row r="7" spans="2:4" x14ac:dyDescent="0.3">
      <c r="C7" s="1" t="s">
        <v>202</v>
      </c>
    </row>
    <row r="8" spans="2:4" x14ac:dyDescent="0.3">
      <c r="C8" s="1">
        <v>2.2999999999999998</v>
      </c>
      <c r="D8" s="1" t="s">
        <v>198</v>
      </c>
    </row>
    <row r="9" spans="2:4" x14ac:dyDescent="0.3">
      <c r="C9" s="1">
        <v>3.1</v>
      </c>
      <c r="D9" s="1" t="s">
        <v>199</v>
      </c>
    </row>
    <row r="10" spans="2:4" x14ac:dyDescent="0.3">
      <c r="C10" s="1">
        <v>3.2</v>
      </c>
      <c r="D10" s="1" t="s">
        <v>200</v>
      </c>
    </row>
    <row r="12" spans="2:4" x14ac:dyDescent="0.3">
      <c r="C12" s="1" t="s">
        <v>203</v>
      </c>
    </row>
    <row r="13" spans="2:4" x14ac:dyDescent="0.3">
      <c r="C13" s="1">
        <v>3.5</v>
      </c>
      <c r="D13" s="1" t="s">
        <v>16</v>
      </c>
    </row>
    <row r="14" spans="2:4" x14ac:dyDescent="0.3">
      <c r="C14" s="1">
        <v>2.2000000000000002</v>
      </c>
      <c r="D14" s="1" t="s">
        <v>201</v>
      </c>
    </row>
    <row r="16" spans="2:4" x14ac:dyDescent="0.3">
      <c r="B16" s="1" t="s">
        <v>205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6"/>
  <sheetViews>
    <sheetView workbookViewId="0"/>
  </sheetViews>
  <sheetFormatPr baseColWidth="10" defaultRowHeight="26" x14ac:dyDescent="0.3"/>
  <cols>
    <col min="1" max="2" width="10.83203125" style="1"/>
    <col min="3" max="3" width="17.33203125" style="1" bestFit="1" customWidth="1"/>
    <col min="4" max="16384" width="10.83203125" style="1"/>
  </cols>
  <sheetData>
    <row r="2" spans="2:4" x14ac:dyDescent="0.3">
      <c r="C2" s="1" t="s">
        <v>208</v>
      </c>
      <c r="D2" s="1" t="s">
        <v>209</v>
      </c>
    </row>
    <row r="3" spans="2:4" x14ac:dyDescent="0.3">
      <c r="B3" s="1">
        <v>1</v>
      </c>
      <c r="C3" s="1" t="s">
        <v>15</v>
      </c>
      <c r="D3" s="1">
        <v>10</v>
      </c>
    </row>
    <row r="4" spans="2:4" x14ac:dyDescent="0.3">
      <c r="B4" s="1">
        <v>2</v>
      </c>
      <c r="C4" s="1" t="s">
        <v>207</v>
      </c>
      <c r="D4" s="1">
        <v>15</v>
      </c>
    </row>
    <row r="5" spans="2:4" x14ac:dyDescent="0.3">
      <c r="B5" s="1">
        <v>3</v>
      </c>
      <c r="C5" s="1" t="s">
        <v>30</v>
      </c>
      <c r="D5" s="1">
        <v>10</v>
      </c>
    </row>
    <row r="6" spans="2:4" x14ac:dyDescent="0.3">
      <c r="B6" s="1">
        <v>4</v>
      </c>
      <c r="C6" s="1" t="s">
        <v>176</v>
      </c>
      <c r="D6" s="1">
        <v>15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10"/>
  <sheetViews>
    <sheetView workbookViewId="0">
      <selection activeCell="B7" sqref="B7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12</v>
      </c>
    </row>
    <row r="3" spans="1:2" x14ac:dyDescent="0.3">
      <c r="B3" s="1" t="s">
        <v>189</v>
      </c>
    </row>
    <row r="4" spans="1:2" x14ac:dyDescent="0.3">
      <c r="B4" s="1" t="s">
        <v>7</v>
      </c>
    </row>
    <row r="5" spans="1:2" x14ac:dyDescent="0.3">
      <c r="B5" s="1" t="s">
        <v>8</v>
      </c>
    </row>
    <row r="6" spans="1:2" x14ac:dyDescent="0.3">
      <c r="B6" s="1" t="s">
        <v>9</v>
      </c>
    </row>
    <row r="7" spans="1:2" x14ac:dyDescent="0.3">
      <c r="B7" s="1" t="s">
        <v>10</v>
      </c>
    </row>
    <row r="8" spans="1:2" x14ac:dyDescent="0.3">
      <c r="A8" s="1">
        <v>1</v>
      </c>
      <c r="B8" s="1" t="s">
        <v>13</v>
      </c>
    </row>
    <row r="9" spans="1:2" x14ac:dyDescent="0.3">
      <c r="A9" s="1">
        <v>2</v>
      </c>
      <c r="B9" s="1" t="s">
        <v>11</v>
      </c>
    </row>
    <row r="10" spans="1:2" x14ac:dyDescent="0.3">
      <c r="A10" s="1">
        <v>3</v>
      </c>
      <c r="B10" s="1" t="s">
        <v>14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B8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12</v>
      </c>
    </row>
    <row r="3" spans="1:2" x14ac:dyDescent="0.3">
      <c r="B3" s="1" t="s">
        <v>36</v>
      </c>
    </row>
    <row r="4" spans="1:2" x14ac:dyDescent="0.3">
      <c r="B4" s="1" t="s">
        <v>210</v>
      </c>
    </row>
    <row r="5" spans="1:2" x14ac:dyDescent="0.3">
      <c r="A5" s="1">
        <v>1</v>
      </c>
      <c r="B5" s="1" t="s">
        <v>13</v>
      </c>
    </row>
    <row r="6" spans="1:2" x14ac:dyDescent="0.3">
      <c r="A6" s="1">
        <v>2</v>
      </c>
      <c r="B6" s="1" t="s">
        <v>37</v>
      </c>
    </row>
    <row r="7" spans="1:2" x14ac:dyDescent="0.3">
      <c r="B7" s="1" t="s">
        <v>212</v>
      </c>
    </row>
    <row r="8" spans="1:2" x14ac:dyDescent="0.3">
      <c r="B8" s="1" t="s">
        <v>211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27</v>
      </c>
    </row>
    <row r="3" spans="2:5" x14ac:dyDescent="0.25">
      <c r="B3" s="9" t="s">
        <v>31</v>
      </c>
      <c r="C3" s="9"/>
    </row>
    <row r="4" spans="2:5" x14ac:dyDescent="0.25">
      <c r="B4" s="8" t="s">
        <v>28</v>
      </c>
    </row>
    <row r="5" spans="2:5" x14ac:dyDescent="0.25">
      <c r="B5" s="8" t="s">
        <v>32</v>
      </c>
    </row>
    <row r="7" spans="2:5" x14ac:dyDescent="0.25">
      <c r="B7" s="11" t="s">
        <v>23</v>
      </c>
      <c r="C7" s="11" t="s">
        <v>24</v>
      </c>
      <c r="E7" s="11" t="s">
        <v>27</v>
      </c>
    </row>
    <row r="8" spans="2:5" x14ac:dyDescent="0.25">
      <c r="B8" s="8" t="s">
        <v>33</v>
      </c>
      <c r="C8" s="8" t="s">
        <v>34</v>
      </c>
      <c r="E8" s="12"/>
    </row>
    <row r="9" spans="2:5" x14ac:dyDescent="0.25">
      <c r="B9" s="8" t="s">
        <v>34</v>
      </c>
      <c r="C9" s="8" t="s">
        <v>33</v>
      </c>
    </row>
    <row r="10" spans="2:5" x14ac:dyDescent="0.25">
      <c r="B10" s="8" t="s">
        <v>33</v>
      </c>
      <c r="C10" s="8" t="s">
        <v>34</v>
      </c>
    </row>
    <row r="11" spans="2:5" x14ac:dyDescent="0.25">
      <c r="B11" s="8" t="s">
        <v>33</v>
      </c>
      <c r="C11" s="8" t="s">
        <v>33</v>
      </c>
    </row>
    <row r="12" spans="2:5" x14ac:dyDescent="0.25">
      <c r="B12" s="8" t="s">
        <v>34</v>
      </c>
      <c r="C12" s="8" t="s">
        <v>34</v>
      </c>
    </row>
    <row r="13" spans="2:5" x14ac:dyDescent="0.25">
      <c r="B13" s="8" t="s">
        <v>34</v>
      </c>
      <c r="C13" s="8" t="s">
        <v>33</v>
      </c>
    </row>
    <row r="14" spans="2:5" x14ac:dyDescent="0.25">
      <c r="B14" s="8" t="s">
        <v>33</v>
      </c>
      <c r="C14" s="8" t="s">
        <v>33</v>
      </c>
    </row>
    <row r="15" spans="2:5" x14ac:dyDescent="0.25">
      <c r="B15" s="8" t="s">
        <v>34</v>
      </c>
      <c r="C15" s="8" t="s">
        <v>33</v>
      </c>
    </row>
    <row r="16" spans="2:5" x14ac:dyDescent="0.25">
      <c r="B16" s="8" t="s">
        <v>33</v>
      </c>
      <c r="C16" s="8" t="s">
        <v>34</v>
      </c>
    </row>
    <row r="17" spans="2:4" x14ac:dyDescent="0.25">
      <c r="B17" s="8" t="s">
        <v>34</v>
      </c>
      <c r="C17" s="8" t="s">
        <v>34</v>
      </c>
    </row>
    <row r="18" spans="2:4" x14ac:dyDescent="0.25">
      <c r="B18" s="8" t="s">
        <v>33</v>
      </c>
      <c r="C18" s="8" t="s">
        <v>33</v>
      </c>
      <c r="D18" s="8" t="s">
        <v>35</v>
      </c>
    </row>
    <row r="19" spans="2:4" x14ac:dyDescent="0.25">
      <c r="B19" s="8" t="s">
        <v>34</v>
      </c>
      <c r="C19" s="8" t="s">
        <v>34</v>
      </c>
    </row>
    <row r="20" spans="2:4" x14ac:dyDescent="0.25">
      <c r="B20" s="8" t="s">
        <v>33</v>
      </c>
      <c r="C20" s="8" t="s">
        <v>33</v>
      </c>
    </row>
    <row r="21" spans="2:4" x14ac:dyDescent="0.25">
      <c r="B21" s="8" t="s">
        <v>34</v>
      </c>
      <c r="C21" s="8" t="s">
        <v>34</v>
      </c>
    </row>
    <row r="22" spans="2:4" x14ac:dyDescent="0.25">
      <c r="B22" s="8" t="s">
        <v>34</v>
      </c>
      <c r="C22" s="8" t="s">
        <v>33</v>
      </c>
    </row>
    <row r="23" spans="2:4" x14ac:dyDescent="0.25">
      <c r="B23" s="8" t="s">
        <v>34</v>
      </c>
      <c r="C23" s="8" t="s">
        <v>33</v>
      </c>
    </row>
    <row r="24" spans="2:4" x14ac:dyDescent="0.25">
      <c r="B24" s="8" t="s">
        <v>33</v>
      </c>
      <c r="C24" s="8" t="s">
        <v>34</v>
      </c>
    </row>
    <row r="25" spans="2:4" x14ac:dyDescent="0.25">
      <c r="B25" s="8" t="s">
        <v>34</v>
      </c>
      <c r="C25" s="8" t="s">
        <v>34</v>
      </c>
    </row>
    <row r="26" spans="2:4" x14ac:dyDescent="0.25">
      <c r="B26" s="8" t="s">
        <v>33</v>
      </c>
      <c r="C26" s="8" t="s">
        <v>33</v>
      </c>
    </row>
    <row r="27" spans="2:4" x14ac:dyDescent="0.25">
      <c r="B27" s="8" t="s">
        <v>34</v>
      </c>
      <c r="C27" s="8" t="s">
        <v>34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12</v>
      </c>
    </row>
    <row r="3" spans="1:2" x14ac:dyDescent="0.3">
      <c r="B3" s="1" t="s">
        <v>190</v>
      </c>
    </row>
    <row r="4" spans="1:2" x14ac:dyDescent="0.3">
      <c r="B4" s="1" t="s">
        <v>191</v>
      </c>
    </row>
    <row r="5" spans="1:2" x14ac:dyDescent="0.3">
      <c r="B5" s="1" t="s">
        <v>192</v>
      </c>
    </row>
    <row r="6" spans="1:2" x14ac:dyDescent="0.3">
      <c r="A6" s="31">
        <v>1</v>
      </c>
      <c r="B6" s="31" t="s">
        <v>13</v>
      </c>
    </row>
    <row r="7" spans="1:2" x14ac:dyDescent="0.3">
      <c r="A7" s="31">
        <v>2</v>
      </c>
      <c r="B7" s="31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Today</vt:lpstr>
      <vt:lpstr>Themes</vt:lpstr>
      <vt:lpstr>Regression</vt:lpstr>
      <vt:lpstr>Assumptions</vt:lpstr>
      <vt:lpstr>KNN</vt:lpstr>
      <vt:lpstr>OutOfSampleTesting</vt:lpstr>
      <vt:lpstr>Diagnostics</vt:lpstr>
      <vt:lpstr>AIC</vt:lpstr>
      <vt:lpstr>PreWork4NextClass</vt:lpstr>
      <vt:lpstr>InClassProjects</vt:lpstr>
      <vt:lpstr>Q_KNN</vt:lpstr>
      <vt:lpstr>Q_Regression</vt:lpstr>
      <vt:lpstr>Q_Diagnostics</vt:lpstr>
      <vt:lpstr>Q_AIC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2022-01-26T16:18:24Z</dcterms:modified>
</cp:coreProperties>
</file>