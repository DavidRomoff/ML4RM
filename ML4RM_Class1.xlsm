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10573E2A-AE5C-7B43-B601-4BA062B4D233}" xr6:coauthVersionLast="47" xr6:coauthVersionMax="47" xr10:uidLastSave="{00000000-0000-0000-0000-000000000000}"/>
  <bookViews>
    <workbookView xWindow="0" yWindow="500" windowWidth="28800" windowHeight="15800" xr2:uid="{2528C2F6-2D91-5941-BA0A-8E362C5A735B}"/>
  </bookViews>
  <sheets>
    <sheet name="Today" sheetId="6" r:id="rId1"/>
    <sheet name="Themes" sheetId="13" r:id="rId2"/>
    <sheet name="Regression_" sheetId="66" r:id="rId3"/>
    <sheet name="Assumptions" sheetId="35" r:id="rId4"/>
    <sheet name="Regression" sheetId="7" state="veryHidden" r:id="rId5"/>
    <sheet name="SetUp" sheetId="12" state="veryHidden" r:id="rId6"/>
    <sheet name="Linearity" sheetId="8" state="veryHidden" r:id="rId7"/>
    <sheet name="ConstantVariance" sheetId="9" state="veryHidden" r:id="rId8"/>
    <sheet name="Leverage" sheetId="10" state="veryHidden" r:id="rId9"/>
    <sheet name="IndependentErrors" sheetId="11" state="veryHidden" r:id="rId10"/>
    <sheet name="DurbinWatson" sheetId="16" state="veryHidden" r:id="rId11"/>
    <sheet name="KNN" sheetId="34" r:id="rId12"/>
    <sheet name="KNN_Data" sheetId="45" state="veryHidden" r:id="rId13"/>
    <sheet name="KNN_XNew" sheetId="46" state="veryHidden" r:id="rId14"/>
    <sheet name="KNN_Distance" sheetId="47" state="veryHidden" r:id="rId15"/>
    <sheet name="KNN_Nearest" sheetId="48" state="veryHidden" r:id="rId16"/>
    <sheet name="KNN_K" sheetId="49" state="veryHidden" r:id="rId17"/>
    <sheet name="KNN_Vote" sheetId="50" state="veryHidden" r:id="rId18"/>
    <sheet name="KNN_Link" sheetId="28" state="veryHidden" r:id="rId19"/>
    <sheet name="OutOfSampleTesting" sheetId="36" r:id="rId20"/>
    <sheet name="LearningCurves" sheetId="29" state="veryHidden" r:id="rId21"/>
    <sheet name="Contents" sheetId="37" state="veryHidden" r:id="rId22"/>
    <sheet name="BasicsWarmup" sheetId="38" state="veryHidden" r:id="rId23"/>
    <sheet name="Setup_" sheetId="39" state="veryHidden" r:id="rId24"/>
    <sheet name="Explore" sheetId="40" state="veryHidden" r:id="rId25"/>
    <sheet name="Tools" sheetId="41" state="veryHidden" r:id="rId26"/>
    <sheet name="LM_InAndOut" sheetId="42" state="veryHidden" r:id="rId27"/>
    <sheet name="Optim_InAndOut" sheetId="43" state="veryHidden" r:id="rId28"/>
    <sheet name="Optim_Shrinkage" sheetId="44" state="veryHidden" r:id="rId29"/>
    <sheet name="Diagnostics" sheetId="32" r:id="rId30"/>
    <sheet name="AIC" sheetId="64" r:id="rId31"/>
    <sheet name="MLR_Step" sheetId="51" state="veryHidden" r:id="rId32"/>
    <sheet name="Data" sheetId="53" state="veryHidden" r:id="rId33"/>
    <sheet name="AIC_0" sheetId="62" state="veryHidden" r:id="rId34"/>
    <sheet name="AIC_1" sheetId="63" state="veryHidden" r:id="rId35"/>
    <sheet name="PreWork4NextClass" sheetId="27" r:id="rId36"/>
    <sheet name="InClassProjects" sheetId="26" r:id="rId37"/>
    <sheet name="Q_KNN" sheetId="25" r:id="rId38"/>
    <sheet name="Q_Regression" sheetId="33" r:id="rId39"/>
    <sheet name="Q_Diagnostics" sheetId="31" r:id="rId40"/>
    <sheet name="Q_AIC" sheetId="65" r:id="rId41"/>
  </sheets>
  <externalReferences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3">[2]Binomial!$C$14</definedName>
    <definedName name="k" localSheetId="34">[2]Binomial!$C$14</definedName>
    <definedName name="k" localSheetId="32">[2]Binomial!$C$14</definedName>
    <definedName name="k" localSheetId="16">KNN_K!$AB$4</definedName>
    <definedName name="k" localSheetId="31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3">[2]Binomial!$C$13</definedName>
    <definedName name="p" localSheetId="34">[2]Binomial!$C$13</definedName>
    <definedName name="p" localSheetId="32">[2]Binomial!$C$13</definedName>
    <definedName name="p" localSheetId="31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62" l="1"/>
  <c r="J8" i="62"/>
  <c r="I2" i="63"/>
  <c r="H11" i="63" s="1"/>
  <c r="H2" i="62"/>
  <c r="G11" i="62" s="1"/>
  <c r="C2" i="62" a="1"/>
  <c r="C2" i="62" s="1"/>
  <c r="D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D26" i="62"/>
  <c r="D58" i="62"/>
  <c r="D90" i="62"/>
  <c r="D121" i="62"/>
  <c r="F121" i="62" s="1"/>
  <c r="D181" i="62"/>
  <c r="F181" i="62" s="1"/>
  <c r="D28" i="62"/>
  <c r="F28" i="62" s="1"/>
  <c r="D60" i="62"/>
  <c r="D92" i="62"/>
  <c r="D102" i="62"/>
  <c r="D137" i="62"/>
  <c r="F137" i="62" s="1"/>
  <c r="D168" i="62"/>
  <c r="F168" i="62" s="1"/>
  <c r="D9" i="62"/>
  <c r="D50" i="62"/>
  <c r="F50" i="62" s="1"/>
  <c r="D82" i="62"/>
  <c r="D138" i="62"/>
  <c r="F138" i="62" s="1"/>
  <c r="D189" i="62"/>
  <c r="F189" i="62" s="1"/>
  <c r="D10" i="62"/>
  <c r="F10" i="62" s="1"/>
  <c r="D30" i="62"/>
  <c r="D62" i="62"/>
  <c r="D140" i="62"/>
  <c r="D156" i="62"/>
  <c r="D172" i="62"/>
  <c r="F172" i="62" s="1"/>
  <c r="D193" i="62"/>
  <c r="F193" i="62" s="1"/>
  <c r="D225" i="62"/>
  <c r="D12" i="62"/>
  <c r="D21" i="62"/>
  <c r="D32" i="62"/>
  <c r="F32" i="62" s="1"/>
  <c r="D42" i="62"/>
  <c r="F42" i="62" s="1"/>
  <c r="D53" i="62"/>
  <c r="F53" i="62" s="1"/>
  <c r="D64" i="62"/>
  <c r="D74" i="62"/>
  <c r="F74" i="62" s="1"/>
  <c r="D85" i="62"/>
  <c r="D96" i="62"/>
  <c r="D106" i="62"/>
  <c r="D116" i="62"/>
  <c r="F116" i="62" s="1"/>
  <c r="D129" i="62"/>
  <c r="F129" i="62" s="1"/>
  <c r="D141" i="62"/>
  <c r="D157" i="62"/>
  <c r="F157" i="62" s="1"/>
  <c r="D173" i="62"/>
  <c r="F173" i="62" s="1"/>
  <c r="D197" i="62"/>
  <c r="D229" i="62"/>
  <c r="D13" i="62"/>
  <c r="D22" i="62"/>
  <c r="F22" i="62" s="1"/>
  <c r="D33" i="62"/>
  <c r="D44" i="62"/>
  <c r="F44" i="62" s="1"/>
  <c r="D54" i="62"/>
  <c r="F54" i="62" s="1"/>
  <c r="D65" i="62"/>
  <c r="F65" i="62" s="1"/>
  <c r="D76" i="62"/>
  <c r="D86" i="62"/>
  <c r="F86" i="62" s="1"/>
  <c r="D97" i="62"/>
  <c r="D108" i="62"/>
  <c r="F108" i="62" s="1"/>
  <c r="D117" i="62"/>
  <c r="F117" i="62" s="1"/>
  <c r="D132" i="62"/>
  <c r="F132" i="62" s="1"/>
  <c r="D144" i="62"/>
  <c r="F144" i="62" s="1"/>
  <c r="D160" i="62"/>
  <c r="F160" i="62" s="1"/>
  <c r="D176" i="62"/>
  <c r="D201" i="62"/>
  <c r="F201" i="62" s="1"/>
  <c r="D233" i="62"/>
  <c r="D6" i="62"/>
  <c r="F6" i="62" s="1"/>
  <c r="D37" i="62"/>
  <c r="F37" i="62" s="1"/>
  <c r="D69" i="62"/>
  <c r="F69" i="62" s="1"/>
  <c r="D101" i="62"/>
  <c r="D165" i="62"/>
  <c r="F165" i="62" s="1"/>
  <c r="D49" i="62"/>
  <c r="F49" i="62" s="1"/>
  <c r="D81" i="62"/>
  <c r="F81" i="62" s="1"/>
  <c r="D124" i="62"/>
  <c r="F124" i="62" s="1"/>
  <c r="D185" i="62"/>
  <c r="F185" i="62" s="1"/>
  <c r="D29" i="62"/>
  <c r="D61" i="62"/>
  <c r="F61" i="62" s="1"/>
  <c r="D104" i="62"/>
  <c r="F104" i="62" s="1"/>
  <c r="D169" i="62"/>
  <c r="F169" i="62" s="1"/>
  <c r="F225" i="62"/>
  <c r="D17" i="62"/>
  <c r="F17" i="62" s="1"/>
  <c r="D48" i="62"/>
  <c r="D80" i="62"/>
  <c r="F80" i="62" s="1"/>
  <c r="D112" i="62"/>
  <c r="D149" i="62"/>
  <c r="F149" i="62" s="1"/>
  <c r="D213" i="62"/>
  <c r="D8" i="62"/>
  <c r="F8" i="62" s="1"/>
  <c r="D38" i="62"/>
  <c r="F38" i="62" s="1"/>
  <c r="D70" i="62"/>
  <c r="F70" i="62" s="1"/>
  <c r="D113" i="62"/>
  <c r="F113" i="62" s="1"/>
  <c r="D152" i="62"/>
  <c r="F152" i="62" s="1"/>
  <c r="D217" i="62"/>
  <c r="D18" i="62"/>
  <c r="F18" i="62" s="1"/>
  <c r="D40" i="62"/>
  <c r="F40" i="62" s="1"/>
  <c r="D72" i="62"/>
  <c r="F72" i="62" s="1"/>
  <c r="D93" i="62"/>
  <c r="D125" i="62"/>
  <c r="F125" i="62" s="1"/>
  <c r="D153" i="62"/>
  <c r="F153" i="62" s="1"/>
  <c r="D221" i="62"/>
  <c r="D20" i="62"/>
  <c r="F20" i="62" s="1"/>
  <c r="D41" i="62"/>
  <c r="F41" i="62" s="1"/>
  <c r="D52" i="62"/>
  <c r="D73" i="62"/>
  <c r="F73" i="62" s="1"/>
  <c r="D84" i="62"/>
  <c r="F84" i="62" s="1"/>
  <c r="D94" i="62"/>
  <c r="F94" i="62" s="1"/>
  <c r="D105" i="62"/>
  <c r="F105" i="62" s="1"/>
  <c r="D114" i="62"/>
  <c r="F114" i="62" s="1"/>
  <c r="D128" i="62"/>
  <c r="F128" i="62" s="1"/>
  <c r="D4" i="62"/>
  <c r="F4" i="62" s="1"/>
  <c r="D14" i="62"/>
  <c r="F14" i="62" s="1"/>
  <c r="D24" i="62"/>
  <c r="F24" i="62" s="1"/>
  <c r="D34" i="62"/>
  <c r="D45" i="62"/>
  <c r="F45" i="62" s="1"/>
  <c r="D56" i="62"/>
  <c r="D66" i="62"/>
  <c r="D77" i="62"/>
  <c r="F77" i="62" s="1"/>
  <c r="D88" i="62"/>
  <c r="F88" i="62" s="1"/>
  <c r="D98" i="62"/>
  <c r="F98" i="62" s="1"/>
  <c r="D109" i="62"/>
  <c r="F109" i="62" s="1"/>
  <c r="D118" i="62"/>
  <c r="F118" i="62" s="1"/>
  <c r="D133" i="62"/>
  <c r="F133" i="62" s="1"/>
  <c r="D145" i="62"/>
  <c r="F145" i="62" s="1"/>
  <c r="D161" i="62"/>
  <c r="F161" i="62" s="1"/>
  <c r="D177" i="62"/>
  <c r="F177" i="62" s="1"/>
  <c r="D205" i="62"/>
  <c r="D5" i="62"/>
  <c r="F5" i="62" s="1"/>
  <c r="D16" i="62"/>
  <c r="F16" i="62" s="1"/>
  <c r="D25" i="62"/>
  <c r="D36" i="62"/>
  <c r="F36" i="62" s="1"/>
  <c r="D46" i="62"/>
  <c r="D57" i="62"/>
  <c r="D68" i="62"/>
  <c r="F68" i="62" s="1"/>
  <c r="D78" i="62"/>
  <c r="F78" i="62" s="1"/>
  <c r="D89" i="62"/>
  <c r="F89" i="62" s="1"/>
  <c r="D100" i="62"/>
  <c r="F100" i="62" s="1"/>
  <c r="D110" i="62"/>
  <c r="F110" i="62" s="1"/>
  <c r="D120" i="62"/>
  <c r="F120" i="62" s="1"/>
  <c r="D136" i="62"/>
  <c r="F136" i="62" s="1"/>
  <c r="D148" i="62"/>
  <c r="F148" i="62" s="1"/>
  <c r="D164" i="62"/>
  <c r="F164" i="62" s="1"/>
  <c r="D180" i="62"/>
  <c r="F180" i="62" s="1"/>
  <c r="D209" i="62"/>
  <c r="F209" i="62" s="1"/>
  <c r="F64" i="62"/>
  <c r="F85" i="62"/>
  <c r="F96" i="62"/>
  <c r="F76" i="62"/>
  <c r="F25" i="62"/>
  <c r="F56" i="62"/>
  <c r="F9" i="62"/>
  <c r="F57" i="62"/>
  <c r="F97" i="62"/>
  <c r="F140" i="62"/>
  <c r="F156" i="62"/>
  <c r="F221" i="62"/>
  <c r="F2" i="62"/>
  <c r="F21" i="62"/>
  <c r="F60" i="62"/>
  <c r="F101" i="62"/>
  <c r="F112" i="62"/>
  <c r="F229" i="62"/>
  <c r="F217" i="62"/>
  <c r="F12" i="62"/>
  <c r="F30" i="62"/>
  <c r="F176" i="62"/>
  <c r="F197" i="62"/>
  <c r="F13" i="62"/>
  <c r="F52" i="62"/>
  <c r="F33" i="62"/>
  <c r="F62" i="62"/>
  <c r="F92" i="62"/>
  <c r="F205" i="62"/>
  <c r="F233" i="62"/>
  <c r="F29" i="62"/>
  <c r="F93" i="62"/>
  <c r="F106" i="62"/>
  <c r="F141" i="62"/>
  <c r="F213" i="62"/>
  <c r="F46" i="62"/>
  <c r="F82" i="62"/>
  <c r="F26" i="62"/>
  <c r="F58" i="62"/>
  <c r="F34" i="62"/>
  <c r="F66" i="62"/>
  <c r="F102" i="62"/>
  <c r="F90" i="62"/>
  <c r="F48" i="62"/>
  <c r="D184" i="62"/>
  <c r="F184" i="62" s="1"/>
  <c r="D188" i="62"/>
  <c r="F188" i="62" s="1"/>
  <c r="D192" i="62"/>
  <c r="F192" i="62" s="1"/>
  <c r="D196" i="62"/>
  <c r="F196" i="62" s="1"/>
  <c r="D200" i="62"/>
  <c r="F200" i="62" s="1"/>
  <c r="D204" i="62"/>
  <c r="F204" i="62" s="1"/>
  <c r="D208" i="62"/>
  <c r="F208" i="62" s="1"/>
  <c r="D212" i="62"/>
  <c r="F212" i="62" s="1"/>
  <c r="D216" i="62"/>
  <c r="F216" i="62" s="1"/>
  <c r="D220" i="62"/>
  <c r="F220" i="62" s="1"/>
  <c r="D224" i="62"/>
  <c r="F224" i="62" s="1"/>
  <c r="D228" i="62"/>
  <c r="F228" i="62" s="1"/>
  <c r="D232" i="62"/>
  <c r="F232" i="62" s="1"/>
  <c r="D122" i="62"/>
  <c r="F122" i="62" s="1"/>
  <c r="D126" i="62"/>
  <c r="F126" i="62" s="1"/>
  <c r="D130" i="62"/>
  <c r="F130" i="62" s="1"/>
  <c r="D134" i="62"/>
  <c r="F134" i="62" s="1"/>
  <c r="D146" i="62"/>
  <c r="F146" i="62" s="1"/>
  <c r="D150" i="62"/>
  <c r="F150" i="62" s="1"/>
  <c r="D154" i="62"/>
  <c r="F154" i="62" s="1"/>
  <c r="D158" i="62"/>
  <c r="F158" i="62" s="1"/>
  <c r="D162" i="62"/>
  <c r="F162" i="62" s="1"/>
  <c r="D166" i="62"/>
  <c r="F166" i="62" s="1"/>
  <c r="D170" i="62"/>
  <c r="F170" i="62" s="1"/>
  <c r="D174" i="62"/>
  <c r="F174" i="62" s="1"/>
  <c r="D178" i="62"/>
  <c r="F178" i="62" s="1"/>
  <c r="D182" i="62"/>
  <c r="F182" i="62" s="1"/>
  <c r="D186" i="62"/>
  <c r="F186" i="62" s="1"/>
  <c r="D190" i="62"/>
  <c r="F190" i="62" s="1"/>
  <c r="D194" i="62"/>
  <c r="F194" i="62" s="1"/>
  <c r="D198" i="62"/>
  <c r="F198" i="62" s="1"/>
  <c r="D202" i="62"/>
  <c r="F202" i="62" s="1"/>
  <c r="D206" i="62"/>
  <c r="F206" i="62" s="1"/>
  <c r="D210" i="62"/>
  <c r="F210" i="62" s="1"/>
  <c r="D214" i="62"/>
  <c r="F214" i="62" s="1"/>
  <c r="D218" i="62"/>
  <c r="F218" i="62" s="1"/>
  <c r="D222" i="62"/>
  <c r="F222" i="62" s="1"/>
  <c r="D226" i="62"/>
  <c r="F226" i="62" s="1"/>
  <c r="D234" i="62"/>
  <c r="F234" i="62" s="1"/>
  <c r="D3" i="62"/>
  <c r="F3" i="62" s="1"/>
  <c r="D7" i="62"/>
  <c r="F7" i="62" s="1"/>
  <c r="D11" i="62"/>
  <c r="F11" i="62" s="1"/>
  <c r="D15" i="62"/>
  <c r="F15" i="62" s="1"/>
  <c r="D19" i="62"/>
  <c r="F19" i="62" s="1"/>
  <c r="D23" i="62"/>
  <c r="F23" i="62" s="1"/>
  <c r="D27" i="62"/>
  <c r="F27" i="62" s="1"/>
  <c r="D31" i="62"/>
  <c r="F31" i="62" s="1"/>
  <c r="D35" i="62"/>
  <c r="F35" i="62" s="1"/>
  <c r="D39" i="62"/>
  <c r="F39" i="62" s="1"/>
  <c r="D43" i="62"/>
  <c r="F43" i="62" s="1"/>
  <c r="D47" i="62"/>
  <c r="F47" i="62" s="1"/>
  <c r="D51" i="62"/>
  <c r="F51" i="62" s="1"/>
  <c r="D55" i="62"/>
  <c r="F55" i="62" s="1"/>
  <c r="D59" i="62"/>
  <c r="F59" i="62" s="1"/>
  <c r="D63" i="62"/>
  <c r="F63" i="62" s="1"/>
  <c r="D67" i="62"/>
  <c r="F67" i="62" s="1"/>
  <c r="D71" i="62"/>
  <c r="F71" i="62" s="1"/>
  <c r="D75" i="62"/>
  <c r="F75" i="62" s="1"/>
  <c r="D79" i="62"/>
  <c r="F79" i="62" s="1"/>
  <c r="D83" i="62"/>
  <c r="F83" i="62" s="1"/>
  <c r="D87" i="62"/>
  <c r="F87" i="62" s="1"/>
  <c r="D91" i="62"/>
  <c r="F91" i="62" s="1"/>
  <c r="D95" i="62"/>
  <c r="F95" i="62" s="1"/>
  <c r="D99" i="62"/>
  <c r="F99" i="62" s="1"/>
  <c r="D103" i="62"/>
  <c r="F103" i="62" s="1"/>
  <c r="D107" i="62"/>
  <c r="F107" i="62" s="1"/>
  <c r="D111" i="62"/>
  <c r="F111" i="62" s="1"/>
  <c r="D115" i="62"/>
  <c r="F115" i="62" s="1"/>
  <c r="D119" i="62"/>
  <c r="F119" i="62" s="1"/>
  <c r="D123" i="62"/>
  <c r="F123" i="62" s="1"/>
  <c r="D127" i="62"/>
  <c r="F127" i="62" s="1"/>
  <c r="D131" i="62"/>
  <c r="F131" i="62" s="1"/>
  <c r="D135" i="62"/>
  <c r="F135" i="62" s="1"/>
  <c r="D139" i="62"/>
  <c r="F139" i="62" s="1"/>
  <c r="D143" i="62"/>
  <c r="F143" i="62" s="1"/>
  <c r="D147" i="62"/>
  <c r="F147" i="62" s="1"/>
  <c r="D151" i="62"/>
  <c r="F151" i="62" s="1"/>
  <c r="D155" i="62"/>
  <c r="F155" i="62" s="1"/>
  <c r="D159" i="62"/>
  <c r="F159" i="62" s="1"/>
  <c r="D163" i="62"/>
  <c r="F163" i="62" s="1"/>
  <c r="D167" i="62"/>
  <c r="F167" i="62" s="1"/>
  <c r="D171" i="62"/>
  <c r="F171" i="62" s="1"/>
  <c r="D175" i="62"/>
  <c r="F175" i="62" s="1"/>
  <c r="D179" i="62"/>
  <c r="F179" i="62" s="1"/>
  <c r="D183" i="62"/>
  <c r="F183" i="62" s="1"/>
  <c r="D187" i="62"/>
  <c r="F187" i="62" s="1"/>
  <c r="D191" i="62"/>
  <c r="F191" i="62" s="1"/>
  <c r="D195" i="62"/>
  <c r="F195" i="62" s="1"/>
  <c r="D199" i="62"/>
  <c r="F199" i="62" s="1"/>
  <c r="D203" i="62"/>
  <c r="F203" i="62" s="1"/>
  <c r="D207" i="62"/>
  <c r="F207" i="62" s="1"/>
  <c r="D211" i="62"/>
  <c r="F211" i="62" s="1"/>
  <c r="D215" i="62"/>
  <c r="F215" i="62" s="1"/>
  <c r="D219" i="62"/>
  <c r="F219" i="62" s="1"/>
  <c r="D223" i="62"/>
  <c r="F223" i="62" s="1"/>
  <c r="D227" i="62"/>
  <c r="F227" i="62" s="1"/>
  <c r="D231" i="62"/>
  <c r="F231" i="62" s="1"/>
  <c r="D235" i="62"/>
  <c r="F235" i="62" s="1"/>
  <c r="D142" i="62"/>
  <c r="F142" i="62" s="1"/>
  <c r="D230" i="62"/>
  <c r="F230" i="62" s="1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D2" i="63" l="1" a="1"/>
  <c r="G5" i="62"/>
  <c r="H5" i="62" s="1"/>
  <c r="G8" i="62" s="1"/>
  <c r="G14" i="62" s="1"/>
  <c r="J14" i="62" s="1"/>
  <c r="G2" i="62" a="1"/>
  <c r="G2" i="62" s="1"/>
  <c r="J2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H24" i="50" l="1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J26" i="50" s="1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B6" i="16" s="1"/>
  <c r="H25" i="50" l="1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B7" i="16"/>
  <c r="B8" i="16" s="1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H14" i="63" l="1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D6" i="16"/>
  <c r="H2" i="63" l="1" a="1"/>
  <c r="H2" i="63" s="1"/>
  <c r="K2" i="63" s="1"/>
  <c r="D12" i="16"/>
  <c r="F4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<sst xmlns="http://schemas.openxmlformats.org/spreadsheetml/2006/main" count="1727" uniqueCount="206">
  <si>
    <t>Regression Assumptions</t>
  </si>
  <si>
    <t>Linearity</t>
  </si>
  <si>
    <t>Normal errors with mean 0</t>
  </si>
  <si>
    <t>Independent errors</t>
  </si>
  <si>
    <t>Constant Variance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</si>
  <si>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</si>
  <si>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</si>
  <si>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</si>
  <si>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</si>
  <si>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</si>
  <si>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</si>
  <si>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</si>
  <si>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</si>
  <si>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</si>
  <si>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Your answer should include 3 thing pasted into this page.</t>
  </si>
  <si>
    <t>Learning Curve plot</t>
  </si>
  <si>
    <t>With a dataset of your choice and using Excel, R, Python, or Matlab …</t>
  </si>
  <si>
    <t>Code or Excel work</t>
  </si>
  <si>
    <t>Visualization of the forecast</t>
  </si>
  <si>
    <t>KNN</t>
  </si>
  <si>
    <t>K Nearest Neighbors</t>
  </si>
  <si>
    <t>Out of Sample Testing</t>
  </si>
  <si>
    <t>Regression out of sample</t>
  </si>
  <si>
    <t>Cluster analysis</t>
  </si>
  <si>
    <t>In and out of sample testing</t>
  </si>
  <si>
    <t>Find the best k</t>
  </si>
  <si>
    <t>Plot the learning curve.</t>
  </si>
  <si>
    <t>Plot the result with the nearest k found out of sample.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</si>
  <si>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</si>
  <si>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</si>
  <si>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</si>
  <si>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</si>
  <si>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</si>
  <si>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</si>
  <si>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</si>
  <si>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</si>
  <si>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</si>
  <si>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</si>
  <si>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</si>
  <si>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</si>
  <si>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</si>
  <si>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</si>
  <si>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</si>
  <si>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</si>
  <si>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</si>
  <si>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</si>
  <si>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Fit a regression model and find the best lambda .</t>
  </si>
  <si>
    <t>Plot of MSE by lambda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</si>
  <si>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</si>
  <si>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</si>
  <si>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</si>
  <si>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</si>
  <si>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</si>
  <si>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</si>
  <si>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</si>
  <si>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</si>
  <si>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</si>
  <si>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</si>
  <si>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</si>
  <si>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</si>
  <si>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</si>
  <si>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</si>
  <si>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</si>
  <si>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</si>
  <si>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</si>
  <si>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</si>
  <si>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</si>
  <si>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</si>
  <si>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</si>
  <si>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</si>
  <si>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</si>
  <si>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</si>
  <si>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</si>
  <si>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Regression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</si>
  <si>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</si>
  <si>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</si>
  <si>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</si>
  <si>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</si>
  <si>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</si>
  <si>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</si>
  <si>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</si>
  <si>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</si>
  <si>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</si>
  <si>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</si>
  <si>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</si>
  <si>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</si>
  <si>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</si>
  <si>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</si>
  <si>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</si>
  <si>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</si>
  <si>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</si>
  <si>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</si>
  <si>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</si>
  <si>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</si>
  <si>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KNN_Link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</si>
  <si>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</si>
  <si>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</si>
  <si>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</si>
  <si>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</si>
  <si>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</si>
  <si>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</si>
  <si>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</si>
  <si>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</si>
  <si>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</si>
  <si>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</si>
  <si>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</si>
  <si>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</si>
  <si>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</si>
  <si>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</si>
  <si>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</si>
  <si>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</si>
  <si>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</si>
  <si>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</si>
  <si>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</si>
  <si>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</si>
  <si>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</si>
  <si>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</si>
  <si>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</si>
  <si>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</si>
  <si>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</si>
  <si>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</si>
  <si>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</si>
  <si>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</si>
  <si>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</si>
  <si>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</si>
  <si>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</si>
  <si>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</si>
  <si>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</si>
  <si>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</si>
  <si>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</si>
  <si>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</si>
  <si>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</si>
  <si>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</si>
  <si>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</si>
  <si>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</si>
  <si>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</si>
  <si>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</si>
  <si>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</si>
  <si>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</si>
  <si>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</si>
  <si>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</si>
  <si>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</si>
  <si>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</si>
  <si>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</si>
  <si>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</si>
  <si>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</si>
  <si>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</si>
  <si>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</si>
  <si>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</si>
  <si>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</si>
  <si>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</si>
  <si>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</si>
  <si>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</si>
  <si>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</si>
  <si>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</si>
  <si>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</si>
  <si>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</si>
  <si>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</si>
  <si>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</si>
  <si>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</si>
  <si>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</si>
  <si>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</si>
  <si>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</si>
  <si>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</si>
  <si>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</si>
  <si>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</si>
  <si>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</si>
  <si>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</si>
  <si>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</si>
  <si>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</si>
  <si>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</si>
  <si>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</si>
  <si>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</si>
  <si>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</si>
  <si>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</si>
  <si>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</si>
  <si>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</si>
  <si>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</si>
  <si>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</si>
  <si>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</si>
  <si>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</si>
  <si>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</si>
  <si>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</si>
  <si>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</si>
  <si>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</si>
  <si>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</si>
  <si>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</si>
  <si>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</si>
  <si>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</si>
  <si>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</si>
  <si>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</si>
  <si>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</si>
  <si>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</si>
  <si>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</si>
  <si>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</si>
  <si>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</si>
  <si>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</si>
  <si>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</si>
  <si>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</si>
  <si>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</si>
  <si>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</si>
  <si>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</si>
  <si>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</si>
  <si>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Display the following below.</t>
  </si>
  <si>
    <t>Table of AICs and variables</t>
  </si>
  <si>
    <t>Linear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</si>
</sst>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0" fillId="6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50" Type="http://schemas.openxmlformats.org/officeDocument/2006/relationships/externalLink" Target="externalLinks/externalLink9.xml"/><Relationship Id="rId55" Type="http://schemas.openxmlformats.org/officeDocument/2006/relationships/externalLink" Target="externalLinks/externalLink14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53" Type="http://schemas.openxmlformats.org/officeDocument/2006/relationships/externalLink" Target="externalLinks/externalLink12.xml"/><Relationship Id="rId58" Type="http://schemas.openxmlformats.org/officeDocument/2006/relationships/externalLink" Target="externalLinks/externalLink17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externalLink" Target="externalLinks/externalLink7.xml"/><Relationship Id="rId56" Type="http://schemas.openxmlformats.org/officeDocument/2006/relationships/externalLink" Target="externalLinks/externalLink15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59" Type="http://schemas.openxmlformats.org/officeDocument/2006/relationships/externalLink" Target="externalLinks/externalLink18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3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8.xml"/><Relationship Id="rId57" Type="http://schemas.openxmlformats.org/officeDocument/2006/relationships/externalLink" Target="externalLinks/externalLink1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openxmlformats.org/officeDocument/2006/relationships/externalLink" Target="externalLinks/externalLink11.xml"/><Relationship Id="rId60" Type="http://schemas.openxmlformats.org/officeDocument/2006/relationships/externalLink" Target="externalLinks/externalLink19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0.80367155823703962</c:v>
                </c:pt>
                <c:pt idx="1">
                  <c:v>0.17982155021692114</c:v>
                </c:pt>
                <c:pt idx="2">
                  <c:v>0.78905798080660361</c:v>
                </c:pt>
                <c:pt idx="3">
                  <c:v>0.10257767888428582</c:v>
                </c:pt>
                <c:pt idx="4">
                  <c:v>0.4979977629494976</c:v>
                </c:pt>
                <c:pt idx="5">
                  <c:v>0.20461991984444283</c:v>
                </c:pt>
                <c:pt idx="6">
                  <c:v>0.65021546557427445</c:v>
                </c:pt>
                <c:pt idx="7">
                  <c:v>0.71457365859526456</c:v>
                </c:pt>
                <c:pt idx="8">
                  <c:v>0.49599328764751927</c:v>
                </c:pt>
                <c:pt idx="9">
                  <c:v>0.1602618141619544</c:v>
                </c:pt>
                <c:pt idx="10">
                  <c:v>0.65469927421762497</c:v>
                </c:pt>
                <c:pt idx="11">
                  <c:v>3.4210913623349493E-2</c:v>
                </c:pt>
                <c:pt idx="12">
                  <c:v>6.9987764912632255E-2</c:v>
                </c:pt>
                <c:pt idx="13">
                  <c:v>0.12450371342124156</c:v>
                </c:pt>
                <c:pt idx="14">
                  <c:v>0.83125724424305469</c:v>
                </c:pt>
                <c:pt idx="15">
                  <c:v>4.7959462259709706E-2</c:v>
                </c:pt>
                <c:pt idx="16">
                  <c:v>0.55662131889548083</c:v>
                </c:pt>
                <c:pt idx="17">
                  <c:v>0.18421067848258532</c:v>
                </c:pt>
                <c:pt idx="18">
                  <c:v>0.25098626747555042</c:v>
                </c:pt>
                <c:pt idx="19">
                  <c:v>0.34014297433893048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0.95417268261088706</c:v>
                </c:pt>
                <c:pt idx="1">
                  <c:v>0.80744844133581783</c:v>
                </c:pt>
                <c:pt idx="2">
                  <c:v>0.99935987376801294</c:v>
                </c:pt>
                <c:pt idx="3">
                  <c:v>0.61395436309443252</c:v>
                </c:pt>
                <c:pt idx="4">
                  <c:v>0.89976384450972335</c:v>
                </c:pt>
                <c:pt idx="5">
                  <c:v>0.73296349654549442</c:v>
                </c:pt>
                <c:pt idx="6">
                  <c:v>0.98601103798676759</c:v>
                </c:pt>
                <c:pt idx="7">
                  <c:v>0.74721984877622161</c:v>
                </c:pt>
                <c:pt idx="8">
                  <c:v>0.5151610634871413</c:v>
                </c:pt>
                <c:pt idx="9">
                  <c:v>0.82782195587647567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0.80367155823703962</c:v>
                </c:pt>
                <c:pt idx="1">
                  <c:v>0.17982155021692114</c:v>
                </c:pt>
                <c:pt idx="2">
                  <c:v>0.78905798080660361</c:v>
                </c:pt>
                <c:pt idx="3">
                  <c:v>0.10257767888428582</c:v>
                </c:pt>
                <c:pt idx="4">
                  <c:v>0.4979977629494976</c:v>
                </c:pt>
                <c:pt idx="5">
                  <c:v>0.20461991984444283</c:v>
                </c:pt>
                <c:pt idx="6">
                  <c:v>0.65021546557427445</c:v>
                </c:pt>
                <c:pt idx="7">
                  <c:v>0.71457365859526456</c:v>
                </c:pt>
                <c:pt idx="8">
                  <c:v>0.49599328764751927</c:v>
                </c:pt>
                <c:pt idx="9">
                  <c:v>0.1602618141619544</c:v>
                </c:pt>
                <c:pt idx="10">
                  <c:v>0.65469927421762497</c:v>
                </c:pt>
                <c:pt idx="11">
                  <c:v>3.4210913623349493E-2</c:v>
                </c:pt>
                <c:pt idx="12">
                  <c:v>6.9987764912632255E-2</c:v>
                </c:pt>
                <c:pt idx="13">
                  <c:v>0.12450371342124156</c:v>
                </c:pt>
                <c:pt idx="14">
                  <c:v>0.83125724424305469</c:v>
                </c:pt>
                <c:pt idx="15">
                  <c:v>4.7959462259709706E-2</c:v>
                </c:pt>
                <c:pt idx="16">
                  <c:v>0.55662131889548083</c:v>
                </c:pt>
                <c:pt idx="17">
                  <c:v>0.18421067848258532</c:v>
                </c:pt>
                <c:pt idx="18">
                  <c:v>0.25098626747555042</c:v>
                </c:pt>
                <c:pt idx="19">
                  <c:v>0.34014297433893048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0.22665722285472351</c:v>
                </c:pt>
                <c:pt idx="11">
                  <c:v>2.1778441008549514E-2</c:v>
                </c:pt>
                <c:pt idx="12">
                  <c:v>8.2668262168316964E-3</c:v>
                </c:pt>
                <c:pt idx="13">
                  <c:v>0.11440066415557763</c:v>
                </c:pt>
                <c:pt idx="14">
                  <c:v>0.52071292658688939</c:v>
                </c:pt>
                <c:pt idx="15">
                  <c:v>7.8415773736425828E-5</c:v>
                </c:pt>
                <c:pt idx="16">
                  <c:v>0.54291859909029172</c:v>
                </c:pt>
                <c:pt idx="17">
                  <c:v>3.085362725587092E-2</c:v>
                </c:pt>
                <c:pt idx="18">
                  <c:v>0.25029827868469695</c:v>
                </c:pt>
                <c:pt idx="19">
                  <c:v>0.1973153810643419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0.21273613840587535</c:v>
                </c:pt>
                <c:pt idx="1">
                  <c:v>0.71429231027647988</c:v>
                </c:pt>
                <c:pt idx="2">
                  <c:v>0.98635504978856203</c:v>
                </c:pt>
                <c:pt idx="3">
                  <c:v>0.54194396123465272</c:v>
                </c:pt>
                <c:pt idx="4">
                  <c:v>0.53081655417224205</c:v>
                </c:pt>
                <c:pt idx="5">
                  <c:v>0.30682139676976561</c:v>
                </c:pt>
                <c:pt idx="6">
                  <c:v>0.27649894413410958</c:v>
                </c:pt>
                <c:pt idx="7">
                  <c:v>0.76981991989295739</c:v>
                </c:pt>
                <c:pt idx="8">
                  <c:v>0.47881136833471738</c:v>
                </c:pt>
                <c:pt idx="9">
                  <c:v>0.75044784437601963</c:v>
                </c:pt>
                <c:pt idx="10">
                  <c:v>0.56626544224905428</c:v>
                </c:pt>
                <c:pt idx="11">
                  <c:v>0.81685588581115864</c:v>
                </c:pt>
                <c:pt idx="12">
                  <c:v>0.76176402742336913</c:v>
                </c:pt>
                <c:pt idx="13">
                  <c:v>0.77433860688126943</c:v>
                </c:pt>
                <c:pt idx="14">
                  <c:v>0.12433667716344721</c:v>
                </c:pt>
                <c:pt idx="15">
                  <c:v>0.48180390027099174</c:v>
                </c:pt>
                <c:pt idx="16">
                  <c:v>0.34164226043953194</c:v>
                </c:pt>
                <c:pt idx="17">
                  <c:v>0.46818261507018977</c:v>
                </c:pt>
                <c:pt idx="18">
                  <c:v>0.97664129681745826</c:v>
                </c:pt>
                <c:pt idx="19">
                  <c:v>0.40285139662949188</c:v>
                </c:pt>
                <c:pt idx="20">
                  <c:v>0.12428007641168504</c:v>
                </c:pt>
                <c:pt idx="21">
                  <c:v>0.70138931223058798</c:v>
                </c:pt>
                <c:pt idx="22">
                  <c:v>0.24100329354596206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0.46138562573877789</c:v>
                </c:pt>
                <c:pt idx="1">
                  <c:v>0.89790837826848524</c:v>
                </c:pt>
                <c:pt idx="2">
                  <c:v>0.99477387275707552</c:v>
                </c:pt>
                <c:pt idx="3">
                  <c:v>0.55519859199188104</c:v>
                </c:pt>
                <c:pt idx="4">
                  <c:v>0.65470859982701968</c:v>
                </c:pt>
                <c:pt idx="5">
                  <c:v>0.47067284231751316</c:v>
                </c:pt>
                <c:pt idx="6">
                  <c:v>0.52290722253602184</c:v>
                </c:pt>
                <c:pt idx="7">
                  <c:v>0.9743837140785947</c:v>
                </c:pt>
                <c:pt idx="8">
                  <c:v>0.96037615722977143</c:v>
                </c:pt>
                <c:pt idx="9">
                  <c:v>0.87973173804224225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0.21273613840587535</c:v>
                </c:pt>
                <c:pt idx="1">
                  <c:v>0.71429231027647988</c:v>
                </c:pt>
                <c:pt idx="2">
                  <c:v>0.98635504978856203</c:v>
                </c:pt>
                <c:pt idx="3">
                  <c:v>0.54194396123465272</c:v>
                </c:pt>
                <c:pt idx="4">
                  <c:v>0.53081655417224205</c:v>
                </c:pt>
                <c:pt idx="5">
                  <c:v>0.30682139676976561</c:v>
                </c:pt>
                <c:pt idx="6">
                  <c:v>0.27649894413410958</c:v>
                </c:pt>
                <c:pt idx="7">
                  <c:v>0.76981991989295739</c:v>
                </c:pt>
                <c:pt idx="8">
                  <c:v>0.47881136833471738</c:v>
                </c:pt>
                <c:pt idx="9">
                  <c:v>0.75044784437601963</c:v>
                </c:pt>
                <c:pt idx="10">
                  <c:v>0.56626544224905428</c:v>
                </c:pt>
                <c:pt idx="11">
                  <c:v>0.81685588581115864</c:v>
                </c:pt>
                <c:pt idx="12">
                  <c:v>0.76176402742336913</c:v>
                </c:pt>
                <c:pt idx="13">
                  <c:v>0.77433860688126943</c:v>
                </c:pt>
                <c:pt idx="14">
                  <c:v>0.12433667716344721</c:v>
                </c:pt>
                <c:pt idx="15">
                  <c:v>0.48180390027099174</c:v>
                </c:pt>
                <c:pt idx="16">
                  <c:v>0.34164226043953194</c:v>
                </c:pt>
                <c:pt idx="17">
                  <c:v>0.46818261507018977</c:v>
                </c:pt>
                <c:pt idx="18">
                  <c:v>0.97664129681745826</c:v>
                </c:pt>
                <c:pt idx="19">
                  <c:v>0.40285139662949188</c:v>
                </c:pt>
                <c:pt idx="20">
                  <c:v>0.12428007641168504</c:v>
                </c:pt>
                <c:pt idx="21">
                  <c:v>0.70138931223058798</c:v>
                </c:pt>
                <c:pt idx="22">
                  <c:v>0.24100329354596206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0.25174104596383068</c:v>
                </c:pt>
                <c:pt idx="11">
                  <c:v>0.65019020427498775</c:v>
                </c:pt>
                <c:pt idx="12">
                  <c:v>0.27026613529880644</c:v>
                </c:pt>
                <c:pt idx="13">
                  <c:v>0.56269732373635717</c:v>
                </c:pt>
                <c:pt idx="14">
                  <c:v>5.9396482069470846E-2</c:v>
                </c:pt>
                <c:pt idx="15">
                  <c:v>0.47941883204336005</c:v>
                </c:pt>
                <c:pt idx="16">
                  <c:v>3.6425814283376497E-2</c:v>
                </c:pt>
                <c:pt idx="17">
                  <c:v>0.31172251497954101</c:v>
                </c:pt>
                <c:pt idx="18">
                  <c:v>0.91455694535229337</c:v>
                </c:pt>
                <c:pt idx="19">
                  <c:v>4.3479702925059295E-2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0.21273613840587535</c:v>
                </c:pt>
                <c:pt idx="1">
                  <c:v>0.71429231027647988</c:v>
                </c:pt>
                <c:pt idx="2">
                  <c:v>0.98635504978856203</c:v>
                </c:pt>
                <c:pt idx="3">
                  <c:v>0.54194396123465272</c:v>
                </c:pt>
                <c:pt idx="4">
                  <c:v>0.53081655417224205</c:v>
                </c:pt>
                <c:pt idx="5">
                  <c:v>0.30682139676976561</c:v>
                </c:pt>
                <c:pt idx="6">
                  <c:v>0.27649894413410958</c:v>
                </c:pt>
                <c:pt idx="7">
                  <c:v>0.76981991989295739</c:v>
                </c:pt>
                <c:pt idx="8">
                  <c:v>0.47881136833471738</c:v>
                </c:pt>
                <c:pt idx="9">
                  <c:v>0.75044784437601963</c:v>
                </c:pt>
                <c:pt idx="10">
                  <c:v>0.56626544224905428</c:v>
                </c:pt>
                <c:pt idx="11">
                  <c:v>0.81685588581115864</c:v>
                </c:pt>
                <c:pt idx="12">
                  <c:v>0.76176402742336913</c:v>
                </c:pt>
                <c:pt idx="13">
                  <c:v>0.77433860688126943</c:v>
                </c:pt>
                <c:pt idx="14">
                  <c:v>0.12433667716344721</c:v>
                </c:pt>
                <c:pt idx="15">
                  <c:v>0.48180390027099174</c:v>
                </c:pt>
                <c:pt idx="16">
                  <c:v>0.34164226043953194</c:v>
                </c:pt>
                <c:pt idx="17">
                  <c:v>0.46818261507018977</c:v>
                </c:pt>
                <c:pt idx="18">
                  <c:v>0.97664129681745826</c:v>
                </c:pt>
                <c:pt idx="19">
                  <c:v>0.40285139662949188</c:v>
                </c:pt>
                <c:pt idx="20">
                  <c:v>0.12428007641168504</c:v>
                </c:pt>
                <c:pt idx="21">
                  <c:v>0.70138931223058798</c:v>
                </c:pt>
                <c:pt idx="22">
                  <c:v>0.24100329354596206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0.69952527795288866</c:v>
                </c:pt>
                <c:pt idx="21" formatCode="0.00">
                  <c:v>0.95598076545659605</c:v>
                </c:pt>
                <c:pt idx="22" formatCode="0.00">
                  <c:v>0.86409557356792732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0.31671586091963</c:v>
                </c:pt>
                <c:pt idx="1">
                  <c:v>0.46763442107080999</c:v>
                </c:pt>
                <c:pt idx="2">
                  <c:v>0.68011514292255981</c:v>
                </c:pt>
                <c:pt idx="3">
                  <c:v>0.78296253332437871</c:v>
                </c:pt>
                <c:pt idx="4">
                  <c:v>0.42876972346818132</c:v>
                </c:pt>
                <c:pt idx="5">
                  <c:v>0.1303793131275236</c:v>
                </c:pt>
                <c:pt idx="6">
                  <c:v>0.56909693434975461</c:v>
                </c:pt>
                <c:pt idx="7">
                  <c:v>0.28173145498227781</c:v>
                </c:pt>
                <c:pt idx="8">
                  <c:v>0.33358956821580188</c:v>
                </c:pt>
                <c:pt idx="9">
                  <c:v>0.22776103089573596</c:v>
                </c:pt>
                <c:pt idx="10">
                  <c:v>0.39264594514946505</c:v>
                </c:pt>
                <c:pt idx="11">
                  <c:v>6.6635685706476711E-2</c:v>
                </c:pt>
                <c:pt idx="12">
                  <c:v>0.71767083115274255</c:v>
                </c:pt>
                <c:pt idx="13">
                  <c:v>0.18378300255003599</c:v>
                </c:pt>
                <c:pt idx="14">
                  <c:v>0.15891328687777473</c:v>
                </c:pt>
                <c:pt idx="15">
                  <c:v>0.42803726748325488</c:v>
                </c:pt>
                <c:pt idx="16">
                  <c:v>0.23826367133474691</c:v>
                </c:pt>
                <c:pt idx="17">
                  <c:v>0.84930571936881138</c:v>
                </c:pt>
                <c:pt idx="18">
                  <c:v>0.14418808714031317</c:v>
                </c:pt>
                <c:pt idx="19">
                  <c:v>0.40233242837787875</c:v>
                </c:pt>
                <c:pt idx="20">
                  <c:v>0.61515719867298635</c:v>
                </c:pt>
                <c:pt idx="21">
                  <c:v>0.2213338538736358</c:v>
                </c:pt>
                <c:pt idx="22">
                  <c:v>0.32448086084064609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0.9911342193288506</c:v>
                </c:pt>
                <c:pt idx="1">
                  <c:v>0.83437215154011479</c:v>
                </c:pt>
                <c:pt idx="2">
                  <c:v>0.77209206484243664</c:v>
                </c:pt>
                <c:pt idx="3">
                  <c:v>0.85555865424995015</c:v>
                </c:pt>
                <c:pt idx="4">
                  <c:v>0.50701297575355742</c:v>
                </c:pt>
                <c:pt idx="5">
                  <c:v>0.15628626957745612</c:v>
                </c:pt>
                <c:pt idx="6">
                  <c:v>0.79282878766282538</c:v>
                </c:pt>
                <c:pt idx="7">
                  <c:v>0.61758875103481192</c:v>
                </c:pt>
                <c:pt idx="8">
                  <c:v>0.93151441232711985</c:v>
                </c:pt>
                <c:pt idx="9">
                  <c:v>0.83149486735278066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0.31671586091963</c:v>
                </c:pt>
                <c:pt idx="1">
                  <c:v>0.46763442107080999</c:v>
                </c:pt>
                <c:pt idx="2">
                  <c:v>0.68011514292255981</c:v>
                </c:pt>
                <c:pt idx="3">
                  <c:v>0.78296253332437871</c:v>
                </c:pt>
                <c:pt idx="4">
                  <c:v>0.42876972346818132</c:v>
                </c:pt>
                <c:pt idx="5">
                  <c:v>0.1303793131275236</c:v>
                </c:pt>
                <c:pt idx="6">
                  <c:v>0.56909693434975461</c:v>
                </c:pt>
                <c:pt idx="7">
                  <c:v>0.28173145498227781</c:v>
                </c:pt>
                <c:pt idx="8">
                  <c:v>0.33358956821580188</c:v>
                </c:pt>
                <c:pt idx="9">
                  <c:v>0.22776103089573596</c:v>
                </c:pt>
                <c:pt idx="10">
                  <c:v>0.39264594514946505</c:v>
                </c:pt>
                <c:pt idx="11">
                  <c:v>6.6635685706476711E-2</c:v>
                </c:pt>
                <c:pt idx="12">
                  <c:v>0.71767083115274255</c:v>
                </c:pt>
                <c:pt idx="13">
                  <c:v>0.18378300255003599</c:v>
                </c:pt>
                <c:pt idx="14">
                  <c:v>0.15891328687777473</c:v>
                </c:pt>
                <c:pt idx="15">
                  <c:v>0.42803726748325488</c:v>
                </c:pt>
                <c:pt idx="16">
                  <c:v>0.23826367133474691</c:v>
                </c:pt>
                <c:pt idx="17">
                  <c:v>0.84930571936881138</c:v>
                </c:pt>
                <c:pt idx="18">
                  <c:v>0.14418808714031317</c:v>
                </c:pt>
                <c:pt idx="19">
                  <c:v>0.40233242837787875</c:v>
                </c:pt>
                <c:pt idx="20">
                  <c:v>0.61515719867298635</c:v>
                </c:pt>
                <c:pt idx="21">
                  <c:v>0.2213338538736358</c:v>
                </c:pt>
                <c:pt idx="22">
                  <c:v>0.32448086084064609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4.2579571905122592E-2</c:v>
                </c:pt>
                <c:pt idx="11">
                  <c:v>6.1393740893136615E-2</c:v>
                </c:pt>
                <c:pt idx="12">
                  <c:v>0.18677495140736755</c:v>
                </c:pt>
                <c:pt idx="13">
                  <c:v>0.13598243680716871</c:v>
                </c:pt>
                <c:pt idx="14">
                  <c:v>1.2992662517868344E-2</c:v>
                </c:pt>
                <c:pt idx="15">
                  <c:v>0.1531676114866396</c:v>
                </c:pt>
                <c:pt idx="16">
                  <c:v>3.8178284334354877E-2</c:v>
                </c:pt>
                <c:pt idx="17">
                  <c:v>0.63722282716982037</c:v>
                </c:pt>
                <c:pt idx="18">
                  <c:v>5.9911514538324287E-2</c:v>
                </c:pt>
                <c:pt idx="19">
                  <c:v>0.30401221197851735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0.31671586091963</c:v>
                </c:pt>
                <c:pt idx="1">
                  <c:v>0.46763442107080999</c:v>
                </c:pt>
                <c:pt idx="2">
                  <c:v>0.68011514292255981</c:v>
                </c:pt>
                <c:pt idx="3">
                  <c:v>0.78296253332437871</c:v>
                </c:pt>
                <c:pt idx="4">
                  <c:v>0.42876972346818132</c:v>
                </c:pt>
                <c:pt idx="5">
                  <c:v>0.1303793131275236</c:v>
                </c:pt>
                <c:pt idx="6">
                  <c:v>0.56909693434975461</c:v>
                </c:pt>
                <c:pt idx="7">
                  <c:v>0.28173145498227781</c:v>
                </c:pt>
                <c:pt idx="8">
                  <c:v>0.33358956821580188</c:v>
                </c:pt>
                <c:pt idx="9">
                  <c:v>0.22776103089573596</c:v>
                </c:pt>
                <c:pt idx="10">
                  <c:v>0.39264594514946505</c:v>
                </c:pt>
                <c:pt idx="11">
                  <c:v>6.6635685706476711E-2</c:v>
                </c:pt>
                <c:pt idx="12">
                  <c:v>0.71767083115274255</c:v>
                </c:pt>
                <c:pt idx="13">
                  <c:v>0.18378300255003599</c:v>
                </c:pt>
                <c:pt idx="14">
                  <c:v>0.15891328687777473</c:v>
                </c:pt>
                <c:pt idx="15">
                  <c:v>0.42803726748325488</c:v>
                </c:pt>
                <c:pt idx="16">
                  <c:v>0.23826367133474691</c:v>
                </c:pt>
                <c:pt idx="17">
                  <c:v>0.84930571936881138</c:v>
                </c:pt>
                <c:pt idx="18">
                  <c:v>0.14418808714031317</c:v>
                </c:pt>
                <c:pt idx="19">
                  <c:v>0.40233242837787875</c:v>
                </c:pt>
                <c:pt idx="20">
                  <c:v>0.61515719867298635</c:v>
                </c:pt>
                <c:pt idx="21">
                  <c:v>0.2213338538736358</c:v>
                </c:pt>
                <c:pt idx="22">
                  <c:v>0.32448086084064609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0.57479661906353041</c:v>
                </c:pt>
                <c:pt idx="21" formatCode="0.00">
                  <c:v>0.22221893751841038</c:v>
                </c:pt>
                <c:pt idx="22" formatCode="0.00">
                  <c:v>0.83459175073924596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0.971559527340637</c:v>
                </c:pt>
                <c:pt idx="1">
                  <c:v>0.13780170277877024</c:v>
                </c:pt>
                <c:pt idx="2">
                  <c:v>0.4060649169962961</c:v>
                </c:pt>
                <c:pt idx="3">
                  <c:v>7.7134323874671562E-2</c:v>
                </c:pt>
                <c:pt idx="4">
                  <c:v>0.67005494814766986</c:v>
                </c:pt>
                <c:pt idx="5">
                  <c:v>0.76448133546973018</c:v>
                </c:pt>
                <c:pt idx="6">
                  <c:v>0.91551078361786786</c:v>
                </c:pt>
                <c:pt idx="7">
                  <c:v>0.16897096262500066</c:v>
                </c:pt>
                <c:pt idx="8">
                  <c:v>0.41651603572014506</c:v>
                </c:pt>
                <c:pt idx="9">
                  <c:v>0.70473037704752295</c:v>
                </c:pt>
                <c:pt idx="10">
                  <c:v>0.53262958143931749</c:v>
                </c:pt>
                <c:pt idx="11">
                  <c:v>0.82102052594684516</c:v>
                </c:pt>
                <c:pt idx="12">
                  <c:v>0.55124500988733727</c:v>
                </c:pt>
                <c:pt idx="13">
                  <c:v>0.67347482845300422</c:v>
                </c:pt>
                <c:pt idx="14">
                  <c:v>0.35140906525141202</c:v>
                </c:pt>
                <c:pt idx="15">
                  <c:v>0.14185008455231529</c:v>
                </c:pt>
                <c:pt idx="16">
                  <c:v>0.42170714269424492</c:v>
                </c:pt>
                <c:pt idx="17">
                  <c:v>0.12121628328019918</c:v>
                </c:pt>
                <c:pt idx="18">
                  <c:v>0.28185813369624535</c:v>
                </c:pt>
                <c:pt idx="19">
                  <c:v>0.76500903215369076</c:v>
                </c:pt>
                <c:pt idx="21">
                  <c:v>0.20069557293914841</c:v>
                </c:pt>
                <c:pt idx="22">
                  <c:v>0.56094030291666108</c:v>
                </c:pt>
                <c:pt idx="23">
                  <c:v>0.50018279173644742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0.99331696731741603</c:v>
                </c:pt>
                <c:pt idx="1">
                  <c:v>0.79842858987674636</c:v>
                </c:pt>
                <c:pt idx="2">
                  <c:v>0.50624222477696013</c:v>
                </c:pt>
                <c:pt idx="3">
                  <c:v>0.13329543815692124</c:v>
                </c:pt>
                <c:pt idx="4">
                  <c:v>0.68791192956877045</c:v>
                </c:pt>
                <c:pt idx="5">
                  <c:v>0.80606241965948244</c:v>
                </c:pt>
                <c:pt idx="6">
                  <c:v>0.96058687768251216</c:v>
                </c:pt>
                <c:pt idx="7">
                  <c:v>0.21893869249338496</c:v>
                </c:pt>
                <c:pt idx="8">
                  <c:v>0.43754727577942365</c:v>
                </c:pt>
                <c:pt idx="9">
                  <c:v>0.881740026765227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0.971559527340637</c:v>
                </c:pt>
                <c:pt idx="1">
                  <c:v>0.13780170277877024</c:v>
                </c:pt>
                <c:pt idx="2">
                  <c:v>0.4060649169962961</c:v>
                </c:pt>
                <c:pt idx="3">
                  <c:v>7.7134323874671562E-2</c:v>
                </c:pt>
                <c:pt idx="4">
                  <c:v>0.67005494814766986</c:v>
                </c:pt>
                <c:pt idx="5">
                  <c:v>0.76448133546973018</c:v>
                </c:pt>
                <c:pt idx="6">
                  <c:v>0.91551078361786786</c:v>
                </c:pt>
                <c:pt idx="7">
                  <c:v>0.16897096262500066</c:v>
                </c:pt>
                <c:pt idx="8">
                  <c:v>0.41651603572014506</c:v>
                </c:pt>
                <c:pt idx="9">
                  <c:v>0.70473037704752295</c:v>
                </c:pt>
                <c:pt idx="10">
                  <c:v>0.53262958143931749</c:v>
                </c:pt>
                <c:pt idx="11">
                  <c:v>0.82102052594684516</c:v>
                </c:pt>
                <c:pt idx="12">
                  <c:v>0.55124500988733727</c:v>
                </c:pt>
                <c:pt idx="13">
                  <c:v>0.67347482845300422</c:v>
                </c:pt>
                <c:pt idx="14">
                  <c:v>0.35140906525141202</c:v>
                </c:pt>
                <c:pt idx="15">
                  <c:v>0.14185008455231529</c:v>
                </c:pt>
                <c:pt idx="16">
                  <c:v>0.42170714269424492</c:v>
                </c:pt>
                <c:pt idx="17">
                  <c:v>0.12121628328019918</c:v>
                </c:pt>
                <c:pt idx="18">
                  <c:v>0.28185813369624535</c:v>
                </c:pt>
                <c:pt idx="19">
                  <c:v>0.76500903215369076</c:v>
                </c:pt>
                <c:pt idx="21">
                  <c:v>0.20069557293914841</c:v>
                </c:pt>
                <c:pt idx="22">
                  <c:v>0.56094030291666108</c:v>
                </c:pt>
                <c:pt idx="23">
                  <c:v>0.50018279173644742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0.41325587124061547</c:v>
                </c:pt>
                <c:pt idx="11">
                  <c:v>0.66696397585491018</c:v>
                </c:pt>
                <c:pt idx="12">
                  <c:v>0.40070530354563055</c:v>
                </c:pt>
                <c:pt idx="13">
                  <c:v>0.4093029991128837</c:v>
                </c:pt>
                <c:pt idx="14">
                  <c:v>3.2853729696677797E-2</c:v>
                </c:pt>
                <c:pt idx="15">
                  <c:v>3.4539424617243248E-3</c:v>
                </c:pt>
                <c:pt idx="16">
                  <c:v>8.8075987276349729E-2</c:v>
                </c:pt>
                <c:pt idx="17">
                  <c:v>4.866259663430908E-2</c:v>
                </c:pt>
                <c:pt idx="18">
                  <c:v>6.3401190714066566E-2</c:v>
                </c:pt>
                <c:pt idx="19">
                  <c:v>0.69949109303110546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0.971559527340637</c:v>
                </c:pt>
                <c:pt idx="1">
                  <c:v>0.13780170277877024</c:v>
                </c:pt>
                <c:pt idx="2">
                  <c:v>0.4060649169962961</c:v>
                </c:pt>
                <c:pt idx="3">
                  <c:v>7.7134323874671562E-2</c:v>
                </c:pt>
                <c:pt idx="4">
                  <c:v>0.67005494814766986</c:v>
                </c:pt>
                <c:pt idx="5">
                  <c:v>0.76448133546973018</c:v>
                </c:pt>
                <c:pt idx="6">
                  <c:v>0.91551078361786786</c:v>
                </c:pt>
                <c:pt idx="7">
                  <c:v>0.16897096262500066</c:v>
                </c:pt>
                <c:pt idx="8">
                  <c:v>0.41651603572014506</c:v>
                </c:pt>
                <c:pt idx="9">
                  <c:v>0.70473037704752295</c:v>
                </c:pt>
                <c:pt idx="10">
                  <c:v>0.53262958143931749</c:v>
                </c:pt>
                <c:pt idx="11">
                  <c:v>0.82102052594684516</c:v>
                </c:pt>
                <c:pt idx="12">
                  <c:v>0.55124500988733727</c:v>
                </c:pt>
                <c:pt idx="13">
                  <c:v>0.67347482845300422</c:v>
                </c:pt>
                <c:pt idx="14">
                  <c:v>0.35140906525141202</c:v>
                </c:pt>
                <c:pt idx="15">
                  <c:v>0.14185008455231529</c:v>
                </c:pt>
                <c:pt idx="16">
                  <c:v>0.42170714269424492</c:v>
                </c:pt>
                <c:pt idx="17">
                  <c:v>0.12121628328019918</c:v>
                </c:pt>
                <c:pt idx="18">
                  <c:v>0.28185813369624535</c:v>
                </c:pt>
                <c:pt idx="19">
                  <c:v>0.76500903215369076</c:v>
                </c:pt>
                <c:pt idx="21">
                  <c:v>0.20069557293914841</c:v>
                </c:pt>
                <c:pt idx="22">
                  <c:v>0.56094030291666108</c:v>
                </c:pt>
                <c:pt idx="23">
                  <c:v>0.50018279173644742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0.97445139828726501</c:v>
                </c:pt>
                <c:pt idx="22" formatCode="0.00">
                  <c:v>0.58689841580727364</c:v>
                </c:pt>
                <c:pt idx="23" formatCode="0.00">
                  <c:v>0.93852726080492899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0.65012438747800827</c:v>
                </c:pt>
                <c:pt idx="1">
                  <c:v>0.43773898797076694</c:v>
                </c:pt>
                <c:pt idx="2">
                  <c:v>0.63920749119071185</c:v>
                </c:pt>
                <c:pt idx="3">
                  <c:v>0.79951216913403444</c:v>
                </c:pt>
                <c:pt idx="4">
                  <c:v>0.56302727080878923</c:v>
                </c:pt>
                <c:pt idx="5">
                  <c:v>0.97209141021139334</c:v>
                </c:pt>
                <c:pt idx="6">
                  <c:v>0.36441535169028616</c:v>
                </c:pt>
                <c:pt idx="7">
                  <c:v>2.0416316491008057E-2</c:v>
                </c:pt>
                <c:pt idx="8">
                  <c:v>0.23907615383823821</c:v>
                </c:pt>
                <c:pt idx="9">
                  <c:v>0.98059682183370922</c:v>
                </c:pt>
                <c:pt idx="10">
                  <c:v>0.33723245415306757</c:v>
                </c:pt>
                <c:pt idx="11">
                  <c:v>0.57405566958763732</c:v>
                </c:pt>
                <c:pt idx="12">
                  <c:v>0.7423664075282711</c:v>
                </c:pt>
                <c:pt idx="13">
                  <c:v>0.39580947261602883</c:v>
                </c:pt>
                <c:pt idx="14">
                  <c:v>0.44320322862704553</c:v>
                </c:pt>
                <c:pt idx="15">
                  <c:v>0.12241179526906032</c:v>
                </c:pt>
                <c:pt idx="16">
                  <c:v>0.48828235380248641</c:v>
                </c:pt>
                <c:pt idx="17">
                  <c:v>0.20705265136883233</c:v>
                </c:pt>
                <c:pt idx="18">
                  <c:v>7.8219681249932282E-2</c:v>
                </c:pt>
                <c:pt idx="19">
                  <c:v>0.80972378983352256</c:v>
                </c:pt>
                <c:pt idx="21">
                  <c:v>0.86320773419467689</c:v>
                </c:pt>
                <c:pt idx="22">
                  <c:v>0.75613252711785228</c:v>
                </c:pt>
                <c:pt idx="23">
                  <c:v>0.54516147840786966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0.80223452255353522</c:v>
                </c:pt>
                <c:pt idx="1">
                  <c:v>0.74569483933212588</c:v>
                </c:pt>
                <c:pt idx="2">
                  <c:v>0.74108345007824805</c:v>
                </c:pt>
                <c:pt idx="3">
                  <c:v>0.89240609589685027</c:v>
                </c:pt>
                <c:pt idx="4">
                  <c:v>0.5803543494276574</c:v>
                </c:pt>
                <c:pt idx="5">
                  <c:v>0.99216564317302269</c:v>
                </c:pt>
                <c:pt idx="6">
                  <c:v>0.75516066411695937</c:v>
                </c:pt>
                <c:pt idx="7">
                  <c:v>0.64703999635281084</c:v>
                </c:pt>
                <c:pt idx="8">
                  <c:v>0.76525636485245752</c:v>
                </c:pt>
                <c:pt idx="9">
                  <c:v>0.9946830650480265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0.65012438747800827</c:v>
                </c:pt>
                <c:pt idx="1">
                  <c:v>0.43773898797076694</c:v>
                </c:pt>
                <c:pt idx="2">
                  <c:v>0.63920749119071185</c:v>
                </c:pt>
                <c:pt idx="3">
                  <c:v>0.79951216913403444</c:v>
                </c:pt>
                <c:pt idx="4">
                  <c:v>0.56302727080878923</c:v>
                </c:pt>
                <c:pt idx="5">
                  <c:v>0.97209141021139334</c:v>
                </c:pt>
                <c:pt idx="6">
                  <c:v>0.36441535169028616</c:v>
                </c:pt>
                <c:pt idx="7">
                  <c:v>2.0416316491008057E-2</c:v>
                </c:pt>
                <c:pt idx="8">
                  <c:v>0.23907615383823821</c:v>
                </c:pt>
                <c:pt idx="9">
                  <c:v>0.98059682183370922</c:v>
                </c:pt>
                <c:pt idx="10">
                  <c:v>0.33723245415306757</c:v>
                </c:pt>
                <c:pt idx="11">
                  <c:v>0.57405566958763732</c:v>
                </c:pt>
                <c:pt idx="12">
                  <c:v>0.7423664075282711</c:v>
                </c:pt>
                <c:pt idx="13">
                  <c:v>0.39580947261602883</c:v>
                </c:pt>
                <c:pt idx="14">
                  <c:v>0.44320322862704553</c:v>
                </c:pt>
                <c:pt idx="15">
                  <c:v>0.12241179526906032</c:v>
                </c:pt>
                <c:pt idx="16">
                  <c:v>0.48828235380248641</c:v>
                </c:pt>
                <c:pt idx="17">
                  <c:v>0.20705265136883233</c:v>
                </c:pt>
                <c:pt idx="18">
                  <c:v>7.8219681249932282E-2</c:v>
                </c:pt>
                <c:pt idx="19">
                  <c:v>0.80972378983352256</c:v>
                </c:pt>
                <c:pt idx="21">
                  <c:v>0.86320773419467689</c:v>
                </c:pt>
                <c:pt idx="22">
                  <c:v>0.75613252711785228</c:v>
                </c:pt>
                <c:pt idx="23">
                  <c:v>0.54516147840786966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4.4329546739039903E-2</c:v>
                </c:pt>
                <c:pt idx="11">
                  <c:v>0.27231750557154999</c:v>
                </c:pt>
                <c:pt idx="12">
                  <c:v>0.21890602296577094</c:v>
                </c:pt>
                <c:pt idx="13">
                  <c:v>0.13378296698557521</c:v>
                </c:pt>
                <c:pt idx="14">
                  <c:v>0.1255631845701515</c:v>
                </c:pt>
                <c:pt idx="15">
                  <c:v>9.9230360630162051E-2</c:v>
                </c:pt>
                <c:pt idx="16">
                  <c:v>0.4870016208002575</c:v>
                </c:pt>
                <c:pt idx="17">
                  <c:v>0.14837416637810547</c:v>
                </c:pt>
                <c:pt idx="18">
                  <c:v>5.3386583402510818E-2</c:v>
                </c:pt>
                <c:pt idx="19">
                  <c:v>0.76510670314277096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0.65012438747800827</c:v>
                </c:pt>
                <c:pt idx="1">
                  <c:v>0.43773898797076694</c:v>
                </c:pt>
                <c:pt idx="2">
                  <c:v>0.63920749119071185</c:v>
                </c:pt>
                <c:pt idx="3">
                  <c:v>0.79951216913403444</c:v>
                </c:pt>
                <c:pt idx="4">
                  <c:v>0.56302727080878923</c:v>
                </c:pt>
                <c:pt idx="5">
                  <c:v>0.97209141021139334</c:v>
                </c:pt>
                <c:pt idx="6">
                  <c:v>0.36441535169028616</c:v>
                </c:pt>
                <c:pt idx="7">
                  <c:v>2.0416316491008057E-2</c:v>
                </c:pt>
                <c:pt idx="8">
                  <c:v>0.23907615383823821</c:v>
                </c:pt>
                <c:pt idx="9">
                  <c:v>0.98059682183370922</c:v>
                </c:pt>
                <c:pt idx="10">
                  <c:v>0.33723245415306757</c:v>
                </c:pt>
                <c:pt idx="11">
                  <c:v>0.57405566958763732</c:v>
                </c:pt>
                <c:pt idx="12">
                  <c:v>0.7423664075282711</c:v>
                </c:pt>
                <c:pt idx="13">
                  <c:v>0.39580947261602883</c:v>
                </c:pt>
                <c:pt idx="14">
                  <c:v>0.44320322862704553</c:v>
                </c:pt>
                <c:pt idx="15">
                  <c:v>0.12241179526906032</c:v>
                </c:pt>
                <c:pt idx="16">
                  <c:v>0.48828235380248641</c:v>
                </c:pt>
                <c:pt idx="17">
                  <c:v>0.20705265136883233</c:v>
                </c:pt>
                <c:pt idx="18">
                  <c:v>7.8219681249932282E-2</c:v>
                </c:pt>
                <c:pt idx="19">
                  <c:v>0.80972378983352256</c:v>
                </c:pt>
                <c:pt idx="21">
                  <c:v>0.86320773419467689</c:v>
                </c:pt>
                <c:pt idx="22">
                  <c:v>0.75613252711785228</c:v>
                </c:pt>
                <c:pt idx="23">
                  <c:v>0.54516147840786966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1.9230666096695659E-3</c:v>
                </c:pt>
                <c:pt idx="22" formatCode="0.00">
                  <c:v>0.19484863350471715</c:v>
                </c:pt>
                <c:pt idx="23" formatCode="0.00">
                  <c:v>3.0941065300778559E-2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0.59376894292795213</c:v>
                </c:pt>
                <c:pt idx="1">
                  <c:v>0.55338550295928779</c:v>
                </c:pt>
                <c:pt idx="2">
                  <c:v>0.61712178064066803</c:v>
                </c:pt>
                <c:pt idx="3">
                  <c:v>0.67446058658984176</c:v>
                </c:pt>
                <c:pt idx="4">
                  <c:v>0.42372495641686692</c:v>
                </c:pt>
                <c:pt idx="5">
                  <c:v>9.0000469857864362E-2</c:v>
                </c:pt>
                <c:pt idx="6">
                  <c:v>0.89646232996135555</c:v>
                </c:pt>
                <c:pt idx="7">
                  <c:v>0.87642725692615342</c:v>
                </c:pt>
                <c:pt idx="8">
                  <c:v>0.15117392102062177</c:v>
                </c:pt>
                <c:pt idx="9">
                  <c:v>0.85848177240379397</c:v>
                </c:pt>
                <c:pt idx="10">
                  <c:v>0.6351956632113186</c:v>
                </c:pt>
                <c:pt idx="11">
                  <c:v>0.74704824949106152</c:v>
                </c:pt>
                <c:pt idx="12">
                  <c:v>0.77978062057181841</c:v>
                </c:pt>
                <c:pt idx="13">
                  <c:v>0.5634852402038818</c:v>
                </c:pt>
                <c:pt idx="14">
                  <c:v>0.1648918018230473</c:v>
                </c:pt>
                <c:pt idx="15">
                  <c:v>0.38368642563254829</c:v>
                </c:pt>
                <c:pt idx="16">
                  <c:v>0.60596102637164317</c:v>
                </c:pt>
                <c:pt idx="17">
                  <c:v>0.76253136445724956</c:v>
                </c:pt>
                <c:pt idx="18">
                  <c:v>0.29241711845407781</c:v>
                </c:pt>
                <c:pt idx="19">
                  <c:v>0.5263107031094344</c:v>
                </c:pt>
                <c:pt idx="21">
                  <c:v>0.44991962869932989</c:v>
                </c:pt>
                <c:pt idx="22">
                  <c:v>0.60011210986202601</c:v>
                </c:pt>
                <c:pt idx="23">
                  <c:v>0.20747796557956011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0.91319944947755638</c:v>
                </c:pt>
                <c:pt idx="1">
                  <c:v>0.84505752896130848</c:v>
                </c:pt>
                <c:pt idx="2">
                  <c:v>0.864214077307075</c:v>
                </c:pt>
                <c:pt idx="3">
                  <c:v>0.86171033173176814</c:v>
                </c:pt>
                <c:pt idx="4">
                  <c:v>0.5336427935300333</c:v>
                </c:pt>
                <c:pt idx="5">
                  <c:v>0.30490238686054727</c:v>
                </c:pt>
                <c:pt idx="6">
                  <c:v>0.95448461131589701</c:v>
                </c:pt>
                <c:pt idx="7">
                  <c:v>0.99796061205380482</c:v>
                </c:pt>
                <c:pt idx="8">
                  <c:v>0.75923403097928754</c:v>
                </c:pt>
                <c:pt idx="9">
                  <c:v>0.97500801070896559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0.59376894292795213</c:v>
                </c:pt>
                <c:pt idx="1">
                  <c:v>0.55338550295928779</c:v>
                </c:pt>
                <c:pt idx="2">
                  <c:v>0.61712178064066803</c:v>
                </c:pt>
                <c:pt idx="3">
                  <c:v>0.67446058658984176</c:v>
                </c:pt>
                <c:pt idx="4">
                  <c:v>0.42372495641686692</c:v>
                </c:pt>
                <c:pt idx="5">
                  <c:v>9.0000469857864362E-2</c:v>
                </c:pt>
                <c:pt idx="6">
                  <c:v>0.89646232996135555</c:v>
                </c:pt>
                <c:pt idx="7">
                  <c:v>0.87642725692615342</c:v>
                </c:pt>
                <c:pt idx="8">
                  <c:v>0.15117392102062177</c:v>
                </c:pt>
                <c:pt idx="9">
                  <c:v>0.85848177240379397</c:v>
                </c:pt>
                <c:pt idx="10">
                  <c:v>0.6351956632113186</c:v>
                </c:pt>
                <c:pt idx="11">
                  <c:v>0.74704824949106152</c:v>
                </c:pt>
                <c:pt idx="12">
                  <c:v>0.77978062057181841</c:v>
                </c:pt>
                <c:pt idx="13">
                  <c:v>0.5634852402038818</c:v>
                </c:pt>
                <c:pt idx="14">
                  <c:v>0.1648918018230473</c:v>
                </c:pt>
                <c:pt idx="15">
                  <c:v>0.38368642563254829</c:v>
                </c:pt>
                <c:pt idx="16">
                  <c:v>0.60596102637164317</c:v>
                </c:pt>
                <c:pt idx="17">
                  <c:v>0.76253136445724956</c:v>
                </c:pt>
                <c:pt idx="18">
                  <c:v>0.29241711845407781</c:v>
                </c:pt>
                <c:pt idx="19">
                  <c:v>0.5263107031094344</c:v>
                </c:pt>
                <c:pt idx="21">
                  <c:v>0.44991962869932989</c:v>
                </c:pt>
                <c:pt idx="22">
                  <c:v>0.60011210986202601</c:v>
                </c:pt>
                <c:pt idx="23">
                  <c:v>0.20747796557956011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0.37945319990701654</c:v>
                </c:pt>
                <c:pt idx="11">
                  <c:v>0.74406768364885933</c:v>
                </c:pt>
                <c:pt idx="12">
                  <c:v>0.67622436068982217</c:v>
                </c:pt>
                <c:pt idx="13">
                  <c:v>0.44583009661578887</c:v>
                </c:pt>
                <c:pt idx="14">
                  <c:v>0.14860262482777878</c:v>
                </c:pt>
                <c:pt idx="15">
                  <c:v>0.10175962381657581</c:v>
                </c:pt>
                <c:pt idx="16">
                  <c:v>8.084726793697096E-2</c:v>
                </c:pt>
                <c:pt idx="17">
                  <c:v>0.52531470994662144</c:v>
                </c:pt>
                <c:pt idx="18">
                  <c:v>7.4120470445226641E-2</c:v>
                </c:pt>
                <c:pt idx="19">
                  <c:v>0.24767879714569885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0.59376894292795213</c:v>
                </c:pt>
                <c:pt idx="1">
                  <c:v>0.55338550295928779</c:v>
                </c:pt>
                <c:pt idx="2">
                  <c:v>0.61712178064066803</c:v>
                </c:pt>
                <c:pt idx="3">
                  <c:v>0.67446058658984176</c:v>
                </c:pt>
                <c:pt idx="4">
                  <c:v>0.42372495641686692</c:v>
                </c:pt>
                <c:pt idx="5">
                  <c:v>9.0000469857864362E-2</c:v>
                </c:pt>
                <c:pt idx="6">
                  <c:v>0.89646232996135555</c:v>
                </c:pt>
                <c:pt idx="7">
                  <c:v>0.87642725692615342</c:v>
                </c:pt>
                <c:pt idx="8">
                  <c:v>0.15117392102062177</c:v>
                </c:pt>
                <c:pt idx="9">
                  <c:v>0.85848177240379397</c:v>
                </c:pt>
                <c:pt idx="10">
                  <c:v>0.6351956632113186</c:v>
                </c:pt>
                <c:pt idx="11">
                  <c:v>0.74704824949106152</c:v>
                </c:pt>
                <c:pt idx="12">
                  <c:v>0.77978062057181841</c:v>
                </c:pt>
                <c:pt idx="13">
                  <c:v>0.5634852402038818</c:v>
                </c:pt>
                <c:pt idx="14">
                  <c:v>0.1648918018230473</c:v>
                </c:pt>
                <c:pt idx="15">
                  <c:v>0.38368642563254829</c:v>
                </c:pt>
                <c:pt idx="16">
                  <c:v>0.60596102637164317</c:v>
                </c:pt>
                <c:pt idx="17">
                  <c:v>0.76253136445724956</c:v>
                </c:pt>
                <c:pt idx="18">
                  <c:v>0.29241711845407781</c:v>
                </c:pt>
                <c:pt idx="19">
                  <c:v>0.5263107031094344</c:v>
                </c:pt>
                <c:pt idx="21">
                  <c:v>0.44991962869932989</c:v>
                </c:pt>
                <c:pt idx="22">
                  <c:v>0.60011210986202601</c:v>
                </c:pt>
                <c:pt idx="23">
                  <c:v>0.20747796557956011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0.27701250970245828</c:v>
                </c:pt>
                <c:pt idx="22" formatCode="0.00">
                  <c:v>0.63341313246466502</c:v>
                </c:pt>
                <c:pt idx="23" formatCode="0.00">
                  <c:v>0.8084693015768214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11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install.packages('tidyverse')</a:t>
          </a:r>
        </a:p>
        <a:p>
          <a:r>
            <a:rPr lang="en-US" sz="2000"/>
            <a:t># 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r>
            <a:rPr lang="en-US" sz="2000"/>
            <a:t>preds = predict(fit_lm,marketing)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82550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r>
            <a:rPr lang="en-US" sz="2000"/>
            <a:t>errors = marketing$sales - preds</a:t>
          </a:r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r>
            <a:rPr lang="en-US" sz="2000"/>
            <a:t># Manual Plot</a:t>
          </a:r>
        </a:p>
        <a:p>
          <a:r>
            <a:rPr lang="en-US" sz="2000"/>
            <a:t>idx_sort = order(marketing$youtube,decreasing = F)</a:t>
          </a:r>
        </a:p>
        <a:p>
          <a:r>
            <a:rPr lang="en-US" sz="2000"/>
            <a:t>preds = predict(object = fit_lm,newdata = marketing)</a:t>
          </a:r>
        </a:p>
        <a:p>
          <a:r>
            <a:rPr lang="en-US" sz="2000"/>
            <a:t>plot(errors[idx_sort])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qtiles = (1:n)/(n+1)</a:t>
          </a:r>
        </a:p>
        <a:p>
          <a:r>
            <a:rPr lang="en-US" sz="2000"/>
            <a:t>theoreticals = qnorm(qtiles)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  <a:p>
          <a:endParaRPr lang="en-US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82550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3)</a:t>
          </a:r>
        </a:p>
        <a:p>
          <a:r>
            <a:rPr lang="en-US" sz="2000"/>
            <a:t># Manual Plot</a:t>
          </a:r>
        </a:p>
        <a:p>
          <a:r>
            <a:rPr lang="en-US" sz="2000"/>
            <a:t>idx_yhat = order(preds)</a:t>
          </a:r>
        </a:p>
        <a:p>
          <a:r>
            <a:rPr lang="en-US" sz="2000"/>
            <a:t>plot(preds,sqrt(abs(std_residual)))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v1 = var(errors[1:(n/2)])</a:t>
          </a:r>
        </a:p>
        <a:p>
          <a:r>
            <a:rPr lang="en-US" sz="2000"/>
            <a:t>v2 = var(errors[(n/2+1):n])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</a:t>
          </a:r>
        </a:p>
        <a:p>
          <a:r>
            <a:rPr lang="en-US" sz="2000"/>
            <a:t>qf(.95,n/2-1,n/2-1)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26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825500" y="330200"/>
          <a:ext cx="8572500" cy="8407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Leverage Points ####</a:t>
          </a:r>
        </a:p>
        <a:p>
          <a:r>
            <a:rPr lang="en-US" sz="1800"/>
            <a:t># Automatic Plot</a:t>
          </a:r>
        </a:p>
        <a:p>
          <a:r>
            <a:rPr lang="en-US" sz="1800"/>
            <a:t>plot(fit_lm, 5)</a:t>
          </a:r>
        </a:p>
        <a:p>
          <a:r>
            <a:rPr lang="en-US" sz="1800"/>
            <a:t># Manual Plot</a:t>
          </a:r>
        </a:p>
        <a:p>
          <a:endParaRPr lang="en-US" sz="1800"/>
        </a:p>
        <a:p>
          <a:r>
            <a:rPr lang="en-US" sz="1800"/>
            <a:t>fit_lm = lm(sales ~ youtube, data = marketing)</a:t>
          </a:r>
        </a:p>
        <a:p>
          <a:r>
            <a:rPr lang="en-US" sz="1800"/>
            <a:t>MSE = sum(fit_lm$residuals^2)/fit_lm$df.residual</a:t>
          </a:r>
        </a:p>
        <a:p>
          <a:r>
            <a:rPr lang="en-US" sz="1800"/>
            <a:t>n = dim(marketing)[1]</a:t>
          </a:r>
        </a:p>
        <a:p>
          <a:r>
            <a:rPr lang="en-US" sz="1800"/>
            <a:t>p = n-fit_lm$df.residual</a:t>
          </a:r>
        </a:p>
        <a:p>
          <a:r>
            <a:rPr lang="en-US" sz="1800"/>
            <a:t>newdata = data.frame(youtube=marketing$youtube)</a:t>
          </a:r>
        </a:p>
        <a:p>
          <a:r>
            <a:rPr lang="en-US" sz="1800"/>
            <a:t>yhat = predict(object = fit_lm, newdata = newdata)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newdata)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82550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r>
            <a:rPr lang="en-US" sz="2000"/>
            <a:t>data(economics)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Basics warm up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2MVIm4m5PMVoHgIivc8hu7DHEQg8jgcF/edit?usp=sharing&amp;ouid=116641273197698817700&amp;rtpof=true&amp;sd=true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en.wikipedia.org/wiki/Precision_and_recall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</v>
      </c>
    </row>
    <row r="5" spans="2:2" x14ac:dyDescent="0.3">
      <c r="B5" s="1" t="s">
        <v>20</v>
      </c>
    </row>
    <row r="7" spans="2:2" x14ac:dyDescent="0.3">
      <c r="B7" s="1" t="s">
        <v>21</v>
      </c>
    </row>
    <row r="9" spans="2:2" x14ac:dyDescent="0.3">
      <c r="B9" s="1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28</v>
      </c>
    </row>
    <row r="4" spans="2:2" x14ac:dyDescent="0.3">
      <c r="B4" s="1" t="s">
        <v>30</v>
      </c>
    </row>
    <row r="6" spans="2:2" x14ac:dyDescent="0.3">
      <c r="B6" s="1" t="s">
        <v>31</v>
      </c>
    </row>
    <row r="8" spans="2:2" x14ac:dyDescent="0.3">
      <c r="B8" s="1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205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7"/>
  <sheetViews>
    <sheetView workbookViewId="0">
      <selection activeCell="A8" sqref="A8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73</v>
      </c>
    </row>
    <row r="2" spans="1:1" x14ac:dyDescent="0.3">
      <c r="A2" s="1" t="s">
        <v>63</v>
      </c>
    </row>
    <row r="3" spans="1:1" x14ac:dyDescent="0.3">
      <c r="A3" s="1" t="s">
        <v>1</v>
      </c>
    </row>
    <row r="4" spans="1:1" x14ac:dyDescent="0.3">
      <c r="A4" s="1" t="s">
        <v>64</v>
      </c>
    </row>
    <row r="5" spans="1:1" x14ac:dyDescent="0.3">
      <c r="A5" s="1" t="s">
        <v>65</v>
      </c>
    </row>
    <row r="6" spans="1:1" x14ac:dyDescent="0.3">
      <c r="A6" s="1" t="s">
        <v>66</v>
      </c>
    </row>
    <row r="7" spans="1:1" x14ac:dyDescent="0.3">
      <c r="A7" s="1" t="s">
        <v>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4E2BD-92F1-6147-A504-E081459B51A2}">
  <sheetPr codeName="Sheet3">
    <tabColor rgb="FFC00000"/>
  </sheetPr>
  <dimension ref="B2:C7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0</v>
      </c>
    </row>
    <row r="4" spans="2:3" x14ac:dyDescent="0.3">
      <c r="C4" s="1" t="s">
        <v>1</v>
      </c>
    </row>
    <row r="5" spans="2:3" x14ac:dyDescent="0.3">
      <c r="C5" s="1" t="s">
        <v>2</v>
      </c>
    </row>
    <row r="6" spans="2:3" x14ac:dyDescent="0.3">
      <c r="C6" s="1" t="s">
        <v>3</v>
      </c>
    </row>
    <row r="7" spans="2:3" x14ac:dyDescent="0.3">
      <c r="C7" s="1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>
      <selection activeCell="L5" sqref="L5"/>
    </sheetView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10</v>
      </c>
      <c r="D2" s="2" t="s">
        <v>9</v>
      </c>
      <c r="F2" s="2" t="s">
        <v>6</v>
      </c>
      <c r="G2" s="6">
        <f t="shared" ref="G2:Q2" si="0">AVERAGE(G5:G104)</f>
        <v>3.8399999999999932</v>
      </c>
      <c r="H2" s="6">
        <f t="shared" si="0"/>
        <v>3.4238202252204064</v>
      </c>
      <c r="I2" s="6">
        <f t="shared" si="0"/>
        <v>3.0680484780871224</v>
      </c>
      <c r="J2" s="6">
        <f t="shared" si="0"/>
        <v>2.6850674775290146</v>
      </c>
      <c r="K2" s="6">
        <f t="shared" si="0"/>
        <v>2.2856020135050956</v>
      </c>
      <c r="L2" s="6">
        <f t="shared" si="0"/>
        <v>1.9344003969978203</v>
      </c>
      <c r="M2" s="6">
        <f t="shared" si="0"/>
        <v>1.5488566038766711</v>
      </c>
      <c r="N2" s="6">
        <f t="shared" si="0"/>
        <v>1.1738073736096886</v>
      </c>
      <c r="O2" s="6">
        <f t="shared" si="0"/>
        <v>0.762105609917611</v>
      </c>
      <c r="P2" s="6">
        <f t="shared" si="0"/>
        <v>0.40675295998966005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0.45427947308993988</v>
      </c>
    </row>
    <row r="4" spans="1:17" x14ac:dyDescent="0.2">
      <c r="F4" s="4">
        <f ca="1">D12</f>
        <v>1.0602314987641748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0.25910520033016649</v>
      </c>
      <c r="D5" s="2" t="s">
        <v>8</v>
      </c>
      <c r="F5" s="4">
        <v>1</v>
      </c>
      <c r="G5" s="3">
        <f t="dataTable" ref="G5:Q104" dt2D="1" dtr="1" r1="B3" r2="A1" ca="1"/>
        <v>3.8400000000000007</v>
      </c>
      <c r="H5" s="3">
        <v>3.5353055035370136</v>
      </c>
      <c r="I5" s="3">
        <v>3.1879428712255091</v>
      </c>
      <c r="J5" s="3">
        <v>2.7535683610580612</v>
      </c>
      <c r="K5" s="3">
        <v>2.8372797132797221</v>
      </c>
      <c r="L5" s="3">
        <v>1.8351504666033296</v>
      </c>
      <c r="M5" s="3">
        <v>1.377048318355393</v>
      </c>
      <c r="N5" s="3">
        <v>0.88887116527000887</v>
      </c>
      <c r="O5" s="3">
        <v>0.68148289060244938</v>
      </c>
      <c r="P5" s="3">
        <v>0.42491000943652774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-0.5566893686697878</v>
      </c>
      <c r="D6" s="5">
        <f ca="1">SUMXMY2(OFFSET(B7,1,0,99),OFFSET(B7,2,0,99))</f>
        <v>87.436821108987814</v>
      </c>
      <c r="F6" s="4">
        <v>2</v>
      </c>
      <c r="G6" s="3">
        <v>3.8400000000000007</v>
      </c>
      <c r="H6" s="3">
        <v>3.5747160399055082</v>
      </c>
      <c r="I6" s="3">
        <v>2.7703698422208465</v>
      </c>
      <c r="J6" s="3">
        <v>2.8291812281465458</v>
      </c>
      <c r="K6" s="3">
        <v>2.424553773471477</v>
      </c>
      <c r="L6" s="3">
        <v>2.4644218074820698</v>
      </c>
      <c r="M6" s="3">
        <v>1.3143863352241869</v>
      </c>
      <c r="N6" s="3">
        <v>1.2627157418819295</v>
      </c>
      <c r="O6" s="3">
        <v>0.5804213396697292</v>
      </c>
      <c r="P6" s="3">
        <v>0.53346863778863263</v>
      </c>
      <c r="Q6" s="3">
        <v>0</v>
      </c>
    </row>
    <row r="7" spans="1:17" x14ac:dyDescent="0.2">
      <c r="A7" s="2">
        <v>3</v>
      </c>
      <c r="B7" s="2">
        <f t="shared" ca="1" si="1"/>
        <v>-0.30714427030861091</v>
      </c>
      <c r="F7" s="4">
        <v>3</v>
      </c>
      <c r="G7" s="3">
        <v>3.8400000000000003</v>
      </c>
      <c r="H7" s="3">
        <v>3.3652932904122808</v>
      </c>
      <c r="I7" s="3">
        <v>2.8743846919739329</v>
      </c>
      <c r="J7" s="3">
        <v>2.8946169396671939</v>
      </c>
      <c r="K7" s="3">
        <v>2.3411328021614666</v>
      </c>
      <c r="L7" s="3">
        <v>1.9513274767122712</v>
      </c>
      <c r="M7" s="3">
        <v>1.7339171073365283</v>
      </c>
      <c r="N7" s="3">
        <v>1.1241060298237222</v>
      </c>
      <c r="O7" s="3">
        <v>0.77890345128258931</v>
      </c>
      <c r="P7" s="3">
        <v>0.31912877828850711</v>
      </c>
      <c r="Q7" s="3">
        <v>0</v>
      </c>
    </row>
    <row r="8" spans="1:17" x14ac:dyDescent="0.2">
      <c r="A8" s="2">
        <v>4</v>
      </c>
      <c r="B8" s="2">
        <f t="shared" ca="1" si="1"/>
        <v>-1.4324525116019635</v>
      </c>
      <c r="D8" s="2" t="s">
        <v>7</v>
      </c>
      <c r="F8" s="4">
        <v>4</v>
      </c>
      <c r="G8" s="3">
        <v>3.8399999999999994</v>
      </c>
      <c r="H8" s="3">
        <v>3.5366194246933165</v>
      </c>
      <c r="I8" s="3">
        <v>3.3700525880513275</v>
      </c>
      <c r="J8" s="3">
        <v>2.7037622520400748</v>
      </c>
      <c r="K8" s="3">
        <v>2.3790763315671937</v>
      </c>
      <c r="L8" s="3">
        <v>1.9393024387592219</v>
      </c>
      <c r="M8" s="3">
        <v>1.6776175202071901</v>
      </c>
      <c r="N8" s="3">
        <v>1.2149824199946326</v>
      </c>
      <c r="O8" s="3">
        <v>0.92144635150415277</v>
      </c>
      <c r="P8" s="3">
        <v>0.36819888452673233</v>
      </c>
      <c r="Q8" s="3">
        <v>0</v>
      </c>
    </row>
    <row r="9" spans="1:17" x14ac:dyDescent="0.2">
      <c r="A9" s="2">
        <v>5</v>
      </c>
      <c r="B9" s="2">
        <f t="shared" ca="1" si="1"/>
        <v>-0.64190662486627281</v>
      </c>
      <c r="D9" s="2">
        <f ca="1">SUMSQ(B5:B104)</f>
        <v>82.46955614024462</v>
      </c>
      <c r="F9" s="4">
        <v>5</v>
      </c>
      <c r="G9" s="3">
        <v>3.8400000000000003</v>
      </c>
      <c r="H9" s="3">
        <v>3.1806405057747638</v>
      </c>
      <c r="I9" s="3">
        <v>2.8394423147535401</v>
      </c>
      <c r="J9" s="3">
        <v>2.4099179920974669</v>
      </c>
      <c r="K9" s="3">
        <v>2.3971186344230331</v>
      </c>
      <c r="L9" s="3">
        <v>1.8583444609620192</v>
      </c>
      <c r="M9" s="3">
        <v>1.4927217577461021</v>
      </c>
      <c r="N9" s="3">
        <v>1.2926997340714264</v>
      </c>
      <c r="O9" s="3">
        <v>0.43650059742478997</v>
      </c>
      <c r="P9" s="3">
        <v>0.83469500252546358</v>
      </c>
      <c r="Q9" s="3">
        <v>0</v>
      </c>
    </row>
    <row r="10" spans="1:17" x14ac:dyDescent="0.2">
      <c r="A10" s="2">
        <v>6</v>
      </c>
      <c r="B10" s="2">
        <f t="shared" ca="1" si="1"/>
        <v>-0.10808924758491875</v>
      </c>
      <c r="F10" s="4">
        <v>6</v>
      </c>
      <c r="G10" s="3">
        <v>3.8399999999999985</v>
      </c>
      <c r="H10" s="3">
        <v>3.7233158620619142</v>
      </c>
      <c r="I10" s="3">
        <v>3.2340170090673874</v>
      </c>
      <c r="J10" s="3">
        <v>3.0445996124705812</v>
      </c>
      <c r="K10" s="3">
        <v>1.8908689275756978</v>
      </c>
      <c r="L10" s="3">
        <v>2.2139138599991752</v>
      </c>
      <c r="M10" s="3">
        <v>1.5910338556612347</v>
      </c>
      <c r="N10" s="3">
        <v>1.232270532725273</v>
      </c>
      <c r="O10" s="3">
        <v>0.77534242464830816</v>
      </c>
      <c r="P10" s="3">
        <v>0.44402441979090074</v>
      </c>
      <c r="Q10" s="3">
        <v>0</v>
      </c>
    </row>
    <row r="11" spans="1:17" x14ac:dyDescent="0.2">
      <c r="A11" s="2">
        <v>7</v>
      </c>
      <c r="B11" s="2">
        <f t="shared" ca="1" si="1"/>
        <v>-0.40596417965151266</v>
      </c>
      <c r="D11" s="2" t="s">
        <v>6</v>
      </c>
      <c r="F11" s="4">
        <v>7</v>
      </c>
      <c r="G11" s="3">
        <v>3.84</v>
      </c>
      <c r="H11" s="3">
        <v>3.3043007852034556</v>
      </c>
      <c r="I11" s="3">
        <v>2.71571056503553</v>
      </c>
      <c r="J11" s="3">
        <v>2.5088070148550408</v>
      </c>
      <c r="K11" s="3">
        <v>2.2986861218962571</v>
      </c>
      <c r="L11" s="3">
        <v>2.0283552939726648</v>
      </c>
      <c r="M11" s="3">
        <v>1.5771571569112339</v>
      </c>
      <c r="N11" s="3">
        <v>1.0250850183394418</v>
      </c>
      <c r="O11" s="3">
        <v>0.83170468972274214</v>
      </c>
      <c r="P11" s="3">
        <v>0.2933387280415819</v>
      </c>
      <c r="Q11" s="3">
        <v>0</v>
      </c>
    </row>
    <row r="12" spans="1:17" x14ac:dyDescent="0.2">
      <c r="A12" s="2">
        <v>8</v>
      </c>
      <c r="B12" s="2">
        <f t="shared" ca="1" si="1"/>
        <v>0.88892537374287195</v>
      </c>
      <c r="D12" s="2">
        <f ca="1">D6/D9</f>
        <v>1.0602314987641748</v>
      </c>
      <c r="F12" s="4">
        <v>8</v>
      </c>
      <c r="G12" s="3">
        <v>3.8400000000000003</v>
      </c>
      <c r="H12" s="3">
        <v>3.3234149966406052</v>
      </c>
      <c r="I12" s="3">
        <v>3.3166089887366335</v>
      </c>
      <c r="J12" s="3">
        <v>2.861485278036167</v>
      </c>
      <c r="K12" s="3">
        <v>2.5599734226968462</v>
      </c>
      <c r="L12" s="3">
        <v>2.3345010677076026</v>
      </c>
      <c r="M12" s="3">
        <v>1.5837850683373111</v>
      </c>
      <c r="N12" s="3">
        <v>1.3153184945986895</v>
      </c>
      <c r="O12" s="3">
        <v>0.81455414616037802</v>
      </c>
      <c r="P12" s="3">
        <v>0.35687331598663008</v>
      </c>
      <c r="Q12" s="3">
        <v>0</v>
      </c>
    </row>
    <row r="13" spans="1:17" x14ac:dyDescent="0.2">
      <c r="A13" s="2">
        <v>9</v>
      </c>
      <c r="B13" s="2">
        <f t="shared" ca="1" si="1"/>
        <v>0.26285286844112843</v>
      </c>
      <c r="F13" s="4">
        <v>9</v>
      </c>
      <c r="G13" s="3">
        <v>3.8400000000000012</v>
      </c>
      <c r="H13" s="3">
        <v>3.5465577451186614</v>
      </c>
      <c r="I13" s="3">
        <v>2.4317466268045482</v>
      </c>
      <c r="J13" s="3">
        <v>2.8884895491886295</v>
      </c>
      <c r="K13" s="3">
        <v>2.1764962879061684</v>
      </c>
      <c r="L13" s="3">
        <v>2.2690972163324945</v>
      </c>
      <c r="M13" s="3">
        <v>1.4952250451987059</v>
      </c>
      <c r="N13" s="3">
        <v>1.1767981339489146</v>
      </c>
      <c r="O13" s="3">
        <v>0.83321976716878621</v>
      </c>
      <c r="P13" s="3">
        <v>0.23132229887612005</v>
      </c>
      <c r="Q13" s="3">
        <v>0</v>
      </c>
    </row>
    <row r="14" spans="1:17" x14ac:dyDescent="0.2">
      <c r="A14" s="2">
        <v>10</v>
      </c>
      <c r="B14" s="2">
        <f t="shared" ca="1" si="1"/>
        <v>-0.94860368828946351</v>
      </c>
      <c r="F14" s="4">
        <v>10</v>
      </c>
      <c r="G14" s="3">
        <v>3.8399999999999985</v>
      </c>
      <c r="H14" s="3">
        <v>3.472566614369883</v>
      </c>
      <c r="I14" s="3">
        <v>2.8166052662476719</v>
      </c>
      <c r="J14" s="3">
        <v>2.6557858945610775</v>
      </c>
      <c r="K14" s="3">
        <v>2.1331584735106284</v>
      </c>
      <c r="L14" s="3">
        <v>1.9285349412912842</v>
      </c>
      <c r="M14" s="3">
        <v>1.3299310908800359</v>
      </c>
      <c r="N14" s="3">
        <v>1.4295614436367354</v>
      </c>
      <c r="O14" s="3">
        <v>0.71669045826605526</v>
      </c>
      <c r="P14" s="3">
        <v>0.49378694805870671</v>
      </c>
      <c r="Q14" s="3">
        <v>0</v>
      </c>
    </row>
    <row r="15" spans="1:17" x14ac:dyDescent="0.2">
      <c r="A15" s="2">
        <v>11</v>
      </c>
      <c r="B15" s="2">
        <f t="shared" ca="1" si="1"/>
        <v>0.42165248856849757</v>
      </c>
      <c r="F15" s="4">
        <v>11</v>
      </c>
      <c r="G15" s="3">
        <v>3.84</v>
      </c>
      <c r="H15" s="3">
        <v>3.422756805253059</v>
      </c>
      <c r="I15" s="3">
        <v>2.967949755894137</v>
      </c>
      <c r="J15" s="3">
        <v>2.4066843685181194</v>
      </c>
      <c r="K15" s="3">
        <v>2.2493694332359664</v>
      </c>
      <c r="L15" s="3">
        <v>1.8885361538196781</v>
      </c>
      <c r="M15" s="3">
        <v>1.538109376371807</v>
      </c>
      <c r="N15" s="3">
        <v>1.1117730794018368</v>
      </c>
      <c r="O15" s="3">
        <v>0.51229693442017188</v>
      </c>
      <c r="P15" s="3">
        <v>0.52812164680869</v>
      </c>
      <c r="Q15" s="3">
        <v>0</v>
      </c>
    </row>
    <row r="16" spans="1:17" x14ac:dyDescent="0.2">
      <c r="A16" s="2">
        <v>12</v>
      </c>
      <c r="B16" s="2">
        <f t="shared" ca="1" si="1"/>
        <v>-0.21663000172896713</v>
      </c>
      <c r="F16" s="4">
        <v>12</v>
      </c>
      <c r="G16" s="3">
        <v>3.8400000000000007</v>
      </c>
      <c r="H16" s="3">
        <v>3.4039856558647292</v>
      </c>
      <c r="I16" s="3">
        <v>2.9880290016294024</v>
      </c>
      <c r="J16" s="3">
        <v>2.4687639967653481</v>
      </c>
      <c r="K16" s="3">
        <v>2.4802220455876602</v>
      </c>
      <c r="L16" s="3">
        <v>2.2457760984519988</v>
      </c>
      <c r="M16" s="3">
        <v>1.4906396269055733</v>
      </c>
      <c r="N16" s="3">
        <v>1.2206629416224495</v>
      </c>
      <c r="O16" s="3">
        <v>0.70153233897360812</v>
      </c>
      <c r="P16" s="3">
        <v>0.41535968627219161</v>
      </c>
      <c r="Q16" s="3">
        <v>0</v>
      </c>
    </row>
    <row r="17" spans="1:17" x14ac:dyDescent="0.2">
      <c r="A17" s="2">
        <v>13</v>
      </c>
      <c r="B17" s="2">
        <f t="shared" ca="1" si="1"/>
        <v>0.65495756478429412</v>
      </c>
      <c r="F17" s="4">
        <v>13</v>
      </c>
      <c r="G17" s="3">
        <v>3.84</v>
      </c>
      <c r="H17" s="3">
        <v>2.7948611638000549</v>
      </c>
      <c r="I17" s="3">
        <v>3.000931794185929</v>
      </c>
      <c r="J17" s="3">
        <v>2.8577909503919101</v>
      </c>
      <c r="K17" s="3">
        <v>2.280392348916457</v>
      </c>
      <c r="L17" s="3">
        <v>1.9537102023374946</v>
      </c>
      <c r="M17" s="3">
        <v>2.0195225913958179</v>
      </c>
      <c r="N17" s="3">
        <v>0.88253390089948303</v>
      </c>
      <c r="O17" s="3">
        <v>0.56528797896421945</v>
      </c>
      <c r="P17" s="3">
        <v>0.51445921430673214</v>
      </c>
      <c r="Q17" s="3">
        <v>0</v>
      </c>
    </row>
    <row r="18" spans="1:17" x14ac:dyDescent="0.2">
      <c r="A18" s="2">
        <v>14</v>
      </c>
      <c r="B18" s="2">
        <f t="shared" ca="1" si="1"/>
        <v>1.053688082972817</v>
      </c>
      <c r="F18" s="4">
        <v>14</v>
      </c>
      <c r="G18" s="3">
        <v>3.84</v>
      </c>
      <c r="H18" s="3">
        <v>3.494748454153608</v>
      </c>
      <c r="I18" s="3">
        <v>3.2722123991118988</v>
      </c>
      <c r="J18" s="3">
        <v>2.8830542462764419</v>
      </c>
      <c r="K18" s="3">
        <v>2.2748436193905048</v>
      </c>
      <c r="L18" s="3">
        <v>1.3368352675234745</v>
      </c>
      <c r="M18" s="3">
        <v>1.7805146666413501</v>
      </c>
      <c r="N18" s="3">
        <v>1.1145694000060133</v>
      </c>
      <c r="O18" s="3">
        <v>0.89198852005771312</v>
      </c>
      <c r="P18" s="3">
        <v>0.45499954893728289</v>
      </c>
      <c r="Q18" s="3">
        <v>0</v>
      </c>
    </row>
    <row r="19" spans="1:17" x14ac:dyDescent="0.2">
      <c r="A19" s="2">
        <v>15</v>
      </c>
      <c r="B19" s="2">
        <f t="shared" ca="1" si="1"/>
        <v>-0.15771297130115214</v>
      </c>
      <c r="F19" s="4">
        <v>15</v>
      </c>
      <c r="G19" s="3">
        <v>3.8400000000000003</v>
      </c>
      <c r="H19" s="3">
        <v>3.5189650383741653</v>
      </c>
      <c r="I19" s="3">
        <v>3.214275492171951</v>
      </c>
      <c r="J19" s="3">
        <v>2.6809560776666173</v>
      </c>
      <c r="K19" s="3">
        <v>2.3103539003691695</v>
      </c>
      <c r="L19" s="3">
        <v>2.1250769019005404</v>
      </c>
      <c r="M19" s="3">
        <v>1.5393268889973011</v>
      </c>
      <c r="N19" s="3">
        <v>1.1343882625488457</v>
      </c>
      <c r="O19" s="3">
        <v>0.81255602626767431</v>
      </c>
      <c r="P19" s="3">
        <v>0.64874501727998146</v>
      </c>
      <c r="Q19" s="3">
        <v>0</v>
      </c>
    </row>
    <row r="20" spans="1:17" x14ac:dyDescent="0.2">
      <c r="A20" s="2">
        <v>16</v>
      </c>
      <c r="B20" s="2">
        <f t="shared" ca="1" si="1"/>
        <v>0.59298976364877687</v>
      </c>
      <c r="F20" s="4">
        <v>16</v>
      </c>
      <c r="G20" s="3">
        <v>3.84</v>
      </c>
      <c r="H20" s="3">
        <v>3.2775484944576481</v>
      </c>
      <c r="I20" s="3">
        <v>2.8173600862938555</v>
      </c>
      <c r="J20" s="3">
        <v>2.8922569291948275</v>
      </c>
      <c r="K20" s="3">
        <v>2.1626323783686079</v>
      </c>
      <c r="L20" s="3">
        <v>1.8036502814355362</v>
      </c>
      <c r="M20" s="3">
        <v>1.6982953957721127</v>
      </c>
      <c r="N20" s="3">
        <v>1.1922155022042653</v>
      </c>
      <c r="O20" s="3">
        <v>0.53633151146068758</v>
      </c>
      <c r="P20" s="3">
        <v>0.44729146218958848</v>
      </c>
      <c r="Q20" s="3">
        <v>0</v>
      </c>
    </row>
    <row r="21" spans="1:17" x14ac:dyDescent="0.2">
      <c r="A21" s="2">
        <v>17</v>
      </c>
      <c r="B21" s="2">
        <f t="shared" ca="1" si="1"/>
        <v>1.4468823893239353</v>
      </c>
      <c r="F21" s="4">
        <v>17</v>
      </c>
      <c r="G21" s="3">
        <v>3.8399999999999994</v>
      </c>
      <c r="H21" s="3">
        <v>3.4866027359300209</v>
      </c>
      <c r="I21" s="3">
        <v>2.5564870809037958</v>
      </c>
      <c r="J21" s="3">
        <v>2.5986408840772075</v>
      </c>
      <c r="K21" s="3">
        <v>1.9711233132737129</v>
      </c>
      <c r="L21" s="3">
        <v>1.7369364698171756</v>
      </c>
      <c r="M21" s="3">
        <v>1.6963975767368202</v>
      </c>
      <c r="N21" s="3">
        <v>1.1756352418683451</v>
      </c>
      <c r="O21" s="3">
        <v>0.84677306957640763</v>
      </c>
      <c r="P21" s="3">
        <v>0.28882190404450858</v>
      </c>
      <c r="Q21" s="3">
        <v>0</v>
      </c>
    </row>
    <row r="22" spans="1:17" x14ac:dyDescent="0.2">
      <c r="A22" s="2">
        <v>18</v>
      </c>
      <c r="B22" s="2">
        <f t="shared" ca="1" si="1"/>
        <v>1.2786977961132844</v>
      </c>
      <c r="F22" s="4">
        <v>18</v>
      </c>
      <c r="G22" s="3">
        <v>3.8400000000000003</v>
      </c>
      <c r="H22" s="3">
        <v>3.6097934574828003</v>
      </c>
      <c r="I22" s="3">
        <v>3.0252655935349471</v>
      </c>
      <c r="J22" s="3">
        <v>2.5561956384378508</v>
      </c>
      <c r="K22" s="3">
        <v>2.0506599361226221</v>
      </c>
      <c r="L22" s="3">
        <v>2.0145995068062645</v>
      </c>
      <c r="M22" s="3">
        <v>1.1004858715629746</v>
      </c>
      <c r="N22" s="3">
        <v>1.0547719948572845</v>
      </c>
      <c r="O22" s="3">
        <v>0.55927222839138313</v>
      </c>
      <c r="P22" s="3">
        <v>0.60575170149105317</v>
      </c>
      <c r="Q22" s="3">
        <v>0</v>
      </c>
    </row>
    <row r="23" spans="1:17" x14ac:dyDescent="0.2">
      <c r="A23" s="2">
        <v>19</v>
      </c>
      <c r="B23" s="2">
        <f t="shared" ca="1" si="1"/>
        <v>0.47928524990873089</v>
      </c>
      <c r="F23" s="4">
        <v>19</v>
      </c>
      <c r="G23" s="3">
        <v>3.8399999999999994</v>
      </c>
      <c r="H23" s="3">
        <v>3.5461244717869311</v>
      </c>
      <c r="I23" s="3">
        <v>2.8333418620506623</v>
      </c>
      <c r="J23" s="3">
        <v>2.8486669804964873</v>
      </c>
      <c r="K23" s="3">
        <v>2.0422982910591601</v>
      </c>
      <c r="L23" s="3">
        <v>1.8308153679748769</v>
      </c>
      <c r="M23" s="3">
        <v>1.5066905166994271</v>
      </c>
      <c r="N23" s="3">
        <v>1.3808319228807597</v>
      </c>
      <c r="O23" s="3">
        <v>0.76287789211475954</v>
      </c>
      <c r="P23" s="3">
        <v>0.46680178508907277</v>
      </c>
      <c r="Q23" s="3">
        <v>0</v>
      </c>
    </row>
    <row r="24" spans="1:17" x14ac:dyDescent="0.2">
      <c r="A24" s="2">
        <v>20</v>
      </c>
      <c r="B24" s="2">
        <f t="shared" ca="1" si="1"/>
        <v>0.50052100270094124</v>
      </c>
      <c r="F24" s="4">
        <v>20</v>
      </c>
      <c r="G24" s="3">
        <v>3.8400000000000012</v>
      </c>
      <c r="H24" s="3">
        <v>3.4674157086597046</v>
      </c>
      <c r="I24" s="3">
        <v>3.3182058146736235</v>
      </c>
      <c r="J24" s="3">
        <v>2.839892855863408</v>
      </c>
      <c r="K24" s="3">
        <v>2.2497275014281066</v>
      </c>
      <c r="L24" s="3">
        <v>1.8908179857910019</v>
      </c>
      <c r="M24" s="3">
        <v>1.5595422830389878</v>
      </c>
      <c r="N24" s="3">
        <v>1.0306689254041264</v>
      </c>
      <c r="O24" s="3">
        <v>0.73719532330273341</v>
      </c>
      <c r="P24" s="3">
        <v>0.41082632667462154</v>
      </c>
      <c r="Q24" s="3">
        <v>0</v>
      </c>
    </row>
    <row r="25" spans="1:17" x14ac:dyDescent="0.2">
      <c r="A25" s="2">
        <v>21</v>
      </c>
      <c r="B25" s="2">
        <f t="shared" ca="1" si="1"/>
        <v>-0.83330603553447702</v>
      </c>
      <c r="F25" s="4">
        <v>21</v>
      </c>
      <c r="G25" s="3">
        <v>3.84</v>
      </c>
      <c r="H25" s="3">
        <v>3.7312584509509166</v>
      </c>
      <c r="I25" s="3">
        <v>3.1029444450050767</v>
      </c>
      <c r="J25" s="3">
        <v>2.7039259068538395</v>
      </c>
      <c r="K25" s="3">
        <v>2.2802972699349153</v>
      </c>
      <c r="L25" s="3">
        <v>1.7728109296750461</v>
      </c>
      <c r="M25" s="3">
        <v>1.460199347125783</v>
      </c>
      <c r="N25" s="3">
        <v>0.95761354110523156</v>
      </c>
      <c r="O25" s="3">
        <v>0.518961900078866</v>
      </c>
      <c r="P25" s="3">
        <v>0.27529608953555601</v>
      </c>
      <c r="Q25" s="3">
        <v>0</v>
      </c>
    </row>
    <row r="26" spans="1:17" x14ac:dyDescent="0.2">
      <c r="A26" s="2">
        <v>22</v>
      </c>
      <c r="B26" s="2">
        <f t="shared" ca="1" si="1"/>
        <v>0.30620485205561032</v>
      </c>
      <c r="F26" s="4">
        <v>22</v>
      </c>
      <c r="G26" s="3">
        <v>3.839999999999999</v>
      </c>
      <c r="H26" s="3">
        <v>3.636039621146828</v>
      </c>
      <c r="I26" s="3">
        <v>3.0515281116551622</v>
      </c>
      <c r="J26" s="3">
        <v>2.6760922979796593</v>
      </c>
      <c r="K26" s="3">
        <v>2.155523105478546</v>
      </c>
      <c r="L26" s="3">
        <v>1.6669099844335171</v>
      </c>
      <c r="M26" s="3">
        <v>1.3225379408794227</v>
      </c>
      <c r="N26" s="3">
        <v>1.3357792391931196</v>
      </c>
      <c r="O26" s="3">
        <v>1.0605999473003267</v>
      </c>
      <c r="P26" s="3">
        <v>0.46090118460630836</v>
      </c>
      <c r="Q26" s="3">
        <v>0</v>
      </c>
    </row>
    <row r="27" spans="1:17" x14ac:dyDescent="0.2">
      <c r="A27" s="2">
        <v>23</v>
      </c>
      <c r="B27" s="2">
        <f t="shared" ca="1" si="1"/>
        <v>0.44436115232409318</v>
      </c>
      <c r="F27" s="4">
        <v>23</v>
      </c>
      <c r="G27" s="3">
        <v>3.84</v>
      </c>
      <c r="H27" s="3">
        <v>3.4135009422199993</v>
      </c>
      <c r="I27" s="3">
        <v>3.322373999341369</v>
      </c>
      <c r="J27" s="3">
        <v>2.5501380878487527</v>
      </c>
      <c r="K27" s="3">
        <v>2.200273725119513</v>
      </c>
      <c r="L27" s="3">
        <v>2.2281765736210888</v>
      </c>
      <c r="M27" s="3">
        <v>1.8268208355407436</v>
      </c>
      <c r="N27" s="3">
        <v>1.33019172069172</v>
      </c>
      <c r="O27" s="3">
        <v>0.71134683183260505</v>
      </c>
      <c r="P27" s="3">
        <v>0.27267705647361301</v>
      </c>
      <c r="Q27" s="3">
        <v>0</v>
      </c>
    </row>
    <row r="28" spans="1:17" x14ac:dyDescent="0.2">
      <c r="A28" s="2">
        <v>24</v>
      </c>
      <c r="B28" s="2">
        <f t="shared" ca="1" si="1"/>
        <v>-0.14953833343686176</v>
      </c>
      <c r="F28" s="4">
        <v>24</v>
      </c>
      <c r="G28" s="3">
        <v>3.8400000000000003</v>
      </c>
      <c r="H28" s="3">
        <v>3.3482927924759314</v>
      </c>
      <c r="I28" s="3">
        <v>2.9641227924917382</v>
      </c>
      <c r="J28" s="3">
        <v>2.4948656267172766</v>
      </c>
      <c r="K28" s="3">
        <v>1.9407579188064732</v>
      </c>
      <c r="L28" s="3">
        <v>2.1755811503245974</v>
      </c>
      <c r="M28" s="3">
        <v>1.6334536334482543</v>
      </c>
      <c r="N28" s="3">
        <v>1.2872910736012628</v>
      </c>
      <c r="O28" s="3">
        <v>0.68632550554167848</v>
      </c>
      <c r="P28" s="3">
        <v>0.43916281301657001</v>
      </c>
      <c r="Q28" s="3">
        <v>0</v>
      </c>
    </row>
    <row r="29" spans="1:17" x14ac:dyDescent="0.2">
      <c r="A29" s="2">
        <v>25</v>
      </c>
      <c r="B29" s="2">
        <f t="shared" ca="1" si="1"/>
        <v>-6.6855139682829232E-2</v>
      </c>
      <c r="F29" s="4">
        <v>25</v>
      </c>
      <c r="G29" s="3">
        <v>3.8400000000000003</v>
      </c>
      <c r="H29" s="3">
        <v>3.1229683417452136</v>
      </c>
      <c r="I29" s="3">
        <v>3.1739553866640575</v>
      </c>
      <c r="J29" s="3">
        <v>2.4528329653329579</v>
      </c>
      <c r="K29" s="3">
        <v>2.2425214535457032</v>
      </c>
      <c r="L29" s="3">
        <v>2.0713571517175269</v>
      </c>
      <c r="M29" s="3">
        <v>1.5750272662453846</v>
      </c>
      <c r="N29" s="3">
        <v>1.3440436160512343</v>
      </c>
      <c r="O29" s="3">
        <v>0.98451562255651803</v>
      </c>
      <c r="P29" s="3">
        <v>0.7543341909386051</v>
      </c>
      <c r="Q29" s="3">
        <v>0</v>
      </c>
    </row>
    <row r="30" spans="1:17" x14ac:dyDescent="0.2">
      <c r="A30" s="2">
        <v>26</v>
      </c>
      <c r="B30" s="2">
        <f t="shared" ca="1" si="1"/>
        <v>0.44920331057884189</v>
      </c>
      <c r="F30" s="4">
        <v>26</v>
      </c>
      <c r="G30" s="3">
        <v>3.8399999999999994</v>
      </c>
      <c r="H30" s="3">
        <v>3.141707518261442</v>
      </c>
      <c r="I30" s="3">
        <v>3.1634548060033274</v>
      </c>
      <c r="J30" s="3">
        <v>2.8571243019191206</v>
      </c>
      <c r="K30" s="3">
        <v>2.077468952072981</v>
      </c>
      <c r="L30" s="3">
        <v>1.6456018574217663</v>
      </c>
      <c r="M30" s="3">
        <v>1.4311323154750994</v>
      </c>
      <c r="N30" s="3">
        <v>1.414840323143733</v>
      </c>
      <c r="O30" s="3">
        <v>0.68946915244317497</v>
      </c>
      <c r="P30" s="3">
        <v>0.3798517614243152</v>
      </c>
      <c r="Q30" s="3">
        <v>0</v>
      </c>
    </row>
    <row r="31" spans="1:17" x14ac:dyDescent="0.2">
      <c r="A31" s="2">
        <v>27</v>
      </c>
      <c r="B31" s="2">
        <f t="shared" ca="1" si="1"/>
        <v>0.179585414460909</v>
      </c>
      <c r="F31" s="4">
        <v>27</v>
      </c>
      <c r="G31" s="3">
        <v>3.84</v>
      </c>
      <c r="H31" s="3">
        <v>3.4513508116222367</v>
      </c>
      <c r="I31" s="3">
        <v>3.074240848898063</v>
      </c>
      <c r="J31" s="3">
        <v>2.974517163649268</v>
      </c>
      <c r="K31" s="3">
        <v>2.4423897122346823</v>
      </c>
      <c r="L31" s="3">
        <v>1.6940032817163213</v>
      </c>
      <c r="M31" s="3">
        <v>1.65437687998535</v>
      </c>
      <c r="N31" s="3">
        <v>1.2365333981008184</v>
      </c>
      <c r="O31" s="3">
        <v>0.92208715958243737</v>
      </c>
      <c r="P31" s="3">
        <v>0.50156242966875508</v>
      </c>
      <c r="Q31" s="3">
        <v>0</v>
      </c>
    </row>
    <row r="32" spans="1:17" x14ac:dyDescent="0.2">
      <c r="A32" s="2">
        <v>28</v>
      </c>
      <c r="B32" s="2">
        <f t="shared" ca="1" si="1"/>
        <v>1.4172473602776547</v>
      </c>
      <c r="F32" s="4">
        <v>28</v>
      </c>
      <c r="G32" s="3">
        <v>3.84</v>
      </c>
      <c r="H32" s="3">
        <v>3.6808666970606065</v>
      </c>
      <c r="I32" s="3">
        <v>3.1889596316693996</v>
      </c>
      <c r="J32" s="3">
        <v>2.7447574182507082</v>
      </c>
      <c r="K32" s="3">
        <v>2.4625089550518147</v>
      </c>
      <c r="L32" s="3">
        <v>1.9715483991800982</v>
      </c>
      <c r="M32" s="3">
        <v>1.5653474072837907</v>
      </c>
      <c r="N32" s="3">
        <v>1.2316200998439391</v>
      </c>
      <c r="O32" s="3">
        <v>0.73656576897315296</v>
      </c>
      <c r="P32" s="3">
        <v>0.53491847580391472</v>
      </c>
      <c r="Q32" s="3">
        <v>0</v>
      </c>
    </row>
    <row r="33" spans="1:17" x14ac:dyDescent="0.2">
      <c r="A33" s="2">
        <v>29</v>
      </c>
      <c r="B33" s="2">
        <f t="shared" ca="1" si="1"/>
        <v>0.50695425884348921</v>
      </c>
      <c r="F33" s="4">
        <v>29</v>
      </c>
      <c r="G33" s="3">
        <v>3.84</v>
      </c>
      <c r="H33" s="3">
        <v>3.1885538570297447</v>
      </c>
      <c r="I33" s="3">
        <v>3.0047977559567181</v>
      </c>
      <c r="J33" s="3">
        <v>2.2775496032241702</v>
      </c>
      <c r="K33" s="3">
        <v>2.3618517597150506</v>
      </c>
      <c r="L33" s="3">
        <v>2.2471924052626444</v>
      </c>
      <c r="M33" s="3">
        <v>1.6646142989097144</v>
      </c>
      <c r="N33" s="3">
        <v>0.94085218967325412</v>
      </c>
      <c r="O33" s="3">
        <v>0.83272439869324366</v>
      </c>
      <c r="P33" s="3">
        <v>0.50776901498626492</v>
      </c>
      <c r="Q33" s="3">
        <v>0</v>
      </c>
    </row>
    <row r="34" spans="1:17" x14ac:dyDescent="0.2">
      <c r="A34" s="2">
        <v>30</v>
      </c>
      <c r="B34" s="2">
        <f t="shared" ca="1" si="1"/>
        <v>0.83954683220551318</v>
      </c>
      <c r="F34" s="4">
        <v>30</v>
      </c>
      <c r="G34" s="3">
        <v>3.8400000000000007</v>
      </c>
      <c r="H34" s="3">
        <v>3.4581210087132397</v>
      </c>
      <c r="I34" s="3">
        <v>3.1123291548121546</v>
      </c>
      <c r="J34" s="3">
        <v>2.5744318842780678</v>
      </c>
      <c r="K34" s="3">
        <v>2.7626525221267495</v>
      </c>
      <c r="L34" s="3">
        <v>1.944417850624542</v>
      </c>
      <c r="M34" s="3">
        <v>1.43946745434103</v>
      </c>
      <c r="N34" s="3">
        <v>1.4688065711333482</v>
      </c>
      <c r="O34" s="3">
        <v>0.72002389493817609</v>
      </c>
      <c r="P34" s="3">
        <v>0.51855209926963974</v>
      </c>
      <c r="Q34" s="3">
        <v>0</v>
      </c>
    </row>
    <row r="35" spans="1:17" x14ac:dyDescent="0.2">
      <c r="A35" s="2">
        <v>31</v>
      </c>
      <c r="B35" s="2">
        <f t="shared" ca="1" si="1"/>
        <v>2.8312799114628606</v>
      </c>
      <c r="F35" s="4">
        <v>31</v>
      </c>
      <c r="G35" s="3">
        <v>3.84</v>
      </c>
      <c r="H35" s="3">
        <v>3.6934865150130443</v>
      </c>
      <c r="I35" s="3">
        <v>2.8064439163714314</v>
      </c>
      <c r="J35" s="3">
        <v>2.6620019909125001</v>
      </c>
      <c r="K35" s="3">
        <v>2.3170468949677399</v>
      </c>
      <c r="L35" s="3">
        <v>1.8448437555346455</v>
      </c>
      <c r="M35" s="3">
        <v>1.6286337002714764</v>
      </c>
      <c r="N35" s="3">
        <v>0.97462396344727509</v>
      </c>
      <c r="O35" s="3">
        <v>0.67928636428715261</v>
      </c>
      <c r="P35" s="3">
        <v>0.2944426802644699</v>
      </c>
      <c r="Q35" s="3">
        <v>0</v>
      </c>
    </row>
    <row r="36" spans="1:17" x14ac:dyDescent="0.2">
      <c r="A36" s="2">
        <v>32</v>
      </c>
      <c r="B36" s="2">
        <f t="shared" ca="1" si="1"/>
        <v>2.7787401468544273</v>
      </c>
      <c r="F36" s="4">
        <v>32</v>
      </c>
      <c r="G36" s="3">
        <v>3.84</v>
      </c>
      <c r="H36" s="3">
        <v>3.4728933345059412</v>
      </c>
      <c r="I36" s="3">
        <v>2.9502394711727757</v>
      </c>
      <c r="J36" s="3">
        <v>2.8257631877377931</v>
      </c>
      <c r="K36" s="3">
        <v>2.2017569587237551</v>
      </c>
      <c r="L36" s="3">
        <v>2.0255648086228812</v>
      </c>
      <c r="M36" s="3">
        <v>1.2085293997647275</v>
      </c>
      <c r="N36" s="3">
        <v>1.2652890157084788</v>
      </c>
      <c r="O36" s="3">
        <v>0.61873834521099225</v>
      </c>
      <c r="P36" s="3">
        <v>0.45091128076480552</v>
      </c>
      <c r="Q36" s="3">
        <v>0</v>
      </c>
    </row>
    <row r="37" spans="1:17" x14ac:dyDescent="0.2">
      <c r="A37" s="2">
        <v>33</v>
      </c>
      <c r="B37" s="2">
        <f t="shared" ca="1" si="1"/>
        <v>0.37820848425680875</v>
      </c>
      <c r="F37" s="4">
        <v>33</v>
      </c>
      <c r="G37" s="3">
        <v>3.84</v>
      </c>
      <c r="H37" s="3">
        <v>3.5921099890490962</v>
      </c>
      <c r="I37" s="3">
        <v>3.5228658718312351</v>
      </c>
      <c r="J37" s="3">
        <v>3.0075290939775137</v>
      </c>
      <c r="K37" s="3">
        <v>2.3255868997778273</v>
      </c>
      <c r="L37" s="3">
        <v>2.0642387832357141</v>
      </c>
      <c r="M37" s="3">
        <v>1.8064547497901184</v>
      </c>
      <c r="N37" s="3">
        <v>1.0925317286297256</v>
      </c>
      <c r="O37" s="3">
        <v>0.59270982413257556</v>
      </c>
      <c r="P37" s="3">
        <v>0.51649513812988634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7.2112497436284395E-3</v>
      </c>
      <c r="F38" s="4">
        <v>34</v>
      </c>
      <c r="G38" s="3">
        <v>3.84</v>
      </c>
      <c r="H38" s="3">
        <v>3.2209070840777208</v>
      </c>
      <c r="I38" s="3">
        <v>2.990278430901363</v>
      </c>
      <c r="J38" s="3">
        <v>2.4912121625664412</v>
      </c>
      <c r="K38" s="3">
        <v>2.1287187599309925</v>
      </c>
      <c r="L38" s="3">
        <v>1.5877740150474264</v>
      </c>
      <c r="M38" s="3">
        <v>1.8625530157431933</v>
      </c>
      <c r="N38" s="3">
        <v>0.99450918352224871</v>
      </c>
      <c r="O38" s="3">
        <v>0.8938563265953835</v>
      </c>
      <c r="P38" s="3">
        <v>0.3005254050029047</v>
      </c>
      <c r="Q38" s="3">
        <v>0</v>
      </c>
    </row>
    <row r="39" spans="1:17" x14ac:dyDescent="0.2">
      <c r="A39" s="2">
        <v>35</v>
      </c>
      <c r="B39" s="2">
        <f t="shared" ca="1" si="2"/>
        <v>0.81095210188087274</v>
      </c>
      <c r="F39" s="4">
        <v>35</v>
      </c>
      <c r="G39" s="3">
        <v>3.8400000000000003</v>
      </c>
      <c r="H39" s="3">
        <v>3.5539826276932693</v>
      </c>
      <c r="I39" s="3">
        <v>3.320434649893838</v>
      </c>
      <c r="J39" s="3">
        <v>2.7170367207020578</v>
      </c>
      <c r="K39" s="3">
        <v>2.2658233636136882</v>
      </c>
      <c r="L39" s="3">
        <v>2.1384968385755427</v>
      </c>
      <c r="M39" s="3">
        <v>1.5087688055737778</v>
      </c>
      <c r="N39" s="3">
        <v>1.1522897413978845</v>
      </c>
      <c r="O39" s="3">
        <v>0.66101251118111004</v>
      </c>
      <c r="P39" s="3">
        <v>0.26825630182046084</v>
      </c>
      <c r="Q39" s="3">
        <v>0</v>
      </c>
    </row>
    <row r="40" spans="1:17" x14ac:dyDescent="0.2">
      <c r="A40" s="2">
        <v>36</v>
      </c>
      <c r="B40" s="2">
        <f t="shared" ca="1" si="2"/>
        <v>-0.45539063105832978</v>
      </c>
      <c r="F40" s="4">
        <v>36</v>
      </c>
      <c r="G40" s="3">
        <v>3.84</v>
      </c>
      <c r="H40" s="3">
        <v>3.5599317212559645</v>
      </c>
      <c r="I40" s="3">
        <v>3.1134102529741301</v>
      </c>
      <c r="J40" s="3">
        <v>2.9177863469789824</v>
      </c>
      <c r="K40" s="3">
        <v>2.0242601810981458</v>
      </c>
      <c r="L40" s="3">
        <v>1.7634137013436253</v>
      </c>
      <c r="M40" s="3">
        <v>1.7910220938639472</v>
      </c>
      <c r="N40" s="3">
        <v>1.1973460199643422</v>
      </c>
      <c r="O40" s="3">
        <v>0.76066024000673493</v>
      </c>
      <c r="P40" s="3">
        <v>0.28771742316582444</v>
      </c>
      <c r="Q40" s="3">
        <v>0</v>
      </c>
    </row>
    <row r="41" spans="1:17" x14ac:dyDescent="0.2">
      <c r="A41" s="2">
        <v>37</v>
      </c>
      <c r="B41" s="2">
        <f t="shared" ca="1" si="2"/>
        <v>-0.28132313599163417</v>
      </c>
      <c r="F41" s="4">
        <v>37</v>
      </c>
      <c r="G41" s="3">
        <v>3.8399999999999994</v>
      </c>
      <c r="H41" s="3">
        <v>3.4114245908858409</v>
      </c>
      <c r="I41" s="3">
        <v>2.8384784501614186</v>
      </c>
      <c r="J41" s="3">
        <v>2.7862185534254533</v>
      </c>
      <c r="K41" s="3">
        <v>1.9204374581593622</v>
      </c>
      <c r="L41" s="3">
        <v>2.1516256082526537</v>
      </c>
      <c r="M41" s="3">
        <v>1.4002194896817572</v>
      </c>
      <c r="N41" s="3">
        <v>1.2045363204840467</v>
      </c>
      <c r="O41" s="3">
        <v>1.0379187760533644</v>
      </c>
      <c r="P41" s="3">
        <v>0.37320236636662568</v>
      </c>
      <c r="Q41" s="3">
        <v>0</v>
      </c>
    </row>
    <row r="42" spans="1:17" x14ac:dyDescent="0.2">
      <c r="A42" s="2">
        <v>38</v>
      </c>
      <c r="B42" s="2">
        <f t="shared" ca="1" si="2"/>
        <v>0.16741574482018862</v>
      </c>
      <c r="F42" s="4">
        <v>38</v>
      </c>
      <c r="G42" s="3">
        <v>3.84</v>
      </c>
      <c r="H42" s="3">
        <v>3.5153422673053951</v>
      </c>
      <c r="I42" s="3">
        <v>3.1369558555277828</v>
      </c>
      <c r="J42" s="3">
        <v>2.8696872475693698</v>
      </c>
      <c r="K42" s="3">
        <v>2.1422229382867157</v>
      </c>
      <c r="L42" s="3">
        <v>2.1638728003767604</v>
      </c>
      <c r="M42" s="3">
        <v>1.7646096372963493</v>
      </c>
      <c r="N42" s="3">
        <v>1.1514932892297502</v>
      </c>
      <c r="O42" s="3">
        <v>0.64746679434141863</v>
      </c>
      <c r="P42" s="3">
        <v>0.45351487997573703</v>
      </c>
      <c r="Q42" s="3">
        <v>0</v>
      </c>
    </row>
    <row r="43" spans="1:17" x14ac:dyDescent="0.2">
      <c r="A43" s="2">
        <v>39</v>
      </c>
      <c r="B43" s="2">
        <f t="shared" ca="1" si="2"/>
        <v>-1.0956708602945389</v>
      </c>
      <c r="F43" s="4">
        <v>39</v>
      </c>
      <c r="G43" s="3">
        <v>3.8399999999999994</v>
      </c>
      <c r="H43" s="3">
        <v>3.3734942432958364</v>
      </c>
      <c r="I43" s="3">
        <v>3.3982006198503747</v>
      </c>
      <c r="J43" s="3">
        <v>2.7847955769847315</v>
      </c>
      <c r="K43" s="3">
        <v>2.7953269048755582</v>
      </c>
      <c r="L43" s="3">
        <v>2.0175167425238496</v>
      </c>
      <c r="M43" s="3">
        <v>1.3387387098951182</v>
      </c>
      <c r="N43" s="3">
        <v>0.94623225990405158</v>
      </c>
      <c r="O43" s="3">
        <v>0.73163222696898056</v>
      </c>
      <c r="P43" s="3">
        <v>0.47478515543779493</v>
      </c>
      <c r="Q43" s="3">
        <v>0</v>
      </c>
    </row>
    <row r="44" spans="1:17" x14ac:dyDescent="0.2">
      <c r="A44" s="2">
        <v>40</v>
      </c>
      <c r="B44" s="2">
        <f t="shared" ca="1" si="2"/>
        <v>-0.99354428032072928</v>
      </c>
      <c r="F44" s="4">
        <v>40</v>
      </c>
      <c r="G44" s="3">
        <v>3.8400000000000012</v>
      </c>
      <c r="H44" s="3">
        <v>3.3697463873869036</v>
      </c>
      <c r="I44" s="3">
        <v>3.0768384783071436</v>
      </c>
      <c r="J44" s="3">
        <v>2.7660155850414134</v>
      </c>
      <c r="K44" s="3">
        <v>2.1901749722964023</v>
      </c>
      <c r="L44" s="3">
        <v>2.0304491876026867</v>
      </c>
      <c r="M44" s="3">
        <v>1.7003366886335622</v>
      </c>
      <c r="N44" s="3">
        <v>1.2295023979781852</v>
      </c>
      <c r="O44" s="3">
        <v>1.0183792525215867</v>
      </c>
      <c r="P44" s="3">
        <v>0.50906676128608175</v>
      </c>
      <c r="Q44" s="3">
        <v>0</v>
      </c>
    </row>
    <row r="45" spans="1:17" x14ac:dyDescent="0.2">
      <c r="A45" s="2">
        <v>41</v>
      </c>
      <c r="B45" s="2">
        <f t="shared" ca="1" si="2"/>
        <v>0.26978464077380282</v>
      </c>
      <c r="F45" s="4">
        <v>41</v>
      </c>
      <c r="G45" s="3">
        <v>3.84</v>
      </c>
      <c r="H45" s="3">
        <v>3.5433492322653919</v>
      </c>
      <c r="I45" s="3">
        <v>3.3996047096239419</v>
      </c>
      <c r="J45" s="3">
        <v>2.445552652707248</v>
      </c>
      <c r="K45" s="3">
        <v>2.3994653756008182</v>
      </c>
      <c r="L45" s="3">
        <v>2.313020321219863</v>
      </c>
      <c r="M45" s="3">
        <v>1.602974648350687</v>
      </c>
      <c r="N45" s="3">
        <v>1.2671383440606148</v>
      </c>
      <c r="O45" s="3">
        <v>1.0278725066575238</v>
      </c>
      <c r="P45" s="3">
        <v>0.43443977791837407</v>
      </c>
      <c r="Q45" s="3">
        <v>0</v>
      </c>
    </row>
    <row r="46" spans="1:17" x14ac:dyDescent="0.2">
      <c r="A46" s="2">
        <v>42</v>
      </c>
      <c r="B46" s="2">
        <f t="shared" ca="1" si="2"/>
        <v>0.46650112682006445</v>
      </c>
      <c r="F46" s="4">
        <v>42</v>
      </c>
      <c r="G46" s="3">
        <v>3.84</v>
      </c>
      <c r="H46" s="3">
        <v>3.4870486230446924</v>
      </c>
      <c r="I46" s="3">
        <v>2.9473357370412554</v>
      </c>
      <c r="J46" s="3">
        <v>2.6407281900076542</v>
      </c>
      <c r="K46" s="3">
        <v>2.4692179388322097</v>
      </c>
      <c r="L46" s="3">
        <v>1.8022219343013506</v>
      </c>
      <c r="M46" s="3">
        <v>1.596304176836961</v>
      </c>
      <c r="N46" s="3">
        <v>1.0617614809473241</v>
      </c>
      <c r="O46" s="3">
        <v>0.66682594908933124</v>
      </c>
      <c r="P46" s="3">
        <v>0.24072081605786375</v>
      </c>
      <c r="Q46" s="3">
        <v>0</v>
      </c>
    </row>
    <row r="47" spans="1:17" x14ac:dyDescent="0.2">
      <c r="A47" s="2">
        <v>43</v>
      </c>
      <c r="B47" s="2">
        <f t="shared" ca="1" si="2"/>
        <v>0.77866333086133421</v>
      </c>
      <c r="F47" s="4">
        <v>43</v>
      </c>
      <c r="G47" s="3">
        <v>3.84</v>
      </c>
      <c r="H47" s="3">
        <v>3.3983971658945036</v>
      </c>
      <c r="I47" s="3">
        <v>2.9717655620806962</v>
      </c>
      <c r="J47" s="3">
        <v>2.4868655259867998</v>
      </c>
      <c r="K47" s="3">
        <v>2.5293333071058837</v>
      </c>
      <c r="L47" s="3">
        <v>1.8586862994082463</v>
      </c>
      <c r="M47" s="3">
        <v>1.7988139741847553</v>
      </c>
      <c r="N47" s="3">
        <v>1.1823240270277322</v>
      </c>
      <c r="O47" s="3">
        <v>1.0674739197917471</v>
      </c>
      <c r="P47" s="3">
        <v>0.63700738447645977</v>
      </c>
      <c r="Q47" s="3">
        <v>0</v>
      </c>
    </row>
    <row r="48" spans="1:17" x14ac:dyDescent="0.2">
      <c r="A48" s="2">
        <v>44</v>
      </c>
      <c r="B48" s="2">
        <f t="shared" ca="1" si="2"/>
        <v>-0.61369305816847697</v>
      </c>
      <c r="F48" s="4">
        <v>44</v>
      </c>
      <c r="G48" s="3">
        <v>3.8400000000000012</v>
      </c>
      <c r="H48" s="3">
        <v>3.6638935590714752</v>
      </c>
      <c r="I48" s="3">
        <v>3.2097391359036069</v>
      </c>
      <c r="J48" s="3">
        <v>2.5251900212492031</v>
      </c>
      <c r="K48" s="3">
        <v>2.3594398791357118</v>
      </c>
      <c r="L48" s="3">
        <v>2.1245329673624092</v>
      </c>
      <c r="M48" s="3">
        <v>1.4918993134450078</v>
      </c>
      <c r="N48" s="3">
        <v>1.0277021620394995</v>
      </c>
      <c r="O48" s="3">
        <v>0.5571182123274695</v>
      </c>
      <c r="P48" s="3">
        <v>0.27737664891981606</v>
      </c>
      <c r="Q48" s="3">
        <v>0</v>
      </c>
    </row>
    <row r="49" spans="1:17" x14ac:dyDescent="0.2">
      <c r="A49" s="2">
        <v>45</v>
      </c>
      <c r="B49" s="2">
        <f t="shared" ca="1" si="2"/>
        <v>1.5083620620871665</v>
      </c>
      <c r="F49" s="4">
        <v>45</v>
      </c>
      <c r="G49" s="3">
        <v>3.8400000000000003</v>
      </c>
      <c r="H49" s="3">
        <v>3.6706411968979409</v>
      </c>
      <c r="I49" s="3">
        <v>2.8118084501522675</v>
      </c>
      <c r="J49" s="3">
        <v>2.6419736304549475</v>
      </c>
      <c r="K49" s="3">
        <v>2.4718246657569698</v>
      </c>
      <c r="L49" s="3">
        <v>1.9318763681003195</v>
      </c>
      <c r="M49" s="3">
        <v>1.4256483194054095</v>
      </c>
      <c r="N49" s="3">
        <v>1.0927136265744917</v>
      </c>
      <c r="O49" s="3">
        <v>0.84488549270359814</v>
      </c>
      <c r="P49" s="3">
        <v>0.28097990901672409</v>
      </c>
      <c r="Q49" s="3">
        <v>0</v>
      </c>
    </row>
    <row r="50" spans="1:17" x14ac:dyDescent="0.2">
      <c r="A50" s="2">
        <v>46</v>
      </c>
      <c r="B50" s="2">
        <f t="shared" ca="1" si="2"/>
        <v>1.5128919952576907</v>
      </c>
      <c r="F50" s="4">
        <v>46</v>
      </c>
      <c r="G50" s="3">
        <v>3.839999999999999</v>
      </c>
      <c r="H50" s="3">
        <v>3.221447567092063</v>
      </c>
      <c r="I50" s="3">
        <v>3.1296703330175704</v>
      </c>
      <c r="J50" s="3">
        <v>2.8540567589136576</v>
      </c>
      <c r="K50" s="3">
        <v>2.3264017978273945</v>
      </c>
      <c r="L50" s="3">
        <v>1.7331818762714051</v>
      </c>
      <c r="M50" s="3">
        <v>1.3768692885994509</v>
      </c>
      <c r="N50" s="3">
        <v>1.3001244698445573</v>
      </c>
      <c r="O50" s="3">
        <v>0.83626724920870787</v>
      </c>
      <c r="P50" s="3">
        <v>0.39280777814668327</v>
      </c>
      <c r="Q50" s="3">
        <v>0</v>
      </c>
    </row>
    <row r="51" spans="1:17" x14ac:dyDescent="0.2">
      <c r="A51" s="2">
        <v>47</v>
      </c>
      <c r="B51" s="2">
        <f t="shared" ca="1" si="2"/>
        <v>0.56233627011064491</v>
      </c>
      <c r="F51" s="4">
        <v>47</v>
      </c>
      <c r="G51" s="3">
        <v>3.839999999999999</v>
      </c>
      <c r="H51" s="3">
        <v>3.4843157836542122</v>
      </c>
      <c r="I51" s="3">
        <v>3.0902327055933183</v>
      </c>
      <c r="J51" s="3">
        <v>2.6709567921673183</v>
      </c>
      <c r="K51" s="3">
        <v>2.0528515637088689</v>
      </c>
      <c r="L51" s="3">
        <v>2.1112380778164845</v>
      </c>
      <c r="M51" s="3">
        <v>1.3932037823503203</v>
      </c>
      <c r="N51" s="3">
        <v>1.0342042447300177</v>
      </c>
      <c r="O51" s="3">
        <v>0.74996256362712954</v>
      </c>
      <c r="P51" s="3">
        <v>0.27185646634362504</v>
      </c>
      <c r="Q51" s="3">
        <v>0</v>
      </c>
    </row>
    <row r="52" spans="1:17" x14ac:dyDescent="0.2">
      <c r="A52" s="2">
        <v>48</v>
      </c>
      <c r="B52" s="2">
        <f t="shared" ca="1" si="2"/>
        <v>-6.2798577077233464E-2</v>
      </c>
      <c r="F52" s="4">
        <v>48</v>
      </c>
      <c r="G52" s="3">
        <v>3.84</v>
      </c>
      <c r="H52" s="3">
        <v>3.5255329640229105</v>
      </c>
      <c r="I52" s="3">
        <v>3.0331820170927459</v>
      </c>
      <c r="J52" s="3">
        <v>2.4000032420158095</v>
      </c>
      <c r="K52" s="3">
        <v>2.592010073301398</v>
      </c>
      <c r="L52" s="3">
        <v>2.0912411515273286</v>
      </c>
      <c r="M52" s="3">
        <v>1.7064682362172789</v>
      </c>
      <c r="N52" s="3">
        <v>1.3618693140012061</v>
      </c>
      <c r="O52" s="3">
        <v>0.63616526826622055</v>
      </c>
      <c r="P52" s="3">
        <v>0.44399915591515315</v>
      </c>
      <c r="Q52" s="3">
        <v>0</v>
      </c>
    </row>
    <row r="53" spans="1:17" x14ac:dyDescent="0.2">
      <c r="A53" s="2">
        <v>49</v>
      </c>
      <c r="B53" s="2">
        <f t="shared" ca="1" si="2"/>
        <v>0.45795757872258108</v>
      </c>
      <c r="F53" s="4">
        <v>49</v>
      </c>
      <c r="G53" s="3">
        <v>3.8400000000000003</v>
      </c>
      <c r="H53" s="3">
        <v>3.5775518781294475</v>
      </c>
      <c r="I53" s="3">
        <v>3.2380216240587498</v>
      </c>
      <c r="J53" s="3">
        <v>2.8063716026271011</v>
      </c>
      <c r="K53" s="3">
        <v>2.3428045875496437</v>
      </c>
      <c r="L53" s="3">
        <v>1.9578608034778675</v>
      </c>
      <c r="M53" s="3">
        <v>1.488668731685723</v>
      </c>
      <c r="N53" s="3">
        <v>0.95226953554262161</v>
      </c>
      <c r="O53" s="3">
        <v>0.96890651887859303</v>
      </c>
      <c r="P53" s="3">
        <v>0.29683060412449169</v>
      </c>
      <c r="Q53" s="3">
        <v>0</v>
      </c>
    </row>
    <row r="54" spans="1:17" x14ac:dyDescent="0.2">
      <c r="A54" s="2">
        <v>50</v>
      </c>
      <c r="B54" s="2">
        <f t="shared" ca="1" si="2"/>
        <v>-0.74112672257962997</v>
      </c>
      <c r="F54" s="4">
        <v>50</v>
      </c>
      <c r="G54" s="3">
        <v>3.839999999999999</v>
      </c>
      <c r="H54" s="3">
        <v>3.4790928319859939</v>
      </c>
      <c r="I54" s="3">
        <v>2.7468310110577763</v>
      </c>
      <c r="J54" s="3">
        <v>2.5156262898160739</v>
      </c>
      <c r="K54" s="3">
        <v>2.2252914217888184</v>
      </c>
      <c r="L54" s="3">
        <v>1.9078091817884342</v>
      </c>
      <c r="M54" s="3">
        <v>1.4351254555772226</v>
      </c>
      <c r="N54" s="3">
        <v>1.2169127616229987</v>
      </c>
      <c r="O54" s="3">
        <v>0.8903797774107467</v>
      </c>
      <c r="P54" s="3">
        <v>0.56929830671106263</v>
      </c>
      <c r="Q54" s="3">
        <v>0</v>
      </c>
    </row>
    <row r="55" spans="1:17" x14ac:dyDescent="0.2">
      <c r="A55" s="2">
        <v>51</v>
      </c>
      <c r="B55" s="2">
        <f t="shared" ca="1" si="2"/>
        <v>-0.8308812400643284</v>
      </c>
      <c r="F55" s="4">
        <v>51</v>
      </c>
      <c r="G55" s="3">
        <v>3.839999999999999</v>
      </c>
      <c r="H55" s="3">
        <v>3.403510879025279</v>
      </c>
      <c r="I55" s="3">
        <v>3.3928444480220876</v>
      </c>
      <c r="J55" s="3">
        <v>3.0063787422714672</v>
      </c>
      <c r="K55" s="3">
        <v>2.1561937493705279</v>
      </c>
      <c r="L55" s="3">
        <v>2.0819284294218798</v>
      </c>
      <c r="M55" s="3">
        <v>1.9632716306128961</v>
      </c>
      <c r="N55" s="3">
        <v>1.2329877909001044</v>
      </c>
      <c r="O55" s="3">
        <v>0.92142175908857027</v>
      </c>
      <c r="P55" s="3">
        <v>0.47835836528751974</v>
      </c>
      <c r="Q55" s="3">
        <v>0</v>
      </c>
    </row>
    <row r="56" spans="1:17" x14ac:dyDescent="0.2">
      <c r="A56" s="2">
        <v>52</v>
      </c>
      <c r="B56" s="2">
        <f t="shared" ca="1" si="2"/>
        <v>-1.5520130270374346</v>
      </c>
      <c r="F56" s="4">
        <v>52</v>
      </c>
      <c r="G56" s="3">
        <v>3.84</v>
      </c>
      <c r="H56" s="3">
        <v>3.460810909562142</v>
      </c>
      <c r="I56" s="3">
        <v>3.1560069914842259</v>
      </c>
      <c r="J56" s="3">
        <v>2.848534765150017</v>
      </c>
      <c r="K56" s="3">
        <v>2.2719633408067992</v>
      </c>
      <c r="L56" s="3">
        <v>2.0829366946633168</v>
      </c>
      <c r="M56" s="3">
        <v>1.7049551385138644</v>
      </c>
      <c r="N56" s="3">
        <v>1.3674735995801595</v>
      </c>
      <c r="O56" s="3">
        <v>0.6106326642585187</v>
      </c>
      <c r="P56" s="3">
        <v>0.4654558585924754</v>
      </c>
      <c r="Q56" s="3">
        <v>0</v>
      </c>
    </row>
    <row r="57" spans="1:17" x14ac:dyDescent="0.2">
      <c r="A57" s="2">
        <v>53</v>
      </c>
      <c r="B57" s="2">
        <f t="shared" ca="1" si="2"/>
        <v>-0.55385805282847134</v>
      </c>
      <c r="F57" s="4">
        <v>53</v>
      </c>
      <c r="G57" s="3">
        <v>3.84</v>
      </c>
      <c r="H57" s="3">
        <v>3.6565305114687185</v>
      </c>
      <c r="I57" s="3">
        <v>3.308486301766242</v>
      </c>
      <c r="J57" s="3">
        <v>2.6192291276162996</v>
      </c>
      <c r="K57" s="3">
        <v>2.0656825858755279</v>
      </c>
      <c r="L57" s="3">
        <v>2.2855856834863619</v>
      </c>
      <c r="M57" s="3">
        <v>1.36468260259316</v>
      </c>
      <c r="N57" s="3">
        <v>1.1715611381778863</v>
      </c>
      <c r="O57" s="3">
        <v>0.73716240722841819</v>
      </c>
      <c r="P57" s="3">
        <v>0.33211097724461985</v>
      </c>
      <c r="Q57" s="3">
        <v>0</v>
      </c>
    </row>
    <row r="58" spans="1:17" x14ac:dyDescent="0.2">
      <c r="A58" s="2">
        <v>54</v>
      </c>
      <c r="B58" s="2">
        <f t="shared" ca="1" si="2"/>
        <v>-0.68420920282213671</v>
      </c>
      <c r="F58" s="4">
        <v>54</v>
      </c>
      <c r="G58" s="3">
        <v>3.8399999999999994</v>
      </c>
      <c r="H58" s="3">
        <v>3.4620073748976772</v>
      </c>
      <c r="I58" s="3">
        <v>3.2131368538888565</v>
      </c>
      <c r="J58" s="3">
        <v>2.8636572621651464</v>
      </c>
      <c r="K58" s="3">
        <v>2.3466196349474422</v>
      </c>
      <c r="L58" s="3">
        <v>2.1325514945874349</v>
      </c>
      <c r="M58" s="3">
        <v>1.4193856703444208</v>
      </c>
      <c r="N58" s="3">
        <v>1.021515925396596</v>
      </c>
      <c r="O58" s="3">
        <v>0.70075782010659637</v>
      </c>
      <c r="P58" s="3">
        <v>0.3381038549987796</v>
      </c>
      <c r="Q58" s="3">
        <v>0</v>
      </c>
    </row>
    <row r="59" spans="1:17" x14ac:dyDescent="0.2">
      <c r="A59" s="2">
        <v>55</v>
      </c>
      <c r="B59" s="2">
        <f t="shared" ca="1" si="2"/>
        <v>-2.1271783387389931</v>
      </c>
      <c r="F59" s="4">
        <v>55</v>
      </c>
      <c r="G59" s="3">
        <v>3.8400000000000003</v>
      </c>
      <c r="H59" s="3">
        <v>3.3772921620961953</v>
      </c>
      <c r="I59" s="3">
        <v>3.3383459187472693</v>
      </c>
      <c r="J59" s="3">
        <v>2.5215282431165442</v>
      </c>
      <c r="K59" s="3">
        <v>2.3342636479276377</v>
      </c>
      <c r="L59" s="3">
        <v>2.0730509873959999</v>
      </c>
      <c r="M59" s="3">
        <v>1.3326564037392463</v>
      </c>
      <c r="N59" s="3">
        <v>1.2204089559175673</v>
      </c>
      <c r="O59" s="3">
        <v>0.83710012935921596</v>
      </c>
      <c r="P59" s="3">
        <v>0.53537499140062317</v>
      </c>
      <c r="Q59" s="3">
        <v>0</v>
      </c>
    </row>
    <row r="60" spans="1:17" x14ac:dyDescent="0.2">
      <c r="A60" s="2">
        <v>56</v>
      </c>
      <c r="B60" s="2">
        <f t="shared" ca="1" si="2"/>
        <v>-0.93503510406740564</v>
      </c>
      <c r="F60" s="4">
        <v>56</v>
      </c>
      <c r="G60" s="3">
        <v>3.8400000000000003</v>
      </c>
      <c r="H60" s="3">
        <v>3.6101825173892914</v>
      </c>
      <c r="I60" s="3">
        <v>2.8424317468167808</v>
      </c>
      <c r="J60" s="3">
        <v>2.5014699742048507</v>
      </c>
      <c r="K60" s="3">
        <v>2.2156197721091471</v>
      </c>
      <c r="L60" s="3">
        <v>2.0019470583453676</v>
      </c>
      <c r="M60" s="3">
        <v>1.5479558892567578</v>
      </c>
      <c r="N60" s="3">
        <v>1.0396805594148424</v>
      </c>
      <c r="O60" s="3">
        <v>0.74871673317571974</v>
      </c>
      <c r="P60" s="3">
        <v>0.44015099838560734</v>
      </c>
      <c r="Q60" s="3">
        <v>0</v>
      </c>
    </row>
    <row r="61" spans="1:17" x14ac:dyDescent="0.2">
      <c r="A61" s="2">
        <v>57</v>
      </c>
      <c r="B61" s="2">
        <f t="shared" ca="1" si="2"/>
        <v>6.3811994257495841E-2</v>
      </c>
      <c r="F61" s="4">
        <v>57</v>
      </c>
      <c r="G61" s="3">
        <v>3.84</v>
      </c>
      <c r="H61" s="3">
        <v>3.2087052957179729</v>
      </c>
      <c r="I61" s="3">
        <v>2.7989750165037219</v>
      </c>
      <c r="J61" s="3">
        <v>2.7554249930760548</v>
      </c>
      <c r="K61" s="3">
        <v>2.1960158630175552</v>
      </c>
      <c r="L61" s="3">
        <v>1.8096264925955698</v>
      </c>
      <c r="M61" s="3">
        <v>1.5373739172780538</v>
      </c>
      <c r="N61" s="3">
        <v>1.2099370462451493</v>
      </c>
      <c r="O61" s="3">
        <v>0.69415459439778715</v>
      </c>
      <c r="P61" s="3">
        <v>0.25903656501183059</v>
      </c>
      <c r="Q61" s="3">
        <v>0</v>
      </c>
    </row>
    <row r="62" spans="1:17" x14ac:dyDescent="0.2">
      <c r="A62" s="2">
        <v>58</v>
      </c>
      <c r="B62" s="2">
        <f t="shared" ca="1" si="2"/>
        <v>0.81390963202085098</v>
      </c>
      <c r="F62" s="4">
        <v>58</v>
      </c>
      <c r="G62" s="3">
        <v>3.84</v>
      </c>
      <c r="H62" s="3">
        <v>3.406667437950798</v>
      </c>
      <c r="I62" s="3">
        <v>3.2343716314798052</v>
      </c>
      <c r="J62" s="3">
        <v>2.3744678230671141</v>
      </c>
      <c r="K62" s="3">
        <v>2.1526673749402536</v>
      </c>
      <c r="L62" s="3">
        <v>2.1946731222888225</v>
      </c>
      <c r="M62" s="3">
        <v>1.7836673782698353</v>
      </c>
      <c r="N62" s="3">
        <v>1.2898581487484633</v>
      </c>
      <c r="O62" s="3">
        <v>0.58448548425889435</v>
      </c>
      <c r="P62" s="3">
        <v>0.46673674469085663</v>
      </c>
      <c r="Q62" s="3">
        <v>0</v>
      </c>
    </row>
    <row r="63" spans="1:17" x14ac:dyDescent="0.2">
      <c r="A63" s="2">
        <v>59</v>
      </c>
      <c r="B63" s="2">
        <f t="shared" ca="1" si="2"/>
        <v>1.9922192682927997E-2</v>
      </c>
      <c r="F63" s="4">
        <v>59</v>
      </c>
      <c r="G63" s="3">
        <v>3.8400000000000003</v>
      </c>
      <c r="H63" s="3">
        <v>3.5674307535272991</v>
      </c>
      <c r="I63" s="3">
        <v>3.2201472014589805</v>
      </c>
      <c r="J63" s="3">
        <v>2.4428371495787768</v>
      </c>
      <c r="K63" s="3">
        <v>2.6407527634029053</v>
      </c>
      <c r="L63" s="3">
        <v>2.0840433768171227</v>
      </c>
      <c r="M63" s="3">
        <v>1.2202612846654159</v>
      </c>
      <c r="N63" s="3">
        <v>1.2233593712233983</v>
      </c>
      <c r="O63" s="3">
        <v>0.57274460120257298</v>
      </c>
      <c r="P63" s="3">
        <v>0.33906588925792325</v>
      </c>
      <c r="Q63" s="3">
        <v>0</v>
      </c>
    </row>
    <row r="64" spans="1:17" x14ac:dyDescent="0.2">
      <c r="A64" s="2">
        <v>60</v>
      </c>
      <c r="B64" s="2">
        <f t="shared" ca="1" si="2"/>
        <v>-0.52306638635390168</v>
      </c>
      <c r="F64" s="4">
        <v>60</v>
      </c>
      <c r="G64" s="3">
        <v>3.8400000000000007</v>
      </c>
      <c r="H64" s="3">
        <v>3.1949412348505359</v>
      </c>
      <c r="I64" s="3">
        <v>2.8885664163982856</v>
      </c>
      <c r="J64" s="3">
        <v>2.6097435470337653</v>
      </c>
      <c r="K64" s="3">
        <v>2.3304059642022761</v>
      </c>
      <c r="L64" s="3">
        <v>1.8758348999617909</v>
      </c>
      <c r="M64" s="3">
        <v>1.568635834974456</v>
      </c>
      <c r="N64" s="3">
        <v>1.0562459111814346</v>
      </c>
      <c r="O64" s="3">
        <v>0.88389879574741115</v>
      </c>
      <c r="P64" s="3">
        <v>0.40439459575730496</v>
      </c>
      <c r="Q64" s="3">
        <v>0</v>
      </c>
    </row>
    <row r="65" spans="1:17" x14ac:dyDescent="0.2">
      <c r="A65" s="2">
        <v>61</v>
      </c>
      <c r="B65" s="2">
        <f t="shared" ca="1" si="2"/>
        <v>1.269704514769483</v>
      </c>
      <c r="F65" s="4">
        <v>61</v>
      </c>
      <c r="G65" s="3">
        <v>3.8400000000000012</v>
      </c>
      <c r="H65" s="3">
        <v>3.4857004609139488</v>
      </c>
      <c r="I65" s="3">
        <v>3.0111128765793467</v>
      </c>
      <c r="J65" s="3">
        <v>2.7478360761131113</v>
      </c>
      <c r="K65" s="3">
        <v>2.3978855600491347</v>
      </c>
      <c r="L65" s="3">
        <v>1.6514001447388484</v>
      </c>
      <c r="M65" s="3">
        <v>1.7071484821643814</v>
      </c>
      <c r="N65" s="3">
        <v>1.3180535128640563</v>
      </c>
      <c r="O65" s="3">
        <v>0.81192445144776637</v>
      </c>
      <c r="P65" s="3">
        <v>0.30788048764213088</v>
      </c>
      <c r="Q65" s="3">
        <v>0</v>
      </c>
    </row>
    <row r="66" spans="1:17" x14ac:dyDescent="0.2">
      <c r="A66" s="2">
        <v>62</v>
      </c>
      <c r="B66" s="2">
        <f t="shared" ca="1" si="2"/>
        <v>1.2048301053390154</v>
      </c>
      <c r="F66" s="4">
        <v>62</v>
      </c>
      <c r="G66" s="3">
        <v>3.8400000000000003</v>
      </c>
      <c r="H66" s="3">
        <v>2.9903450094249302</v>
      </c>
      <c r="I66" s="3">
        <v>2.9717324393383198</v>
      </c>
      <c r="J66" s="3">
        <v>2.684089936752847</v>
      </c>
      <c r="K66" s="3">
        <v>1.9602264155180171</v>
      </c>
      <c r="L66" s="3">
        <v>1.872366659551991</v>
      </c>
      <c r="M66" s="3">
        <v>1.7158033983241059</v>
      </c>
      <c r="N66" s="3">
        <v>1.0515271030509661</v>
      </c>
      <c r="O66" s="3">
        <v>0.70048601785461606</v>
      </c>
      <c r="P66" s="3">
        <v>0.42385403903547925</v>
      </c>
      <c r="Q66" s="3">
        <v>0</v>
      </c>
    </row>
    <row r="67" spans="1:17" x14ac:dyDescent="0.2">
      <c r="A67" s="2">
        <v>63</v>
      </c>
      <c r="B67" s="2">
        <f t="shared" ca="1" si="2"/>
        <v>0.27175159128302478</v>
      </c>
      <c r="F67" s="4">
        <v>63</v>
      </c>
      <c r="G67" s="3">
        <v>3.84</v>
      </c>
      <c r="H67" s="3">
        <v>3.5711295601390103</v>
      </c>
      <c r="I67" s="3">
        <v>3.2253559172243222</v>
      </c>
      <c r="J67" s="3">
        <v>2.6684323815661366</v>
      </c>
      <c r="K67" s="3">
        <v>2.3361297277020991</v>
      </c>
      <c r="L67" s="3">
        <v>1.3364999329476146</v>
      </c>
      <c r="M67" s="3">
        <v>1.47538125210837</v>
      </c>
      <c r="N67" s="3">
        <v>1.1730152851934732</v>
      </c>
      <c r="O67" s="3">
        <v>0.66468008774714504</v>
      </c>
      <c r="P67" s="3">
        <v>0.41248758796724538</v>
      </c>
      <c r="Q67" s="3">
        <v>0</v>
      </c>
    </row>
    <row r="68" spans="1:17" x14ac:dyDescent="0.2">
      <c r="A68" s="2">
        <v>64</v>
      </c>
      <c r="B68" s="2">
        <f t="shared" ca="1" si="2"/>
        <v>-0.49241246310350562</v>
      </c>
      <c r="F68" s="4">
        <v>64</v>
      </c>
      <c r="G68" s="3">
        <v>3.8400000000000003</v>
      </c>
      <c r="H68" s="3">
        <v>3.279473357145561</v>
      </c>
      <c r="I68" s="3">
        <v>3.2969296571632922</v>
      </c>
      <c r="J68" s="3">
        <v>2.3321331559226204</v>
      </c>
      <c r="K68" s="3">
        <v>2.2776031108091184</v>
      </c>
      <c r="L68" s="3">
        <v>1.855048511909648</v>
      </c>
      <c r="M68" s="3">
        <v>1.6769297647850088</v>
      </c>
      <c r="N68" s="3">
        <v>1.1569711307047397</v>
      </c>
      <c r="O68" s="3">
        <v>0.91055806969706954</v>
      </c>
      <c r="P68" s="3">
        <v>0.40444957562960365</v>
      </c>
      <c r="Q68" s="3">
        <v>0</v>
      </c>
    </row>
    <row r="69" spans="1:17" x14ac:dyDescent="0.2">
      <c r="A69" s="2">
        <v>65</v>
      </c>
      <c r="B69" s="2">
        <f t="shared" ca="1" si="2"/>
        <v>-1.3582920986991098</v>
      </c>
      <c r="F69" s="4">
        <v>65</v>
      </c>
      <c r="G69" s="3">
        <v>3.84</v>
      </c>
      <c r="H69" s="3">
        <v>3.4620851319068571</v>
      </c>
      <c r="I69" s="3">
        <v>3.0358405810352438</v>
      </c>
      <c r="J69" s="3">
        <v>2.6647416116577154</v>
      </c>
      <c r="K69" s="3">
        <v>2.1462069685727392</v>
      </c>
      <c r="L69" s="3">
        <v>1.9572425226696841</v>
      </c>
      <c r="M69" s="3">
        <v>1.8481064635657625</v>
      </c>
      <c r="N69" s="3">
        <v>1.4040215515222987</v>
      </c>
      <c r="O69" s="3">
        <v>1.0655494457043653</v>
      </c>
      <c r="P69" s="3">
        <v>0.46171735503187861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-0.73274263251629135</v>
      </c>
      <c r="F70" s="4">
        <v>66</v>
      </c>
      <c r="G70" s="3">
        <v>3.8399999999999985</v>
      </c>
      <c r="H70" s="3">
        <v>3.6695338757411866</v>
      </c>
      <c r="I70" s="3">
        <v>2.9462957238092433</v>
      </c>
      <c r="J70" s="3">
        <v>2.5623233167993495</v>
      </c>
      <c r="K70" s="3">
        <v>2.2615161406860924</v>
      </c>
      <c r="L70" s="3">
        <v>1.85383102309217</v>
      </c>
      <c r="M70" s="3">
        <v>1.4890845902370708</v>
      </c>
      <c r="N70" s="3">
        <v>0.92311725623660434</v>
      </c>
      <c r="O70" s="3">
        <v>0.71556763959882952</v>
      </c>
      <c r="P70" s="3">
        <v>0.29276068640643793</v>
      </c>
      <c r="Q70" s="3">
        <v>0</v>
      </c>
    </row>
    <row r="71" spans="1:17" x14ac:dyDescent="0.2">
      <c r="A71" s="2">
        <v>67</v>
      </c>
      <c r="B71" s="2">
        <f t="shared" ca="1" si="3"/>
        <v>6.1111032487822792E-3</v>
      </c>
      <c r="F71" s="4">
        <v>67</v>
      </c>
      <c r="G71" s="3">
        <v>3.8400000000000012</v>
      </c>
      <c r="H71" s="3">
        <v>3.6256838422709983</v>
      </c>
      <c r="I71" s="3">
        <v>3.1436349983811054</v>
      </c>
      <c r="J71" s="3">
        <v>2.8763741834421062</v>
      </c>
      <c r="K71" s="3">
        <v>2.1517917338485164</v>
      </c>
      <c r="L71" s="3">
        <v>1.830013214722982</v>
      </c>
      <c r="M71" s="3">
        <v>1.3961919390257518</v>
      </c>
      <c r="N71" s="3">
        <v>1.5318332581879541</v>
      </c>
      <c r="O71" s="3">
        <v>0.7906742057805296</v>
      </c>
      <c r="P71" s="3">
        <v>0.56111632908829734</v>
      </c>
      <c r="Q71" s="3">
        <v>0</v>
      </c>
    </row>
    <row r="72" spans="1:17" x14ac:dyDescent="0.2">
      <c r="A72" s="2">
        <v>68</v>
      </c>
      <c r="B72" s="2">
        <f t="shared" ca="1" si="3"/>
        <v>0.24042448207664319</v>
      </c>
      <c r="F72" s="4">
        <v>68</v>
      </c>
      <c r="G72" s="3">
        <v>3.84</v>
      </c>
      <c r="H72" s="3">
        <v>3.4274266679860115</v>
      </c>
      <c r="I72" s="3">
        <v>2.7921337430113797</v>
      </c>
      <c r="J72" s="3">
        <v>2.832760073064343</v>
      </c>
      <c r="K72" s="3">
        <v>2.3463345755679454</v>
      </c>
      <c r="L72" s="3">
        <v>2.1066936609829243</v>
      </c>
      <c r="M72" s="3">
        <v>1.3060747366981034</v>
      </c>
      <c r="N72" s="3">
        <v>1.1066055255317357</v>
      </c>
      <c r="O72" s="3">
        <v>0.97828666033118095</v>
      </c>
      <c r="P72" s="3">
        <v>0.44129353569724739</v>
      </c>
      <c r="Q72" s="3">
        <v>0</v>
      </c>
    </row>
    <row r="73" spans="1:17" x14ac:dyDescent="0.2">
      <c r="A73" s="2">
        <v>69</v>
      </c>
      <c r="B73" s="2">
        <f t="shared" ca="1" si="3"/>
        <v>-0.65872625412333874</v>
      </c>
      <c r="F73" s="4">
        <v>69</v>
      </c>
      <c r="G73" s="3">
        <v>3.8400000000000012</v>
      </c>
      <c r="H73" s="3">
        <v>3.5106433700002793</v>
      </c>
      <c r="I73" s="3">
        <v>3.0323529285176054</v>
      </c>
      <c r="J73" s="3">
        <v>2.4331085310543621</v>
      </c>
      <c r="K73" s="3">
        <v>2.1764175343557368</v>
      </c>
      <c r="L73" s="3">
        <v>2.0190280777513703</v>
      </c>
      <c r="M73" s="3">
        <v>1.6084323703196151</v>
      </c>
      <c r="N73" s="3">
        <v>0.71794983645226851</v>
      </c>
      <c r="O73" s="3">
        <v>0.81560266661726477</v>
      </c>
      <c r="P73" s="3">
        <v>0.44406236559697759</v>
      </c>
      <c r="Q73" s="3">
        <v>0</v>
      </c>
    </row>
    <row r="74" spans="1:17" x14ac:dyDescent="0.2">
      <c r="A74" s="2">
        <v>70</v>
      </c>
      <c r="B74" s="2">
        <f t="shared" ca="1" si="3"/>
        <v>-0.43500138151713985</v>
      </c>
      <c r="F74" s="4">
        <v>70</v>
      </c>
      <c r="G74" s="3">
        <v>3.84</v>
      </c>
      <c r="H74" s="3">
        <v>3.350913389684449</v>
      </c>
      <c r="I74" s="3">
        <v>2.6682882611616079</v>
      </c>
      <c r="J74" s="3">
        <v>2.862504517334493</v>
      </c>
      <c r="K74" s="3">
        <v>2.1523422733745856</v>
      </c>
      <c r="L74" s="3">
        <v>1.6039337950796624</v>
      </c>
      <c r="M74" s="3">
        <v>1.4952961016719617</v>
      </c>
      <c r="N74" s="3">
        <v>1.5782537761497311</v>
      </c>
      <c r="O74" s="3">
        <v>0.68992724143949191</v>
      </c>
      <c r="P74" s="3">
        <v>0.4686704563925575</v>
      </c>
      <c r="Q74" s="3">
        <v>0</v>
      </c>
    </row>
    <row r="75" spans="1:17" x14ac:dyDescent="0.2">
      <c r="A75" s="2">
        <v>71</v>
      </c>
      <c r="B75" s="2">
        <f t="shared" ca="1" si="3"/>
        <v>-1.0926505545005205</v>
      </c>
      <c r="F75" s="4">
        <v>71</v>
      </c>
      <c r="G75" s="3">
        <v>3.8400000000000003</v>
      </c>
      <c r="H75" s="3">
        <v>3.5036098936325728</v>
      </c>
      <c r="I75" s="3">
        <v>3.159979941728718</v>
      </c>
      <c r="J75" s="3">
        <v>2.788014401438156</v>
      </c>
      <c r="K75" s="3">
        <v>1.9427482363019568</v>
      </c>
      <c r="L75" s="3">
        <v>2.0291086820168993</v>
      </c>
      <c r="M75" s="3">
        <v>1.2396335511449192</v>
      </c>
      <c r="N75" s="3">
        <v>1.2604426840705296</v>
      </c>
      <c r="O75" s="3">
        <v>1.0170768459672612</v>
      </c>
      <c r="P75" s="3">
        <v>0.46320531015886168</v>
      </c>
      <c r="Q75" s="3">
        <v>0</v>
      </c>
    </row>
    <row r="76" spans="1:17" x14ac:dyDescent="0.2">
      <c r="A76" s="2">
        <v>72</v>
      </c>
      <c r="B76" s="2">
        <f t="shared" ca="1" si="3"/>
        <v>-0.60365382956425129</v>
      </c>
      <c r="F76" s="4">
        <v>72</v>
      </c>
      <c r="G76" s="3">
        <v>3.8400000000000007</v>
      </c>
      <c r="H76" s="3">
        <v>3.4418659742131439</v>
      </c>
      <c r="I76" s="3">
        <v>3.1531090119053404</v>
      </c>
      <c r="J76" s="3">
        <v>2.9597978997964218</v>
      </c>
      <c r="K76" s="3">
        <v>2.5563021868114291</v>
      </c>
      <c r="L76" s="3">
        <v>1.7804520730705689</v>
      </c>
      <c r="M76" s="3">
        <v>1.6754581059553606</v>
      </c>
      <c r="N76" s="3">
        <v>1.0808409703429602</v>
      </c>
      <c r="O76" s="3">
        <v>0.59105858659957256</v>
      </c>
      <c r="P76" s="3">
        <v>0.41838329034416649</v>
      </c>
      <c r="Q76" s="3">
        <v>0</v>
      </c>
    </row>
    <row r="77" spans="1:17" x14ac:dyDescent="0.2">
      <c r="A77" s="2">
        <v>73</v>
      </c>
      <c r="B77" s="2">
        <f t="shared" ca="1" si="3"/>
        <v>-0.69029701156746104</v>
      </c>
      <c r="F77" s="4">
        <v>73</v>
      </c>
      <c r="G77" s="3">
        <v>3.8400000000000007</v>
      </c>
      <c r="H77" s="3">
        <v>3.3826743565721009</v>
      </c>
      <c r="I77" s="3">
        <v>3.2903589694056206</v>
      </c>
      <c r="J77" s="3">
        <v>2.7040004805266658</v>
      </c>
      <c r="K77" s="3">
        <v>2.2394810460928056</v>
      </c>
      <c r="L77" s="3">
        <v>2.105101851368123</v>
      </c>
      <c r="M77" s="3">
        <v>1.5421732725097905</v>
      </c>
      <c r="N77" s="3">
        <v>1.502742209148876</v>
      </c>
      <c r="O77" s="3">
        <v>0.77285124332371846</v>
      </c>
      <c r="P77" s="3">
        <v>0.32803579395616772</v>
      </c>
      <c r="Q77" s="3">
        <v>0</v>
      </c>
    </row>
    <row r="78" spans="1:17" x14ac:dyDescent="0.2">
      <c r="A78" s="2">
        <v>74</v>
      </c>
      <c r="B78" s="2">
        <f t="shared" ca="1" si="3"/>
        <v>-0.59963672201938145</v>
      </c>
      <c r="F78" s="4">
        <v>74</v>
      </c>
      <c r="G78" s="3">
        <v>3.8399999999999994</v>
      </c>
      <c r="H78" s="3">
        <v>3.4736592717536863</v>
      </c>
      <c r="I78" s="3">
        <v>2.970461840955072</v>
      </c>
      <c r="J78" s="3">
        <v>2.3438674283659271</v>
      </c>
      <c r="K78" s="3">
        <v>2.5065611124320686</v>
      </c>
      <c r="L78" s="3">
        <v>1.52156345381058</v>
      </c>
      <c r="M78" s="3">
        <v>1.5079122242651859</v>
      </c>
      <c r="N78" s="3">
        <v>1.326742845419095</v>
      </c>
      <c r="O78" s="3">
        <v>0.48061837614101999</v>
      </c>
      <c r="P78" s="3">
        <v>0.17201846088456219</v>
      </c>
      <c r="Q78" s="3">
        <v>0</v>
      </c>
    </row>
    <row r="79" spans="1:17" x14ac:dyDescent="0.2">
      <c r="A79" s="2">
        <v>75</v>
      </c>
      <c r="B79" s="2">
        <f t="shared" ca="1" si="3"/>
        <v>0.67311635440564233</v>
      </c>
      <c r="F79" s="4">
        <v>75</v>
      </c>
      <c r="G79" s="3">
        <v>3.84</v>
      </c>
      <c r="H79" s="3">
        <v>3.2963245703132769</v>
      </c>
      <c r="I79" s="3">
        <v>2.9945670776046489</v>
      </c>
      <c r="J79" s="3">
        <v>2.7149165691090329</v>
      </c>
      <c r="K79" s="3">
        <v>2.3009201347928423</v>
      </c>
      <c r="L79" s="3">
        <v>2.0448395951310223</v>
      </c>
      <c r="M79" s="3">
        <v>1.5639532830217637</v>
      </c>
      <c r="N79" s="3">
        <v>1.0170668020935787</v>
      </c>
      <c r="O79" s="3">
        <v>0.69399191821198869</v>
      </c>
      <c r="P79" s="3">
        <v>0.54164115162421678</v>
      </c>
      <c r="Q79" s="3">
        <v>0</v>
      </c>
    </row>
    <row r="80" spans="1:17" x14ac:dyDescent="0.2">
      <c r="A80" s="2">
        <v>76</v>
      </c>
      <c r="B80" s="2">
        <f t="shared" ca="1" si="3"/>
        <v>0.32983035368530456</v>
      </c>
      <c r="F80" s="4">
        <v>76</v>
      </c>
      <c r="G80" s="3">
        <v>3.8399999999999994</v>
      </c>
      <c r="H80" s="3">
        <v>3.5457635681969162</v>
      </c>
      <c r="I80" s="3">
        <v>3.0812859328070692</v>
      </c>
      <c r="J80" s="3">
        <v>2.4520242732645445</v>
      </c>
      <c r="K80" s="3">
        <v>2.3624109390820687</v>
      </c>
      <c r="L80" s="3">
        <v>1.6901750134002156</v>
      </c>
      <c r="M80" s="3">
        <v>2.0607937021610661</v>
      </c>
      <c r="N80" s="3">
        <v>1.0552212000867056</v>
      </c>
      <c r="O80" s="3">
        <v>0.68249407126830608</v>
      </c>
      <c r="P80" s="3">
        <v>0.24263503650725651</v>
      </c>
      <c r="Q80" s="3">
        <v>0</v>
      </c>
    </row>
    <row r="81" spans="1:17" x14ac:dyDescent="0.2">
      <c r="A81" s="2">
        <v>77</v>
      </c>
      <c r="B81" s="2">
        <f t="shared" ca="1" si="3"/>
        <v>-0.55834810208942387</v>
      </c>
      <c r="F81" s="4">
        <v>77</v>
      </c>
      <c r="G81" s="3">
        <v>3.839999999999999</v>
      </c>
      <c r="H81" s="3">
        <v>3.4783872544023331</v>
      </c>
      <c r="I81" s="3">
        <v>2.9338164865850511</v>
      </c>
      <c r="J81" s="3">
        <v>2.3893423135744887</v>
      </c>
      <c r="K81" s="3">
        <v>2.1444210035655678</v>
      </c>
      <c r="L81" s="3">
        <v>2.0024950586573897</v>
      </c>
      <c r="M81" s="3">
        <v>1.7729075129523633</v>
      </c>
      <c r="N81" s="3">
        <v>1.0624628743674434</v>
      </c>
      <c r="O81" s="3">
        <v>0.56989786020672129</v>
      </c>
      <c r="P81" s="3">
        <v>0.24250140456441244</v>
      </c>
      <c r="Q81" s="3">
        <v>0</v>
      </c>
    </row>
    <row r="82" spans="1:17" x14ac:dyDescent="0.2">
      <c r="A82" s="2">
        <v>78</v>
      </c>
      <c r="B82" s="2">
        <f t="shared" ca="1" si="3"/>
        <v>0.50509267748037878</v>
      </c>
      <c r="F82" s="4">
        <v>78</v>
      </c>
      <c r="G82" s="3">
        <v>3.8400000000000003</v>
      </c>
      <c r="H82" s="3">
        <v>3.3336004614960304</v>
      </c>
      <c r="I82" s="3">
        <v>3.1925739394793764</v>
      </c>
      <c r="J82" s="3">
        <v>2.7684832607940373</v>
      </c>
      <c r="K82" s="3">
        <v>2.6574497382885434</v>
      </c>
      <c r="L82" s="3">
        <v>2.0014829158604219</v>
      </c>
      <c r="M82" s="3">
        <v>1.8066803014647077</v>
      </c>
      <c r="N82" s="3">
        <v>1.2124775104897429</v>
      </c>
      <c r="O82" s="3">
        <v>0.71352295361819085</v>
      </c>
      <c r="P82" s="3">
        <v>0.58109243503221863</v>
      </c>
      <c r="Q82" s="3">
        <v>0</v>
      </c>
    </row>
    <row r="83" spans="1:17" x14ac:dyDescent="0.2">
      <c r="A83" s="2">
        <v>79</v>
      </c>
      <c r="B83" s="2">
        <f t="shared" ca="1" si="3"/>
        <v>2.3680698932282174</v>
      </c>
      <c r="F83" s="4">
        <v>79</v>
      </c>
      <c r="G83" s="3">
        <v>3.8399999999999994</v>
      </c>
      <c r="H83" s="3">
        <v>3.1948994165473166</v>
      </c>
      <c r="I83" s="3">
        <v>2.8671920662691748</v>
      </c>
      <c r="J83" s="3">
        <v>2.8705054278540696</v>
      </c>
      <c r="K83" s="3">
        <v>2.7278062704737791</v>
      </c>
      <c r="L83" s="3">
        <v>1.9215573054430641</v>
      </c>
      <c r="M83" s="3">
        <v>1.6591436907113379</v>
      </c>
      <c r="N83" s="3">
        <v>0.99809208197791865</v>
      </c>
      <c r="O83" s="3">
        <v>0.68715260089919794</v>
      </c>
      <c r="P83" s="3">
        <v>0.33783513593078546</v>
      </c>
      <c r="Q83" s="3">
        <v>0</v>
      </c>
    </row>
    <row r="84" spans="1:17" x14ac:dyDescent="0.2">
      <c r="A84" s="2">
        <v>80</v>
      </c>
      <c r="B84" s="2">
        <f t="shared" ca="1" si="3"/>
        <v>1.4255262602301364</v>
      </c>
      <c r="F84" s="4">
        <v>80</v>
      </c>
      <c r="G84" s="3">
        <v>3.8400000000000007</v>
      </c>
      <c r="H84" s="3">
        <v>3.3816555900981413</v>
      </c>
      <c r="I84" s="3">
        <v>2.7860107236908109</v>
      </c>
      <c r="J84" s="3">
        <v>2.5164313350000191</v>
      </c>
      <c r="K84" s="3">
        <v>2.2967622864935255</v>
      </c>
      <c r="L84" s="3">
        <v>1.9006494013141269</v>
      </c>
      <c r="M84" s="3">
        <v>1.7531632186578463</v>
      </c>
      <c r="N84" s="3">
        <v>0.74149494609067002</v>
      </c>
      <c r="O84" s="3">
        <v>0.86926203614687014</v>
      </c>
      <c r="P84" s="3">
        <v>0.32309343128235052</v>
      </c>
      <c r="Q84" s="3">
        <v>0</v>
      </c>
    </row>
    <row r="85" spans="1:17" x14ac:dyDescent="0.2">
      <c r="A85" s="2">
        <v>81</v>
      </c>
      <c r="B85" s="2">
        <f t="shared" ca="1" si="3"/>
        <v>0.76314832448003078</v>
      </c>
      <c r="F85" s="4">
        <v>81</v>
      </c>
      <c r="G85" s="3">
        <v>3.8400000000000007</v>
      </c>
      <c r="H85" s="3">
        <v>3.4788525027409687</v>
      </c>
      <c r="I85" s="3">
        <v>2.9205057018726777</v>
      </c>
      <c r="J85" s="3">
        <v>2.4910853865330931</v>
      </c>
      <c r="K85" s="3">
        <v>2.3432811766581021</v>
      </c>
      <c r="L85" s="3">
        <v>1.864367575795348</v>
      </c>
      <c r="M85" s="3">
        <v>1.4647900116166379</v>
      </c>
      <c r="N85" s="3">
        <v>1.4436675713009102</v>
      </c>
      <c r="O85" s="3">
        <v>0.75205303037145477</v>
      </c>
      <c r="P85" s="3">
        <v>0.49382155638267983</v>
      </c>
      <c r="Q85" s="3">
        <v>0</v>
      </c>
    </row>
    <row r="86" spans="1:17" x14ac:dyDescent="0.2">
      <c r="A86" s="2">
        <v>82</v>
      </c>
      <c r="B86" s="2">
        <f t="shared" ca="1" si="3"/>
        <v>-1.1043139844086034</v>
      </c>
      <c r="F86" s="4">
        <v>82</v>
      </c>
      <c r="G86" s="3">
        <v>3.8400000000000003</v>
      </c>
      <c r="H86" s="3">
        <v>3.4972450438660965</v>
      </c>
      <c r="I86" s="3">
        <v>2.9555710276176925</v>
      </c>
      <c r="J86" s="3">
        <v>2.8823716776104615</v>
      </c>
      <c r="K86" s="3">
        <v>2.6530733507192412</v>
      </c>
      <c r="L86" s="3">
        <v>1.7958626752512947</v>
      </c>
      <c r="M86" s="3">
        <v>1.3042626704716516</v>
      </c>
      <c r="N86" s="3">
        <v>1.0825116183598023</v>
      </c>
      <c r="O86" s="3">
        <v>0.97684372651115725</v>
      </c>
      <c r="P86" s="3">
        <v>0.48785360321950821</v>
      </c>
      <c r="Q86" s="3">
        <v>0</v>
      </c>
    </row>
    <row r="87" spans="1:17" x14ac:dyDescent="0.2">
      <c r="A87" s="2">
        <v>83</v>
      </c>
      <c r="B87" s="2">
        <f t="shared" ca="1" si="3"/>
        <v>-0.39298453614059015</v>
      </c>
      <c r="F87" s="4">
        <v>83</v>
      </c>
      <c r="G87" s="3">
        <v>3.8399999999999985</v>
      </c>
      <c r="H87" s="3">
        <v>2.6964651022483936</v>
      </c>
      <c r="I87" s="3">
        <v>3.3674949374423258</v>
      </c>
      <c r="J87" s="3">
        <v>2.4788201757799513</v>
      </c>
      <c r="K87" s="3">
        <v>1.9484370629022354</v>
      </c>
      <c r="L87" s="3">
        <v>1.9363491713266845</v>
      </c>
      <c r="M87" s="3">
        <v>1.8853280136165185</v>
      </c>
      <c r="N87" s="3">
        <v>1.2821284663198929</v>
      </c>
      <c r="O87" s="3">
        <v>0.56950471049689133</v>
      </c>
      <c r="P87" s="3">
        <v>0.52317113646669544</v>
      </c>
      <c r="Q87" s="3">
        <v>0</v>
      </c>
    </row>
    <row r="88" spans="1:17" x14ac:dyDescent="0.2">
      <c r="A88" s="2">
        <v>84</v>
      </c>
      <c r="B88" s="2">
        <f t="shared" ca="1" si="3"/>
        <v>-0.12670137293137274</v>
      </c>
      <c r="F88" s="4">
        <v>84</v>
      </c>
      <c r="G88" s="3">
        <v>3.8399999999999985</v>
      </c>
      <c r="H88" s="3">
        <v>3.5962242328674692</v>
      </c>
      <c r="I88" s="3">
        <v>3.1805102467880997</v>
      </c>
      <c r="J88" s="3">
        <v>3.0980700052994914</v>
      </c>
      <c r="K88" s="3">
        <v>2.2583332611811362</v>
      </c>
      <c r="L88" s="3">
        <v>1.9473650223761034</v>
      </c>
      <c r="M88" s="3">
        <v>1.2537228811869945</v>
      </c>
      <c r="N88" s="3">
        <v>0.91762538071440536</v>
      </c>
      <c r="O88" s="3">
        <v>1.0661041844753283</v>
      </c>
      <c r="P88" s="3">
        <v>0.27386509729220687</v>
      </c>
      <c r="Q88" s="3">
        <v>0</v>
      </c>
    </row>
    <row r="89" spans="1:17" x14ac:dyDescent="0.2">
      <c r="A89" s="2">
        <v>85</v>
      </c>
      <c r="B89" s="2">
        <f t="shared" ca="1" si="3"/>
        <v>-0.12820329705282255</v>
      </c>
      <c r="F89" s="4">
        <v>85</v>
      </c>
      <c r="G89" s="3">
        <v>3.8400000000000007</v>
      </c>
      <c r="H89" s="3">
        <v>3.4672168049660295</v>
      </c>
      <c r="I89" s="3">
        <v>3.1995538944041253</v>
      </c>
      <c r="J89" s="3">
        <v>2.6869359701474402</v>
      </c>
      <c r="K89" s="3">
        <v>2.2170635354023132</v>
      </c>
      <c r="L89" s="3">
        <v>1.9454672855136188</v>
      </c>
      <c r="M89" s="3">
        <v>1.265205329618623</v>
      </c>
      <c r="N89" s="3">
        <v>1.1578204432368024</v>
      </c>
      <c r="O89" s="3">
        <v>0.81212861431142758</v>
      </c>
      <c r="P89" s="3">
        <v>0.49439676239360392</v>
      </c>
      <c r="Q89" s="3">
        <v>0</v>
      </c>
    </row>
    <row r="90" spans="1:17" x14ac:dyDescent="0.2">
      <c r="A90" s="2">
        <v>86</v>
      </c>
      <c r="B90" s="2">
        <f t="shared" ca="1" si="3"/>
        <v>1.080357861213767</v>
      </c>
      <c r="F90" s="4">
        <v>86</v>
      </c>
      <c r="G90" s="3">
        <v>3.8400000000000007</v>
      </c>
      <c r="H90" s="3">
        <v>3.6687087835662631</v>
      </c>
      <c r="I90" s="3">
        <v>2.9583756360419082</v>
      </c>
      <c r="J90" s="3">
        <v>2.8085851522837091</v>
      </c>
      <c r="K90" s="3">
        <v>1.974749058064841</v>
      </c>
      <c r="L90" s="3">
        <v>2.0016312903696378</v>
      </c>
      <c r="M90" s="3">
        <v>1.4351669663367774</v>
      </c>
      <c r="N90" s="3">
        <v>1.0899668565069212</v>
      </c>
      <c r="O90" s="3">
        <v>0.56486063258838171</v>
      </c>
      <c r="P90" s="3">
        <v>0.17283557593602422</v>
      </c>
      <c r="Q90" s="3">
        <v>0</v>
      </c>
    </row>
    <row r="91" spans="1:17" x14ac:dyDescent="0.2">
      <c r="A91" s="2">
        <v>87</v>
      </c>
      <c r="B91" s="2">
        <f t="shared" ca="1" si="3"/>
        <v>-0.2770260195478137</v>
      </c>
      <c r="F91" s="4">
        <v>87</v>
      </c>
      <c r="G91" s="3">
        <v>3.8400000000000012</v>
      </c>
      <c r="H91" s="3">
        <v>3.4582828906171592</v>
      </c>
      <c r="I91" s="3">
        <v>3.4121706421197375</v>
      </c>
      <c r="J91" s="3">
        <v>2.5748660189184411</v>
      </c>
      <c r="K91" s="3">
        <v>2.6556262983653149</v>
      </c>
      <c r="L91" s="3">
        <v>2.1568032613539829</v>
      </c>
      <c r="M91" s="3">
        <v>1.532660071711659</v>
      </c>
      <c r="N91" s="3">
        <v>1.3093030845465354</v>
      </c>
      <c r="O91" s="3">
        <v>0.67366576472127937</v>
      </c>
      <c r="P91" s="3">
        <v>0.33580972965975703</v>
      </c>
      <c r="Q91" s="3">
        <v>0</v>
      </c>
    </row>
    <row r="92" spans="1:17" x14ac:dyDescent="0.2">
      <c r="A92" s="2">
        <v>88</v>
      </c>
      <c r="B92" s="2">
        <f t="shared" ca="1" si="3"/>
        <v>-0.33822192840647913</v>
      </c>
      <c r="F92" s="4">
        <v>88</v>
      </c>
      <c r="G92" s="3">
        <v>3.8399999999999994</v>
      </c>
      <c r="H92" s="3">
        <v>3.1315543766424936</v>
      </c>
      <c r="I92" s="3">
        <v>3.0597660300685203</v>
      </c>
      <c r="J92" s="3">
        <v>2.769218167525795</v>
      </c>
      <c r="K92" s="3">
        <v>2.1447282508395409</v>
      </c>
      <c r="L92" s="3">
        <v>1.4525316426184756</v>
      </c>
      <c r="M92" s="3">
        <v>1.3428862941091197</v>
      </c>
      <c r="N92" s="3">
        <v>1.181660892076339</v>
      </c>
      <c r="O92" s="3">
        <v>0.80631920047035266</v>
      </c>
      <c r="P92" s="3">
        <v>0.2798987794095501</v>
      </c>
      <c r="Q92" s="3">
        <v>0</v>
      </c>
    </row>
    <row r="93" spans="1:17" x14ac:dyDescent="0.2">
      <c r="A93" s="2">
        <v>89</v>
      </c>
      <c r="B93" s="2">
        <f t="shared" ca="1" si="3"/>
        <v>0.67198812066922953</v>
      </c>
      <c r="F93" s="4">
        <v>89</v>
      </c>
      <c r="G93" s="3">
        <v>3.8400000000000012</v>
      </c>
      <c r="H93" s="3">
        <v>3.6882870190654717</v>
      </c>
      <c r="I93" s="3">
        <v>3.0449489587801639</v>
      </c>
      <c r="J93" s="3">
        <v>2.5674552037138523</v>
      </c>
      <c r="K93" s="3">
        <v>2.2741244356541515</v>
      </c>
      <c r="L93" s="3">
        <v>1.6155654597325779</v>
      </c>
      <c r="M93" s="3">
        <v>1.6299196724956262</v>
      </c>
      <c r="N93" s="3">
        <v>1.296463767773848</v>
      </c>
      <c r="O93" s="3">
        <v>0.7523098585361303</v>
      </c>
      <c r="P93" s="3">
        <v>0.28428113886774875</v>
      </c>
      <c r="Q93" s="3">
        <v>0</v>
      </c>
    </row>
    <row r="94" spans="1:17" x14ac:dyDescent="0.2">
      <c r="A94" s="2">
        <v>90</v>
      </c>
      <c r="B94" s="2">
        <f t="shared" ca="1" si="3"/>
        <v>-0.21729022130543485</v>
      </c>
      <c r="F94" s="4">
        <v>90</v>
      </c>
      <c r="G94" s="3">
        <v>3.84</v>
      </c>
      <c r="H94" s="3">
        <v>3.213044369551235</v>
      </c>
      <c r="I94" s="3">
        <v>2.9656035006584727</v>
      </c>
      <c r="J94" s="3">
        <v>2.6122361971990089</v>
      </c>
      <c r="K94" s="3">
        <v>2.3273860415393646</v>
      </c>
      <c r="L94" s="3">
        <v>2.1693481298618553</v>
      </c>
      <c r="M94" s="3">
        <v>1.3990573160147313</v>
      </c>
      <c r="N94" s="3">
        <v>1.3126096357701782</v>
      </c>
      <c r="O94" s="3">
        <v>0.84992660059460046</v>
      </c>
      <c r="P94" s="3">
        <v>0.44576531652948331</v>
      </c>
      <c r="Q94" s="3">
        <v>0</v>
      </c>
    </row>
    <row r="95" spans="1:17" x14ac:dyDescent="0.2">
      <c r="A95" s="2">
        <v>91</v>
      </c>
      <c r="B95" s="2">
        <f t="shared" ca="1" si="3"/>
        <v>0.72654984495228869</v>
      </c>
      <c r="F95" s="4">
        <v>91</v>
      </c>
      <c r="G95" s="3">
        <v>3.84</v>
      </c>
      <c r="H95" s="3">
        <v>3.632005816042541</v>
      </c>
      <c r="I95" s="3">
        <v>3.309629521612075</v>
      </c>
      <c r="J95" s="3">
        <v>2.6375219770625846</v>
      </c>
      <c r="K95" s="3">
        <v>2.4720165860730314</v>
      </c>
      <c r="L95" s="3">
        <v>1.7470956806539133</v>
      </c>
      <c r="M95" s="3">
        <v>1.7515961025003044</v>
      </c>
      <c r="N95" s="3">
        <v>1.2660045286338069</v>
      </c>
      <c r="O95" s="3">
        <v>0.91527490171449744</v>
      </c>
      <c r="P95" s="3">
        <v>0.35909863480084386</v>
      </c>
      <c r="Q95" s="3">
        <v>0</v>
      </c>
    </row>
    <row r="96" spans="1:17" x14ac:dyDescent="0.2">
      <c r="A96" s="2">
        <v>92</v>
      </c>
      <c r="B96" s="2">
        <f t="shared" ca="1" si="3"/>
        <v>-0.2808963761404305</v>
      </c>
      <c r="F96" s="4">
        <v>92</v>
      </c>
      <c r="G96" s="3">
        <v>3.8400000000000007</v>
      </c>
      <c r="H96" s="3">
        <v>3.487828356498174</v>
      </c>
      <c r="I96" s="3">
        <v>3.2166038315472485</v>
      </c>
      <c r="J96" s="3">
        <v>3.1346497366256689</v>
      </c>
      <c r="K96" s="3">
        <v>2.2795736000852989</v>
      </c>
      <c r="L96" s="3">
        <v>1.4522057687807994</v>
      </c>
      <c r="M96" s="3">
        <v>1.532501344030069</v>
      </c>
      <c r="N96" s="3">
        <v>1.2213451392497636</v>
      </c>
      <c r="O96" s="3">
        <v>0.76737867857805431</v>
      </c>
      <c r="P96" s="3">
        <v>0.32793833838926395</v>
      </c>
      <c r="Q96" s="3">
        <v>0</v>
      </c>
    </row>
    <row r="97" spans="1:17" x14ac:dyDescent="0.2">
      <c r="A97" s="2">
        <v>93</v>
      </c>
      <c r="B97" s="2">
        <f t="shared" ca="1" si="3"/>
        <v>-0.11502625215033992</v>
      </c>
      <c r="F97" s="4">
        <v>93</v>
      </c>
      <c r="G97" s="3">
        <v>3.8399999999999994</v>
      </c>
      <c r="H97" s="3">
        <v>3.6114530035343662</v>
      </c>
      <c r="I97" s="3">
        <v>3.2792591583907069</v>
      </c>
      <c r="J97" s="3">
        <v>2.4923615544737543</v>
      </c>
      <c r="K97" s="3">
        <v>2.1677374982604696</v>
      </c>
      <c r="L97" s="3">
        <v>2.0006954756397248</v>
      </c>
      <c r="M97" s="3">
        <v>1.1669314001558602</v>
      </c>
      <c r="N97" s="3">
        <v>1.0804509939113354</v>
      </c>
      <c r="O97" s="3">
        <v>0.83083139407784246</v>
      </c>
      <c r="P97" s="3">
        <v>0.41782420390869562</v>
      </c>
      <c r="Q97" s="3">
        <v>0</v>
      </c>
    </row>
    <row r="98" spans="1:17" x14ac:dyDescent="0.2">
      <c r="A98" s="2">
        <v>94</v>
      </c>
      <c r="B98" s="2">
        <f t="shared" ca="1" si="3"/>
        <v>-2.3983812560300977</v>
      </c>
      <c r="F98" s="4">
        <v>94</v>
      </c>
      <c r="G98" s="3">
        <v>3.8400000000000007</v>
      </c>
      <c r="H98" s="3">
        <v>3.4609906129661012</v>
      </c>
      <c r="I98" s="3">
        <v>3.0361951432296701</v>
      </c>
      <c r="J98" s="3">
        <v>2.6664103690676511</v>
      </c>
      <c r="K98" s="3">
        <v>2.3575803652269465</v>
      </c>
      <c r="L98" s="3">
        <v>1.9038463207404288</v>
      </c>
      <c r="M98" s="3">
        <v>1.4052037482144426</v>
      </c>
      <c r="N98" s="3">
        <v>1.2248177291649021</v>
      </c>
      <c r="O98" s="3">
        <v>0.48447150787783988</v>
      </c>
      <c r="P98" s="3">
        <v>0.37920207028547087</v>
      </c>
      <c r="Q98" s="3">
        <v>0</v>
      </c>
    </row>
    <row r="99" spans="1:17" x14ac:dyDescent="0.2">
      <c r="A99" s="2">
        <v>95</v>
      </c>
      <c r="B99" s="2">
        <f t="shared" ca="1" si="3"/>
        <v>-1.4476552242824792</v>
      </c>
      <c r="F99" s="4">
        <v>95</v>
      </c>
      <c r="G99" s="3">
        <v>3.84</v>
      </c>
      <c r="H99" s="3">
        <v>3.443695467152418</v>
      </c>
      <c r="I99" s="3">
        <v>3.0474774233726305</v>
      </c>
      <c r="J99" s="3">
        <v>2.5269533830249218</v>
      </c>
      <c r="K99" s="3">
        <v>1.8535210010824583</v>
      </c>
      <c r="L99" s="3">
        <v>1.8403757773099738</v>
      </c>
      <c r="M99" s="3">
        <v>1.5085487684629597</v>
      </c>
      <c r="N99" s="3">
        <v>1.0734753211616948</v>
      </c>
      <c r="O99" s="3">
        <v>0.64265407180140144</v>
      </c>
      <c r="P99" s="3">
        <v>0.2834253921895577</v>
      </c>
      <c r="Q99" s="3">
        <v>0</v>
      </c>
    </row>
    <row r="100" spans="1:17" x14ac:dyDescent="0.2">
      <c r="A100" s="2">
        <v>96</v>
      </c>
      <c r="B100" s="2">
        <f t="shared" ca="1" si="3"/>
        <v>0.12514392749034753</v>
      </c>
      <c r="F100" s="4">
        <v>96</v>
      </c>
      <c r="G100" s="3">
        <v>3.8400000000000003</v>
      </c>
      <c r="H100" s="3">
        <v>3.1655238184598451</v>
      </c>
      <c r="I100" s="3">
        <v>2.996788007854791</v>
      </c>
      <c r="J100" s="3">
        <v>2.7352939844970519</v>
      </c>
      <c r="K100" s="3">
        <v>2.1447495343684828</v>
      </c>
      <c r="L100" s="3">
        <v>1.8904923262726174</v>
      </c>
      <c r="M100" s="3">
        <v>1.2402625366631832</v>
      </c>
      <c r="N100" s="3">
        <v>1.243192747834408</v>
      </c>
      <c r="O100" s="3">
        <v>0.91430365776657851</v>
      </c>
      <c r="P100" s="3">
        <v>0.30734752870413296</v>
      </c>
      <c r="Q100" s="3">
        <v>0</v>
      </c>
    </row>
    <row r="101" spans="1:17" x14ac:dyDescent="0.2">
      <c r="A101" s="2">
        <v>97</v>
      </c>
      <c r="B101" s="2">
        <f t="shared" ca="1" si="3"/>
        <v>0.24878079601722106</v>
      </c>
      <c r="F101" s="4">
        <v>97</v>
      </c>
      <c r="G101" s="3">
        <v>3.8399999999999994</v>
      </c>
      <c r="H101" s="3">
        <v>3.210740670489038</v>
      </c>
      <c r="I101" s="3">
        <v>2.8992079536813655</v>
      </c>
      <c r="J101" s="3">
        <v>2.7602194424173145</v>
      </c>
      <c r="K101" s="3">
        <v>2.254675820189401</v>
      </c>
      <c r="L101" s="3">
        <v>1.8990688961317967</v>
      </c>
      <c r="M101" s="3">
        <v>1.4301230142743009</v>
      </c>
      <c r="N101" s="3">
        <v>0.90790560807539611</v>
      </c>
      <c r="O101" s="3">
        <v>0.87326285434988327</v>
      </c>
      <c r="P101" s="3">
        <v>0.19801174694781537</v>
      </c>
      <c r="Q101" s="3">
        <v>0</v>
      </c>
    </row>
    <row r="102" spans="1:17" x14ac:dyDescent="0.2">
      <c r="A102" s="2">
        <v>98</v>
      </c>
      <c r="B102" s="2">
        <f t="shared" ca="1" si="3"/>
        <v>0.21679306093797573</v>
      </c>
      <c r="F102" s="4">
        <v>98</v>
      </c>
      <c r="G102" s="3">
        <v>3.84</v>
      </c>
      <c r="H102" s="3">
        <v>3.2352446322051129</v>
      </c>
      <c r="I102" s="3">
        <v>3.2832123374795184</v>
      </c>
      <c r="J102" s="3">
        <v>2.556484060862044</v>
      </c>
      <c r="K102" s="3">
        <v>2.3609066918717807</v>
      </c>
      <c r="L102" s="3">
        <v>1.7229832436926074</v>
      </c>
      <c r="M102" s="3">
        <v>1.473883580979217</v>
      </c>
      <c r="N102" s="3">
        <v>1.0218570998219734</v>
      </c>
      <c r="O102" s="3">
        <v>0.66364037128262454</v>
      </c>
      <c r="P102" s="3">
        <v>0.40271064026310283</v>
      </c>
      <c r="Q102" s="3">
        <v>0</v>
      </c>
    </row>
    <row r="103" spans="1:17" x14ac:dyDescent="0.2">
      <c r="A103" s="2">
        <v>99</v>
      </c>
      <c r="B103" s="2">
        <f t="shared" ca="1" si="3"/>
        <v>0.90280818185447498</v>
      </c>
      <c r="F103" s="4">
        <v>99</v>
      </c>
      <c r="G103" s="3">
        <v>3.8400000000000003</v>
      </c>
      <c r="H103" s="3">
        <v>2.9708434538921096</v>
      </c>
      <c r="I103" s="3">
        <v>3.1707623514606169</v>
      </c>
      <c r="J103" s="3">
        <v>2.8880072692581762</v>
      </c>
      <c r="K103" s="3">
        <v>2.1429691807759892</v>
      </c>
      <c r="L103" s="3">
        <v>1.672851094610686</v>
      </c>
      <c r="M103" s="3">
        <v>1.7501666571003496</v>
      </c>
      <c r="N103" s="3">
        <v>1.183484328115241</v>
      </c>
      <c r="O103" s="3">
        <v>0.63860734215569703</v>
      </c>
      <c r="P103" s="3">
        <v>0.31245307627624447</v>
      </c>
      <c r="Q103" s="3">
        <v>0</v>
      </c>
    </row>
    <row r="104" spans="1:17" x14ac:dyDescent="0.2">
      <c r="A104" s="2">
        <v>100</v>
      </c>
      <c r="B104" s="2">
        <f t="shared" ca="1" si="3"/>
        <v>4.8806956628790088E-2</v>
      </c>
      <c r="F104" s="4">
        <v>100</v>
      </c>
      <c r="G104" s="3">
        <v>3.84</v>
      </c>
      <c r="H104" s="3">
        <v>2.9415791085106968</v>
      </c>
      <c r="I104" s="3">
        <v>3.1128820013935736</v>
      </c>
      <c r="J104" s="3">
        <v>2.7195197421856627</v>
      </c>
      <c r="K104" s="3">
        <v>2.5619583371660646</v>
      </c>
      <c r="L104" s="3">
        <v>2.0327043966201543</v>
      </c>
      <c r="M104" s="3">
        <v>1.369162649734019</v>
      </c>
      <c r="N104" s="3">
        <v>1.5190797964488738</v>
      </c>
      <c r="O104" s="3">
        <v>1.0976456804749861</v>
      </c>
      <c r="P104" s="3">
        <v>0.46787828966130779</v>
      </c>
      <c r="Q104" s="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88</v>
      </c>
    </row>
    <row r="2" spans="1:1" x14ac:dyDescent="0.3">
      <c r="A2" s="1" t="s">
        <v>89</v>
      </c>
    </row>
    <row r="3" spans="1:1" x14ac:dyDescent="0.3">
      <c r="A3" s="1" t="s">
        <v>90</v>
      </c>
    </row>
    <row r="4" spans="1:1" x14ac:dyDescent="0.3">
      <c r="A4" s="1" t="s">
        <v>91</v>
      </c>
    </row>
    <row r="5" spans="1:1" x14ac:dyDescent="0.3">
      <c r="A5" s="1" t="s">
        <v>92</v>
      </c>
    </row>
    <row r="6" spans="1:1" x14ac:dyDescent="0.3">
      <c r="A6" s="1" t="s">
        <v>93</v>
      </c>
    </row>
    <row r="7" spans="1:1" x14ac:dyDescent="0.3">
      <c r="A7" s="1" t="s">
        <v>94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7" t="s">
        <v>79</v>
      </c>
      <c r="C2" s="16" t="s">
        <v>78</v>
      </c>
      <c r="D2" s="16" t="s">
        <v>77</v>
      </c>
      <c r="E2" s="16" t="s">
        <v>76</v>
      </c>
    </row>
    <row r="3" spans="2:5" x14ac:dyDescent="0.3">
      <c r="B3" s="1" t="s">
        <v>75</v>
      </c>
      <c r="C3" s="15">
        <f t="shared" ref="C3:C22" ca="1" si="0">RAND()</f>
        <v>0.80367155823703962</v>
      </c>
      <c r="D3" s="15">
        <f t="shared" ref="D3:D12" ca="1" si="1">C3+RAND()*(1-C3)</f>
        <v>0.95417268261088706</v>
      </c>
      <c r="E3" s="15"/>
    </row>
    <row r="4" spans="2:5" x14ac:dyDescent="0.3">
      <c r="B4" s="1" t="s">
        <v>75</v>
      </c>
      <c r="C4" s="15">
        <f t="shared" ca="1" si="0"/>
        <v>0.17982155021692114</v>
      </c>
      <c r="D4" s="15">
        <f t="shared" ca="1" si="1"/>
        <v>0.80744844133581783</v>
      </c>
      <c r="E4" s="15"/>
    </row>
    <row r="5" spans="2:5" x14ac:dyDescent="0.3">
      <c r="B5" s="1" t="s">
        <v>75</v>
      </c>
      <c r="C5" s="15">
        <f t="shared" ca="1" si="0"/>
        <v>0.78905798080660361</v>
      </c>
      <c r="D5" s="15">
        <f t="shared" ca="1" si="1"/>
        <v>0.99935987376801294</v>
      </c>
      <c r="E5" s="15"/>
    </row>
    <row r="6" spans="2:5" x14ac:dyDescent="0.3">
      <c r="B6" s="1" t="s">
        <v>75</v>
      </c>
      <c r="C6" s="15">
        <f t="shared" ca="1" si="0"/>
        <v>0.10257767888428582</v>
      </c>
      <c r="D6" s="15">
        <f t="shared" ca="1" si="1"/>
        <v>0.61395436309443252</v>
      </c>
      <c r="E6" s="15"/>
    </row>
    <row r="7" spans="2:5" x14ac:dyDescent="0.3">
      <c r="B7" s="1" t="s">
        <v>75</v>
      </c>
      <c r="C7" s="15">
        <f t="shared" ca="1" si="0"/>
        <v>0.4979977629494976</v>
      </c>
      <c r="D7" s="15">
        <f t="shared" ca="1" si="1"/>
        <v>0.89976384450972335</v>
      </c>
      <c r="E7" s="15"/>
    </row>
    <row r="8" spans="2:5" x14ac:dyDescent="0.3">
      <c r="B8" s="1" t="s">
        <v>75</v>
      </c>
      <c r="C8" s="15">
        <f t="shared" ca="1" si="0"/>
        <v>0.20461991984444283</v>
      </c>
      <c r="D8" s="15">
        <f t="shared" ca="1" si="1"/>
        <v>0.73296349654549442</v>
      </c>
      <c r="E8" s="15"/>
    </row>
    <row r="9" spans="2:5" x14ac:dyDescent="0.3">
      <c r="B9" s="1" t="s">
        <v>75</v>
      </c>
      <c r="C9" s="15">
        <f t="shared" ca="1" si="0"/>
        <v>0.65021546557427445</v>
      </c>
      <c r="D9" s="15">
        <f t="shared" ca="1" si="1"/>
        <v>0.98601103798676759</v>
      </c>
      <c r="E9" s="15"/>
    </row>
    <row r="10" spans="2:5" x14ac:dyDescent="0.3">
      <c r="B10" s="1" t="s">
        <v>75</v>
      </c>
      <c r="C10" s="15">
        <f t="shared" ca="1" si="0"/>
        <v>0.71457365859526456</v>
      </c>
      <c r="D10" s="15">
        <f t="shared" ca="1" si="1"/>
        <v>0.74721984877622161</v>
      </c>
      <c r="E10" s="15"/>
    </row>
    <row r="11" spans="2:5" x14ac:dyDescent="0.3">
      <c r="B11" s="1" t="s">
        <v>75</v>
      </c>
      <c r="C11" s="15">
        <f t="shared" ca="1" si="0"/>
        <v>0.49599328764751927</v>
      </c>
      <c r="D11" s="15">
        <f t="shared" ca="1" si="1"/>
        <v>0.5151610634871413</v>
      </c>
      <c r="E11" s="15"/>
    </row>
    <row r="12" spans="2:5" x14ac:dyDescent="0.3">
      <c r="B12" s="1" t="s">
        <v>75</v>
      </c>
      <c r="C12" s="15">
        <f t="shared" ca="1" si="0"/>
        <v>0.1602618141619544</v>
      </c>
      <c r="D12" s="15">
        <f t="shared" ca="1" si="1"/>
        <v>0.82782195587647567</v>
      </c>
      <c r="E12" s="15"/>
    </row>
    <row r="13" spans="2:5" x14ac:dyDescent="0.3">
      <c r="B13" s="1" t="s">
        <v>74</v>
      </c>
      <c r="C13" s="15">
        <f t="shared" ca="1" si="0"/>
        <v>0.65469927421762497</v>
      </c>
      <c r="D13" s="15"/>
      <c r="E13" s="15">
        <f t="shared" ref="E13:E22" ca="1" si="2">RAND()*C13</f>
        <v>0.22665722285472351</v>
      </c>
    </row>
    <row r="14" spans="2:5" x14ac:dyDescent="0.3">
      <c r="B14" s="1" t="s">
        <v>74</v>
      </c>
      <c r="C14" s="15">
        <f t="shared" ca="1" si="0"/>
        <v>3.4210913623349493E-2</v>
      </c>
      <c r="D14" s="15"/>
      <c r="E14" s="15">
        <f t="shared" ca="1" si="2"/>
        <v>2.1778441008549514E-2</v>
      </c>
    </row>
    <row r="15" spans="2:5" x14ac:dyDescent="0.3">
      <c r="B15" s="1" t="s">
        <v>74</v>
      </c>
      <c r="C15" s="15">
        <f t="shared" ca="1" si="0"/>
        <v>6.9987764912632255E-2</v>
      </c>
      <c r="D15" s="15"/>
      <c r="E15" s="15">
        <f t="shared" ca="1" si="2"/>
        <v>8.2668262168316964E-3</v>
      </c>
    </row>
    <row r="16" spans="2:5" x14ac:dyDescent="0.3">
      <c r="B16" s="1" t="s">
        <v>74</v>
      </c>
      <c r="C16" s="15">
        <f t="shared" ca="1" si="0"/>
        <v>0.12450371342124156</v>
      </c>
      <c r="D16" s="15"/>
      <c r="E16" s="15">
        <f t="shared" ca="1" si="2"/>
        <v>0.11440066415557763</v>
      </c>
    </row>
    <row r="17" spans="2:5" x14ac:dyDescent="0.3">
      <c r="B17" s="1" t="s">
        <v>74</v>
      </c>
      <c r="C17" s="15">
        <f t="shared" ca="1" si="0"/>
        <v>0.83125724424305469</v>
      </c>
      <c r="D17" s="15"/>
      <c r="E17" s="15">
        <f t="shared" ca="1" si="2"/>
        <v>0.52071292658688939</v>
      </c>
    </row>
    <row r="18" spans="2:5" x14ac:dyDescent="0.3">
      <c r="B18" s="1" t="s">
        <v>74</v>
      </c>
      <c r="C18" s="15">
        <f t="shared" ca="1" si="0"/>
        <v>4.7959462259709706E-2</v>
      </c>
      <c r="D18" s="15"/>
      <c r="E18" s="15">
        <f t="shared" ca="1" si="2"/>
        <v>7.8415773736425828E-5</v>
      </c>
    </row>
    <row r="19" spans="2:5" x14ac:dyDescent="0.3">
      <c r="B19" s="1" t="s">
        <v>74</v>
      </c>
      <c r="C19" s="15">
        <f t="shared" ca="1" si="0"/>
        <v>0.55662131889548083</v>
      </c>
      <c r="D19" s="15"/>
      <c r="E19" s="15">
        <f t="shared" ca="1" si="2"/>
        <v>0.54291859909029172</v>
      </c>
    </row>
    <row r="20" spans="2:5" x14ac:dyDescent="0.3">
      <c r="B20" s="1" t="s">
        <v>74</v>
      </c>
      <c r="C20" s="15">
        <f t="shared" ca="1" si="0"/>
        <v>0.18421067848258532</v>
      </c>
      <c r="D20" s="15"/>
      <c r="E20" s="15">
        <f t="shared" ca="1" si="2"/>
        <v>3.085362725587092E-2</v>
      </c>
    </row>
    <row r="21" spans="2:5" x14ac:dyDescent="0.3">
      <c r="B21" s="1" t="s">
        <v>74</v>
      </c>
      <c r="C21" s="15">
        <f t="shared" ca="1" si="0"/>
        <v>0.25098626747555042</v>
      </c>
      <c r="D21" s="15"/>
      <c r="E21" s="15">
        <f t="shared" ca="1" si="2"/>
        <v>0.25029827868469695</v>
      </c>
    </row>
    <row r="22" spans="2:5" x14ac:dyDescent="0.3">
      <c r="B22" s="1" t="s">
        <v>74</v>
      </c>
      <c r="C22" s="15">
        <f t="shared" ca="1" si="0"/>
        <v>0.34014297433893048</v>
      </c>
      <c r="D22" s="15"/>
      <c r="E22" s="15">
        <f t="shared" ca="1" si="2"/>
        <v>0.1973153810643419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7" t="s">
        <v>79</v>
      </c>
      <c r="C2" s="16" t="s">
        <v>78</v>
      </c>
      <c r="D2" s="16" t="s">
        <v>77</v>
      </c>
      <c r="E2" s="16" t="s">
        <v>76</v>
      </c>
      <c r="F2" s="1" t="s">
        <v>83</v>
      </c>
    </row>
    <row r="3" spans="2:6" x14ac:dyDescent="0.3">
      <c r="B3" s="1" t="s">
        <v>75</v>
      </c>
      <c r="C3" s="15">
        <f t="shared" ref="C3:C25" ca="1" si="0">RAND()</f>
        <v>0.21273613840587535</v>
      </c>
      <c r="D3" s="15">
        <f t="shared" ref="D3:D12" ca="1" si="1">C3+RAND()*(1-C3)</f>
        <v>0.46138562573877789</v>
      </c>
      <c r="E3" s="15"/>
    </row>
    <row r="4" spans="2:6" x14ac:dyDescent="0.3">
      <c r="B4" s="1" t="s">
        <v>75</v>
      </c>
      <c r="C4" s="15">
        <f t="shared" ca="1" si="0"/>
        <v>0.71429231027647988</v>
      </c>
      <c r="D4" s="15">
        <f t="shared" ca="1" si="1"/>
        <v>0.89790837826848524</v>
      </c>
      <c r="E4" s="15"/>
    </row>
    <row r="5" spans="2:6" x14ac:dyDescent="0.3">
      <c r="B5" s="1" t="s">
        <v>75</v>
      </c>
      <c r="C5" s="15">
        <f t="shared" ca="1" si="0"/>
        <v>0.98635504978856203</v>
      </c>
      <c r="D5" s="15">
        <f t="shared" ca="1" si="1"/>
        <v>0.99477387275707552</v>
      </c>
      <c r="E5" s="15"/>
    </row>
    <row r="6" spans="2:6" x14ac:dyDescent="0.3">
      <c r="B6" s="1" t="s">
        <v>75</v>
      </c>
      <c r="C6" s="15">
        <f t="shared" ca="1" si="0"/>
        <v>0.54194396123465272</v>
      </c>
      <c r="D6" s="15">
        <f t="shared" ca="1" si="1"/>
        <v>0.55519859199188104</v>
      </c>
      <c r="E6" s="15"/>
    </row>
    <row r="7" spans="2:6" x14ac:dyDescent="0.3">
      <c r="B7" s="1" t="s">
        <v>75</v>
      </c>
      <c r="C7" s="15">
        <f t="shared" ca="1" si="0"/>
        <v>0.53081655417224205</v>
      </c>
      <c r="D7" s="15">
        <f t="shared" ca="1" si="1"/>
        <v>0.65470859982701968</v>
      </c>
      <c r="E7" s="15"/>
    </row>
    <row r="8" spans="2:6" x14ac:dyDescent="0.3">
      <c r="B8" s="1" t="s">
        <v>75</v>
      </c>
      <c r="C8" s="15">
        <f t="shared" ca="1" si="0"/>
        <v>0.30682139676976561</v>
      </c>
      <c r="D8" s="15">
        <f t="shared" ca="1" si="1"/>
        <v>0.47067284231751316</v>
      </c>
      <c r="E8" s="15"/>
    </row>
    <row r="9" spans="2:6" x14ac:dyDescent="0.3">
      <c r="B9" s="1" t="s">
        <v>75</v>
      </c>
      <c r="C9" s="15">
        <f t="shared" ca="1" si="0"/>
        <v>0.27649894413410958</v>
      </c>
      <c r="D9" s="15">
        <f t="shared" ca="1" si="1"/>
        <v>0.52290722253602184</v>
      </c>
      <c r="E9" s="15"/>
    </row>
    <row r="10" spans="2:6" x14ac:dyDescent="0.3">
      <c r="B10" s="1" t="s">
        <v>75</v>
      </c>
      <c r="C10" s="15">
        <f t="shared" ca="1" si="0"/>
        <v>0.76981991989295739</v>
      </c>
      <c r="D10" s="15">
        <f t="shared" ca="1" si="1"/>
        <v>0.9743837140785947</v>
      </c>
      <c r="E10" s="15"/>
    </row>
    <row r="11" spans="2:6" x14ac:dyDescent="0.3">
      <c r="B11" s="1" t="s">
        <v>75</v>
      </c>
      <c r="C11" s="15">
        <f t="shared" ca="1" si="0"/>
        <v>0.47881136833471738</v>
      </c>
      <c r="D11" s="15">
        <f t="shared" ca="1" si="1"/>
        <v>0.96037615722977143</v>
      </c>
      <c r="E11" s="15"/>
    </row>
    <row r="12" spans="2:6" x14ac:dyDescent="0.3">
      <c r="B12" s="1" t="s">
        <v>75</v>
      </c>
      <c r="C12" s="15">
        <f t="shared" ca="1" si="0"/>
        <v>0.75044784437601963</v>
      </c>
      <c r="D12" s="15">
        <f t="shared" ca="1" si="1"/>
        <v>0.87973173804224225</v>
      </c>
      <c r="E12" s="15"/>
    </row>
    <row r="13" spans="2:6" x14ac:dyDescent="0.3">
      <c r="B13" s="1" t="s">
        <v>74</v>
      </c>
      <c r="C13" s="15">
        <f t="shared" ca="1" si="0"/>
        <v>0.56626544224905428</v>
      </c>
      <c r="D13" s="15"/>
      <c r="E13" s="15">
        <f t="shared" ref="E13:E22" ca="1" si="2">RAND()*C13</f>
        <v>0.25174104596383068</v>
      </c>
    </row>
    <row r="14" spans="2:6" x14ac:dyDescent="0.3">
      <c r="B14" s="1" t="s">
        <v>74</v>
      </c>
      <c r="C14" s="15">
        <f t="shared" ca="1" si="0"/>
        <v>0.81685588581115864</v>
      </c>
      <c r="D14" s="15"/>
      <c r="E14" s="15">
        <f t="shared" ca="1" si="2"/>
        <v>0.65019020427498775</v>
      </c>
    </row>
    <row r="15" spans="2:6" x14ac:dyDescent="0.3">
      <c r="B15" s="1" t="s">
        <v>74</v>
      </c>
      <c r="C15" s="15">
        <f t="shared" ca="1" si="0"/>
        <v>0.76176402742336913</v>
      </c>
      <c r="D15" s="15"/>
      <c r="E15" s="15">
        <f t="shared" ca="1" si="2"/>
        <v>0.27026613529880644</v>
      </c>
    </row>
    <row r="16" spans="2:6" x14ac:dyDescent="0.3">
      <c r="B16" s="1" t="s">
        <v>74</v>
      </c>
      <c r="C16" s="15">
        <f t="shared" ca="1" si="0"/>
        <v>0.77433860688126943</v>
      </c>
      <c r="D16" s="15"/>
      <c r="E16" s="15">
        <f t="shared" ca="1" si="2"/>
        <v>0.56269732373635717</v>
      </c>
    </row>
    <row r="17" spans="2:6" x14ac:dyDescent="0.3">
      <c r="B17" s="1" t="s">
        <v>74</v>
      </c>
      <c r="C17" s="15">
        <f t="shared" ca="1" si="0"/>
        <v>0.12433667716344721</v>
      </c>
      <c r="D17" s="15"/>
      <c r="E17" s="15">
        <f t="shared" ca="1" si="2"/>
        <v>5.9396482069470846E-2</v>
      </c>
    </row>
    <row r="18" spans="2:6" x14ac:dyDescent="0.3">
      <c r="B18" s="1" t="s">
        <v>74</v>
      </c>
      <c r="C18" s="15">
        <f t="shared" ca="1" si="0"/>
        <v>0.48180390027099174</v>
      </c>
      <c r="D18" s="15"/>
      <c r="E18" s="15">
        <f t="shared" ca="1" si="2"/>
        <v>0.47941883204336005</v>
      </c>
    </row>
    <row r="19" spans="2:6" x14ac:dyDescent="0.3">
      <c r="B19" s="1" t="s">
        <v>74</v>
      </c>
      <c r="C19" s="15">
        <f t="shared" ca="1" si="0"/>
        <v>0.34164226043953194</v>
      </c>
      <c r="D19" s="15"/>
      <c r="E19" s="15">
        <f t="shared" ca="1" si="2"/>
        <v>3.6425814283376497E-2</v>
      </c>
    </row>
    <row r="20" spans="2:6" x14ac:dyDescent="0.3">
      <c r="B20" s="1" t="s">
        <v>74</v>
      </c>
      <c r="C20" s="15">
        <f t="shared" ca="1" si="0"/>
        <v>0.46818261507018977</v>
      </c>
      <c r="D20" s="15"/>
      <c r="E20" s="15">
        <f t="shared" ca="1" si="2"/>
        <v>0.31172251497954101</v>
      </c>
    </row>
    <row r="21" spans="2:6" x14ac:dyDescent="0.3">
      <c r="B21" s="1" t="s">
        <v>74</v>
      </c>
      <c r="C21" s="15">
        <f t="shared" ca="1" si="0"/>
        <v>0.97664129681745826</v>
      </c>
      <c r="D21" s="15"/>
      <c r="E21" s="15">
        <f t="shared" ca="1" si="2"/>
        <v>0.91455694535229337</v>
      </c>
    </row>
    <row r="22" spans="2:6" x14ac:dyDescent="0.3">
      <c r="B22" s="1" t="s">
        <v>74</v>
      </c>
      <c r="C22" s="15">
        <f t="shared" ca="1" si="0"/>
        <v>0.40285139662949188</v>
      </c>
      <c r="D22" s="15"/>
      <c r="E22" s="15">
        <f t="shared" ca="1" si="2"/>
        <v>4.3479702925059295E-2</v>
      </c>
    </row>
    <row r="23" spans="2:6" x14ac:dyDescent="0.3">
      <c r="B23" s="1" t="s">
        <v>82</v>
      </c>
      <c r="C23" s="15">
        <f t="shared" ca="1" si="0"/>
        <v>0.12428007641168504</v>
      </c>
      <c r="F23" s="15">
        <f ca="1">RAND()</f>
        <v>0.69952527795288866</v>
      </c>
    </row>
    <row r="24" spans="2:6" x14ac:dyDescent="0.3">
      <c r="B24" s="1" t="s">
        <v>81</v>
      </c>
      <c r="C24" s="15">
        <f t="shared" ca="1" si="0"/>
        <v>0.70138931223058798</v>
      </c>
      <c r="F24" s="15">
        <f ca="1">RAND()</f>
        <v>0.95598076545659605</v>
      </c>
    </row>
    <row r="25" spans="2:6" x14ac:dyDescent="0.3">
      <c r="B25" s="1" t="s">
        <v>80</v>
      </c>
      <c r="C25" s="15">
        <f t="shared" ca="1" si="0"/>
        <v>0.24100329354596206</v>
      </c>
      <c r="F25" s="15">
        <f ca="1">RAND()</f>
        <v>0.86409557356792732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>
      <selection activeCell="C3" sqref="C3:F22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7" t="s">
        <v>79</v>
      </c>
      <c r="C2" s="16" t="s">
        <v>78</v>
      </c>
      <c r="D2" s="16" t="s">
        <v>77</v>
      </c>
      <c r="E2" s="16" t="s">
        <v>76</v>
      </c>
      <c r="F2" s="1" t="s">
        <v>83</v>
      </c>
      <c r="G2" s="19" t="s">
        <v>86</v>
      </c>
      <c r="H2" s="19" t="s">
        <v>85</v>
      </c>
      <c r="I2" s="18" t="s">
        <v>84</v>
      </c>
    </row>
    <row r="3" spans="2:9" x14ac:dyDescent="0.3">
      <c r="B3" s="1" t="s">
        <v>75</v>
      </c>
      <c r="C3" s="15">
        <f t="shared" ref="C3:C25" ca="1" si="0">RAND()</f>
        <v>0.31671586091963</v>
      </c>
      <c r="D3" s="15">
        <f t="shared" ref="D3:D12" ca="1" si="1">C3+RAND()*(1-C3)</f>
        <v>0.9911342193288506</v>
      </c>
      <c r="E3" s="15"/>
      <c r="G3" s="15">
        <f t="shared" ref="G3:G12" ca="1" si="2">SUMSQ($C3-$C$23,$D3-$F$23)</f>
        <v>0.26240422947469844</v>
      </c>
      <c r="H3" s="15">
        <f t="shared" ref="H3:H12" ca="1" si="3">SUMSQ($C3-$C$24,$D3-$F$24)</f>
        <v>0.60032843786975076</v>
      </c>
      <c r="I3" s="15">
        <f t="shared" ref="I3:I12" ca="1" si="4">SUMSQ($C3-$C$25,$D3-$F$25)</f>
        <v>2.4565839695900732E-2</v>
      </c>
    </row>
    <row r="4" spans="2:9" x14ac:dyDescent="0.3">
      <c r="B4" s="1" t="s">
        <v>75</v>
      </c>
      <c r="C4" s="15">
        <f t="shared" ca="1" si="0"/>
        <v>0.46763442107080999</v>
      </c>
      <c r="D4" s="15">
        <f t="shared" ca="1" si="1"/>
        <v>0.83437215154011479</v>
      </c>
      <c r="E4" s="15"/>
      <c r="G4" s="15">
        <f t="shared" ca="1" si="2"/>
        <v>8.9142426971963507E-2</v>
      </c>
      <c r="H4" s="15">
        <f t="shared" ca="1" si="3"/>
        <v>0.43539552683875238</v>
      </c>
      <c r="I4" s="15">
        <f t="shared" ca="1" si="4"/>
        <v>2.0492990030379424E-2</v>
      </c>
    </row>
    <row r="5" spans="2:9" x14ac:dyDescent="0.3">
      <c r="B5" s="1" t="s">
        <v>75</v>
      </c>
      <c r="C5" s="15">
        <f t="shared" ca="1" si="0"/>
        <v>0.68011514292255981</v>
      </c>
      <c r="D5" s="15">
        <f t="shared" ca="1" si="1"/>
        <v>0.77209206484243664</v>
      </c>
      <c r="E5" s="15"/>
      <c r="G5" s="15">
        <f t="shared" ca="1" si="2"/>
        <v>4.3145027446228022E-2</v>
      </c>
      <c r="H5" s="15">
        <f t="shared" ca="1" si="3"/>
        <v>0.51284072733449715</v>
      </c>
      <c r="I5" s="15">
        <f t="shared" ca="1" si="4"/>
        <v>0.13038195332911801</v>
      </c>
    </row>
    <row r="6" spans="2:9" x14ac:dyDescent="0.3">
      <c r="B6" s="1" t="s">
        <v>75</v>
      </c>
      <c r="C6" s="15">
        <f t="shared" ca="1" si="0"/>
        <v>0.78296253332437871</v>
      </c>
      <c r="D6" s="15">
        <f t="shared" ca="1" si="1"/>
        <v>0.85555865424995015</v>
      </c>
      <c r="E6" s="15"/>
      <c r="G6" s="15">
        <f t="shared" ca="1" si="2"/>
        <v>0.10698595073948618</v>
      </c>
      <c r="H6" s="15">
        <f t="shared" ca="1" si="3"/>
        <v>0.71654597037117229</v>
      </c>
      <c r="I6" s="15">
        <f t="shared" ca="1" si="4"/>
        <v>0.21064505504630784</v>
      </c>
    </row>
    <row r="7" spans="2:9" x14ac:dyDescent="0.3">
      <c r="B7" s="1" t="s">
        <v>75</v>
      </c>
      <c r="C7" s="15">
        <f t="shared" ca="1" si="0"/>
        <v>0.42876972346818132</v>
      </c>
      <c r="D7" s="15">
        <f t="shared" ca="1" si="1"/>
        <v>0.50701297575355742</v>
      </c>
      <c r="E7" s="15"/>
      <c r="G7" s="15">
        <f t="shared" ca="1" si="2"/>
        <v>3.933491321359546E-2</v>
      </c>
      <c r="H7" s="15">
        <f t="shared" ca="1" si="3"/>
        <v>0.12413728420872769</v>
      </c>
      <c r="I7" s="15">
        <f t="shared" ca="1" si="4"/>
        <v>0.11818402068926928</v>
      </c>
    </row>
    <row r="8" spans="2:9" x14ac:dyDescent="0.3">
      <c r="B8" s="1" t="s">
        <v>75</v>
      </c>
      <c r="C8" s="15">
        <f t="shared" ca="1" si="0"/>
        <v>0.1303793131275236</v>
      </c>
      <c r="D8" s="15">
        <f t="shared" ca="1" si="1"/>
        <v>0.15628626957745612</v>
      </c>
      <c r="E8" s="15"/>
      <c r="G8" s="15">
        <f t="shared" ca="1" si="2"/>
        <v>0.41016051094088579</v>
      </c>
      <c r="H8" s="15">
        <f t="shared" ca="1" si="3"/>
        <v>1.2619845184148323E-2</v>
      </c>
      <c r="I8" s="15">
        <f t="shared" ca="1" si="4"/>
        <v>0.49777373659875684</v>
      </c>
    </row>
    <row r="9" spans="2:9" x14ac:dyDescent="0.3">
      <c r="B9" s="1" t="s">
        <v>75</v>
      </c>
      <c r="C9" s="15">
        <f t="shared" ca="1" si="0"/>
        <v>0.56909693434975461</v>
      </c>
      <c r="D9" s="15">
        <f t="shared" ca="1" si="1"/>
        <v>0.79282878766282538</v>
      </c>
      <c r="E9" s="15"/>
      <c r="G9" s="15">
        <f t="shared" ca="1" si="2"/>
        <v>4.9659574493637365E-2</v>
      </c>
      <c r="H9" s="15">
        <f t="shared" ca="1" si="3"/>
        <v>0.44653476122407126</v>
      </c>
      <c r="I9" s="15">
        <f t="shared" ca="1" si="4"/>
        <v>6.1581168503936051E-2</v>
      </c>
    </row>
    <row r="10" spans="2:9" x14ac:dyDescent="0.3">
      <c r="B10" s="1" t="s">
        <v>75</v>
      </c>
      <c r="C10" s="15">
        <f t="shared" ca="1" si="0"/>
        <v>0.28173145498227781</v>
      </c>
      <c r="D10" s="15">
        <f t="shared" ca="1" si="1"/>
        <v>0.61758875103481192</v>
      </c>
      <c r="E10" s="15"/>
      <c r="G10" s="15">
        <f t="shared" ca="1" si="2"/>
        <v>0.11300389311434964</v>
      </c>
      <c r="H10" s="15">
        <f t="shared" ca="1" si="3"/>
        <v>0.15996515965967276</v>
      </c>
      <c r="I10" s="15">
        <f t="shared" ca="1" si="4"/>
        <v>4.8917813581966091E-2</v>
      </c>
    </row>
    <row r="11" spans="2:9" x14ac:dyDescent="0.3">
      <c r="B11" s="1" t="s">
        <v>75</v>
      </c>
      <c r="C11" s="15">
        <f t="shared" ca="1" si="0"/>
        <v>0.33358956821580188</v>
      </c>
      <c r="D11" s="15">
        <f t="shared" ca="1" si="1"/>
        <v>0.93151441232711985</v>
      </c>
      <c r="E11" s="15"/>
      <c r="G11" s="15">
        <f t="shared" ca="1" si="2"/>
        <v>0.20652791455211852</v>
      </c>
      <c r="H11" s="15">
        <f t="shared" ca="1" si="3"/>
        <v>0.5157014159865827</v>
      </c>
      <c r="I11" s="15">
        <f t="shared" ca="1" si="4"/>
        <v>9.4769708793237418E-3</v>
      </c>
    </row>
    <row r="12" spans="2:9" x14ac:dyDescent="0.3">
      <c r="B12" s="1" t="s">
        <v>75</v>
      </c>
      <c r="C12" s="15">
        <f t="shared" ca="1" si="0"/>
        <v>0.22776103089573596</v>
      </c>
      <c r="D12" s="15">
        <f t="shared" ca="1" si="1"/>
        <v>0.83149486735278066</v>
      </c>
      <c r="E12" s="15"/>
      <c r="G12" s="15">
        <f t="shared" ca="1" si="2"/>
        <v>0.21596978148326912</v>
      </c>
      <c r="H12" s="15">
        <f t="shared" ca="1" si="3"/>
        <v>0.37125846728000994</v>
      </c>
      <c r="I12" s="15">
        <f t="shared" ca="1" si="4"/>
        <v>9.3643161912816998E-3</v>
      </c>
    </row>
    <row r="13" spans="2:9" x14ac:dyDescent="0.3">
      <c r="B13" s="1" t="s">
        <v>74</v>
      </c>
      <c r="C13" s="15">
        <f t="shared" ca="1" si="0"/>
        <v>0.39264594514946505</v>
      </c>
      <c r="D13" s="15"/>
      <c r="E13" s="15">
        <f t="shared" ref="E13:E22" ca="1" si="5">RAND()*C13</f>
        <v>4.2579571905122592E-2</v>
      </c>
      <c r="G13" s="15">
        <f t="shared" ref="G13:G22" ca="1" si="6">SUMSQ(C13-$C$23,E13-$F$23)</f>
        <v>0.33276624323062359</v>
      </c>
      <c r="H13" s="15">
        <f t="shared" ref="H13:H22" ca="1" si="7">SUMSQ($C13-$C$24,$E13-$F$24)</f>
        <v>6.161813429524253E-2</v>
      </c>
      <c r="I13" s="15">
        <f t="shared" ref="I13:I22" ca="1" si="8">SUMSQ($C13-$C$25,$E13-$F$25)</f>
        <v>0.63192977014040375</v>
      </c>
    </row>
    <row r="14" spans="2:9" x14ac:dyDescent="0.3">
      <c r="B14" s="1" t="s">
        <v>74</v>
      </c>
      <c r="C14" s="15">
        <f t="shared" ca="1" si="0"/>
        <v>6.6635685706476711E-2</v>
      </c>
      <c r="D14" s="15"/>
      <c r="E14" s="15">
        <f t="shared" ca="1" si="5"/>
        <v>6.1393740893136615E-2</v>
      </c>
      <c r="G14" s="15">
        <f t="shared" ca="1" si="6"/>
        <v>0.56445836550071293</v>
      </c>
      <c r="H14" s="15">
        <f t="shared" ca="1" si="7"/>
        <v>4.97962671038326E-2</v>
      </c>
      <c r="I14" s="15">
        <f t="shared" ca="1" si="8"/>
        <v>0.6643192967699546</v>
      </c>
    </row>
    <row r="15" spans="2:9" x14ac:dyDescent="0.3">
      <c r="B15" s="1" t="s">
        <v>74</v>
      </c>
      <c r="C15" s="15">
        <f t="shared" ca="1" si="0"/>
        <v>0.71767083115274255</v>
      </c>
      <c r="D15" s="15"/>
      <c r="E15" s="15">
        <f t="shared" ca="1" si="5"/>
        <v>0.18677495140736755</v>
      </c>
      <c r="G15" s="15">
        <f t="shared" ca="1" si="6"/>
        <v>0.16106985941486421</v>
      </c>
      <c r="H15" s="15">
        <f t="shared" ca="1" si="7"/>
        <v>0.24760667116600033</v>
      </c>
      <c r="I15" s="15">
        <f t="shared" ca="1" si="8"/>
        <v>0.57426495825062651</v>
      </c>
    </row>
    <row r="16" spans="2:9" x14ac:dyDescent="0.3">
      <c r="B16" s="1" t="s">
        <v>74</v>
      </c>
      <c r="C16" s="15">
        <f t="shared" ca="1" si="0"/>
        <v>0.18378300255003599</v>
      </c>
      <c r="D16" s="15"/>
      <c r="E16" s="15">
        <f t="shared" ca="1" si="5"/>
        <v>0.13598243680716871</v>
      </c>
      <c r="G16" s="15">
        <f t="shared" ca="1" si="6"/>
        <v>0.37864158363004108</v>
      </c>
      <c r="H16" s="15">
        <f t="shared" ca="1" si="7"/>
        <v>8.8468004900470829E-3</v>
      </c>
      <c r="I16" s="15">
        <f t="shared" ca="1" si="8"/>
        <v>0.50785086084021225</v>
      </c>
    </row>
    <row r="17" spans="2:9" x14ac:dyDescent="0.3">
      <c r="B17" s="1" t="s">
        <v>74</v>
      </c>
      <c r="C17" s="15">
        <f t="shared" ca="1" si="0"/>
        <v>0.15891328687777473</v>
      </c>
      <c r="D17" s="15"/>
      <c r="E17" s="15">
        <f t="shared" ca="1" si="5"/>
        <v>1.2992662517868344E-2</v>
      </c>
      <c r="G17" s="15">
        <f t="shared" ca="1" si="6"/>
        <v>0.52378219264055703</v>
      </c>
      <c r="H17" s="15">
        <f t="shared" ca="1" si="7"/>
        <v>4.7671961334687221E-2</v>
      </c>
      <c r="I17" s="15">
        <f t="shared" ca="1" si="8"/>
        <v>0.70243768331414991</v>
      </c>
    </row>
    <row r="18" spans="2:9" x14ac:dyDescent="0.3">
      <c r="B18" s="1" t="s">
        <v>74</v>
      </c>
      <c r="C18" s="15">
        <f t="shared" ca="1" si="0"/>
        <v>0.42803726748325488</v>
      </c>
      <c r="D18" s="15"/>
      <c r="E18" s="15">
        <f t="shared" ca="1" si="5"/>
        <v>0.1531676114866396</v>
      </c>
      <c r="G18" s="15">
        <f t="shared" ca="1" si="6"/>
        <v>0.21278488867872369</v>
      </c>
      <c r="H18" s="15">
        <f t="shared" ca="1" si="7"/>
        <v>4.749438682461516E-2</v>
      </c>
      <c r="I18" s="15">
        <f t="shared" ca="1" si="8"/>
        <v>0.47506278691288478</v>
      </c>
    </row>
    <row r="19" spans="2:9" x14ac:dyDescent="0.3">
      <c r="B19" s="1" t="s">
        <v>74</v>
      </c>
      <c r="C19" s="15">
        <f t="shared" ca="1" si="0"/>
        <v>0.23826367133474691</v>
      </c>
      <c r="D19" s="15"/>
      <c r="E19" s="15">
        <f t="shared" ca="1" si="5"/>
        <v>3.8178284334354877E-2</v>
      </c>
      <c r="G19" s="15">
        <f t="shared" ca="1" si="6"/>
        <v>0.43000796811697373</v>
      </c>
      <c r="H19" s="15">
        <f t="shared" ca="1" si="7"/>
        <v>3.4157580743680339E-2</v>
      </c>
      <c r="I19" s="15">
        <f t="shared" ca="1" si="8"/>
        <v>0.64170781323735071</v>
      </c>
    </row>
    <row r="20" spans="2:9" x14ac:dyDescent="0.3">
      <c r="B20" s="1" t="s">
        <v>74</v>
      </c>
      <c r="C20" s="15">
        <f t="shared" ca="1" si="0"/>
        <v>0.84930571936881138</v>
      </c>
      <c r="D20" s="15"/>
      <c r="E20" s="15">
        <f t="shared" ca="1" si="5"/>
        <v>0.63722282716982037</v>
      </c>
      <c r="G20" s="15">
        <f t="shared" ca="1" si="6"/>
        <v>5.8722561202573027E-2</v>
      </c>
      <c r="H20" s="15">
        <f t="shared" ca="1" si="7"/>
        <v>0.56657689227929053</v>
      </c>
      <c r="I20" s="15">
        <f t="shared" ca="1" si="8"/>
        <v>0.31439562412006244</v>
      </c>
    </row>
    <row r="21" spans="2:9" x14ac:dyDescent="0.3">
      <c r="B21" s="1" t="s">
        <v>74</v>
      </c>
      <c r="C21" s="15">
        <f t="shared" ca="1" si="0"/>
        <v>0.14418808714031317</v>
      </c>
      <c r="D21" s="15"/>
      <c r="E21" s="15">
        <f t="shared" ca="1" si="5"/>
        <v>5.9911514538324287E-2</v>
      </c>
      <c r="G21" s="15">
        <f t="shared" ca="1" si="6"/>
        <v>0.48691857487980794</v>
      </c>
      <c r="H21" s="15">
        <f t="shared" ca="1" si="7"/>
        <v>3.2295168879308812E-2</v>
      </c>
      <c r="I21" s="15">
        <f t="shared" ca="1" si="8"/>
        <v>0.63263495260887526</v>
      </c>
    </row>
    <row r="22" spans="2:9" x14ac:dyDescent="0.3">
      <c r="B22" s="1" t="s">
        <v>74</v>
      </c>
      <c r="C22" s="15">
        <f t="shared" ca="1" si="0"/>
        <v>0.40233242837787875</v>
      </c>
      <c r="D22" s="15"/>
      <c r="E22" s="15">
        <f t="shared" ca="1" si="5"/>
        <v>0.30401221197851735</v>
      </c>
      <c r="G22" s="15">
        <f t="shared" ca="1" si="6"/>
        <v>0.11861857797154739</v>
      </c>
      <c r="H22" s="15">
        <f t="shared" ca="1" si="7"/>
        <v>3.9450623719474373E-2</v>
      </c>
      <c r="I22" s="15">
        <f t="shared" ca="1" si="8"/>
        <v>0.2875755135195518</v>
      </c>
    </row>
    <row r="23" spans="2:9" x14ac:dyDescent="0.3">
      <c r="B23" s="1" t="s">
        <v>82</v>
      </c>
      <c r="C23" s="15">
        <f t="shared" ca="1" si="0"/>
        <v>0.61515719867298635</v>
      </c>
      <c r="F23" s="15">
        <f ca="1">RAND()</f>
        <v>0.57479661906353041</v>
      </c>
    </row>
    <row r="24" spans="2:9" x14ac:dyDescent="0.3">
      <c r="B24" s="1" t="s">
        <v>81</v>
      </c>
      <c r="C24" s="15">
        <f t="shared" ca="1" si="0"/>
        <v>0.2213338538736358</v>
      </c>
      <c r="F24" s="15">
        <f ca="1">RAND()</f>
        <v>0.22221893751841038</v>
      </c>
    </row>
    <row r="25" spans="2:9" x14ac:dyDescent="0.3">
      <c r="B25" s="1" t="s">
        <v>80</v>
      </c>
      <c r="C25" s="15">
        <f t="shared" ca="1" si="0"/>
        <v>0.32448086084064609</v>
      </c>
      <c r="F25" s="15">
        <f ca="1">RAND()</f>
        <v>0.83459175073924596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>
      <selection activeCell="H24" sqref="H24:O24"/>
    </sheetView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5" t="s">
        <v>79</v>
      </c>
      <c r="C2" s="24" t="s">
        <v>78</v>
      </c>
      <c r="D2" s="24" t="s">
        <v>77</v>
      </c>
      <c r="E2" s="24" t="s">
        <v>76</v>
      </c>
      <c r="F2" s="8" t="s">
        <v>83</v>
      </c>
      <c r="H2" s="19" t="s">
        <v>86</v>
      </c>
      <c r="I2" s="19" t="s">
        <v>85</v>
      </c>
      <c r="J2" s="18" t="s">
        <v>84</v>
      </c>
    </row>
    <row r="3" spans="2:10" x14ac:dyDescent="0.25">
      <c r="B3" s="8" t="s">
        <v>75</v>
      </c>
      <c r="C3" s="21">
        <f t="shared" ref="C3:C22" ca="1" si="0">RAND()</f>
        <v>0.971559527340637</v>
      </c>
      <c r="D3" s="21">
        <f t="shared" ref="D3:D12" ca="1" si="1">C3+RAND()*(1-C3)</f>
        <v>0.99331696731741603</v>
      </c>
      <c r="E3" s="21"/>
      <c r="H3" s="21">
        <f t="shared" ref="H3:H12" ca="1" si="2">SUMSQ($C3-$C$24,$D3-$F$24)</f>
        <v>0.59458714589033157</v>
      </c>
      <c r="I3" s="21">
        <f t="shared" ref="I3:I12" ca="1" si="3">SUMSQ($C3-$C$25,$D3-$F$25)</f>
        <v>0.33378418647814978</v>
      </c>
      <c r="J3" s="21">
        <f t="shared" ref="J3:J12" ca="1" si="4">SUMSQ($C3-$C$26,$D3-$F$26)</f>
        <v>0.22519793880858652</v>
      </c>
    </row>
    <row r="4" spans="2:10" x14ac:dyDescent="0.25">
      <c r="B4" s="8" t="s">
        <v>75</v>
      </c>
      <c r="C4" s="21">
        <f t="shared" ca="1" si="0"/>
        <v>0.13780170277877024</v>
      </c>
      <c r="D4" s="21">
        <f t="shared" ca="1" si="1"/>
        <v>0.79842858987674636</v>
      </c>
      <c r="E4" s="21"/>
      <c r="H4" s="21">
        <f t="shared" ca="1" si="2"/>
        <v>3.4939667984476661E-2</v>
      </c>
      <c r="I4" s="21">
        <f t="shared" ca="1" si="3"/>
        <v>0.22379128946851529</v>
      </c>
      <c r="J4" s="21">
        <f t="shared" ca="1" si="4"/>
        <v>0.15094769122999516</v>
      </c>
    </row>
    <row r="5" spans="2:10" x14ac:dyDescent="0.25">
      <c r="B5" s="8" t="s">
        <v>75</v>
      </c>
      <c r="C5" s="21">
        <f t="shared" ca="1" si="0"/>
        <v>0.4060649169962961</v>
      </c>
      <c r="D5" s="21">
        <f t="shared" ca="1" si="1"/>
        <v>0.50624222477696013</v>
      </c>
      <c r="E5" s="21"/>
      <c r="H5" s="21">
        <f t="shared" ca="1" si="2"/>
        <v>0.26139639763766587</v>
      </c>
      <c r="I5" s="21">
        <f t="shared" ca="1" si="3"/>
        <v>3.0491806315500414E-2</v>
      </c>
      <c r="J5" s="21">
        <f t="shared" ca="1" si="4"/>
        <v>0.19572852671930516</v>
      </c>
    </row>
    <row r="6" spans="2:10" x14ac:dyDescent="0.25">
      <c r="B6" s="8" t="s">
        <v>75</v>
      </c>
      <c r="C6" s="21">
        <f t="shared" ca="1" si="0"/>
        <v>7.7134323874671562E-2</v>
      </c>
      <c r="D6" s="21">
        <f t="shared" ca="1" si="1"/>
        <v>0.13329543815692124</v>
      </c>
      <c r="E6" s="21"/>
      <c r="H6" s="21">
        <f t="shared" ca="1" si="2"/>
        <v>0.72281073153317421</v>
      </c>
      <c r="I6" s="21">
        <f t="shared" ca="1" si="3"/>
        <v>0.43982388669004413</v>
      </c>
      <c r="J6" s="21">
        <f t="shared" ca="1" si="4"/>
        <v>0.82736829436522863</v>
      </c>
    </row>
    <row r="7" spans="2:10" x14ac:dyDescent="0.25">
      <c r="B7" s="8" t="s">
        <v>75</v>
      </c>
      <c r="C7" s="21">
        <f t="shared" ca="1" si="0"/>
        <v>0.67005494814766986</v>
      </c>
      <c r="D7" s="21">
        <f t="shared" ca="1" si="1"/>
        <v>0.68791192956877045</v>
      </c>
      <c r="E7" s="21"/>
      <c r="H7" s="21">
        <f t="shared" ca="1" si="2"/>
        <v>0.30240309022961076</v>
      </c>
      <c r="I7" s="21">
        <f t="shared" ca="1" si="3"/>
        <v>2.2109735766333009E-2</v>
      </c>
      <c r="J7" s="21">
        <f t="shared" ca="1" si="4"/>
        <v>9.1664593774408276E-2</v>
      </c>
    </row>
    <row r="8" spans="2:10" x14ac:dyDescent="0.25">
      <c r="B8" s="8" t="s">
        <v>75</v>
      </c>
      <c r="C8" s="21">
        <f t="shared" ca="1" si="0"/>
        <v>0.76448133546973018</v>
      </c>
      <c r="D8" s="21">
        <f t="shared" ca="1" si="1"/>
        <v>0.80606241965948244</v>
      </c>
      <c r="E8" s="21"/>
      <c r="H8" s="21">
        <f t="shared" ca="1" si="2"/>
        <v>0.34620923415549731</v>
      </c>
      <c r="I8" s="21">
        <f t="shared" ca="1" si="3"/>
        <v>8.9461812517300537E-2</v>
      </c>
      <c r="J8" s="21">
        <f t="shared" ca="1" si="4"/>
        <v>8.7400654359222368E-2</v>
      </c>
    </row>
    <row r="9" spans="2:10" x14ac:dyDescent="0.25">
      <c r="B9" s="8" t="s">
        <v>75</v>
      </c>
      <c r="C9" s="21">
        <f t="shared" ca="1" si="0"/>
        <v>0.91551078361786786</v>
      </c>
      <c r="D9" s="21">
        <f t="shared" ca="1" si="1"/>
        <v>0.96058687768251216</v>
      </c>
      <c r="E9" s="21"/>
      <c r="H9" s="21">
        <f t="shared" ca="1" si="2"/>
        <v>0.51115301034926175</v>
      </c>
      <c r="I9" s="21">
        <f t="shared" ca="1" si="3"/>
        <v>0.26536329232336642</v>
      </c>
      <c r="J9" s="21">
        <f t="shared" ca="1" si="4"/>
        <v>0.17298396753703901</v>
      </c>
    </row>
    <row r="10" spans="2:10" x14ac:dyDescent="0.25">
      <c r="B10" s="8" t="s">
        <v>75</v>
      </c>
      <c r="C10" s="21">
        <f t="shared" ca="1" si="0"/>
        <v>0.16897096262500066</v>
      </c>
      <c r="D10" s="21">
        <f t="shared" ca="1" si="1"/>
        <v>0.21893869249338496</v>
      </c>
      <c r="E10" s="21"/>
      <c r="H10" s="21">
        <f t="shared" ca="1" si="2"/>
        <v>0.57180589951557448</v>
      </c>
      <c r="I10" s="21">
        <f t="shared" ca="1" si="3"/>
        <v>0.28903432170991306</v>
      </c>
      <c r="J10" s="21">
        <f t="shared" ca="1" si="4"/>
        <v>0.62750898338800787</v>
      </c>
    </row>
    <row r="11" spans="2:10" x14ac:dyDescent="0.25">
      <c r="B11" s="8" t="s">
        <v>75</v>
      </c>
      <c r="C11" s="21">
        <f t="shared" ca="1" si="0"/>
        <v>0.41651603572014506</v>
      </c>
      <c r="D11" s="21">
        <f t="shared" ca="1" si="1"/>
        <v>0.43754727577942365</v>
      </c>
      <c r="E11" s="21"/>
      <c r="H11" s="21">
        <f t="shared" ca="1" si="2"/>
        <v>0.33484450892091866</v>
      </c>
      <c r="I11" s="21">
        <f t="shared" ca="1" si="3"/>
        <v>4.3164131982869114E-2</v>
      </c>
      <c r="J11" s="21">
        <f t="shared" ca="1" si="4"/>
        <v>0.25798107145844701</v>
      </c>
    </row>
    <row r="12" spans="2:10" x14ac:dyDescent="0.25">
      <c r="B12" s="8" t="s">
        <v>75</v>
      </c>
      <c r="C12" s="21">
        <f t="shared" ca="1" si="0"/>
        <v>0.70473037704752295</v>
      </c>
      <c r="D12" s="21">
        <f t="shared" ca="1" si="1"/>
        <v>0.881740026765227</v>
      </c>
      <c r="E12" s="21"/>
      <c r="H12" s="21">
        <f t="shared" ca="1" si="2"/>
        <v>0.26264648216206482</v>
      </c>
      <c r="I12" s="21">
        <f t="shared" ca="1" si="3"/>
        <v>0.10760716097083987</v>
      </c>
      <c r="J12" s="21">
        <f t="shared" ca="1" si="4"/>
        <v>4.5064504606471614E-2</v>
      </c>
    </row>
    <row r="13" spans="2:10" x14ac:dyDescent="0.25">
      <c r="B13" s="8" t="s">
        <v>74</v>
      </c>
      <c r="C13" s="21">
        <f t="shared" ca="1" si="0"/>
        <v>0.53262958143931749</v>
      </c>
      <c r="D13" s="21"/>
      <c r="E13" s="21">
        <f t="shared" ref="E13:E22" ca="1" si="5">RAND()*C13</f>
        <v>0.41325587124061547</v>
      </c>
      <c r="H13" s="21">
        <f t="shared" ref="H13:H22" ca="1" si="6">SUMSQ(C13-$C$24,E13-$F$24)</f>
        <v>0.42512060557615711</v>
      </c>
      <c r="I13" s="21">
        <f t="shared" ref="I13:I22" ca="1" si="7">SUMSQ($C13-$C$25,$E13-$F$25)</f>
        <v>3.0953230234151596E-2</v>
      </c>
      <c r="J13" s="21">
        <f t="shared" ref="J13:J22" ca="1" si="8">SUMSQ($C13-$C$26,$E13-$F$26)</f>
        <v>0.27696282685684709</v>
      </c>
    </row>
    <row r="14" spans="2:10" x14ac:dyDescent="0.25">
      <c r="B14" s="8" t="s">
        <v>74</v>
      </c>
      <c r="C14" s="21">
        <f t="shared" ca="1" si="0"/>
        <v>0.82102052594684516</v>
      </c>
      <c r="D14" s="21"/>
      <c r="E14" s="21">
        <f t="shared" ca="1" si="5"/>
        <v>0.66696397585491018</v>
      </c>
      <c r="H14" s="21">
        <f t="shared" ca="1" si="6"/>
        <v>0.47935156227809461</v>
      </c>
      <c r="I14" s="21">
        <f t="shared" ca="1" si="7"/>
        <v>7.4052216317171987E-2</v>
      </c>
      <c r="J14" s="21">
        <f t="shared" ca="1" si="8"/>
        <v>0.17668346942610691</v>
      </c>
    </row>
    <row r="15" spans="2:10" x14ac:dyDescent="0.25">
      <c r="B15" s="8" t="s">
        <v>74</v>
      </c>
      <c r="C15" s="21">
        <f t="shared" ca="1" si="0"/>
        <v>0.55124500988733727</v>
      </c>
      <c r="D15" s="21"/>
      <c r="E15" s="21">
        <f t="shared" ca="1" si="5"/>
        <v>0.40070530354563055</v>
      </c>
      <c r="H15" s="21">
        <f t="shared" ca="1" si="6"/>
        <v>0.45206948897596877</v>
      </c>
      <c r="I15" s="21">
        <f t="shared" ca="1" si="7"/>
        <v>3.4761873760601282E-2</v>
      </c>
      <c r="J15" s="21">
        <f t="shared" ca="1" si="8"/>
        <v>0.29185980783271165</v>
      </c>
    </row>
    <row r="16" spans="2:10" x14ac:dyDescent="0.25">
      <c r="B16" s="8" t="s">
        <v>74</v>
      </c>
      <c r="C16" s="21">
        <f t="shared" ca="1" si="0"/>
        <v>0.67347482845300422</v>
      </c>
      <c r="D16" s="21"/>
      <c r="E16" s="21">
        <f t="shared" ca="1" si="5"/>
        <v>0.4093029991128837</v>
      </c>
      <c r="H16" s="21">
        <f t="shared" ca="1" si="6"/>
        <v>0.54291293753360159</v>
      </c>
      <c r="I16" s="21">
        <f t="shared" ca="1" si="7"/>
        <v>4.4204151468543861E-2</v>
      </c>
      <c r="J16" s="21">
        <f t="shared" ca="1" si="8"/>
        <v>0.3101084491528629</v>
      </c>
    </row>
    <row r="17" spans="2:27" x14ac:dyDescent="0.25">
      <c r="B17" s="8" t="s">
        <v>74</v>
      </c>
      <c r="C17" s="21">
        <f t="shared" ca="1" si="0"/>
        <v>0.35140906525141202</v>
      </c>
      <c r="D17" s="21"/>
      <c r="E17" s="21">
        <f t="shared" ca="1" si="5"/>
        <v>3.2853729696677797E-2</v>
      </c>
      <c r="H17" s="21">
        <f t="shared" ca="1" si="6"/>
        <v>0.90932072626018812</v>
      </c>
      <c r="I17" s="21">
        <f t="shared" ca="1" si="7"/>
        <v>0.35086885376491977</v>
      </c>
      <c r="J17" s="21">
        <f t="shared" ca="1" si="8"/>
        <v>0.84237816664233256</v>
      </c>
    </row>
    <row r="18" spans="2:27" x14ac:dyDescent="0.25">
      <c r="B18" s="8" t="s">
        <v>74</v>
      </c>
      <c r="C18" s="21">
        <f t="shared" ca="1" si="0"/>
        <v>0.14185008455231529</v>
      </c>
      <c r="D18" s="21"/>
      <c r="E18" s="21">
        <f t="shared" ca="1" si="5"/>
        <v>3.4539424617243248E-3</v>
      </c>
      <c r="H18" s="21">
        <f t="shared" ca="1" si="6"/>
        <v>0.94629885072315767</v>
      </c>
      <c r="I18" s="21">
        <f t="shared" ca="1" si="7"/>
        <v>0.51604406460614038</v>
      </c>
      <c r="J18" s="21">
        <f t="shared" ca="1" si="8"/>
        <v>1.0027644397152811</v>
      </c>
    </row>
    <row r="19" spans="2:27" x14ac:dyDescent="0.25">
      <c r="B19" s="8" t="s">
        <v>74</v>
      </c>
      <c r="C19" s="21">
        <f t="shared" ca="1" si="0"/>
        <v>0.42170714269424492</v>
      </c>
      <c r="D19" s="21"/>
      <c r="E19" s="21">
        <f t="shared" ca="1" si="5"/>
        <v>8.8075987276349729E-2</v>
      </c>
      <c r="H19" s="21">
        <f t="shared" ca="1" si="6"/>
        <v>0.83450748321038093</v>
      </c>
      <c r="I19" s="21">
        <f t="shared" ca="1" si="7"/>
        <v>0.2682096881110097</v>
      </c>
      <c r="J19" s="21">
        <f t="shared" ca="1" si="8"/>
        <v>0.7294257961389774</v>
      </c>
    </row>
    <row r="20" spans="2:27" x14ac:dyDescent="0.25">
      <c r="B20" s="8" t="s">
        <v>74</v>
      </c>
      <c r="C20" s="21">
        <f t="shared" ca="1" si="0"/>
        <v>0.12121628328019918</v>
      </c>
      <c r="D20" s="21"/>
      <c r="E20" s="21">
        <f t="shared" ca="1" si="5"/>
        <v>4.866259663430908E-2</v>
      </c>
      <c r="H20" s="21">
        <f t="shared" ca="1" si="6"/>
        <v>0.86340186275070741</v>
      </c>
      <c r="I20" s="21">
        <f t="shared" ca="1" si="7"/>
        <v>0.48305501048603977</v>
      </c>
      <c r="J20" s="21">
        <f t="shared" ca="1" si="8"/>
        <v>0.93547473507100976</v>
      </c>
    </row>
    <row r="21" spans="2:27" x14ac:dyDescent="0.25">
      <c r="B21" s="8" t="s">
        <v>74</v>
      </c>
      <c r="C21" s="21">
        <f t="shared" ca="1" si="0"/>
        <v>0.28185813369624535</v>
      </c>
      <c r="D21" s="21"/>
      <c r="E21" s="21">
        <f t="shared" ca="1" si="5"/>
        <v>6.3401190714066566E-2</v>
      </c>
      <c r="H21" s="21">
        <f t="shared" ca="1" si="6"/>
        <v>0.83659984198781745</v>
      </c>
      <c r="I21" s="21">
        <f t="shared" ca="1" si="7"/>
        <v>0.35193620185706065</v>
      </c>
      <c r="J21" s="21">
        <f t="shared" ca="1" si="8"/>
        <v>0.81351129486104823</v>
      </c>
    </row>
    <row r="22" spans="2:27" x14ac:dyDescent="0.25">
      <c r="B22" s="8" t="s">
        <v>74</v>
      </c>
      <c r="C22" s="21">
        <f t="shared" ca="1" si="0"/>
        <v>0.76500903215369076</v>
      </c>
      <c r="D22" s="21"/>
      <c r="E22" s="21">
        <f t="shared" ca="1" si="5"/>
        <v>0.69949109303110546</v>
      </c>
      <c r="H22" s="21">
        <f t="shared" ca="1" si="6"/>
        <v>0.39405284971724336</v>
      </c>
      <c r="I22" s="21">
        <f t="shared" ca="1" si="7"/>
        <v>5.4321157216846105E-2</v>
      </c>
      <c r="J22" s="21">
        <f t="shared" ca="1" si="8"/>
        <v>0.12727122711752709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82</v>
      </c>
      <c r="C24" s="21">
        <f ca="1">RAND()</f>
        <v>0.20069557293914841</v>
      </c>
      <c r="F24" s="21">
        <f ca="1">RAND()</f>
        <v>0.97445139828726501</v>
      </c>
      <c r="G24" s="23" t="s">
        <v>86</v>
      </c>
      <c r="H24" s="20" t="str">
        <f t="shared" ref="H24:AA24" ca="1" si="9">OFFSET($B$2,MATCH(SMALL($H$3:$H$22,H$27),$H$3:$H$22,0),0)</f>
        <v>Blue</v>
      </c>
      <c r="I24" s="20" t="str">
        <f t="shared" ca="1" si="9"/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>Blue</v>
      </c>
      <c r="M24" s="20" t="str">
        <f t="shared" ca="1" si="9"/>
        <v>Blue</v>
      </c>
      <c r="N24" s="20" t="str">
        <f t="shared" ca="1" si="9"/>
        <v>Orange</v>
      </c>
      <c r="O24" s="20" t="str">
        <f t="shared" ca="1" si="9"/>
        <v>Orange</v>
      </c>
      <c r="P24" s="20" t="str">
        <f t="shared" ca="1" si="9"/>
        <v>Orange</v>
      </c>
      <c r="Q24" s="20" t="str">
        <f t="shared" ca="1" si="9"/>
        <v>Orange</v>
      </c>
      <c r="R24" s="20" t="str">
        <f t="shared" ca="1" si="9"/>
        <v>Blue</v>
      </c>
      <c r="S24" s="20" t="str">
        <f t="shared" ca="1" si="9"/>
        <v>Orange</v>
      </c>
      <c r="T24" s="20" t="str">
        <f t="shared" ca="1" si="9"/>
        <v>Blue</v>
      </c>
      <c r="U24" s="20" t="str">
        <f t="shared" ca="1" si="9"/>
        <v>Blue</v>
      </c>
      <c r="V24" s="20" t="str">
        <f t="shared" ca="1" si="9"/>
        <v>Blue</v>
      </c>
      <c r="W24" s="20" t="str">
        <f t="shared" ca="1" si="9"/>
        <v>Orange</v>
      </c>
      <c r="X24" s="20" t="str">
        <f t="shared" ca="1" si="9"/>
        <v>Orange</v>
      </c>
      <c r="Y24" s="20" t="str">
        <f t="shared" ca="1" si="9"/>
        <v>Orange</v>
      </c>
      <c r="Z24" s="20" t="str">
        <f t="shared" ca="1" si="9"/>
        <v>Orange</v>
      </c>
      <c r="AA24" s="20" t="str">
        <f t="shared" ca="1" si="9"/>
        <v>Orange</v>
      </c>
    </row>
    <row r="25" spans="2:27" x14ac:dyDescent="0.25">
      <c r="B25" s="8" t="s">
        <v>81</v>
      </c>
      <c r="C25" s="21">
        <f ca="1">RAND()</f>
        <v>0.56094030291666108</v>
      </c>
      <c r="F25" s="21">
        <f ca="1">RAND()</f>
        <v>0.58689841580727364</v>
      </c>
      <c r="G25" s="22" t="s">
        <v>85</v>
      </c>
      <c r="H25" s="20" t="str">
        <f t="shared" ref="H25:Q25" ca="1" si="10">OFFSET($B$2,MATCH(SMALL($I$3:$I$22,H$27),$I$3:$I$22,0),0)</f>
        <v>Blue</v>
      </c>
      <c r="I25" s="20" t="str">
        <f t="shared" ca="1" si="10"/>
        <v>Blue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>Blue</v>
      </c>
      <c r="M25" s="20" t="str">
        <f t="shared" ca="1" si="10"/>
        <v>Orange</v>
      </c>
      <c r="N25" s="20" t="str">
        <f t="shared" ca="1" si="10"/>
        <v>Orange</v>
      </c>
      <c r="O25" s="20" t="str">
        <f t="shared" ca="1" si="10"/>
        <v>Orange</v>
      </c>
      <c r="P25" s="20" t="str">
        <f t="shared" ca="1" si="10"/>
        <v>Blue</v>
      </c>
      <c r="Q25" s="20" t="str">
        <f t="shared" ca="1" si="10"/>
        <v>Blue</v>
      </c>
      <c r="R25" s="20" t="str">
        <f t="shared" ref="R25:AA25" ca="1" si="11">OFFSET($B$2,MATCH(SMALL($I$3:$I$22,R$27),$I$3:$I$22,0),0)</f>
        <v>Blue</v>
      </c>
      <c r="S25" s="20" t="str">
        <f t="shared" ca="1" si="11"/>
        <v>Blue</v>
      </c>
      <c r="T25" s="20" t="str">
        <f t="shared" ca="1" si="11"/>
        <v>Orange</v>
      </c>
      <c r="U25" s="20" t="str">
        <f t="shared" ca="1" si="11"/>
        <v>Blue</v>
      </c>
      <c r="V25" s="20" t="str">
        <f t="shared" ca="1" si="11"/>
        <v>Blue</v>
      </c>
      <c r="W25" s="20" t="str">
        <f t="shared" ca="1" si="11"/>
        <v>Orange</v>
      </c>
      <c r="X25" s="20" t="str">
        <f t="shared" ca="1" si="11"/>
        <v>Orange</v>
      </c>
      <c r="Y25" s="20" t="str">
        <f t="shared" ca="1" si="11"/>
        <v>Blue</v>
      </c>
      <c r="Z25" s="20" t="str">
        <f t="shared" ca="1" si="11"/>
        <v>Orange</v>
      </c>
      <c r="AA25" s="20" t="str">
        <f t="shared" ca="1" si="11"/>
        <v>Orange</v>
      </c>
    </row>
    <row r="26" spans="2:27" x14ac:dyDescent="0.25">
      <c r="B26" s="8" t="s">
        <v>80</v>
      </c>
      <c r="C26" s="21">
        <f ca="1">RAND()</f>
        <v>0.50018279173644742</v>
      </c>
      <c r="F26" s="21">
        <f ca="1">RAND()</f>
        <v>0.93852726080492899</v>
      </c>
      <c r="G26" s="19" t="s">
        <v>84</v>
      </c>
      <c r="H26" s="20" t="str">
        <f ca="1">OFFSET($B$2,MATCH(SMALL($J$3:$J$22,H$27),$J$3:$J$22,0),0)</f>
        <v>Blue</v>
      </c>
      <c r="I26" s="20" t="str">
        <f t="shared" ref="I26:AA26" ca="1" si="12">OFFSET($B$2,MATCH(SMALL($J$3:$J$22,I$27),$J$3:$J$22,0),0)</f>
        <v>Blue</v>
      </c>
      <c r="J26" s="20" t="str">
        <f t="shared" ca="1" si="12"/>
        <v>Blue</v>
      </c>
      <c r="K26" s="20" t="str">
        <f t="shared" ca="1" si="12"/>
        <v>Orange</v>
      </c>
      <c r="L26" s="20" t="str">
        <f t="shared" ca="1" si="12"/>
        <v>Blue</v>
      </c>
      <c r="M26" s="20" t="str">
        <f t="shared" ca="1" si="12"/>
        <v>Blue</v>
      </c>
      <c r="N26" s="20" t="str">
        <f t="shared" ca="1" si="12"/>
        <v>Orange</v>
      </c>
      <c r="O26" s="20" t="str">
        <f t="shared" ca="1" si="12"/>
        <v>Blue</v>
      </c>
      <c r="P26" s="20" t="str">
        <f t="shared" ca="1" si="12"/>
        <v>Blue</v>
      </c>
      <c r="Q26" s="20" t="str">
        <f t="shared" ca="1" si="12"/>
        <v>Blue</v>
      </c>
      <c r="R26" s="20" t="str">
        <f t="shared" ca="1" si="12"/>
        <v>Orange</v>
      </c>
      <c r="S26" s="20" t="str">
        <f t="shared" ca="1" si="12"/>
        <v>Orange</v>
      </c>
      <c r="T26" s="20" t="str">
        <f t="shared" ca="1" si="12"/>
        <v>Orange</v>
      </c>
      <c r="U26" s="20" t="str">
        <f t="shared" ca="1" si="12"/>
        <v>Blue</v>
      </c>
      <c r="V26" s="20" t="str">
        <f t="shared" ca="1" si="12"/>
        <v>Orange</v>
      </c>
      <c r="W26" s="20" t="str">
        <f t="shared" ca="1" si="12"/>
        <v>Orange</v>
      </c>
      <c r="X26" s="20" t="str">
        <f t="shared" ca="1" si="12"/>
        <v>Blue</v>
      </c>
      <c r="Y26" s="20" t="str">
        <f t="shared" ca="1" si="12"/>
        <v>Orange</v>
      </c>
      <c r="Z26" s="20" t="str">
        <f t="shared" ca="1" si="12"/>
        <v>Orange</v>
      </c>
      <c r="AA26" s="20" t="str">
        <f t="shared" ca="1" si="12"/>
        <v>Orange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79</v>
      </c>
      <c r="C2" s="24" t="s">
        <v>78</v>
      </c>
      <c r="D2" s="24" t="s">
        <v>77</v>
      </c>
      <c r="E2" s="24" t="s">
        <v>76</v>
      </c>
      <c r="F2" s="8" t="s">
        <v>83</v>
      </c>
      <c r="H2" s="19" t="s">
        <v>86</v>
      </c>
      <c r="I2" s="19" t="s">
        <v>85</v>
      </c>
      <c r="J2" s="18" t="s">
        <v>84</v>
      </c>
    </row>
    <row r="3" spans="2:28" x14ac:dyDescent="0.25">
      <c r="B3" s="8" t="s">
        <v>75</v>
      </c>
      <c r="C3" s="21">
        <f t="shared" ref="C3:C22" ca="1" si="0">RAND()</f>
        <v>0.65012438747800827</v>
      </c>
      <c r="D3" s="21">
        <f t="shared" ref="D3:D12" ca="1" si="1">C3+RAND()*(1-C3)</f>
        <v>0.80223452255353522</v>
      </c>
      <c r="E3" s="21"/>
      <c r="H3" s="21">
        <f t="shared" ref="H3:H12" ca="1" si="2">SUMSQ($C3-$C$24,$D3-$F$24)</f>
        <v>0.68590293916296607</v>
      </c>
      <c r="I3" s="21">
        <f t="shared" ref="I3:I12" ca="1" si="3">SUMSQ($C3-$C$25,$D3-$F$25)</f>
        <v>0.3801553438855238</v>
      </c>
      <c r="J3" s="21">
        <f t="shared" ref="J3:J12" ca="1" si="4">SUMSQ($C3-$C$26,$D3-$F$26)</f>
        <v>0.6059108094813761</v>
      </c>
      <c r="AB3" s="22" t="s">
        <v>87</v>
      </c>
    </row>
    <row r="4" spans="2:28" x14ac:dyDescent="0.25">
      <c r="B4" s="8" t="s">
        <v>75</v>
      </c>
      <c r="C4" s="21">
        <f t="shared" ca="1" si="0"/>
        <v>0.43773898797076694</v>
      </c>
      <c r="D4" s="21">
        <f t="shared" ca="1" si="1"/>
        <v>0.74569483933212588</v>
      </c>
      <c r="E4" s="21"/>
      <c r="H4" s="21">
        <f t="shared" ca="1" si="2"/>
        <v>0.73422010391205106</v>
      </c>
      <c r="I4" s="21">
        <f t="shared" ca="1" si="3"/>
        <v>0.40480598824505848</v>
      </c>
      <c r="J4" s="21">
        <f t="shared" ca="1" si="4"/>
        <v>0.52241254894376377</v>
      </c>
      <c r="AB4" s="26">
        <v>6</v>
      </c>
    </row>
    <row r="5" spans="2:28" x14ac:dyDescent="0.25">
      <c r="B5" s="8" t="s">
        <v>75</v>
      </c>
      <c r="C5" s="21">
        <f t="shared" ca="1" si="0"/>
        <v>0.63920749119071185</v>
      </c>
      <c r="D5" s="21">
        <f t="shared" ca="1" si="1"/>
        <v>0.74108345007824805</v>
      </c>
      <c r="E5" s="21"/>
      <c r="H5" s="21">
        <f t="shared" ca="1" si="2"/>
        <v>0.59653418135525138</v>
      </c>
      <c r="I5" s="21">
        <f t="shared" ca="1" si="3"/>
        <v>0.31204393886368204</v>
      </c>
      <c r="J5" s="21">
        <f t="shared" ca="1" si="4"/>
        <v>0.51314685917778202</v>
      </c>
    </row>
    <row r="6" spans="2:28" x14ac:dyDescent="0.25">
      <c r="B6" s="8" t="s">
        <v>75</v>
      </c>
      <c r="C6" s="21">
        <f t="shared" ca="1" si="0"/>
        <v>0.79951216913403444</v>
      </c>
      <c r="D6" s="21">
        <f t="shared" ca="1" si="1"/>
        <v>0.89240609589685027</v>
      </c>
      <c r="E6" s="21"/>
      <c r="H6" s="21">
        <f t="shared" ca="1" si="2"/>
        <v>0.79701715045686838</v>
      </c>
      <c r="I6" s="21">
        <f t="shared" ca="1" si="3"/>
        <v>0.4884682066804043</v>
      </c>
      <c r="J6" s="21">
        <f t="shared" ca="1" si="4"/>
        <v>0.80681627281276791</v>
      </c>
    </row>
    <row r="7" spans="2:28" x14ac:dyDescent="0.25">
      <c r="B7" s="8" t="s">
        <v>75</v>
      </c>
      <c r="C7" s="21">
        <f t="shared" ca="1" si="0"/>
        <v>0.56302727080878923</v>
      </c>
      <c r="D7" s="21">
        <f t="shared" ca="1" si="1"/>
        <v>0.5803543494276574</v>
      </c>
      <c r="E7" s="21"/>
      <c r="H7" s="21">
        <f t="shared" ca="1" si="2"/>
        <v>0.42469105954102926</v>
      </c>
      <c r="I7" s="21">
        <f t="shared" ca="1" si="3"/>
        <v>0.18590429702344766</v>
      </c>
      <c r="J7" s="21">
        <f t="shared" ca="1" si="4"/>
        <v>0.30217414331319525</v>
      </c>
    </row>
    <row r="8" spans="2:28" x14ac:dyDescent="0.25">
      <c r="B8" s="8" t="s">
        <v>75</v>
      </c>
      <c r="C8" s="21">
        <f t="shared" ca="1" si="0"/>
        <v>0.97209141021139334</v>
      </c>
      <c r="D8" s="21">
        <f t="shared" ca="1" si="1"/>
        <v>0.99216564317302269</v>
      </c>
      <c r="E8" s="21"/>
      <c r="H8" s="21">
        <f t="shared" ca="1" si="2"/>
        <v>0.99243601534174153</v>
      </c>
      <c r="I8" s="21">
        <f t="shared" ca="1" si="3"/>
        <v>0.68235265309341853</v>
      </c>
      <c r="J8" s="21">
        <f t="shared" ca="1" si="4"/>
        <v>1.1062218557754353</v>
      </c>
    </row>
    <row r="9" spans="2:28" x14ac:dyDescent="0.25">
      <c r="B9" s="8" t="s">
        <v>75</v>
      </c>
      <c r="C9" s="21">
        <f t="shared" ca="1" si="0"/>
        <v>0.36441535169028616</v>
      </c>
      <c r="D9" s="21">
        <f t="shared" ca="1" si="1"/>
        <v>0.75516066411695937</v>
      </c>
      <c r="E9" s="21"/>
      <c r="H9" s="21">
        <f t="shared" ca="1" si="2"/>
        <v>0.81616071914296029</v>
      </c>
      <c r="I9" s="21">
        <f t="shared" ca="1" si="3"/>
        <v>0.46739191717376488</v>
      </c>
      <c r="J9" s="21">
        <f t="shared" ca="1" si="4"/>
        <v>0.5571631896328787</v>
      </c>
    </row>
    <row r="10" spans="2:28" x14ac:dyDescent="0.25">
      <c r="B10" s="8" t="s">
        <v>75</v>
      </c>
      <c r="C10" s="21">
        <f t="shared" ca="1" si="0"/>
        <v>2.0416316491008057E-2</v>
      </c>
      <c r="D10" s="21">
        <f t="shared" ca="1" si="1"/>
        <v>0.64703999635281084</v>
      </c>
      <c r="E10" s="21"/>
      <c r="H10" s="21">
        <f t="shared" ca="1" si="2"/>
        <v>1.1264732267961772</v>
      </c>
      <c r="I10" s="21">
        <f t="shared" ca="1" si="3"/>
        <v>0.7457553712135393</v>
      </c>
      <c r="J10" s="21">
        <f t="shared" ca="1" si="4"/>
        <v>0.65493537779861011</v>
      </c>
    </row>
    <row r="11" spans="2:28" x14ac:dyDescent="0.25">
      <c r="B11" s="8" t="s">
        <v>75</v>
      </c>
      <c r="C11" s="21">
        <f t="shared" ca="1" si="0"/>
        <v>0.23907615383823821</v>
      </c>
      <c r="D11" s="21">
        <f t="shared" ca="1" si="1"/>
        <v>0.76525636485245752</v>
      </c>
      <c r="E11" s="21"/>
      <c r="H11" s="21">
        <f t="shared" ca="1" si="2"/>
        <v>0.97221795380443876</v>
      </c>
      <c r="I11" s="21">
        <f t="shared" ca="1" si="3"/>
        <v>0.59271227313034358</v>
      </c>
      <c r="J11" s="21">
        <f t="shared" ca="1" si="4"/>
        <v>0.6329071850725686</v>
      </c>
    </row>
    <row r="12" spans="2:28" x14ac:dyDescent="0.25">
      <c r="B12" s="8" t="s">
        <v>75</v>
      </c>
      <c r="C12" s="21">
        <f t="shared" ca="1" si="0"/>
        <v>0.98059682183370922</v>
      </c>
      <c r="D12" s="21">
        <f t="shared" ca="1" si="1"/>
        <v>0.9946830650480265</v>
      </c>
      <c r="E12" s="21"/>
      <c r="H12" s="21">
        <f t="shared" ca="1" si="2"/>
        <v>0.99935261239605089</v>
      </c>
      <c r="I12" s="21">
        <f t="shared" ca="1" si="3"/>
        <v>0.69011933748449594</v>
      </c>
      <c r="J12" s="21">
        <f t="shared" ca="1" si="4"/>
        <v>1.1184025803812032</v>
      </c>
    </row>
    <row r="13" spans="2:28" x14ac:dyDescent="0.25">
      <c r="B13" s="8" t="s">
        <v>74</v>
      </c>
      <c r="C13" s="21">
        <f t="shared" ca="1" si="0"/>
        <v>0.33723245415306757</v>
      </c>
      <c r="D13" s="21"/>
      <c r="E13" s="21">
        <f t="shared" ref="E13:E22" ca="1" si="5">RAND()*C13</f>
        <v>4.4329546739039903E-2</v>
      </c>
      <c r="H13" s="21">
        <f t="shared" ref="H13:H22" ca="1" si="6">SUMSQ(C13-$C$24,E13-$F$24)</f>
        <v>0.27844830477181204</v>
      </c>
      <c r="I13" s="21">
        <f t="shared" ref="I13:I22" ca="1" si="7">SUMSQ($C13-$C$25,$E13-$F$25)</f>
        <v>0.19813326661067543</v>
      </c>
      <c r="J13" s="21">
        <f t="shared" ref="J13:J22" ca="1" si="8">SUMSQ($C13-$C$26,$E13-$F$26)</f>
        <v>4.3413730562776746E-2</v>
      </c>
    </row>
    <row r="14" spans="2:28" x14ac:dyDescent="0.25">
      <c r="B14" s="8" t="s">
        <v>74</v>
      </c>
      <c r="C14" s="21">
        <f t="shared" ca="1" si="0"/>
        <v>0.57405566958763732</v>
      </c>
      <c r="D14" s="21"/>
      <c r="E14" s="21">
        <f t="shared" ca="1" si="5"/>
        <v>0.27231750557154999</v>
      </c>
      <c r="H14" s="21">
        <f t="shared" ca="1" si="6"/>
        <v>0.15672206908802366</v>
      </c>
      <c r="I14" s="21">
        <f t="shared" ca="1" si="7"/>
        <v>3.9153408187385511E-2</v>
      </c>
      <c r="J14" s="21">
        <f t="shared" ca="1" si="8"/>
        <v>5.9097460201722248E-2</v>
      </c>
    </row>
    <row r="15" spans="2:28" x14ac:dyDescent="0.25">
      <c r="B15" s="8" t="s">
        <v>74</v>
      </c>
      <c r="C15" s="21">
        <f t="shared" ca="1" si="0"/>
        <v>0.7423664075282711</v>
      </c>
      <c r="D15" s="21"/>
      <c r="E15" s="21">
        <f t="shared" ca="1" si="5"/>
        <v>0.21890602296577094</v>
      </c>
      <c r="H15" s="21">
        <f t="shared" ca="1" si="6"/>
        <v>6.1684229579530792E-2</v>
      </c>
      <c r="I15" s="21">
        <f t="shared" ca="1" si="7"/>
        <v>7.6826403623547279E-4</v>
      </c>
      <c r="J15" s="21">
        <f t="shared" ca="1" si="8"/>
        <v>7.4220609379384933E-2</v>
      </c>
    </row>
    <row r="16" spans="2:28" x14ac:dyDescent="0.25">
      <c r="B16" s="8" t="s">
        <v>74</v>
      </c>
      <c r="C16" s="21">
        <f t="shared" ca="1" si="0"/>
        <v>0.39580947261602883</v>
      </c>
      <c r="D16" s="21"/>
      <c r="E16" s="21">
        <f t="shared" ca="1" si="5"/>
        <v>0.13378296698557521</v>
      </c>
      <c r="H16" s="21">
        <f t="shared" ca="1" si="6"/>
        <v>0.23584816825388608</v>
      </c>
      <c r="I16" s="21">
        <f t="shared" ca="1" si="7"/>
        <v>0.1335617192329511</v>
      </c>
      <c r="J16" s="21">
        <f t="shared" ca="1" si="8"/>
        <v>3.2882478376191432E-2</v>
      </c>
    </row>
    <row r="17" spans="2:27" x14ac:dyDescent="0.25">
      <c r="B17" s="8" t="s">
        <v>74</v>
      </c>
      <c r="C17" s="21">
        <f t="shared" ca="1" si="0"/>
        <v>0.44320322862704553</v>
      </c>
      <c r="D17" s="21"/>
      <c r="E17" s="21">
        <f t="shared" ca="1" si="5"/>
        <v>0.1255631845701515</v>
      </c>
      <c r="H17" s="21">
        <f t="shared" ca="1" si="6"/>
        <v>0.19169066346639238</v>
      </c>
      <c r="I17" s="21">
        <f t="shared" ca="1" si="7"/>
        <v>0.10272521928801273</v>
      </c>
      <c r="J17" s="21">
        <f t="shared" ca="1" si="8"/>
        <v>1.9348830153396362E-2</v>
      </c>
    </row>
    <row r="18" spans="2:27" x14ac:dyDescent="0.25">
      <c r="B18" s="8" t="s">
        <v>74</v>
      </c>
      <c r="C18" s="21">
        <f t="shared" ca="1" si="0"/>
        <v>0.12241179526906032</v>
      </c>
      <c r="D18" s="21"/>
      <c r="E18" s="21">
        <f t="shared" ca="1" si="5"/>
        <v>9.9230360630162051E-2</v>
      </c>
      <c r="H18" s="21">
        <f t="shared" ca="1" si="6"/>
        <v>0.55824733259827641</v>
      </c>
      <c r="I18" s="21">
        <f t="shared" ca="1" si="7"/>
        <v>0.41074482008248137</v>
      </c>
      <c r="J18" s="21">
        <f t="shared" ca="1" si="8"/>
        <v>0.18338072245054746</v>
      </c>
    </row>
    <row r="19" spans="2:27" x14ac:dyDescent="0.25">
      <c r="B19" s="8" t="s">
        <v>74</v>
      </c>
      <c r="C19" s="21">
        <f t="shared" ca="1" si="0"/>
        <v>0.48828235380248641</v>
      </c>
      <c r="D19" s="21"/>
      <c r="E19" s="21">
        <f t="shared" ca="1" si="5"/>
        <v>0.4870016208002575</v>
      </c>
      <c r="H19" s="21">
        <f t="shared" ca="1" si="6"/>
        <v>0.37587024459785989</v>
      </c>
      <c r="I19" s="21">
        <f t="shared" ca="1" si="7"/>
        <v>0.15709708333077971</v>
      </c>
      <c r="J19" s="21">
        <f t="shared" ca="1" si="8"/>
        <v>0.21122646509836801</v>
      </c>
    </row>
    <row r="20" spans="2:27" x14ac:dyDescent="0.25">
      <c r="B20" s="8" t="s">
        <v>74</v>
      </c>
      <c r="C20" s="21">
        <f t="shared" ca="1" si="0"/>
        <v>0.20705265136883233</v>
      </c>
      <c r="D20" s="21"/>
      <c r="E20" s="21">
        <f t="shared" ca="1" si="5"/>
        <v>0.14837416637810547</v>
      </c>
      <c r="H20" s="21">
        <f t="shared" ca="1" si="6"/>
        <v>0.45198741734157527</v>
      </c>
      <c r="I20" s="21">
        <f t="shared" ca="1" si="7"/>
        <v>0.30364858604726169</v>
      </c>
      <c r="J20" s="21">
        <f t="shared" ca="1" si="8"/>
        <v>0.12810811215035134</v>
      </c>
    </row>
    <row r="21" spans="2:27" x14ac:dyDescent="0.25">
      <c r="B21" s="8" t="s">
        <v>74</v>
      </c>
      <c r="C21" s="21">
        <f t="shared" ca="1" si="0"/>
        <v>7.8219681249932282E-2</v>
      </c>
      <c r="D21" s="21"/>
      <c r="E21" s="21">
        <f t="shared" ca="1" si="5"/>
        <v>5.3386583402510818E-2</v>
      </c>
      <c r="H21" s="21">
        <f t="shared" ca="1" si="6"/>
        <v>0.61885473682666825</v>
      </c>
      <c r="I21" s="21">
        <f t="shared" ca="1" si="7"/>
        <v>0.47957733821186138</v>
      </c>
      <c r="J21" s="21">
        <f t="shared" ca="1" si="8"/>
        <v>0.21853844321593952</v>
      </c>
    </row>
    <row r="22" spans="2:27" x14ac:dyDescent="0.25">
      <c r="B22" s="8" t="s">
        <v>74</v>
      </c>
      <c r="C22" s="21">
        <f t="shared" ca="1" si="0"/>
        <v>0.80972378983352256</v>
      </c>
      <c r="D22" s="21"/>
      <c r="E22" s="21">
        <f t="shared" ca="1" si="5"/>
        <v>0.76510670314277096</v>
      </c>
      <c r="H22" s="21">
        <f t="shared" ca="1" si="6"/>
        <v>0.58530979537631611</v>
      </c>
      <c r="I22" s="21">
        <f t="shared" ca="1" si="7"/>
        <v>0.3280662894267794</v>
      </c>
      <c r="J22" s="21">
        <f t="shared" ca="1" si="8"/>
        <v>0.60899240041482372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82</v>
      </c>
      <c r="C24" s="21">
        <f ca="1">RAND()</f>
        <v>0.86320773419467689</v>
      </c>
      <c r="F24" s="21">
        <f ca="1">RAND()</f>
        <v>1.9230666096695659E-3</v>
      </c>
      <c r="G24" s="23" t="s">
        <v>86</v>
      </c>
      <c r="H24" s="20" t="str">
        <f t="shared" ref="H24:AA24" ca="1" si="9">IF(H27&lt;=k,OFFSET($B$2,MATCH(SMALL($H$3:$H$22,H$27),$H$3:$H$22,0),0),"")</f>
        <v>Orange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81</v>
      </c>
      <c r="C25" s="21">
        <f ca="1">RAND()</f>
        <v>0.75613252711785228</v>
      </c>
      <c r="F25" s="21">
        <f ca="1">RAND()</f>
        <v>0.19484863350471715</v>
      </c>
      <c r="G25" s="22" t="s">
        <v>85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>Orange</v>
      </c>
      <c r="M25" s="20" t="str">
        <f t="shared" ca="1" si="10"/>
        <v>Blue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80</v>
      </c>
      <c r="C26" s="21">
        <f ca="1">RAND()</f>
        <v>0.54516147840786966</v>
      </c>
      <c r="F26" s="21">
        <f ca="1">RAND()</f>
        <v>3.0941065300778559E-2</v>
      </c>
      <c r="G26" s="19" t="s">
        <v>84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>Orange</v>
      </c>
      <c r="M26" s="20" t="str">
        <f t="shared" ca="1" si="11"/>
        <v>Orange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>
      <selection activeCell="AB24" sqref="AB24"/>
    </sheetView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79</v>
      </c>
      <c r="C2" s="24" t="s">
        <v>78</v>
      </c>
      <c r="D2" s="24" t="s">
        <v>77</v>
      </c>
      <c r="E2" s="24" t="s">
        <v>76</v>
      </c>
      <c r="F2" s="8" t="s">
        <v>83</v>
      </c>
      <c r="H2" s="19" t="s">
        <v>86</v>
      </c>
      <c r="I2" s="19" t="s">
        <v>85</v>
      </c>
      <c r="J2" s="18" t="s">
        <v>84</v>
      </c>
    </row>
    <row r="3" spans="2:28" x14ac:dyDescent="0.25">
      <c r="B3" s="8" t="s">
        <v>75</v>
      </c>
      <c r="C3" s="21">
        <f t="shared" ref="C3:C22" ca="1" si="0">RAND()</f>
        <v>0.59376894292795213</v>
      </c>
      <c r="D3" s="21">
        <f t="shared" ref="D3:D12" ca="1" si="1">C3+RAND()*(1-C3)</f>
        <v>0.91319944947755638</v>
      </c>
      <c r="E3" s="21"/>
      <c r="H3" s="21">
        <f t="shared" ref="H3:H12" ca="1" si="2">SUMSQ($C3-$C$24,$D3-$F$24)</f>
        <v>0.42542644754444919</v>
      </c>
      <c r="I3" s="21">
        <f t="shared" ref="I3:I12" ca="1" si="3">SUMSQ($C3-$C$25,$D3-$F$25)</f>
        <v>7.8320618954391658E-2</v>
      </c>
      <c r="J3" s="21">
        <f t="shared" ref="J3:J12" ca="1" si="4">SUMSQ($C3-$C$26,$D3-$F$26)</f>
        <v>0.16018912306008576</v>
      </c>
      <c r="AB3" s="22" t="s">
        <v>87</v>
      </c>
    </row>
    <row r="4" spans="2:28" x14ac:dyDescent="0.25">
      <c r="B4" s="8" t="s">
        <v>75</v>
      </c>
      <c r="C4" s="21">
        <f t="shared" ca="1" si="0"/>
        <v>0.55338550295928779</v>
      </c>
      <c r="D4" s="21">
        <f t="shared" ca="1" si="1"/>
        <v>0.84505752896130848</v>
      </c>
      <c r="E4" s="21"/>
      <c r="H4" s="21">
        <f t="shared" ca="1" si="2"/>
        <v>0.33338033104116493</v>
      </c>
      <c r="I4" s="21">
        <f t="shared" ca="1" si="3"/>
        <v>4.6976726361071447E-2</v>
      </c>
      <c r="J4" s="21">
        <f t="shared" ca="1" si="4"/>
        <v>0.12099072279924664</v>
      </c>
      <c r="AB4" s="26">
        <v>4</v>
      </c>
    </row>
    <row r="5" spans="2:28" x14ac:dyDescent="0.25">
      <c r="B5" s="8" t="s">
        <v>75</v>
      </c>
      <c r="C5" s="21">
        <f t="shared" ca="1" si="0"/>
        <v>0.61712178064066803</v>
      </c>
      <c r="D5" s="21">
        <f t="shared" ca="1" si="1"/>
        <v>0.864214077307075</v>
      </c>
      <c r="E5" s="21"/>
      <c r="H5" s="21">
        <f t="shared" ca="1" si="2"/>
        <v>0.37276224061113361</v>
      </c>
      <c r="I5" s="21">
        <f t="shared" ca="1" si="3"/>
        <v>5.3558405040146966E-2</v>
      </c>
      <c r="J5" s="21">
        <f t="shared" ca="1" si="4"/>
        <v>0.17091553523903547</v>
      </c>
    </row>
    <row r="6" spans="2:28" x14ac:dyDescent="0.25">
      <c r="B6" s="8" t="s">
        <v>75</v>
      </c>
      <c r="C6" s="21">
        <f t="shared" ca="1" si="0"/>
        <v>0.67446058658984176</v>
      </c>
      <c r="D6" s="21">
        <f t="shared" ca="1" si="1"/>
        <v>0.86171033173176814</v>
      </c>
      <c r="E6" s="21"/>
      <c r="H6" s="21">
        <f t="shared" ca="1" si="2"/>
        <v>0.39229018485620715</v>
      </c>
      <c r="I6" s="21">
        <f t="shared" ca="1" si="3"/>
        <v>5.7647307184949953E-2</v>
      </c>
      <c r="J6" s="21">
        <f t="shared" ca="1" si="4"/>
        <v>0.2209073756175923</v>
      </c>
    </row>
    <row r="7" spans="2:28" x14ac:dyDescent="0.25">
      <c r="B7" s="8" t="s">
        <v>75</v>
      </c>
      <c r="C7" s="21">
        <f t="shared" ca="1" si="0"/>
        <v>0.42372495641686692</v>
      </c>
      <c r="D7" s="21">
        <f t="shared" ca="1" si="1"/>
        <v>0.5336427935300333</v>
      </c>
      <c r="E7" s="21"/>
      <c r="H7" s="21">
        <f t="shared" ca="1" si="2"/>
        <v>6.6545263433407345E-2</v>
      </c>
      <c r="I7" s="21">
        <f t="shared" ca="1" si="3"/>
        <v>4.1066548431617389E-2</v>
      </c>
      <c r="J7" s="21">
        <f t="shared" ca="1" si="4"/>
        <v>0.12229237057138154</v>
      </c>
    </row>
    <row r="8" spans="2:28" x14ac:dyDescent="0.25">
      <c r="B8" s="8" t="s">
        <v>75</v>
      </c>
      <c r="C8" s="21">
        <f t="shared" ca="1" si="0"/>
        <v>9.0000469857864362E-2</v>
      </c>
      <c r="D8" s="21">
        <f t="shared" ca="1" si="1"/>
        <v>0.30490238686054727</v>
      </c>
      <c r="E8" s="21"/>
      <c r="H8" s="21">
        <f t="shared" ca="1" si="2"/>
        <v>0.13031964614904137</v>
      </c>
      <c r="I8" s="21">
        <f t="shared" ca="1" si="3"/>
        <v>0.36813319524510879</v>
      </c>
      <c r="J8" s="21">
        <f t="shared" ca="1" si="4"/>
        <v>0.26738059959790833</v>
      </c>
    </row>
    <row r="9" spans="2:28" x14ac:dyDescent="0.25">
      <c r="B9" s="8" t="s">
        <v>75</v>
      </c>
      <c r="C9" s="21">
        <f t="shared" ca="1" si="0"/>
        <v>0.89646232996135555</v>
      </c>
      <c r="D9" s="21">
        <f t="shared" ca="1" si="1"/>
        <v>0.95448461131589701</v>
      </c>
      <c r="E9" s="21"/>
      <c r="H9" s="21">
        <f t="shared" ca="1" si="2"/>
        <v>0.65836883251491618</v>
      </c>
      <c r="I9" s="21">
        <f t="shared" ca="1" si="3"/>
        <v>0.19091034748463817</v>
      </c>
      <c r="J9" s="21">
        <f t="shared" ca="1" si="4"/>
        <v>0.4960199250407849</v>
      </c>
    </row>
    <row r="10" spans="2:28" x14ac:dyDescent="0.25">
      <c r="B10" s="8" t="s">
        <v>75</v>
      </c>
      <c r="C10" s="21">
        <f t="shared" ca="1" si="0"/>
        <v>0.87642725692615342</v>
      </c>
      <c r="D10" s="21">
        <f t="shared" ca="1" si="1"/>
        <v>0.99796061205380482</v>
      </c>
      <c r="E10" s="21"/>
      <c r="H10" s="21">
        <f t="shared" ca="1" si="2"/>
        <v>0.70167492321967795</v>
      </c>
      <c r="I10" s="21">
        <f t="shared" ca="1" si="3"/>
        <v>0.20924492537186465</v>
      </c>
      <c r="J10" s="21">
        <f t="shared" ca="1" si="4"/>
        <v>0.48340011113939391</v>
      </c>
    </row>
    <row r="11" spans="2:28" x14ac:dyDescent="0.25">
      <c r="B11" s="8" t="s">
        <v>75</v>
      </c>
      <c r="C11" s="21">
        <f t="shared" ca="1" si="0"/>
        <v>0.15117392102062177</v>
      </c>
      <c r="D11" s="21">
        <f t="shared" ca="1" si="1"/>
        <v>0.75923403097928754</v>
      </c>
      <c r="E11" s="21"/>
      <c r="H11" s="21">
        <f t="shared" ca="1" si="2"/>
        <v>0.32178659343899163</v>
      </c>
      <c r="I11" s="21">
        <f t="shared" ca="1" si="3"/>
        <v>0.21737639590322727</v>
      </c>
      <c r="J11" s="21">
        <f t="shared" ca="1" si="4"/>
        <v>5.5942573045072953E-3</v>
      </c>
    </row>
    <row r="12" spans="2:28" x14ac:dyDescent="0.25">
      <c r="B12" s="8" t="s">
        <v>75</v>
      </c>
      <c r="C12" s="21">
        <f t="shared" ca="1" si="0"/>
        <v>0.85848177240379397</v>
      </c>
      <c r="D12" s="21">
        <f t="shared" ca="1" si="1"/>
        <v>0.97500801070896559</v>
      </c>
      <c r="E12" s="21"/>
      <c r="H12" s="21">
        <f t="shared" ca="1" si="2"/>
        <v>0.65412074469371229</v>
      </c>
      <c r="I12" s="21">
        <f t="shared" ca="1" si="3"/>
        <v>0.18344194336468558</v>
      </c>
      <c r="J12" s="21">
        <f t="shared" ca="1" si="4"/>
        <v>0.45154109813904536</v>
      </c>
    </row>
    <row r="13" spans="2:28" x14ac:dyDescent="0.25">
      <c r="B13" s="8" t="s">
        <v>74</v>
      </c>
      <c r="C13" s="21">
        <f t="shared" ca="1" si="0"/>
        <v>0.6351956632113186</v>
      </c>
      <c r="D13" s="21"/>
      <c r="E13" s="21">
        <f t="shared" ref="E13:E22" ca="1" si="5">RAND()*C13</f>
        <v>0.37945319990701654</v>
      </c>
      <c r="H13" s="21">
        <f t="shared" ref="H13:H22" ca="1" si="6">SUMSQ(C13-$C$24,E13-$F$24)</f>
        <v>4.4821303974073912E-2</v>
      </c>
      <c r="I13" s="21">
        <f t="shared" ref="I13:I22" ca="1" si="7">SUMSQ($C13-$C$25,$E13-$F$25)</f>
        <v>6.5726503060298022E-2</v>
      </c>
      <c r="J13" s="21">
        <f t="shared" ref="J13:J22" ca="1" si="8">SUMSQ($C13-$C$26,$E13-$F$26)</f>
        <v>0.36699724435936876</v>
      </c>
    </row>
    <row r="14" spans="2:28" x14ac:dyDescent="0.25">
      <c r="B14" s="8" t="s">
        <v>74</v>
      </c>
      <c r="C14" s="21">
        <f t="shared" ca="1" si="0"/>
        <v>0.74704824949106152</v>
      </c>
      <c r="D14" s="21"/>
      <c r="E14" s="21">
        <f t="shared" ca="1" si="5"/>
        <v>0.74406768364885933</v>
      </c>
      <c r="H14" s="21">
        <f t="shared" ca="1" si="6"/>
        <v>0.30642595280369961</v>
      </c>
      <c r="I14" s="21">
        <f t="shared" ca="1" si="7"/>
        <v>3.3834658826858897E-2</v>
      </c>
      <c r="J14" s="21">
        <f t="shared" ca="1" si="8"/>
        <v>0.29528365967207743</v>
      </c>
    </row>
    <row r="15" spans="2:28" x14ac:dyDescent="0.25">
      <c r="B15" s="8" t="s">
        <v>74</v>
      </c>
      <c r="C15" s="21">
        <f t="shared" ca="1" si="0"/>
        <v>0.77978062057181841</v>
      </c>
      <c r="D15" s="21"/>
      <c r="E15" s="21">
        <f t="shared" ca="1" si="5"/>
        <v>0.67622436068982217</v>
      </c>
      <c r="H15" s="21">
        <f t="shared" ca="1" si="6"/>
        <v>0.26817837592785915</v>
      </c>
      <c r="I15" s="21">
        <f t="shared" ca="1" si="7"/>
        <v>3.4113575002821278E-2</v>
      </c>
      <c r="J15" s="21">
        <f t="shared" ca="1" si="8"/>
        <v>0.34501905330139376</v>
      </c>
    </row>
    <row r="16" spans="2:28" x14ac:dyDescent="0.25">
      <c r="B16" s="8" t="s">
        <v>74</v>
      </c>
      <c r="C16" s="21">
        <f t="shared" ca="1" si="0"/>
        <v>0.5634852402038818</v>
      </c>
      <c r="D16" s="21"/>
      <c r="E16" s="21">
        <f t="shared" ca="1" si="5"/>
        <v>0.44583009661578887</v>
      </c>
      <c r="H16" s="21">
        <f t="shared" ca="1" si="6"/>
        <v>4.1396525767642744E-2</v>
      </c>
      <c r="I16" s="21">
        <f t="shared" ca="1" si="7"/>
        <v>3.6528922919235436E-2</v>
      </c>
      <c r="J16" s="21">
        <f t="shared" ca="1" si="8"/>
        <v>0.25824837256020694</v>
      </c>
    </row>
    <row r="17" spans="2:28" x14ac:dyDescent="0.25">
      <c r="B17" s="8" t="s">
        <v>74</v>
      </c>
      <c r="C17" s="21">
        <f t="shared" ca="1" si="0"/>
        <v>0.1648918018230473</v>
      </c>
      <c r="D17" s="21"/>
      <c r="E17" s="21">
        <f t="shared" ca="1" si="5"/>
        <v>0.14860262482777878</v>
      </c>
      <c r="H17" s="21">
        <f t="shared" ca="1" si="6"/>
        <v>9.7729960627344556E-2</v>
      </c>
      <c r="I17" s="21">
        <f t="shared" ca="1" si="7"/>
        <v>0.42445794484467886</v>
      </c>
      <c r="J17" s="21">
        <f t="shared" ca="1" si="8"/>
        <v>0.43723761242732206</v>
      </c>
    </row>
    <row r="18" spans="2:28" x14ac:dyDescent="0.25">
      <c r="B18" s="8" t="s">
        <v>74</v>
      </c>
      <c r="C18" s="21">
        <f t="shared" ca="1" si="0"/>
        <v>0.38368642563254829</v>
      </c>
      <c r="D18" s="21"/>
      <c r="E18" s="21">
        <f t="shared" ca="1" si="5"/>
        <v>0.10175962381657581</v>
      </c>
      <c r="H18" s="21">
        <f t="shared" ca="1" si="6"/>
        <v>3.5100411199815662E-2</v>
      </c>
      <c r="I18" s="21">
        <f t="shared" ca="1" si="7"/>
        <v>0.32949553005202153</v>
      </c>
      <c r="J18" s="21">
        <f t="shared" ca="1" si="8"/>
        <v>0.53048799003423575</v>
      </c>
    </row>
    <row r="19" spans="2:28" x14ac:dyDescent="0.25">
      <c r="B19" s="8" t="s">
        <v>74</v>
      </c>
      <c r="C19" s="21">
        <f t="shared" ca="1" si="0"/>
        <v>0.60596102637164317</v>
      </c>
      <c r="D19" s="21"/>
      <c r="E19" s="21">
        <f t="shared" ca="1" si="5"/>
        <v>8.084726793697096E-2</v>
      </c>
      <c r="H19" s="21">
        <f t="shared" ca="1" si="6"/>
        <v>6.2829719864441108E-2</v>
      </c>
      <c r="I19" s="21">
        <f t="shared" ca="1" si="7"/>
        <v>0.30536324446557445</v>
      </c>
      <c r="J19" s="21">
        <f t="shared" ca="1" si="8"/>
        <v>0.68822257357641869</v>
      </c>
    </row>
    <row r="20" spans="2:28" x14ac:dyDescent="0.25">
      <c r="B20" s="8" t="s">
        <v>74</v>
      </c>
      <c r="C20" s="21">
        <f t="shared" ca="1" si="0"/>
        <v>0.76253136445724956</v>
      </c>
      <c r="D20" s="21"/>
      <c r="E20" s="21">
        <f t="shared" ca="1" si="5"/>
        <v>0.52531470994662144</v>
      </c>
      <c r="H20" s="21">
        <f t="shared" ca="1" si="6"/>
        <v>0.15938007997967191</v>
      </c>
      <c r="I20" s="21">
        <f t="shared" ca="1" si="7"/>
        <v>3.8065283214157516E-2</v>
      </c>
      <c r="J20" s="21">
        <f t="shared" ca="1" si="8"/>
        <v>0.38826079836694072</v>
      </c>
    </row>
    <row r="21" spans="2:28" x14ac:dyDescent="0.25">
      <c r="B21" s="8" t="s">
        <v>74</v>
      </c>
      <c r="C21" s="21">
        <f t="shared" ca="1" si="0"/>
        <v>0.29241711845407781</v>
      </c>
      <c r="D21" s="21"/>
      <c r="E21" s="21">
        <f t="shared" ca="1" si="5"/>
        <v>7.4120470445226641E-2</v>
      </c>
      <c r="H21" s="21">
        <f t="shared" ca="1" si="6"/>
        <v>6.5972220327513764E-2</v>
      </c>
      <c r="I21" s="21">
        <f t="shared" ca="1" si="7"/>
        <v>0.40748448952632704</v>
      </c>
      <c r="J21" s="21">
        <f t="shared" ca="1" si="8"/>
        <v>0.54648286547538028</v>
      </c>
    </row>
    <row r="22" spans="2:28" x14ac:dyDescent="0.25">
      <c r="B22" s="8" t="s">
        <v>74</v>
      </c>
      <c r="C22" s="21">
        <f t="shared" ca="1" si="0"/>
        <v>0.5263107031094344</v>
      </c>
      <c r="D22" s="21"/>
      <c r="E22" s="21">
        <f t="shared" ca="1" si="5"/>
        <v>0.24767879714569885</v>
      </c>
      <c r="H22" s="21">
        <f t="shared" ca="1" si="6"/>
        <v>6.6960629418927097E-3</v>
      </c>
      <c r="I22" s="21">
        <f t="shared" ca="1" si="7"/>
        <v>0.15423762508262612</v>
      </c>
      <c r="J22" s="21">
        <f t="shared" ca="1" si="8"/>
        <v>0.4161403043809066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82</v>
      </c>
      <c r="C24" s="21">
        <f ca="1">RAND()</f>
        <v>0.44991962869932989</v>
      </c>
      <c r="F24" s="21">
        <f ca="1">RAND()</f>
        <v>0.27701250970245828</v>
      </c>
      <c r="G24" s="23" t="s">
        <v>86</v>
      </c>
      <c r="H24" s="20" t="str">
        <f ca="1">IF(H27&lt;=k,OFFSET($B$2,MATCH(SMALL($H$3:$H$22,H$27),$H$3:$H$22,0),0),"")</f>
        <v>Orange</v>
      </c>
      <c r="I24" s="20" t="str">
        <f t="shared" ref="I24:AA24" ca="1" si="9">IF(I27&lt;=k,OFFSET($B$2,MATCH(SMALL($H$3:$H$22,I$27),$H$3:$H$22,0),0),"")</f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Orange</v>
      </c>
    </row>
    <row r="25" spans="2:28" x14ac:dyDescent="0.25">
      <c r="B25" s="8" t="s">
        <v>81</v>
      </c>
      <c r="C25" s="21">
        <f ca="1">RAND()</f>
        <v>0.60011210986202601</v>
      </c>
      <c r="F25" s="21">
        <f ca="1">RAND()</f>
        <v>0.63341313246466502</v>
      </c>
      <c r="G25" s="22" t="s">
        <v>85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80</v>
      </c>
      <c r="C26" s="21">
        <f ca="1">RAND()</f>
        <v>0.20747796557956011</v>
      </c>
      <c r="F26" s="21">
        <f ca="1">RAND()</f>
        <v>0.8084693015768214</v>
      </c>
      <c r="G26" s="19" t="s">
        <v>84</v>
      </c>
      <c r="H26" s="20" t="str">
        <f t="shared" ref="H26:AA26" ca="1" si="11">IF(H27&lt;=k,OFFSET($B$2,MATCH(SMALL($J$3:$J$22,H$27),$J$3:$J$22,0),0),"")</f>
        <v>Blue</v>
      </c>
      <c r="I26" s="20" t="str">
        <f t="shared" ca="1" si="11"/>
        <v>Blue</v>
      </c>
      <c r="J26" s="20" t="str">
        <f t="shared" ca="1" si="11"/>
        <v>Blue</v>
      </c>
      <c r="K26" s="20" t="str">
        <f t="shared" ca="1" si="11"/>
        <v>Blue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98B1-EC95-7443-AF9F-02D1D7B5F523}">
  <sheetPr codeName="Sheet12"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20</v>
      </c>
    </row>
  </sheetData>
  <hyperlinks>
    <hyperlink ref="B2" r:id="rId1" xr:uid="{CA93D91C-34F8-2546-BDB0-17415129BFBA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68</v>
      </c>
    </row>
    <row r="2" spans="1:1" x14ac:dyDescent="0.3">
      <c r="A2" s="1" t="s">
        <v>69</v>
      </c>
    </row>
    <row r="3" spans="1:1" x14ac:dyDescent="0.3">
      <c r="A3" s="1" t="s">
        <v>70</v>
      </c>
    </row>
    <row r="4" spans="1:1" x14ac:dyDescent="0.3">
      <c r="A4" s="1" t="s">
        <v>71</v>
      </c>
    </row>
    <row r="5" spans="1:1" x14ac:dyDescent="0.3">
      <c r="A5" s="1" t="s">
        <v>72</v>
      </c>
    </row>
    <row r="6" spans="1:1" x14ac:dyDescent="0.3">
      <c r="A6" s="1" t="s">
        <v>59</v>
      </c>
    </row>
    <row r="7" spans="1:1" x14ac:dyDescent="0.3">
      <c r="A7" s="1" t="s">
        <v>57</v>
      </c>
    </row>
    <row r="8" spans="1:1" x14ac:dyDescent="0.3">
      <c r="A8" s="1" t="s">
        <v>55</v>
      </c>
    </row>
    <row r="9" spans="1:1" x14ac:dyDescent="0.3">
      <c r="A9" s="1" t="s">
        <v>53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29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63</v>
      </c>
      <c r="C2" s="14" t="s">
        <v>62</v>
      </c>
    </row>
    <row r="3" spans="2:3" x14ac:dyDescent="0.3">
      <c r="B3" s="10" t="s">
        <v>61</v>
      </c>
      <c r="C3" s="14" t="s">
        <v>60</v>
      </c>
    </row>
    <row r="4" spans="2:3" x14ac:dyDescent="0.3">
      <c r="B4" s="10" t="s">
        <v>59</v>
      </c>
      <c r="C4" s="14" t="s">
        <v>58</v>
      </c>
    </row>
    <row r="5" spans="2:3" x14ac:dyDescent="0.3">
      <c r="B5" s="10" t="s">
        <v>57</v>
      </c>
      <c r="C5" s="14" t="s">
        <v>56</v>
      </c>
    </row>
    <row r="6" spans="2:3" x14ac:dyDescent="0.3">
      <c r="B6" s="10" t="s">
        <v>55</v>
      </c>
      <c r="C6" s="14" t="s">
        <v>54</v>
      </c>
    </row>
    <row r="7" spans="2:3" x14ac:dyDescent="0.3">
      <c r="B7" s="10" t="s">
        <v>53</v>
      </c>
      <c r="C7" s="14" t="s">
        <v>52</v>
      </c>
    </row>
    <row r="8" spans="2:3" x14ac:dyDescent="0.3">
      <c r="B8" s="10" t="s">
        <v>51</v>
      </c>
      <c r="C8" s="14" t="s">
        <v>50</v>
      </c>
    </row>
    <row r="9" spans="2:3" x14ac:dyDescent="0.3">
      <c r="B9" s="10" t="s">
        <v>49</v>
      </c>
      <c r="C9" s="14" t="s">
        <v>48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00206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37</v>
      </c>
    </row>
    <row r="3" spans="2:5" x14ac:dyDescent="0.25">
      <c r="B3" s="9" t="s">
        <v>41</v>
      </c>
      <c r="C3" s="9"/>
    </row>
    <row r="4" spans="2:5" x14ac:dyDescent="0.25">
      <c r="B4" s="8" t="s">
        <v>38</v>
      </c>
    </row>
    <row r="5" spans="2:5" x14ac:dyDescent="0.25">
      <c r="B5" s="8" t="s">
        <v>39</v>
      </c>
    </row>
    <row r="7" spans="2:5" x14ac:dyDescent="0.25">
      <c r="B7" s="11" t="s">
        <v>33</v>
      </c>
      <c r="C7" s="11" t="s">
        <v>34</v>
      </c>
      <c r="E7" s="11" t="s">
        <v>37</v>
      </c>
    </row>
    <row r="8" spans="2:5" x14ac:dyDescent="0.25">
      <c r="B8" s="8" t="s">
        <v>35</v>
      </c>
      <c r="C8" s="8" t="s">
        <v>35</v>
      </c>
      <c r="E8" s="8" cm="1">
        <f t="array" ref="E8">SUM((B8:B27=C8:C27)*(C8:C27="Sick"))/SUM((C8:C27="Sick")*1)</f>
        <v>0.66666666666666663</v>
      </c>
    </row>
    <row r="9" spans="2:5" x14ac:dyDescent="0.25">
      <c r="B9" s="8" t="s">
        <v>36</v>
      </c>
      <c r="C9" s="8" t="s">
        <v>35</v>
      </c>
    </row>
    <row r="10" spans="2:5" x14ac:dyDescent="0.25">
      <c r="B10" s="8" t="s">
        <v>36</v>
      </c>
      <c r="C10" s="8" t="s">
        <v>35</v>
      </c>
    </row>
    <row r="11" spans="2:5" x14ac:dyDescent="0.25">
      <c r="B11" s="8" t="s">
        <v>36</v>
      </c>
      <c r="C11" s="8" t="s">
        <v>36</v>
      </c>
    </row>
    <row r="12" spans="2:5" x14ac:dyDescent="0.25">
      <c r="B12" s="8" t="s">
        <v>35</v>
      </c>
      <c r="C12" s="8" t="s">
        <v>36</v>
      </c>
    </row>
    <row r="13" spans="2:5" x14ac:dyDescent="0.25">
      <c r="B13" s="8" t="s">
        <v>36</v>
      </c>
      <c r="C13" s="8" t="s">
        <v>36</v>
      </c>
    </row>
    <row r="14" spans="2:5" x14ac:dyDescent="0.25">
      <c r="B14" s="8" t="s">
        <v>35</v>
      </c>
      <c r="C14" s="8" t="s">
        <v>35</v>
      </c>
    </row>
    <row r="15" spans="2:5" x14ac:dyDescent="0.25">
      <c r="B15" s="8" t="s">
        <v>36</v>
      </c>
      <c r="C15" s="8" t="s">
        <v>36</v>
      </c>
    </row>
    <row r="16" spans="2:5" x14ac:dyDescent="0.25">
      <c r="B16" s="8" t="s">
        <v>35</v>
      </c>
      <c r="C16" s="8" t="s">
        <v>35</v>
      </c>
    </row>
    <row r="17" spans="2:3" x14ac:dyDescent="0.25">
      <c r="B17" s="8" t="s">
        <v>36</v>
      </c>
      <c r="C17" s="8" t="s">
        <v>35</v>
      </c>
    </row>
    <row r="18" spans="2:3" x14ac:dyDescent="0.25">
      <c r="B18" s="8" t="s">
        <v>35</v>
      </c>
      <c r="C18" s="8" t="s">
        <v>35</v>
      </c>
    </row>
    <row r="19" spans="2:3" x14ac:dyDescent="0.25">
      <c r="B19" s="8" t="s">
        <v>35</v>
      </c>
      <c r="C19" s="8" t="s">
        <v>35</v>
      </c>
    </row>
    <row r="20" spans="2:3" x14ac:dyDescent="0.25">
      <c r="B20" s="8" t="s">
        <v>35</v>
      </c>
      <c r="C20" s="8" t="s">
        <v>36</v>
      </c>
    </row>
    <row r="21" spans="2:3" x14ac:dyDescent="0.25">
      <c r="B21" s="8" t="s">
        <v>36</v>
      </c>
      <c r="C21" s="8" t="s">
        <v>36</v>
      </c>
    </row>
    <row r="22" spans="2:3" x14ac:dyDescent="0.25">
      <c r="B22" s="8" t="s">
        <v>36</v>
      </c>
      <c r="C22" s="8" t="s">
        <v>35</v>
      </c>
    </row>
    <row r="23" spans="2:3" x14ac:dyDescent="0.25">
      <c r="B23" s="8" t="s">
        <v>35</v>
      </c>
      <c r="C23" s="8" t="s">
        <v>35</v>
      </c>
    </row>
    <row r="24" spans="2:3" x14ac:dyDescent="0.25">
      <c r="B24" s="8" t="s">
        <v>36</v>
      </c>
      <c r="C24" s="8" t="s">
        <v>36</v>
      </c>
    </row>
    <row r="25" spans="2:3" x14ac:dyDescent="0.25">
      <c r="B25" s="8" t="s">
        <v>36</v>
      </c>
      <c r="C25" s="8" t="s">
        <v>36</v>
      </c>
    </row>
    <row r="26" spans="2:3" x14ac:dyDescent="0.25">
      <c r="B26" s="8" t="s">
        <v>35</v>
      </c>
      <c r="C26" s="8" t="s">
        <v>35</v>
      </c>
    </row>
    <row r="27" spans="2:3" x14ac:dyDescent="0.25">
      <c r="B27" s="8" t="s">
        <v>35</v>
      </c>
      <c r="C27" s="8" t="s">
        <v>35</v>
      </c>
    </row>
  </sheetData>
  <hyperlinks>
    <hyperlink ref="B3" r:id="rId1" xr:uid="{FF44839E-5187-E04A-B2FB-DF9FF4B73D53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196</v>
      </c>
    </row>
    <row r="2" spans="1:1" x14ac:dyDescent="0.3">
      <c r="A2" s="1" t="s">
        <v>197</v>
      </c>
    </row>
    <row r="3" spans="1:1" x14ac:dyDescent="0.3">
      <c r="A3" s="1" t="s">
        <v>198</v>
      </c>
    </row>
    <row r="4" spans="1:1" x14ac:dyDescent="0.3">
      <c r="A4" s="1" t="s">
        <v>199</v>
      </c>
    </row>
  </sheetData>
  <phoneticPr fontId="9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8"/>
    <col min="2" max="2" width="20.83203125" style="28" bestFit="1" customWidth="1"/>
    <col min="3" max="16384" width="14.5" style="28"/>
  </cols>
  <sheetData>
    <row r="1" spans="1:11" x14ac:dyDescent="0.2">
      <c r="A1" s="27" t="s">
        <v>95</v>
      </c>
      <c r="B1" s="27" t="s">
        <v>96</v>
      </c>
      <c r="C1" s="27" t="s">
        <v>97</v>
      </c>
      <c r="D1" s="27" t="s">
        <v>98</v>
      </c>
      <c r="E1" s="27" t="s">
        <v>99</v>
      </c>
      <c r="F1" s="27" t="s">
        <v>100</v>
      </c>
      <c r="G1" s="27" t="s">
        <v>101</v>
      </c>
      <c r="H1" s="27" t="s">
        <v>102</v>
      </c>
      <c r="I1" s="27" t="s">
        <v>103</v>
      </c>
      <c r="J1" s="27" t="s">
        <v>104</v>
      </c>
      <c r="K1" s="27" t="s">
        <v>105</v>
      </c>
    </row>
    <row r="2" spans="1:11" x14ac:dyDescent="0.2">
      <c r="A2" s="27" t="s">
        <v>106</v>
      </c>
      <c r="B2" s="27" t="s">
        <v>107</v>
      </c>
      <c r="C2" s="27">
        <v>1.8</v>
      </c>
      <c r="D2" s="27">
        <v>1999</v>
      </c>
      <c r="E2" s="27">
        <v>4</v>
      </c>
      <c r="F2" s="27" t="s">
        <v>108</v>
      </c>
      <c r="G2" s="27" t="s">
        <v>109</v>
      </c>
      <c r="H2" s="27">
        <v>18</v>
      </c>
      <c r="I2" s="27">
        <v>29</v>
      </c>
      <c r="J2" s="27" t="s">
        <v>10</v>
      </c>
      <c r="K2" s="27" t="s">
        <v>110</v>
      </c>
    </row>
    <row r="3" spans="1:11" x14ac:dyDescent="0.2">
      <c r="A3" s="27" t="s">
        <v>106</v>
      </c>
      <c r="B3" s="27" t="s">
        <v>107</v>
      </c>
      <c r="C3" s="27">
        <v>1.8</v>
      </c>
      <c r="D3" s="27">
        <v>1999</v>
      </c>
      <c r="E3" s="27">
        <v>4</v>
      </c>
      <c r="F3" s="27" t="s">
        <v>111</v>
      </c>
      <c r="G3" s="27" t="s">
        <v>109</v>
      </c>
      <c r="H3" s="27">
        <v>21</v>
      </c>
      <c r="I3" s="27">
        <v>29</v>
      </c>
      <c r="J3" s="27" t="s">
        <v>10</v>
      </c>
      <c r="K3" s="27" t="s">
        <v>110</v>
      </c>
    </row>
    <row r="4" spans="1:11" x14ac:dyDescent="0.2">
      <c r="A4" s="27" t="s">
        <v>106</v>
      </c>
      <c r="B4" s="27" t="s">
        <v>107</v>
      </c>
      <c r="C4" s="27">
        <v>2</v>
      </c>
      <c r="D4" s="27">
        <v>2008</v>
      </c>
      <c r="E4" s="27">
        <v>4</v>
      </c>
      <c r="F4" s="27" t="s">
        <v>112</v>
      </c>
      <c r="G4" s="27" t="s">
        <v>109</v>
      </c>
      <c r="H4" s="27">
        <v>20</v>
      </c>
      <c r="I4" s="27">
        <v>31</v>
      </c>
      <c r="J4" s="27" t="s">
        <v>10</v>
      </c>
      <c r="K4" s="27" t="s">
        <v>110</v>
      </c>
    </row>
    <row r="5" spans="1:11" x14ac:dyDescent="0.2">
      <c r="A5" s="27" t="s">
        <v>106</v>
      </c>
      <c r="B5" s="27" t="s">
        <v>107</v>
      </c>
      <c r="C5" s="27">
        <v>2</v>
      </c>
      <c r="D5" s="27">
        <v>2008</v>
      </c>
      <c r="E5" s="27">
        <v>4</v>
      </c>
      <c r="F5" s="27" t="s">
        <v>113</v>
      </c>
      <c r="G5" s="27" t="s">
        <v>109</v>
      </c>
      <c r="H5" s="27">
        <v>21</v>
      </c>
      <c r="I5" s="27">
        <v>30</v>
      </c>
      <c r="J5" s="27" t="s">
        <v>10</v>
      </c>
      <c r="K5" s="27" t="s">
        <v>110</v>
      </c>
    </row>
    <row r="6" spans="1:11" x14ac:dyDescent="0.2">
      <c r="A6" s="27" t="s">
        <v>106</v>
      </c>
      <c r="B6" s="27" t="s">
        <v>107</v>
      </c>
      <c r="C6" s="27">
        <v>2.8</v>
      </c>
      <c r="D6" s="27">
        <v>1999</v>
      </c>
      <c r="E6" s="27">
        <v>6</v>
      </c>
      <c r="F6" s="27" t="s">
        <v>108</v>
      </c>
      <c r="G6" s="27" t="s">
        <v>109</v>
      </c>
      <c r="H6" s="27">
        <v>16</v>
      </c>
      <c r="I6" s="27">
        <v>26</v>
      </c>
      <c r="J6" s="27" t="s">
        <v>10</v>
      </c>
      <c r="K6" s="27" t="s">
        <v>110</v>
      </c>
    </row>
    <row r="7" spans="1:11" x14ac:dyDescent="0.2">
      <c r="A7" s="27" t="s">
        <v>106</v>
      </c>
      <c r="B7" s="27" t="s">
        <v>107</v>
      </c>
      <c r="C7" s="27">
        <v>2.8</v>
      </c>
      <c r="D7" s="27">
        <v>1999</v>
      </c>
      <c r="E7" s="27">
        <v>6</v>
      </c>
      <c r="F7" s="27" t="s">
        <v>111</v>
      </c>
      <c r="G7" s="27" t="s">
        <v>109</v>
      </c>
      <c r="H7" s="27">
        <v>18</v>
      </c>
      <c r="I7" s="27">
        <v>26</v>
      </c>
      <c r="J7" s="27" t="s">
        <v>10</v>
      </c>
      <c r="K7" s="27" t="s">
        <v>110</v>
      </c>
    </row>
    <row r="8" spans="1:11" x14ac:dyDescent="0.2">
      <c r="A8" s="27" t="s">
        <v>106</v>
      </c>
      <c r="B8" s="27" t="s">
        <v>107</v>
      </c>
      <c r="C8" s="27">
        <v>3.1</v>
      </c>
      <c r="D8" s="27">
        <v>2008</v>
      </c>
      <c r="E8" s="27">
        <v>6</v>
      </c>
      <c r="F8" s="27" t="s">
        <v>113</v>
      </c>
      <c r="G8" s="27" t="s">
        <v>109</v>
      </c>
      <c r="H8" s="27">
        <v>18</v>
      </c>
      <c r="I8" s="27">
        <v>27</v>
      </c>
      <c r="J8" s="27" t="s">
        <v>10</v>
      </c>
      <c r="K8" s="27" t="s">
        <v>110</v>
      </c>
    </row>
    <row r="9" spans="1:11" x14ac:dyDescent="0.2">
      <c r="A9" s="27" t="s">
        <v>106</v>
      </c>
      <c r="B9" s="27" t="s">
        <v>114</v>
      </c>
      <c r="C9" s="27">
        <v>1.8</v>
      </c>
      <c r="D9" s="27">
        <v>1999</v>
      </c>
      <c r="E9" s="27">
        <v>4</v>
      </c>
      <c r="F9" s="27" t="s">
        <v>111</v>
      </c>
      <c r="G9" s="27">
        <v>4</v>
      </c>
      <c r="H9" s="27">
        <v>18</v>
      </c>
      <c r="I9" s="27">
        <v>26</v>
      </c>
      <c r="J9" s="27" t="s">
        <v>10</v>
      </c>
      <c r="K9" s="27" t="s">
        <v>110</v>
      </c>
    </row>
    <row r="10" spans="1:11" x14ac:dyDescent="0.2">
      <c r="A10" s="27" t="s">
        <v>106</v>
      </c>
      <c r="B10" s="27" t="s">
        <v>114</v>
      </c>
      <c r="C10" s="27">
        <v>1.8</v>
      </c>
      <c r="D10" s="27">
        <v>1999</v>
      </c>
      <c r="E10" s="27">
        <v>4</v>
      </c>
      <c r="F10" s="27" t="s">
        <v>108</v>
      </c>
      <c r="G10" s="27">
        <v>4</v>
      </c>
      <c r="H10" s="27">
        <v>16</v>
      </c>
      <c r="I10" s="27">
        <v>25</v>
      </c>
      <c r="J10" s="27" t="s">
        <v>10</v>
      </c>
      <c r="K10" s="27" t="s">
        <v>110</v>
      </c>
    </row>
    <row r="11" spans="1:11" x14ac:dyDescent="0.2">
      <c r="A11" s="27" t="s">
        <v>106</v>
      </c>
      <c r="B11" s="27" t="s">
        <v>114</v>
      </c>
      <c r="C11" s="27">
        <v>2</v>
      </c>
      <c r="D11" s="27">
        <v>2008</v>
      </c>
      <c r="E11" s="27">
        <v>4</v>
      </c>
      <c r="F11" s="27" t="s">
        <v>112</v>
      </c>
      <c r="G11" s="27">
        <v>4</v>
      </c>
      <c r="H11" s="27">
        <v>20</v>
      </c>
      <c r="I11" s="27">
        <v>28</v>
      </c>
      <c r="J11" s="27" t="s">
        <v>10</v>
      </c>
      <c r="K11" s="27" t="s">
        <v>110</v>
      </c>
    </row>
    <row r="12" spans="1:11" x14ac:dyDescent="0.2">
      <c r="A12" s="27" t="s">
        <v>106</v>
      </c>
      <c r="B12" s="27" t="s">
        <v>114</v>
      </c>
      <c r="C12" s="27">
        <v>2</v>
      </c>
      <c r="D12" s="27">
        <v>2008</v>
      </c>
      <c r="E12" s="27">
        <v>4</v>
      </c>
      <c r="F12" s="27" t="s">
        <v>115</v>
      </c>
      <c r="G12" s="27">
        <v>4</v>
      </c>
      <c r="H12" s="27">
        <v>19</v>
      </c>
      <c r="I12" s="27">
        <v>27</v>
      </c>
      <c r="J12" s="27" t="s">
        <v>10</v>
      </c>
      <c r="K12" s="27" t="s">
        <v>110</v>
      </c>
    </row>
    <row r="13" spans="1:11" x14ac:dyDescent="0.2">
      <c r="A13" s="27" t="s">
        <v>106</v>
      </c>
      <c r="B13" s="27" t="s">
        <v>114</v>
      </c>
      <c r="C13" s="27">
        <v>2.8</v>
      </c>
      <c r="D13" s="27">
        <v>1999</v>
      </c>
      <c r="E13" s="27">
        <v>6</v>
      </c>
      <c r="F13" s="27" t="s">
        <v>108</v>
      </c>
      <c r="G13" s="27">
        <v>4</v>
      </c>
      <c r="H13" s="27">
        <v>15</v>
      </c>
      <c r="I13" s="27">
        <v>25</v>
      </c>
      <c r="J13" s="27" t="s">
        <v>10</v>
      </c>
      <c r="K13" s="27" t="s">
        <v>110</v>
      </c>
    </row>
    <row r="14" spans="1:11" x14ac:dyDescent="0.2">
      <c r="A14" s="27" t="s">
        <v>106</v>
      </c>
      <c r="B14" s="27" t="s">
        <v>114</v>
      </c>
      <c r="C14" s="27">
        <v>2.8</v>
      </c>
      <c r="D14" s="27">
        <v>1999</v>
      </c>
      <c r="E14" s="27">
        <v>6</v>
      </c>
      <c r="F14" s="27" t="s">
        <v>111</v>
      </c>
      <c r="G14" s="27">
        <v>4</v>
      </c>
      <c r="H14" s="27">
        <v>17</v>
      </c>
      <c r="I14" s="27">
        <v>25</v>
      </c>
      <c r="J14" s="27" t="s">
        <v>10</v>
      </c>
      <c r="K14" s="27" t="s">
        <v>110</v>
      </c>
    </row>
    <row r="15" spans="1:11" x14ac:dyDescent="0.2">
      <c r="A15" s="27" t="s">
        <v>106</v>
      </c>
      <c r="B15" s="27" t="s">
        <v>114</v>
      </c>
      <c r="C15" s="27">
        <v>3.1</v>
      </c>
      <c r="D15" s="27">
        <v>2008</v>
      </c>
      <c r="E15" s="27">
        <v>6</v>
      </c>
      <c r="F15" s="27" t="s">
        <v>115</v>
      </c>
      <c r="G15" s="27">
        <v>4</v>
      </c>
      <c r="H15" s="27">
        <v>17</v>
      </c>
      <c r="I15" s="27">
        <v>25</v>
      </c>
      <c r="J15" s="27" t="s">
        <v>10</v>
      </c>
      <c r="K15" s="27" t="s">
        <v>110</v>
      </c>
    </row>
    <row r="16" spans="1:11" x14ac:dyDescent="0.2">
      <c r="A16" s="27" t="s">
        <v>106</v>
      </c>
      <c r="B16" s="27" t="s">
        <v>114</v>
      </c>
      <c r="C16" s="27">
        <v>3.1</v>
      </c>
      <c r="D16" s="27">
        <v>2008</v>
      </c>
      <c r="E16" s="27">
        <v>6</v>
      </c>
      <c r="F16" s="27" t="s">
        <v>112</v>
      </c>
      <c r="G16" s="27">
        <v>4</v>
      </c>
      <c r="H16" s="27">
        <v>15</v>
      </c>
      <c r="I16" s="27">
        <v>25</v>
      </c>
      <c r="J16" s="27" t="s">
        <v>10</v>
      </c>
      <c r="K16" s="27" t="s">
        <v>110</v>
      </c>
    </row>
    <row r="17" spans="1:11" x14ac:dyDescent="0.2">
      <c r="A17" s="27" t="s">
        <v>106</v>
      </c>
      <c r="B17" s="27" t="s">
        <v>116</v>
      </c>
      <c r="C17" s="27">
        <v>2.8</v>
      </c>
      <c r="D17" s="27">
        <v>1999</v>
      </c>
      <c r="E17" s="27">
        <v>6</v>
      </c>
      <c r="F17" s="27" t="s">
        <v>108</v>
      </c>
      <c r="G17" s="27">
        <v>4</v>
      </c>
      <c r="H17" s="27">
        <v>15</v>
      </c>
      <c r="I17" s="27">
        <v>24</v>
      </c>
      <c r="J17" s="27" t="s">
        <v>10</v>
      </c>
      <c r="K17" s="27" t="s">
        <v>117</v>
      </c>
    </row>
    <row r="18" spans="1:11" x14ac:dyDescent="0.2">
      <c r="A18" s="27" t="s">
        <v>106</v>
      </c>
      <c r="B18" s="27" t="s">
        <v>116</v>
      </c>
      <c r="C18" s="27">
        <v>3.1</v>
      </c>
      <c r="D18" s="27">
        <v>2008</v>
      </c>
      <c r="E18" s="27">
        <v>6</v>
      </c>
      <c r="F18" s="27" t="s">
        <v>115</v>
      </c>
      <c r="G18" s="27">
        <v>4</v>
      </c>
      <c r="H18" s="27">
        <v>17</v>
      </c>
      <c r="I18" s="27">
        <v>25</v>
      </c>
      <c r="J18" s="27" t="s">
        <v>10</v>
      </c>
      <c r="K18" s="27" t="s">
        <v>117</v>
      </c>
    </row>
    <row r="19" spans="1:11" x14ac:dyDescent="0.2">
      <c r="A19" s="27" t="s">
        <v>106</v>
      </c>
      <c r="B19" s="27" t="s">
        <v>116</v>
      </c>
      <c r="C19" s="27">
        <v>4.2</v>
      </c>
      <c r="D19" s="27">
        <v>2008</v>
      </c>
      <c r="E19" s="27">
        <v>8</v>
      </c>
      <c r="F19" s="27" t="s">
        <v>115</v>
      </c>
      <c r="G19" s="27">
        <v>4</v>
      </c>
      <c r="H19" s="27">
        <v>16</v>
      </c>
      <c r="I19" s="27">
        <v>23</v>
      </c>
      <c r="J19" s="27" t="s">
        <v>10</v>
      </c>
      <c r="K19" s="27" t="s">
        <v>117</v>
      </c>
    </row>
    <row r="20" spans="1:11" x14ac:dyDescent="0.2">
      <c r="A20" s="27" t="s">
        <v>118</v>
      </c>
      <c r="B20" s="27" t="s">
        <v>119</v>
      </c>
      <c r="C20" s="27">
        <v>5.3</v>
      </c>
      <c r="D20" s="27">
        <v>2008</v>
      </c>
      <c r="E20" s="27">
        <v>8</v>
      </c>
      <c r="F20" s="27" t="s">
        <v>120</v>
      </c>
      <c r="G20" s="27" t="s">
        <v>121</v>
      </c>
      <c r="H20" s="27">
        <v>14</v>
      </c>
      <c r="I20" s="27">
        <v>20</v>
      </c>
      <c r="J20" s="27" t="s">
        <v>121</v>
      </c>
      <c r="K20" s="27" t="s">
        <v>122</v>
      </c>
    </row>
    <row r="21" spans="1:11" x14ac:dyDescent="0.2">
      <c r="A21" s="27" t="s">
        <v>118</v>
      </c>
      <c r="B21" s="27" t="s">
        <v>119</v>
      </c>
      <c r="C21" s="27">
        <v>5.3</v>
      </c>
      <c r="D21" s="27">
        <v>2008</v>
      </c>
      <c r="E21" s="27">
        <v>8</v>
      </c>
      <c r="F21" s="27" t="s">
        <v>120</v>
      </c>
      <c r="G21" s="27" t="s">
        <v>121</v>
      </c>
      <c r="H21" s="27">
        <v>11</v>
      </c>
      <c r="I21" s="27">
        <v>15</v>
      </c>
      <c r="J21" s="27" t="s">
        <v>123</v>
      </c>
      <c r="K21" s="27" t="s">
        <v>122</v>
      </c>
    </row>
    <row r="22" spans="1:11" x14ac:dyDescent="0.2">
      <c r="A22" s="27" t="s">
        <v>118</v>
      </c>
      <c r="B22" s="27" t="s">
        <v>119</v>
      </c>
      <c r="C22" s="27">
        <v>5.3</v>
      </c>
      <c r="D22" s="27">
        <v>2008</v>
      </c>
      <c r="E22" s="27">
        <v>8</v>
      </c>
      <c r="F22" s="27" t="s">
        <v>120</v>
      </c>
      <c r="G22" s="27" t="s">
        <v>121</v>
      </c>
      <c r="H22" s="27">
        <v>14</v>
      </c>
      <c r="I22" s="27">
        <v>20</v>
      </c>
      <c r="J22" s="27" t="s">
        <v>121</v>
      </c>
      <c r="K22" s="27" t="s">
        <v>122</v>
      </c>
    </row>
    <row r="23" spans="1:11" x14ac:dyDescent="0.2">
      <c r="A23" s="27" t="s">
        <v>118</v>
      </c>
      <c r="B23" s="27" t="s">
        <v>119</v>
      </c>
      <c r="C23" s="27">
        <v>5.7</v>
      </c>
      <c r="D23" s="27">
        <v>1999</v>
      </c>
      <c r="E23" s="27">
        <v>8</v>
      </c>
      <c r="F23" s="27" t="s">
        <v>120</v>
      </c>
      <c r="G23" s="27" t="s">
        <v>121</v>
      </c>
      <c r="H23" s="27">
        <v>13</v>
      </c>
      <c r="I23" s="27">
        <v>17</v>
      </c>
      <c r="J23" s="27" t="s">
        <v>121</v>
      </c>
      <c r="K23" s="27" t="s">
        <v>122</v>
      </c>
    </row>
    <row r="24" spans="1:11" x14ac:dyDescent="0.2">
      <c r="A24" s="27" t="s">
        <v>118</v>
      </c>
      <c r="B24" s="27" t="s">
        <v>119</v>
      </c>
      <c r="C24" s="27">
        <v>6</v>
      </c>
      <c r="D24" s="27">
        <v>2008</v>
      </c>
      <c r="E24" s="27">
        <v>8</v>
      </c>
      <c r="F24" s="27" t="s">
        <v>120</v>
      </c>
      <c r="G24" s="27" t="s">
        <v>121</v>
      </c>
      <c r="H24" s="27">
        <v>12</v>
      </c>
      <c r="I24" s="27">
        <v>17</v>
      </c>
      <c r="J24" s="27" t="s">
        <v>121</v>
      </c>
      <c r="K24" s="27" t="s">
        <v>122</v>
      </c>
    </row>
    <row r="25" spans="1:11" x14ac:dyDescent="0.2">
      <c r="A25" s="27" t="s">
        <v>118</v>
      </c>
      <c r="B25" s="27" t="s">
        <v>124</v>
      </c>
      <c r="C25" s="27">
        <v>5.7</v>
      </c>
      <c r="D25" s="27">
        <v>1999</v>
      </c>
      <c r="E25" s="27">
        <v>8</v>
      </c>
      <c r="F25" s="27" t="s">
        <v>112</v>
      </c>
      <c r="G25" s="27" t="s">
        <v>121</v>
      </c>
      <c r="H25" s="27">
        <v>16</v>
      </c>
      <c r="I25" s="27">
        <v>26</v>
      </c>
      <c r="J25" s="27" t="s">
        <v>10</v>
      </c>
      <c r="K25" s="27" t="s">
        <v>125</v>
      </c>
    </row>
    <row r="26" spans="1:11" x14ac:dyDescent="0.2">
      <c r="A26" s="27" t="s">
        <v>118</v>
      </c>
      <c r="B26" s="27" t="s">
        <v>124</v>
      </c>
      <c r="C26" s="27">
        <v>5.7</v>
      </c>
      <c r="D26" s="27">
        <v>1999</v>
      </c>
      <c r="E26" s="27">
        <v>8</v>
      </c>
      <c r="F26" s="27" t="s">
        <v>120</v>
      </c>
      <c r="G26" s="27" t="s">
        <v>121</v>
      </c>
      <c r="H26" s="27">
        <v>15</v>
      </c>
      <c r="I26" s="27">
        <v>23</v>
      </c>
      <c r="J26" s="27" t="s">
        <v>10</v>
      </c>
      <c r="K26" s="27" t="s">
        <v>125</v>
      </c>
    </row>
    <row r="27" spans="1:11" x14ac:dyDescent="0.2">
      <c r="A27" s="27" t="s">
        <v>118</v>
      </c>
      <c r="B27" s="27" t="s">
        <v>124</v>
      </c>
      <c r="C27" s="27">
        <v>6.2</v>
      </c>
      <c r="D27" s="27">
        <v>2008</v>
      </c>
      <c r="E27" s="27">
        <v>8</v>
      </c>
      <c r="F27" s="27" t="s">
        <v>112</v>
      </c>
      <c r="G27" s="27" t="s">
        <v>121</v>
      </c>
      <c r="H27" s="27">
        <v>16</v>
      </c>
      <c r="I27" s="27">
        <v>26</v>
      </c>
      <c r="J27" s="27" t="s">
        <v>10</v>
      </c>
      <c r="K27" s="27" t="s">
        <v>125</v>
      </c>
    </row>
    <row r="28" spans="1:11" x14ac:dyDescent="0.2">
      <c r="A28" s="27" t="s">
        <v>118</v>
      </c>
      <c r="B28" s="27" t="s">
        <v>124</v>
      </c>
      <c r="C28" s="27">
        <v>6.2</v>
      </c>
      <c r="D28" s="27">
        <v>2008</v>
      </c>
      <c r="E28" s="27">
        <v>8</v>
      </c>
      <c r="F28" s="27" t="s">
        <v>115</v>
      </c>
      <c r="G28" s="27" t="s">
        <v>121</v>
      </c>
      <c r="H28" s="27">
        <v>15</v>
      </c>
      <c r="I28" s="27">
        <v>25</v>
      </c>
      <c r="J28" s="27" t="s">
        <v>10</v>
      </c>
      <c r="K28" s="27" t="s">
        <v>125</v>
      </c>
    </row>
    <row r="29" spans="1:11" x14ac:dyDescent="0.2">
      <c r="A29" s="27" t="s">
        <v>118</v>
      </c>
      <c r="B29" s="27" t="s">
        <v>124</v>
      </c>
      <c r="C29" s="27">
        <v>7</v>
      </c>
      <c r="D29" s="27">
        <v>2008</v>
      </c>
      <c r="E29" s="27">
        <v>8</v>
      </c>
      <c r="F29" s="27" t="s">
        <v>112</v>
      </c>
      <c r="G29" s="27" t="s">
        <v>121</v>
      </c>
      <c r="H29" s="27">
        <v>15</v>
      </c>
      <c r="I29" s="27">
        <v>24</v>
      </c>
      <c r="J29" s="27" t="s">
        <v>10</v>
      </c>
      <c r="K29" s="27" t="s">
        <v>125</v>
      </c>
    </row>
    <row r="30" spans="1:11" x14ac:dyDescent="0.2">
      <c r="A30" s="27" t="s">
        <v>118</v>
      </c>
      <c r="B30" s="27" t="s">
        <v>126</v>
      </c>
      <c r="C30" s="27">
        <v>5.3</v>
      </c>
      <c r="D30" s="27">
        <v>2008</v>
      </c>
      <c r="E30" s="27">
        <v>8</v>
      </c>
      <c r="F30" s="27" t="s">
        <v>120</v>
      </c>
      <c r="G30" s="27">
        <v>4</v>
      </c>
      <c r="H30" s="27">
        <v>14</v>
      </c>
      <c r="I30" s="27">
        <v>19</v>
      </c>
      <c r="J30" s="27" t="s">
        <v>121</v>
      </c>
      <c r="K30" s="27" t="s">
        <v>122</v>
      </c>
    </row>
    <row r="31" spans="1:11" x14ac:dyDescent="0.2">
      <c r="A31" s="27" t="s">
        <v>118</v>
      </c>
      <c r="B31" s="27" t="s">
        <v>126</v>
      </c>
      <c r="C31" s="27">
        <v>5.3</v>
      </c>
      <c r="D31" s="27">
        <v>2008</v>
      </c>
      <c r="E31" s="27">
        <v>8</v>
      </c>
      <c r="F31" s="27" t="s">
        <v>120</v>
      </c>
      <c r="G31" s="27">
        <v>4</v>
      </c>
      <c r="H31" s="27">
        <v>11</v>
      </c>
      <c r="I31" s="27">
        <v>14</v>
      </c>
      <c r="J31" s="27" t="s">
        <v>123</v>
      </c>
      <c r="K31" s="27" t="s">
        <v>122</v>
      </c>
    </row>
    <row r="32" spans="1:11" x14ac:dyDescent="0.2">
      <c r="A32" s="27" t="s">
        <v>118</v>
      </c>
      <c r="B32" s="27" t="s">
        <v>126</v>
      </c>
      <c r="C32" s="27">
        <v>5.7</v>
      </c>
      <c r="D32" s="27">
        <v>1999</v>
      </c>
      <c r="E32" s="27">
        <v>8</v>
      </c>
      <c r="F32" s="27" t="s">
        <v>120</v>
      </c>
      <c r="G32" s="27">
        <v>4</v>
      </c>
      <c r="H32" s="27">
        <v>11</v>
      </c>
      <c r="I32" s="27">
        <v>15</v>
      </c>
      <c r="J32" s="27" t="s">
        <v>121</v>
      </c>
      <c r="K32" s="27" t="s">
        <v>122</v>
      </c>
    </row>
    <row r="33" spans="1:11" x14ac:dyDescent="0.2">
      <c r="A33" s="27" t="s">
        <v>118</v>
      </c>
      <c r="B33" s="27" t="s">
        <v>126</v>
      </c>
      <c r="C33" s="27">
        <v>6.5</v>
      </c>
      <c r="D33" s="27">
        <v>1999</v>
      </c>
      <c r="E33" s="27">
        <v>8</v>
      </c>
      <c r="F33" s="27" t="s">
        <v>120</v>
      </c>
      <c r="G33" s="27">
        <v>4</v>
      </c>
      <c r="H33" s="27">
        <v>14</v>
      </c>
      <c r="I33" s="27">
        <v>17</v>
      </c>
      <c r="J33" s="27" t="s">
        <v>127</v>
      </c>
      <c r="K33" s="27" t="s">
        <v>122</v>
      </c>
    </row>
    <row r="34" spans="1:11" x14ac:dyDescent="0.2">
      <c r="A34" s="27" t="s">
        <v>118</v>
      </c>
      <c r="B34" s="27" t="s">
        <v>128</v>
      </c>
      <c r="C34" s="27">
        <v>2.4</v>
      </c>
      <c r="D34" s="27">
        <v>1999</v>
      </c>
      <c r="E34" s="27">
        <v>4</v>
      </c>
      <c r="F34" s="27" t="s">
        <v>120</v>
      </c>
      <c r="G34" s="27" t="s">
        <v>109</v>
      </c>
      <c r="H34" s="27">
        <v>19</v>
      </c>
      <c r="I34" s="27">
        <v>27</v>
      </c>
      <c r="J34" s="27" t="s">
        <v>121</v>
      </c>
      <c r="K34" s="27" t="s">
        <v>117</v>
      </c>
    </row>
    <row r="35" spans="1:11" x14ac:dyDescent="0.2">
      <c r="A35" s="27" t="s">
        <v>118</v>
      </c>
      <c r="B35" s="27" t="s">
        <v>128</v>
      </c>
      <c r="C35" s="27">
        <v>2.4</v>
      </c>
      <c r="D35" s="27">
        <v>2008</v>
      </c>
      <c r="E35" s="27">
        <v>4</v>
      </c>
      <c r="F35" s="27" t="s">
        <v>120</v>
      </c>
      <c r="G35" s="27" t="s">
        <v>109</v>
      </c>
      <c r="H35" s="27">
        <v>22</v>
      </c>
      <c r="I35" s="27">
        <v>30</v>
      </c>
      <c r="J35" s="27" t="s">
        <v>121</v>
      </c>
      <c r="K35" s="27" t="s">
        <v>117</v>
      </c>
    </row>
    <row r="36" spans="1:11" x14ac:dyDescent="0.2">
      <c r="A36" s="27" t="s">
        <v>118</v>
      </c>
      <c r="B36" s="27" t="s">
        <v>128</v>
      </c>
      <c r="C36" s="27">
        <v>3.1</v>
      </c>
      <c r="D36" s="27">
        <v>1999</v>
      </c>
      <c r="E36" s="27">
        <v>6</v>
      </c>
      <c r="F36" s="27" t="s">
        <v>120</v>
      </c>
      <c r="G36" s="27" t="s">
        <v>109</v>
      </c>
      <c r="H36" s="27">
        <v>18</v>
      </c>
      <c r="I36" s="27">
        <v>26</v>
      </c>
      <c r="J36" s="27" t="s">
        <v>121</v>
      </c>
      <c r="K36" s="27" t="s">
        <v>117</v>
      </c>
    </row>
    <row r="37" spans="1:11" x14ac:dyDescent="0.2">
      <c r="A37" s="27" t="s">
        <v>118</v>
      </c>
      <c r="B37" s="27" t="s">
        <v>128</v>
      </c>
      <c r="C37" s="27">
        <v>3.5</v>
      </c>
      <c r="D37" s="27">
        <v>2008</v>
      </c>
      <c r="E37" s="27">
        <v>6</v>
      </c>
      <c r="F37" s="27" t="s">
        <v>120</v>
      </c>
      <c r="G37" s="27" t="s">
        <v>109</v>
      </c>
      <c r="H37" s="27">
        <v>18</v>
      </c>
      <c r="I37" s="27">
        <v>29</v>
      </c>
      <c r="J37" s="27" t="s">
        <v>121</v>
      </c>
      <c r="K37" s="27" t="s">
        <v>117</v>
      </c>
    </row>
    <row r="38" spans="1:11" x14ac:dyDescent="0.2">
      <c r="A38" s="27" t="s">
        <v>118</v>
      </c>
      <c r="B38" s="27" t="s">
        <v>128</v>
      </c>
      <c r="C38" s="27">
        <v>3.6</v>
      </c>
      <c r="D38" s="27">
        <v>2008</v>
      </c>
      <c r="E38" s="27">
        <v>6</v>
      </c>
      <c r="F38" s="27" t="s">
        <v>115</v>
      </c>
      <c r="G38" s="27" t="s">
        <v>109</v>
      </c>
      <c r="H38" s="27">
        <v>17</v>
      </c>
      <c r="I38" s="27">
        <v>26</v>
      </c>
      <c r="J38" s="27" t="s">
        <v>121</v>
      </c>
      <c r="K38" s="27" t="s">
        <v>117</v>
      </c>
    </row>
    <row r="39" spans="1:11" x14ac:dyDescent="0.2">
      <c r="A39" s="27" t="s">
        <v>129</v>
      </c>
      <c r="B39" s="27" t="s">
        <v>130</v>
      </c>
      <c r="C39" s="27">
        <v>2.4</v>
      </c>
      <c r="D39" s="27">
        <v>1999</v>
      </c>
      <c r="E39" s="27">
        <v>4</v>
      </c>
      <c r="F39" s="27" t="s">
        <v>131</v>
      </c>
      <c r="G39" s="27" t="s">
        <v>109</v>
      </c>
      <c r="H39" s="27">
        <v>18</v>
      </c>
      <c r="I39" s="27">
        <v>24</v>
      </c>
      <c r="J39" s="27" t="s">
        <v>121</v>
      </c>
      <c r="K39" s="27" t="s">
        <v>132</v>
      </c>
    </row>
    <row r="40" spans="1:11" x14ac:dyDescent="0.2">
      <c r="A40" s="27" t="s">
        <v>129</v>
      </c>
      <c r="B40" s="27" t="s">
        <v>130</v>
      </c>
      <c r="C40" s="27">
        <v>3</v>
      </c>
      <c r="D40" s="27">
        <v>1999</v>
      </c>
      <c r="E40" s="27">
        <v>6</v>
      </c>
      <c r="F40" s="27" t="s">
        <v>120</v>
      </c>
      <c r="G40" s="27" t="s">
        <v>109</v>
      </c>
      <c r="H40" s="27">
        <v>17</v>
      </c>
      <c r="I40" s="27">
        <v>24</v>
      </c>
      <c r="J40" s="27" t="s">
        <v>121</v>
      </c>
      <c r="K40" s="27" t="s">
        <v>132</v>
      </c>
    </row>
    <row r="41" spans="1:11" x14ac:dyDescent="0.2">
      <c r="A41" s="27" t="s">
        <v>129</v>
      </c>
      <c r="B41" s="27" t="s">
        <v>130</v>
      </c>
      <c r="C41" s="27">
        <v>3.3</v>
      </c>
      <c r="D41" s="27">
        <v>1999</v>
      </c>
      <c r="E41" s="27">
        <v>6</v>
      </c>
      <c r="F41" s="27" t="s">
        <v>120</v>
      </c>
      <c r="G41" s="27" t="s">
        <v>109</v>
      </c>
      <c r="H41" s="27">
        <v>16</v>
      </c>
      <c r="I41" s="27">
        <v>22</v>
      </c>
      <c r="J41" s="27" t="s">
        <v>121</v>
      </c>
      <c r="K41" s="27" t="s">
        <v>132</v>
      </c>
    </row>
    <row r="42" spans="1:11" x14ac:dyDescent="0.2">
      <c r="A42" s="27" t="s">
        <v>129</v>
      </c>
      <c r="B42" s="27" t="s">
        <v>130</v>
      </c>
      <c r="C42" s="27">
        <v>3.3</v>
      </c>
      <c r="D42" s="27">
        <v>1999</v>
      </c>
      <c r="E42" s="27">
        <v>6</v>
      </c>
      <c r="F42" s="27" t="s">
        <v>120</v>
      </c>
      <c r="G42" s="27" t="s">
        <v>109</v>
      </c>
      <c r="H42" s="27">
        <v>16</v>
      </c>
      <c r="I42" s="27">
        <v>22</v>
      </c>
      <c r="J42" s="27" t="s">
        <v>121</v>
      </c>
      <c r="K42" s="27" t="s">
        <v>132</v>
      </c>
    </row>
    <row r="43" spans="1:11" x14ac:dyDescent="0.2">
      <c r="A43" s="27" t="s">
        <v>129</v>
      </c>
      <c r="B43" s="27" t="s">
        <v>130</v>
      </c>
      <c r="C43" s="27">
        <v>3.3</v>
      </c>
      <c r="D43" s="27">
        <v>2008</v>
      </c>
      <c r="E43" s="27">
        <v>6</v>
      </c>
      <c r="F43" s="27" t="s">
        <v>120</v>
      </c>
      <c r="G43" s="27" t="s">
        <v>109</v>
      </c>
      <c r="H43" s="27">
        <v>17</v>
      </c>
      <c r="I43" s="27">
        <v>24</v>
      </c>
      <c r="J43" s="27" t="s">
        <v>121</v>
      </c>
      <c r="K43" s="27" t="s">
        <v>132</v>
      </c>
    </row>
    <row r="44" spans="1:11" x14ac:dyDescent="0.2">
      <c r="A44" s="27" t="s">
        <v>129</v>
      </c>
      <c r="B44" s="27" t="s">
        <v>130</v>
      </c>
      <c r="C44" s="27">
        <v>3.3</v>
      </c>
      <c r="D44" s="27">
        <v>2008</v>
      </c>
      <c r="E44" s="27">
        <v>6</v>
      </c>
      <c r="F44" s="27" t="s">
        <v>120</v>
      </c>
      <c r="G44" s="27" t="s">
        <v>109</v>
      </c>
      <c r="H44" s="27">
        <v>17</v>
      </c>
      <c r="I44" s="27">
        <v>24</v>
      </c>
      <c r="J44" s="27" t="s">
        <v>121</v>
      </c>
      <c r="K44" s="27" t="s">
        <v>132</v>
      </c>
    </row>
    <row r="45" spans="1:11" x14ac:dyDescent="0.2">
      <c r="A45" s="27" t="s">
        <v>129</v>
      </c>
      <c r="B45" s="27" t="s">
        <v>130</v>
      </c>
      <c r="C45" s="27">
        <v>3.3</v>
      </c>
      <c r="D45" s="27">
        <v>2008</v>
      </c>
      <c r="E45" s="27">
        <v>6</v>
      </c>
      <c r="F45" s="27" t="s">
        <v>120</v>
      </c>
      <c r="G45" s="27" t="s">
        <v>109</v>
      </c>
      <c r="H45" s="27">
        <v>11</v>
      </c>
      <c r="I45" s="27">
        <v>17</v>
      </c>
      <c r="J45" s="27" t="s">
        <v>123</v>
      </c>
      <c r="K45" s="27" t="s">
        <v>132</v>
      </c>
    </row>
    <row r="46" spans="1:11" x14ac:dyDescent="0.2">
      <c r="A46" s="27" t="s">
        <v>129</v>
      </c>
      <c r="B46" s="27" t="s">
        <v>130</v>
      </c>
      <c r="C46" s="27">
        <v>3.8</v>
      </c>
      <c r="D46" s="27">
        <v>1999</v>
      </c>
      <c r="E46" s="27">
        <v>6</v>
      </c>
      <c r="F46" s="27" t="s">
        <v>120</v>
      </c>
      <c r="G46" s="27" t="s">
        <v>109</v>
      </c>
      <c r="H46" s="27">
        <v>15</v>
      </c>
      <c r="I46" s="27">
        <v>22</v>
      </c>
      <c r="J46" s="27" t="s">
        <v>121</v>
      </c>
      <c r="K46" s="27" t="s">
        <v>132</v>
      </c>
    </row>
    <row r="47" spans="1:11" x14ac:dyDescent="0.2">
      <c r="A47" s="27" t="s">
        <v>129</v>
      </c>
      <c r="B47" s="27" t="s">
        <v>130</v>
      </c>
      <c r="C47" s="27">
        <v>3.8</v>
      </c>
      <c r="D47" s="27">
        <v>1999</v>
      </c>
      <c r="E47" s="27">
        <v>6</v>
      </c>
      <c r="F47" s="27" t="s">
        <v>120</v>
      </c>
      <c r="G47" s="27" t="s">
        <v>109</v>
      </c>
      <c r="H47" s="27">
        <v>15</v>
      </c>
      <c r="I47" s="27">
        <v>21</v>
      </c>
      <c r="J47" s="27" t="s">
        <v>121</v>
      </c>
      <c r="K47" s="27" t="s">
        <v>132</v>
      </c>
    </row>
    <row r="48" spans="1:11" x14ac:dyDescent="0.2">
      <c r="A48" s="27" t="s">
        <v>129</v>
      </c>
      <c r="B48" s="27" t="s">
        <v>130</v>
      </c>
      <c r="C48" s="27">
        <v>3.8</v>
      </c>
      <c r="D48" s="27">
        <v>2008</v>
      </c>
      <c r="E48" s="27">
        <v>6</v>
      </c>
      <c r="F48" s="27" t="s">
        <v>133</v>
      </c>
      <c r="G48" s="27" t="s">
        <v>109</v>
      </c>
      <c r="H48" s="27">
        <v>16</v>
      </c>
      <c r="I48" s="27">
        <v>23</v>
      </c>
      <c r="J48" s="27" t="s">
        <v>121</v>
      </c>
      <c r="K48" s="27" t="s">
        <v>132</v>
      </c>
    </row>
    <row r="49" spans="1:11" x14ac:dyDescent="0.2">
      <c r="A49" s="27" t="s">
        <v>129</v>
      </c>
      <c r="B49" s="27" t="s">
        <v>130</v>
      </c>
      <c r="C49" s="27">
        <v>4</v>
      </c>
      <c r="D49" s="27">
        <v>2008</v>
      </c>
      <c r="E49" s="27">
        <v>6</v>
      </c>
      <c r="F49" s="27" t="s">
        <v>133</v>
      </c>
      <c r="G49" s="27" t="s">
        <v>109</v>
      </c>
      <c r="H49" s="27">
        <v>16</v>
      </c>
      <c r="I49" s="27">
        <v>23</v>
      </c>
      <c r="J49" s="27" t="s">
        <v>121</v>
      </c>
      <c r="K49" s="27" t="s">
        <v>132</v>
      </c>
    </row>
    <row r="50" spans="1:11" x14ac:dyDescent="0.2">
      <c r="A50" s="27" t="s">
        <v>129</v>
      </c>
      <c r="B50" s="27" t="s">
        <v>134</v>
      </c>
      <c r="C50" s="27">
        <v>3.7</v>
      </c>
      <c r="D50" s="27">
        <v>2008</v>
      </c>
      <c r="E50" s="27">
        <v>6</v>
      </c>
      <c r="F50" s="27" t="s">
        <v>112</v>
      </c>
      <c r="G50" s="27">
        <v>4</v>
      </c>
      <c r="H50" s="27">
        <v>15</v>
      </c>
      <c r="I50" s="27">
        <v>19</v>
      </c>
      <c r="J50" s="27" t="s">
        <v>121</v>
      </c>
      <c r="K50" s="27" t="s">
        <v>135</v>
      </c>
    </row>
    <row r="51" spans="1:11" x14ac:dyDescent="0.2">
      <c r="A51" s="27" t="s">
        <v>129</v>
      </c>
      <c r="B51" s="27" t="s">
        <v>134</v>
      </c>
      <c r="C51" s="27">
        <v>3.7</v>
      </c>
      <c r="D51" s="27">
        <v>2008</v>
      </c>
      <c r="E51" s="27">
        <v>6</v>
      </c>
      <c r="F51" s="27" t="s">
        <v>120</v>
      </c>
      <c r="G51" s="27">
        <v>4</v>
      </c>
      <c r="H51" s="27">
        <v>14</v>
      </c>
      <c r="I51" s="27">
        <v>18</v>
      </c>
      <c r="J51" s="27" t="s">
        <v>121</v>
      </c>
      <c r="K51" s="27" t="s">
        <v>135</v>
      </c>
    </row>
    <row r="52" spans="1:11" x14ac:dyDescent="0.2">
      <c r="A52" s="27" t="s">
        <v>129</v>
      </c>
      <c r="B52" s="27" t="s">
        <v>134</v>
      </c>
      <c r="C52" s="27">
        <v>3.9</v>
      </c>
      <c r="D52" s="27">
        <v>1999</v>
      </c>
      <c r="E52" s="27">
        <v>6</v>
      </c>
      <c r="F52" s="27" t="s">
        <v>120</v>
      </c>
      <c r="G52" s="27">
        <v>4</v>
      </c>
      <c r="H52" s="27">
        <v>13</v>
      </c>
      <c r="I52" s="27">
        <v>17</v>
      </c>
      <c r="J52" s="27" t="s">
        <v>121</v>
      </c>
      <c r="K52" s="27" t="s">
        <v>135</v>
      </c>
    </row>
    <row r="53" spans="1:11" x14ac:dyDescent="0.2">
      <c r="A53" s="27" t="s">
        <v>129</v>
      </c>
      <c r="B53" s="27" t="s">
        <v>134</v>
      </c>
      <c r="C53" s="27">
        <v>3.9</v>
      </c>
      <c r="D53" s="27">
        <v>1999</v>
      </c>
      <c r="E53" s="27">
        <v>6</v>
      </c>
      <c r="F53" s="27" t="s">
        <v>111</v>
      </c>
      <c r="G53" s="27">
        <v>4</v>
      </c>
      <c r="H53" s="27">
        <v>14</v>
      </c>
      <c r="I53" s="27">
        <v>17</v>
      </c>
      <c r="J53" s="27" t="s">
        <v>121</v>
      </c>
      <c r="K53" s="27" t="s">
        <v>135</v>
      </c>
    </row>
    <row r="54" spans="1:11" x14ac:dyDescent="0.2">
      <c r="A54" s="27" t="s">
        <v>129</v>
      </c>
      <c r="B54" s="27" t="s">
        <v>134</v>
      </c>
      <c r="C54" s="27">
        <v>4.7</v>
      </c>
      <c r="D54" s="27">
        <v>2008</v>
      </c>
      <c r="E54" s="27">
        <v>8</v>
      </c>
      <c r="F54" s="27" t="s">
        <v>108</v>
      </c>
      <c r="G54" s="27">
        <v>4</v>
      </c>
      <c r="H54" s="27">
        <v>14</v>
      </c>
      <c r="I54" s="27">
        <v>19</v>
      </c>
      <c r="J54" s="27" t="s">
        <v>121</v>
      </c>
      <c r="K54" s="27" t="s">
        <v>135</v>
      </c>
    </row>
    <row r="55" spans="1:11" x14ac:dyDescent="0.2">
      <c r="A55" s="27" t="s">
        <v>129</v>
      </c>
      <c r="B55" s="27" t="s">
        <v>134</v>
      </c>
      <c r="C55" s="27">
        <v>4.7</v>
      </c>
      <c r="D55" s="27">
        <v>2008</v>
      </c>
      <c r="E55" s="27">
        <v>8</v>
      </c>
      <c r="F55" s="27" t="s">
        <v>108</v>
      </c>
      <c r="G55" s="27">
        <v>4</v>
      </c>
      <c r="H55" s="27">
        <v>14</v>
      </c>
      <c r="I55" s="27">
        <v>19</v>
      </c>
      <c r="J55" s="27" t="s">
        <v>121</v>
      </c>
      <c r="K55" s="27" t="s">
        <v>135</v>
      </c>
    </row>
    <row r="56" spans="1:11" x14ac:dyDescent="0.2">
      <c r="A56" s="27" t="s">
        <v>129</v>
      </c>
      <c r="B56" s="27" t="s">
        <v>134</v>
      </c>
      <c r="C56" s="27">
        <v>4.7</v>
      </c>
      <c r="D56" s="27">
        <v>2008</v>
      </c>
      <c r="E56" s="27">
        <v>8</v>
      </c>
      <c r="F56" s="27" t="s">
        <v>108</v>
      </c>
      <c r="G56" s="27">
        <v>4</v>
      </c>
      <c r="H56" s="27">
        <v>9</v>
      </c>
      <c r="I56" s="27">
        <v>12</v>
      </c>
      <c r="J56" s="27" t="s">
        <v>123</v>
      </c>
      <c r="K56" s="27" t="s">
        <v>135</v>
      </c>
    </row>
    <row r="57" spans="1:11" x14ac:dyDescent="0.2">
      <c r="A57" s="27" t="s">
        <v>129</v>
      </c>
      <c r="B57" s="27" t="s">
        <v>134</v>
      </c>
      <c r="C57" s="27">
        <v>5.2</v>
      </c>
      <c r="D57" s="27">
        <v>1999</v>
      </c>
      <c r="E57" s="27">
        <v>8</v>
      </c>
      <c r="F57" s="27" t="s">
        <v>111</v>
      </c>
      <c r="G57" s="27">
        <v>4</v>
      </c>
      <c r="H57" s="27">
        <v>11</v>
      </c>
      <c r="I57" s="27">
        <v>17</v>
      </c>
      <c r="J57" s="27" t="s">
        <v>121</v>
      </c>
      <c r="K57" s="27" t="s">
        <v>135</v>
      </c>
    </row>
    <row r="58" spans="1:11" x14ac:dyDescent="0.2">
      <c r="A58" s="27" t="s">
        <v>129</v>
      </c>
      <c r="B58" s="27" t="s">
        <v>134</v>
      </c>
      <c r="C58" s="27">
        <v>5.2</v>
      </c>
      <c r="D58" s="27">
        <v>1999</v>
      </c>
      <c r="E58" s="27">
        <v>8</v>
      </c>
      <c r="F58" s="27" t="s">
        <v>120</v>
      </c>
      <c r="G58" s="27">
        <v>4</v>
      </c>
      <c r="H58" s="27">
        <v>11</v>
      </c>
      <c r="I58" s="27">
        <v>15</v>
      </c>
      <c r="J58" s="27" t="s">
        <v>121</v>
      </c>
      <c r="K58" s="27" t="s">
        <v>135</v>
      </c>
    </row>
    <row r="59" spans="1:11" x14ac:dyDescent="0.2">
      <c r="A59" s="27" t="s">
        <v>129</v>
      </c>
      <c r="B59" s="27" t="s">
        <v>136</v>
      </c>
      <c r="C59" s="27">
        <v>3.9</v>
      </c>
      <c r="D59" s="27">
        <v>1999</v>
      </c>
      <c r="E59" s="27">
        <v>6</v>
      </c>
      <c r="F59" s="27" t="s">
        <v>120</v>
      </c>
      <c r="G59" s="27">
        <v>4</v>
      </c>
      <c r="H59" s="27">
        <v>13</v>
      </c>
      <c r="I59" s="27">
        <v>17</v>
      </c>
      <c r="J59" s="27" t="s">
        <v>121</v>
      </c>
      <c r="K59" s="27" t="s">
        <v>122</v>
      </c>
    </row>
    <row r="60" spans="1:11" x14ac:dyDescent="0.2">
      <c r="A60" s="27" t="s">
        <v>129</v>
      </c>
      <c r="B60" s="27" t="s">
        <v>136</v>
      </c>
      <c r="C60" s="27">
        <v>4.7</v>
      </c>
      <c r="D60" s="27">
        <v>2008</v>
      </c>
      <c r="E60" s="27">
        <v>8</v>
      </c>
      <c r="F60" s="27" t="s">
        <v>108</v>
      </c>
      <c r="G60" s="27">
        <v>4</v>
      </c>
      <c r="H60" s="27">
        <v>13</v>
      </c>
      <c r="I60" s="27">
        <v>17</v>
      </c>
      <c r="J60" s="27" t="s">
        <v>121</v>
      </c>
      <c r="K60" s="27" t="s">
        <v>122</v>
      </c>
    </row>
    <row r="61" spans="1:11" x14ac:dyDescent="0.2">
      <c r="A61" s="27" t="s">
        <v>129</v>
      </c>
      <c r="B61" s="27" t="s">
        <v>136</v>
      </c>
      <c r="C61" s="27">
        <v>4.7</v>
      </c>
      <c r="D61" s="27">
        <v>2008</v>
      </c>
      <c r="E61" s="27">
        <v>8</v>
      </c>
      <c r="F61" s="27" t="s">
        <v>108</v>
      </c>
      <c r="G61" s="27">
        <v>4</v>
      </c>
      <c r="H61" s="27">
        <v>9</v>
      </c>
      <c r="I61" s="27">
        <v>12</v>
      </c>
      <c r="J61" s="27" t="s">
        <v>123</v>
      </c>
      <c r="K61" s="27" t="s">
        <v>122</v>
      </c>
    </row>
    <row r="62" spans="1:11" x14ac:dyDescent="0.2">
      <c r="A62" s="27" t="s">
        <v>129</v>
      </c>
      <c r="B62" s="27" t="s">
        <v>136</v>
      </c>
      <c r="C62" s="27">
        <v>4.7</v>
      </c>
      <c r="D62" s="27">
        <v>2008</v>
      </c>
      <c r="E62" s="27">
        <v>8</v>
      </c>
      <c r="F62" s="27" t="s">
        <v>108</v>
      </c>
      <c r="G62" s="27">
        <v>4</v>
      </c>
      <c r="H62" s="27">
        <v>13</v>
      </c>
      <c r="I62" s="27">
        <v>17</v>
      </c>
      <c r="J62" s="27" t="s">
        <v>121</v>
      </c>
      <c r="K62" s="27" t="s">
        <v>122</v>
      </c>
    </row>
    <row r="63" spans="1:11" x14ac:dyDescent="0.2">
      <c r="A63" s="27" t="s">
        <v>129</v>
      </c>
      <c r="B63" s="27" t="s">
        <v>136</v>
      </c>
      <c r="C63" s="27">
        <v>5.2</v>
      </c>
      <c r="D63" s="27">
        <v>1999</v>
      </c>
      <c r="E63" s="27">
        <v>8</v>
      </c>
      <c r="F63" s="27" t="s">
        <v>120</v>
      </c>
      <c r="G63" s="27">
        <v>4</v>
      </c>
      <c r="H63" s="27">
        <v>11</v>
      </c>
      <c r="I63" s="27">
        <v>16</v>
      </c>
      <c r="J63" s="27" t="s">
        <v>121</v>
      </c>
      <c r="K63" s="27" t="s">
        <v>122</v>
      </c>
    </row>
    <row r="64" spans="1:11" x14ac:dyDescent="0.2">
      <c r="A64" s="27" t="s">
        <v>129</v>
      </c>
      <c r="B64" s="27" t="s">
        <v>136</v>
      </c>
      <c r="C64" s="27">
        <v>5.7</v>
      </c>
      <c r="D64" s="27">
        <v>2008</v>
      </c>
      <c r="E64" s="27">
        <v>8</v>
      </c>
      <c r="F64" s="27" t="s">
        <v>108</v>
      </c>
      <c r="G64" s="27">
        <v>4</v>
      </c>
      <c r="H64" s="27">
        <v>13</v>
      </c>
      <c r="I64" s="27">
        <v>18</v>
      </c>
      <c r="J64" s="27" t="s">
        <v>121</v>
      </c>
      <c r="K64" s="27" t="s">
        <v>122</v>
      </c>
    </row>
    <row r="65" spans="1:11" x14ac:dyDescent="0.2">
      <c r="A65" s="27" t="s">
        <v>129</v>
      </c>
      <c r="B65" s="27" t="s">
        <v>136</v>
      </c>
      <c r="C65" s="27">
        <v>5.9</v>
      </c>
      <c r="D65" s="27">
        <v>1999</v>
      </c>
      <c r="E65" s="27">
        <v>8</v>
      </c>
      <c r="F65" s="27" t="s">
        <v>120</v>
      </c>
      <c r="G65" s="27">
        <v>4</v>
      </c>
      <c r="H65" s="27">
        <v>11</v>
      </c>
      <c r="I65" s="27">
        <v>15</v>
      </c>
      <c r="J65" s="27" t="s">
        <v>121</v>
      </c>
      <c r="K65" s="27" t="s">
        <v>122</v>
      </c>
    </row>
    <row r="66" spans="1:11" x14ac:dyDescent="0.2">
      <c r="A66" s="27" t="s">
        <v>129</v>
      </c>
      <c r="B66" s="27" t="s">
        <v>137</v>
      </c>
      <c r="C66" s="27">
        <v>4.7</v>
      </c>
      <c r="D66" s="27">
        <v>2008</v>
      </c>
      <c r="E66" s="27">
        <v>8</v>
      </c>
      <c r="F66" s="27" t="s">
        <v>112</v>
      </c>
      <c r="G66" s="27">
        <v>4</v>
      </c>
      <c r="H66" s="27">
        <v>12</v>
      </c>
      <c r="I66" s="27">
        <v>16</v>
      </c>
      <c r="J66" s="27" t="s">
        <v>121</v>
      </c>
      <c r="K66" s="27" t="s">
        <v>135</v>
      </c>
    </row>
    <row r="67" spans="1:11" x14ac:dyDescent="0.2">
      <c r="A67" s="27" t="s">
        <v>129</v>
      </c>
      <c r="B67" s="27" t="s">
        <v>137</v>
      </c>
      <c r="C67" s="27">
        <v>4.7</v>
      </c>
      <c r="D67" s="27">
        <v>2008</v>
      </c>
      <c r="E67" s="27">
        <v>8</v>
      </c>
      <c r="F67" s="27" t="s">
        <v>108</v>
      </c>
      <c r="G67" s="27">
        <v>4</v>
      </c>
      <c r="H67" s="27">
        <v>9</v>
      </c>
      <c r="I67" s="27">
        <v>12</v>
      </c>
      <c r="J67" s="27" t="s">
        <v>123</v>
      </c>
      <c r="K67" s="27" t="s">
        <v>135</v>
      </c>
    </row>
    <row r="68" spans="1:11" x14ac:dyDescent="0.2">
      <c r="A68" s="27" t="s">
        <v>129</v>
      </c>
      <c r="B68" s="27" t="s">
        <v>137</v>
      </c>
      <c r="C68" s="27">
        <v>4.7</v>
      </c>
      <c r="D68" s="27">
        <v>2008</v>
      </c>
      <c r="E68" s="27">
        <v>8</v>
      </c>
      <c r="F68" s="27" t="s">
        <v>108</v>
      </c>
      <c r="G68" s="27">
        <v>4</v>
      </c>
      <c r="H68" s="27">
        <v>13</v>
      </c>
      <c r="I68" s="27">
        <v>17</v>
      </c>
      <c r="J68" s="27" t="s">
        <v>121</v>
      </c>
      <c r="K68" s="27" t="s">
        <v>135</v>
      </c>
    </row>
    <row r="69" spans="1:11" x14ac:dyDescent="0.2">
      <c r="A69" s="27" t="s">
        <v>129</v>
      </c>
      <c r="B69" s="27" t="s">
        <v>137</v>
      </c>
      <c r="C69" s="27">
        <v>4.7</v>
      </c>
      <c r="D69" s="27">
        <v>2008</v>
      </c>
      <c r="E69" s="27">
        <v>8</v>
      </c>
      <c r="F69" s="27" t="s">
        <v>108</v>
      </c>
      <c r="G69" s="27">
        <v>4</v>
      </c>
      <c r="H69" s="27">
        <v>13</v>
      </c>
      <c r="I69" s="27">
        <v>17</v>
      </c>
      <c r="J69" s="27" t="s">
        <v>121</v>
      </c>
      <c r="K69" s="27" t="s">
        <v>135</v>
      </c>
    </row>
    <row r="70" spans="1:11" x14ac:dyDescent="0.2">
      <c r="A70" s="27" t="s">
        <v>129</v>
      </c>
      <c r="B70" s="27" t="s">
        <v>137</v>
      </c>
      <c r="C70" s="27">
        <v>4.7</v>
      </c>
      <c r="D70" s="27">
        <v>2008</v>
      </c>
      <c r="E70" s="27">
        <v>8</v>
      </c>
      <c r="F70" s="27" t="s">
        <v>112</v>
      </c>
      <c r="G70" s="27">
        <v>4</v>
      </c>
      <c r="H70" s="27">
        <v>12</v>
      </c>
      <c r="I70" s="27">
        <v>16</v>
      </c>
      <c r="J70" s="27" t="s">
        <v>121</v>
      </c>
      <c r="K70" s="27" t="s">
        <v>135</v>
      </c>
    </row>
    <row r="71" spans="1:11" x14ac:dyDescent="0.2">
      <c r="A71" s="27" t="s">
        <v>129</v>
      </c>
      <c r="B71" s="27" t="s">
        <v>137</v>
      </c>
      <c r="C71" s="27">
        <v>4.7</v>
      </c>
      <c r="D71" s="27">
        <v>2008</v>
      </c>
      <c r="E71" s="27">
        <v>8</v>
      </c>
      <c r="F71" s="27" t="s">
        <v>112</v>
      </c>
      <c r="G71" s="27">
        <v>4</v>
      </c>
      <c r="H71" s="27">
        <v>9</v>
      </c>
      <c r="I71" s="27">
        <v>12</v>
      </c>
      <c r="J71" s="27" t="s">
        <v>123</v>
      </c>
      <c r="K71" s="27" t="s">
        <v>135</v>
      </c>
    </row>
    <row r="72" spans="1:11" x14ac:dyDescent="0.2">
      <c r="A72" s="27" t="s">
        <v>129</v>
      </c>
      <c r="B72" s="27" t="s">
        <v>137</v>
      </c>
      <c r="C72" s="27">
        <v>5.2</v>
      </c>
      <c r="D72" s="27">
        <v>1999</v>
      </c>
      <c r="E72" s="27">
        <v>8</v>
      </c>
      <c r="F72" s="27" t="s">
        <v>120</v>
      </c>
      <c r="G72" s="27">
        <v>4</v>
      </c>
      <c r="H72" s="27">
        <v>11</v>
      </c>
      <c r="I72" s="27">
        <v>15</v>
      </c>
      <c r="J72" s="27" t="s">
        <v>121</v>
      </c>
      <c r="K72" s="27" t="s">
        <v>135</v>
      </c>
    </row>
    <row r="73" spans="1:11" x14ac:dyDescent="0.2">
      <c r="A73" s="27" t="s">
        <v>129</v>
      </c>
      <c r="B73" s="27" t="s">
        <v>137</v>
      </c>
      <c r="C73" s="27">
        <v>5.2</v>
      </c>
      <c r="D73" s="27">
        <v>1999</v>
      </c>
      <c r="E73" s="27">
        <v>8</v>
      </c>
      <c r="F73" s="27" t="s">
        <v>111</v>
      </c>
      <c r="G73" s="27">
        <v>4</v>
      </c>
      <c r="H73" s="27">
        <v>11</v>
      </c>
      <c r="I73" s="27">
        <v>16</v>
      </c>
      <c r="J73" s="27" t="s">
        <v>121</v>
      </c>
      <c r="K73" s="27" t="s">
        <v>135</v>
      </c>
    </row>
    <row r="74" spans="1:11" x14ac:dyDescent="0.2">
      <c r="A74" s="27" t="s">
        <v>129</v>
      </c>
      <c r="B74" s="27" t="s">
        <v>137</v>
      </c>
      <c r="C74" s="27">
        <v>5.7</v>
      </c>
      <c r="D74" s="27">
        <v>2008</v>
      </c>
      <c r="E74" s="27">
        <v>8</v>
      </c>
      <c r="F74" s="27" t="s">
        <v>108</v>
      </c>
      <c r="G74" s="27">
        <v>4</v>
      </c>
      <c r="H74" s="27">
        <v>13</v>
      </c>
      <c r="I74" s="27">
        <v>17</v>
      </c>
      <c r="J74" s="27" t="s">
        <v>121</v>
      </c>
      <c r="K74" s="27" t="s">
        <v>135</v>
      </c>
    </row>
    <row r="75" spans="1:11" x14ac:dyDescent="0.2">
      <c r="A75" s="27" t="s">
        <v>129</v>
      </c>
      <c r="B75" s="27" t="s">
        <v>137</v>
      </c>
      <c r="C75" s="27">
        <v>5.9</v>
      </c>
      <c r="D75" s="27">
        <v>1999</v>
      </c>
      <c r="E75" s="27">
        <v>8</v>
      </c>
      <c r="F75" s="27" t="s">
        <v>120</v>
      </c>
      <c r="G75" s="27">
        <v>4</v>
      </c>
      <c r="H75" s="27">
        <v>11</v>
      </c>
      <c r="I75" s="27">
        <v>15</v>
      </c>
      <c r="J75" s="27" t="s">
        <v>121</v>
      </c>
      <c r="K75" s="27" t="s">
        <v>135</v>
      </c>
    </row>
    <row r="76" spans="1:11" x14ac:dyDescent="0.2">
      <c r="A76" s="27" t="s">
        <v>138</v>
      </c>
      <c r="B76" s="27" t="s">
        <v>139</v>
      </c>
      <c r="C76" s="27">
        <v>4.5999999999999996</v>
      </c>
      <c r="D76" s="27">
        <v>1999</v>
      </c>
      <c r="E76" s="27">
        <v>8</v>
      </c>
      <c r="F76" s="27" t="s">
        <v>120</v>
      </c>
      <c r="G76" s="27" t="s">
        <v>121</v>
      </c>
      <c r="H76" s="27">
        <v>11</v>
      </c>
      <c r="I76" s="27">
        <v>17</v>
      </c>
      <c r="J76" s="27" t="s">
        <v>121</v>
      </c>
      <c r="K76" s="27" t="s">
        <v>122</v>
      </c>
    </row>
    <row r="77" spans="1:11" x14ac:dyDescent="0.2">
      <c r="A77" s="27" t="s">
        <v>138</v>
      </c>
      <c r="B77" s="27" t="s">
        <v>139</v>
      </c>
      <c r="C77" s="27">
        <v>5.4</v>
      </c>
      <c r="D77" s="27">
        <v>1999</v>
      </c>
      <c r="E77" s="27">
        <v>8</v>
      </c>
      <c r="F77" s="27" t="s">
        <v>120</v>
      </c>
      <c r="G77" s="27" t="s">
        <v>121</v>
      </c>
      <c r="H77" s="27">
        <v>11</v>
      </c>
      <c r="I77" s="27">
        <v>17</v>
      </c>
      <c r="J77" s="27" t="s">
        <v>121</v>
      </c>
      <c r="K77" s="27" t="s">
        <v>122</v>
      </c>
    </row>
    <row r="78" spans="1:11" x14ac:dyDescent="0.2">
      <c r="A78" s="27" t="s">
        <v>138</v>
      </c>
      <c r="B78" s="27" t="s">
        <v>139</v>
      </c>
      <c r="C78" s="27">
        <v>5.4</v>
      </c>
      <c r="D78" s="27">
        <v>2008</v>
      </c>
      <c r="E78" s="27">
        <v>8</v>
      </c>
      <c r="F78" s="27" t="s">
        <v>133</v>
      </c>
      <c r="G78" s="27" t="s">
        <v>121</v>
      </c>
      <c r="H78" s="27">
        <v>12</v>
      </c>
      <c r="I78" s="27">
        <v>18</v>
      </c>
      <c r="J78" s="27" t="s">
        <v>121</v>
      </c>
      <c r="K78" s="27" t="s">
        <v>122</v>
      </c>
    </row>
    <row r="79" spans="1:11" x14ac:dyDescent="0.2">
      <c r="A79" s="27" t="s">
        <v>138</v>
      </c>
      <c r="B79" s="27" t="s">
        <v>140</v>
      </c>
      <c r="C79" s="27">
        <v>4</v>
      </c>
      <c r="D79" s="27">
        <v>1999</v>
      </c>
      <c r="E79" s="27">
        <v>6</v>
      </c>
      <c r="F79" s="27" t="s">
        <v>108</v>
      </c>
      <c r="G79" s="27">
        <v>4</v>
      </c>
      <c r="H79" s="27">
        <v>14</v>
      </c>
      <c r="I79" s="27">
        <v>17</v>
      </c>
      <c r="J79" s="27" t="s">
        <v>121</v>
      </c>
      <c r="K79" s="27" t="s">
        <v>122</v>
      </c>
    </row>
    <row r="80" spans="1:11" x14ac:dyDescent="0.2">
      <c r="A80" s="27" t="s">
        <v>138</v>
      </c>
      <c r="B80" s="27" t="s">
        <v>140</v>
      </c>
      <c r="C80" s="27">
        <v>4</v>
      </c>
      <c r="D80" s="27">
        <v>1999</v>
      </c>
      <c r="E80" s="27">
        <v>6</v>
      </c>
      <c r="F80" s="27" t="s">
        <v>111</v>
      </c>
      <c r="G80" s="27">
        <v>4</v>
      </c>
      <c r="H80" s="27">
        <v>15</v>
      </c>
      <c r="I80" s="27">
        <v>19</v>
      </c>
      <c r="J80" s="27" t="s">
        <v>121</v>
      </c>
      <c r="K80" s="27" t="s">
        <v>122</v>
      </c>
    </row>
    <row r="81" spans="1:11" x14ac:dyDescent="0.2">
      <c r="A81" s="27" t="s">
        <v>138</v>
      </c>
      <c r="B81" s="27" t="s">
        <v>140</v>
      </c>
      <c r="C81" s="27">
        <v>4</v>
      </c>
      <c r="D81" s="27">
        <v>1999</v>
      </c>
      <c r="E81" s="27">
        <v>6</v>
      </c>
      <c r="F81" s="27" t="s">
        <v>108</v>
      </c>
      <c r="G81" s="27">
        <v>4</v>
      </c>
      <c r="H81" s="27">
        <v>14</v>
      </c>
      <c r="I81" s="27">
        <v>17</v>
      </c>
      <c r="J81" s="27" t="s">
        <v>121</v>
      </c>
      <c r="K81" s="27" t="s">
        <v>122</v>
      </c>
    </row>
    <row r="82" spans="1:11" x14ac:dyDescent="0.2">
      <c r="A82" s="27" t="s">
        <v>138</v>
      </c>
      <c r="B82" s="27" t="s">
        <v>140</v>
      </c>
      <c r="C82" s="27">
        <v>4</v>
      </c>
      <c r="D82" s="27">
        <v>2008</v>
      </c>
      <c r="E82" s="27">
        <v>6</v>
      </c>
      <c r="F82" s="27" t="s">
        <v>108</v>
      </c>
      <c r="G82" s="27">
        <v>4</v>
      </c>
      <c r="H82" s="27">
        <v>13</v>
      </c>
      <c r="I82" s="27">
        <v>19</v>
      </c>
      <c r="J82" s="27" t="s">
        <v>121</v>
      </c>
      <c r="K82" s="27" t="s">
        <v>122</v>
      </c>
    </row>
    <row r="83" spans="1:11" x14ac:dyDescent="0.2">
      <c r="A83" s="27" t="s">
        <v>138</v>
      </c>
      <c r="B83" s="27" t="s">
        <v>140</v>
      </c>
      <c r="C83" s="27">
        <v>4.5999999999999996</v>
      </c>
      <c r="D83" s="27">
        <v>2008</v>
      </c>
      <c r="E83" s="27">
        <v>8</v>
      </c>
      <c r="F83" s="27" t="s">
        <v>133</v>
      </c>
      <c r="G83" s="27">
        <v>4</v>
      </c>
      <c r="H83" s="27">
        <v>13</v>
      </c>
      <c r="I83" s="27">
        <v>19</v>
      </c>
      <c r="J83" s="27" t="s">
        <v>121</v>
      </c>
      <c r="K83" s="27" t="s">
        <v>122</v>
      </c>
    </row>
    <row r="84" spans="1:11" x14ac:dyDescent="0.2">
      <c r="A84" s="27" t="s">
        <v>138</v>
      </c>
      <c r="B84" s="27" t="s">
        <v>140</v>
      </c>
      <c r="C84" s="27">
        <v>5</v>
      </c>
      <c r="D84" s="27">
        <v>1999</v>
      </c>
      <c r="E84" s="27">
        <v>8</v>
      </c>
      <c r="F84" s="27" t="s">
        <v>120</v>
      </c>
      <c r="G84" s="27">
        <v>4</v>
      </c>
      <c r="H84" s="27">
        <v>13</v>
      </c>
      <c r="I84" s="27">
        <v>17</v>
      </c>
      <c r="J84" s="27" t="s">
        <v>121</v>
      </c>
      <c r="K84" s="27" t="s">
        <v>122</v>
      </c>
    </row>
    <row r="85" spans="1:11" x14ac:dyDescent="0.2">
      <c r="A85" s="27" t="s">
        <v>138</v>
      </c>
      <c r="B85" s="27" t="s">
        <v>141</v>
      </c>
      <c r="C85" s="27">
        <v>4.2</v>
      </c>
      <c r="D85" s="27">
        <v>1999</v>
      </c>
      <c r="E85" s="27">
        <v>6</v>
      </c>
      <c r="F85" s="27" t="s">
        <v>120</v>
      </c>
      <c r="G85" s="27">
        <v>4</v>
      </c>
      <c r="H85" s="27">
        <v>14</v>
      </c>
      <c r="I85" s="27">
        <v>17</v>
      </c>
      <c r="J85" s="27" t="s">
        <v>121</v>
      </c>
      <c r="K85" s="27" t="s">
        <v>135</v>
      </c>
    </row>
    <row r="86" spans="1:11" x14ac:dyDescent="0.2">
      <c r="A86" s="27" t="s">
        <v>138</v>
      </c>
      <c r="B86" s="27" t="s">
        <v>141</v>
      </c>
      <c r="C86" s="27">
        <v>4.2</v>
      </c>
      <c r="D86" s="27">
        <v>1999</v>
      </c>
      <c r="E86" s="27">
        <v>6</v>
      </c>
      <c r="F86" s="27" t="s">
        <v>111</v>
      </c>
      <c r="G86" s="27">
        <v>4</v>
      </c>
      <c r="H86" s="27">
        <v>14</v>
      </c>
      <c r="I86" s="27">
        <v>17</v>
      </c>
      <c r="J86" s="27" t="s">
        <v>121</v>
      </c>
      <c r="K86" s="27" t="s">
        <v>135</v>
      </c>
    </row>
    <row r="87" spans="1:11" x14ac:dyDescent="0.2">
      <c r="A87" s="27" t="s">
        <v>138</v>
      </c>
      <c r="B87" s="27" t="s">
        <v>141</v>
      </c>
      <c r="C87" s="27">
        <v>4.5999999999999996</v>
      </c>
      <c r="D87" s="27">
        <v>1999</v>
      </c>
      <c r="E87" s="27">
        <v>8</v>
      </c>
      <c r="F87" s="27" t="s">
        <v>111</v>
      </c>
      <c r="G87" s="27">
        <v>4</v>
      </c>
      <c r="H87" s="27">
        <v>13</v>
      </c>
      <c r="I87" s="27">
        <v>16</v>
      </c>
      <c r="J87" s="27" t="s">
        <v>121</v>
      </c>
      <c r="K87" s="27" t="s">
        <v>135</v>
      </c>
    </row>
    <row r="88" spans="1:11" x14ac:dyDescent="0.2">
      <c r="A88" s="27" t="s">
        <v>138</v>
      </c>
      <c r="B88" s="27" t="s">
        <v>141</v>
      </c>
      <c r="C88" s="27">
        <v>4.5999999999999996</v>
      </c>
      <c r="D88" s="27">
        <v>1999</v>
      </c>
      <c r="E88" s="27">
        <v>8</v>
      </c>
      <c r="F88" s="27" t="s">
        <v>120</v>
      </c>
      <c r="G88" s="27">
        <v>4</v>
      </c>
      <c r="H88" s="27">
        <v>13</v>
      </c>
      <c r="I88" s="27">
        <v>16</v>
      </c>
      <c r="J88" s="27" t="s">
        <v>121</v>
      </c>
      <c r="K88" s="27" t="s">
        <v>135</v>
      </c>
    </row>
    <row r="89" spans="1:11" x14ac:dyDescent="0.2">
      <c r="A89" s="27" t="s">
        <v>138</v>
      </c>
      <c r="B89" s="27" t="s">
        <v>141</v>
      </c>
      <c r="C89" s="27">
        <v>4.5999999999999996</v>
      </c>
      <c r="D89" s="27">
        <v>2008</v>
      </c>
      <c r="E89" s="27">
        <v>8</v>
      </c>
      <c r="F89" s="27" t="s">
        <v>120</v>
      </c>
      <c r="G89" s="27">
        <v>4</v>
      </c>
      <c r="H89" s="27">
        <v>13</v>
      </c>
      <c r="I89" s="27">
        <v>17</v>
      </c>
      <c r="J89" s="27" t="s">
        <v>121</v>
      </c>
      <c r="K89" s="27" t="s">
        <v>135</v>
      </c>
    </row>
    <row r="90" spans="1:11" x14ac:dyDescent="0.2">
      <c r="A90" s="27" t="s">
        <v>138</v>
      </c>
      <c r="B90" s="27" t="s">
        <v>141</v>
      </c>
      <c r="C90" s="27">
        <v>5.4</v>
      </c>
      <c r="D90" s="27">
        <v>1999</v>
      </c>
      <c r="E90" s="27">
        <v>8</v>
      </c>
      <c r="F90" s="27" t="s">
        <v>120</v>
      </c>
      <c r="G90" s="27">
        <v>4</v>
      </c>
      <c r="H90" s="27">
        <v>11</v>
      </c>
      <c r="I90" s="27">
        <v>15</v>
      </c>
      <c r="J90" s="27" t="s">
        <v>121</v>
      </c>
      <c r="K90" s="27" t="s">
        <v>135</v>
      </c>
    </row>
    <row r="91" spans="1:11" x14ac:dyDescent="0.2">
      <c r="A91" s="27" t="s">
        <v>138</v>
      </c>
      <c r="B91" s="27" t="s">
        <v>141</v>
      </c>
      <c r="C91" s="27">
        <v>5.4</v>
      </c>
      <c r="D91" s="27">
        <v>2008</v>
      </c>
      <c r="E91" s="27">
        <v>8</v>
      </c>
      <c r="F91" s="27" t="s">
        <v>120</v>
      </c>
      <c r="G91" s="27">
        <v>4</v>
      </c>
      <c r="H91" s="27">
        <v>13</v>
      </c>
      <c r="I91" s="27">
        <v>17</v>
      </c>
      <c r="J91" s="27" t="s">
        <v>121</v>
      </c>
      <c r="K91" s="27" t="s">
        <v>135</v>
      </c>
    </row>
    <row r="92" spans="1:11" x14ac:dyDescent="0.2">
      <c r="A92" s="27" t="s">
        <v>138</v>
      </c>
      <c r="B92" s="27" t="s">
        <v>142</v>
      </c>
      <c r="C92" s="27">
        <v>3.8</v>
      </c>
      <c r="D92" s="27">
        <v>1999</v>
      </c>
      <c r="E92" s="27">
        <v>6</v>
      </c>
      <c r="F92" s="27" t="s">
        <v>111</v>
      </c>
      <c r="G92" s="27" t="s">
        <v>121</v>
      </c>
      <c r="H92" s="27">
        <v>18</v>
      </c>
      <c r="I92" s="27">
        <v>26</v>
      </c>
      <c r="J92" s="27" t="s">
        <v>121</v>
      </c>
      <c r="K92" s="27" t="s">
        <v>143</v>
      </c>
    </row>
    <row r="93" spans="1:11" x14ac:dyDescent="0.2">
      <c r="A93" s="27" t="s">
        <v>138</v>
      </c>
      <c r="B93" s="27" t="s">
        <v>142</v>
      </c>
      <c r="C93" s="27">
        <v>3.8</v>
      </c>
      <c r="D93" s="27">
        <v>1999</v>
      </c>
      <c r="E93" s="27">
        <v>6</v>
      </c>
      <c r="F93" s="27" t="s">
        <v>120</v>
      </c>
      <c r="G93" s="27" t="s">
        <v>121</v>
      </c>
      <c r="H93" s="27">
        <v>18</v>
      </c>
      <c r="I93" s="27">
        <v>25</v>
      </c>
      <c r="J93" s="27" t="s">
        <v>121</v>
      </c>
      <c r="K93" s="27" t="s">
        <v>143</v>
      </c>
    </row>
    <row r="94" spans="1:11" x14ac:dyDescent="0.2">
      <c r="A94" s="27" t="s">
        <v>138</v>
      </c>
      <c r="B94" s="27" t="s">
        <v>142</v>
      </c>
      <c r="C94" s="27">
        <v>4</v>
      </c>
      <c r="D94" s="27">
        <v>2008</v>
      </c>
      <c r="E94" s="27">
        <v>6</v>
      </c>
      <c r="F94" s="27" t="s">
        <v>111</v>
      </c>
      <c r="G94" s="27" t="s">
        <v>121</v>
      </c>
      <c r="H94" s="27">
        <v>17</v>
      </c>
      <c r="I94" s="27">
        <v>26</v>
      </c>
      <c r="J94" s="27" t="s">
        <v>121</v>
      </c>
      <c r="K94" s="27" t="s">
        <v>143</v>
      </c>
    </row>
    <row r="95" spans="1:11" x14ac:dyDescent="0.2">
      <c r="A95" s="27" t="s">
        <v>138</v>
      </c>
      <c r="B95" s="27" t="s">
        <v>142</v>
      </c>
      <c r="C95" s="27">
        <v>4</v>
      </c>
      <c r="D95" s="27">
        <v>2008</v>
      </c>
      <c r="E95" s="27">
        <v>6</v>
      </c>
      <c r="F95" s="27" t="s">
        <v>108</v>
      </c>
      <c r="G95" s="27" t="s">
        <v>121</v>
      </c>
      <c r="H95" s="27">
        <v>16</v>
      </c>
      <c r="I95" s="27">
        <v>24</v>
      </c>
      <c r="J95" s="27" t="s">
        <v>121</v>
      </c>
      <c r="K95" s="27" t="s">
        <v>143</v>
      </c>
    </row>
    <row r="96" spans="1:11" x14ac:dyDescent="0.2">
      <c r="A96" s="27" t="s">
        <v>138</v>
      </c>
      <c r="B96" s="27" t="s">
        <v>142</v>
      </c>
      <c r="C96" s="27">
        <v>4.5999999999999996</v>
      </c>
      <c r="D96" s="27">
        <v>1999</v>
      </c>
      <c r="E96" s="27">
        <v>8</v>
      </c>
      <c r="F96" s="27" t="s">
        <v>120</v>
      </c>
      <c r="G96" s="27" t="s">
        <v>121</v>
      </c>
      <c r="H96" s="27">
        <v>15</v>
      </c>
      <c r="I96" s="27">
        <v>21</v>
      </c>
      <c r="J96" s="27" t="s">
        <v>121</v>
      </c>
      <c r="K96" s="27" t="s">
        <v>143</v>
      </c>
    </row>
    <row r="97" spans="1:11" x14ac:dyDescent="0.2">
      <c r="A97" s="27" t="s">
        <v>138</v>
      </c>
      <c r="B97" s="27" t="s">
        <v>142</v>
      </c>
      <c r="C97" s="27">
        <v>4.5999999999999996</v>
      </c>
      <c r="D97" s="27">
        <v>1999</v>
      </c>
      <c r="E97" s="27">
        <v>8</v>
      </c>
      <c r="F97" s="27" t="s">
        <v>111</v>
      </c>
      <c r="G97" s="27" t="s">
        <v>121</v>
      </c>
      <c r="H97" s="27">
        <v>15</v>
      </c>
      <c r="I97" s="27">
        <v>22</v>
      </c>
      <c r="J97" s="27" t="s">
        <v>121</v>
      </c>
      <c r="K97" s="27" t="s">
        <v>143</v>
      </c>
    </row>
    <row r="98" spans="1:11" x14ac:dyDescent="0.2">
      <c r="A98" s="27" t="s">
        <v>138</v>
      </c>
      <c r="B98" s="27" t="s">
        <v>142</v>
      </c>
      <c r="C98" s="27">
        <v>4.5999999999999996</v>
      </c>
      <c r="D98" s="27">
        <v>2008</v>
      </c>
      <c r="E98" s="27">
        <v>8</v>
      </c>
      <c r="F98" s="27" t="s">
        <v>111</v>
      </c>
      <c r="G98" s="27" t="s">
        <v>121</v>
      </c>
      <c r="H98" s="27">
        <v>15</v>
      </c>
      <c r="I98" s="27">
        <v>23</v>
      </c>
      <c r="J98" s="27" t="s">
        <v>121</v>
      </c>
      <c r="K98" s="27" t="s">
        <v>143</v>
      </c>
    </row>
    <row r="99" spans="1:11" x14ac:dyDescent="0.2">
      <c r="A99" s="27" t="s">
        <v>138</v>
      </c>
      <c r="B99" s="27" t="s">
        <v>142</v>
      </c>
      <c r="C99" s="27">
        <v>4.5999999999999996</v>
      </c>
      <c r="D99" s="27">
        <v>2008</v>
      </c>
      <c r="E99" s="27">
        <v>8</v>
      </c>
      <c r="F99" s="27" t="s">
        <v>108</v>
      </c>
      <c r="G99" s="27" t="s">
        <v>121</v>
      </c>
      <c r="H99" s="27">
        <v>15</v>
      </c>
      <c r="I99" s="27">
        <v>22</v>
      </c>
      <c r="J99" s="27" t="s">
        <v>121</v>
      </c>
      <c r="K99" s="27" t="s">
        <v>143</v>
      </c>
    </row>
    <row r="100" spans="1:11" x14ac:dyDescent="0.2">
      <c r="A100" s="27" t="s">
        <v>138</v>
      </c>
      <c r="B100" s="27" t="s">
        <v>142</v>
      </c>
      <c r="C100" s="27">
        <v>5.4</v>
      </c>
      <c r="D100" s="27">
        <v>2008</v>
      </c>
      <c r="E100" s="27">
        <v>8</v>
      </c>
      <c r="F100" s="27" t="s">
        <v>112</v>
      </c>
      <c r="G100" s="27" t="s">
        <v>121</v>
      </c>
      <c r="H100" s="27">
        <v>14</v>
      </c>
      <c r="I100" s="27">
        <v>20</v>
      </c>
      <c r="J100" s="27" t="s">
        <v>10</v>
      </c>
      <c r="K100" s="27" t="s">
        <v>143</v>
      </c>
    </row>
    <row r="101" spans="1:11" x14ac:dyDescent="0.2">
      <c r="A101" s="27" t="s">
        <v>144</v>
      </c>
      <c r="B101" s="27" t="s">
        <v>145</v>
      </c>
      <c r="C101" s="27">
        <v>1.6</v>
      </c>
      <c r="D101" s="27">
        <v>1999</v>
      </c>
      <c r="E101" s="27">
        <v>4</v>
      </c>
      <c r="F101" s="27" t="s">
        <v>111</v>
      </c>
      <c r="G101" s="27" t="s">
        <v>109</v>
      </c>
      <c r="H101" s="27">
        <v>28</v>
      </c>
      <c r="I101" s="27">
        <v>33</v>
      </c>
      <c r="J101" s="27" t="s">
        <v>121</v>
      </c>
      <c r="K101" s="27" t="s">
        <v>143</v>
      </c>
    </row>
    <row r="102" spans="1:11" x14ac:dyDescent="0.2">
      <c r="A102" s="27" t="s">
        <v>144</v>
      </c>
      <c r="B102" s="27" t="s">
        <v>145</v>
      </c>
      <c r="C102" s="27">
        <v>1.6</v>
      </c>
      <c r="D102" s="27">
        <v>1999</v>
      </c>
      <c r="E102" s="27">
        <v>4</v>
      </c>
      <c r="F102" s="27" t="s">
        <v>120</v>
      </c>
      <c r="G102" s="27" t="s">
        <v>109</v>
      </c>
      <c r="H102" s="27">
        <v>24</v>
      </c>
      <c r="I102" s="27">
        <v>32</v>
      </c>
      <c r="J102" s="27" t="s">
        <v>121</v>
      </c>
      <c r="K102" s="27" t="s">
        <v>143</v>
      </c>
    </row>
    <row r="103" spans="1:11" x14ac:dyDescent="0.2">
      <c r="A103" s="27" t="s">
        <v>144</v>
      </c>
      <c r="B103" s="27" t="s">
        <v>145</v>
      </c>
      <c r="C103" s="27">
        <v>1.6</v>
      </c>
      <c r="D103" s="27">
        <v>1999</v>
      </c>
      <c r="E103" s="27">
        <v>4</v>
      </c>
      <c r="F103" s="27" t="s">
        <v>111</v>
      </c>
      <c r="G103" s="27" t="s">
        <v>109</v>
      </c>
      <c r="H103" s="27">
        <v>25</v>
      </c>
      <c r="I103" s="27">
        <v>32</v>
      </c>
      <c r="J103" s="27" t="s">
        <v>121</v>
      </c>
      <c r="K103" s="27" t="s">
        <v>143</v>
      </c>
    </row>
    <row r="104" spans="1:11" x14ac:dyDescent="0.2">
      <c r="A104" s="27" t="s">
        <v>144</v>
      </c>
      <c r="B104" s="27" t="s">
        <v>145</v>
      </c>
      <c r="C104" s="27">
        <v>1.6</v>
      </c>
      <c r="D104" s="27">
        <v>1999</v>
      </c>
      <c r="E104" s="27">
        <v>4</v>
      </c>
      <c r="F104" s="27" t="s">
        <v>111</v>
      </c>
      <c r="G104" s="27" t="s">
        <v>109</v>
      </c>
      <c r="H104" s="27">
        <v>23</v>
      </c>
      <c r="I104" s="27">
        <v>29</v>
      </c>
      <c r="J104" s="27" t="s">
        <v>10</v>
      </c>
      <c r="K104" s="27" t="s">
        <v>143</v>
      </c>
    </row>
    <row r="105" spans="1:11" x14ac:dyDescent="0.2">
      <c r="A105" s="27" t="s">
        <v>144</v>
      </c>
      <c r="B105" s="27" t="s">
        <v>145</v>
      </c>
      <c r="C105" s="27">
        <v>1.6</v>
      </c>
      <c r="D105" s="27">
        <v>1999</v>
      </c>
      <c r="E105" s="27">
        <v>4</v>
      </c>
      <c r="F105" s="27" t="s">
        <v>120</v>
      </c>
      <c r="G105" s="27" t="s">
        <v>109</v>
      </c>
      <c r="H105" s="27">
        <v>24</v>
      </c>
      <c r="I105" s="27">
        <v>32</v>
      </c>
      <c r="J105" s="27" t="s">
        <v>121</v>
      </c>
      <c r="K105" s="27" t="s">
        <v>143</v>
      </c>
    </row>
    <row r="106" spans="1:11" x14ac:dyDescent="0.2">
      <c r="A106" s="27" t="s">
        <v>144</v>
      </c>
      <c r="B106" s="27" t="s">
        <v>145</v>
      </c>
      <c r="C106" s="27">
        <v>1.8</v>
      </c>
      <c r="D106" s="27">
        <v>2008</v>
      </c>
      <c r="E106" s="27">
        <v>4</v>
      </c>
      <c r="F106" s="27" t="s">
        <v>111</v>
      </c>
      <c r="G106" s="27" t="s">
        <v>109</v>
      </c>
      <c r="H106" s="27">
        <v>26</v>
      </c>
      <c r="I106" s="27">
        <v>34</v>
      </c>
      <c r="J106" s="27" t="s">
        <v>121</v>
      </c>
      <c r="K106" s="27" t="s">
        <v>143</v>
      </c>
    </row>
    <row r="107" spans="1:11" x14ac:dyDescent="0.2">
      <c r="A107" s="27" t="s">
        <v>144</v>
      </c>
      <c r="B107" s="27" t="s">
        <v>145</v>
      </c>
      <c r="C107" s="27">
        <v>1.8</v>
      </c>
      <c r="D107" s="27">
        <v>2008</v>
      </c>
      <c r="E107" s="27">
        <v>4</v>
      </c>
      <c r="F107" s="27" t="s">
        <v>108</v>
      </c>
      <c r="G107" s="27" t="s">
        <v>109</v>
      </c>
      <c r="H107" s="27">
        <v>25</v>
      </c>
      <c r="I107" s="27">
        <v>36</v>
      </c>
      <c r="J107" s="27" t="s">
        <v>121</v>
      </c>
      <c r="K107" s="27" t="s">
        <v>143</v>
      </c>
    </row>
    <row r="108" spans="1:11" x14ac:dyDescent="0.2">
      <c r="A108" s="27" t="s">
        <v>144</v>
      </c>
      <c r="B108" s="27" t="s">
        <v>145</v>
      </c>
      <c r="C108" s="27">
        <v>1.8</v>
      </c>
      <c r="D108" s="27">
        <v>2008</v>
      </c>
      <c r="E108" s="27">
        <v>4</v>
      </c>
      <c r="F108" s="27" t="s">
        <v>108</v>
      </c>
      <c r="G108" s="27" t="s">
        <v>109</v>
      </c>
      <c r="H108" s="27">
        <v>24</v>
      </c>
      <c r="I108" s="27">
        <v>36</v>
      </c>
      <c r="J108" s="27" t="s">
        <v>146</v>
      </c>
      <c r="K108" s="27" t="s">
        <v>143</v>
      </c>
    </row>
    <row r="109" spans="1:11" x14ac:dyDescent="0.2">
      <c r="A109" s="27" t="s">
        <v>144</v>
      </c>
      <c r="B109" s="27" t="s">
        <v>145</v>
      </c>
      <c r="C109" s="27">
        <v>2</v>
      </c>
      <c r="D109" s="27">
        <v>2008</v>
      </c>
      <c r="E109" s="27">
        <v>4</v>
      </c>
      <c r="F109" s="27" t="s">
        <v>112</v>
      </c>
      <c r="G109" s="27" t="s">
        <v>109</v>
      </c>
      <c r="H109" s="27">
        <v>21</v>
      </c>
      <c r="I109" s="27">
        <v>29</v>
      </c>
      <c r="J109" s="27" t="s">
        <v>10</v>
      </c>
      <c r="K109" s="27" t="s">
        <v>143</v>
      </c>
    </row>
    <row r="110" spans="1:11" x14ac:dyDescent="0.2">
      <c r="A110" s="27" t="s">
        <v>147</v>
      </c>
      <c r="B110" s="27" t="s">
        <v>148</v>
      </c>
      <c r="C110" s="27">
        <v>2.4</v>
      </c>
      <c r="D110" s="27">
        <v>1999</v>
      </c>
      <c r="E110" s="27">
        <v>4</v>
      </c>
      <c r="F110" s="27" t="s">
        <v>120</v>
      </c>
      <c r="G110" s="27" t="s">
        <v>109</v>
      </c>
      <c r="H110" s="27">
        <v>18</v>
      </c>
      <c r="I110" s="27">
        <v>26</v>
      </c>
      <c r="J110" s="27" t="s">
        <v>121</v>
      </c>
      <c r="K110" s="27" t="s">
        <v>117</v>
      </c>
    </row>
    <row r="111" spans="1:11" x14ac:dyDescent="0.2">
      <c r="A111" s="27" t="s">
        <v>147</v>
      </c>
      <c r="B111" s="27" t="s">
        <v>148</v>
      </c>
      <c r="C111" s="27">
        <v>2.4</v>
      </c>
      <c r="D111" s="27">
        <v>1999</v>
      </c>
      <c r="E111" s="27">
        <v>4</v>
      </c>
      <c r="F111" s="27" t="s">
        <v>111</v>
      </c>
      <c r="G111" s="27" t="s">
        <v>109</v>
      </c>
      <c r="H111" s="27">
        <v>18</v>
      </c>
      <c r="I111" s="27">
        <v>27</v>
      </c>
      <c r="J111" s="27" t="s">
        <v>121</v>
      </c>
      <c r="K111" s="27" t="s">
        <v>117</v>
      </c>
    </row>
    <row r="112" spans="1:11" x14ac:dyDescent="0.2">
      <c r="A112" s="27" t="s">
        <v>147</v>
      </c>
      <c r="B112" s="27" t="s">
        <v>148</v>
      </c>
      <c r="C112" s="27">
        <v>2.4</v>
      </c>
      <c r="D112" s="27">
        <v>2008</v>
      </c>
      <c r="E112" s="27">
        <v>4</v>
      </c>
      <c r="F112" s="27" t="s">
        <v>120</v>
      </c>
      <c r="G112" s="27" t="s">
        <v>109</v>
      </c>
      <c r="H112" s="27">
        <v>21</v>
      </c>
      <c r="I112" s="27">
        <v>30</v>
      </c>
      <c r="J112" s="27" t="s">
        <v>121</v>
      </c>
      <c r="K112" s="27" t="s">
        <v>117</v>
      </c>
    </row>
    <row r="113" spans="1:11" x14ac:dyDescent="0.2">
      <c r="A113" s="27" t="s">
        <v>147</v>
      </c>
      <c r="B113" s="27" t="s">
        <v>148</v>
      </c>
      <c r="C113" s="27">
        <v>2.4</v>
      </c>
      <c r="D113" s="27">
        <v>2008</v>
      </c>
      <c r="E113" s="27">
        <v>4</v>
      </c>
      <c r="F113" s="27" t="s">
        <v>111</v>
      </c>
      <c r="G113" s="27" t="s">
        <v>109</v>
      </c>
      <c r="H113" s="27">
        <v>21</v>
      </c>
      <c r="I113" s="27">
        <v>31</v>
      </c>
      <c r="J113" s="27" t="s">
        <v>121</v>
      </c>
      <c r="K113" s="27" t="s">
        <v>117</v>
      </c>
    </row>
    <row r="114" spans="1:11" x14ac:dyDescent="0.2">
      <c r="A114" s="27" t="s">
        <v>147</v>
      </c>
      <c r="B114" s="27" t="s">
        <v>148</v>
      </c>
      <c r="C114" s="27">
        <v>2.5</v>
      </c>
      <c r="D114" s="27">
        <v>1999</v>
      </c>
      <c r="E114" s="27">
        <v>6</v>
      </c>
      <c r="F114" s="27" t="s">
        <v>120</v>
      </c>
      <c r="G114" s="27" t="s">
        <v>109</v>
      </c>
      <c r="H114" s="27">
        <v>18</v>
      </c>
      <c r="I114" s="27">
        <v>26</v>
      </c>
      <c r="J114" s="27" t="s">
        <v>121</v>
      </c>
      <c r="K114" s="27" t="s">
        <v>117</v>
      </c>
    </row>
    <row r="115" spans="1:11" x14ac:dyDescent="0.2">
      <c r="A115" s="27" t="s">
        <v>147</v>
      </c>
      <c r="B115" s="27" t="s">
        <v>148</v>
      </c>
      <c r="C115" s="27">
        <v>2.5</v>
      </c>
      <c r="D115" s="27">
        <v>1999</v>
      </c>
      <c r="E115" s="27">
        <v>6</v>
      </c>
      <c r="F115" s="27" t="s">
        <v>111</v>
      </c>
      <c r="G115" s="27" t="s">
        <v>109</v>
      </c>
      <c r="H115" s="27">
        <v>18</v>
      </c>
      <c r="I115" s="27">
        <v>26</v>
      </c>
      <c r="J115" s="27" t="s">
        <v>121</v>
      </c>
      <c r="K115" s="27" t="s">
        <v>117</v>
      </c>
    </row>
    <row r="116" spans="1:11" x14ac:dyDescent="0.2">
      <c r="A116" s="27" t="s">
        <v>147</v>
      </c>
      <c r="B116" s="27" t="s">
        <v>148</v>
      </c>
      <c r="C116" s="27">
        <v>3.3</v>
      </c>
      <c r="D116" s="27">
        <v>2008</v>
      </c>
      <c r="E116" s="27">
        <v>6</v>
      </c>
      <c r="F116" s="27" t="s">
        <v>108</v>
      </c>
      <c r="G116" s="27" t="s">
        <v>109</v>
      </c>
      <c r="H116" s="27">
        <v>19</v>
      </c>
      <c r="I116" s="27">
        <v>28</v>
      </c>
      <c r="J116" s="27" t="s">
        <v>121</v>
      </c>
      <c r="K116" s="27" t="s">
        <v>117</v>
      </c>
    </row>
    <row r="117" spans="1:11" x14ac:dyDescent="0.2">
      <c r="A117" s="27" t="s">
        <v>147</v>
      </c>
      <c r="B117" s="27" t="s">
        <v>149</v>
      </c>
      <c r="C117" s="27">
        <v>2</v>
      </c>
      <c r="D117" s="27">
        <v>1999</v>
      </c>
      <c r="E117" s="27">
        <v>4</v>
      </c>
      <c r="F117" s="27" t="s">
        <v>120</v>
      </c>
      <c r="G117" s="27" t="s">
        <v>109</v>
      </c>
      <c r="H117" s="27">
        <v>19</v>
      </c>
      <c r="I117" s="27">
        <v>26</v>
      </c>
      <c r="J117" s="27" t="s">
        <v>121</v>
      </c>
      <c r="K117" s="27" t="s">
        <v>143</v>
      </c>
    </row>
    <row r="118" spans="1:11" x14ac:dyDescent="0.2">
      <c r="A118" s="27" t="s">
        <v>147</v>
      </c>
      <c r="B118" s="27" t="s">
        <v>149</v>
      </c>
      <c r="C118" s="27">
        <v>2</v>
      </c>
      <c r="D118" s="27">
        <v>1999</v>
      </c>
      <c r="E118" s="27">
        <v>4</v>
      </c>
      <c r="F118" s="27" t="s">
        <v>111</v>
      </c>
      <c r="G118" s="27" t="s">
        <v>109</v>
      </c>
      <c r="H118" s="27">
        <v>19</v>
      </c>
      <c r="I118" s="27">
        <v>29</v>
      </c>
      <c r="J118" s="27" t="s">
        <v>121</v>
      </c>
      <c r="K118" s="27" t="s">
        <v>143</v>
      </c>
    </row>
    <row r="119" spans="1:11" x14ac:dyDescent="0.2">
      <c r="A119" s="27" t="s">
        <v>147</v>
      </c>
      <c r="B119" s="27" t="s">
        <v>149</v>
      </c>
      <c r="C119" s="27">
        <v>2</v>
      </c>
      <c r="D119" s="27">
        <v>2008</v>
      </c>
      <c r="E119" s="27">
        <v>4</v>
      </c>
      <c r="F119" s="27" t="s">
        <v>111</v>
      </c>
      <c r="G119" s="27" t="s">
        <v>109</v>
      </c>
      <c r="H119" s="27">
        <v>20</v>
      </c>
      <c r="I119" s="27">
        <v>28</v>
      </c>
      <c r="J119" s="27" t="s">
        <v>121</v>
      </c>
      <c r="K119" s="27" t="s">
        <v>143</v>
      </c>
    </row>
    <row r="120" spans="1:11" x14ac:dyDescent="0.2">
      <c r="A120" s="27" t="s">
        <v>147</v>
      </c>
      <c r="B120" s="27" t="s">
        <v>149</v>
      </c>
      <c r="C120" s="27">
        <v>2</v>
      </c>
      <c r="D120" s="27">
        <v>2008</v>
      </c>
      <c r="E120" s="27">
        <v>4</v>
      </c>
      <c r="F120" s="27" t="s">
        <v>120</v>
      </c>
      <c r="G120" s="27" t="s">
        <v>109</v>
      </c>
      <c r="H120" s="27">
        <v>20</v>
      </c>
      <c r="I120" s="27">
        <v>27</v>
      </c>
      <c r="J120" s="27" t="s">
        <v>121</v>
      </c>
      <c r="K120" s="27" t="s">
        <v>143</v>
      </c>
    </row>
    <row r="121" spans="1:11" x14ac:dyDescent="0.2">
      <c r="A121" s="27" t="s">
        <v>147</v>
      </c>
      <c r="B121" s="27" t="s">
        <v>149</v>
      </c>
      <c r="C121" s="27">
        <v>2.7</v>
      </c>
      <c r="D121" s="27">
        <v>2008</v>
      </c>
      <c r="E121" s="27">
        <v>6</v>
      </c>
      <c r="F121" s="27" t="s">
        <v>120</v>
      </c>
      <c r="G121" s="27" t="s">
        <v>109</v>
      </c>
      <c r="H121" s="27">
        <v>17</v>
      </c>
      <c r="I121" s="27">
        <v>24</v>
      </c>
      <c r="J121" s="27" t="s">
        <v>121</v>
      </c>
      <c r="K121" s="27" t="s">
        <v>143</v>
      </c>
    </row>
    <row r="122" spans="1:11" x14ac:dyDescent="0.2">
      <c r="A122" s="27" t="s">
        <v>147</v>
      </c>
      <c r="B122" s="27" t="s">
        <v>149</v>
      </c>
      <c r="C122" s="27">
        <v>2.7</v>
      </c>
      <c r="D122" s="27">
        <v>2008</v>
      </c>
      <c r="E122" s="27">
        <v>6</v>
      </c>
      <c r="F122" s="27" t="s">
        <v>112</v>
      </c>
      <c r="G122" s="27" t="s">
        <v>109</v>
      </c>
      <c r="H122" s="27">
        <v>16</v>
      </c>
      <c r="I122" s="27">
        <v>24</v>
      </c>
      <c r="J122" s="27" t="s">
        <v>121</v>
      </c>
      <c r="K122" s="27" t="s">
        <v>143</v>
      </c>
    </row>
    <row r="123" spans="1:11" x14ac:dyDescent="0.2">
      <c r="A123" s="27" t="s">
        <v>147</v>
      </c>
      <c r="B123" s="27" t="s">
        <v>149</v>
      </c>
      <c r="C123" s="27">
        <v>2.7</v>
      </c>
      <c r="D123" s="27">
        <v>2008</v>
      </c>
      <c r="E123" s="27">
        <v>6</v>
      </c>
      <c r="F123" s="27" t="s">
        <v>111</v>
      </c>
      <c r="G123" s="27" t="s">
        <v>109</v>
      </c>
      <c r="H123" s="27">
        <v>17</v>
      </c>
      <c r="I123" s="27">
        <v>24</v>
      </c>
      <c r="J123" s="27" t="s">
        <v>121</v>
      </c>
      <c r="K123" s="27" t="s">
        <v>143</v>
      </c>
    </row>
    <row r="124" spans="1:11" x14ac:dyDescent="0.2">
      <c r="A124" s="27" t="s">
        <v>150</v>
      </c>
      <c r="B124" s="27" t="s">
        <v>151</v>
      </c>
      <c r="C124" s="27">
        <v>3</v>
      </c>
      <c r="D124" s="27">
        <v>2008</v>
      </c>
      <c r="E124" s="27">
        <v>6</v>
      </c>
      <c r="F124" s="27" t="s">
        <v>108</v>
      </c>
      <c r="G124" s="27">
        <v>4</v>
      </c>
      <c r="H124" s="27">
        <v>17</v>
      </c>
      <c r="I124" s="27">
        <v>22</v>
      </c>
      <c r="J124" s="27" t="s">
        <v>127</v>
      </c>
      <c r="K124" s="27" t="s">
        <v>122</v>
      </c>
    </row>
    <row r="125" spans="1:11" x14ac:dyDescent="0.2">
      <c r="A125" s="27" t="s">
        <v>150</v>
      </c>
      <c r="B125" s="27" t="s">
        <v>151</v>
      </c>
      <c r="C125" s="27">
        <v>3.7</v>
      </c>
      <c r="D125" s="27">
        <v>2008</v>
      </c>
      <c r="E125" s="27">
        <v>6</v>
      </c>
      <c r="F125" s="27" t="s">
        <v>108</v>
      </c>
      <c r="G125" s="27">
        <v>4</v>
      </c>
      <c r="H125" s="27">
        <v>15</v>
      </c>
      <c r="I125" s="27">
        <v>19</v>
      </c>
      <c r="J125" s="27" t="s">
        <v>121</v>
      </c>
      <c r="K125" s="27" t="s">
        <v>122</v>
      </c>
    </row>
    <row r="126" spans="1:11" x14ac:dyDescent="0.2">
      <c r="A126" s="27" t="s">
        <v>150</v>
      </c>
      <c r="B126" s="27" t="s">
        <v>151</v>
      </c>
      <c r="C126" s="27">
        <v>4</v>
      </c>
      <c r="D126" s="27">
        <v>1999</v>
      </c>
      <c r="E126" s="27">
        <v>6</v>
      </c>
      <c r="F126" s="27" t="s">
        <v>120</v>
      </c>
      <c r="G126" s="27">
        <v>4</v>
      </c>
      <c r="H126" s="27">
        <v>15</v>
      </c>
      <c r="I126" s="27">
        <v>20</v>
      </c>
      <c r="J126" s="27" t="s">
        <v>121</v>
      </c>
      <c r="K126" s="27" t="s">
        <v>122</v>
      </c>
    </row>
    <row r="127" spans="1:11" x14ac:dyDescent="0.2">
      <c r="A127" s="27" t="s">
        <v>150</v>
      </c>
      <c r="B127" s="27" t="s">
        <v>151</v>
      </c>
      <c r="C127" s="27">
        <v>4.7</v>
      </c>
      <c r="D127" s="27">
        <v>1999</v>
      </c>
      <c r="E127" s="27">
        <v>8</v>
      </c>
      <c r="F127" s="27" t="s">
        <v>120</v>
      </c>
      <c r="G127" s="27">
        <v>4</v>
      </c>
      <c r="H127" s="27">
        <v>14</v>
      </c>
      <c r="I127" s="27">
        <v>17</v>
      </c>
      <c r="J127" s="27" t="s">
        <v>121</v>
      </c>
      <c r="K127" s="27" t="s">
        <v>122</v>
      </c>
    </row>
    <row r="128" spans="1:11" x14ac:dyDescent="0.2">
      <c r="A128" s="27" t="s">
        <v>150</v>
      </c>
      <c r="B128" s="27" t="s">
        <v>151</v>
      </c>
      <c r="C128" s="27">
        <v>4.7</v>
      </c>
      <c r="D128" s="27">
        <v>2008</v>
      </c>
      <c r="E128" s="27">
        <v>8</v>
      </c>
      <c r="F128" s="27" t="s">
        <v>108</v>
      </c>
      <c r="G128" s="27">
        <v>4</v>
      </c>
      <c r="H128" s="27">
        <v>9</v>
      </c>
      <c r="I128" s="27">
        <v>12</v>
      </c>
      <c r="J128" s="27" t="s">
        <v>123</v>
      </c>
      <c r="K128" s="27" t="s">
        <v>122</v>
      </c>
    </row>
    <row r="129" spans="1:11" x14ac:dyDescent="0.2">
      <c r="A129" s="27" t="s">
        <v>150</v>
      </c>
      <c r="B129" s="27" t="s">
        <v>151</v>
      </c>
      <c r="C129" s="27">
        <v>4.7</v>
      </c>
      <c r="D129" s="27">
        <v>2008</v>
      </c>
      <c r="E129" s="27">
        <v>8</v>
      </c>
      <c r="F129" s="27" t="s">
        <v>108</v>
      </c>
      <c r="G129" s="27">
        <v>4</v>
      </c>
      <c r="H129" s="27">
        <v>14</v>
      </c>
      <c r="I129" s="27">
        <v>19</v>
      </c>
      <c r="J129" s="27" t="s">
        <v>121</v>
      </c>
      <c r="K129" s="27" t="s">
        <v>122</v>
      </c>
    </row>
    <row r="130" spans="1:11" x14ac:dyDescent="0.2">
      <c r="A130" s="27" t="s">
        <v>150</v>
      </c>
      <c r="B130" s="27" t="s">
        <v>151</v>
      </c>
      <c r="C130" s="27">
        <v>5.7</v>
      </c>
      <c r="D130" s="27">
        <v>2008</v>
      </c>
      <c r="E130" s="27">
        <v>8</v>
      </c>
      <c r="F130" s="27" t="s">
        <v>108</v>
      </c>
      <c r="G130" s="27">
        <v>4</v>
      </c>
      <c r="H130" s="27">
        <v>13</v>
      </c>
      <c r="I130" s="27">
        <v>18</v>
      </c>
      <c r="J130" s="27" t="s">
        <v>121</v>
      </c>
      <c r="K130" s="27" t="s">
        <v>122</v>
      </c>
    </row>
    <row r="131" spans="1:11" x14ac:dyDescent="0.2">
      <c r="A131" s="27" t="s">
        <v>150</v>
      </c>
      <c r="B131" s="27" t="s">
        <v>151</v>
      </c>
      <c r="C131" s="27">
        <v>6.1</v>
      </c>
      <c r="D131" s="27">
        <v>2008</v>
      </c>
      <c r="E131" s="27">
        <v>8</v>
      </c>
      <c r="F131" s="27" t="s">
        <v>108</v>
      </c>
      <c r="G131" s="27">
        <v>4</v>
      </c>
      <c r="H131" s="27">
        <v>11</v>
      </c>
      <c r="I131" s="27">
        <v>14</v>
      </c>
      <c r="J131" s="27" t="s">
        <v>10</v>
      </c>
      <c r="K131" s="27" t="s">
        <v>122</v>
      </c>
    </row>
    <row r="132" spans="1:11" x14ac:dyDescent="0.2">
      <c r="A132" s="27" t="s">
        <v>152</v>
      </c>
      <c r="B132" s="27" t="s">
        <v>153</v>
      </c>
      <c r="C132" s="27">
        <v>4</v>
      </c>
      <c r="D132" s="27">
        <v>1999</v>
      </c>
      <c r="E132" s="27">
        <v>8</v>
      </c>
      <c r="F132" s="27" t="s">
        <v>120</v>
      </c>
      <c r="G132" s="27">
        <v>4</v>
      </c>
      <c r="H132" s="27">
        <v>11</v>
      </c>
      <c r="I132" s="27">
        <v>15</v>
      </c>
      <c r="J132" s="27" t="s">
        <v>10</v>
      </c>
      <c r="K132" s="27" t="s">
        <v>122</v>
      </c>
    </row>
    <row r="133" spans="1:11" x14ac:dyDescent="0.2">
      <c r="A133" s="27" t="s">
        <v>152</v>
      </c>
      <c r="B133" s="27" t="s">
        <v>153</v>
      </c>
      <c r="C133" s="27">
        <v>4.2</v>
      </c>
      <c r="D133" s="27">
        <v>2008</v>
      </c>
      <c r="E133" s="27">
        <v>8</v>
      </c>
      <c r="F133" s="27" t="s">
        <v>115</v>
      </c>
      <c r="G133" s="27">
        <v>4</v>
      </c>
      <c r="H133" s="27">
        <v>12</v>
      </c>
      <c r="I133" s="27">
        <v>18</v>
      </c>
      <c r="J133" s="27" t="s">
        <v>121</v>
      </c>
      <c r="K133" s="27" t="s">
        <v>122</v>
      </c>
    </row>
    <row r="134" spans="1:11" x14ac:dyDescent="0.2">
      <c r="A134" s="27" t="s">
        <v>152</v>
      </c>
      <c r="B134" s="27" t="s">
        <v>153</v>
      </c>
      <c r="C134" s="27">
        <v>4.4000000000000004</v>
      </c>
      <c r="D134" s="27">
        <v>2008</v>
      </c>
      <c r="E134" s="27">
        <v>8</v>
      </c>
      <c r="F134" s="27" t="s">
        <v>115</v>
      </c>
      <c r="G134" s="27">
        <v>4</v>
      </c>
      <c r="H134" s="27">
        <v>12</v>
      </c>
      <c r="I134" s="27">
        <v>18</v>
      </c>
      <c r="J134" s="27" t="s">
        <v>121</v>
      </c>
      <c r="K134" s="27" t="s">
        <v>122</v>
      </c>
    </row>
    <row r="135" spans="1:11" x14ac:dyDescent="0.2">
      <c r="A135" s="27" t="s">
        <v>152</v>
      </c>
      <c r="B135" s="27" t="s">
        <v>153</v>
      </c>
      <c r="C135" s="27">
        <v>4.5999999999999996</v>
      </c>
      <c r="D135" s="27">
        <v>1999</v>
      </c>
      <c r="E135" s="27">
        <v>8</v>
      </c>
      <c r="F135" s="27" t="s">
        <v>120</v>
      </c>
      <c r="G135" s="27">
        <v>4</v>
      </c>
      <c r="H135" s="27">
        <v>11</v>
      </c>
      <c r="I135" s="27">
        <v>15</v>
      </c>
      <c r="J135" s="27" t="s">
        <v>10</v>
      </c>
      <c r="K135" s="27" t="s">
        <v>122</v>
      </c>
    </row>
    <row r="136" spans="1:11" x14ac:dyDescent="0.2">
      <c r="A136" s="27" t="s">
        <v>154</v>
      </c>
      <c r="B136" s="27" t="s">
        <v>155</v>
      </c>
      <c r="C136" s="27">
        <v>5.4</v>
      </c>
      <c r="D136" s="27">
        <v>1999</v>
      </c>
      <c r="E136" s="27">
        <v>8</v>
      </c>
      <c r="F136" s="27" t="s">
        <v>120</v>
      </c>
      <c r="G136" s="27" t="s">
        <v>121</v>
      </c>
      <c r="H136" s="27">
        <v>11</v>
      </c>
      <c r="I136" s="27">
        <v>17</v>
      </c>
      <c r="J136" s="27" t="s">
        <v>121</v>
      </c>
      <c r="K136" s="27" t="s">
        <v>122</v>
      </c>
    </row>
    <row r="137" spans="1:11" x14ac:dyDescent="0.2">
      <c r="A137" s="27" t="s">
        <v>154</v>
      </c>
      <c r="B137" s="27" t="s">
        <v>155</v>
      </c>
      <c r="C137" s="27">
        <v>5.4</v>
      </c>
      <c r="D137" s="27">
        <v>1999</v>
      </c>
      <c r="E137" s="27">
        <v>8</v>
      </c>
      <c r="F137" s="27" t="s">
        <v>120</v>
      </c>
      <c r="G137" s="27" t="s">
        <v>121</v>
      </c>
      <c r="H137" s="27">
        <v>11</v>
      </c>
      <c r="I137" s="27">
        <v>16</v>
      </c>
      <c r="J137" s="27" t="s">
        <v>10</v>
      </c>
      <c r="K137" s="27" t="s">
        <v>122</v>
      </c>
    </row>
    <row r="138" spans="1:11" x14ac:dyDescent="0.2">
      <c r="A138" s="27" t="s">
        <v>154</v>
      </c>
      <c r="B138" s="27" t="s">
        <v>155</v>
      </c>
      <c r="C138" s="27">
        <v>5.4</v>
      </c>
      <c r="D138" s="27">
        <v>2008</v>
      </c>
      <c r="E138" s="27">
        <v>8</v>
      </c>
      <c r="F138" s="27" t="s">
        <v>133</v>
      </c>
      <c r="G138" s="27" t="s">
        <v>121</v>
      </c>
      <c r="H138" s="27">
        <v>12</v>
      </c>
      <c r="I138" s="27">
        <v>18</v>
      </c>
      <c r="J138" s="27" t="s">
        <v>121</v>
      </c>
      <c r="K138" s="27" t="s">
        <v>122</v>
      </c>
    </row>
    <row r="139" spans="1:11" x14ac:dyDescent="0.2">
      <c r="A139" s="27" t="s">
        <v>156</v>
      </c>
      <c r="B139" s="27" t="s">
        <v>157</v>
      </c>
      <c r="C139" s="27">
        <v>4</v>
      </c>
      <c r="D139" s="27">
        <v>1999</v>
      </c>
      <c r="E139" s="27">
        <v>6</v>
      </c>
      <c r="F139" s="27" t="s">
        <v>108</v>
      </c>
      <c r="G139" s="27">
        <v>4</v>
      </c>
      <c r="H139" s="27">
        <v>14</v>
      </c>
      <c r="I139" s="27">
        <v>17</v>
      </c>
      <c r="J139" s="27" t="s">
        <v>121</v>
      </c>
      <c r="K139" s="27" t="s">
        <v>122</v>
      </c>
    </row>
    <row r="140" spans="1:11" x14ac:dyDescent="0.2">
      <c r="A140" s="27" t="s">
        <v>156</v>
      </c>
      <c r="B140" s="27" t="s">
        <v>157</v>
      </c>
      <c r="C140" s="27">
        <v>4</v>
      </c>
      <c r="D140" s="27">
        <v>2008</v>
      </c>
      <c r="E140" s="27">
        <v>6</v>
      </c>
      <c r="F140" s="27" t="s">
        <v>108</v>
      </c>
      <c r="G140" s="27">
        <v>4</v>
      </c>
      <c r="H140" s="27">
        <v>13</v>
      </c>
      <c r="I140" s="27">
        <v>19</v>
      </c>
      <c r="J140" s="27" t="s">
        <v>121</v>
      </c>
      <c r="K140" s="27" t="s">
        <v>122</v>
      </c>
    </row>
    <row r="141" spans="1:11" x14ac:dyDescent="0.2">
      <c r="A141" s="27" t="s">
        <v>156</v>
      </c>
      <c r="B141" s="27" t="s">
        <v>157</v>
      </c>
      <c r="C141" s="27">
        <v>4.5999999999999996</v>
      </c>
      <c r="D141" s="27">
        <v>2008</v>
      </c>
      <c r="E141" s="27">
        <v>8</v>
      </c>
      <c r="F141" s="27" t="s">
        <v>133</v>
      </c>
      <c r="G141" s="27">
        <v>4</v>
      </c>
      <c r="H141" s="27">
        <v>13</v>
      </c>
      <c r="I141" s="27">
        <v>19</v>
      </c>
      <c r="J141" s="27" t="s">
        <v>121</v>
      </c>
      <c r="K141" s="27" t="s">
        <v>122</v>
      </c>
    </row>
    <row r="142" spans="1:11" x14ac:dyDescent="0.2">
      <c r="A142" s="27" t="s">
        <v>156</v>
      </c>
      <c r="B142" s="27" t="s">
        <v>157</v>
      </c>
      <c r="C142" s="27">
        <v>5</v>
      </c>
      <c r="D142" s="27">
        <v>1999</v>
      </c>
      <c r="E142" s="27">
        <v>8</v>
      </c>
      <c r="F142" s="27" t="s">
        <v>120</v>
      </c>
      <c r="G142" s="27">
        <v>4</v>
      </c>
      <c r="H142" s="27">
        <v>13</v>
      </c>
      <c r="I142" s="27">
        <v>17</v>
      </c>
      <c r="J142" s="27" t="s">
        <v>121</v>
      </c>
      <c r="K142" s="27" t="s">
        <v>122</v>
      </c>
    </row>
    <row r="143" spans="1:11" x14ac:dyDescent="0.2">
      <c r="A143" s="27" t="s">
        <v>158</v>
      </c>
      <c r="B143" s="27" t="s">
        <v>159</v>
      </c>
      <c r="C143" s="27">
        <v>2.4</v>
      </c>
      <c r="D143" s="27">
        <v>1999</v>
      </c>
      <c r="E143" s="27">
        <v>4</v>
      </c>
      <c r="F143" s="27" t="s">
        <v>111</v>
      </c>
      <c r="G143" s="27" t="s">
        <v>109</v>
      </c>
      <c r="H143" s="27">
        <v>21</v>
      </c>
      <c r="I143" s="27">
        <v>29</v>
      </c>
      <c r="J143" s="27" t="s">
        <v>121</v>
      </c>
      <c r="K143" s="27" t="s">
        <v>110</v>
      </c>
    </row>
    <row r="144" spans="1:11" x14ac:dyDescent="0.2">
      <c r="A144" s="27" t="s">
        <v>158</v>
      </c>
      <c r="B144" s="27" t="s">
        <v>159</v>
      </c>
      <c r="C144" s="27">
        <v>2.4</v>
      </c>
      <c r="D144" s="27">
        <v>1999</v>
      </c>
      <c r="E144" s="27">
        <v>4</v>
      </c>
      <c r="F144" s="27" t="s">
        <v>120</v>
      </c>
      <c r="G144" s="27" t="s">
        <v>109</v>
      </c>
      <c r="H144" s="27">
        <v>19</v>
      </c>
      <c r="I144" s="27">
        <v>27</v>
      </c>
      <c r="J144" s="27" t="s">
        <v>121</v>
      </c>
      <c r="K144" s="27" t="s">
        <v>110</v>
      </c>
    </row>
    <row r="145" spans="1:11" x14ac:dyDescent="0.2">
      <c r="A145" s="27" t="s">
        <v>158</v>
      </c>
      <c r="B145" s="27" t="s">
        <v>159</v>
      </c>
      <c r="C145" s="27">
        <v>2.5</v>
      </c>
      <c r="D145" s="27">
        <v>2008</v>
      </c>
      <c r="E145" s="27">
        <v>4</v>
      </c>
      <c r="F145" s="27" t="s">
        <v>113</v>
      </c>
      <c r="G145" s="27" t="s">
        <v>109</v>
      </c>
      <c r="H145" s="27">
        <v>23</v>
      </c>
      <c r="I145" s="27">
        <v>31</v>
      </c>
      <c r="J145" s="27" t="s">
        <v>121</v>
      </c>
      <c r="K145" s="27" t="s">
        <v>117</v>
      </c>
    </row>
    <row r="146" spans="1:11" x14ac:dyDescent="0.2">
      <c r="A146" s="27" t="s">
        <v>158</v>
      </c>
      <c r="B146" s="27" t="s">
        <v>159</v>
      </c>
      <c r="C146" s="27">
        <v>2.5</v>
      </c>
      <c r="D146" s="27">
        <v>2008</v>
      </c>
      <c r="E146" s="27">
        <v>4</v>
      </c>
      <c r="F146" s="27" t="s">
        <v>112</v>
      </c>
      <c r="G146" s="27" t="s">
        <v>109</v>
      </c>
      <c r="H146" s="27">
        <v>23</v>
      </c>
      <c r="I146" s="27">
        <v>32</v>
      </c>
      <c r="J146" s="27" t="s">
        <v>121</v>
      </c>
      <c r="K146" s="27" t="s">
        <v>117</v>
      </c>
    </row>
    <row r="147" spans="1:11" x14ac:dyDescent="0.2">
      <c r="A147" s="27" t="s">
        <v>158</v>
      </c>
      <c r="B147" s="27" t="s">
        <v>159</v>
      </c>
      <c r="C147" s="27">
        <v>3.5</v>
      </c>
      <c r="D147" s="27">
        <v>2008</v>
      </c>
      <c r="E147" s="27">
        <v>6</v>
      </c>
      <c r="F147" s="27" t="s">
        <v>112</v>
      </c>
      <c r="G147" s="27" t="s">
        <v>109</v>
      </c>
      <c r="H147" s="27">
        <v>19</v>
      </c>
      <c r="I147" s="27">
        <v>27</v>
      </c>
      <c r="J147" s="27" t="s">
        <v>10</v>
      </c>
      <c r="K147" s="27" t="s">
        <v>117</v>
      </c>
    </row>
    <row r="148" spans="1:11" x14ac:dyDescent="0.2">
      <c r="A148" s="27" t="s">
        <v>158</v>
      </c>
      <c r="B148" s="27" t="s">
        <v>159</v>
      </c>
      <c r="C148" s="27">
        <v>3.5</v>
      </c>
      <c r="D148" s="27">
        <v>2008</v>
      </c>
      <c r="E148" s="27">
        <v>6</v>
      </c>
      <c r="F148" s="27" t="s">
        <v>113</v>
      </c>
      <c r="G148" s="27" t="s">
        <v>109</v>
      </c>
      <c r="H148" s="27">
        <v>19</v>
      </c>
      <c r="I148" s="27">
        <v>26</v>
      </c>
      <c r="J148" s="27" t="s">
        <v>10</v>
      </c>
      <c r="K148" s="27" t="s">
        <v>117</v>
      </c>
    </row>
    <row r="149" spans="1:11" x14ac:dyDescent="0.2">
      <c r="A149" s="27" t="s">
        <v>158</v>
      </c>
      <c r="B149" s="27" t="s">
        <v>160</v>
      </c>
      <c r="C149" s="27">
        <v>3</v>
      </c>
      <c r="D149" s="27">
        <v>1999</v>
      </c>
      <c r="E149" s="27">
        <v>6</v>
      </c>
      <c r="F149" s="27" t="s">
        <v>120</v>
      </c>
      <c r="G149" s="27" t="s">
        <v>109</v>
      </c>
      <c r="H149" s="27">
        <v>18</v>
      </c>
      <c r="I149" s="27">
        <v>26</v>
      </c>
      <c r="J149" s="27" t="s">
        <v>121</v>
      </c>
      <c r="K149" s="27" t="s">
        <v>117</v>
      </c>
    </row>
    <row r="150" spans="1:11" x14ac:dyDescent="0.2">
      <c r="A150" s="27" t="s">
        <v>158</v>
      </c>
      <c r="B150" s="27" t="s">
        <v>160</v>
      </c>
      <c r="C150" s="27">
        <v>3</v>
      </c>
      <c r="D150" s="27">
        <v>1999</v>
      </c>
      <c r="E150" s="27">
        <v>6</v>
      </c>
      <c r="F150" s="27" t="s">
        <v>111</v>
      </c>
      <c r="G150" s="27" t="s">
        <v>109</v>
      </c>
      <c r="H150" s="27">
        <v>19</v>
      </c>
      <c r="I150" s="27">
        <v>25</v>
      </c>
      <c r="J150" s="27" t="s">
        <v>121</v>
      </c>
      <c r="K150" s="27" t="s">
        <v>117</v>
      </c>
    </row>
    <row r="151" spans="1:11" x14ac:dyDescent="0.2">
      <c r="A151" s="27" t="s">
        <v>158</v>
      </c>
      <c r="B151" s="27" t="s">
        <v>160</v>
      </c>
      <c r="C151" s="27">
        <v>3.5</v>
      </c>
      <c r="D151" s="27">
        <v>2008</v>
      </c>
      <c r="E151" s="27">
        <v>6</v>
      </c>
      <c r="F151" s="27" t="s">
        <v>113</v>
      </c>
      <c r="G151" s="27" t="s">
        <v>109</v>
      </c>
      <c r="H151" s="27">
        <v>19</v>
      </c>
      <c r="I151" s="27">
        <v>25</v>
      </c>
      <c r="J151" s="27" t="s">
        <v>10</v>
      </c>
      <c r="K151" s="27" t="s">
        <v>117</v>
      </c>
    </row>
    <row r="152" spans="1:11" x14ac:dyDescent="0.2">
      <c r="A152" s="27" t="s">
        <v>158</v>
      </c>
      <c r="B152" s="27" t="s">
        <v>161</v>
      </c>
      <c r="C152" s="27">
        <v>3.3</v>
      </c>
      <c r="D152" s="27">
        <v>1999</v>
      </c>
      <c r="E152" s="27">
        <v>6</v>
      </c>
      <c r="F152" s="27" t="s">
        <v>120</v>
      </c>
      <c r="G152" s="27">
        <v>4</v>
      </c>
      <c r="H152" s="27">
        <v>14</v>
      </c>
      <c r="I152" s="27">
        <v>17</v>
      </c>
      <c r="J152" s="27" t="s">
        <v>121</v>
      </c>
      <c r="K152" s="27" t="s">
        <v>122</v>
      </c>
    </row>
    <row r="153" spans="1:11" x14ac:dyDescent="0.2">
      <c r="A153" s="27" t="s">
        <v>158</v>
      </c>
      <c r="B153" s="27" t="s">
        <v>161</v>
      </c>
      <c r="C153" s="27">
        <v>3.3</v>
      </c>
      <c r="D153" s="27">
        <v>1999</v>
      </c>
      <c r="E153" s="27">
        <v>6</v>
      </c>
      <c r="F153" s="27" t="s">
        <v>111</v>
      </c>
      <c r="G153" s="27">
        <v>4</v>
      </c>
      <c r="H153" s="27">
        <v>15</v>
      </c>
      <c r="I153" s="27">
        <v>17</v>
      </c>
      <c r="J153" s="27" t="s">
        <v>121</v>
      </c>
      <c r="K153" s="27" t="s">
        <v>122</v>
      </c>
    </row>
    <row r="154" spans="1:11" x14ac:dyDescent="0.2">
      <c r="A154" s="27" t="s">
        <v>158</v>
      </c>
      <c r="B154" s="27" t="s">
        <v>161</v>
      </c>
      <c r="C154" s="27">
        <v>4</v>
      </c>
      <c r="D154" s="27">
        <v>2008</v>
      </c>
      <c r="E154" s="27">
        <v>6</v>
      </c>
      <c r="F154" s="27" t="s">
        <v>108</v>
      </c>
      <c r="G154" s="27">
        <v>4</v>
      </c>
      <c r="H154" s="27">
        <v>14</v>
      </c>
      <c r="I154" s="27">
        <v>20</v>
      </c>
      <c r="J154" s="27" t="s">
        <v>10</v>
      </c>
      <c r="K154" s="27" t="s">
        <v>122</v>
      </c>
    </row>
    <row r="155" spans="1:11" x14ac:dyDescent="0.2">
      <c r="A155" s="27" t="s">
        <v>158</v>
      </c>
      <c r="B155" s="27" t="s">
        <v>161</v>
      </c>
      <c r="C155" s="27">
        <v>5.6</v>
      </c>
      <c r="D155" s="27">
        <v>2008</v>
      </c>
      <c r="E155" s="27">
        <v>8</v>
      </c>
      <c r="F155" s="27" t="s">
        <v>162</v>
      </c>
      <c r="G155" s="27">
        <v>4</v>
      </c>
      <c r="H155" s="27">
        <v>12</v>
      </c>
      <c r="I155" s="27">
        <v>18</v>
      </c>
      <c r="J155" s="27" t="s">
        <v>10</v>
      </c>
      <c r="K155" s="27" t="s">
        <v>122</v>
      </c>
    </row>
    <row r="156" spans="1:11" x14ac:dyDescent="0.2">
      <c r="A156" s="27" t="s">
        <v>163</v>
      </c>
      <c r="B156" s="27" t="s">
        <v>164</v>
      </c>
      <c r="C156" s="27">
        <v>3.1</v>
      </c>
      <c r="D156" s="27">
        <v>1999</v>
      </c>
      <c r="E156" s="27">
        <v>6</v>
      </c>
      <c r="F156" s="27" t="s">
        <v>120</v>
      </c>
      <c r="G156" s="27" t="s">
        <v>109</v>
      </c>
      <c r="H156" s="27">
        <v>18</v>
      </c>
      <c r="I156" s="27">
        <v>26</v>
      </c>
      <c r="J156" s="27" t="s">
        <v>121</v>
      </c>
      <c r="K156" s="27" t="s">
        <v>117</v>
      </c>
    </row>
    <row r="157" spans="1:11" x14ac:dyDescent="0.2">
      <c r="A157" s="27" t="s">
        <v>163</v>
      </c>
      <c r="B157" s="27" t="s">
        <v>164</v>
      </c>
      <c r="C157" s="27">
        <v>3.8</v>
      </c>
      <c r="D157" s="27">
        <v>1999</v>
      </c>
      <c r="E157" s="27">
        <v>6</v>
      </c>
      <c r="F157" s="27" t="s">
        <v>120</v>
      </c>
      <c r="G157" s="27" t="s">
        <v>109</v>
      </c>
      <c r="H157" s="27">
        <v>16</v>
      </c>
      <c r="I157" s="27">
        <v>26</v>
      </c>
      <c r="J157" s="27" t="s">
        <v>10</v>
      </c>
      <c r="K157" s="27" t="s">
        <v>117</v>
      </c>
    </row>
    <row r="158" spans="1:11" x14ac:dyDescent="0.2">
      <c r="A158" s="27" t="s">
        <v>163</v>
      </c>
      <c r="B158" s="27" t="s">
        <v>164</v>
      </c>
      <c r="C158" s="27">
        <v>3.8</v>
      </c>
      <c r="D158" s="27">
        <v>1999</v>
      </c>
      <c r="E158" s="27">
        <v>6</v>
      </c>
      <c r="F158" s="27" t="s">
        <v>120</v>
      </c>
      <c r="G158" s="27" t="s">
        <v>109</v>
      </c>
      <c r="H158" s="27">
        <v>17</v>
      </c>
      <c r="I158" s="27">
        <v>27</v>
      </c>
      <c r="J158" s="27" t="s">
        <v>121</v>
      </c>
      <c r="K158" s="27" t="s">
        <v>117</v>
      </c>
    </row>
    <row r="159" spans="1:11" x14ac:dyDescent="0.2">
      <c r="A159" s="27" t="s">
        <v>163</v>
      </c>
      <c r="B159" s="27" t="s">
        <v>164</v>
      </c>
      <c r="C159" s="27">
        <v>3.8</v>
      </c>
      <c r="D159" s="27">
        <v>2008</v>
      </c>
      <c r="E159" s="27">
        <v>6</v>
      </c>
      <c r="F159" s="27" t="s">
        <v>120</v>
      </c>
      <c r="G159" s="27" t="s">
        <v>109</v>
      </c>
      <c r="H159" s="27">
        <v>18</v>
      </c>
      <c r="I159" s="27">
        <v>28</v>
      </c>
      <c r="J159" s="27" t="s">
        <v>121</v>
      </c>
      <c r="K159" s="27" t="s">
        <v>117</v>
      </c>
    </row>
    <row r="160" spans="1:11" x14ac:dyDescent="0.2">
      <c r="A160" s="27" t="s">
        <v>163</v>
      </c>
      <c r="B160" s="27" t="s">
        <v>164</v>
      </c>
      <c r="C160" s="27">
        <v>5.3</v>
      </c>
      <c r="D160" s="27">
        <v>2008</v>
      </c>
      <c r="E160" s="27">
        <v>8</v>
      </c>
      <c r="F160" s="27" t="s">
        <v>165</v>
      </c>
      <c r="G160" s="27" t="s">
        <v>109</v>
      </c>
      <c r="H160" s="27">
        <v>16</v>
      </c>
      <c r="I160" s="27">
        <v>25</v>
      </c>
      <c r="J160" s="27" t="s">
        <v>10</v>
      </c>
      <c r="K160" s="27" t="s">
        <v>117</v>
      </c>
    </row>
    <row r="161" spans="1:11" x14ac:dyDescent="0.2">
      <c r="A161" s="27" t="s">
        <v>166</v>
      </c>
      <c r="B161" s="27" t="s">
        <v>167</v>
      </c>
      <c r="C161" s="27">
        <v>2.5</v>
      </c>
      <c r="D161" s="27">
        <v>1999</v>
      </c>
      <c r="E161" s="27">
        <v>4</v>
      </c>
      <c r="F161" s="27" t="s">
        <v>111</v>
      </c>
      <c r="G161" s="27">
        <v>4</v>
      </c>
      <c r="H161" s="27">
        <v>18</v>
      </c>
      <c r="I161" s="27">
        <v>25</v>
      </c>
      <c r="J161" s="27" t="s">
        <v>121</v>
      </c>
      <c r="K161" s="27" t="s">
        <v>122</v>
      </c>
    </row>
    <row r="162" spans="1:11" x14ac:dyDescent="0.2">
      <c r="A162" s="27" t="s">
        <v>166</v>
      </c>
      <c r="B162" s="27" t="s">
        <v>167</v>
      </c>
      <c r="C162" s="27">
        <v>2.5</v>
      </c>
      <c r="D162" s="27">
        <v>1999</v>
      </c>
      <c r="E162" s="27">
        <v>4</v>
      </c>
      <c r="F162" s="27" t="s">
        <v>120</v>
      </c>
      <c r="G162" s="27">
        <v>4</v>
      </c>
      <c r="H162" s="27">
        <v>18</v>
      </c>
      <c r="I162" s="27">
        <v>24</v>
      </c>
      <c r="J162" s="27" t="s">
        <v>121</v>
      </c>
      <c r="K162" s="27" t="s">
        <v>122</v>
      </c>
    </row>
    <row r="163" spans="1:11" x14ac:dyDescent="0.2">
      <c r="A163" s="27" t="s">
        <v>166</v>
      </c>
      <c r="B163" s="27" t="s">
        <v>167</v>
      </c>
      <c r="C163" s="27">
        <v>2.5</v>
      </c>
      <c r="D163" s="27">
        <v>2008</v>
      </c>
      <c r="E163" s="27">
        <v>4</v>
      </c>
      <c r="F163" s="27" t="s">
        <v>111</v>
      </c>
      <c r="G163" s="27">
        <v>4</v>
      </c>
      <c r="H163" s="27">
        <v>20</v>
      </c>
      <c r="I163" s="27">
        <v>27</v>
      </c>
      <c r="J163" s="27" t="s">
        <v>121</v>
      </c>
      <c r="K163" s="27" t="s">
        <v>122</v>
      </c>
    </row>
    <row r="164" spans="1:11" x14ac:dyDescent="0.2">
      <c r="A164" s="27" t="s">
        <v>166</v>
      </c>
      <c r="B164" s="27" t="s">
        <v>167</v>
      </c>
      <c r="C164" s="27">
        <v>2.5</v>
      </c>
      <c r="D164" s="27">
        <v>2008</v>
      </c>
      <c r="E164" s="27">
        <v>4</v>
      </c>
      <c r="F164" s="27" t="s">
        <v>111</v>
      </c>
      <c r="G164" s="27">
        <v>4</v>
      </c>
      <c r="H164" s="27">
        <v>19</v>
      </c>
      <c r="I164" s="27">
        <v>25</v>
      </c>
      <c r="J164" s="27" t="s">
        <v>10</v>
      </c>
      <c r="K164" s="27" t="s">
        <v>122</v>
      </c>
    </row>
    <row r="165" spans="1:11" x14ac:dyDescent="0.2">
      <c r="A165" s="27" t="s">
        <v>166</v>
      </c>
      <c r="B165" s="27" t="s">
        <v>167</v>
      </c>
      <c r="C165" s="27">
        <v>2.5</v>
      </c>
      <c r="D165" s="27">
        <v>2008</v>
      </c>
      <c r="E165" s="27">
        <v>4</v>
      </c>
      <c r="F165" s="27" t="s">
        <v>120</v>
      </c>
      <c r="G165" s="27">
        <v>4</v>
      </c>
      <c r="H165" s="27">
        <v>20</v>
      </c>
      <c r="I165" s="27">
        <v>26</v>
      </c>
      <c r="J165" s="27" t="s">
        <v>121</v>
      </c>
      <c r="K165" s="27" t="s">
        <v>122</v>
      </c>
    </row>
    <row r="166" spans="1:11" x14ac:dyDescent="0.2">
      <c r="A166" s="27" t="s">
        <v>166</v>
      </c>
      <c r="B166" s="27" t="s">
        <v>167</v>
      </c>
      <c r="C166" s="27">
        <v>2.5</v>
      </c>
      <c r="D166" s="27">
        <v>2008</v>
      </c>
      <c r="E166" s="27">
        <v>4</v>
      </c>
      <c r="F166" s="27" t="s">
        <v>120</v>
      </c>
      <c r="G166" s="27">
        <v>4</v>
      </c>
      <c r="H166" s="27">
        <v>18</v>
      </c>
      <c r="I166" s="27">
        <v>23</v>
      </c>
      <c r="J166" s="27" t="s">
        <v>10</v>
      </c>
      <c r="K166" s="27" t="s">
        <v>122</v>
      </c>
    </row>
    <row r="167" spans="1:11" x14ac:dyDescent="0.2">
      <c r="A167" s="27" t="s">
        <v>166</v>
      </c>
      <c r="B167" s="27" t="s">
        <v>168</v>
      </c>
      <c r="C167" s="27">
        <v>2.2000000000000002</v>
      </c>
      <c r="D167" s="27">
        <v>1999</v>
      </c>
      <c r="E167" s="27">
        <v>4</v>
      </c>
      <c r="F167" s="27" t="s">
        <v>120</v>
      </c>
      <c r="G167" s="27">
        <v>4</v>
      </c>
      <c r="H167" s="27">
        <v>21</v>
      </c>
      <c r="I167" s="27">
        <v>26</v>
      </c>
      <c r="J167" s="27" t="s">
        <v>121</v>
      </c>
      <c r="K167" s="27" t="s">
        <v>143</v>
      </c>
    </row>
    <row r="168" spans="1:11" x14ac:dyDescent="0.2">
      <c r="A168" s="27" t="s">
        <v>166</v>
      </c>
      <c r="B168" s="27" t="s">
        <v>168</v>
      </c>
      <c r="C168" s="27">
        <v>2.2000000000000002</v>
      </c>
      <c r="D168" s="27">
        <v>1999</v>
      </c>
      <c r="E168" s="27">
        <v>4</v>
      </c>
      <c r="F168" s="27" t="s">
        <v>111</v>
      </c>
      <c r="G168" s="27">
        <v>4</v>
      </c>
      <c r="H168" s="27">
        <v>19</v>
      </c>
      <c r="I168" s="27">
        <v>26</v>
      </c>
      <c r="J168" s="27" t="s">
        <v>121</v>
      </c>
      <c r="K168" s="27" t="s">
        <v>143</v>
      </c>
    </row>
    <row r="169" spans="1:11" x14ac:dyDescent="0.2">
      <c r="A169" s="27" t="s">
        <v>166</v>
      </c>
      <c r="B169" s="27" t="s">
        <v>168</v>
      </c>
      <c r="C169" s="27">
        <v>2.5</v>
      </c>
      <c r="D169" s="27">
        <v>1999</v>
      </c>
      <c r="E169" s="27">
        <v>4</v>
      </c>
      <c r="F169" s="27" t="s">
        <v>111</v>
      </c>
      <c r="G169" s="27">
        <v>4</v>
      </c>
      <c r="H169" s="27">
        <v>19</v>
      </c>
      <c r="I169" s="27">
        <v>26</v>
      </c>
      <c r="J169" s="27" t="s">
        <v>121</v>
      </c>
      <c r="K169" s="27" t="s">
        <v>143</v>
      </c>
    </row>
    <row r="170" spans="1:11" x14ac:dyDescent="0.2">
      <c r="A170" s="27" t="s">
        <v>166</v>
      </c>
      <c r="B170" s="27" t="s">
        <v>168</v>
      </c>
      <c r="C170" s="27">
        <v>2.5</v>
      </c>
      <c r="D170" s="27">
        <v>1999</v>
      </c>
      <c r="E170" s="27">
        <v>4</v>
      </c>
      <c r="F170" s="27" t="s">
        <v>120</v>
      </c>
      <c r="G170" s="27">
        <v>4</v>
      </c>
      <c r="H170" s="27">
        <v>19</v>
      </c>
      <c r="I170" s="27">
        <v>26</v>
      </c>
      <c r="J170" s="27" t="s">
        <v>121</v>
      </c>
      <c r="K170" s="27" t="s">
        <v>143</v>
      </c>
    </row>
    <row r="171" spans="1:11" x14ac:dyDescent="0.2">
      <c r="A171" s="27" t="s">
        <v>166</v>
      </c>
      <c r="B171" s="27" t="s">
        <v>168</v>
      </c>
      <c r="C171" s="27">
        <v>2.5</v>
      </c>
      <c r="D171" s="27">
        <v>2008</v>
      </c>
      <c r="E171" s="27">
        <v>4</v>
      </c>
      <c r="F171" s="27" t="s">
        <v>165</v>
      </c>
      <c r="G171" s="27">
        <v>4</v>
      </c>
      <c r="H171" s="27">
        <v>20</v>
      </c>
      <c r="I171" s="27">
        <v>25</v>
      </c>
      <c r="J171" s="27" t="s">
        <v>10</v>
      </c>
      <c r="K171" s="27" t="s">
        <v>110</v>
      </c>
    </row>
    <row r="172" spans="1:11" x14ac:dyDescent="0.2">
      <c r="A172" s="27" t="s">
        <v>166</v>
      </c>
      <c r="B172" s="27" t="s">
        <v>168</v>
      </c>
      <c r="C172" s="27">
        <v>2.5</v>
      </c>
      <c r="D172" s="27">
        <v>2008</v>
      </c>
      <c r="E172" s="27">
        <v>4</v>
      </c>
      <c r="F172" s="27" t="s">
        <v>165</v>
      </c>
      <c r="G172" s="27">
        <v>4</v>
      </c>
      <c r="H172" s="27">
        <v>20</v>
      </c>
      <c r="I172" s="27">
        <v>27</v>
      </c>
      <c r="J172" s="27" t="s">
        <v>121</v>
      </c>
      <c r="K172" s="27" t="s">
        <v>110</v>
      </c>
    </row>
    <row r="173" spans="1:11" x14ac:dyDescent="0.2">
      <c r="A173" s="27" t="s">
        <v>166</v>
      </c>
      <c r="B173" s="27" t="s">
        <v>168</v>
      </c>
      <c r="C173" s="27">
        <v>2.5</v>
      </c>
      <c r="D173" s="27">
        <v>2008</v>
      </c>
      <c r="E173" s="27">
        <v>4</v>
      </c>
      <c r="F173" s="27" t="s">
        <v>111</v>
      </c>
      <c r="G173" s="27">
        <v>4</v>
      </c>
      <c r="H173" s="27">
        <v>19</v>
      </c>
      <c r="I173" s="27">
        <v>25</v>
      </c>
      <c r="J173" s="27" t="s">
        <v>10</v>
      </c>
      <c r="K173" s="27" t="s">
        <v>110</v>
      </c>
    </row>
    <row r="174" spans="1:11" x14ac:dyDescent="0.2">
      <c r="A174" s="27" t="s">
        <v>166</v>
      </c>
      <c r="B174" s="27" t="s">
        <v>168</v>
      </c>
      <c r="C174" s="27">
        <v>2.5</v>
      </c>
      <c r="D174" s="27">
        <v>2008</v>
      </c>
      <c r="E174" s="27">
        <v>4</v>
      </c>
      <c r="F174" s="27" t="s">
        <v>111</v>
      </c>
      <c r="G174" s="27">
        <v>4</v>
      </c>
      <c r="H174" s="27">
        <v>20</v>
      </c>
      <c r="I174" s="27">
        <v>27</v>
      </c>
      <c r="J174" s="27" t="s">
        <v>121</v>
      </c>
      <c r="K174" s="27" t="s">
        <v>110</v>
      </c>
    </row>
    <row r="175" spans="1:11" x14ac:dyDescent="0.2">
      <c r="A175" s="27" t="s">
        <v>169</v>
      </c>
      <c r="B175" s="27" t="s">
        <v>170</v>
      </c>
      <c r="C175" s="27">
        <v>2.7</v>
      </c>
      <c r="D175" s="27">
        <v>1999</v>
      </c>
      <c r="E175" s="27">
        <v>4</v>
      </c>
      <c r="F175" s="27" t="s">
        <v>111</v>
      </c>
      <c r="G175" s="27">
        <v>4</v>
      </c>
      <c r="H175" s="27">
        <v>15</v>
      </c>
      <c r="I175" s="27">
        <v>20</v>
      </c>
      <c r="J175" s="27" t="s">
        <v>121</v>
      </c>
      <c r="K175" s="27" t="s">
        <v>122</v>
      </c>
    </row>
    <row r="176" spans="1:11" x14ac:dyDescent="0.2">
      <c r="A176" s="27" t="s">
        <v>169</v>
      </c>
      <c r="B176" s="27" t="s">
        <v>170</v>
      </c>
      <c r="C176" s="27">
        <v>2.7</v>
      </c>
      <c r="D176" s="27">
        <v>1999</v>
      </c>
      <c r="E176" s="27">
        <v>4</v>
      </c>
      <c r="F176" s="27" t="s">
        <v>120</v>
      </c>
      <c r="G176" s="27">
        <v>4</v>
      </c>
      <c r="H176" s="27">
        <v>16</v>
      </c>
      <c r="I176" s="27">
        <v>20</v>
      </c>
      <c r="J176" s="27" t="s">
        <v>121</v>
      </c>
      <c r="K176" s="27" t="s">
        <v>122</v>
      </c>
    </row>
    <row r="177" spans="1:11" x14ac:dyDescent="0.2">
      <c r="A177" s="27" t="s">
        <v>169</v>
      </c>
      <c r="B177" s="27" t="s">
        <v>170</v>
      </c>
      <c r="C177" s="27">
        <v>3.4</v>
      </c>
      <c r="D177" s="27">
        <v>1999</v>
      </c>
      <c r="E177" s="27">
        <v>6</v>
      </c>
      <c r="F177" s="27" t="s">
        <v>120</v>
      </c>
      <c r="G177" s="27">
        <v>4</v>
      </c>
      <c r="H177" s="27">
        <v>15</v>
      </c>
      <c r="I177" s="27">
        <v>19</v>
      </c>
      <c r="J177" s="27" t="s">
        <v>121</v>
      </c>
      <c r="K177" s="27" t="s">
        <v>122</v>
      </c>
    </row>
    <row r="178" spans="1:11" x14ac:dyDescent="0.2">
      <c r="A178" s="27" t="s">
        <v>169</v>
      </c>
      <c r="B178" s="27" t="s">
        <v>170</v>
      </c>
      <c r="C178" s="27">
        <v>3.4</v>
      </c>
      <c r="D178" s="27">
        <v>1999</v>
      </c>
      <c r="E178" s="27">
        <v>6</v>
      </c>
      <c r="F178" s="27" t="s">
        <v>111</v>
      </c>
      <c r="G178" s="27">
        <v>4</v>
      </c>
      <c r="H178" s="27">
        <v>15</v>
      </c>
      <c r="I178" s="27">
        <v>17</v>
      </c>
      <c r="J178" s="27" t="s">
        <v>121</v>
      </c>
      <c r="K178" s="27" t="s">
        <v>122</v>
      </c>
    </row>
    <row r="179" spans="1:11" x14ac:dyDescent="0.2">
      <c r="A179" s="27" t="s">
        <v>169</v>
      </c>
      <c r="B179" s="27" t="s">
        <v>170</v>
      </c>
      <c r="C179" s="27">
        <v>4</v>
      </c>
      <c r="D179" s="27">
        <v>2008</v>
      </c>
      <c r="E179" s="27">
        <v>6</v>
      </c>
      <c r="F179" s="27" t="s">
        <v>108</v>
      </c>
      <c r="G179" s="27">
        <v>4</v>
      </c>
      <c r="H179" s="27">
        <v>16</v>
      </c>
      <c r="I179" s="27">
        <v>20</v>
      </c>
      <c r="J179" s="27" t="s">
        <v>121</v>
      </c>
      <c r="K179" s="27" t="s">
        <v>122</v>
      </c>
    </row>
    <row r="180" spans="1:11" x14ac:dyDescent="0.2">
      <c r="A180" s="27" t="s">
        <v>169</v>
      </c>
      <c r="B180" s="27" t="s">
        <v>170</v>
      </c>
      <c r="C180" s="27">
        <v>4.7</v>
      </c>
      <c r="D180" s="27">
        <v>2008</v>
      </c>
      <c r="E180" s="27">
        <v>8</v>
      </c>
      <c r="F180" s="27" t="s">
        <v>108</v>
      </c>
      <c r="G180" s="27">
        <v>4</v>
      </c>
      <c r="H180" s="27">
        <v>14</v>
      </c>
      <c r="I180" s="27">
        <v>17</v>
      </c>
      <c r="J180" s="27" t="s">
        <v>121</v>
      </c>
      <c r="K180" s="27" t="s">
        <v>122</v>
      </c>
    </row>
    <row r="181" spans="1:11" x14ac:dyDescent="0.2">
      <c r="A181" s="27" t="s">
        <v>169</v>
      </c>
      <c r="B181" s="27" t="s">
        <v>171</v>
      </c>
      <c r="C181" s="27">
        <v>2.2000000000000002</v>
      </c>
      <c r="D181" s="27">
        <v>1999</v>
      </c>
      <c r="E181" s="27">
        <v>4</v>
      </c>
      <c r="F181" s="27" t="s">
        <v>111</v>
      </c>
      <c r="G181" s="27" t="s">
        <v>109</v>
      </c>
      <c r="H181" s="27">
        <v>21</v>
      </c>
      <c r="I181" s="27">
        <v>29</v>
      </c>
      <c r="J181" s="27" t="s">
        <v>121</v>
      </c>
      <c r="K181" s="27" t="s">
        <v>117</v>
      </c>
    </row>
    <row r="182" spans="1:11" x14ac:dyDescent="0.2">
      <c r="A182" s="27" t="s">
        <v>169</v>
      </c>
      <c r="B182" s="27" t="s">
        <v>171</v>
      </c>
      <c r="C182" s="27">
        <v>2.2000000000000002</v>
      </c>
      <c r="D182" s="27">
        <v>1999</v>
      </c>
      <c r="E182" s="27">
        <v>4</v>
      </c>
      <c r="F182" s="27" t="s">
        <v>120</v>
      </c>
      <c r="G182" s="27" t="s">
        <v>109</v>
      </c>
      <c r="H182" s="27">
        <v>21</v>
      </c>
      <c r="I182" s="27">
        <v>27</v>
      </c>
      <c r="J182" s="27" t="s">
        <v>121</v>
      </c>
      <c r="K182" s="27" t="s">
        <v>117</v>
      </c>
    </row>
    <row r="183" spans="1:11" x14ac:dyDescent="0.2">
      <c r="A183" s="27" t="s">
        <v>169</v>
      </c>
      <c r="B183" s="27" t="s">
        <v>171</v>
      </c>
      <c r="C183" s="27">
        <v>2.4</v>
      </c>
      <c r="D183" s="27">
        <v>2008</v>
      </c>
      <c r="E183" s="27">
        <v>4</v>
      </c>
      <c r="F183" s="27" t="s">
        <v>111</v>
      </c>
      <c r="G183" s="27" t="s">
        <v>109</v>
      </c>
      <c r="H183" s="27">
        <v>21</v>
      </c>
      <c r="I183" s="27">
        <v>31</v>
      </c>
      <c r="J183" s="27" t="s">
        <v>121</v>
      </c>
      <c r="K183" s="27" t="s">
        <v>117</v>
      </c>
    </row>
    <row r="184" spans="1:11" x14ac:dyDescent="0.2">
      <c r="A184" s="27" t="s">
        <v>169</v>
      </c>
      <c r="B184" s="27" t="s">
        <v>171</v>
      </c>
      <c r="C184" s="27">
        <v>2.4</v>
      </c>
      <c r="D184" s="27">
        <v>2008</v>
      </c>
      <c r="E184" s="27">
        <v>4</v>
      </c>
      <c r="F184" s="27" t="s">
        <v>108</v>
      </c>
      <c r="G184" s="27" t="s">
        <v>109</v>
      </c>
      <c r="H184" s="27">
        <v>21</v>
      </c>
      <c r="I184" s="27">
        <v>31</v>
      </c>
      <c r="J184" s="27" t="s">
        <v>121</v>
      </c>
      <c r="K184" s="27" t="s">
        <v>117</v>
      </c>
    </row>
    <row r="185" spans="1:11" x14ac:dyDescent="0.2">
      <c r="A185" s="27" t="s">
        <v>169</v>
      </c>
      <c r="B185" s="27" t="s">
        <v>171</v>
      </c>
      <c r="C185" s="27">
        <v>3</v>
      </c>
      <c r="D185" s="27">
        <v>1999</v>
      </c>
      <c r="E185" s="27">
        <v>6</v>
      </c>
      <c r="F185" s="27" t="s">
        <v>120</v>
      </c>
      <c r="G185" s="27" t="s">
        <v>109</v>
      </c>
      <c r="H185" s="27">
        <v>18</v>
      </c>
      <c r="I185" s="27">
        <v>26</v>
      </c>
      <c r="J185" s="27" t="s">
        <v>121</v>
      </c>
      <c r="K185" s="27" t="s">
        <v>117</v>
      </c>
    </row>
    <row r="186" spans="1:11" x14ac:dyDescent="0.2">
      <c r="A186" s="27" t="s">
        <v>169</v>
      </c>
      <c r="B186" s="27" t="s">
        <v>171</v>
      </c>
      <c r="C186" s="27">
        <v>3</v>
      </c>
      <c r="D186" s="27">
        <v>1999</v>
      </c>
      <c r="E186" s="27">
        <v>6</v>
      </c>
      <c r="F186" s="27" t="s">
        <v>111</v>
      </c>
      <c r="G186" s="27" t="s">
        <v>109</v>
      </c>
      <c r="H186" s="27">
        <v>18</v>
      </c>
      <c r="I186" s="27">
        <v>26</v>
      </c>
      <c r="J186" s="27" t="s">
        <v>121</v>
      </c>
      <c r="K186" s="27" t="s">
        <v>117</v>
      </c>
    </row>
    <row r="187" spans="1:11" x14ac:dyDescent="0.2">
      <c r="A187" s="27" t="s">
        <v>169</v>
      </c>
      <c r="B187" s="27" t="s">
        <v>171</v>
      </c>
      <c r="C187" s="27">
        <v>3.5</v>
      </c>
      <c r="D187" s="27">
        <v>2008</v>
      </c>
      <c r="E187" s="27">
        <v>6</v>
      </c>
      <c r="F187" s="27" t="s">
        <v>115</v>
      </c>
      <c r="G187" s="27" t="s">
        <v>109</v>
      </c>
      <c r="H187" s="27">
        <v>19</v>
      </c>
      <c r="I187" s="27">
        <v>28</v>
      </c>
      <c r="J187" s="27" t="s">
        <v>121</v>
      </c>
      <c r="K187" s="27" t="s">
        <v>117</v>
      </c>
    </row>
    <row r="188" spans="1:11" x14ac:dyDescent="0.2">
      <c r="A188" s="27" t="s">
        <v>169</v>
      </c>
      <c r="B188" s="27" t="s">
        <v>172</v>
      </c>
      <c r="C188" s="27">
        <v>2.2000000000000002</v>
      </c>
      <c r="D188" s="27">
        <v>1999</v>
      </c>
      <c r="E188" s="27">
        <v>4</v>
      </c>
      <c r="F188" s="27" t="s">
        <v>120</v>
      </c>
      <c r="G188" s="27" t="s">
        <v>109</v>
      </c>
      <c r="H188" s="27">
        <v>21</v>
      </c>
      <c r="I188" s="27">
        <v>27</v>
      </c>
      <c r="J188" s="27" t="s">
        <v>121</v>
      </c>
      <c r="K188" s="27" t="s">
        <v>110</v>
      </c>
    </row>
    <row r="189" spans="1:11" x14ac:dyDescent="0.2">
      <c r="A189" s="27" t="s">
        <v>169</v>
      </c>
      <c r="B189" s="27" t="s">
        <v>172</v>
      </c>
      <c r="C189" s="27">
        <v>2.2000000000000002</v>
      </c>
      <c r="D189" s="27">
        <v>1999</v>
      </c>
      <c r="E189" s="27">
        <v>4</v>
      </c>
      <c r="F189" s="27" t="s">
        <v>111</v>
      </c>
      <c r="G189" s="27" t="s">
        <v>109</v>
      </c>
      <c r="H189" s="27">
        <v>21</v>
      </c>
      <c r="I189" s="27">
        <v>29</v>
      </c>
      <c r="J189" s="27" t="s">
        <v>121</v>
      </c>
      <c r="K189" s="27" t="s">
        <v>110</v>
      </c>
    </row>
    <row r="190" spans="1:11" x14ac:dyDescent="0.2">
      <c r="A190" s="27" t="s">
        <v>169</v>
      </c>
      <c r="B190" s="27" t="s">
        <v>172</v>
      </c>
      <c r="C190" s="27">
        <v>2.4</v>
      </c>
      <c r="D190" s="27">
        <v>2008</v>
      </c>
      <c r="E190" s="27">
        <v>4</v>
      </c>
      <c r="F190" s="27" t="s">
        <v>111</v>
      </c>
      <c r="G190" s="27" t="s">
        <v>109</v>
      </c>
      <c r="H190" s="27">
        <v>21</v>
      </c>
      <c r="I190" s="27">
        <v>31</v>
      </c>
      <c r="J190" s="27" t="s">
        <v>121</v>
      </c>
      <c r="K190" s="27" t="s">
        <v>110</v>
      </c>
    </row>
    <row r="191" spans="1:11" x14ac:dyDescent="0.2">
      <c r="A191" s="27" t="s">
        <v>169</v>
      </c>
      <c r="B191" s="27" t="s">
        <v>172</v>
      </c>
      <c r="C191" s="27">
        <v>2.4</v>
      </c>
      <c r="D191" s="27">
        <v>2008</v>
      </c>
      <c r="E191" s="27">
        <v>4</v>
      </c>
      <c r="F191" s="27" t="s">
        <v>162</v>
      </c>
      <c r="G191" s="27" t="s">
        <v>109</v>
      </c>
      <c r="H191" s="27">
        <v>22</v>
      </c>
      <c r="I191" s="27">
        <v>31</v>
      </c>
      <c r="J191" s="27" t="s">
        <v>121</v>
      </c>
      <c r="K191" s="27" t="s">
        <v>110</v>
      </c>
    </row>
    <row r="192" spans="1:11" x14ac:dyDescent="0.2">
      <c r="A192" s="27" t="s">
        <v>169</v>
      </c>
      <c r="B192" s="27" t="s">
        <v>172</v>
      </c>
      <c r="C192" s="27">
        <v>3</v>
      </c>
      <c r="D192" s="27">
        <v>1999</v>
      </c>
      <c r="E192" s="27">
        <v>6</v>
      </c>
      <c r="F192" s="27" t="s">
        <v>120</v>
      </c>
      <c r="G192" s="27" t="s">
        <v>109</v>
      </c>
      <c r="H192" s="27">
        <v>18</v>
      </c>
      <c r="I192" s="27">
        <v>26</v>
      </c>
      <c r="J192" s="27" t="s">
        <v>121</v>
      </c>
      <c r="K192" s="27" t="s">
        <v>110</v>
      </c>
    </row>
    <row r="193" spans="1:11" x14ac:dyDescent="0.2">
      <c r="A193" s="27" t="s">
        <v>169</v>
      </c>
      <c r="B193" s="27" t="s">
        <v>172</v>
      </c>
      <c r="C193" s="27">
        <v>3</v>
      </c>
      <c r="D193" s="27">
        <v>1999</v>
      </c>
      <c r="E193" s="27">
        <v>6</v>
      </c>
      <c r="F193" s="27" t="s">
        <v>111</v>
      </c>
      <c r="G193" s="27" t="s">
        <v>109</v>
      </c>
      <c r="H193" s="27">
        <v>18</v>
      </c>
      <c r="I193" s="27">
        <v>26</v>
      </c>
      <c r="J193" s="27" t="s">
        <v>121</v>
      </c>
      <c r="K193" s="27" t="s">
        <v>110</v>
      </c>
    </row>
    <row r="194" spans="1:11" x14ac:dyDescent="0.2">
      <c r="A194" s="27" t="s">
        <v>169</v>
      </c>
      <c r="B194" s="27" t="s">
        <v>172</v>
      </c>
      <c r="C194" s="27">
        <v>3.3</v>
      </c>
      <c r="D194" s="27">
        <v>2008</v>
      </c>
      <c r="E194" s="27">
        <v>6</v>
      </c>
      <c r="F194" s="27" t="s">
        <v>162</v>
      </c>
      <c r="G194" s="27" t="s">
        <v>109</v>
      </c>
      <c r="H194" s="27">
        <v>18</v>
      </c>
      <c r="I194" s="27">
        <v>27</v>
      </c>
      <c r="J194" s="27" t="s">
        <v>121</v>
      </c>
      <c r="K194" s="27" t="s">
        <v>110</v>
      </c>
    </row>
    <row r="195" spans="1:11" x14ac:dyDescent="0.2">
      <c r="A195" s="27" t="s">
        <v>169</v>
      </c>
      <c r="B195" s="27" t="s">
        <v>173</v>
      </c>
      <c r="C195" s="27">
        <v>1.8</v>
      </c>
      <c r="D195" s="27">
        <v>1999</v>
      </c>
      <c r="E195" s="27">
        <v>4</v>
      </c>
      <c r="F195" s="27" t="s">
        <v>131</v>
      </c>
      <c r="G195" s="27" t="s">
        <v>109</v>
      </c>
      <c r="H195" s="27">
        <v>24</v>
      </c>
      <c r="I195" s="27">
        <v>30</v>
      </c>
      <c r="J195" s="27" t="s">
        <v>121</v>
      </c>
      <c r="K195" s="27" t="s">
        <v>110</v>
      </c>
    </row>
    <row r="196" spans="1:11" x14ac:dyDescent="0.2">
      <c r="A196" s="27" t="s">
        <v>169</v>
      </c>
      <c r="B196" s="27" t="s">
        <v>173</v>
      </c>
      <c r="C196" s="27">
        <v>1.8</v>
      </c>
      <c r="D196" s="27">
        <v>1999</v>
      </c>
      <c r="E196" s="27">
        <v>4</v>
      </c>
      <c r="F196" s="27" t="s">
        <v>120</v>
      </c>
      <c r="G196" s="27" t="s">
        <v>109</v>
      </c>
      <c r="H196" s="27">
        <v>24</v>
      </c>
      <c r="I196" s="27">
        <v>33</v>
      </c>
      <c r="J196" s="27" t="s">
        <v>121</v>
      </c>
      <c r="K196" s="27" t="s">
        <v>110</v>
      </c>
    </row>
    <row r="197" spans="1:11" x14ac:dyDescent="0.2">
      <c r="A197" s="27" t="s">
        <v>169</v>
      </c>
      <c r="B197" s="27" t="s">
        <v>173</v>
      </c>
      <c r="C197" s="27">
        <v>1.8</v>
      </c>
      <c r="D197" s="27">
        <v>1999</v>
      </c>
      <c r="E197" s="27">
        <v>4</v>
      </c>
      <c r="F197" s="27" t="s">
        <v>111</v>
      </c>
      <c r="G197" s="27" t="s">
        <v>109</v>
      </c>
      <c r="H197" s="27">
        <v>26</v>
      </c>
      <c r="I197" s="27">
        <v>35</v>
      </c>
      <c r="J197" s="27" t="s">
        <v>121</v>
      </c>
      <c r="K197" s="27" t="s">
        <v>110</v>
      </c>
    </row>
    <row r="198" spans="1:11" x14ac:dyDescent="0.2">
      <c r="A198" s="27" t="s">
        <v>169</v>
      </c>
      <c r="B198" s="27" t="s">
        <v>173</v>
      </c>
      <c r="C198" s="27">
        <v>1.8</v>
      </c>
      <c r="D198" s="27">
        <v>2008</v>
      </c>
      <c r="E198" s="27">
        <v>4</v>
      </c>
      <c r="F198" s="27" t="s">
        <v>111</v>
      </c>
      <c r="G198" s="27" t="s">
        <v>109</v>
      </c>
      <c r="H198" s="27">
        <v>28</v>
      </c>
      <c r="I198" s="27">
        <v>37</v>
      </c>
      <c r="J198" s="27" t="s">
        <v>121</v>
      </c>
      <c r="K198" s="27" t="s">
        <v>110</v>
      </c>
    </row>
    <row r="199" spans="1:11" x14ac:dyDescent="0.2">
      <c r="A199" s="27" t="s">
        <v>169</v>
      </c>
      <c r="B199" s="27" t="s">
        <v>173</v>
      </c>
      <c r="C199" s="27">
        <v>1.8</v>
      </c>
      <c r="D199" s="27">
        <v>2008</v>
      </c>
      <c r="E199" s="27">
        <v>4</v>
      </c>
      <c r="F199" s="27" t="s">
        <v>120</v>
      </c>
      <c r="G199" s="27" t="s">
        <v>109</v>
      </c>
      <c r="H199" s="27">
        <v>26</v>
      </c>
      <c r="I199" s="27">
        <v>35</v>
      </c>
      <c r="J199" s="27" t="s">
        <v>121</v>
      </c>
      <c r="K199" s="27" t="s">
        <v>110</v>
      </c>
    </row>
    <row r="200" spans="1:11" x14ac:dyDescent="0.2">
      <c r="A200" s="27" t="s">
        <v>169</v>
      </c>
      <c r="B200" s="27" t="s">
        <v>174</v>
      </c>
      <c r="C200" s="27">
        <v>4.7</v>
      </c>
      <c r="D200" s="27">
        <v>1999</v>
      </c>
      <c r="E200" s="27">
        <v>8</v>
      </c>
      <c r="F200" s="27" t="s">
        <v>120</v>
      </c>
      <c r="G200" s="27">
        <v>4</v>
      </c>
      <c r="H200" s="27">
        <v>11</v>
      </c>
      <c r="I200" s="27">
        <v>15</v>
      </c>
      <c r="J200" s="27" t="s">
        <v>121</v>
      </c>
      <c r="K200" s="27" t="s">
        <v>122</v>
      </c>
    </row>
    <row r="201" spans="1:11" x14ac:dyDescent="0.2">
      <c r="A201" s="27" t="s">
        <v>169</v>
      </c>
      <c r="B201" s="27" t="s">
        <v>174</v>
      </c>
      <c r="C201" s="27">
        <v>5.7</v>
      </c>
      <c r="D201" s="27">
        <v>2008</v>
      </c>
      <c r="E201" s="27">
        <v>8</v>
      </c>
      <c r="F201" s="27" t="s">
        <v>115</v>
      </c>
      <c r="G201" s="27">
        <v>4</v>
      </c>
      <c r="H201" s="27">
        <v>13</v>
      </c>
      <c r="I201" s="27">
        <v>18</v>
      </c>
      <c r="J201" s="27" t="s">
        <v>121</v>
      </c>
      <c r="K201" s="27" t="s">
        <v>122</v>
      </c>
    </row>
    <row r="202" spans="1:11" x14ac:dyDescent="0.2">
      <c r="A202" s="27" t="s">
        <v>169</v>
      </c>
      <c r="B202" s="27" t="s">
        <v>175</v>
      </c>
      <c r="C202" s="27">
        <v>2.7</v>
      </c>
      <c r="D202" s="27">
        <v>1999</v>
      </c>
      <c r="E202" s="27">
        <v>4</v>
      </c>
      <c r="F202" s="27" t="s">
        <v>111</v>
      </c>
      <c r="G202" s="27">
        <v>4</v>
      </c>
      <c r="H202" s="27">
        <v>15</v>
      </c>
      <c r="I202" s="27">
        <v>20</v>
      </c>
      <c r="J202" s="27" t="s">
        <v>121</v>
      </c>
      <c r="K202" s="27" t="s">
        <v>135</v>
      </c>
    </row>
    <row r="203" spans="1:11" x14ac:dyDescent="0.2">
      <c r="A203" s="27" t="s">
        <v>169</v>
      </c>
      <c r="B203" s="27" t="s">
        <v>175</v>
      </c>
      <c r="C203" s="27">
        <v>2.7</v>
      </c>
      <c r="D203" s="27">
        <v>1999</v>
      </c>
      <c r="E203" s="27">
        <v>4</v>
      </c>
      <c r="F203" s="27" t="s">
        <v>120</v>
      </c>
      <c r="G203" s="27">
        <v>4</v>
      </c>
      <c r="H203" s="27">
        <v>16</v>
      </c>
      <c r="I203" s="27">
        <v>20</v>
      </c>
      <c r="J203" s="27" t="s">
        <v>121</v>
      </c>
      <c r="K203" s="27" t="s">
        <v>135</v>
      </c>
    </row>
    <row r="204" spans="1:11" x14ac:dyDescent="0.2">
      <c r="A204" s="27" t="s">
        <v>169</v>
      </c>
      <c r="B204" s="27" t="s">
        <v>175</v>
      </c>
      <c r="C204" s="27">
        <v>2.7</v>
      </c>
      <c r="D204" s="27">
        <v>2008</v>
      </c>
      <c r="E204" s="27">
        <v>4</v>
      </c>
      <c r="F204" s="27" t="s">
        <v>111</v>
      </c>
      <c r="G204" s="27">
        <v>4</v>
      </c>
      <c r="H204" s="27">
        <v>17</v>
      </c>
      <c r="I204" s="27">
        <v>22</v>
      </c>
      <c r="J204" s="27" t="s">
        <v>121</v>
      </c>
      <c r="K204" s="27" t="s">
        <v>135</v>
      </c>
    </row>
    <row r="205" spans="1:11" x14ac:dyDescent="0.2">
      <c r="A205" s="27" t="s">
        <v>169</v>
      </c>
      <c r="B205" s="27" t="s">
        <v>175</v>
      </c>
      <c r="C205" s="27">
        <v>3.4</v>
      </c>
      <c r="D205" s="27">
        <v>1999</v>
      </c>
      <c r="E205" s="27">
        <v>6</v>
      </c>
      <c r="F205" s="27" t="s">
        <v>111</v>
      </c>
      <c r="G205" s="27">
        <v>4</v>
      </c>
      <c r="H205" s="27">
        <v>15</v>
      </c>
      <c r="I205" s="27">
        <v>17</v>
      </c>
      <c r="J205" s="27" t="s">
        <v>121</v>
      </c>
      <c r="K205" s="27" t="s">
        <v>135</v>
      </c>
    </row>
    <row r="206" spans="1:11" x14ac:dyDescent="0.2">
      <c r="A206" s="27" t="s">
        <v>169</v>
      </c>
      <c r="B206" s="27" t="s">
        <v>175</v>
      </c>
      <c r="C206" s="27">
        <v>3.4</v>
      </c>
      <c r="D206" s="27">
        <v>1999</v>
      </c>
      <c r="E206" s="27">
        <v>6</v>
      </c>
      <c r="F206" s="27" t="s">
        <v>120</v>
      </c>
      <c r="G206" s="27">
        <v>4</v>
      </c>
      <c r="H206" s="27">
        <v>15</v>
      </c>
      <c r="I206" s="27">
        <v>19</v>
      </c>
      <c r="J206" s="27" t="s">
        <v>121</v>
      </c>
      <c r="K206" s="27" t="s">
        <v>135</v>
      </c>
    </row>
    <row r="207" spans="1:11" x14ac:dyDescent="0.2">
      <c r="A207" s="27" t="s">
        <v>169</v>
      </c>
      <c r="B207" s="27" t="s">
        <v>175</v>
      </c>
      <c r="C207" s="27">
        <v>4</v>
      </c>
      <c r="D207" s="27">
        <v>2008</v>
      </c>
      <c r="E207" s="27">
        <v>6</v>
      </c>
      <c r="F207" s="27" t="s">
        <v>112</v>
      </c>
      <c r="G207" s="27">
        <v>4</v>
      </c>
      <c r="H207" s="27">
        <v>15</v>
      </c>
      <c r="I207" s="27">
        <v>18</v>
      </c>
      <c r="J207" s="27" t="s">
        <v>121</v>
      </c>
      <c r="K207" s="27" t="s">
        <v>135</v>
      </c>
    </row>
    <row r="208" spans="1:11" x14ac:dyDescent="0.2">
      <c r="A208" s="27" t="s">
        <v>169</v>
      </c>
      <c r="B208" s="27" t="s">
        <v>175</v>
      </c>
      <c r="C208" s="27">
        <v>4</v>
      </c>
      <c r="D208" s="27">
        <v>2008</v>
      </c>
      <c r="E208" s="27">
        <v>6</v>
      </c>
      <c r="F208" s="27" t="s">
        <v>108</v>
      </c>
      <c r="G208" s="27">
        <v>4</v>
      </c>
      <c r="H208" s="27">
        <v>16</v>
      </c>
      <c r="I208" s="27">
        <v>20</v>
      </c>
      <c r="J208" s="27" t="s">
        <v>121</v>
      </c>
      <c r="K208" s="27" t="s">
        <v>135</v>
      </c>
    </row>
    <row r="209" spans="1:11" x14ac:dyDescent="0.2">
      <c r="A209" s="27" t="s">
        <v>176</v>
      </c>
      <c r="B209" s="27" t="s">
        <v>177</v>
      </c>
      <c r="C209" s="27">
        <v>2</v>
      </c>
      <c r="D209" s="27">
        <v>1999</v>
      </c>
      <c r="E209" s="27">
        <v>4</v>
      </c>
      <c r="F209" s="27" t="s">
        <v>111</v>
      </c>
      <c r="G209" s="27" t="s">
        <v>109</v>
      </c>
      <c r="H209" s="27">
        <v>21</v>
      </c>
      <c r="I209" s="27">
        <v>29</v>
      </c>
      <c r="J209" s="27" t="s">
        <v>121</v>
      </c>
      <c r="K209" s="27" t="s">
        <v>110</v>
      </c>
    </row>
    <row r="210" spans="1:11" x14ac:dyDescent="0.2">
      <c r="A210" s="27" t="s">
        <v>176</v>
      </c>
      <c r="B210" s="27" t="s">
        <v>177</v>
      </c>
      <c r="C210" s="27">
        <v>2</v>
      </c>
      <c r="D210" s="27">
        <v>1999</v>
      </c>
      <c r="E210" s="27">
        <v>4</v>
      </c>
      <c r="F210" s="27" t="s">
        <v>120</v>
      </c>
      <c r="G210" s="27" t="s">
        <v>109</v>
      </c>
      <c r="H210" s="27">
        <v>19</v>
      </c>
      <c r="I210" s="27">
        <v>26</v>
      </c>
      <c r="J210" s="27" t="s">
        <v>121</v>
      </c>
      <c r="K210" s="27" t="s">
        <v>110</v>
      </c>
    </row>
    <row r="211" spans="1:11" x14ac:dyDescent="0.2">
      <c r="A211" s="27" t="s">
        <v>176</v>
      </c>
      <c r="B211" s="27" t="s">
        <v>177</v>
      </c>
      <c r="C211" s="27">
        <v>2</v>
      </c>
      <c r="D211" s="27">
        <v>2008</v>
      </c>
      <c r="E211" s="27">
        <v>4</v>
      </c>
      <c r="F211" s="27" t="s">
        <v>112</v>
      </c>
      <c r="G211" s="27" t="s">
        <v>109</v>
      </c>
      <c r="H211" s="27">
        <v>21</v>
      </c>
      <c r="I211" s="27">
        <v>29</v>
      </c>
      <c r="J211" s="27" t="s">
        <v>10</v>
      </c>
      <c r="K211" s="27" t="s">
        <v>110</v>
      </c>
    </row>
    <row r="212" spans="1:11" x14ac:dyDescent="0.2">
      <c r="A212" s="27" t="s">
        <v>176</v>
      </c>
      <c r="B212" s="27" t="s">
        <v>177</v>
      </c>
      <c r="C212" s="27">
        <v>2</v>
      </c>
      <c r="D212" s="27">
        <v>2008</v>
      </c>
      <c r="E212" s="27">
        <v>4</v>
      </c>
      <c r="F212" s="27" t="s">
        <v>115</v>
      </c>
      <c r="G212" s="27" t="s">
        <v>109</v>
      </c>
      <c r="H212" s="27">
        <v>22</v>
      </c>
      <c r="I212" s="27">
        <v>29</v>
      </c>
      <c r="J212" s="27" t="s">
        <v>10</v>
      </c>
      <c r="K212" s="27" t="s">
        <v>110</v>
      </c>
    </row>
    <row r="213" spans="1:11" x14ac:dyDescent="0.2">
      <c r="A213" s="27" t="s">
        <v>176</v>
      </c>
      <c r="B213" s="27" t="s">
        <v>177</v>
      </c>
      <c r="C213" s="27">
        <v>2.8</v>
      </c>
      <c r="D213" s="27">
        <v>1999</v>
      </c>
      <c r="E213" s="27">
        <v>6</v>
      </c>
      <c r="F213" s="27" t="s">
        <v>111</v>
      </c>
      <c r="G213" s="27" t="s">
        <v>109</v>
      </c>
      <c r="H213" s="27">
        <v>17</v>
      </c>
      <c r="I213" s="27">
        <v>24</v>
      </c>
      <c r="J213" s="27" t="s">
        <v>121</v>
      </c>
      <c r="K213" s="27" t="s">
        <v>110</v>
      </c>
    </row>
    <row r="214" spans="1:11" x14ac:dyDescent="0.2">
      <c r="A214" s="27" t="s">
        <v>176</v>
      </c>
      <c r="B214" s="27" t="s">
        <v>178</v>
      </c>
      <c r="C214" s="27">
        <v>1.9</v>
      </c>
      <c r="D214" s="27">
        <v>1999</v>
      </c>
      <c r="E214" s="27">
        <v>4</v>
      </c>
      <c r="F214" s="27" t="s">
        <v>111</v>
      </c>
      <c r="G214" s="27" t="s">
        <v>109</v>
      </c>
      <c r="H214" s="27">
        <v>33</v>
      </c>
      <c r="I214" s="27">
        <v>44</v>
      </c>
      <c r="J214" s="27" t="s">
        <v>127</v>
      </c>
      <c r="K214" s="27" t="s">
        <v>110</v>
      </c>
    </row>
    <row r="215" spans="1:11" x14ac:dyDescent="0.2">
      <c r="A215" s="27" t="s">
        <v>176</v>
      </c>
      <c r="B215" s="27" t="s">
        <v>178</v>
      </c>
      <c r="C215" s="27">
        <v>2</v>
      </c>
      <c r="D215" s="27">
        <v>1999</v>
      </c>
      <c r="E215" s="27">
        <v>4</v>
      </c>
      <c r="F215" s="27" t="s">
        <v>111</v>
      </c>
      <c r="G215" s="27" t="s">
        <v>109</v>
      </c>
      <c r="H215" s="27">
        <v>21</v>
      </c>
      <c r="I215" s="27">
        <v>29</v>
      </c>
      <c r="J215" s="27" t="s">
        <v>121</v>
      </c>
      <c r="K215" s="27" t="s">
        <v>110</v>
      </c>
    </row>
    <row r="216" spans="1:11" x14ac:dyDescent="0.2">
      <c r="A216" s="27" t="s">
        <v>176</v>
      </c>
      <c r="B216" s="27" t="s">
        <v>178</v>
      </c>
      <c r="C216" s="27">
        <v>2</v>
      </c>
      <c r="D216" s="27">
        <v>1999</v>
      </c>
      <c r="E216" s="27">
        <v>4</v>
      </c>
      <c r="F216" s="27" t="s">
        <v>120</v>
      </c>
      <c r="G216" s="27" t="s">
        <v>109</v>
      </c>
      <c r="H216" s="27">
        <v>19</v>
      </c>
      <c r="I216" s="27">
        <v>26</v>
      </c>
      <c r="J216" s="27" t="s">
        <v>121</v>
      </c>
      <c r="K216" s="27" t="s">
        <v>110</v>
      </c>
    </row>
    <row r="217" spans="1:11" x14ac:dyDescent="0.2">
      <c r="A217" s="27" t="s">
        <v>176</v>
      </c>
      <c r="B217" s="27" t="s">
        <v>178</v>
      </c>
      <c r="C217" s="27">
        <v>2</v>
      </c>
      <c r="D217" s="27">
        <v>2008</v>
      </c>
      <c r="E217" s="27">
        <v>4</v>
      </c>
      <c r="F217" s="27" t="s">
        <v>115</v>
      </c>
      <c r="G217" s="27" t="s">
        <v>109</v>
      </c>
      <c r="H217" s="27">
        <v>22</v>
      </c>
      <c r="I217" s="27">
        <v>29</v>
      </c>
      <c r="J217" s="27" t="s">
        <v>10</v>
      </c>
      <c r="K217" s="27" t="s">
        <v>110</v>
      </c>
    </row>
    <row r="218" spans="1:11" x14ac:dyDescent="0.2">
      <c r="A218" s="27" t="s">
        <v>176</v>
      </c>
      <c r="B218" s="27" t="s">
        <v>178</v>
      </c>
      <c r="C218" s="27">
        <v>2</v>
      </c>
      <c r="D218" s="27">
        <v>2008</v>
      </c>
      <c r="E218" s="27">
        <v>4</v>
      </c>
      <c r="F218" s="27" t="s">
        <v>112</v>
      </c>
      <c r="G218" s="27" t="s">
        <v>109</v>
      </c>
      <c r="H218" s="27">
        <v>21</v>
      </c>
      <c r="I218" s="27">
        <v>29</v>
      </c>
      <c r="J218" s="27" t="s">
        <v>10</v>
      </c>
      <c r="K218" s="27" t="s">
        <v>110</v>
      </c>
    </row>
    <row r="219" spans="1:11" x14ac:dyDescent="0.2">
      <c r="A219" s="27" t="s">
        <v>176</v>
      </c>
      <c r="B219" s="27" t="s">
        <v>178</v>
      </c>
      <c r="C219" s="27">
        <v>2.5</v>
      </c>
      <c r="D219" s="27">
        <v>2008</v>
      </c>
      <c r="E219" s="27">
        <v>5</v>
      </c>
      <c r="F219" s="27" t="s">
        <v>115</v>
      </c>
      <c r="G219" s="27" t="s">
        <v>109</v>
      </c>
      <c r="H219" s="27">
        <v>21</v>
      </c>
      <c r="I219" s="27">
        <v>29</v>
      </c>
      <c r="J219" s="27" t="s">
        <v>121</v>
      </c>
      <c r="K219" s="27" t="s">
        <v>110</v>
      </c>
    </row>
    <row r="220" spans="1:11" x14ac:dyDescent="0.2">
      <c r="A220" s="27" t="s">
        <v>176</v>
      </c>
      <c r="B220" s="27" t="s">
        <v>178</v>
      </c>
      <c r="C220" s="27">
        <v>2.5</v>
      </c>
      <c r="D220" s="27">
        <v>2008</v>
      </c>
      <c r="E220" s="27">
        <v>5</v>
      </c>
      <c r="F220" s="27" t="s">
        <v>111</v>
      </c>
      <c r="G220" s="27" t="s">
        <v>109</v>
      </c>
      <c r="H220" s="27">
        <v>21</v>
      </c>
      <c r="I220" s="27">
        <v>29</v>
      </c>
      <c r="J220" s="27" t="s">
        <v>121</v>
      </c>
      <c r="K220" s="27" t="s">
        <v>110</v>
      </c>
    </row>
    <row r="221" spans="1:11" x14ac:dyDescent="0.2">
      <c r="A221" s="27" t="s">
        <v>176</v>
      </c>
      <c r="B221" s="27" t="s">
        <v>178</v>
      </c>
      <c r="C221" s="27">
        <v>2.8</v>
      </c>
      <c r="D221" s="27">
        <v>1999</v>
      </c>
      <c r="E221" s="27">
        <v>6</v>
      </c>
      <c r="F221" s="27" t="s">
        <v>120</v>
      </c>
      <c r="G221" s="27" t="s">
        <v>109</v>
      </c>
      <c r="H221" s="27">
        <v>16</v>
      </c>
      <c r="I221" s="27">
        <v>23</v>
      </c>
      <c r="J221" s="27" t="s">
        <v>121</v>
      </c>
      <c r="K221" s="27" t="s">
        <v>110</v>
      </c>
    </row>
    <row r="222" spans="1:11" x14ac:dyDescent="0.2">
      <c r="A222" s="27" t="s">
        <v>176</v>
      </c>
      <c r="B222" s="27" t="s">
        <v>178</v>
      </c>
      <c r="C222" s="27">
        <v>2.8</v>
      </c>
      <c r="D222" s="27">
        <v>1999</v>
      </c>
      <c r="E222" s="27">
        <v>6</v>
      </c>
      <c r="F222" s="27" t="s">
        <v>111</v>
      </c>
      <c r="G222" s="27" t="s">
        <v>109</v>
      </c>
      <c r="H222" s="27">
        <v>17</v>
      </c>
      <c r="I222" s="27">
        <v>24</v>
      </c>
      <c r="J222" s="27" t="s">
        <v>121</v>
      </c>
      <c r="K222" s="27" t="s">
        <v>110</v>
      </c>
    </row>
    <row r="223" spans="1:11" x14ac:dyDescent="0.2">
      <c r="A223" s="27" t="s">
        <v>176</v>
      </c>
      <c r="B223" s="27" t="s">
        <v>179</v>
      </c>
      <c r="C223" s="27">
        <v>1.9</v>
      </c>
      <c r="D223" s="27">
        <v>1999</v>
      </c>
      <c r="E223" s="27">
        <v>4</v>
      </c>
      <c r="F223" s="27" t="s">
        <v>111</v>
      </c>
      <c r="G223" s="27" t="s">
        <v>109</v>
      </c>
      <c r="H223" s="27">
        <v>35</v>
      </c>
      <c r="I223" s="27">
        <v>44</v>
      </c>
      <c r="J223" s="27" t="s">
        <v>127</v>
      </c>
      <c r="K223" s="27" t="s">
        <v>143</v>
      </c>
    </row>
    <row r="224" spans="1:11" x14ac:dyDescent="0.2">
      <c r="A224" s="27" t="s">
        <v>176</v>
      </c>
      <c r="B224" s="27" t="s">
        <v>179</v>
      </c>
      <c r="C224" s="27">
        <v>1.9</v>
      </c>
      <c r="D224" s="27">
        <v>1999</v>
      </c>
      <c r="E224" s="27">
        <v>4</v>
      </c>
      <c r="F224" s="27" t="s">
        <v>120</v>
      </c>
      <c r="G224" s="27" t="s">
        <v>109</v>
      </c>
      <c r="H224" s="27">
        <v>29</v>
      </c>
      <c r="I224" s="27">
        <v>41</v>
      </c>
      <c r="J224" s="27" t="s">
        <v>127</v>
      </c>
      <c r="K224" s="27" t="s">
        <v>143</v>
      </c>
    </row>
    <row r="225" spans="1:11" x14ac:dyDescent="0.2">
      <c r="A225" s="27" t="s">
        <v>176</v>
      </c>
      <c r="B225" s="27" t="s">
        <v>179</v>
      </c>
      <c r="C225" s="27">
        <v>2</v>
      </c>
      <c r="D225" s="27">
        <v>1999</v>
      </c>
      <c r="E225" s="27">
        <v>4</v>
      </c>
      <c r="F225" s="27" t="s">
        <v>111</v>
      </c>
      <c r="G225" s="27" t="s">
        <v>109</v>
      </c>
      <c r="H225" s="27">
        <v>21</v>
      </c>
      <c r="I225" s="27">
        <v>29</v>
      </c>
      <c r="J225" s="27" t="s">
        <v>121</v>
      </c>
      <c r="K225" s="27" t="s">
        <v>143</v>
      </c>
    </row>
    <row r="226" spans="1:11" x14ac:dyDescent="0.2">
      <c r="A226" s="27" t="s">
        <v>176</v>
      </c>
      <c r="B226" s="27" t="s">
        <v>179</v>
      </c>
      <c r="C226" s="27">
        <v>2</v>
      </c>
      <c r="D226" s="27">
        <v>1999</v>
      </c>
      <c r="E226" s="27">
        <v>4</v>
      </c>
      <c r="F226" s="27" t="s">
        <v>120</v>
      </c>
      <c r="G226" s="27" t="s">
        <v>109</v>
      </c>
      <c r="H226" s="27">
        <v>19</v>
      </c>
      <c r="I226" s="27">
        <v>26</v>
      </c>
      <c r="J226" s="27" t="s">
        <v>121</v>
      </c>
      <c r="K226" s="27" t="s">
        <v>143</v>
      </c>
    </row>
    <row r="227" spans="1:11" x14ac:dyDescent="0.2">
      <c r="A227" s="27" t="s">
        <v>176</v>
      </c>
      <c r="B227" s="27" t="s">
        <v>179</v>
      </c>
      <c r="C227" s="27">
        <v>2.5</v>
      </c>
      <c r="D227" s="27">
        <v>2008</v>
      </c>
      <c r="E227" s="27">
        <v>5</v>
      </c>
      <c r="F227" s="27" t="s">
        <v>111</v>
      </c>
      <c r="G227" s="27" t="s">
        <v>109</v>
      </c>
      <c r="H227" s="27">
        <v>20</v>
      </c>
      <c r="I227" s="27">
        <v>28</v>
      </c>
      <c r="J227" s="27" t="s">
        <v>121</v>
      </c>
      <c r="K227" s="27" t="s">
        <v>143</v>
      </c>
    </row>
    <row r="228" spans="1:11" x14ac:dyDescent="0.2">
      <c r="A228" s="27" t="s">
        <v>176</v>
      </c>
      <c r="B228" s="27" t="s">
        <v>179</v>
      </c>
      <c r="C228" s="27">
        <v>2.5</v>
      </c>
      <c r="D228" s="27">
        <v>2008</v>
      </c>
      <c r="E228" s="27">
        <v>5</v>
      </c>
      <c r="F228" s="27" t="s">
        <v>115</v>
      </c>
      <c r="G228" s="27" t="s">
        <v>109</v>
      </c>
      <c r="H228" s="27">
        <v>20</v>
      </c>
      <c r="I228" s="27">
        <v>29</v>
      </c>
      <c r="J228" s="27" t="s">
        <v>121</v>
      </c>
      <c r="K228" s="27" t="s">
        <v>143</v>
      </c>
    </row>
    <row r="229" spans="1:11" x14ac:dyDescent="0.2">
      <c r="A229" s="27" t="s">
        <v>176</v>
      </c>
      <c r="B229" s="27" t="s">
        <v>180</v>
      </c>
      <c r="C229" s="27">
        <v>1.8</v>
      </c>
      <c r="D229" s="27">
        <v>1999</v>
      </c>
      <c r="E229" s="27">
        <v>4</v>
      </c>
      <c r="F229" s="27" t="s">
        <v>111</v>
      </c>
      <c r="G229" s="27" t="s">
        <v>109</v>
      </c>
      <c r="H229" s="27">
        <v>21</v>
      </c>
      <c r="I229" s="27">
        <v>29</v>
      </c>
      <c r="J229" s="27" t="s">
        <v>10</v>
      </c>
      <c r="K229" s="27" t="s">
        <v>117</v>
      </c>
    </row>
    <row r="230" spans="1:11" x14ac:dyDescent="0.2">
      <c r="A230" s="27" t="s">
        <v>176</v>
      </c>
      <c r="B230" s="27" t="s">
        <v>180</v>
      </c>
      <c r="C230" s="27">
        <v>1.8</v>
      </c>
      <c r="D230" s="27">
        <v>1999</v>
      </c>
      <c r="E230" s="27">
        <v>4</v>
      </c>
      <c r="F230" s="27" t="s">
        <v>108</v>
      </c>
      <c r="G230" s="27" t="s">
        <v>109</v>
      </c>
      <c r="H230" s="27">
        <v>18</v>
      </c>
      <c r="I230" s="27">
        <v>29</v>
      </c>
      <c r="J230" s="27" t="s">
        <v>10</v>
      </c>
      <c r="K230" s="27" t="s">
        <v>117</v>
      </c>
    </row>
    <row r="231" spans="1:11" x14ac:dyDescent="0.2">
      <c r="A231" s="27" t="s">
        <v>176</v>
      </c>
      <c r="B231" s="27" t="s">
        <v>180</v>
      </c>
      <c r="C231" s="27">
        <v>2</v>
      </c>
      <c r="D231" s="27">
        <v>2008</v>
      </c>
      <c r="E231" s="27">
        <v>4</v>
      </c>
      <c r="F231" s="27" t="s">
        <v>115</v>
      </c>
      <c r="G231" s="27" t="s">
        <v>109</v>
      </c>
      <c r="H231" s="27">
        <v>19</v>
      </c>
      <c r="I231" s="27">
        <v>28</v>
      </c>
      <c r="J231" s="27" t="s">
        <v>10</v>
      </c>
      <c r="K231" s="27" t="s">
        <v>117</v>
      </c>
    </row>
    <row r="232" spans="1:11" x14ac:dyDescent="0.2">
      <c r="A232" s="27" t="s">
        <v>176</v>
      </c>
      <c r="B232" s="27" t="s">
        <v>180</v>
      </c>
      <c r="C232" s="27">
        <v>2</v>
      </c>
      <c r="D232" s="27">
        <v>2008</v>
      </c>
      <c r="E232" s="27">
        <v>4</v>
      </c>
      <c r="F232" s="27" t="s">
        <v>112</v>
      </c>
      <c r="G232" s="27" t="s">
        <v>109</v>
      </c>
      <c r="H232" s="27">
        <v>21</v>
      </c>
      <c r="I232" s="27">
        <v>29</v>
      </c>
      <c r="J232" s="27" t="s">
        <v>10</v>
      </c>
      <c r="K232" s="27" t="s">
        <v>117</v>
      </c>
    </row>
    <row r="233" spans="1:11" x14ac:dyDescent="0.2">
      <c r="A233" s="27" t="s">
        <v>176</v>
      </c>
      <c r="B233" s="27" t="s">
        <v>180</v>
      </c>
      <c r="C233" s="27">
        <v>2.8</v>
      </c>
      <c r="D233" s="27">
        <v>1999</v>
      </c>
      <c r="E233" s="27">
        <v>6</v>
      </c>
      <c r="F233" s="27" t="s">
        <v>108</v>
      </c>
      <c r="G233" s="27" t="s">
        <v>109</v>
      </c>
      <c r="H233" s="27">
        <v>16</v>
      </c>
      <c r="I233" s="27">
        <v>26</v>
      </c>
      <c r="J233" s="27" t="s">
        <v>10</v>
      </c>
      <c r="K233" s="27" t="s">
        <v>117</v>
      </c>
    </row>
    <row r="234" spans="1:11" x14ac:dyDescent="0.2">
      <c r="A234" s="27" t="s">
        <v>176</v>
      </c>
      <c r="B234" s="27" t="s">
        <v>180</v>
      </c>
      <c r="C234" s="27">
        <v>2.8</v>
      </c>
      <c r="D234" s="27">
        <v>1999</v>
      </c>
      <c r="E234" s="27">
        <v>6</v>
      </c>
      <c r="F234" s="27" t="s">
        <v>111</v>
      </c>
      <c r="G234" s="27" t="s">
        <v>109</v>
      </c>
      <c r="H234" s="27">
        <v>18</v>
      </c>
      <c r="I234" s="27">
        <v>26</v>
      </c>
      <c r="J234" s="27" t="s">
        <v>10</v>
      </c>
      <c r="K234" s="27" t="s">
        <v>117</v>
      </c>
    </row>
    <row r="235" spans="1:11" x14ac:dyDescent="0.2">
      <c r="A235" s="27" t="s">
        <v>176</v>
      </c>
      <c r="B235" s="27" t="s">
        <v>180</v>
      </c>
      <c r="C235" s="27">
        <v>3.6</v>
      </c>
      <c r="D235" s="27">
        <v>2008</v>
      </c>
      <c r="E235" s="27">
        <v>6</v>
      </c>
      <c r="F235" s="27" t="s">
        <v>115</v>
      </c>
      <c r="G235" s="27" t="s">
        <v>109</v>
      </c>
      <c r="H235" s="27">
        <v>17</v>
      </c>
      <c r="I235" s="27">
        <v>26</v>
      </c>
      <c r="J235" s="27" t="s">
        <v>10</v>
      </c>
      <c r="K235" s="27" t="s">
        <v>117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K235"/>
  <sheetViews>
    <sheetView workbookViewId="0"/>
  </sheetViews>
  <sheetFormatPr baseColWidth="10" defaultColWidth="14.5" defaultRowHeight="16" x14ac:dyDescent="0.2"/>
  <cols>
    <col min="1" max="10" width="14.5" style="28"/>
    <col min="12" max="16384" width="14.5" style="28"/>
  </cols>
  <sheetData>
    <row r="1" spans="1:11" x14ac:dyDescent="0.2">
      <c r="A1" s="27" t="s">
        <v>102</v>
      </c>
      <c r="B1" s="27" t="s">
        <v>181</v>
      </c>
      <c r="C1" s="28" t="s">
        <v>182</v>
      </c>
      <c r="D1" s="28" t="s">
        <v>183</v>
      </c>
      <c r="E1" s="28" t="s">
        <v>184</v>
      </c>
      <c r="F1" s="28" t="s">
        <v>186</v>
      </c>
      <c r="G1" s="28" t="s">
        <v>185</v>
      </c>
      <c r="H1" s="28" t="s">
        <v>188</v>
      </c>
      <c r="I1" s="28" t="s">
        <v>10</v>
      </c>
      <c r="J1" s="28" t="s">
        <v>187</v>
      </c>
      <c r="K1" s="28"/>
    </row>
    <row r="2" spans="1:11" x14ac:dyDescent="0.2">
      <c r="A2" s="27">
        <v>18</v>
      </c>
      <c r="B2" s="27">
        <v>1</v>
      </c>
      <c r="C2" s="28" cm="1">
        <f t="array" ref="C2:C235">TREND(A2:A235,B2:B235,B2:B235,FALSE)</f>
        <v>16.858974358974358</v>
      </c>
      <c r="D2" s="28">
        <f>C2-A2</f>
        <v>-1.1410256410256423</v>
      </c>
      <c r="E2" s="28">
        <f>STDEV(D2:D235)</f>
        <v>4.2559456788893932</v>
      </c>
      <c r="F2" s="28">
        <f>_xlfn.NORM.DIST(D2,0,$E$2,FALSE)</f>
        <v>9.0428595220514676E-2</v>
      </c>
      <c r="G2" s="28" cm="1">
        <f t="array" ref="G2">SUM(LN(F2:F235))</f>
        <v>-670.43779208802937</v>
      </c>
      <c r="H2" s="28">
        <f>COUNT(A2:A235)</f>
        <v>234</v>
      </c>
      <c r="I2" s="28">
        <v>1</v>
      </c>
      <c r="J2" s="28">
        <f>-2*G2+2*I2</f>
        <v>1342.8755841760587</v>
      </c>
      <c r="K2" s="28"/>
    </row>
    <row r="3" spans="1:11" x14ac:dyDescent="0.2">
      <c r="A3" s="27">
        <v>21</v>
      </c>
      <c r="B3" s="27">
        <v>1</v>
      </c>
      <c r="C3" s="28">
        <v>16.858974358974358</v>
      </c>
      <c r="D3" s="28">
        <f t="shared" ref="D3:D66" si="0">C3-A3</f>
        <v>-4.1410256410256423</v>
      </c>
      <c r="F3" s="28">
        <f t="shared" ref="F3:F66" si="1">_xlfn.NORM.DIST(D3,0,$E$2,FALSE)</f>
        <v>5.8389578885814829E-2</v>
      </c>
      <c r="K3" s="28"/>
    </row>
    <row r="4" spans="1:11" x14ac:dyDescent="0.2">
      <c r="A4" s="27">
        <v>20</v>
      </c>
      <c r="B4" s="27">
        <v>1</v>
      </c>
      <c r="C4" s="28">
        <v>16.858974358974358</v>
      </c>
      <c r="D4" s="28">
        <f t="shared" si="0"/>
        <v>-3.1410256410256423</v>
      </c>
      <c r="F4" s="28">
        <f t="shared" si="1"/>
        <v>7.138971945227178E-2</v>
      </c>
      <c r="G4" s="28" t="s">
        <v>189</v>
      </c>
      <c r="H4" s="28" t="s">
        <v>190</v>
      </c>
      <c r="K4" s="28"/>
    </row>
    <row r="5" spans="1:11" x14ac:dyDescent="0.2">
      <c r="A5" s="27">
        <v>21</v>
      </c>
      <c r="B5" s="27">
        <v>1</v>
      </c>
      <c r="C5" s="28">
        <v>16.858974358974358</v>
      </c>
      <c r="D5" s="28">
        <f t="shared" si="0"/>
        <v>-4.1410256410256423</v>
      </c>
      <c r="F5" s="28">
        <f t="shared" si="1"/>
        <v>5.8389578885814829E-2</v>
      </c>
      <c r="G5" s="28">
        <f>SUMSQ(D2:D235)</f>
        <v>4220.3461538461506</v>
      </c>
      <c r="H5" s="28">
        <f>G5/H2</f>
        <v>18.035667324128848</v>
      </c>
      <c r="K5" s="28"/>
    </row>
    <row r="6" spans="1:11" x14ac:dyDescent="0.2">
      <c r="A6" s="27">
        <v>16</v>
      </c>
      <c r="B6" s="27">
        <v>1</v>
      </c>
      <c r="C6" s="28">
        <v>16.858974358974358</v>
      </c>
      <c r="D6" s="28">
        <f t="shared" si="0"/>
        <v>0.8589743589743577</v>
      </c>
      <c r="F6" s="28">
        <f t="shared" si="1"/>
        <v>9.1847742433773194E-2</v>
      </c>
      <c r="K6" s="28"/>
    </row>
    <row r="7" spans="1:11" x14ac:dyDescent="0.2">
      <c r="A7" s="27">
        <v>18</v>
      </c>
      <c r="B7" s="27">
        <v>1</v>
      </c>
      <c r="C7" s="28">
        <v>16.858974358974358</v>
      </c>
      <c r="D7" s="28">
        <f t="shared" si="0"/>
        <v>-1.1410256410256423</v>
      </c>
      <c r="F7" s="28">
        <f t="shared" si="1"/>
        <v>9.0428595220514676E-2</v>
      </c>
      <c r="G7" s="28" t="s">
        <v>192</v>
      </c>
      <c r="J7" s="28" t="s">
        <v>194</v>
      </c>
      <c r="K7" s="28"/>
    </row>
    <row r="8" spans="1:11" x14ac:dyDescent="0.2">
      <c r="A8" s="27">
        <v>18</v>
      </c>
      <c r="B8" s="27">
        <v>1</v>
      </c>
      <c r="C8" s="28">
        <v>16.858974358974358</v>
      </c>
      <c r="D8" s="28">
        <f t="shared" si="0"/>
        <v>-1.1410256410256423</v>
      </c>
      <c r="F8" s="28">
        <f t="shared" si="1"/>
        <v>9.0428595220514676E-2</v>
      </c>
      <c r="G8" s="28">
        <f>H2*LN(H5)</f>
        <v>676.81020777694471</v>
      </c>
      <c r="J8" s="28">
        <f>G8+2*I2</f>
        <v>678.81020777694471</v>
      </c>
      <c r="K8" s="28"/>
    </row>
    <row r="9" spans="1:11" x14ac:dyDescent="0.2">
      <c r="A9" s="27">
        <v>18</v>
      </c>
      <c r="B9" s="27">
        <v>1</v>
      </c>
      <c r="C9" s="28">
        <v>16.858974358974358</v>
      </c>
      <c r="D9" s="28">
        <f t="shared" si="0"/>
        <v>-1.1410256410256423</v>
      </c>
      <c r="F9" s="28">
        <f t="shared" si="1"/>
        <v>9.0428595220514676E-2</v>
      </c>
      <c r="K9" s="28"/>
    </row>
    <row r="10" spans="1:11" x14ac:dyDescent="0.2">
      <c r="A10" s="27">
        <v>16</v>
      </c>
      <c r="B10" s="27">
        <v>1</v>
      </c>
      <c r="C10" s="28">
        <v>16.858974358974358</v>
      </c>
      <c r="D10" s="28">
        <f t="shared" si="0"/>
        <v>0.8589743589743577</v>
      </c>
      <c r="F10" s="28">
        <f t="shared" si="1"/>
        <v>9.1847742433773194E-2</v>
      </c>
      <c r="G10" s="28" t="s">
        <v>193</v>
      </c>
      <c r="K10" s="28"/>
    </row>
    <row r="11" spans="1:11" x14ac:dyDescent="0.2">
      <c r="A11" s="27">
        <v>20</v>
      </c>
      <c r="B11" s="27">
        <v>1</v>
      </c>
      <c r="C11" s="28">
        <v>16.858974358974358</v>
      </c>
      <c r="D11" s="28">
        <f t="shared" si="0"/>
        <v>-3.1410256410256423</v>
      </c>
      <c r="F11" s="28">
        <f t="shared" si="1"/>
        <v>7.138971945227178E-2</v>
      </c>
      <c r="G11" s="28">
        <f>H2*LN(2*PI())</f>
        <v>430.06323353978684</v>
      </c>
      <c r="K11" s="28"/>
    </row>
    <row r="12" spans="1:11" x14ac:dyDescent="0.2">
      <c r="A12" s="27">
        <v>19</v>
      </c>
      <c r="B12" s="27">
        <v>1</v>
      </c>
      <c r="C12" s="28">
        <v>16.858974358974358</v>
      </c>
      <c r="D12" s="28">
        <f t="shared" si="0"/>
        <v>-2.1410256410256423</v>
      </c>
      <c r="F12" s="28">
        <f t="shared" si="1"/>
        <v>8.2596026638649928E-2</v>
      </c>
      <c r="K12" s="28"/>
    </row>
    <row r="13" spans="1:11" x14ac:dyDescent="0.2">
      <c r="A13" s="27">
        <v>15</v>
      </c>
      <c r="B13" s="27">
        <v>1</v>
      </c>
      <c r="C13" s="28">
        <v>16.858974358974358</v>
      </c>
      <c r="D13" s="28">
        <f t="shared" si="0"/>
        <v>1.8589743589743577</v>
      </c>
      <c r="F13" s="28">
        <f t="shared" si="1"/>
        <v>8.5208821600122359E-2</v>
      </c>
      <c r="G13" s="28" t="s">
        <v>191</v>
      </c>
      <c r="J13" s="28" t="s">
        <v>187</v>
      </c>
      <c r="K13" s="28"/>
    </row>
    <row r="14" spans="1:11" x14ac:dyDescent="0.2">
      <c r="A14" s="27">
        <v>17</v>
      </c>
      <c r="B14" s="27">
        <v>1</v>
      </c>
      <c r="C14" s="28">
        <v>16.858974358974358</v>
      </c>
      <c r="D14" s="28">
        <f t="shared" si="0"/>
        <v>-0.1410256410256423</v>
      </c>
      <c r="F14" s="28">
        <f t="shared" si="1"/>
        <v>9.3686186441259228E-2</v>
      </c>
      <c r="G14" s="28">
        <f>G8+G11+H2</f>
        <v>1340.8734413167315</v>
      </c>
      <c r="J14" s="28">
        <f>G14+2*I2</f>
        <v>1342.8734413167315</v>
      </c>
      <c r="K14" s="28"/>
    </row>
    <row r="15" spans="1:11" x14ac:dyDescent="0.2">
      <c r="A15" s="27">
        <v>17</v>
      </c>
      <c r="B15" s="27">
        <v>1</v>
      </c>
      <c r="C15" s="28">
        <v>16.858974358974358</v>
      </c>
      <c r="D15" s="28">
        <f t="shared" si="0"/>
        <v>-0.1410256410256423</v>
      </c>
      <c r="F15" s="28">
        <f t="shared" si="1"/>
        <v>9.3686186441259228E-2</v>
      </c>
      <c r="K15" s="28"/>
    </row>
    <row r="16" spans="1:11" x14ac:dyDescent="0.2">
      <c r="A16" s="27">
        <v>15</v>
      </c>
      <c r="B16" s="27">
        <v>1</v>
      </c>
      <c r="C16" s="28">
        <v>16.858974358974358</v>
      </c>
      <c r="D16" s="28">
        <f t="shared" si="0"/>
        <v>1.8589743589743577</v>
      </c>
      <c r="F16" s="28">
        <f t="shared" si="1"/>
        <v>8.5208821600122359E-2</v>
      </c>
      <c r="K16" s="28"/>
    </row>
    <row r="17" spans="1:11" x14ac:dyDescent="0.2">
      <c r="A17" s="27">
        <v>15</v>
      </c>
      <c r="B17" s="27">
        <v>1</v>
      </c>
      <c r="C17" s="28">
        <v>16.858974358974358</v>
      </c>
      <c r="D17" s="28">
        <f t="shared" si="0"/>
        <v>1.8589743589743577</v>
      </c>
      <c r="F17" s="28">
        <f t="shared" si="1"/>
        <v>8.5208821600122359E-2</v>
      </c>
      <c r="K17" s="28"/>
    </row>
    <row r="18" spans="1:11" x14ac:dyDescent="0.2">
      <c r="A18" s="27">
        <v>17</v>
      </c>
      <c r="B18" s="27">
        <v>1</v>
      </c>
      <c r="C18" s="28">
        <v>16.858974358974358</v>
      </c>
      <c r="D18" s="28">
        <f t="shared" si="0"/>
        <v>-0.1410256410256423</v>
      </c>
      <c r="F18" s="28">
        <f t="shared" si="1"/>
        <v>9.3686186441259228E-2</v>
      </c>
      <c r="K18" s="28"/>
    </row>
    <row r="19" spans="1:11" x14ac:dyDescent="0.2">
      <c r="A19" s="27">
        <v>16</v>
      </c>
      <c r="B19" s="27">
        <v>1</v>
      </c>
      <c r="C19" s="28">
        <v>16.858974358974358</v>
      </c>
      <c r="D19" s="28">
        <f t="shared" si="0"/>
        <v>0.8589743589743577</v>
      </c>
      <c r="F19" s="28">
        <f t="shared" si="1"/>
        <v>9.1847742433773194E-2</v>
      </c>
      <c r="K19" s="28"/>
    </row>
    <row r="20" spans="1:11" x14ac:dyDescent="0.2">
      <c r="A20" s="27">
        <v>14</v>
      </c>
      <c r="B20" s="27">
        <v>1</v>
      </c>
      <c r="C20" s="28">
        <v>16.858974358974358</v>
      </c>
      <c r="D20" s="28">
        <f t="shared" si="0"/>
        <v>2.8589743589743577</v>
      </c>
      <c r="F20" s="28">
        <f t="shared" si="1"/>
        <v>7.4803820711623142E-2</v>
      </c>
      <c r="K20" s="28"/>
    </row>
    <row r="21" spans="1:11" x14ac:dyDescent="0.2">
      <c r="A21" s="27">
        <v>11</v>
      </c>
      <c r="B21" s="27">
        <v>1</v>
      </c>
      <c r="C21" s="28">
        <v>16.858974358974358</v>
      </c>
      <c r="D21" s="28">
        <f t="shared" si="0"/>
        <v>5.8589743589743577</v>
      </c>
      <c r="F21" s="28">
        <f t="shared" si="1"/>
        <v>3.6339616015446226E-2</v>
      </c>
      <c r="K21" s="28"/>
    </row>
    <row r="22" spans="1:11" x14ac:dyDescent="0.2">
      <c r="A22" s="27">
        <v>14</v>
      </c>
      <c r="B22" s="27">
        <v>1</v>
      </c>
      <c r="C22" s="28">
        <v>16.858974358974358</v>
      </c>
      <c r="D22" s="28">
        <f t="shared" si="0"/>
        <v>2.8589743589743577</v>
      </c>
      <c r="F22" s="28">
        <f t="shared" si="1"/>
        <v>7.4803820711623142E-2</v>
      </c>
      <c r="K22" s="28"/>
    </row>
    <row r="23" spans="1:11" x14ac:dyDescent="0.2">
      <c r="A23" s="27">
        <v>13</v>
      </c>
      <c r="B23" s="27">
        <v>1</v>
      </c>
      <c r="C23" s="28">
        <v>16.858974358974358</v>
      </c>
      <c r="D23" s="28">
        <f t="shared" si="0"/>
        <v>3.8589743589743577</v>
      </c>
      <c r="F23" s="28">
        <f t="shared" si="1"/>
        <v>6.2142132155231941E-2</v>
      </c>
      <c r="K23" s="28"/>
    </row>
    <row r="24" spans="1:11" x14ac:dyDescent="0.2">
      <c r="A24" s="27">
        <v>12</v>
      </c>
      <c r="B24" s="27">
        <v>1</v>
      </c>
      <c r="C24" s="28">
        <v>16.858974358974358</v>
      </c>
      <c r="D24" s="28">
        <f t="shared" si="0"/>
        <v>4.8589743589743577</v>
      </c>
      <c r="F24" s="28">
        <f t="shared" si="1"/>
        <v>4.8850798619149906E-2</v>
      </c>
      <c r="K24" s="28"/>
    </row>
    <row r="25" spans="1:11" x14ac:dyDescent="0.2">
      <c r="A25" s="27">
        <v>16</v>
      </c>
      <c r="B25" s="27">
        <v>1</v>
      </c>
      <c r="C25" s="28">
        <v>16.858974358974358</v>
      </c>
      <c r="D25" s="28">
        <f t="shared" si="0"/>
        <v>0.8589743589743577</v>
      </c>
      <c r="F25" s="28">
        <f t="shared" si="1"/>
        <v>9.1847742433773194E-2</v>
      </c>
      <c r="K25" s="28"/>
    </row>
    <row r="26" spans="1:11" x14ac:dyDescent="0.2">
      <c r="A26" s="27">
        <v>15</v>
      </c>
      <c r="B26" s="27">
        <v>1</v>
      </c>
      <c r="C26" s="28">
        <v>16.858974358974358</v>
      </c>
      <c r="D26" s="28">
        <f t="shared" si="0"/>
        <v>1.8589743589743577</v>
      </c>
      <c r="F26" s="28">
        <f t="shared" si="1"/>
        <v>8.5208821600122359E-2</v>
      </c>
      <c r="K26" s="28"/>
    </row>
    <row r="27" spans="1:11" x14ac:dyDescent="0.2">
      <c r="A27" s="27">
        <v>16</v>
      </c>
      <c r="B27" s="27">
        <v>1</v>
      </c>
      <c r="C27" s="28">
        <v>16.858974358974358</v>
      </c>
      <c r="D27" s="28">
        <f t="shared" si="0"/>
        <v>0.8589743589743577</v>
      </c>
      <c r="F27" s="28">
        <f t="shared" si="1"/>
        <v>9.1847742433773194E-2</v>
      </c>
      <c r="K27" s="28"/>
    </row>
    <row r="28" spans="1:11" x14ac:dyDescent="0.2">
      <c r="A28" s="27">
        <v>15</v>
      </c>
      <c r="B28" s="27">
        <v>1</v>
      </c>
      <c r="C28" s="28">
        <v>16.858974358974358</v>
      </c>
      <c r="D28" s="28">
        <f t="shared" si="0"/>
        <v>1.8589743589743577</v>
      </c>
      <c r="F28" s="28">
        <f t="shared" si="1"/>
        <v>8.5208821600122359E-2</v>
      </c>
      <c r="K28" s="28"/>
    </row>
    <row r="29" spans="1:11" x14ac:dyDescent="0.2">
      <c r="A29" s="27">
        <v>15</v>
      </c>
      <c r="B29" s="27">
        <v>1</v>
      </c>
      <c r="C29" s="28">
        <v>16.858974358974358</v>
      </c>
      <c r="D29" s="28">
        <f t="shared" si="0"/>
        <v>1.8589743589743577</v>
      </c>
      <c r="F29" s="28">
        <f t="shared" si="1"/>
        <v>8.5208821600122359E-2</v>
      </c>
      <c r="K29" s="28"/>
    </row>
    <row r="30" spans="1:11" x14ac:dyDescent="0.2">
      <c r="A30" s="27">
        <v>14</v>
      </c>
      <c r="B30" s="27">
        <v>1</v>
      </c>
      <c r="C30" s="28">
        <v>16.858974358974358</v>
      </c>
      <c r="D30" s="28">
        <f t="shared" si="0"/>
        <v>2.8589743589743577</v>
      </c>
      <c r="F30" s="28">
        <f t="shared" si="1"/>
        <v>7.4803820711623142E-2</v>
      </c>
      <c r="K30" s="28"/>
    </row>
    <row r="31" spans="1:11" x14ac:dyDescent="0.2">
      <c r="A31" s="27">
        <v>11</v>
      </c>
      <c r="B31" s="27">
        <v>1</v>
      </c>
      <c r="C31" s="28">
        <v>16.858974358974358</v>
      </c>
      <c r="D31" s="28">
        <f t="shared" si="0"/>
        <v>5.8589743589743577</v>
      </c>
      <c r="F31" s="28">
        <f t="shared" si="1"/>
        <v>3.6339616015446226E-2</v>
      </c>
      <c r="K31" s="28"/>
    </row>
    <row r="32" spans="1:11" x14ac:dyDescent="0.2">
      <c r="A32" s="27">
        <v>11</v>
      </c>
      <c r="B32" s="27">
        <v>1</v>
      </c>
      <c r="C32" s="28">
        <v>16.858974358974358</v>
      </c>
      <c r="D32" s="28">
        <f t="shared" si="0"/>
        <v>5.8589743589743577</v>
      </c>
      <c r="F32" s="28">
        <f t="shared" si="1"/>
        <v>3.6339616015446226E-2</v>
      </c>
      <c r="K32" s="28"/>
    </row>
    <row r="33" spans="1:11" x14ac:dyDescent="0.2">
      <c r="A33" s="27">
        <v>14</v>
      </c>
      <c r="B33" s="27">
        <v>1</v>
      </c>
      <c r="C33" s="28">
        <v>16.858974358974358</v>
      </c>
      <c r="D33" s="28">
        <f t="shared" si="0"/>
        <v>2.8589743589743577</v>
      </c>
      <c r="F33" s="28">
        <f t="shared" si="1"/>
        <v>7.4803820711623142E-2</v>
      </c>
      <c r="K33" s="28"/>
    </row>
    <row r="34" spans="1:11" x14ac:dyDescent="0.2">
      <c r="A34" s="27">
        <v>19</v>
      </c>
      <c r="B34" s="27">
        <v>1</v>
      </c>
      <c r="C34" s="28">
        <v>16.858974358974358</v>
      </c>
      <c r="D34" s="28">
        <f t="shared" si="0"/>
        <v>-2.1410256410256423</v>
      </c>
      <c r="F34" s="28">
        <f t="shared" si="1"/>
        <v>8.2596026638649928E-2</v>
      </c>
      <c r="K34" s="28"/>
    </row>
    <row r="35" spans="1:11" x14ac:dyDescent="0.2">
      <c r="A35" s="27">
        <v>22</v>
      </c>
      <c r="B35" s="27">
        <v>1</v>
      </c>
      <c r="C35" s="28">
        <v>16.858974358974358</v>
      </c>
      <c r="D35" s="28">
        <f t="shared" si="0"/>
        <v>-5.1410256410256423</v>
      </c>
      <c r="F35" s="28">
        <f t="shared" si="1"/>
        <v>4.5191645925457373E-2</v>
      </c>
      <c r="K35" s="28"/>
    </row>
    <row r="36" spans="1:11" x14ac:dyDescent="0.2">
      <c r="A36" s="27">
        <v>18</v>
      </c>
      <c r="B36" s="27">
        <v>1</v>
      </c>
      <c r="C36" s="28">
        <v>16.858974358974358</v>
      </c>
      <c r="D36" s="28">
        <f t="shared" si="0"/>
        <v>-1.1410256410256423</v>
      </c>
      <c r="F36" s="28">
        <f t="shared" si="1"/>
        <v>9.0428595220514676E-2</v>
      </c>
      <c r="K36" s="28"/>
    </row>
    <row r="37" spans="1:11" x14ac:dyDescent="0.2">
      <c r="A37" s="27">
        <v>18</v>
      </c>
      <c r="B37" s="27">
        <v>1</v>
      </c>
      <c r="C37" s="28">
        <v>16.858974358974358</v>
      </c>
      <c r="D37" s="28">
        <f t="shared" si="0"/>
        <v>-1.1410256410256423</v>
      </c>
      <c r="F37" s="28">
        <f t="shared" si="1"/>
        <v>9.0428595220514676E-2</v>
      </c>
      <c r="K37" s="28"/>
    </row>
    <row r="38" spans="1:11" x14ac:dyDescent="0.2">
      <c r="A38" s="27">
        <v>17</v>
      </c>
      <c r="B38" s="27">
        <v>1</v>
      </c>
      <c r="C38" s="28">
        <v>16.858974358974358</v>
      </c>
      <c r="D38" s="28">
        <f t="shared" si="0"/>
        <v>-0.1410256410256423</v>
      </c>
      <c r="F38" s="28">
        <f t="shared" si="1"/>
        <v>9.3686186441259228E-2</v>
      </c>
      <c r="K38" s="28"/>
    </row>
    <row r="39" spans="1:11" x14ac:dyDescent="0.2">
      <c r="A39" s="27">
        <v>18</v>
      </c>
      <c r="B39" s="27">
        <v>1</v>
      </c>
      <c r="C39" s="28">
        <v>16.858974358974358</v>
      </c>
      <c r="D39" s="28">
        <f t="shared" si="0"/>
        <v>-1.1410256410256423</v>
      </c>
      <c r="F39" s="28">
        <f t="shared" si="1"/>
        <v>9.0428595220514676E-2</v>
      </c>
      <c r="K39" s="28"/>
    </row>
    <row r="40" spans="1:11" x14ac:dyDescent="0.2">
      <c r="A40" s="27">
        <v>17</v>
      </c>
      <c r="B40" s="27">
        <v>1</v>
      </c>
      <c r="C40" s="28">
        <v>16.858974358974358</v>
      </c>
      <c r="D40" s="28">
        <f t="shared" si="0"/>
        <v>-0.1410256410256423</v>
      </c>
      <c r="F40" s="28">
        <f t="shared" si="1"/>
        <v>9.3686186441259228E-2</v>
      </c>
      <c r="K40" s="28"/>
    </row>
    <row r="41" spans="1:11" x14ac:dyDescent="0.2">
      <c r="A41" s="27">
        <v>16</v>
      </c>
      <c r="B41" s="27">
        <v>1</v>
      </c>
      <c r="C41" s="28">
        <v>16.858974358974358</v>
      </c>
      <c r="D41" s="28">
        <f t="shared" si="0"/>
        <v>0.8589743589743577</v>
      </c>
      <c r="F41" s="28">
        <f t="shared" si="1"/>
        <v>9.1847742433773194E-2</v>
      </c>
      <c r="K41" s="28"/>
    </row>
    <row r="42" spans="1:11" x14ac:dyDescent="0.2">
      <c r="A42" s="27">
        <v>16</v>
      </c>
      <c r="B42" s="27">
        <v>1</v>
      </c>
      <c r="C42" s="28">
        <v>16.858974358974358</v>
      </c>
      <c r="D42" s="28">
        <f t="shared" si="0"/>
        <v>0.8589743589743577</v>
      </c>
      <c r="F42" s="28">
        <f t="shared" si="1"/>
        <v>9.1847742433773194E-2</v>
      </c>
      <c r="K42" s="28"/>
    </row>
    <row r="43" spans="1:11" x14ac:dyDescent="0.2">
      <c r="A43" s="27">
        <v>17</v>
      </c>
      <c r="B43" s="27">
        <v>1</v>
      </c>
      <c r="C43" s="28">
        <v>16.858974358974358</v>
      </c>
      <c r="D43" s="28">
        <f t="shared" si="0"/>
        <v>-0.1410256410256423</v>
      </c>
      <c r="F43" s="28">
        <f t="shared" si="1"/>
        <v>9.3686186441259228E-2</v>
      </c>
      <c r="K43" s="28"/>
    </row>
    <row r="44" spans="1:11" x14ac:dyDescent="0.2">
      <c r="A44" s="27">
        <v>17</v>
      </c>
      <c r="B44" s="27">
        <v>1</v>
      </c>
      <c r="C44" s="28">
        <v>16.858974358974358</v>
      </c>
      <c r="D44" s="28">
        <f t="shared" si="0"/>
        <v>-0.1410256410256423</v>
      </c>
      <c r="F44" s="28">
        <f t="shared" si="1"/>
        <v>9.3686186441259228E-2</v>
      </c>
      <c r="K44" s="28"/>
    </row>
    <row r="45" spans="1:11" x14ac:dyDescent="0.2">
      <c r="A45" s="27">
        <v>11</v>
      </c>
      <c r="B45" s="27">
        <v>1</v>
      </c>
      <c r="C45" s="28">
        <v>16.858974358974358</v>
      </c>
      <c r="D45" s="28">
        <f t="shared" si="0"/>
        <v>5.8589743589743577</v>
      </c>
      <c r="F45" s="28">
        <f t="shared" si="1"/>
        <v>3.6339616015446226E-2</v>
      </c>
      <c r="K45" s="28"/>
    </row>
    <row r="46" spans="1:11" x14ac:dyDescent="0.2">
      <c r="A46" s="27">
        <v>15</v>
      </c>
      <c r="B46" s="27">
        <v>1</v>
      </c>
      <c r="C46" s="28">
        <v>16.858974358974358</v>
      </c>
      <c r="D46" s="28">
        <f t="shared" si="0"/>
        <v>1.8589743589743577</v>
      </c>
      <c r="F46" s="28">
        <f t="shared" si="1"/>
        <v>8.5208821600122359E-2</v>
      </c>
      <c r="K46" s="28"/>
    </row>
    <row r="47" spans="1:11" x14ac:dyDescent="0.2">
      <c r="A47" s="27">
        <v>15</v>
      </c>
      <c r="B47" s="27">
        <v>1</v>
      </c>
      <c r="C47" s="28">
        <v>16.858974358974358</v>
      </c>
      <c r="D47" s="28">
        <f t="shared" si="0"/>
        <v>1.8589743589743577</v>
      </c>
      <c r="F47" s="28">
        <f t="shared" si="1"/>
        <v>8.5208821600122359E-2</v>
      </c>
      <c r="K47" s="28"/>
    </row>
    <row r="48" spans="1:11" x14ac:dyDescent="0.2">
      <c r="A48" s="27">
        <v>16</v>
      </c>
      <c r="B48" s="27">
        <v>1</v>
      </c>
      <c r="C48" s="28">
        <v>16.858974358974358</v>
      </c>
      <c r="D48" s="28">
        <f t="shared" si="0"/>
        <v>0.8589743589743577</v>
      </c>
      <c r="F48" s="28">
        <f t="shared" si="1"/>
        <v>9.1847742433773194E-2</v>
      </c>
      <c r="K48" s="28"/>
    </row>
    <row r="49" spans="1:11" x14ac:dyDescent="0.2">
      <c r="A49" s="27">
        <v>16</v>
      </c>
      <c r="B49" s="27">
        <v>1</v>
      </c>
      <c r="C49" s="28">
        <v>16.858974358974358</v>
      </c>
      <c r="D49" s="28">
        <f t="shared" si="0"/>
        <v>0.8589743589743577</v>
      </c>
      <c r="F49" s="28">
        <f t="shared" si="1"/>
        <v>9.1847742433773194E-2</v>
      </c>
      <c r="K49" s="28"/>
    </row>
    <row r="50" spans="1:11" x14ac:dyDescent="0.2">
      <c r="A50" s="27">
        <v>15</v>
      </c>
      <c r="B50" s="27">
        <v>1</v>
      </c>
      <c r="C50" s="28">
        <v>16.858974358974358</v>
      </c>
      <c r="D50" s="28">
        <f t="shared" si="0"/>
        <v>1.8589743589743577</v>
      </c>
      <c r="F50" s="28">
        <f t="shared" si="1"/>
        <v>8.5208821600122359E-2</v>
      </c>
      <c r="K50" s="28"/>
    </row>
    <row r="51" spans="1:11" x14ac:dyDescent="0.2">
      <c r="A51" s="27">
        <v>14</v>
      </c>
      <c r="B51" s="27">
        <v>1</v>
      </c>
      <c r="C51" s="28">
        <v>16.858974358974358</v>
      </c>
      <c r="D51" s="28">
        <f t="shared" si="0"/>
        <v>2.8589743589743577</v>
      </c>
      <c r="F51" s="28">
        <f t="shared" si="1"/>
        <v>7.4803820711623142E-2</v>
      </c>
      <c r="K51" s="28"/>
    </row>
    <row r="52" spans="1:11" x14ac:dyDescent="0.2">
      <c r="A52" s="27">
        <v>13</v>
      </c>
      <c r="B52" s="27">
        <v>1</v>
      </c>
      <c r="C52" s="28">
        <v>16.858974358974358</v>
      </c>
      <c r="D52" s="28">
        <f t="shared" si="0"/>
        <v>3.8589743589743577</v>
      </c>
      <c r="F52" s="28">
        <f t="shared" si="1"/>
        <v>6.2142132155231941E-2</v>
      </c>
      <c r="K52" s="28"/>
    </row>
    <row r="53" spans="1:11" x14ac:dyDescent="0.2">
      <c r="A53" s="27">
        <v>14</v>
      </c>
      <c r="B53" s="27">
        <v>1</v>
      </c>
      <c r="C53" s="28">
        <v>16.858974358974358</v>
      </c>
      <c r="D53" s="28">
        <f t="shared" si="0"/>
        <v>2.8589743589743577</v>
      </c>
      <c r="F53" s="28">
        <f t="shared" si="1"/>
        <v>7.4803820711623142E-2</v>
      </c>
      <c r="K53" s="28"/>
    </row>
    <row r="54" spans="1:11" x14ac:dyDescent="0.2">
      <c r="A54" s="27">
        <v>14</v>
      </c>
      <c r="B54" s="27">
        <v>1</v>
      </c>
      <c r="C54" s="28">
        <v>16.858974358974358</v>
      </c>
      <c r="D54" s="28">
        <f t="shared" si="0"/>
        <v>2.8589743589743577</v>
      </c>
      <c r="F54" s="28">
        <f t="shared" si="1"/>
        <v>7.4803820711623142E-2</v>
      </c>
      <c r="K54" s="28"/>
    </row>
    <row r="55" spans="1:11" x14ac:dyDescent="0.2">
      <c r="A55" s="27">
        <v>14</v>
      </c>
      <c r="B55" s="27">
        <v>1</v>
      </c>
      <c r="C55" s="28">
        <v>16.858974358974358</v>
      </c>
      <c r="D55" s="28">
        <f t="shared" si="0"/>
        <v>2.8589743589743577</v>
      </c>
      <c r="F55" s="28">
        <f t="shared" si="1"/>
        <v>7.4803820711623142E-2</v>
      </c>
      <c r="K55" s="28"/>
    </row>
    <row r="56" spans="1:11" x14ac:dyDescent="0.2">
      <c r="A56" s="27">
        <v>9</v>
      </c>
      <c r="B56" s="27">
        <v>1</v>
      </c>
      <c r="C56" s="28">
        <v>16.858974358974358</v>
      </c>
      <c r="D56" s="28">
        <f t="shared" si="0"/>
        <v>7.8589743589743577</v>
      </c>
      <c r="F56" s="28">
        <f t="shared" si="1"/>
        <v>1.7039902700084295E-2</v>
      </c>
      <c r="K56" s="28"/>
    </row>
    <row r="57" spans="1:11" x14ac:dyDescent="0.2">
      <c r="A57" s="27">
        <v>11</v>
      </c>
      <c r="B57" s="27">
        <v>1</v>
      </c>
      <c r="C57" s="28">
        <v>16.858974358974358</v>
      </c>
      <c r="D57" s="28">
        <f t="shared" si="0"/>
        <v>5.8589743589743577</v>
      </c>
      <c r="F57" s="28">
        <f t="shared" si="1"/>
        <v>3.6339616015446226E-2</v>
      </c>
      <c r="K57" s="28"/>
    </row>
    <row r="58" spans="1:11" x14ac:dyDescent="0.2">
      <c r="A58" s="27">
        <v>11</v>
      </c>
      <c r="B58" s="27">
        <v>1</v>
      </c>
      <c r="C58" s="28">
        <v>16.858974358974358</v>
      </c>
      <c r="D58" s="28">
        <f t="shared" si="0"/>
        <v>5.8589743589743577</v>
      </c>
      <c r="F58" s="28">
        <f t="shared" si="1"/>
        <v>3.6339616015446226E-2</v>
      </c>
      <c r="K58" s="28"/>
    </row>
    <row r="59" spans="1:11" x14ac:dyDescent="0.2">
      <c r="A59" s="27">
        <v>13</v>
      </c>
      <c r="B59" s="27">
        <v>1</v>
      </c>
      <c r="C59" s="28">
        <v>16.858974358974358</v>
      </c>
      <c r="D59" s="28">
        <f t="shared" si="0"/>
        <v>3.8589743589743577</v>
      </c>
      <c r="F59" s="28">
        <f t="shared" si="1"/>
        <v>6.2142132155231941E-2</v>
      </c>
      <c r="K59" s="28"/>
    </row>
    <row r="60" spans="1:11" x14ac:dyDescent="0.2">
      <c r="A60" s="27">
        <v>13</v>
      </c>
      <c r="B60" s="27">
        <v>1</v>
      </c>
      <c r="C60" s="28">
        <v>16.858974358974358</v>
      </c>
      <c r="D60" s="28">
        <f t="shared" si="0"/>
        <v>3.8589743589743577</v>
      </c>
      <c r="F60" s="28">
        <f t="shared" si="1"/>
        <v>6.2142132155231941E-2</v>
      </c>
      <c r="K60" s="28"/>
    </row>
    <row r="61" spans="1:11" x14ac:dyDescent="0.2">
      <c r="A61" s="27">
        <v>9</v>
      </c>
      <c r="B61" s="27">
        <v>1</v>
      </c>
      <c r="C61" s="28">
        <v>16.858974358974358</v>
      </c>
      <c r="D61" s="28">
        <f t="shared" si="0"/>
        <v>7.8589743589743577</v>
      </c>
      <c r="F61" s="28">
        <f t="shared" si="1"/>
        <v>1.7039902700084295E-2</v>
      </c>
      <c r="K61" s="28"/>
    </row>
    <row r="62" spans="1:11" x14ac:dyDescent="0.2">
      <c r="A62" s="27">
        <v>13</v>
      </c>
      <c r="B62" s="27">
        <v>1</v>
      </c>
      <c r="C62" s="28">
        <v>16.858974358974358</v>
      </c>
      <c r="D62" s="28">
        <f t="shared" si="0"/>
        <v>3.8589743589743577</v>
      </c>
      <c r="F62" s="28">
        <f t="shared" si="1"/>
        <v>6.2142132155231941E-2</v>
      </c>
      <c r="K62" s="28"/>
    </row>
    <row r="63" spans="1:11" x14ac:dyDescent="0.2">
      <c r="A63" s="27">
        <v>11</v>
      </c>
      <c r="B63" s="27">
        <v>1</v>
      </c>
      <c r="C63" s="28">
        <v>16.858974358974358</v>
      </c>
      <c r="D63" s="28">
        <f t="shared" si="0"/>
        <v>5.8589743589743577</v>
      </c>
      <c r="F63" s="28">
        <f t="shared" si="1"/>
        <v>3.6339616015446226E-2</v>
      </c>
      <c r="K63" s="28"/>
    </row>
    <row r="64" spans="1:11" x14ac:dyDescent="0.2">
      <c r="A64" s="27">
        <v>13</v>
      </c>
      <c r="B64" s="27">
        <v>1</v>
      </c>
      <c r="C64" s="28">
        <v>16.858974358974358</v>
      </c>
      <c r="D64" s="28">
        <f t="shared" si="0"/>
        <v>3.8589743589743577</v>
      </c>
      <c r="F64" s="28">
        <f t="shared" si="1"/>
        <v>6.2142132155231941E-2</v>
      </c>
      <c r="K64" s="28"/>
    </row>
    <row r="65" spans="1:11" x14ac:dyDescent="0.2">
      <c r="A65" s="27">
        <v>11</v>
      </c>
      <c r="B65" s="27">
        <v>1</v>
      </c>
      <c r="C65" s="28">
        <v>16.858974358974358</v>
      </c>
      <c r="D65" s="28">
        <f t="shared" si="0"/>
        <v>5.8589743589743577</v>
      </c>
      <c r="F65" s="28">
        <f t="shared" si="1"/>
        <v>3.6339616015446226E-2</v>
      </c>
      <c r="K65" s="28"/>
    </row>
    <row r="66" spans="1:11" x14ac:dyDescent="0.2">
      <c r="A66" s="27">
        <v>12</v>
      </c>
      <c r="B66" s="27">
        <v>1</v>
      </c>
      <c r="C66" s="28">
        <v>16.858974358974358</v>
      </c>
      <c r="D66" s="28">
        <f t="shared" si="0"/>
        <v>4.8589743589743577</v>
      </c>
      <c r="F66" s="28">
        <f t="shared" si="1"/>
        <v>4.8850798619149906E-2</v>
      </c>
      <c r="K66" s="28"/>
    </row>
    <row r="67" spans="1:11" x14ac:dyDescent="0.2">
      <c r="A67" s="27">
        <v>9</v>
      </c>
      <c r="B67" s="27">
        <v>1</v>
      </c>
      <c r="C67" s="28">
        <v>16.858974358974358</v>
      </c>
      <c r="D67" s="28">
        <f t="shared" ref="D67:D130" si="2">C67-A67</f>
        <v>7.8589743589743577</v>
      </c>
      <c r="F67" s="28">
        <f t="shared" ref="F67:F130" si="3">_xlfn.NORM.DIST(D67,0,$E$2,FALSE)</f>
        <v>1.7039902700084295E-2</v>
      </c>
      <c r="K67" s="28"/>
    </row>
    <row r="68" spans="1:11" x14ac:dyDescent="0.2">
      <c r="A68" s="27">
        <v>13</v>
      </c>
      <c r="B68" s="27">
        <v>1</v>
      </c>
      <c r="C68" s="28">
        <v>16.858974358974358</v>
      </c>
      <c r="D68" s="28">
        <f t="shared" si="2"/>
        <v>3.8589743589743577</v>
      </c>
      <c r="F68" s="28">
        <f t="shared" si="3"/>
        <v>6.2142132155231941E-2</v>
      </c>
      <c r="K68" s="28"/>
    </row>
    <row r="69" spans="1:11" x14ac:dyDescent="0.2">
      <c r="A69" s="27">
        <v>13</v>
      </c>
      <c r="B69" s="27">
        <v>1</v>
      </c>
      <c r="C69" s="28">
        <v>16.858974358974358</v>
      </c>
      <c r="D69" s="28">
        <f t="shared" si="2"/>
        <v>3.8589743589743577</v>
      </c>
      <c r="F69" s="28">
        <f t="shared" si="3"/>
        <v>6.2142132155231941E-2</v>
      </c>
      <c r="K69" s="28"/>
    </row>
    <row r="70" spans="1:11" x14ac:dyDescent="0.2">
      <c r="A70" s="27">
        <v>12</v>
      </c>
      <c r="B70" s="27">
        <v>1</v>
      </c>
      <c r="C70" s="28">
        <v>16.858974358974358</v>
      </c>
      <c r="D70" s="28">
        <f t="shared" si="2"/>
        <v>4.8589743589743577</v>
      </c>
      <c r="F70" s="28">
        <f t="shared" si="3"/>
        <v>4.8850798619149906E-2</v>
      </c>
      <c r="K70" s="28"/>
    </row>
    <row r="71" spans="1:11" x14ac:dyDescent="0.2">
      <c r="A71" s="27">
        <v>9</v>
      </c>
      <c r="B71" s="27">
        <v>1</v>
      </c>
      <c r="C71" s="28">
        <v>16.858974358974358</v>
      </c>
      <c r="D71" s="28">
        <f t="shared" si="2"/>
        <v>7.8589743589743577</v>
      </c>
      <c r="F71" s="28">
        <f t="shared" si="3"/>
        <v>1.7039902700084295E-2</v>
      </c>
      <c r="K71" s="28"/>
    </row>
    <row r="72" spans="1:11" x14ac:dyDescent="0.2">
      <c r="A72" s="27">
        <v>11</v>
      </c>
      <c r="B72" s="27">
        <v>1</v>
      </c>
      <c r="C72" s="28">
        <v>16.858974358974358</v>
      </c>
      <c r="D72" s="28">
        <f t="shared" si="2"/>
        <v>5.8589743589743577</v>
      </c>
      <c r="F72" s="28">
        <f t="shared" si="3"/>
        <v>3.6339616015446226E-2</v>
      </c>
      <c r="K72" s="28"/>
    </row>
    <row r="73" spans="1:11" x14ac:dyDescent="0.2">
      <c r="A73" s="27">
        <v>11</v>
      </c>
      <c r="B73" s="27">
        <v>1</v>
      </c>
      <c r="C73" s="28">
        <v>16.858974358974358</v>
      </c>
      <c r="D73" s="28">
        <f t="shared" si="2"/>
        <v>5.8589743589743577</v>
      </c>
      <c r="F73" s="28">
        <f t="shared" si="3"/>
        <v>3.6339616015446226E-2</v>
      </c>
      <c r="K73" s="28"/>
    </row>
    <row r="74" spans="1:11" x14ac:dyDescent="0.2">
      <c r="A74" s="27">
        <v>13</v>
      </c>
      <c r="B74" s="27">
        <v>1</v>
      </c>
      <c r="C74" s="28">
        <v>16.858974358974358</v>
      </c>
      <c r="D74" s="28">
        <f t="shared" si="2"/>
        <v>3.8589743589743577</v>
      </c>
      <c r="F74" s="28">
        <f t="shared" si="3"/>
        <v>6.2142132155231941E-2</v>
      </c>
      <c r="K74" s="28"/>
    </row>
    <row r="75" spans="1:11" x14ac:dyDescent="0.2">
      <c r="A75" s="27">
        <v>11</v>
      </c>
      <c r="B75" s="27">
        <v>1</v>
      </c>
      <c r="C75" s="28">
        <v>16.858974358974358</v>
      </c>
      <c r="D75" s="28">
        <f t="shared" si="2"/>
        <v>5.8589743589743577</v>
      </c>
      <c r="F75" s="28">
        <f t="shared" si="3"/>
        <v>3.6339616015446226E-2</v>
      </c>
      <c r="K75" s="28"/>
    </row>
    <row r="76" spans="1:11" x14ac:dyDescent="0.2">
      <c r="A76" s="27">
        <v>11</v>
      </c>
      <c r="B76" s="27">
        <v>1</v>
      </c>
      <c r="C76" s="28">
        <v>16.858974358974358</v>
      </c>
      <c r="D76" s="28">
        <f t="shared" si="2"/>
        <v>5.8589743589743577</v>
      </c>
      <c r="F76" s="28">
        <f t="shared" si="3"/>
        <v>3.6339616015446226E-2</v>
      </c>
      <c r="K76" s="28"/>
    </row>
    <row r="77" spans="1:11" x14ac:dyDescent="0.2">
      <c r="A77" s="27">
        <v>11</v>
      </c>
      <c r="B77" s="27">
        <v>1</v>
      </c>
      <c r="C77" s="28">
        <v>16.858974358974358</v>
      </c>
      <c r="D77" s="28">
        <f t="shared" si="2"/>
        <v>5.8589743589743577</v>
      </c>
      <c r="F77" s="28">
        <f t="shared" si="3"/>
        <v>3.6339616015446226E-2</v>
      </c>
      <c r="K77" s="28"/>
    </row>
    <row r="78" spans="1:11" x14ac:dyDescent="0.2">
      <c r="A78" s="27">
        <v>12</v>
      </c>
      <c r="B78" s="27">
        <v>1</v>
      </c>
      <c r="C78" s="28">
        <v>16.858974358974358</v>
      </c>
      <c r="D78" s="28">
        <f t="shared" si="2"/>
        <v>4.8589743589743577</v>
      </c>
      <c r="F78" s="28">
        <f t="shared" si="3"/>
        <v>4.8850798619149906E-2</v>
      </c>
      <c r="K78" s="28"/>
    </row>
    <row r="79" spans="1:11" x14ac:dyDescent="0.2">
      <c r="A79" s="27">
        <v>14</v>
      </c>
      <c r="B79" s="27">
        <v>1</v>
      </c>
      <c r="C79" s="28">
        <v>16.858974358974358</v>
      </c>
      <c r="D79" s="28">
        <f t="shared" si="2"/>
        <v>2.8589743589743577</v>
      </c>
      <c r="F79" s="28">
        <f t="shared" si="3"/>
        <v>7.4803820711623142E-2</v>
      </c>
      <c r="K79" s="28"/>
    </row>
    <row r="80" spans="1:11" x14ac:dyDescent="0.2">
      <c r="A80" s="27">
        <v>15</v>
      </c>
      <c r="B80" s="27">
        <v>1</v>
      </c>
      <c r="C80" s="28">
        <v>16.858974358974358</v>
      </c>
      <c r="D80" s="28">
        <f t="shared" si="2"/>
        <v>1.8589743589743577</v>
      </c>
      <c r="F80" s="28">
        <f t="shared" si="3"/>
        <v>8.5208821600122359E-2</v>
      </c>
      <c r="K80" s="28"/>
    </row>
    <row r="81" spans="1:11" x14ac:dyDescent="0.2">
      <c r="A81" s="27">
        <v>14</v>
      </c>
      <c r="B81" s="27">
        <v>1</v>
      </c>
      <c r="C81" s="28">
        <v>16.858974358974358</v>
      </c>
      <c r="D81" s="28">
        <f t="shared" si="2"/>
        <v>2.8589743589743577</v>
      </c>
      <c r="F81" s="28">
        <f t="shared" si="3"/>
        <v>7.4803820711623142E-2</v>
      </c>
      <c r="K81" s="28"/>
    </row>
    <row r="82" spans="1:11" x14ac:dyDescent="0.2">
      <c r="A82" s="27">
        <v>13</v>
      </c>
      <c r="B82" s="27">
        <v>1</v>
      </c>
      <c r="C82" s="28">
        <v>16.858974358974358</v>
      </c>
      <c r="D82" s="28">
        <f t="shared" si="2"/>
        <v>3.8589743589743577</v>
      </c>
      <c r="F82" s="28">
        <f t="shared" si="3"/>
        <v>6.2142132155231941E-2</v>
      </c>
      <c r="K82" s="28"/>
    </row>
    <row r="83" spans="1:11" x14ac:dyDescent="0.2">
      <c r="A83" s="27">
        <v>13</v>
      </c>
      <c r="B83" s="27">
        <v>1</v>
      </c>
      <c r="C83" s="28">
        <v>16.858974358974358</v>
      </c>
      <c r="D83" s="28">
        <f t="shared" si="2"/>
        <v>3.8589743589743577</v>
      </c>
      <c r="F83" s="28">
        <f t="shared" si="3"/>
        <v>6.2142132155231941E-2</v>
      </c>
      <c r="K83" s="28"/>
    </row>
    <row r="84" spans="1:11" x14ac:dyDescent="0.2">
      <c r="A84" s="27">
        <v>13</v>
      </c>
      <c r="B84" s="27">
        <v>1</v>
      </c>
      <c r="C84" s="28">
        <v>16.858974358974358</v>
      </c>
      <c r="D84" s="28">
        <f t="shared" si="2"/>
        <v>3.8589743589743577</v>
      </c>
      <c r="F84" s="28">
        <f t="shared" si="3"/>
        <v>6.2142132155231941E-2</v>
      </c>
      <c r="K84" s="28"/>
    </row>
    <row r="85" spans="1:11" x14ac:dyDescent="0.2">
      <c r="A85" s="27">
        <v>14</v>
      </c>
      <c r="B85" s="27">
        <v>1</v>
      </c>
      <c r="C85" s="28">
        <v>16.858974358974358</v>
      </c>
      <c r="D85" s="28">
        <f t="shared" si="2"/>
        <v>2.8589743589743577</v>
      </c>
      <c r="F85" s="28">
        <f t="shared" si="3"/>
        <v>7.4803820711623142E-2</v>
      </c>
      <c r="K85" s="28"/>
    </row>
    <row r="86" spans="1:11" x14ac:dyDescent="0.2">
      <c r="A86" s="27">
        <v>14</v>
      </c>
      <c r="B86" s="27">
        <v>1</v>
      </c>
      <c r="C86" s="28">
        <v>16.858974358974358</v>
      </c>
      <c r="D86" s="28">
        <f t="shared" si="2"/>
        <v>2.8589743589743577</v>
      </c>
      <c r="F86" s="28">
        <f t="shared" si="3"/>
        <v>7.4803820711623142E-2</v>
      </c>
      <c r="K86" s="28"/>
    </row>
    <row r="87" spans="1:11" x14ac:dyDescent="0.2">
      <c r="A87" s="27">
        <v>13</v>
      </c>
      <c r="B87" s="27">
        <v>1</v>
      </c>
      <c r="C87" s="28">
        <v>16.858974358974358</v>
      </c>
      <c r="D87" s="28">
        <f t="shared" si="2"/>
        <v>3.8589743589743577</v>
      </c>
      <c r="F87" s="28">
        <f t="shared" si="3"/>
        <v>6.2142132155231941E-2</v>
      </c>
      <c r="K87" s="28"/>
    </row>
    <row r="88" spans="1:11" x14ac:dyDescent="0.2">
      <c r="A88" s="27">
        <v>13</v>
      </c>
      <c r="B88" s="27">
        <v>1</v>
      </c>
      <c r="C88" s="28">
        <v>16.858974358974358</v>
      </c>
      <c r="D88" s="28">
        <f t="shared" si="2"/>
        <v>3.8589743589743577</v>
      </c>
      <c r="F88" s="28">
        <f t="shared" si="3"/>
        <v>6.2142132155231941E-2</v>
      </c>
      <c r="K88" s="28"/>
    </row>
    <row r="89" spans="1:11" x14ac:dyDescent="0.2">
      <c r="A89" s="27">
        <v>13</v>
      </c>
      <c r="B89" s="27">
        <v>1</v>
      </c>
      <c r="C89" s="28">
        <v>16.858974358974358</v>
      </c>
      <c r="D89" s="28">
        <f t="shared" si="2"/>
        <v>3.8589743589743577</v>
      </c>
      <c r="F89" s="28">
        <f t="shared" si="3"/>
        <v>6.2142132155231941E-2</v>
      </c>
      <c r="K89" s="28"/>
    </row>
    <row r="90" spans="1:11" x14ac:dyDescent="0.2">
      <c r="A90" s="27">
        <v>11</v>
      </c>
      <c r="B90" s="27">
        <v>1</v>
      </c>
      <c r="C90" s="28">
        <v>16.858974358974358</v>
      </c>
      <c r="D90" s="28">
        <f t="shared" si="2"/>
        <v>5.8589743589743577</v>
      </c>
      <c r="F90" s="28">
        <f t="shared" si="3"/>
        <v>3.6339616015446226E-2</v>
      </c>
      <c r="K90" s="28"/>
    </row>
    <row r="91" spans="1:11" x14ac:dyDescent="0.2">
      <c r="A91" s="27">
        <v>13</v>
      </c>
      <c r="B91" s="27">
        <v>1</v>
      </c>
      <c r="C91" s="28">
        <v>16.858974358974358</v>
      </c>
      <c r="D91" s="28">
        <f t="shared" si="2"/>
        <v>3.8589743589743577</v>
      </c>
      <c r="F91" s="28">
        <f t="shared" si="3"/>
        <v>6.2142132155231941E-2</v>
      </c>
      <c r="K91" s="28"/>
    </row>
    <row r="92" spans="1:11" x14ac:dyDescent="0.2">
      <c r="A92" s="27">
        <v>18</v>
      </c>
      <c r="B92" s="27">
        <v>1</v>
      </c>
      <c r="C92" s="28">
        <v>16.858974358974358</v>
      </c>
      <c r="D92" s="28">
        <f t="shared" si="2"/>
        <v>-1.1410256410256423</v>
      </c>
      <c r="F92" s="28">
        <f t="shared" si="3"/>
        <v>9.0428595220514676E-2</v>
      </c>
      <c r="K92" s="28"/>
    </row>
    <row r="93" spans="1:11" x14ac:dyDescent="0.2">
      <c r="A93" s="27">
        <v>18</v>
      </c>
      <c r="B93" s="27">
        <v>1</v>
      </c>
      <c r="C93" s="28">
        <v>16.858974358974358</v>
      </c>
      <c r="D93" s="28">
        <f t="shared" si="2"/>
        <v>-1.1410256410256423</v>
      </c>
      <c r="F93" s="28">
        <f t="shared" si="3"/>
        <v>9.0428595220514676E-2</v>
      </c>
      <c r="K93" s="28"/>
    </row>
    <row r="94" spans="1:11" x14ac:dyDescent="0.2">
      <c r="A94" s="27">
        <v>17</v>
      </c>
      <c r="B94" s="27">
        <v>1</v>
      </c>
      <c r="C94" s="28">
        <v>16.858974358974358</v>
      </c>
      <c r="D94" s="28">
        <f t="shared" si="2"/>
        <v>-0.1410256410256423</v>
      </c>
      <c r="F94" s="28">
        <f t="shared" si="3"/>
        <v>9.3686186441259228E-2</v>
      </c>
      <c r="K94" s="28"/>
    </row>
    <row r="95" spans="1:11" x14ac:dyDescent="0.2">
      <c r="A95" s="27">
        <v>16</v>
      </c>
      <c r="B95" s="27">
        <v>1</v>
      </c>
      <c r="C95" s="28">
        <v>16.858974358974358</v>
      </c>
      <c r="D95" s="28">
        <f t="shared" si="2"/>
        <v>0.8589743589743577</v>
      </c>
      <c r="F95" s="28">
        <f t="shared" si="3"/>
        <v>9.1847742433773194E-2</v>
      </c>
      <c r="K95" s="28"/>
    </row>
    <row r="96" spans="1:11" x14ac:dyDescent="0.2">
      <c r="A96" s="27">
        <v>15</v>
      </c>
      <c r="B96" s="27">
        <v>1</v>
      </c>
      <c r="C96" s="28">
        <v>16.858974358974358</v>
      </c>
      <c r="D96" s="28">
        <f t="shared" si="2"/>
        <v>1.8589743589743577</v>
      </c>
      <c r="F96" s="28">
        <f t="shared" si="3"/>
        <v>8.5208821600122359E-2</v>
      </c>
      <c r="K96" s="28"/>
    </row>
    <row r="97" spans="1:11" x14ac:dyDescent="0.2">
      <c r="A97" s="27">
        <v>15</v>
      </c>
      <c r="B97" s="27">
        <v>1</v>
      </c>
      <c r="C97" s="28">
        <v>16.858974358974358</v>
      </c>
      <c r="D97" s="28">
        <f t="shared" si="2"/>
        <v>1.8589743589743577</v>
      </c>
      <c r="F97" s="28">
        <f t="shared" si="3"/>
        <v>8.5208821600122359E-2</v>
      </c>
      <c r="K97" s="28"/>
    </row>
    <row r="98" spans="1:11" x14ac:dyDescent="0.2">
      <c r="A98" s="27">
        <v>15</v>
      </c>
      <c r="B98" s="27">
        <v>1</v>
      </c>
      <c r="C98" s="28">
        <v>16.858974358974358</v>
      </c>
      <c r="D98" s="28">
        <f t="shared" si="2"/>
        <v>1.8589743589743577</v>
      </c>
      <c r="F98" s="28">
        <f t="shared" si="3"/>
        <v>8.5208821600122359E-2</v>
      </c>
      <c r="K98" s="28"/>
    </row>
    <row r="99" spans="1:11" x14ac:dyDescent="0.2">
      <c r="A99" s="27">
        <v>15</v>
      </c>
      <c r="B99" s="27">
        <v>1</v>
      </c>
      <c r="C99" s="28">
        <v>16.858974358974358</v>
      </c>
      <c r="D99" s="28">
        <f t="shared" si="2"/>
        <v>1.8589743589743577</v>
      </c>
      <c r="F99" s="28">
        <f t="shared" si="3"/>
        <v>8.5208821600122359E-2</v>
      </c>
      <c r="K99" s="28"/>
    </row>
    <row r="100" spans="1:11" x14ac:dyDescent="0.2">
      <c r="A100" s="27">
        <v>14</v>
      </c>
      <c r="B100" s="27">
        <v>1</v>
      </c>
      <c r="C100" s="28">
        <v>16.858974358974358</v>
      </c>
      <c r="D100" s="28">
        <f t="shared" si="2"/>
        <v>2.8589743589743577</v>
      </c>
      <c r="F100" s="28">
        <f t="shared" si="3"/>
        <v>7.4803820711623142E-2</v>
      </c>
      <c r="K100" s="28"/>
    </row>
    <row r="101" spans="1:11" x14ac:dyDescent="0.2">
      <c r="A101" s="27">
        <v>28</v>
      </c>
      <c r="B101" s="27">
        <v>1</v>
      </c>
      <c r="C101" s="28">
        <v>16.858974358974358</v>
      </c>
      <c r="D101" s="28">
        <f t="shared" si="2"/>
        <v>-11.141025641025642</v>
      </c>
      <c r="F101" s="28">
        <f t="shared" si="3"/>
        <v>3.0470611306731058E-3</v>
      </c>
      <c r="K101" s="28"/>
    </row>
    <row r="102" spans="1:11" x14ac:dyDescent="0.2">
      <c r="A102" s="27">
        <v>24</v>
      </c>
      <c r="B102" s="27">
        <v>1</v>
      </c>
      <c r="C102" s="28">
        <v>16.858974358974358</v>
      </c>
      <c r="D102" s="28">
        <f t="shared" si="2"/>
        <v>-7.1410256410256423</v>
      </c>
      <c r="F102" s="28">
        <f t="shared" si="3"/>
        <v>2.293893420103504E-2</v>
      </c>
      <c r="K102" s="28"/>
    </row>
    <row r="103" spans="1:11" x14ac:dyDescent="0.2">
      <c r="A103" s="27">
        <v>25</v>
      </c>
      <c r="B103" s="27">
        <v>1</v>
      </c>
      <c r="C103" s="28">
        <v>16.858974358974358</v>
      </c>
      <c r="D103" s="28">
        <f t="shared" si="2"/>
        <v>-8.1410256410256423</v>
      </c>
      <c r="F103" s="28">
        <f t="shared" si="3"/>
        <v>1.5044075220828471E-2</v>
      </c>
      <c r="K103" s="28"/>
    </row>
    <row r="104" spans="1:11" x14ac:dyDescent="0.2">
      <c r="A104" s="27">
        <v>23</v>
      </c>
      <c r="B104" s="27">
        <v>1</v>
      </c>
      <c r="C104" s="28">
        <v>16.858974358974358</v>
      </c>
      <c r="D104" s="28">
        <f t="shared" si="2"/>
        <v>-6.1410256410256423</v>
      </c>
      <c r="F104" s="28">
        <f t="shared" si="3"/>
        <v>3.3098180744967454E-2</v>
      </c>
      <c r="K104" s="28"/>
    </row>
    <row r="105" spans="1:11" x14ac:dyDescent="0.2">
      <c r="A105" s="27">
        <v>24</v>
      </c>
      <c r="B105" s="27">
        <v>1</v>
      </c>
      <c r="C105" s="28">
        <v>16.858974358974358</v>
      </c>
      <c r="D105" s="28">
        <f t="shared" si="2"/>
        <v>-7.1410256410256423</v>
      </c>
      <c r="F105" s="28">
        <f t="shared" si="3"/>
        <v>2.293893420103504E-2</v>
      </c>
      <c r="K105" s="28"/>
    </row>
    <row r="106" spans="1:11" x14ac:dyDescent="0.2">
      <c r="A106" s="27">
        <v>26</v>
      </c>
      <c r="B106" s="27">
        <v>1</v>
      </c>
      <c r="C106" s="28">
        <v>16.858974358974358</v>
      </c>
      <c r="D106" s="28">
        <f t="shared" si="2"/>
        <v>-9.1410256410256423</v>
      </c>
      <c r="F106" s="28">
        <f t="shared" si="3"/>
        <v>9.3364312813032559E-3</v>
      </c>
      <c r="K106" s="28"/>
    </row>
    <row r="107" spans="1:11" x14ac:dyDescent="0.2">
      <c r="A107" s="27">
        <v>25</v>
      </c>
      <c r="B107" s="27">
        <v>1</v>
      </c>
      <c r="C107" s="28">
        <v>16.858974358974358</v>
      </c>
      <c r="D107" s="28">
        <f t="shared" si="2"/>
        <v>-8.1410256410256423</v>
      </c>
      <c r="F107" s="28">
        <f t="shared" si="3"/>
        <v>1.5044075220828471E-2</v>
      </c>
      <c r="K107" s="28"/>
    </row>
    <row r="108" spans="1:11" x14ac:dyDescent="0.2">
      <c r="A108" s="27">
        <v>24</v>
      </c>
      <c r="B108" s="27">
        <v>1</v>
      </c>
      <c r="C108" s="28">
        <v>16.858974358974358</v>
      </c>
      <c r="D108" s="28">
        <f t="shared" si="2"/>
        <v>-7.1410256410256423</v>
      </c>
      <c r="F108" s="28">
        <f t="shared" si="3"/>
        <v>2.293893420103504E-2</v>
      </c>
      <c r="K108" s="28"/>
    </row>
    <row r="109" spans="1:11" x14ac:dyDescent="0.2">
      <c r="A109" s="27">
        <v>21</v>
      </c>
      <c r="B109" s="27">
        <v>1</v>
      </c>
      <c r="C109" s="28">
        <v>16.858974358974358</v>
      </c>
      <c r="D109" s="28">
        <f t="shared" si="2"/>
        <v>-4.1410256410256423</v>
      </c>
      <c r="F109" s="28">
        <f t="shared" si="3"/>
        <v>5.8389578885814829E-2</v>
      </c>
      <c r="K109" s="28"/>
    </row>
    <row r="110" spans="1:11" x14ac:dyDescent="0.2">
      <c r="A110" s="27">
        <v>18</v>
      </c>
      <c r="B110" s="27">
        <v>1</v>
      </c>
      <c r="C110" s="28">
        <v>16.858974358974358</v>
      </c>
      <c r="D110" s="28">
        <f t="shared" si="2"/>
        <v>-1.1410256410256423</v>
      </c>
      <c r="F110" s="28">
        <f t="shared" si="3"/>
        <v>9.0428595220514676E-2</v>
      </c>
      <c r="K110" s="28"/>
    </row>
    <row r="111" spans="1:11" x14ac:dyDescent="0.2">
      <c r="A111" s="27">
        <v>18</v>
      </c>
      <c r="B111" s="27">
        <v>1</v>
      </c>
      <c r="C111" s="28">
        <v>16.858974358974358</v>
      </c>
      <c r="D111" s="28">
        <f t="shared" si="2"/>
        <v>-1.1410256410256423</v>
      </c>
      <c r="F111" s="28">
        <f t="shared" si="3"/>
        <v>9.0428595220514676E-2</v>
      </c>
      <c r="K111" s="28"/>
    </row>
    <row r="112" spans="1:11" x14ac:dyDescent="0.2">
      <c r="A112" s="27">
        <v>21</v>
      </c>
      <c r="B112" s="27">
        <v>1</v>
      </c>
      <c r="C112" s="28">
        <v>16.858974358974358</v>
      </c>
      <c r="D112" s="28">
        <f t="shared" si="2"/>
        <v>-4.1410256410256423</v>
      </c>
      <c r="F112" s="28">
        <f t="shared" si="3"/>
        <v>5.8389578885814829E-2</v>
      </c>
      <c r="K112" s="28"/>
    </row>
    <row r="113" spans="1:11" x14ac:dyDescent="0.2">
      <c r="A113" s="27">
        <v>21</v>
      </c>
      <c r="B113" s="27">
        <v>1</v>
      </c>
      <c r="C113" s="28">
        <v>16.858974358974358</v>
      </c>
      <c r="D113" s="28">
        <f t="shared" si="2"/>
        <v>-4.1410256410256423</v>
      </c>
      <c r="F113" s="28">
        <f t="shared" si="3"/>
        <v>5.8389578885814829E-2</v>
      </c>
      <c r="K113" s="28"/>
    </row>
    <row r="114" spans="1:11" x14ac:dyDescent="0.2">
      <c r="A114" s="27">
        <v>18</v>
      </c>
      <c r="B114" s="27">
        <v>1</v>
      </c>
      <c r="C114" s="28">
        <v>16.858974358974358</v>
      </c>
      <c r="D114" s="28">
        <f t="shared" si="2"/>
        <v>-1.1410256410256423</v>
      </c>
      <c r="F114" s="28">
        <f t="shared" si="3"/>
        <v>9.0428595220514676E-2</v>
      </c>
      <c r="K114" s="28"/>
    </row>
    <row r="115" spans="1:11" x14ac:dyDescent="0.2">
      <c r="A115" s="27">
        <v>18</v>
      </c>
      <c r="B115" s="27">
        <v>1</v>
      </c>
      <c r="C115" s="28">
        <v>16.858974358974358</v>
      </c>
      <c r="D115" s="28">
        <f t="shared" si="2"/>
        <v>-1.1410256410256423</v>
      </c>
      <c r="F115" s="28">
        <f t="shared" si="3"/>
        <v>9.0428595220514676E-2</v>
      </c>
      <c r="K115" s="28"/>
    </row>
    <row r="116" spans="1:11" x14ac:dyDescent="0.2">
      <c r="A116" s="27">
        <v>19</v>
      </c>
      <c r="B116" s="27">
        <v>1</v>
      </c>
      <c r="C116" s="28">
        <v>16.858974358974358</v>
      </c>
      <c r="D116" s="28">
        <f t="shared" si="2"/>
        <v>-2.1410256410256423</v>
      </c>
      <c r="F116" s="28">
        <f t="shared" si="3"/>
        <v>8.2596026638649928E-2</v>
      </c>
      <c r="K116" s="28"/>
    </row>
    <row r="117" spans="1:11" x14ac:dyDescent="0.2">
      <c r="A117" s="27">
        <v>19</v>
      </c>
      <c r="B117" s="27">
        <v>1</v>
      </c>
      <c r="C117" s="28">
        <v>16.858974358974358</v>
      </c>
      <c r="D117" s="28">
        <f t="shared" si="2"/>
        <v>-2.1410256410256423</v>
      </c>
      <c r="F117" s="28">
        <f t="shared" si="3"/>
        <v>8.2596026638649928E-2</v>
      </c>
      <c r="K117" s="28"/>
    </row>
    <row r="118" spans="1:11" x14ac:dyDescent="0.2">
      <c r="A118" s="27">
        <v>19</v>
      </c>
      <c r="B118" s="27">
        <v>1</v>
      </c>
      <c r="C118" s="28">
        <v>16.858974358974358</v>
      </c>
      <c r="D118" s="28">
        <f t="shared" si="2"/>
        <v>-2.1410256410256423</v>
      </c>
      <c r="F118" s="28">
        <f t="shared" si="3"/>
        <v>8.2596026638649928E-2</v>
      </c>
      <c r="K118" s="28"/>
    </row>
    <row r="119" spans="1:11" x14ac:dyDescent="0.2">
      <c r="A119" s="27">
        <v>20</v>
      </c>
      <c r="B119" s="27">
        <v>1</v>
      </c>
      <c r="C119" s="28">
        <v>16.858974358974358</v>
      </c>
      <c r="D119" s="28">
        <f t="shared" si="2"/>
        <v>-3.1410256410256423</v>
      </c>
      <c r="F119" s="28">
        <f t="shared" si="3"/>
        <v>7.138971945227178E-2</v>
      </c>
      <c r="K119" s="28"/>
    </row>
    <row r="120" spans="1:11" x14ac:dyDescent="0.2">
      <c r="A120" s="27">
        <v>20</v>
      </c>
      <c r="B120" s="27">
        <v>1</v>
      </c>
      <c r="C120" s="28">
        <v>16.858974358974358</v>
      </c>
      <c r="D120" s="28">
        <f t="shared" si="2"/>
        <v>-3.1410256410256423</v>
      </c>
      <c r="F120" s="28">
        <f t="shared" si="3"/>
        <v>7.138971945227178E-2</v>
      </c>
      <c r="K120" s="28"/>
    </row>
    <row r="121" spans="1:11" x14ac:dyDescent="0.2">
      <c r="A121" s="27">
        <v>17</v>
      </c>
      <c r="B121" s="27">
        <v>1</v>
      </c>
      <c r="C121" s="28">
        <v>16.858974358974358</v>
      </c>
      <c r="D121" s="28">
        <f t="shared" si="2"/>
        <v>-0.1410256410256423</v>
      </c>
      <c r="F121" s="28">
        <f t="shared" si="3"/>
        <v>9.3686186441259228E-2</v>
      </c>
      <c r="K121" s="28"/>
    </row>
    <row r="122" spans="1:11" x14ac:dyDescent="0.2">
      <c r="A122" s="27">
        <v>16</v>
      </c>
      <c r="B122" s="27">
        <v>1</v>
      </c>
      <c r="C122" s="28">
        <v>16.858974358974358</v>
      </c>
      <c r="D122" s="28">
        <f t="shared" si="2"/>
        <v>0.8589743589743577</v>
      </c>
      <c r="F122" s="28">
        <f t="shared" si="3"/>
        <v>9.1847742433773194E-2</v>
      </c>
      <c r="K122" s="28"/>
    </row>
    <row r="123" spans="1:11" x14ac:dyDescent="0.2">
      <c r="A123" s="27">
        <v>17</v>
      </c>
      <c r="B123" s="27">
        <v>1</v>
      </c>
      <c r="C123" s="28">
        <v>16.858974358974358</v>
      </c>
      <c r="D123" s="28">
        <f t="shared" si="2"/>
        <v>-0.1410256410256423</v>
      </c>
      <c r="F123" s="28">
        <f t="shared" si="3"/>
        <v>9.3686186441259228E-2</v>
      </c>
      <c r="K123" s="28"/>
    </row>
    <row r="124" spans="1:11" x14ac:dyDescent="0.2">
      <c r="A124" s="27">
        <v>17</v>
      </c>
      <c r="B124" s="27">
        <v>1</v>
      </c>
      <c r="C124" s="28">
        <v>16.858974358974358</v>
      </c>
      <c r="D124" s="28">
        <f t="shared" si="2"/>
        <v>-0.1410256410256423</v>
      </c>
      <c r="F124" s="28">
        <f t="shared" si="3"/>
        <v>9.3686186441259228E-2</v>
      </c>
      <c r="K124" s="28"/>
    </row>
    <row r="125" spans="1:11" x14ac:dyDescent="0.2">
      <c r="A125" s="27">
        <v>15</v>
      </c>
      <c r="B125" s="27">
        <v>1</v>
      </c>
      <c r="C125" s="28">
        <v>16.858974358974358</v>
      </c>
      <c r="D125" s="28">
        <f t="shared" si="2"/>
        <v>1.8589743589743577</v>
      </c>
      <c r="F125" s="28">
        <f t="shared" si="3"/>
        <v>8.5208821600122359E-2</v>
      </c>
      <c r="K125" s="28"/>
    </row>
    <row r="126" spans="1:11" x14ac:dyDescent="0.2">
      <c r="A126" s="27">
        <v>15</v>
      </c>
      <c r="B126" s="27">
        <v>1</v>
      </c>
      <c r="C126" s="28">
        <v>16.858974358974358</v>
      </c>
      <c r="D126" s="28">
        <f t="shared" si="2"/>
        <v>1.8589743589743577</v>
      </c>
      <c r="F126" s="28">
        <f t="shared" si="3"/>
        <v>8.5208821600122359E-2</v>
      </c>
      <c r="K126" s="28"/>
    </row>
    <row r="127" spans="1:11" x14ac:dyDescent="0.2">
      <c r="A127" s="27">
        <v>14</v>
      </c>
      <c r="B127" s="27">
        <v>1</v>
      </c>
      <c r="C127" s="28">
        <v>16.858974358974358</v>
      </c>
      <c r="D127" s="28">
        <f t="shared" si="2"/>
        <v>2.8589743589743577</v>
      </c>
      <c r="F127" s="28">
        <f t="shared" si="3"/>
        <v>7.4803820711623142E-2</v>
      </c>
      <c r="K127" s="28"/>
    </row>
    <row r="128" spans="1:11" x14ac:dyDescent="0.2">
      <c r="A128" s="27">
        <v>9</v>
      </c>
      <c r="B128" s="27">
        <v>1</v>
      </c>
      <c r="C128" s="28">
        <v>16.858974358974358</v>
      </c>
      <c r="D128" s="28">
        <f t="shared" si="2"/>
        <v>7.8589743589743577</v>
      </c>
      <c r="F128" s="28">
        <f t="shared" si="3"/>
        <v>1.7039902700084295E-2</v>
      </c>
      <c r="K128" s="28"/>
    </row>
    <row r="129" spans="1:11" x14ac:dyDescent="0.2">
      <c r="A129" s="27">
        <v>14</v>
      </c>
      <c r="B129" s="27">
        <v>1</v>
      </c>
      <c r="C129" s="28">
        <v>16.858974358974358</v>
      </c>
      <c r="D129" s="28">
        <f t="shared" si="2"/>
        <v>2.8589743589743577</v>
      </c>
      <c r="F129" s="28">
        <f t="shared" si="3"/>
        <v>7.4803820711623142E-2</v>
      </c>
      <c r="K129" s="28"/>
    </row>
    <row r="130" spans="1:11" x14ac:dyDescent="0.2">
      <c r="A130" s="27">
        <v>13</v>
      </c>
      <c r="B130" s="27">
        <v>1</v>
      </c>
      <c r="C130" s="28">
        <v>16.858974358974358</v>
      </c>
      <c r="D130" s="28">
        <f t="shared" si="2"/>
        <v>3.8589743589743577</v>
      </c>
      <c r="F130" s="28">
        <f t="shared" si="3"/>
        <v>6.2142132155231941E-2</v>
      </c>
      <c r="K130" s="28"/>
    </row>
    <row r="131" spans="1:11" x14ac:dyDescent="0.2">
      <c r="A131" s="27">
        <v>11</v>
      </c>
      <c r="B131" s="27">
        <v>1</v>
      </c>
      <c r="C131" s="28">
        <v>16.858974358974358</v>
      </c>
      <c r="D131" s="28">
        <f t="shared" ref="D131:D194" si="4">C131-A131</f>
        <v>5.8589743589743577</v>
      </c>
      <c r="F131" s="28">
        <f t="shared" ref="F131:F194" si="5">_xlfn.NORM.DIST(D131,0,$E$2,FALSE)</f>
        <v>3.6339616015446226E-2</v>
      </c>
      <c r="K131" s="28"/>
    </row>
    <row r="132" spans="1:11" x14ac:dyDescent="0.2">
      <c r="A132" s="27">
        <v>11</v>
      </c>
      <c r="B132" s="27">
        <v>1</v>
      </c>
      <c r="C132" s="28">
        <v>16.858974358974358</v>
      </c>
      <c r="D132" s="28">
        <f t="shared" si="4"/>
        <v>5.8589743589743577</v>
      </c>
      <c r="F132" s="28">
        <f t="shared" si="5"/>
        <v>3.6339616015446226E-2</v>
      </c>
      <c r="K132" s="28"/>
    </row>
    <row r="133" spans="1:11" x14ac:dyDescent="0.2">
      <c r="A133" s="27">
        <v>12</v>
      </c>
      <c r="B133" s="27">
        <v>1</v>
      </c>
      <c r="C133" s="28">
        <v>16.858974358974358</v>
      </c>
      <c r="D133" s="28">
        <f t="shared" si="4"/>
        <v>4.8589743589743577</v>
      </c>
      <c r="F133" s="28">
        <f t="shared" si="5"/>
        <v>4.8850798619149906E-2</v>
      </c>
      <c r="K133" s="28"/>
    </row>
    <row r="134" spans="1:11" x14ac:dyDescent="0.2">
      <c r="A134" s="27">
        <v>12</v>
      </c>
      <c r="B134" s="27">
        <v>1</v>
      </c>
      <c r="C134" s="28">
        <v>16.858974358974358</v>
      </c>
      <c r="D134" s="28">
        <f t="shared" si="4"/>
        <v>4.8589743589743577</v>
      </c>
      <c r="F134" s="28">
        <f t="shared" si="5"/>
        <v>4.8850798619149906E-2</v>
      </c>
      <c r="K134" s="28"/>
    </row>
    <row r="135" spans="1:11" x14ac:dyDescent="0.2">
      <c r="A135" s="27">
        <v>11</v>
      </c>
      <c r="B135" s="27">
        <v>1</v>
      </c>
      <c r="C135" s="28">
        <v>16.858974358974358</v>
      </c>
      <c r="D135" s="28">
        <f t="shared" si="4"/>
        <v>5.8589743589743577</v>
      </c>
      <c r="F135" s="28">
        <f t="shared" si="5"/>
        <v>3.6339616015446226E-2</v>
      </c>
      <c r="K135" s="28"/>
    </row>
    <row r="136" spans="1:11" x14ac:dyDescent="0.2">
      <c r="A136" s="27">
        <v>11</v>
      </c>
      <c r="B136" s="27">
        <v>1</v>
      </c>
      <c r="C136" s="28">
        <v>16.858974358974358</v>
      </c>
      <c r="D136" s="28">
        <f t="shared" si="4"/>
        <v>5.8589743589743577</v>
      </c>
      <c r="F136" s="28">
        <f t="shared" si="5"/>
        <v>3.6339616015446226E-2</v>
      </c>
      <c r="K136" s="28"/>
    </row>
    <row r="137" spans="1:11" x14ac:dyDescent="0.2">
      <c r="A137" s="27">
        <v>11</v>
      </c>
      <c r="B137" s="27">
        <v>1</v>
      </c>
      <c r="C137" s="28">
        <v>16.858974358974358</v>
      </c>
      <c r="D137" s="28">
        <f t="shared" si="4"/>
        <v>5.8589743589743577</v>
      </c>
      <c r="F137" s="28">
        <f t="shared" si="5"/>
        <v>3.6339616015446226E-2</v>
      </c>
      <c r="K137" s="28"/>
    </row>
    <row r="138" spans="1:11" x14ac:dyDescent="0.2">
      <c r="A138" s="27">
        <v>12</v>
      </c>
      <c r="B138" s="27">
        <v>1</v>
      </c>
      <c r="C138" s="28">
        <v>16.858974358974358</v>
      </c>
      <c r="D138" s="28">
        <f t="shared" si="4"/>
        <v>4.8589743589743577</v>
      </c>
      <c r="F138" s="28">
        <f t="shared" si="5"/>
        <v>4.8850798619149906E-2</v>
      </c>
      <c r="K138" s="28"/>
    </row>
    <row r="139" spans="1:11" x14ac:dyDescent="0.2">
      <c r="A139" s="27">
        <v>14</v>
      </c>
      <c r="B139" s="27">
        <v>1</v>
      </c>
      <c r="C139" s="28">
        <v>16.858974358974358</v>
      </c>
      <c r="D139" s="28">
        <f t="shared" si="4"/>
        <v>2.8589743589743577</v>
      </c>
      <c r="F139" s="28">
        <f t="shared" si="5"/>
        <v>7.4803820711623142E-2</v>
      </c>
      <c r="K139" s="28"/>
    </row>
    <row r="140" spans="1:11" x14ac:dyDescent="0.2">
      <c r="A140" s="27">
        <v>13</v>
      </c>
      <c r="B140" s="27">
        <v>1</v>
      </c>
      <c r="C140" s="28">
        <v>16.858974358974358</v>
      </c>
      <c r="D140" s="28">
        <f t="shared" si="4"/>
        <v>3.8589743589743577</v>
      </c>
      <c r="F140" s="28">
        <f t="shared" si="5"/>
        <v>6.2142132155231941E-2</v>
      </c>
      <c r="K140" s="28"/>
    </row>
    <row r="141" spans="1:11" x14ac:dyDescent="0.2">
      <c r="A141" s="27">
        <v>13</v>
      </c>
      <c r="B141" s="27">
        <v>1</v>
      </c>
      <c r="C141" s="28">
        <v>16.858974358974358</v>
      </c>
      <c r="D141" s="28">
        <f t="shared" si="4"/>
        <v>3.8589743589743577</v>
      </c>
      <c r="F141" s="28">
        <f t="shared" si="5"/>
        <v>6.2142132155231941E-2</v>
      </c>
      <c r="K141" s="28"/>
    </row>
    <row r="142" spans="1:11" x14ac:dyDescent="0.2">
      <c r="A142" s="27">
        <v>13</v>
      </c>
      <c r="B142" s="27">
        <v>1</v>
      </c>
      <c r="C142" s="28">
        <v>16.858974358974358</v>
      </c>
      <c r="D142" s="28">
        <f t="shared" si="4"/>
        <v>3.8589743589743577</v>
      </c>
      <c r="F142" s="28">
        <f t="shared" si="5"/>
        <v>6.2142132155231941E-2</v>
      </c>
      <c r="K142" s="28"/>
    </row>
    <row r="143" spans="1:11" x14ac:dyDescent="0.2">
      <c r="A143" s="27">
        <v>21</v>
      </c>
      <c r="B143" s="27">
        <v>1</v>
      </c>
      <c r="C143" s="28">
        <v>16.858974358974358</v>
      </c>
      <c r="D143" s="28">
        <f t="shared" si="4"/>
        <v>-4.1410256410256423</v>
      </c>
      <c r="F143" s="28">
        <f t="shared" si="5"/>
        <v>5.8389578885814829E-2</v>
      </c>
      <c r="K143" s="28"/>
    </row>
    <row r="144" spans="1:11" x14ac:dyDescent="0.2">
      <c r="A144" s="27">
        <v>19</v>
      </c>
      <c r="B144" s="27">
        <v>1</v>
      </c>
      <c r="C144" s="28">
        <v>16.858974358974358</v>
      </c>
      <c r="D144" s="28">
        <f t="shared" si="4"/>
        <v>-2.1410256410256423</v>
      </c>
      <c r="F144" s="28">
        <f t="shared" si="5"/>
        <v>8.2596026638649928E-2</v>
      </c>
      <c r="K144" s="28"/>
    </row>
    <row r="145" spans="1:11" x14ac:dyDescent="0.2">
      <c r="A145" s="27">
        <v>23</v>
      </c>
      <c r="B145" s="27">
        <v>1</v>
      </c>
      <c r="C145" s="28">
        <v>16.858974358974358</v>
      </c>
      <c r="D145" s="28">
        <f t="shared" si="4"/>
        <v>-6.1410256410256423</v>
      </c>
      <c r="F145" s="28">
        <f t="shared" si="5"/>
        <v>3.3098180744967454E-2</v>
      </c>
      <c r="K145" s="28"/>
    </row>
    <row r="146" spans="1:11" x14ac:dyDescent="0.2">
      <c r="A146" s="27">
        <v>23</v>
      </c>
      <c r="B146" s="27">
        <v>1</v>
      </c>
      <c r="C146" s="28">
        <v>16.858974358974358</v>
      </c>
      <c r="D146" s="28">
        <f t="shared" si="4"/>
        <v>-6.1410256410256423</v>
      </c>
      <c r="F146" s="28">
        <f t="shared" si="5"/>
        <v>3.3098180744967454E-2</v>
      </c>
      <c r="K146" s="28"/>
    </row>
    <row r="147" spans="1:11" x14ac:dyDescent="0.2">
      <c r="A147" s="27">
        <v>19</v>
      </c>
      <c r="B147" s="27">
        <v>1</v>
      </c>
      <c r="C147" s="28">
        <v>16.858974358974358</v>
      </c>
      <c r="D147" s="28">
        <f t="shared" si="4"/>
        <v>-2.1410256410256423</v>
      </c>
      <c r="F147" s="28">
        <f t="shared" si="5"/>
        <v>8.2596026638649928E-2</v>
      </c>
      <c r="K147" s="28"/>
    </row>
    <row r="148" spans="1:11" x14ac:dyDescent="0.2">
      <c r="A148" s="27">
        <v>19</v>
      </c>
      <c r="B148" s="27">
        <v>1</v>
      </c>
      <c r="C148" s="28">
        <v>16.858974358974358</v>
      </c>
      <c r="D148" s="28">
        <f t="shared" si="4"/>
        <v>-2.1410256410256423</v>
      </c>
      <c r="F148" s="28">
        <f t="shared" si="5"/>
        <v>8.2596026638649928E-2</v>
      </c>
      <c r="K148" s="28"/>
    </row>
    <row r="149" spans="1:11" x14ac:dyDescent="0.2">
      <c r="A149" s="27">
        <v>18</v>
      </c>
      <c r="B149" s="27">
        <v>1</v>
      </c>
      <c r="C149" s="28">
        <v>16.858974358974358</v>
      </c>
      <c r="D149" s="28">
        <f t="shared" si="4"/>
        <v>-1.1410256410256423</v>
      </c>
      <c r="F149" s="28">
        <f t="shared" si="5"/>
        <v>9.0428595220514676E-2</v>
      </c>
      <c r="K149" s="28"/>
    </row>
    <row r="150" spans="1:11" x14ac:dyDescent="0.2">
      <c r="A150" s="27">
        <v>19</v>
      </c>
      <c r="B150" s="27">
        <v>1</v>
      </c>
      <c r="C150" s="28">
        <v>16.858974358974358</v>
      </c>
      <c r="D150" s="28">
        <f t="shared" si="4"/>
        <v>-2.1410256410256423</v>
      </c>
      <c r="F150" s="28">
        <f t="shared" si="5"/>
        <v>8.2596026638649928E-2</v>
      </c>
      <c r="K150" s="28"/>
    </row>
    <row r="151" spans="1:11" x14ac:dyDescent="0.2">
      <c r="A151" s="27">
        <v>19</v>
      </c>
      <c r="B151" s="27">
        <v>1</v>
      </c>
      <c r="C151" s="28">
        <v>16.858974358974358</v>
      </c>
      <c r="D151" s="28">
        <f t="shared" si="4"/>
        <v>-2.1410256410256423</v>
      </c>
      <c r="F151" s="28">
        <f t="shared" si="5"/>
        <v>8.2596026638649928E-2</v>
      </c>
      <c r="K151" s="28"/>
    </row>
    <row r="152" spans="1:11" x14ac:dyDescent="0.2">
      <c r="A152" s="27">
        <v>14</v>
      </c>
      <c r="B152" s="27">
        <v>1</v>
      </c>
      <c r="C152" s="28">
        <v>16.858974358974358</v>
      </c>
      <c r="D152" s="28">
        <f t="shared" si="4"/>
        <v>2.8589743589743577</v>
      </c>
      <c r="F152" s="28">
        <f t="shared" si="5"/>
        <v>7.4803820711623142E-2</v>
      </c>
      <c r="K152" s="28"/>
    </row>
    <row r="153" spans="1:11" x14ac:dyDescent="0.2">
      <c r="A153" s="27">
        <v>15</v>
      </c>
      <c r="B153" s="27">
        <v>1</v>
      </c>
      <c r="C153" s="28">
        <v>16.858974358974358</v>
      </c>
      <c r="D153" s="28">
        <f t="shared" si="4"/>
        <v>1.8589743589743577</v>
      </c>
      <c r="F153" s="28">
        <f t="shared" si="5"/>
        <v>8.5208821600122359E-2</v>
      </c>
      <c r="K153" s="28"/>
    </row>
    <row r="154" spans="1:11" x14ac:dyDescent="0.2">
      <c r="A154" s="27">
        <v>14</v>
      </c>
      <c r="B154" s="27">
        <v>1</v>
      </c>
      <c r="C154" s="28">
        <v>16.858974358974358</v>
      </c>
      <c r="D154" s="28">
        <f t="shared" si="4"/>
        <v>2.8589743589743577</v>
      </c>
      <c r="F154" s="28">
        <f t="shared" si="5"/>
        <v>7.4803820711623142E-2</v>
      </c>
      <c r="K154" s="28"/>
    </row>
    <row r="155" spans="1:11" x14ac:dyDescent="0.2">
      <c r="A155" s="27">
        <v>12</v>
      </c>
      <c r="B155" s="27">
        <v>1</v>
      </c>
      <c r="C155" s="28">
        <v>16.858974358974358</v>
      </c>
      <c r="D155" s="28">
        <f t="shared" si="4"/>
        <v>4.8589743589743577</v>
      </c>
      <c r="F155" s="28">
        <f t="shared" si="5"/>
        <v>4.8850798619149906E-2</v>
      </c>
      <c r="K155" s="28"/>
    </row>
    <row r="156" spans="1:11" x14ac:dyDescent="0.2">
      <c r="A156" s="27">
        <v>18</v>
      </c>
      <c r="B156" s="27">
        <v>1</v>
      </c>
      <c r="C156" s="28">
        <v>16.858974358974358</v>
      </c>
      <c r="D156" s="28">
        <f t="shared" si="4"/>
        <v>-1.1410256410256423</v>
      </c>
      <c r="F156" s="28">
        <f t="shared" si="5"/>
        <v>9.0428595220514676E-2</v>
      </c>
      <c r="K156" s="28"/>
    </row>
    <row r="157" spans="1:11" x14ac:dyDescent="0.2">
      <c r="A157" s="27">
        <v>16</v>
      </c>
      <c r="B157" s="27">
        <v>1</v>
      </c>
      <c r="C157" s="28">
        <v>16.858974358974358</v>
      </c>
      <c r="D157" s="28">
        <f t="shared" si="4"/>
        <v>0.8589743589743577</v>
      </c>
      <c r="F157" s="28">
        <f t="shared" si="5"/>
        <v>9.1847742433773194E-2</v>
      </c>
      <c r="K157" s="28"/>
    </row>
    <row r="158" spans="1:11" x14ac:dyDescent="0.2">
      <c r="A158" s="27">
        <v>17</v>
      </c>
      <c r="B158" s="27">
        <v>1</v>
      </c>
      <c r="C158" s="28">
        <v>16.858974358974358</v>
      </c>
      <c r="D158" s="28">
        <f t="shared" si="4"/>
        <v>-0.1410256410256423</v>
      </c>
      <c r="F158" s="28">
        <f t="shared" si="5"/>
        <v>9.3686186441259228E-2</v>
      </c>
      <c r="K158" s="28"/>
    </row>
    <row r="159" spans="1:11" x14ac:dyDescent="0.2">
      <c r="A159" s="27">
        <v>18</v>
      </c>
      <c r="B159" s="27">
        <v>1</v>
      </c>
      <c r="C159" s="28">
        <v>16.858974358974358</v>
      </c>
      <c r="D159" s="28">
        <f t="shared" si="4"/>
        <v>-1.1410256410256423</v>
      </c>
      <c r="F159" s="28">
        <f t="shared" si="5"/>
        <v>9.0428595220514676E-2</v>
      </c>
      <c r="K159" s="28"/>
    </row>
    <row r="160" spans="1:11" x14ac:dyDescent="0.2">
      <c r="A160" s="27">
        <v>16</v>
      </c>
      <c r="B160" s="27">
        <v>1</v>
      </c>
      <c r="C160" s="28">
        <v>16.858974358974358</v>
      </c>
      <c r="D160" s="28">
        <f t="shared" si="4"/>
        <v>0.8589743589743577</v>
      </c>
      <c r="F160" s="28">
        <f t="shared" si="5"/>
        <v>9.1847742433773194E-2</v>
      </c>
      <c r="K160" s="28"/>
    </row>
    <row r="161" spans="1:11" x14ac:dyDescent="0.2">
      <c r="A161" s="27">
        <v>18</v>
      </c>
      <c r="B161" s="27">
        <v>1</v>
      </c>
      <c r="C161" s="28">
        <v>16.858974358974358</v>
      </c>
      <c r="D161" s="28">
        <f t="shared" si="4"/>
        <v>-1.1410256410256423</v>
      </c>
      <c r="F161" s="28">
        <f t="shared" si="5"/>
        <v>9.0428595220514676E-2</v>
      </c>
      <c r="K161" s="28"/>
    </row>
    <row r="162" spans="1:11" x14ac:dyDescent="0.2">
      <c r="A162" s="27">
        <v>18</v>
      </c>
      <c r="B162" s="27">
        <v>1</v>
      </c>
      <c r="C162" s="28">
        <v>16.858974358974358</v>
      </c>
      <c r="D162" s="28">
        <f t="shared" si="4"/>
        <v>-1.1410256410256423</v>
      </c>
      <c r="F162" s="28">
        <f t="shared" si="5"/>
        <v>9.0428595220514676E-2</v>
      </c>
      <c r="K162" s="28"/>
    </row>
    <row r="163" spans="1:11" x14ac:dyDescent="0.2">
      <c r="A163" s="27">
        <v>20</v>
      </c>
      <c r="B163" s="27">
        <v>1</v>
      </c>
      <c r="C163" s="28">
        <v>16.858974358974358</v>
      </c>
      <c r="D163" s="28">
        <f t="shared" si="4"/>
        <v>-3.1410256410256423</v>
      </c>
      <c r="F163" s="28">
        <f t="shared" si="5"/>
        <v>7.138971945227178E-2</v>
      </c>
      <c r="K163" s="28"/>
    </row>
    <row r="164" spans="1:11" x14ac:dyDescent="0.2">
      <c r="A164" s="27">
        <v>19</v>
      </c>
      <c r="B164" s="27">
        <v>1</v>
      </c>
      <c r="C164" s="28">
        <v>16.858974358974358</v>
      </c>
      <c r="D164" s="28">
        <f t="shared" si="4"/>
        <v>-2.1410256410256423</v>
      </c>
      <c r="F164" s="28">
        <f t="shared" si="5"/>
        <v>8.2596026638649928E-2</v>
      </c>
      <c r="K164" s="28"/>
    </row>
    <row r="165" spans="1:11" x14ac:dyDescent="0.2">
      <c r="A165" s="27">
        <v>20</v>
      </c>
      <c r="B165" s="27">
        <v>1</v>
      </c>
      <c r="C165" s="28">
        <v>16.858974358974358</v>
      </c>
      <c r="D165" s="28">
        <f t="shared" si="4"/>
        <v>-3.1410256410256423</v>
      </c>
      <c r="F165" s="28">
        <f t="shared" si="5"/>
        <v>7.138971945227178E-2</v>
      </c>
      <c r="K165" s="28"/>
    </row>
    <row r="166" spans="1:11" x14ac:dyDescent="0.2">
      <c r="A166" s="27">
        <v>18</v>
      </c>
      <c r="B166" s="27">
        <v>1</v>
      </c>
      <c r="C166" s="28">
        <v>16.858974358974358</v>
      </c>
      <c r="D166" s="28">
        <f t="shared" si="4"/>
        <v>-1.1410256410256423</v>
      </c>
      <c r="F166" s="28">
        <f t="shared" si="5"/>
        <v>9.0428595220514676E-2</v>
      </c>
      <c r="K166" s="28"/>
    </row>
    <row r="167" spans="1:11" x14ac:dyDescent="0.2">
      <c r="A167" s="27">
        <v>21</v>
      </c>
      <c r="B167" s="27">
        <v>1</v>
      </c>
      <c r="C167" s="28">
        <v>16.858974358974358</v>
      </c>
      <c r="D167" s="28">
        <f t="shared" si="4"/>
        <v>-4.1410256410256423</v>
      </c>
      <c r="F167" s="28">
        <f t="shared" si="5"/>
        <v>5.8389578885814829E-2</v>
      </c>
      <c r="K167" s="28"/>
    </row>
    <row r="168" spans="1:11" x14ac:dyDescent="0.2">
      <c r="A168" s="27">
        <v>19</v>
      </c>
      <c r="B168" s="27">
        <v>1</v>
      </c>
      <c r="C168" s="28">
        <v>16.858974358974358</v>
      </c>
      <c r="D168" s="28">
        <f t="shared" si="4"/>
        <v>-2.1410256410256423</v>
      </c>
      <c r="F168" s="28">
        <f t="shared" si="5"/>
        <v>8.2596026638649928E-2</v>
      </c>
      <c r="K168" s="28"/>
    </row>
    <row r="169" spans="1:11" x14ac:dyDescent="0.2">
      <c r="A169" s="27">
        <v>19</v>
      </c>
      <c r="B169" s="27">
        <v>1</v>
      </c>
      <c r="C169" s="28">
        <v>16.858974358974358</v>
      </c>
      <c r="D169" s="28">
        <f t="shared" si="4"/>
        <v>-2.1410256410256423</v>
      </c>
      <c r="F169" s="28">
        <f t="shared" si="5"/>
        <v>8.2596026638649928E-2</v>
      </c>
      <c r="K169" s="28"/>
    </row>
    <row r="170" spans="1:11" x14ac:dyDescent="0.2">
      <c r="A170" s="27">
        <v>19</v>
      </c>
      <c r="B170" s="27">
        <v>1</v>
      </c>
      <c r="C170" s="28">
        <v>16.858974358974358</v>
      </c>
      <c r="D170" s="28">
        <f t="shared" si="4"/>
        <v>-2.1410256410256423</v>
      </c>
      <c r="F170" s="28">
        <f t="shared" si="5"/>
        <v>8.2596026638649928E-2</v>
      </c>
      <c r="K170" s="28"/>
    </row>
    <row r="171" spans="1:11" x14ac:dyDescent="0.2">
      <c r="A171" s="27">
        <v>20</v>
      </c>
      <c r="B171" s="27">
        <v>1</v>
      </c>
      <c r="C171" s="28">
        <v>16.858974358974358</v>
      </c>
      <c r="D171" s="28">
        <f t="shared" si="4"/>
        <v>-3.1410256410256423</v>
      </c>
      <c r="F171" s="28">
        <f t="shared" si="5"/>
        <v>7.138971945227178E-2</v>
      </c>
      <c r="K171" s="28"/>
    </row>
    <row r="172" spans="1:11" x14ac:dyDescent="0.2">
      <c r="A172" s="27">
        <v>20</v>
      </c>
      <c r="B172" s="27">
        <v>1</v>
      </c>
      <c r="C172" s="28">
        <v>16.858974358974358</v>
      </c>
      <c r="D172" s="28">
        <f t="shared" si="4"/>
        <v>-3.1410256410256423</v>
      </c>
      <c r="F172" s="28">
        <f t="shared" si="5"/>
        <v>7.138971945227178E-2</v>
      </c>
      <c r="K172" s="28"/>
    </row>
    <row r="173" spans="1:11" x14ac:dyDescent="0.2">
      <c r="A173" s="27">
        <v>19</v>
      </c>
      <c r="B173" s="27">
        <v>1</v>
      </c>
      <c r="C173" s="28">
        <v>16.858974358974358</v>
      </c>
      <c r="D173" s="28">
        <f t="shared" si="4"/>
        <v>-2.1410256410256423</v>
      </c>
      <c r="F173" s="28">
        <f t="shared" si="5"/>
        <v>8.2596026638649928E-2</v>
      </c>
      <c r="K173" s="28"/>
    </row>
    <row r="174" spans="1:11" x14ac:dyDescent="0.2">
      <c r="A174" s="27">
        <v>20</v>
      </c>
      <c r="B174" s="27">
        <v>1</v>
      </c>
      <c r="C174" s="28">
        <v>16.858974358974358</v>
      </c>
      <c r="D174" s="28">
        <f t="shared" si="4"/>
        <v>-3.1410256410256423</v>
      </c>
      <c r="F174" s="28">
        <f t="shared" si="5"/>
        <v>7.138971945227178E-2</v>
      </c>
      <c r="K174" s="28"/>
    </row>
    <row r="175" spans="1:11" x14ac:dyDescent="0.2">
      <c r="A175" s="27">
        <v>15</v>
      </c>
      <c r="B175" s="27">
        <v>1</v>
      </c>
      <c r="C175" s="28">
        <v>16.858974358974358</v>
      </c>
      <c r="D175" s="28">
        <f t="shared" si="4"/>
        <v>1.8589743589743577</v>
      </c>
      <c r="F175" s="28">
        <f t="shared" si="5"/>
        <v>8.5208821600122359E-2</v>
      </c>
      <c r="K175" s="28"/>
    </row>
    <row r="176" spans="1:11" x14ac:dyDescent="0.2">
      <c r="A176" s="27">
        <v>16</v>
      </c>
      <c r="B176" s="27">
        <v>1</v>
      </c>
      <c r="C176" s="28">
        <v>16.858974358974358</v>
      </c>
      <c r="D176" s="28">
        <f t="shared" si="4"/>
        <v>0.8589743589743577</v>
      </c>
      <c r="F176" s="28">
        <f t="shared" si="5"/>
        <v>9.1847742433773194E-2</v>
      </c>
      <c r="K176" s="28"/>
    </row>
    <row r="177" spans="1:11" x14ac:dyDescent="0.2">
      <c r="A177" s="27">
        <v>15</v>
      </c>
      <c r="B177" s="27">
        <v>1</v>
      </c>
      <c r="C177" s="28">
        <v>16.858974358974358</v>
      </c>
      <c r="D177" s="28">
        <f t="shared" si="4"/>
        <v>1.8589743589743577</v>
      </c>
      <c r="F177" s="28">
        <f t="shared" si="5"/>
        <v>8.5208821600122359E-2</v>
      </c>
      <c r="K177" s="28"/>
    </row>
    <row r="178" spans="1:11" x14ac:dyDescent="0.2">
      <c r="A178" s="27">
        <v>15</v>
      </c>
      <c r="B178" s="27">
        <v>1</v>
      </c>
      <c r="C178" s="28">
        <v>16.858974358974358</v>
      </c>
      <c r="D178" s="28">
        <f t="shared" si="4"/>
        <v>1.8589743589743577</v>
      </c>
      <c r="F178" s="28">
        <f t="shared" si="5"/>
        <v>8.5208821600122359E-2</v>
      </c>
      <c r="K178" s="28"/>
    </row>
    <row r="179" spans="1:11" x14ac:dyDescent="0.2">
      <c r="A179" s="27">
        <v>16</v>
      </c>
      <c r="B179" s="27">
        <v>1</v>
      </c>
      <c r="C179" s="28">
        <v>16.858974358974358</v>
      </c>
      <c r="D179" s="28">
        <f t="shared" si="4"/>
        <v>0.8589743589743577</v>
      </c>
      <c r="F179" s="28">
        <f t="shared" si="5"/>
        <v>9.1847742433773194E-2</v>
      </c>
      <c r="K179" s="28"/>
    </row>
    <row r="180" spans="1:11" x14ac:dyDescent="0.2">
      <c r="A180" s="27">
        <v>14</v>
      </c>
      <c r="B180" s="27">
        <v>1</v>
      </c>
      <c r="C180" s="28">
        <v>16.858974358974358</v>
      </c>
      <c r="D180" s="28">
        <f t="shared" si="4"/>
        <v>2.8589743589743577</v>
      </c>
      <c r="F180" s="28">
        <f t="shared" si="5"/>
        <v>7.4803820711623142E-2</v>
      </c>
      <c r="K180" s="28"/>
    </row>
    <row r="181" spans="1:11" x14ac:dyDescent="0.2">
      <c r="A181" s="27">
        <v>21</v>
      </c>
      <c r="B181" s="27">
        <v>1</v>
      </c>
      <c r="C181" s="28">
        <v>16.858974358974358</v>
      </c>
      <c r="D181" s="28">
        <f t="shared" si="4"/>
        <v>-4.1410256410256423</v>
      </c>
      <c r="F181" s="28">
        <f t="shared" si="5"/>
        <v>5.8389578885814829E-2</v>
      </c>
      <c r="K181" s="28"/>
    </row>
    <row r="182" spans="1:11" x14ac:dyDescent="0.2">
      <c r="A182" s="27">
        <v>21</v>
      </c>
      <c r="B182" s="27">
        <v>1</v>
      </c>
      <c r="C182" s="28">
        <v>16.858974358974358</v>
      </c>
      <c r="D182" s="28">
        <f t="shared" si="4"/>
        <v>-4.1410256410256423</v>
      </c>
      <c r="F182" s="28">
        <f t="shared" si="5"/>
        <v>5.8389578885814829E-2</v>
      </c>
      <c r="K182" s="28"/>
    </row>
    <row r="183" spans="1:11" x14ac:dyDescent="0.2">
      <c r="A183" s="27">
        <v>21</v>
      </c>
      <c r="B183" s="27">
        <v>1</v>
      </c>
      <c r="C183" s="28">
        <v>16.858974358974358</v>
      </c>
      <c r="D183" s="28">
        <f t="shared" si="4"/>
        <v>-4.1410256410256423</v>
      </c>
      <c r="F183" s="28">
        <f t="shared" si="5"/>
        <v>5.8389578885814829E-2</v>
      </c>
      <c r="K183" s="28"/>
    </row>
    <row r="184" spans="1:11" x14ac:dyDescent="0.2">
      <c r="A184" s="27">
        <v>21</v>
      </c>
      <c r="B184" s="27">
        <v>1</v>
      </c>
      <c r="C184" s="28">
        <v>16.858974358974358</v>
      </c>
      <c r="D184" s="28">
        <f t="shared" si="4"/>
        <v>-4.1410256410256423</v>
      </c>
      <c r="F184" s="28">
        <f t="shared" si="5"/>
        <v>5.8389578885814829E-2</v>
      </c>
      <c r="K184" s="28"/>
    </row>
    <row r="185" spans="1:11" x14ac:dyDescent="0.2">
      <c r="A185" s="27">
        <v>18</v>
      </c>
      <c r="B185" s="27">
        <v>1</v>
      </c>
      <c r="C185" s="28">
        <v>16.858974358974358</v>
      </c>
      <c r="D185" s="28">
        <f t="shared" si="4"/>
        <v>-1.1410256410256423</v>
      </c>
      <c r="F185" s="28">
        <f t="shared" si="5"/>
        <v>9.0428595220514676E-2</v>
      </c>
      <c r="K185" s="28"/>
    </row>
    <row r="186" spans="1:11" x14ac:dyDescent="0.2">
      <c r="A186" s="27">
        <v>18</v>
      </c>
      <c r="B186" s="27">
        <v>1</v>
      </c>
      <c r="C186" s="28">
        <v>16.858974358974358</v>
      </c>
      <c r="D186" s="28">
        <f t="shared" si="4"/>
        <v>-1.1410256410256423</v>
      </c>
      <c r="F186" s="28">
        <f t="shared" si="5"/>
        <v>9.0428595220514676E-2</v>
      </c>
      <c r="K186" s="28"/>
    </row>
    <row r="187" spans="1:11" x14ac:dyDescent="0.2">
      <c r="A187" s="27">
        <v>19</v>
      </c>
      <c r="B187" s="27">
        <v>1</v>
      </c>
      <c r="C187" s="28">
        <v>16.858974358974358</v>
      </c>
      <c r="D187" s="28">
        <f t="shared" si="4"/>
        <v>-2.1410256410256423</v>
      </c>
      <c r="F187" s="28">
        <f t="shared" si="5"/>
        <v>8.2596026638649928E-2</v>
      </c>
      <c r="K187" s="28"/>
    </row>
    <row r="188" spans="1:11" x14ac:dyDescent="0.2">
      <c r="A188" s="27">
        <v>21</v>
      </c>
      <c r="B188" s="27">
        <v>1</v>
      </c>
      <c r="C188" s="28">
        <v>16.858974358974358</v>
      </c>
      <c r="D188" s="28">
        <f t="shared" si="4"/>
        <v>-4.1410256410256423</v>
      </c>
      <c r="F188" s="28">
        <f t="shared" si="5"/>
        <v>5.8389578885814829E-2</v>
      </c>
      <c r="K188" s="28"/>
    </row>
    <row r="189" spans="1:11" x14ac:dyDescent="0.2">
      <c r="A189" s="27">
        <v>21</v>
      </c>
      <c r="B189" s="27">
        <v>1</v>
      </c>
      <c r="C189" s="28">
        <v>16.858974358974358</v>
      </c>
      <c r="D189" s="28">
        <f t="shared" si="4"/>
        <v>-4.1410256410256423</v>
      </c>
      <c r="F189" s="28">
        <f t="shared" si="5"/>
        <v>5.8389578885814829E-2</v>
      </c>
      <c r="K189" s="28"/>
    </row>
    <row r="190" spans="1:11" x14ac:dyDescent="0.2">
      <c r="A190" s="27">
        <v>21</v>
      </c>
      <c r="B190" s="27">
        <v>1</v>
      </c>
      <c r="C190" s="28">
        <v>16.858974358974358</v>
      </c>
      <c r="D190" s="28">
        <f t="shared" si="4"/>
        <v>-4.1410256410256423</v>
      </c>
      <c r="F190" s="28">
        <f t="shared" si="5"/>
        <v>5.8389578885814829E-2</v>
      </c>
      <c r="K190" s="28"/>
    </row>
    <row r="191" spans="1:11" x14ac:dyDescent="0.2">
      <c r="A191" s="27">
        <v>22</v>
      </c>
      <c r="B191" s="27">
        <v>1</v>
      </c>
      <c r="C191" s="28">
        <v>16.858974358974358</v>
      </c>
      <c r="D191" s="28">
        <f t="shared" si="4"/>
        <v>-5.1410256410256423</v>
      </c>
      <c r="F191" s="28">
        <f t="shared" si="5"/>
        <v>4.5191645925457373E-2</v>
      </c>
      <c r="K191" s="28"/>
    </row>
    <row r="192" spans="1:11" x14ac:dyDescent="0.2">
      <c r="A192" s="27">
        <v>18</v>
      </c>
      <c r="B192" s="27">
        <v>1</v>
      </c>
      <c r="C192" s="28">
        <v>16.858974358974358</v>
      </c>
      <c r="D192" s="28">
        <f t="shared" si="4"/>
        <v>-1.1410256410256423</v>
      </c>
      <c r="F192" s="28">
        <f t="shared" si="5"/>
        <v>9.0428595220514676E-2</v>
      </c>
      <c r="K192" s="28"/>
    </row>
    <row r="193" spans="1:11" x14ac:dyDescent="0.2">
      <c r="A193" s="27">
        <v>18</v>
      </c>
      <c r="B193" s="27">
        <v>1</v>
      </c>
      <c r="C193" s="28">
        <v>16.858974358974358</v>
      </c>
      <c r="D193" s="28">
        <f t="shared" si="4"/>
        <v>-1.1410256410256423</v>
      </c>
      <c r="F193" s="28">
        <f t="shared" si="5"/>
        <v>9.0428595220514676E-2</v>
      </c>
      <c r="K193" s="28"/>
    </row>
    <row r="194" spans="1:11" x14ac:dyDescent="0.2">
      <c r="A194" s="27">
        <v>18</v>
      </c>
      <c r="B194" s="27">
        <v>1</v>
      </c>
      <c r="C194" s="28">
        <v>16.858974358974358</v>
      </c>
      <c r="D194" s="28">
        <f t="shared" si="4"/>
        <v>-1.1410256410256423</v>
      </c>
      <c r="F194" s="28">
        <f t="shared" si="5"/>
        <v>9.0428595220514676E-2</v>
      </c>
      <c r="K194" s="28"/>
    </row>
    <row r="195" spans="1:11" x14ac:dyDescent="0.2">
      <c r="A195" s="27">
        <v>24</v>
      </c>
      <c r="B195" s="27">
        <v>1</v>
      </c>
      <c r="C195" s="28">
        <v>16.858974358974358</v>
      </c>
      <c r="D195" s="28">
        <f t="shared" ref="D195:D235" si="6">C195-A195</f>
        <v>-7.1410256410256423</v>
      </c>
      <c r="F195" s="28">
        <f t="shared" ref="F195:F235" si="7">_xlfn.NORM.DIST(D195,0,$E$2,FALSE)</f>
        <v>2.293893420103504E-2</v>
      </c>
      <c r="K195" s="28"/>
    </row>
    <row r="196" spans="1:11" x14ac:dyDescent="0.2">
      <c r="A196" s="27">
        <v>24</v>
      </c>
      <c r="B196" s="27">
        <v>1</v>
      </c>
      <c r="C196" s="28">
        <v>16.858974358974358</v>
      </c>
      <c r="D196" s="28">
        <f t="shared" si="6"/>
        <v>-7.1410256410256423</v>
      </c>
      <c r="F196" s="28">
        <f t="shared" si="7"/>
        <v>2.293893420103504E-2</v>
      </c>
      <c r="K196" s="28"/>
    </row>
    <row r="197" spans="1:11" x14ac:dyDescent="0.2">
      <c r="A197" s="27">
        <v>26</v>
      </c>
      <c r="B197" s="27">
        <v>1</v>
      </c>
      <c r="C197" s="28">
        <v>16.858974358974358</v>
      </c>
      <c r="D197" s="28">
        <f t="shared" si="6"/>
        <v>-9.1410256410256423</v>
      </c>
      <c r="F197" s="28">
        <f t="shared" si="7"/>
        <v>9.3364312813032559E-3</v>
      </c>
      <c r="K197" s="28"/>
    </row>
    <row r="198" spans="1:11" x14ac:dyDescent="0.2">
      <c r="A198" s="27">
        <v>28</v>
      </c>
      <c r="B198" s="27">
        <v>1</v>
      </c>
      <c r="C198" s="28">
        <v>16.858974358974358</v>
      </c>
      <c r="D198" s="28">
        <f t="shared" si="6"/>
        <v>-11.141025641025642</v>
      </c>
      <c r="F198" s="28">
        <f t="shared" si="7"/>
        <v>3.0470611306731058E-3</v>
      </c>
      <c r="K198" s="28"/>
    </row>
    <row r="199" spans="1:11" x14ac:dyDescent="0.2">
      <c r="A199" s="27">
        <v>26</v>
      </c>
      <c r="B199" s="27">
        <v>1</v>
      </c>
      <c r="C199" s="28">
        <v>16.858974358974358</v>
      </c>
      <c r="D199" s="28">
        <f t="shared" si="6"/>
        <v>-9.1410256410256423</v>
      </c>
      <c r="F199" s="28">
        <f t="shared" si="7"/>
        <v>9.3364312813032559E-3</v>
      </c>
      <c r="K199" s="28"/>
    </row>
    <row r="200" spans="1:11" x14ac:dyDescent="0.2">
      <c r="A200" s="27">
        <v>11</v>
      </c>
      <c r="B200" s="27">
        <v>1</v>
      </c>
      <c r="C200" s="28">
        <v>16.858974358974358</v>
      </c>
      <c r="D200" s="28">
        <f t="shared" si="6"/>
        <v>5.8589743589743577</v>
      </c>
      <c r="F200" s="28">
        <f t="shared" si="7"/>
        <v>3.6339616015446226E-2</v>
      </c>
      <c r="K200" s="28"/>
    </row>
    <row r="201" spans="1:11" x14ac:dyDescent="0.2">
      <c r="A201" s="27">
        <v>13</v>
      </c>
      <c r="B201" s="27">
        <v>1</v>
      </c>
      <c r="C201" s="28">
        <v>16.858974358974358</v>
      </c>
      <c r="D201" s="28">
        <f t="shared" si="6"/>
        <v>3.8589743589743577</v>
      </c>
      <c r="F201" s="28">
        <f t="shared" si="7"/>
        <v>6.2142132155231941E-2</v>
      </c>
      <c r="K201" s="28"/>
    </row>
    <row r="202" spans="1:11" x14ac:dyDescent="0.2">
      <c r="A202" s="27">
        <v>15</v>
      </c>
      <c r="B202" s="27">
        <v>1</v>
      </c>
      <c r="C202" s="28">
        <v>16.858974358974358</v>
      </c>
      <c r="D202" s="28">
        <f t="shared" si="6"/>
        <v>1.8589743589743577</v>
      </c>
      <c r="F202" s="28">
        <f t="shared" si="7"/>
        <v>8.5208821600122359E-2</v>
      </c>
      <c r="K202" s="28"/>
    </row>
    <row r="203" spans="1:11" x14ac:dyDescent="0.2">
      <c r="A203" s="27">
        <v>16</v>
      </c>
      <c r="B203" s="27">
        <v>1</v>
      </c>
      <c r="C203" s="28">
        <v>16.858974358974358</v>
      </c>
      <c r="D203" s="28">
        <f t="shared" si="6"/>
        <v>0.8589743589743577</v>
      </c>
      <c r="F203" s="28">
        <f t="shared" si="7"/>
        <v>9.1847742433773194E-2</v>
      </c>
      <c r="K203" s="28"/>
    </row>
    <row r="204" spans="1:11" x14ac:dyDescent="0.2">
      <c r="A204" s="27">
        <v>17</v>
      </c>
      <c r="B204" s="27">
        <v>1</v>
      </c>
      <c r="C204" s="28">
        <v>16.858974358974358</v>
      </c>
      <c r="D204" s="28">
        <f t="shared" si="6"/>
        <v>-0.1410256410256423</v>
      </c>
      <c r="F204" s="28">
        <f t="shared" si="7"/>
        <v>9.3686186441259228E-2</v>
      </c>
      <c r="K204" s="28"/>
    </row>
    <row r="205" spans="1:11" x14ac:dyDescent="0.2">
      <c r="A205" s="27">
        <v>15</v>
      </c>
      <c r="B205" s="27">
        <v>1</v>
      </c>
      <c r="C205" s="28">
        <v>16.858974358974358</v>
      </c>
      <c r="D205" s="28">
        <f t="shared" si="6"/>
        <v>1.8589743589743577</v>
      </c>
      <c r="F205" s="28">
        <f t="shared" si="7"/>
        <v>8.5208821600122359E-2</v>
      </c>
      <c r="K205" s="28"/>
    </row>
    <row r="206" spans="1:11" x14ac:dyDescent="0.2">
      <c r="A206" s="27">
        <v>15</v>
      </c>
      <c r="B206" s="27">
        <v>1</v>
      </c>
      <c r="C206" s="28">
        <v>16.858974358974358</v>
      </c>
      <c r="D206" s="28">
        <f t="shared" si="6"/>
        <v>1.8589743589743577</v>
      </c>
      <c r="F206" s="28">
        <f t="shared" si="7"/>
        <v>8.5208821600122359E-2</v>
      </c>
      <c r="K206" s="28"/>
    </row>
    <row r="207" spans="1:11" x14ac:dyDescent="0.2">
      <c r="A207" s="27">
        <v>15</v>
      </c>
      <c r="B207" s="27">
        <v>1</v>
      </c>
      <c r="C207" s="28">
        <v>16.858974358974358</v>
      </c>
      <c r="D207" s="28">
        <f t="shared" si="6"/>
        <v>1.8589743589743577</v>
      </c>
      <c r="F207" s="28">
        <f t="shared" si="7"/>
        <v>8.5208821600122359E-2</v>
      </c>
      <c r="K207" s="28"/>
    </row>
    <row r="208" spans="1:11" x14ac:dyDescent="0.2">
      <c r="A208" s="27">
        <v>16</v>
      </c>
      <c r="B208" s="27">
        <v>1</v>
      </c>
      <c r="C208" s="28">
        <v>16.858974358974358</v>
      </c>
      <c r="D208" s="28">
        <f t="shared" si="6"/>
        <v>0.8589743589743577</v>
      </c>
      <c r="F208" s="28">
        <f t="shared" si="7"/>
        <v>9.1847742433773194E-2</v>
      </c>
      <c r="K208" s="28"/>
    </row>
    <row r="209" spans="1:11" x14ac:dyDescent="0.2">
      <c r="A209" s="27">
        <v>21</v>
      </c>
      <c r="B209" s="27">
        <v>1</v>
      </c>
      <c r="C209" s="28">
        <v>16.858974358974358</v>
      </c>
      <c r="D209" s="28">
        <f t="shared" si="6"/>
        <v>-4.1410256410256423</v>
      </c>
      <c r="F209" s="28">
        <f t="shared" si="7"/>
        <v>5.8389578885814829E-2</v>
      </c>
      <c r="K209" s="28"/>
    </row>
    <row r="210" spans="1:11" x14ac:dyDescent="0.2">
      <c r="A210" s="27">
        <v>19</v>
      </c>
      <c r="B210" s="27">
        <v>1</v>
      </c>
      <c r="C210" s="28">
        <v>16.858974358974358</v>
      </c>
      <c r="D210" s="28">
        <f t="shared" si="6"/>
        <v>-2.1410256410256423</v>
      </c>
      <c r="F210" s="28">
        <f t="shared" si="7"/>
        <v>8.2596026638649928E-2</v>
      </c>
      <c r="K210" s="28"/>
    </row>
    <row r="211" spans="1:11" x14ac:dyDescent="0.2">
      <c r="A211" s="27">
        <v>21</v>
      </c>
      <c r="B211" s="27">
        <v>1</v>
      </c>
      <c r="C211" s="28">
        <v>16.858974358974358</v>
      </c>
      <c r="D211" s="28">
        <f t="shared" si="6"/>
        <v>-4.1410256410256423</v>
      </c>
      <c r="F211" s="28">
        <f t="shared" si="7"/>
        <v>5.8389578885814829E-2</v>
      </c>
      <c r="K211" s="28"/>
    </row>
    <row r="212" spans="1:11" x14ac:dyDescent="0.2">
      <c r="A212" s="27">
        <v>22</v>
      </c>
      <c r="B212" s="27">
        <v>1</v>
      </c>
      <c r="C212" s="28">
        <v>16.858974358974358</v>
      </c>
      <c r="D212" s="28">
        <f t="shared" si="6"/>
        <v>-5.1410256410256423</v>
      </c>
      <c r="F212" s="28">
        <f t="shared" si="7"/>
        <v>4.5191645925457373E-2</v>
      </c>
      <c r="K212" s="28"/>
    </row>
    <row r="213" spans="1:11" x14ac:dyDescent="0.2">
      <c r="A213" s="27">
        <v>17</v>
      </c>
      <c r="B213" s="27">
        <v>1</v>
      </c>
      <c r="C213" s="28">
        <v>16.858974358974358</v>
      </c>
      <c r="D213" s="28">
        <f t="shared" si="6"/>
        <v>-0.1410256410256423</v>
      </c>
      <c r="F213" s="28">
        <f t="shared" si="7"/>
        <v>9.3686186441259228E-2</v>
      </c>
      <c r="K213" s="28"/>
    </row>
    <row r="214" spans="1:11" x14ac:dyDescent="0.2">
      <c r="A214" s="27">
        <v>33</v>
      </c>
      <c r="B214" s="27">
        <v>1</v>
      </c>
      <c r="C214" s="28">
        <v>16.858974358974358</v>
      </c>
      <c r="D214" s="28">
        <f t="shared" si="6"/>
        <v>-16.141025641025642</v>
      </c>
      <c r="F214" s="28">
        <f t="shared" si="7"/>
        <v>7.0556481624534586E-5</v>
      </c>
      <c r="K214" s="28"/>
    </row>
    <row r="215" spans="1:11" x14ac:dyDescent="0.2">
      <c r="A215" s="27">
        <v>21</v>
      </c>
      <c r="B215" s="27">
        <v>1</v>
      </c>
      <c r="C215" s="28">
        <v>16.858974358974358</v>
      </c>
      <c r="D215" s="28">
        <f t="shared" si="6"/>
        <v>-4.1410256410256423</v>
      </c>
      <c r="F215" s="28">
        <f t="shared" si="7"/>
        <v>5.8389578885814829E-2</v>
      </c>
      <c r="K215" s="28"/>
    </row>
    <row r="216" spans="1:11" x14ac:dyDescent="0.2">
      <c r="A216" s="27">
        <v>19</v>
      </c>
      <c r="B216" s="27">
        <v>1</v>
      </c>
      <c r="C216" s="28">
        <v>16.858974358974358</v>
      </c>
      <c r="D216" s="28">
        <f t="shared" si="6"/>
        <v>-2.1410256410256423</v>
      </c>
      <c r="F216" s="28">
        <f t="shared" si="7"/>
        <v>8.2596026638649928E-2</v>
      </c>
      <c r="K216" s="28"/>
    </row>
    <row r="217" spans="1:11" x14ac:dyDescent="0.2">
      <c r="A217" s="27">
        <v>22</v>
      </c>
      <c r="B217" s="27">
        <v>1</v>
      </c>
      <c r="C217" s="28">
        <v>16.858974358974358</v>
      </c>
      <c r="D217" s="28">
        <f t="shared" si="6"/>
        <v>-5.1410256410256423</v>
      </c>
      <c r="F217" s="28">
        <f t="shared" si="7"/>
        <v>4.5191645925457373E-2</v>
      </c>
      <c r="K217" s="28"/>
    </row>
    <row r="218" spans="1:11" x14ac:dyDescent="0.2">
      <c r="A218" s="27">
        <v>21</v>
      </c>
      <c r="B218" s="27">
        <v>1</v>
      </c>
      <c r="C218" s="28">
        <v>16.858974358974358</v>
      </c>
      <c r="D218" s="28">
        <f t="shared" si="6"/>
        <v>-4.1410256410256423</v>
      </c>
      <c r="F218" s="28">
        <f t="shared" si="7"/>
        <v>5.8389578885814829E-2</v>
      </c>
      <c r="K218" s="28"/>
    </row>
    <row r="219" spans="1:11" x14ac:dyDescent="0.2">
      <c r="A219" s="27">
        <v>21</v>
      </c>
      <c r="B219" s="27">
        <v>1</v>
      </c>
      <c r="C219" s="28">
        <v>16.858974358974358</v>
      </c>
      <c r="D219" s="28">
        <f t="shared" si="6"/>
        <v>-4.1410256410256423</v>
      </c>
      <c r="F219" s="28">
        <f t="shared" si="7"/>
        <v>5.8389578885814829E-2</v>
      </c>
      <c r="K219" s="28"/>
    </row>
    <row r="220" spans="1:11" x14ac:dyDescent="0.2">
      <c r="A220" s="27">
        <v>21</v>
      </c>
      <c r="B220" s="27">
        <v>1</v>
      </c>
      <c r="C220" s="28">
        <v>16.858974358974358</v>
      </c>
      <c r="D220" s="28">
        <f t="shared" si="6"/>
        <v>-4.1410256410256423</v>
      </c>
      <c r="F220" s="28">
        <f t="shared" si="7"/>
        <v>5.8389578885814829E-2</v>
      </c>
      <c r="K220" s="28"/>
    </row>
    <row r="221" spans="1:11" x14ac:dyDescent="0.2">
      <c r="A221" s="27">
        <v>16</v>
      </c>
      <c r="B221" s="27">
        <v>1</v>
      </c>
      <c r="C221" s="28">
        <v>16.858974358974358</v>
      </c>
      <c r="D221" s="28">
        <f t="shared" si="6"/>
        <v>0.8589743589743577</v>
      </c>
      <c r="F221" s="28">
        <f t="shared" si="7"/>
        <v>9.1847742433773194E-2</v>
      </c>
      <c r="K221" s="28"/>
    </row>
    <row r="222" spans="1:11" x14ac:dyDescent="0.2">
      <c r="A222" s="27">
        <v>17</v>
      </c>
      <c r="B222" s="27">
        <v>1</v>
      </c>
      <c r="C222" s="28">
        <v>16.858974358974358</v>
      </c>
      <c r="D222" s="28">
        <f t="shared" si="6"/>
        <v>-0.1410256410256423</v>
      </c>
      <c r="F222" s="28">
        <f t="shared" si="7"/>
        <v>9.3686186441259228E-2</v>
      </c>
      <c r="K222" s="28"/>
    </row>
    <row r="223" spans="1:11" x14ac:dyDescent="0.2">
      <c r="A223" s="27">
        <v>35</v>
      </c>
      <c r="B223" s="27">
        <v>1</v>
      </c>
      <c r="C223" s="28">
        <v>16.858974358974358</v>
      </c>
      <c r="D223" s="28">
        <f t="shared" si="6"/>
        <v>-18.141025641025642</v>
      </c>
      <c r="F223" s="28">
        <f t="shared" si="7"/>
        <v>1.0630685082524548E-5</v>
      </c>
      <c r="K223" s="28"/>
    </row>
    <row r="224" spans="1:11" x14ac:dyDescent="0.2">
      <c r="A224" s="27">
        <v>29</v>
      </c>
      <c r="B224" s="27">
        <v>1</v>
      </c>
      <c r="C224" s="28">
        <v>16.858974358974358</v>
      </c>
      <c r="D224" s="28">
        <f t="shared" si="6"/>
        <v>-12.141025641025642</v>
      </c>
      <c r="F224" s="28">
        <f t="shared" si="7"/>
        <v>1.60238186282746E-3</v>
      </c>
      <c r="K224" s="28"/>
    </row>
    <row r="225" spans="1:11" x14ac:dyDescent="0.2">
      <c r="A225" s="27">
        <v>21</v>
      </c>
      <c r="B225" s="27">
        <v>1</v>
      </c>
      <c r="C225" s="28">
        <v>16.858974358974358</v>
      </c>
      <c r="D225" s="28">
        <f t="shared" si="6"/>
        <v>-4.1410256410256423</v>
      </c>
      <c r="F225" s="28">
        <f t="shared" si="7"/>
        <v>5.8389578885814829E-2</v>
      </c>
      <c r="K225" s="28"/>
    </row>
    <row r="226" spans="1:11" x14ac:dyDescent="0.2">
      <c r="A226" s="27">
        <v>19</v>
      </c>
      <c r="B226" s="27">
        <v>1</v>
      </c>
      <c r="C226" s="28">
        <v>16.858974358974358</v>
      </c>
      <c r="D226" s="28">
        <f t="shared" si="6"/>
        <v>-2.1410256410256423</v>
      </c>
      <c r="F226" s="28">
        <f t="shared" si="7"/>
        <v>8.2596026638649928E-2</v>
      </c>
      <c r="K226" s="28"/>
    </row>
    <row r="227" spans="1:11" x14ac:dyDescent="0.2">
      <c r="A227" s="27">
        <v>20</v>
      </c>
      <c r="B227" s="27">
        <v>1</v>
      </c>
      <c r="C227" s="28">
        <v>16.858974358974358</v>
      </c>
      <c r="D227" s="28">
        <f t="shared" si="6"/>
        <v>-3.1410256410256423</v>
      </c>
      <c r="F227" s="28">
        <f t="shared" si="7"/>
        <v>7.138971945227178E-2</v>
      </c>
      <c r="K227" s="28"/>
    </row>
    <row r="228" spans="1:11" x14ac:dyDescent="0.2">
      <c r="A228" s="27">
        <v>20</v>
      </c>
      <c r="B228" s="27">
        <v>1</v>
      </c>
      <c r="C228" s="28">
        <v>16.858974358974358</v>
      </c>
      <c r="D228" s="28">
        <f t="shared" si="6"/>
        <v>-3.1410256410256423</v>
      </c>
      <c r="F228" s="28">
        <f t="shared" si="7"/>
        <v>7.138971945227178E-2</v>
      </c>
      <c r="K228" s="28"/>
    </row>
    <row r="229" spans="1:11" x14ac:dyDescent="0.2">
      <c r="A229" s="27">
        <v>21</v>
      </c>
      <c r="B229" s="27">
        <v>1</v>
      </c>
      <c r="C229" s="28">
        <v>16.858974358974358</v>
      </c>
      <c r="D229" s="28">
        <f t="shared" si="6"/>
        <v>-4.1410256410256423</v>
      </c>
      <c r="F229" s="28">
        <f t="shared" si="7"/>
        <v>5.8389578885814829E-2</v>
      </c>
      <c r="K229" s="28"/>
    </row>
    <row r="230" spans="1:11" x14ac:dyDescent="0.2">
      <c r="A230" s="27">
        <v>18</v>
      </c>
      <c r="B230" s="27">
        <v>1</v>
      </c>
      <c r="C230" s="28">
        <v>16.858974358974358</v>
      </c>
      <c r="D230" s="28">
        <f t="shared" si="6"/>
        <v>-1.1410256410256423</v>
      </c>
      <c r="F230" s="28">
        <f t="shared" si="7"/>
        <v>9.0428595220514676E-2</v>
      </c>
      <c r="K230" s="28"/>
    </row>
    <row r="231" spans="1:11" x14ac:dyDescent="0.2">
      <c r="A231" s="27">
        <v>19</v>
      </c>
      <c r="B231" s="27">
        <v>1</v>
      </c>
      <c r="C231" s="28">
        <v>16.858974358974358</v>
      </c>
      <c r="D231" s="28">
        <f t="shared" si="6"/>
        <v>-2.1410256410256423</v>
      </c>
      <c r="F231" s="28">
        <f t="shared" si="7"/>
        <v>8.2596026638649928E-2</v>
      </c>
      <c r="K231" s="28"/>
    </row>
    <row r="232" spans="1:11" x14ac:dyDescent="0.2">
      <c r="A232" s="27">
        <v>21</v>
      </c>
      <c r="B232" s="27">
        <v>1</v>
      </c>
      <c r="C232" s="28">
        <v>16.858974358974358</v>
      </c>
      <c r="D232" s="28">
        <f t="shared" si="6"/>
        <v>-4.1410256410256423</v>
      </c>
      <c r="F232" s="28">
        <f t="shared" si="7"/>
        <v>5.8389578885814829E-2</v>
      </c>
      <c r="K232" s="28"/>
    </row>
    <row r="233" spans="1:11" x14ac:dyDescent="0.2">
      <c r="A233" s="27">
        <v>16</v>
      </c>
      <c r="B233" s="27">
        <v>1</v>
      </c>
      <c r="C233" s="28">
        <v>16.858974358974358</v>
      </c>
      <c r="D233" s="28">
        <f t="shared" si="6"/>
        <v>0.8589743589743577</v>
      </c>
      <c r="F233" s="28">
        <f t="shared" si="7"/>
        <v>9.1847742433773194E-2</v>
      </c>
      <c r="K233" s="28"/>
    </row>
    <row r="234" spans="1:11" x14ac:dyDescent="0.2">
      <c r="A234" s="27">
        <v>18</v>
      </c>
      <c r="B234" s="27">
        <v>1</v>
      </c>
      <c r="C234" s="28">
        <v>16.858974358974358</v>
      </c>
      <c r="D234" s="28">
        <f t="shared" si="6"/>
        <v>-1.1410256410256423</v>
      </c>
      <c r="F234" s="28">
        <f t="shared" si="7"/>
        <v>9.0428595220514676E-2</v>
      </c>
      <c r="K234" s="28"/>
    </row>
    <row r="235" spans="1:11" x14ac:dyDescent="0.2">
      <c r="A235" s="27">
        <v>17</v>
      </c>
      <c r="B235" s="27">
        <v>1</v>
      </c>
      <c r="C235" s="28">
        <v>16.858974358974358</v>
      </c>
      <c r="D235" s="28">
        <f t="shared" si="6"/>
        <v>-0.1410256410256423</v>
      </c>
      <c r="F235" s="28">
        <f t="shared" si="7"/>
        <v>9.3686186441259228E-2</v>
      </c>
      <c r="K235" s="28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2" sqref="K2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5" x14ac:dyDescent="0.2">
      <c r="A1" s="27" t="s">
        <v>102</v>
      </c>
      <c r="B1" s="27" t="s">
        <v>181</v>
      </c>
      <c r="C1" s="27" t="s">
        <v>103</v>
      </c>
      <c r="D1" s="28" t="s">
        <v>182</v>
      </c>
      <c r="E1" s="28" t="s">
        <v>183</v>
      </c>
      <c r="F1" s="28" t="s">
        <v>184</v>
      </c>
      <c r="G1" s="28" t="s">
        <v>186</v>
      </c>
      <c r="H1" s="28" t="s">
        <v>185</v>
      </c>
      <c r="I1" s="28" t="s">
        <v>188</v>
      </c>
      <c r="J1" s="28" t="s">
        <v>10</v>
      </c>
      <c r="K1" s="28" t="s">
        <v>187</v>
      </c>
      <c r="L1" s="28"/>
      <c r="M1" s="28" t="s">
        <v>195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8" cm="1">
        <f t="array" aca="1" ref="D2:D235" ca="1">TREND(A2:A235,B2:C235,,FALSE)</f>
        <v>20.657555830168075</v>
      </c>
      <c r="E2" s="28">
        <f ca="1">D2-A2</f>
        <v>2.6575558301680751</v>
      </c>
      <c r="F2" s="28">
        <f ca="1">STDEV(E2:E235)</f>
        <v>1.2497181822870325</v>
      </c>
      <c r="G2" s="28">
        <f ca="1">_xlfn.NORM.DIST(E2,0,$F$2,FALSE)</f>
        <v>3.327632904268165E-2</v>
      </c>
      <c r="H2" s="28" cm="1">
        <f t="array" aca="1" ref="H2" ca="1">SUM(LN(G2:G235))</f>
        <v>-383.6944455535961</v>
      </c>
      <c r="I2" s="28">
        <f>COUNT(A2:A235)</f>
        <v>234</v>
      </c>
      <c r="J2" s="28">
        <v>2</v>
      </c>
      <c r="K2" s="28">
        <f ca="1">-2*H2+2*J2</f>
        <v>771.38889110719219</v>
      </c>
      <c r="L2" s="28"/>
      <c r="N2" s="28" t="s">
        <v>194</v>
      </c>
      <c r="O2" s="28" t="s">
        <v>187</v>
      </c>
    </row>
    <row r="3" spans="1:15" x14ac:dyDescent="0.2">
      <c r="A3" s="27">
        <v>21</v>
      </c>
      <c r="B3" s="27">
        <v>1</v>
      </c>
      <c r="C3" s="27">
        <f ca="1"/>
        <v>29</v>
      </c>
      <c r="D3" s="28">
        <f ca="1"/>
        <v>20.657555830168075</v>
      </c>
      <c r="E3" s="28">
        <f t="shared" ref="E3:E66" ca="1" si="0">D3-A3</f>
        <v>-0.34244416983192494</v>
      </c>
      <c r="G3" s="28">
        <f t="shared" ref="G3:G66" ca="1" si="1">_xlfn.NORM.DIST(E3,0,$F$2,FALSE)</f>
        <v>0.30746337812452051</v>
      </c>
      <c r="L3" s="28"/>
      <c r="M3" s="29"/>
      <c r="N3" s="29">
        <f ca="1">K8</f>
        <v>107.32351470807653</v>
      </c>
      <c r="O3" s="29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8">
        <f ca="1"/>
        <v>22.023994053472194</v>
      </c>
      <c r="E4" s="28">
        <f t="shared" ca="1" si="0"/>
        <v>2.0239940534721939</v>
      </c>
      <c r="G4" s="28">
        <f t="shared" ca="1" si="1"/>
        <v>8.6005458292729375E-2</v>
      </c>
      <c r="H4" s="28" t="s">
        <v>189</v>
      </c>
      <c r="I4" s="28" t="s">
        <v>190</v>
      </c>
      <c r="L4" s="28"/>
      <c r="M4" s="29" t="s">
        <v>97</v>
      </c>
      <c r="N4" s="30">
        <f t="dataTable" ref="N4:O7" dt2D="0" dtr="0" r1="C1" ca="1"/>
        <v>443.27246802336475</v>
      </c>
      <c r="O4" s="30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8">
        <f ca="1"/>
        <v>21.340774941820136</v>
      </c>
      <c r="E5" s="28">
        <f t="shared" ca="1" si="0"/>
        <v>0.34077494182013623</v>
      </c>
      <c r="G5" s="28">
        <f t="shared" ca="1" si="1"/>
        <v>0.30757565599758996</v>
      </c>
      <c r="H5" s="28">
        <f ca="1">SUMSQ(E2:E235)</f>
        <v>363.8983596873415</v>
      </c>
      <c r="I5" s="28">
        <f ca="1">H5/I2</f>
        <v>1.5551211952450492</v>
      </c>
      <c r="L5" s="28"/>
      <c r="M5" s="29" t="s">
        <v>98</v>
      </c>
      <c r="N5" s="30">
        <v>680.48560175849059</v>
      </c>
      <c r="O5" s="30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8">
        <f ca="1"/>
        <v>18.607898495211895</v>
      </c>
      <c r="E6" s="28">
        <f t="shared" ca="1" si="0"/>
        <v>2.6078984952118951</v>
      </c>
      <c r="G6" s="28">
        <f t="shared" ca="1" si="1"/>
        <v>3.6181717224349638E-2</v>
      </c>
      <c r="L6" s="28"/>
      <c r="M6" s="29" t="s">
        <v>99</v>
      </c>
      <c r="N6" s="30">
        <v>435.64100584426035</v>
      </c>
      <c r="O6" s="30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8">
        <f ca="1"/>
        <v>18.607898495211895</v>
      </c>
      <c r="E7" s="28">
        <f t="shared" ca="1" si="0"/>
        <v>0.6078984952118951</v>
      </c>
      <c r="G7" s="28">
        <f t="shared" ca="1" si="1"/>
        <v>0.28360781451993688</v>
      </c>
      <c r="H7" s="28" t="s">
        <v>192</v>
      </c>
      <c r="K7" s="28" t="s">
        <v>194</v>
      </c>
      <c r="L7" s="28"/>
      <c r="M7" s="29" t="s">
        <v>103</v>
      </c>
      <c r="N7" s="30">
        <v>107.32351470807653</v>
      </c>
      <c r="O7" s="30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8">
        <f ca="1"/>
        <v>19.291117606863956</v>
      </c>
      <c r="E8" s="28">
        <f t="shared" ca="1" si="0"/>
        <v>1.2911176068639563</v>
      </c>
      <c r="G8" s="28">
        <f t="shared" ca="1" si="1"/>
        <v>0.18720849951963059</v>
      </c>
      <c r="H8" s="28">
        <f ca="1">I2*LN(I5)</f>
        <v>103.32351470807653</v>
      </c>
      <c r="K8" s="28">
        <f ca="1">H8+2*J2</f>
        <v>107.32351470807653</v>
      </c>
      <c r="L8" s="28"/>
    </row>
    <row r="9" spans="1:15" x14ac:dyDescent="0.2">
      <c r="A9" s="27">
        <v>18</v>
      </c>
      <c r="B9" s="27">
        <v>1</v>
      </c>
      <c r="C9" s="27">
        <f ca="1"/>
        <v>26</v>
      </c>
      <c r="D9" s="28">
        <f ca="1"/>
        <v>18.607898495211895</v>
      </c>
      <c r="E9" s="28">
        <f t="shared" ca="1" si="0"/>
        <v>0.6078984952118951</v>
      </c>
      <c r="G9" s="28">
        <f t="shared" ca="1" si="1"/>
        <v>0.28360781451993688</v>
      </c>
      <c r="L9" s="28"/>
    </row>
    <row r="10" spans="1:15" x14ac:dyDescent="0.2">
      <c r="A10" s="27">
        <v>16</v>
      </c>
      <c r="B10" s="27">
        <v>1</v>
      </c>
      <c r="C10" s="27">
        <f ca="1"/>
        <v>25</v>
      </c>
      <c r="D10" s="28">
        <f ca="1"/>
        <v>17.924679383559837</v>
      </c>
      <c r="E10" s="28">
        <f t="shared" ca="1" si="0"/>
        <v>1.9246793835598375</v>
      </c>
      <c r="G10" s="28">
        <f t="shared" ca="1" si="1"/>
        <v>9.7510391399401958E-2</v>
      </c>
      <c r="H10" s="28" t="s">
        <v>193</v>
      </c>
      <c r="L10" s="28"/>
    </row>
    <row r="11" spans="1:15" x14ac:dyDescent="0.2">
      <c r="A11" s="27">
        <v>20</v>
      </c>
      <c r="B11" s="27">
        <v>1</v>
      </c>
      <c r="C11" s="27">
        <f ca="1"/>
        <v>28</v>
      </c>
      <c r="D11" s="28">
        <f ca="1"/>
        <v>19.974336718516017</v>
      </c>
      <c r="E11" s="28">
        <f t="shared" ca="1" si="0"/>
        <v>-2.5663281483982558E-2</v>
      </c>
      <c r="G11" s="28">
        <f t="shared" ca="1" si="1"/>
        <v>0.31915849397187074</v>
      </c>
      <c r="H11" s="28">
        <f>I2*LN(2*PI())</f>
        <v>430.06323353978684</v>
      </c>
      <c r="L11" s="28"/>
    </row>
    <row r="12" spans="1:15" x14ac:dyDescent="0.2">
      <c r="A12" s="27">
        <v>19</v>
      </c>
      <c r="B12" s="27">
        <v>1</v>
      </c>
      <c r="C12" s="27">
        <f ca="1"/>
        <v>27</v>
      </c>
      <c r="D12" s="28">
        <f ca="1"/>
        <v>19.291117606863956</v>
      </c>
      <c r="E12" s="28">
        <f t="shared" ca="1" si="0"/>
        <v>0.29111760686395627</v>
      </c>
      <c r="G12" s="28">
        <f t="shared" ca="1" si="1"/>
        <v>0.31068098494392388</v>
      </c>
      <c r="L12" s="28"/>
    </row>
    <row r="13" spans="1:15" x14ac:dyDescent="0.2">
      <c r="A13" s="27">
        <v>15</v>
      </c>
      <c r="B13" s="27">
        <v>1</v>
      </c>
      <c r="C13" s="27">
        <f ca="1"/>
        <v>25</v>
      </c>
      <c r="D13" s="28">
        <f ca="1"/>
        <v>17.924679383559837</v>
      </c>
      <c r="E13" s="28">
        <f t="shared" ca="1" si="0"/>
        <v>2.9246793835598375</v>
      </c>
      <c r="G13" s="28">
        <f t="shared" ca="1" si="1"/>
        <v>2.0644814857305384E-2</v>
      </c>
      <c r="H13" s="28" t="s">
        <v>191</v>
      </c>
      <c r="K13" s="28" t="s">
        <v>187</v>
      </c>
      <c r="L13" s="28"/>
    </row>
    <row r="14" spans="1:15" x14ac:dyDescent="0.2">
      <c r="A14" s="27">
        <v>17</v>
      </c>
      <c r="B14" s="27">
        <v>1</v>
      </c>
      <c r="C14" s="27">
        <f ca="1"/>
        <v>25</v>
      </c>
      <c r="D14" s="28">
        <f ca="1"/>
        <v>17.924679383559837</v>
      </c>
      <c r="E14" s="28">
        <f t="shared" ca="1" si="0"/>
        <v>0.92467938355983748</v>
      </c>
      <c r="G14" s="28">
        <f t="shared" ca="1" si="1"/>
        <v>0.24278226945780421</v>
      </c>
      <c r="H14" s="28">
        <f ca="1">H8+H11+I2</f>
        <v>767.38674824786335</v>
      </c>
      <c r="K14" s="28">
        <f ca="1">H14+2*J2</f>
        <v>771.38674824786335</v>
      </c>
      <c r="L14" s="28"/>
    </row>
    <row r="15" spans="1:15" x14ac:dyDescent="0.2">
      <c r="A15" s="27">
        <v>17</v>
      </c>
      <c r="B15" s="27">
        <v>1</v>
      </c>
      <c r="C15" s="27">
        <f ca="1"/>
        <v>25</v>
      </c>
      <c r="D15" s="28">
        <f ca="1"/>
        <v>17.924679383559837</v>
      </c>
      <c r="E15" s="28">
        <f t="shared" ca="1" si="0"/>
        <v>0.92467938355983748</v>
      </c>
      <c r="G15" s="28">
        <f t="shared" ca="1" si="1"/>
        <v>0.24278226945780421</v>
      </c>
      <c r="L15" s="28"/>
    </row>
    <row r="16" spans="1:15" x14ac:dyDescent="0.2">
      <c r="A16" s="27">
        <v>15</v>
      </c>
      <c r="B16" s="27">
        <v>1</v>
      </c>
      <c r="C16" s="27">
        <f ca="1"/>
        <v>25</v>
      </c>
      <c r="D16" s="28">
        <f ca="1"/>
        <v>17.924679383559837</v>
      </c>
      <c r="E16" s="28">
        <f t="shared" ca="1" si="0"/>
        <v>2.9246793835598375</v>
      </c>
      <c r="G16" s="28">
        <f t="shared" ca="1" si="1"/>
        <v>2.0644814857305384E-2</v>
      </c>
      <c r="L16" s="28"/>
    </row>
    <row r="17" spans="1:12" x14ac:dyDescent="0.2">
      <c r="A17" s="27">
        <v>15</v>
      </c>
      <c r="B17" s="27">
        <v>1</v>
      </c>
      <c r="C17" s="27">
        <f ca="1"/>
        <v>24</v>
      </c>
      <c r="D17" s="28">
        <f ca="1"/>
        <v>17.241460271907776</v>
      </c>
      <c r="E17" s="28">
        <f t="shared" ca="1" si="0"/>
        <v>2.2414602719077763</v>
      </c>
      <c r="G17" s="28">
        <f t="shared" ca="1" si="1"/>
        <v>6.3908179860316897E-2</v>
      </c>
      <c r="L17" s="28"/>
    </row>
    <row r="18" spans="1:12" x14ac:dyDescent="0.2">
      <c r="A18" s="27">
        <v>17</v>
      </c>
      <c r="B18" s="27">
        <v>1</v>
      </c>
      <c r="C18" s="27">
        <f ca="1"/>
        <v>25</v>
      </c>
      <c r="D18" s="28">
        <f ca="1"/>
        <v>17.924679383559837</v>
      </c>
      <c r="E18" s="28">
        <f t="shared" ca="1" si="0"/>
        <v>0.92467938355983748</v>
      </c>
      <c r="G18" s="28">
        <f t="shared" ca="1" si="1"/>
        <v>0.24278226945780421</v>
      </c>
      <c r="L18" s="28"/>
    </row>
    <row r="19" spans="1:12" x14ac:dyDescent="0.2">
      <c r="A19" s="27">
        <v>16</v>
      </c>
      <c r="B19" s="27">
        <v>1</v>
      </c>
      <c r="C19" s="27">
        <f ca="1"/>
        <v>23</v>
      </c>
      <c r="D19" s="28">
        <f ca="1"/>
        <v>16.558241160255715</v>
      </c>
      <c r="E19" s="28">
        <f t="shared" ca="1" si="0"/>
        <v>0.55824116025571513</v>
      </c>
      <c r="G19" s="28">
        <f t="shared" ca="1" si="1"/>
        <v>0.28891457937292003</v>
      </c>
      <c r="L19" s="28"/>
    </row>
    <row r="20" spans="1:12" x14ac:dyDescent="0.2">
      <c r="A20" s="27">
        <v>14</v>
      </c>
      <c r="B20" s="27">
        <v>1</v>
      </c>
      <c r="C20" s="27">
        <f ca="1"/>
        <v>20</v>
      </c>
      <c r="D20" s="28">
        <f ca="1"/>
        <v>14.508583825299539</v>
      </c>
      <c r="E20" s="28">
        <f t="shared" ca="1" si="0"/>
        <v>0.50858382529953872</v>
      </c>
      <c r="G20" s="28">
        <f t="shared" ca="1" si="1"/>
        <v>0.29385631906225068</v>
      </c>
      <c r="L20" s="28"/>
    </row>
    <row r="21" spans="1:12" x14ac:dyDescent="0.2">
      <c r="A21" s="27">
        <v>11</v>
      </c>
      <c r="B21" s="27">
        <v>1</v>
      </c>
      <c r="C21" s="27">
        <f ca="1"/>
        <v>15</v>
      </c>
      <c r="D21" s="28">
        <f ca="1"/>
        <v>11.09248826703924</v>
      </c>
      <c r="E21" s="28">
        <f t="shared" ca="1" si="0"/>
        <v>9.2488267039239958E-2</v>
      </c>
      <c r="G21" s="28">
        <f t="shared" ca="1" si="1"/>
        <v>0.31835277839425191</v>
      </c>
      <c r="L21" s="28"/>
    </row>
    <row r="22" spans="1:12" x14ac:dyDescent="0.2">
      <c r="A22" s="27">
        <v>14</v>
      </c>
      <c r="B22" s="27">
        <v>1</v>
      </c>
      <c r="C22" s="27">
        <f ca="1"/>
        <v>20</v>
      </c>
      <c r="D22" s="28">
        <f ca="1"/>
        <v>14.508583825299539</v>
      </c>
      <c r="E22" s="28">
        <f t="shared" ca="1" si="0"/>
        <v>0.50858382529953872</v>
      </c>
      <c r="G22" s="28">
        <f t="shared" ca="1" si="1"/>
        <v>0.29385631906225068</v>
      </c>
      <c r="L22" s="28"/>
    </row>
    <row r="23" spans="1:12" x14ac:dyDescent="0.2">
      <c r="A23" s="27">
        <v>13</v>
      </c>
      <c r="B23" s="27">
        <v>1</v>
      </c>
      <c r="C23" s="27">
        <f ca="1"/>
        <v>17</v>
      </c>
      <c r="D23" s="28">
        <f ca="1"/>
        <v>12.458926490343359</v>
      </c>
      <c r="E23" s="28">
        <f t="shared" ca="1" si="0"/>
        <v>-0.54107350965664125</v>
      </c>
      <c r="G23" s="28">
        <f t="shared" ca="1" si="1"/>
        <v>0.29066547731752662</v>
      </c>
      <c r="L23" s="28"/>
    </row>
    <row r="24" spans="1:12" x14ac:dyDescent="0.2">
      <c r="A24" s="27">
        <v>12</v>
      </c>
      <c r="B24" s="27">
        <v>1</v>
      </c>
      <c r="C24" s="27">
        <f ca="1"/>
        <v>17</v>
      </c>
      <c r="D24" s="28">
        <f ca="1"/>
        <v>12.458926490343359</v>
      </c>
      <c r="E24" s="28">
        <f t="shared" ca="1" si="0"/>
        <v>0.45892649034335875</v>
      </c>
      <c r="G24" s="28">
        <f t="shared" ca="1" si="1"/>
        <v>0.29841106438288428</v>
      </c>
      <c r="L24" s="28"/>
    </row>
    <row r="25" spans="1:12" x14ac:dyDescent="0.2">
      <c r="A25" s="27">
        <v>16</v>
      </c>
      <c r="B25" s="27">
        <v>1</v>
      </c>
      <c r="C25" s="27">
        <f ca="1"/>
        <v>26</v>
      </c>
      <c r="D25" s="28">
        <f ca="1"/>
        <v>18.607898495211895</v>
      </c>
      <c r="E25" s="28">
        <f t="shared" ca="1" si="0"/>
        <v>2.6078984952118951</v>
      </c>
      <c r="G25" s="28">
        <f t="shared" ca="1" si="1"/>
        <v>3.6181717224349638E-2</v>
      </c>
      <c r="L25" s="28"/>
    </row>
    <row r="26" spans="1:12" x14ac:dyDescent="0.2">
      <c r="A26" s="27">
        <v>15</v>
      </c>
      <c r="B26" s="27">
        <v>1</v>
      </c>
      <c r="C26" s="27">
        <f ca="1"/>
        <v>23</v>
      </c>
      <c r="D26" s="28">
        <f ca="1"/>
        <v>16.558241160255715</v>
      </c>
      <c r="E26" s="28">
        <f t="shared" ca="1" si="0"/>
        <v>1.5582411602557151</v>
      </c>
      <c r="G26" s="28">
        <f t="shared" ca="1" si="1"/>
        <v>0.1467237015411641</v>
      </c>
      <c r="L26" s="28"/>
    </row>
    <row r="27" spans="1:12" x14ac:dyDescent="0.2">
      <c r="A27" s="27">
        <v>16</v>
      </c>
      <c r="B27" s="27">
        <v>1</v>
      </c>
      <c r="C27" s="27">
        <f ca="1"/>
        <v>26</v>
      </c>
      <c r="D27" s="28">
        <f ca="1"/>
        <v>18.607898495211895</v>
      </c>
      <c r="E27" s="28">
        <f t="shared" ca="1" si="0"/>
        <v>2.6078984952118951</v>
      </c>
      <c r="G27" s="28">
        <f t="shared" ca="1" si="1"/>
        <v>3.6181717224349638E-2</v>
      </c>
      <c r="L27" s="28"/>
    </row>
    <row r="28" spans="1:12" x14ac:dyDescent="0.2">
      <c r="A28" s="27">
        <v>15</v>
      </c>
      <c r="B28" s="27">
        <v>1</v>
      </c>
      <c r="C28" s="27">
        <f ca="1"/>
        <v>25</v>
      </c>
      <c r="D28" s="28">
        <f ca="1"/>
        <v>17.924679383559837</v>
      </c>
      <c r="E28" s="28">
        <f t="shared" ca="1" si="0"/>
        <v>2.9246793835598375</v>
      </c>
      <c r="G28" s="28">
        <f t="shared" ca="1" si="1"/>
        <v>2.0644814857305384E-2</v>
      </c>
      <c r="L28" s="28"/>
    </row>
    <row r="29" spans="1:12" x14ac:dyDescent="0.2">
      <c r="A29" s="27">
        <v>15</v>
      </c>
      <c r="B29" s="27">
        <v>1</v>
      </c>
      <c r="C29" s="27">
        <f ca="1"/>
        <v>24</v>
      </c>
      <c r="D29" s="28">
        <f ca="1"/>
        <v>17.241460271907776</v>
      </c>
      <c r="E29" s="28">
        <f t="shared" ca="1" si="0"/>
        <v>2.2414602719077763</v>
      </c>
      <c r="G29" s="28">
        <f t="shared" ca="1" si="1"/>
        <v>6.3908179860316897E-2</v>
      </c>
      <c r="L29" s="28"/>
    </row>
    <row r="30" spans="1:12" x14ac:dyDescent="0.2">
      <c r="A30" s="27">
        <v>14</v>
      </c>
      <c r="B30" s="27">
        <v>1</v>
      </c>
      <c r="C30" s="27">
        <f ca="1"/>
        <v>19</v>
      </c>
      <c r="D30" s="28">
        <f ca="1"/>
        <v>13.825364713647479</v>
      </c>
      <c r="E30" s="28">
        <f t="shared" ca="1" si="0"/>
        <v>-0.17463528635252068</v>
      </c>
      <c r="G30" s="28">
        <f t="shared" ca="1" si="1"/>
        <v>0.31612416936198534</v>
      </c>
      <c r="L30" s="28"/>
    </row>
    <row r="31" spans="1:12" x14ac:dyDescent="0.2">
      <c r="A31" s="27">
        <v>11</v>
      </c>
      <c r="B31" s="27">
        <v>1</v>
      </c>
      <c r="C31" s="27">
        <f ca="1"/>
        <v>14</v>
      </c>
      <c r="D31" s="28">
        <f ca="1"/>
        <v>10.409269155387181</v>
      </c>
      <c r="E31" s="28">
        <f t="shared" ca="1" si="0"/>
        <v>-0.59073084461281944</v>
      </c>
      <c r="G31" s="28">
        <f t="shared" ca="1" si="1"/>
        <v>0.28548233893943797</v>
      </c>
      <c r="L31" s="28"/>
    </row>
    <row r="32" spans="1:12" x14ac:dyDescent="0.2">
      <c r="A32" s="27">
        <v>11</v>
      </c>
      <c r="B32" s="27">
        <v>1</v>
      </c>
      <c r="C32" s="27">
        <f ca="1"/>
        <v>15</v>
      </c>
      <c r="D32" s="28">
        <f ca="1"/>
        <v>11.09248826703924</v>
      </c>
      <c r="E32" s="28">
        <f t="shared" ca="1" si="0"/>
        <v>9.2488267039239958E-2</v>
      </c>
      <c r="G32" s="28">
        <f t="shared" ca="1" si="1"/>
        <v>0.31835277839425191</v>
      </c>
      <c r="L32" s="28"/>
    </row>
    <row r="33" spans="1:12" x14ac:dyDescent="0.2">
      <c r="A33" s="27">
        <v>14</v>
      </c>
      <c r="B33" s="27">
        <v>1</v>
      </c>
      <c r="C33" s="27">
        <f ca="1"/>
        <v>17</v>
      </c>
      <c r="D33" s="28">
        <f ca="1"/>
        <v>12.458926490343359</v>
      </c>
      <c r="E33" s="28">
        <f t="shared" ca="1" si="0"/>
        <v>-1.5410735096566412</v>
      </c>
      <c r="G33" s="28">
        <f t="shared" ca="1" si="1"/>
        <v>0.14924443441661395</v>
      </c>
      <c r="L33" s="28"/>
    </row>
    <row r="34" spans="1:12" x14ac:dyDescent="0.2">
      <c r="A34" s="27">
        <v>19</v>
      </c>
      <c r="B34" s="27">
        <v>1</v>
      </c>
      <c r="C34" s="27">
        <f ca="1"/>
        <v>27</v>
      </c>
      <c r="D34" s="28">
        <f ca="1"/>
        <v>19.291117606863956</v>
      </c>
      <c r="E34" s="28">
        <f t="shared" ca="1" si="0"/>
        <v>0.29111760686395627</v>
      </c>
      <c r="G34" s="28">
        <f t="shared" ca="1" si="1"/>
        <v>0.31068098494392388</v>
      </c>
      <c r="L34" s="28"/>
    </row>
    <row r="35" spans="1:12" x14ac:dyDescent="0.2">
      <c r="A35" s="27">
        <v>22</v>
      </c>
      <c r="B35" s="27">
        <v>1</v>
      </c>
      <c r="C35" s="27">
        <f ca="1"/>
        <v>30</v>
      </c>
      <c r="D35" s="28">
        <f ca="1"/>
        <v>21.340774941820136</v>
      </c>
      <c r="E35" s="28">
        <f t="shared" ca="1" si="0"/>
        <v>-0.65922505817986377</v>
      </c>
      <c r="G35" s="28">
        <f t="shared" ca="1" si="1"/>
        <v>0.27776379398250539</v>
      </c>
      <c r="L35" s="28"/>
    </row>
    <row r="36" spans="1:12" x14ac:dyDescent="0.2">
      <c r="A36" s="27">
        <v>18</v>
      </c>
      <c r="B36" s="27">
        <v>1</v>
      </c>
      <c r="C36" s="27">
        <f ca="1"/>
        <v>26</v>
      </c>
      <c r="D36" s="28">
        <f ca="1"/>
        <v>18.607898495211895</v>
      </c>
      <c r="E36" s="28">
        <f t="shared" ca="1" si="0"/>
        <v>0.6078984952118951</v>
      </c>
      <c r="G36" s="28">
        <f t="shared" ca="1" si="1"/>
        <v>0.28360781451993688</v>
      </c>
      <c r="L36" s="28"/>
    </row>
    <row r="37" spans="1:12" x14ac:dyDescent="0.2">
      <c r="A37" s="27">
        <v>18</v>
      </c>
      <c r="B37" s="27">
        <v>1</v>
      </c>
      <c r="C37" s="27">
        <f ca="1"/>
        <v>29</v>
      </c>
      <c r="D37" s="28">
        <f ca="1"/>
        <v>20.657555830168075</v>
      </c>
      <c r="E37" s="28">
        <f t="shared" ca="1" si="0"/>
        <v>2.6575558301680751</v>
      </c>
      <c r="G37" s="28">
        <f t="shared" ca="1" si="1"/>
        <v>3.327632904268165E-2</v>
      </c>
      <c r="L37" s="28"/>
    </row>
    <row r="38" spans="1:12" x14ac:dyDescent="0.2">
      <c r="A38" s="27">
        <v>17</v>
      </c>
      <c r="B38" s="27">
        <v>1</v>
      </c>
      <c r="C38" s="27">
        <f ca="1"/>
        <v>26</v>
      </c>
      <c r="D38" s="28">
        <f ca="1"/>
        <v>18.607898495211895</v>
      </c>
      <c r="E38" s="28">
        <f t="shared" ca="1" si="0"/>
        <v>1.6078984952118951</v>
      </c>
      <c r="G38" s="28">
        <f t="shared" ca="1" si="1"/>
        <v>0.13952132892333158</v>
      </c>
      <c r="L38" s="28"/>
    </row>
    <row r="39" spans="1:12" x14ac:dyDescent="0.2">
      <c r="A39" s="27">
        <v>18</v>
      </c>
      <c r="B39" s="27">
        <v>1</v>
      </c>
      <c r="C39" s="27">
        <f ca="1"/>
        <v>24</v>
      </c>
      <c r="D39" s="28">
        <f ca="1"/>
        <v>17.241460271907776</v>
      </c>
      <c r="E39" s="28">
        <f t="shared" ca="1" si="0"/>
        <v>-0.7585397280922237</v>
      </c>
      <c r="G39" s="28">
        <f t="shared" ca="1" si="1"/>
        <v>0.2655208098682208</v>
      </c>
      <c r="L39" s="28"/>
    </row>
    <row r="40" spans="1:12" x14ac:dyDescent="0.2">
      <c r="A40" s="27">
        <v>17</v>
      </c>
      <c r="B40" s="27">
        <v>1</v>
      </c>
      <c r="C40" s="27">
        <f ca="1"/>
        <v>24</v>
      </c>
      <c r="D40" s="28">
        <f ca="1"/>
        <v>17.241460271907776</v>
      </c>
      <c r="E40" s="28">
        <f t="shared" ca="1" si="0"/>
        <v>0.2414602719077763</v>
      </c>
      <c r="G40" s="28">
        <f t="shared" ca="1" si="1"/>
        <v>0.31332258364370175</v>
      </c>
      <c r="L40" s="28"/>
    </row>
    <row r="41" spans="1:12" x14ac:dyDescent="0.2">
      <c r="A41" s="27">
        <v>16</v>
      </c>
      <c r="B41" s="27">
        <v>1</v>
      </c>
      <c r="C41" s="27">
        <f ca="1"/>
        <v>22</v>
      </c>
      <c r="D41" s="28">
        <f ca="1"/>
        <v>15.875022048603658</v>
      </c>
      <c r="E41" s="28">
        <f t="shared" ca="1" si="0"/>
        <v>-0.12497795139634249</v>
      </c>
      <c r="G41" s="28">
        <f t="shared" ca="1" si="1"/>
        <v>0.31763349392564566</v>
      </c>
      <c r="L41" s="28"/>
    </row>
    <row r="42" spans="1:12" x14ac:dyDescent="0.2">
      <c r="A42" s="27">
        <v>16</v>
      </c>
      <c r="B42" s="27">
        <v>1</v>
      </c>
      <c r="C42" s="27">
        <f ca="1"/>
        <v>22</v>
      </c>
      <c r="D42" s="28">
        <f ca="1"/>
        <v>15.875022048603658</v>
      </c>
      <c r="E42" s="28">
        <f t="shared" ca="1" si="0"/>
        <v>-0.12497795139634249</v>
      </c>
      <c r="G42" s="28">
        <f t="shared" ca="1" si="1"/>
        <v>0.31763349392564566</v>
      </c>
      <c r="L42" s="28"/>
    </row>
    <row r="43" spans="1:12" x14ac:dyDescent="0.2">
      <c r="A43" s="27">
        <v>17</v>
      </c>
      <c r="B43" s="27">
        <v>1</v>
      </c>
      <c r="C43" s="27">
        <f ca="1"/>
        <v>24</v>
      </c>
      <c r="D43" s="28">
        <f ca="1"/>
        <v>17.241460271907776</v>
      </c>
      <c r="E43" s="28">
        <f t="shared" ca="1" si="0"/>
        <v>0.2414602719077763</v>
      </c>
      <c r="G43" s="28">
        <f t="shared" ca="1" si="1"/>
        <v>0.31332258364370175</v>
      </c>
      <c r="L43" s="28"/>
    </row>
    <row r="44" spans="1:12" x14ac:dyDescent="0.2">
      <c r="A44" s="27">
        <v>17</v>
      </c>
      <c r="B44" s="27">
        <v>1</v>
      </c>
      <c r="C44" s="27">
        <f ca="1"/>
        <v>24</v>
      </c>
      <c r="D44" s="28">
        <f ca="1"/>
        <v>17.241460271907776</v>
      </c>
      <c r="E44" s="28">
        <f t="shared" ca="1" si="0"/>
        <v>0.2414602719077763</v>
      </c>
      <c r="G44" s="28">
        <f t="shared" ca="1" si="1"/>
        <v>0.31332258364370175</v>
      </c>
      <c r="L44" s="28"/>
    </row>
    <row r="45" spans="1:12" x14ac:dyDescent="0.2">
      <c r="A45" s="27">
        <v>11</v>
      </c>
      <c r="B45" s="27">
        <v>1</v>
      </c>
      <c r="C45" s="27">
        <f ca="1"/>
        <v>17</v>
      </c>
      <c r="D45" s="28">
        <f ca="1"/>
        <v>12.458926490343359</v>
      </c>
      <c r="E45" s="28">
        <f t="shared" ca="1" si="0"/>
        <v>1.4589264903433588</v>
      </c>
      <c r="G45" s="28">
        <f t="shared" ca="1" si="1"/>
        <v>0.16149629011123415</v>
      </c>
      <c r="L45" s="28"/>
    </row>
    <row r="46" spans="1:12" x14ac:dyDescent="0.2">
      <c r="A46" s="27">
        <v>15</v>
      </c>
      <c r="B46" s="27">
        <v>1</v>
      </c>
      <c r="C46" s="27">
        <f ca="1"/>
        <v>22</v>
      </c>
      <c r="D46" s="28">
        <f ca="1"/>
        <v>15.875022048603658</v>
      </c>
      <c r="E46" s="28">
        <f t="shared" ca="1" si="0"/>
        <v>0.87502204860365751</v>
      </c>
      <c r="G46" s="28">
        <f t="shared" ca="1" si="1"/>
        <v>0.2498287819911226</v>
      </c>
      <c r="L46" s="28"/>
    </row>
    <row r="47" spans="1:12" x14ac:dyDescent="0.2">
      <c r="A47" s="27">
        <v>15</v>
      </c>
      <c r="B47" s="27">
        <v>1</v>
      </c>
      <c r="C47" s="27">
        <f ca="1"/>
        <v>21</v>
      </c>
      <c r="D47" s="28">
        <f ca="1"/>
        <v>15.191802936951598</v>
      </c>
      <c r="E47" s="28">
        <f t="shared" ca="1" si="0"/>
        <v>0.19180293695159811</v>
      </c>
      <c r="G47" s="28">
        <f t="shared" ca="1" si="1"/>
        <v>0.31548813891774308</v>
      </c>
      <c r="L47" s="28"/>
    </row>
    <row r="48" spans="1:12" x14ac:dyDescent="0.2">
      <c r="A48" s="27">
        <v>16</v>
      </c>
      <c r="B48" s="27">
        <v>1</v>
      </c>
      <c r="C48" s="27">
        <f ca="1"/>
        <v>23</v>
      </c>
      <c r="D48" s="28">
        <f ca="1"/>
        <v>16.558241160255715</v>
      </c>
      <c r="E48" s="28">
        <f t="shared" ca="1" si="0"/>
        <v>0.55824116025571513</v>
      </c>
      <c r="G48" s="28">
        <f t="shared" ca="1" si="1"/>
        <v>0.28891457937292003</v>
      </c>
      <c r="L48" s="28"/>
    </row>
    <row r="49" spans="1:12" x14ac:dyDescent="0.2">
      <c r="A49" s="27">
        <v>16</v>
      </c>
      <c r="B49" s="27">
        <v>1</v>
      </c>
      <c r="C49" s="27">
        <f ca="1"/>
        <v>23</v>
      </c>
      <c r="D49" s="28">
        <f ca="1"/>
        <v>16.558241160255715</v>
      </c>
      <c r="E49" s="28">
        <f t="shared" ca="1" si="0"/>
        <v>0.55824116025571513</v>
      </c>
      <c r="G49" s="28">
        <f t="shared" ca="1" si="1"/>
        <v>0.28891457937292003</v>
      </c>
      <c r="L49" s="28"/>
    </row>
    <row r="50" spans="1:12" x14ac:dyDescent="0.2">
      <c r="A50" s="27">
        <v>15</v>
      </c>
      <c r="B50" s="27">
        <v>1</v>
      </c>
      <c r="C50" s="27">
        <f ca="1"/>
        <v>19</v>
      </c>
      <c r="D50" s="28">
        <f ca="1"/>
        <v>13.825364713647479</v>
      </c>
      <c r="E50" s="28">
        <f t="shared" ca="1" si="0"/>
        <v>-1.1746352863525207</v>
      </c>
      <c r="G50" s="28">
        <f t="shared" ca="1" si="1"/>
        <v>0.20523871008550823</v>
      </c>
      <c r="L50" s="28"/>
    </row>
    <row r="51" spans="1:12" x14ac:dyDescent="0.2">
      <c r="A51" s="27">
        <v>14</v>
      </c>
      <c r="B51" s="27">
        <v>1</v>
      </c>
      <c r="C51" s="27">
        <f ca="1"/>
        <v>18</v>
      </c>
      <c r="D51" s="28">
        <f ca="1"/>
        <v>13.142145601995418</v>
      </c>
      <c r="E51" s="28">
        <f t="shared" ca="1" si="0"/>
        <v>-0.85785439800458185</v>
      </c>
      <c r="G51" s="28">
        <f t="shared" ca="1" si="1"/>
        <v>0.25221954505601618</v>
      </c>
      <c r="L51" s="28"/>
    </row>
    <row r="52" spans="1:12" x14ac:dyDescent="0.2">
      <c r="A52" s="27">
        <v>13</v>
      </c>
      <c r="B52" s="27">
        <v>1</v>
      </c>
      <c r="C52" s="27">
        <f ca="1"/>
        <v>17</v>
      </c>
      <c r="D52" s="28">
        <f ca="1"/>
        <v>12.458926490343359</v>
      </c>
      <c r="E52" s="28">
        <f t="shared" ca="1" si="0"/>
        <v>-0.54107350965664125</v>
      </c>
      <c r="G52" s="28">
        <f t="shared" ca="1" si="1"/>
        <v>0.29066547731752662</v>
      </c>
      <c r="L52" s="28"/>
    </row>
    <row r="53" spans="1:12" x14ac:dyDescent="0.2">
      <c r="A53" s="27">
        <v>14</v>
      </c>
      <c r="B53" s="27">
        <v>1</v>
      </c>
      <c r="C53" s="27">
        <f ca="1"/>
        <v>17</v>
      </c>
      <c r="D53" s="28">
        <f ca="1"/>
        <v>12.458926490343359</v>
      </c>
      <c r="E53" s="28">
        <f t="shared" ca="1" si="0"/>
        <v>-1.5410735096566412</v>
      </c>
      <c r="G53" s="28">
        <f t="shared" ca="1" si="1"/>
        <v>0.14924443441661395</v>
      </c>
      <c r="L53" s="28"/>
    </row>
    <row r="54" spans="1:12" x14ac:dyDescent="0.2">
      <c r="A54" s="27">
        <v>14</v>
      </c>
      <c r="B54" s="27">
        <v>1</v>
      </c>
      <c r="C54" s="27">
        <f ca="1"/>
        <v>19</v>
      </c>
      <c r="D54" s="28">
        <f ca="1"/>
        <v>13.825364713647479</v>
      </c>
      <c r="E54" s="28">
        <f t="shared" ca="1" si="0"/>
        <v>-0.17463528635252068</v>
      </c>
      <c r="G54" s="28">
        <f t="shared" ca="1" si="1"/>
        <v>0.31612416936198534</v>
      </c>
      <c r="L54" s="28"/>
    </row>
    <row r="55" spans="1:12" x14ac:dyDescent="0.2">
      <c r="A55" s="27">
        <v>14</v>
      </c>
      <c r="B55" s="27">
        <v>1</v>
      </c>
      <c r="C55" s="27">
        <f ca="1"/>
        <v>19</v>
      </c>
      <c r="D55" s="28">
        <f ca="1"/>
        <v>13.825364713647479</v>
      </c>
      <c r="E55" s="28">
        <f t="shared" ca="1" si="0"/>
        <v>-0.17463528635252068</v>
      </c>
      <c r="G55" s="28">
        <f t="shared" ca="1" si="1"/>
        <v>0.31612416936198534</v>
      </c>
      <c r="L55" s="28"/>
    </row>
    <row r="56" spans="1:12" x14ac:dyDescent="0.2">
      <c r="A56" s="27">
        <v>9</v>
      </c>
      <c r="B56" s="27">
        <v>1</v>
      </c>
      <c r="C56" s="27">
        <f ca="1"/>
        <v>12</v>
      </c>
      <c r="D56" s="28">
        <f ca="1"/>
        <v>9.04283093208306</v>
      </c>
      <c r="E56" s="28">
        <f t="shared" ca="1" si="0"/>
        <v>4.2830932083059992E-2</v>
      </c>
      <c r="G56" s="28">
        <f t="shared" ca="1" si="1"/>
        <v>0.31903836846290684</v>
      </c>
      <c r="L56" s="28"/>
    </row>
    <row r="57" spans="1:12" x14ac:dyDescent="0.2">
      <c r="A57" s="27">
        <v>11</v>
      </c>
      <c r="B57" s="27">
        <v>1</v>
      </c>
      <c r="C57" s="27">
        <f ca="1"/>
        <v>17</v>
      </c>
      <c r="D57" s="28">
        <f ca="1"/>
        <v>12.458926490343359</v>
      </c>
      <c r="E57" s="28">
        <f t="shared" ca="1" si="0"/>
        <v>1.4589264903433588</v>
      </c>
      <c r="G57" s="28">
        <f t="shared" ca="1" si="1"/>
        <v>0.16149629011123415</v>
      </c>
      <c r="L57" s="28"/>
    </row>
    <row r="58" spans="1:12" x14ac:dyDescent="0.2">
      <c r="A58" s="27">
        <v>11</v>
      </c>
      <c r="B58" s="27">
        <v>1</v>
      </c>
      <c r="C58" s="27">
        <f ca="1"/>
        <v>15</v>
      </c>
      <c r="D58" s="28">
        <f ca="1"/>
        <v>11.09248826703924</v>
      </c>
      <c r="E58" s="28">
        <f t="shared" ca="1" si="0"/>
        <v>9.2488267039239958E-2</v>
      </c>
      <c r="G58" s="28">
        <f t="shared" ca="1" si="1"/>
        <v>0.31835277839425191</v>
      </c>
      <c r="L58" s="28"/>
    </row>
    <row r="59" spans="1:12" x14ac:dyDescent="0.2">
      <c r="A59" s="27">
        <v>13</v>
      </c>
      <c r="B59" s="27">
        <v>1</v>
      </c>
      <c r="C59" s="27">
        <f ca="1"/>
        <v>17</v>
      </c>
      <c r="D59" s="28">
        <f ca="1"/>
        <v>12.458926490343359</v>
      </c>
      <c r="E59" s="28">
        <f t="shared" ca="1" si="0"/>
        <v>-0.54107350965664125</v>
      </c>
      <c r="G59" s="28">
        <f t="shared" ca="1" si="1"/>
        <v>0.29066547731752662</v>
      </c>
      <c r="L59" s="28"/>
    </row>
    <row r="60" spans="1:12" x14ac:dyDescent="0.2">
      <c r="A60" s="27">
        <v>13</v>
      </c>
      <c r="B60" s="27">
        <v>1</v>
      </c>
      <c r="C60" s="27">
        <f ca="1"/>
        <v>17</v>
      </c>
      <c r="D60" s="28">
        <f ca="1"/>
        <v>12.458926490343359</v>
      </c>
      <c r="E60" s="28">
        <f t="shared" ca="1" si="0"/>
        <v>-0.54107350965664125</v>
      </c>
      <c r="G60" s="28">
        <f t="shared" ca="1" si="1"/>
        <v>0.29066547731752662</v>
      </c>
      <c r="L60" s="28"/>
    </row>
    <row r="61" spans="1:12" x14ac:dyDescent="0.2">
      <c r="A61" s="27">
        <v>9</v>
      </c>
      <c r="B61" s="27">
        <v>1</v>
      </c>
      <c r="C61" s="27">
        <f ca="1"/>
        <v>12</v>
      </c>
      <c r="D61" s="28">
        <f ca="1"/>
        <v>9.04283093208306</v>
      </c>
      <c r="E61" s="28">
        <f t="shared" ca="1" si="0"/>
        <v>4.2830932083059992E-2</v>
      </c>
      <c r="G61" s="28">
        <f t="shared" ca="1" si="1"/>
        <v>0.31903836846290684</v>
      </c>
      <c r="L61" s="28"/>
    </row>
    <row r="62" spans="1:12" x14ac:dyDescent="0.2">
      <c r="A62" s="27">
        <v>13</v>
      </c>
      <c r="B62" s="27">
        <v>1</v>
      </c>
      <c r="C62" s="27">
        <f ca="1"/>
        <v>17</v>
      </c>
      <c r="D62" s="28">
        <f ca="1"/>
        <v>12.458926490343359</v>
      </c>
      <c r="E62" s="28">
        <f t="shared" ca="1" si="0"/>
        <v>-0.54107350965664125</v>
      </c>
      <c r="G62" s="28">
        <f t="shared" ca="1" si="1"/>
        <v>0.29066547731752662</v>
      </c>
      <c r="L62" s="28"/>
    </row>
    <row r="63" spans="1:12" x14ac:dyDescent="0.2">
      <c r="A63" s="27">
        <v>11</v>
      </c>
      <c r="B63" s="27">
        <v>1</v>
      </c>
      <c r="C63" s="27">
        <f ca="1"/>
        <v>16</v>
      </c>
      <c r="D63" s="28">
        <f ca="1"/>
        <v>11.775707378691299</v>
      </c>
      <c r="E63" s="28">
        <f t="shared" ca="1" si="0"/>
        <v>0.77570737869129935</v>
      </c>
      <c r="G63" s="28">
        <f t="shared" ca="1" si="1"/>
        <v>0.26329124156712214</v>
      </c>
      <c r="L63" s="28"/>
    </row>
    <row r="64" spans="1:12" x14ac:dyDescent="0.2">
      <c r="A64" s="27">
        <v>13</v>
      </c>
      <c r="B64" s="27">
        <v>1</v>
      </c>
      <c r="C64" s="27">
        <f ca="1"/>
        <v>18</v>
      </c>
      <c r="D64" s="28">
        <f ca="1"/>
        <v>13.142145601995418</v>
      </c>
      <c r="E64" s="28">
        <f t="shared" ca="1" si="0"/>
        <v>0.14214560199541815</v>
      </c>
      <c r="G64" s="28">
        <f t="shared" ca="1" si="1"/>
        <v>0.31716750413300532</v>
      </c>
      <c r="L64" s="28"/>
    </row>
    <row r="65" spans="1:12" x14ac:dyDescent="0.2">
      <c r="A65" s="27">
        <v>11</v>
      </c>
      <c r="B65" s="27">
        <v>1</v>
      </c>
      <c r="C65" s="27">
        <f ca="1"/>
        <v>15</v>
      </c>
      <c r="D65" s="28">
        <f ca="1"/>
        <v>11.09248826703924</v>
      </c>
      <c r="E65" s="28">
        <f t="shared" ca="1" si="0"/>
        <v>9.2488267039239958E-2</v>
      </c>
      <c r="G65" s="28">
        <f t="shared" ca="1" si="1"/>
        <v>0.31835277839425191</v>
      </c>
      <c r="L65" s="28"/>
    </row>
    <row r="66" spans="1:12" x14ac:dyDescent="0.2">
      <c r="A66" s="27">
        <v>12</v>
      </c>
      <c r="B66" s="27">
        <v>1</v>
      </c>
      <c r="C66" s="27">
        <f ca="1"/>
        <v>16</v>
      </c>
      <c r="D66" s="28">
        <f ca="1"/>
        <v>11.775707378691299</v>
      </c>
      <c r="E66" s="28">
        <f t="shared" ca="1" si="0"/>
        <v>-0.22429262130870065</v>
      </c>
      <c r="G66" s="28">
        <f t="shared" ca="1" si="1"/>
        <v>0.31412566572102818</v>
      </c>
      <c r="L66" s="28"/>
    </row>
    <row r="67" spans="1:12" x14ac:dyDescent="0.2">
      <c r="A67" s="27">
        <v>9</v>
      </c>
      <c r="B67" s="27">
        <v>1</v>
      </c>
      <c r="C67" s="27">
        <f ca="1"/>
        <v>12</v>
      </c>
      <c r="D67" s="28">
        <f ca="1"/>
        <v>9.04283093208306</v>
      </c>
      <c r="E67" s="28">
        <f t="shared" ref="E67:E130" ca="1" si="2">D67-A67</f>
        <v>4.2830932083059992E-2</v>
      </c>
      <c r="G67" s="28">
        <f t="shared" ref="G67:G130" ca="1" si="3">_xlfn.NORM.DIST(E67,0,$F$2,FALSE)</f>
        <v>0.31903836846290684</v>
      </c>
      <c r="L67" s="28"/>
    </row>
    <row r="68" spans="1:12" x14ac:dyDescent="0.2">
      <c r="A68" s="27">
        <v>13</v>
      </c>
      <c r="B68" s="27">
        <v>1</v>
      </c>
      <c r="C68" s="27">
        <f ca="1"/>
        <v>17</v>
      </c>
      <c r="D68" s="28">
        <f ca="1"/>
        <v>12.458926490343359</v>
      </c>
      <c r="E68" s="28">
        <f t="shared" ca="1" si="2"/>
        <v>-0.54107350965664125</v>
      </c>
      <c r="G68" s="28">
        <f t="shared" ca="1" si="3"/>
        <v>0.29066547731752662</v>
      </c>
      <c r="L68" s="28"/>
    </row>
    <row r="69" spans="1:12" x14ac:dyDescent="0.2">
      <c r="A69" s="27">
        <v>13</v>
      </c>
      <c r="B69" s="27">
        <v>1</v>
      </c>
      <c r="C69" s="27">
        <f ca="1"/>
        <v>17</v>
      </c>
      <c r="D69" s="28">
        <f ca="1"/>
        <v>12.458926490343359</v>
      </c>
      <c r="E69" s="28">
        <f t="shared" ca="1" si="2"/>
        <v>-0.54107350965664125</v>
      </c>
      <c r="G69" s="28">
        <f t="shared" ca="1" si="3"/>
        <v>0.29066547731752662</v>
      </c>
      <c r="L69" s="28"/>
    </row>
    <row r="70" spans="1:12" x14ac:dyDescent="0.2">
      <c r="A70" s="27">
        <v>12</v>
      </c>
      <c r="B70" s="27">
        <v>1</v>
      </c>
      <c r="C70" s="27">
        <f ca="1"/>
        <v>16</v>
      </c>
      <c r="D70" s="28">
        <f ca="1"/>
        <v>11.775707378691299</v>
      </c>
      <c r="E70" s="28">
        <f t="shared" ca="1" si="2"/>
        <v>-0.22429262130870065</v>
      </c>
      <c r="G70" s="28">
        <f t="shared" ca="1" si="3"/>
        <v>0.31412566572102818</v>
      </c>
      <c r="L70" s="28"/>
    </row>
    <row r="71" spans="1:12" x14ac:dyDescent="0.2">
      <c r="A71" s="27">
        <v>9</v>
      </c>
      <c r="B71" s="27">
        <v>1</v>
      </c>
      <c r="C71" s="27">
        <f ca="1"/>
        <v>12</v>
      </c>
      <c r="D71" s="28">
        <f ca="1"/>
        <v>9.04283093208306</v>
      </c>
      <c r="E71" s="28">
        <f t="shared" ca="1" si="2"/>
        <v>4.2830932083059992E-2</v>
      </c>
      <c r="G71" s="28">
        <f t="shared" ca="1" si="3"/>
        <v>0.31903836846290684</v>
      </c>
      <c r="L71" s="28"/>
    </row>
    <row r="72" spans="1:12" x14ac:dyDescent="0.2">
      <c r="A72" s="27">
        <v>11</v>
      </c>
      <c r="B72" s="27">
        <v>1</v>
      </c>
      <c r="C72" s="27">
        <f ca="1"/>
        <v>15</v>
      </c>
      <c r="D72" s="28">
        <f ca="1"/>
        <v>11.09248826703924</v>
      </c>
      <c r="E72" s="28">
        <f t="shared" ca="1" si="2"/>
        <v>9.2488267039239958E-2</v>
      </c>
      <c r="G72" s="28">
        <f t="shared" ca="1" si="3"/>
        <v>0.31835277839425191</v>
      </c>
      <c r="L72" s="28"/>
    </row>
    <row r="73" spans="1:12" x14ac:dyDescent="0.2">
      <c r="A73" s="27">
        <v>11</v>
      </c>
      <c r="B73" s="27">
        <v>1</v>
      </c>
      <c r="C73" s="27">
        <f ca="1"/>
        <v>16</v>
      </c>
      <c r="D73" s="28">
        <f ca="1"/>
        <v>11.775707378691299</v>
      </c>
      <c r="E73" s="28">
        <f t="shared" ca="1" si="2"/>
        <v>0.77570737869129935</v>
      </c>
      <c r="G73" s="28">
        <f t="shared" ca="1" si="3"/>
        <v>0.26329124156712214</v>
      </c>
      <c r="L73" s="28"/>
    </row>
    <row r="74" spans="1:12" x14ac:dyDescent="0.2">
      <c r="A74" s="27">
        <v>13</v>
      </c>
      <c r="B74" s="27">
        <v>1</v>
      </c>
      <c r="C74" s="27">
        <f ca="1"/>
        <v>17</v>
      </c>
      <c r="D74" s="28">
        <f ca="1"/>
        <v>12.458926490343359</v>
      </c>
      <c r="E74" s="28">
        <f t="shared" ca="1" si="2"/>
        <v>-0.54107350965664125</v>
      </c>
      <c r="G74" s="28">
        <f t="shared" ca="1" si="3"/>
        <v>0.29066547731752662</v>
      </c>
      <c r="L74" s="28"/>
    </row>
    <row r="75" spans="1:12" x14ac:dyDescent="0.2">
      <c r="A75" s="27">
        <v>11</v>
      </c>
      <c r="B75" s="27">
        <v>1</v>
      </c>
      <c r="C75" s="27">
        <f ca="1"/>
        <v>15</v>
      </c>
      <c r="D75" s="28">
        <f ca="1"/>
        <v>11.09248826703924</v>
      </c>
      <c r="E75" s="28">
        <f t="shared" ca="1" si="2"/>
        <v>9.2488267039239958E-2</v>
      </c>
      <c r="G75" s="28">
        <f t="shared" ca="1" si="3"/>
        <v>0.31835277839425191</v>
      </c>
      <c r="L75" s="28"/>
    </row>
    <row r="76" spans="1:12" x14ac:dyDescent="0.2">
      <c r="A76" s="27">
        <v>11</v>
      </c>
      <c r="B76" s="27">
        <v>1</v>
      </c>
      <c r="C76" s="27">
        <f ca="1"/>
        <v>17</v>
      </c>
      <c r="D76" s="28">
        <f ca="1"/>
        <v>12.458926490343359</v>
      </c>
      <c r="E76" s="28">
        <f t="shared" ca="1" si="2"/>
        <v>1.4589264903433588</v>
      </c>
      <c r="G76" s="28">
        <f t="shared" ca="1" si="3"/>
        <v>0.16149629011123415</v>
      </c>
      <c r="L76" s="28"/>
    </row>
    <row r="77" spans="1:12" x14ac:dyDescent="0.2">
      <c r="A77" s="27">
        <v>11</v>
      </c>
      <c r="B77" s="27">
        <v>1</v>
      </c>
      <c r="C77" s="27">
        <f ca="1"/>
        <v>17</v>
      </c>
      <c r="D77" s="28">
        <f ca="1"/>
        <v>12.458926490343359</v>
      </c>
      <c r="E77" s="28">
        <f t="shared" ca="1" si="2"/>
        <v>1.4589264903433588</v>
      </c>
      <c r="G77" s="28">
        <f t="shared" ca="1" si="3"/>
        <v>0.16149629011123415</v>
      </c>
      <c r="L77" s="28"/>
    </row>
    <row r="78" spans="1:12" x14ac:dyDescent="0.2">
      <c r="A78" s="27">
        <v>12</v>
      </c>
      <c r="B78" s="27">
        <v>1</v>
      </c>
      <c r="C78" s="27">
        <f ca="1"/>
        <v>18</v>
      </c>
      <c r="D78" s="28">
        <f ca="1"/>
        <v>13.142145601995418</v>
      </c>
      <c r="E78" s="28">
        <f t="shared" ca="1" si="2"/>
        <v>1.1421456019954181</v>
      </c>
      <c r="G78" s="28">
        <f t="shared" ca="1" si="3"/>
        <v>0.21024457151414655</v>
      </c>
      <c r="L78" s="28"/>
    </row>
    <row r="79" spans="1:12" x14ac:dyDescent="0.2">
      <c r="A79" s="27">
        <v>14</v>
      </c>
      <c r="B79" s="27">
        <v>1</v>
      </c>
      <c r="C79" s="27">
        <f ca="1"/>
        <v>17</v>
      </c>
      <c r="D79" s="28">
        <f ca="1"/>
        <v>12.458926490343359</v>
      </c>
      <c r="E79" s="28">
        <f t="shared" ca="1" si="2"/>
        <v>-1.5410735096566412</v>
      </c>
      <c r="G79" s="28">
        <f t="shared" ca="1" si="3"/>
        <v>0.14924443441661395</v>
      </c>
      <c r="L79" s="28"/>
    </row>
    <row r="80" spans="1:12" x14ac:dyDescent="0.2">
      <c r="A80" s="27">
        <v>15</v>
      </c>
      <c r="B80" s="27">
        <v>1</v>
      </c>
      <c r="C80" s="27">
        <f ca="1"/>
        <v>19</v>
      </c>
      <c r="D80" s="28">
        <f ca="1"/>
        <v>13.825364713647479</v>
      </c>
      <c r="E80" s="28">
        <f t="shared" ca="1" si="2"/>
        <v>-1.1746352863525207</v>
      </c>
      <c r="G80" s="28">
        <f t="shared" ca="1" si="3"/>
        <v>0.20523871008550823</v>
      </c>
      <c r="L80" s="28"/>
    </row>
    <row r="81" spans="1:12" x14ac:dyDescent="0.2">
      <c r="A81" s="27">
        <v>14</v>
      </c>
      <c r="B81" s="27">
        <v>1</v>
      </c>
      <c r="C81" s="27">
        <f ca="1"/>
        <v>17</v>
      </c>
      <c r="D81" s="28">
        <f ca="1"/>
        <v>12.458926490343359</v>
      </c>
      <c r="E81" s="28">
        <f t="shared" ca="1" si="2"/>
        <v>-1.5410735096566412</v>
      </c>
      <c r="G81" s="28">
        <f t="shared" ca="1" si="3"/>
        <v>0.14924443441661395</v>
      </c>
      <c r="L81" s="28"/>
    </row>
    <row r="82" spans="1:12" x14ac:dyDescent="0.2">
      <c r="A82" s="27">
        <v>13</v>
      </c>
      <c r="B82" s="27">
        <v>1</v>
      </c>
      <c r="C82" s="27">
        <f ca="1"/>
        <v>19</v>
      </c>
      <c r="D82" s="28">
        <f ca="1"/>
        <v>13.825364713647479</v>
      </c>
      <c r="E82" s="28">
        <f t="shared" ca="1" si="2"/>
        <v>0.82536471364747932</v>
      </c>
      <c r="G82" s="28">
        <f t="shared" ca="1" si="3"/>
        <v>0.25667424064304967</v>
      </c>
      <c r="L82" s="28"/>
    </row>
    <row r="83" spans="1:12" x14ac:dyDescent="0.2">
      <c r="A83" s="27">
        <v>13</v>
      </c>
      <c r="B83" s="27">
        <v>1</v>
      </c>
      <c r="C83" s="27">
        <f ca="1"/>
        <v>19</v>
      </c>
      <c r="D83" s="28">
        <f ca="1"/>
        <v>13.825364713647479</v>
      </c>
      <c r="E83" s="28">
        <f t="shared" ca="1" si="2"/>
        <v>0.82536471364747932</v>
      </c>
      <c r="G83" s="28">
        <f t="shared" ca="1" si="3"/>
        <v>0.25667424064304967</v>
      </c>
      <c r="L83" s="28"/>
    </row>
    <row r="84" spans="1:12" x14ac:dyDescent="0.2">
      <c r="A84" s="27">
        <v>13</v>
      </c>
      <c r="B84" s="27">
        <v>1</v>
      </c>
      <c r="C84" s="27">
        <f ca="1"/>
        <v>17</v>
      </c>
      <c r="D84" s="28">
        <f ca="1"/>
        <v>12.458926490343359</v>
      </c>
      <c r="E84" s="28">
        <f t="shared" ca="1" si="2"/>
        <v>-0.54107350965664125</v>
      </c>
      <c r="G84" s="28">
        <f t="shared" ca="1" si="3"/>
        <v>0.29066547731752662</v>
      </c>
      <c r="L84" s="28"/>
    </row>
    <row r="85" spans="1:12" x14ac:dyDescent="0.2">
      <c r="A85" s="27">
        <v>14</v>
      </c>
      <c r="B85" s="27">
        <v>1</v>
      </c>
      <c r="C85" s="27">
        <f ca="1"/>
        <v>17</v>
      </c>
      <c r="D85" s="28">
        <f ca="1"/>
        <v>12.458926490343359</v>
      </c>
      <c r="E85" s="28">
        <f t="shared" ca="1" si="2"/>
        <v>-1.5410735096566412</v>
      </c>
      <c r="G85" s="28">
        <f t="shared" ca="1" si="3"/>
        <v>0.14924443441661395</v>
      </c>
      <c r="L85" s="28"/>
    </row>
    <row r="86" spans="1:12" x14ac:dyDescent="0.2">
      <c r="A86" s="27">
        <v>14</v>
      </c>
      <c r="B86" s="27">
        <v>1</v>
      </c>
      <c r="C86" s="27">
        <f ca="1"/>
        <v>17</v>
      </c>
      <c r="D86" s="28">
        <f ca="1"/>
        <v>12.458926490343359</v>
      </c>
      <c r="E86" s="28">
        <f t="shared" ca="1" si="2"/>
        <v>-1.5410735096566412</v>
      </c>
      <c r="G86" s="28">
        <f t="shared" ca="1" si="3"/>
        <v>0.14924443441661395</v>
      </c>
      <c r="L86" s="28"/>
    </row>
    <row r="87" spans="1:12" x14ac:dyDescent="0.2">
      <c r="A87" s="27">
        <v>13</v>
      </c>
      <c r="B87" s="27">
        <v>1</v>
      </c>
      <c r="C87" s="27">
        <f ca="1"/>
        <v>16</v>
      </c>
      <c r="D87" s="28">
        <f ca="1"/>
        <v>11.775707378691299</v>
      </c>
      <c r="E87" s="28">
        <f t="shared" ca="1" si="2"/>
        <v>-1.2242926213087006</v>
      </c>
      <c r="G87" s="28">
        <f t="shared" ca="1" si="3"/>
        <v>0.19755889639295596</v>
      </c>
      <c r="L87" s="28"/>
    </row>
    <row r="88" spans="1:12" x14ac:dyDescent="0.2">
      <c r="A88" s="27">
        <v>13</v>
      </c>
      <c r="B88" s="27">
        <v>1</v>
      </c>
      <c r="C88" s="27">
        <f ca="1"/>
        <v>16</v>
      </c>
      <c r="D88" s="28">
        <f ca="1"/>
        <v>11.775707378691299</v>
      </c>
      <c r="E88" s="28">
        <f t="shared" ca="1" si="2"/>
        <v>-1.2242926213087006</v>
      </c>
      <c r="G88" s="28">
        <f t="shared" ca="1" si="3"/>
        <v>0.19755889639295596</v>
      </c>
      <c r="L88" s="28"/>
    </row>
    <row r="89" spans="1:12" x14ac:dyDescent="0.2">
      <c r="A89" s="27">
        <v>13</v>
      </c>
      <c r="B89" s="27">
        <v>1</v>
      </c>
      <c r="C89" s="27">
        <f ca="1"/>
        <v>17</v>
      </c>
      <c r="D89" s="28">
        <f ca="1"/>
        <v>12.458926490343359</v>
      </c>
      <c r="E89" s="28">
        <f t="shared" ca="1" si="2"/>
        <v>-0.54107350965664125</v>
      </c>
      <c r="G89" s="28">
        <f t="shared" ca="1" si="3"/>
        <v>0.29066547731752662</v>
      </c>
      <c r="L89" s="28"/>
    </row>
    <row r="90" spans="1:12" x14ac:dyDescent="0.2">
      <c r="A90" s="27">
        <v>11</v>
      </c>
      <c r="B90" s="27">
        <v>1</v>
      </c>
      <c r="C90" s="27">
        <f ca="1"/>
        <v>15</v>
      </c>
      <c r="D90" s="28">
        <f ca="1"/>
        <v>11.09248826703924</v>
      </c>
      <c r="E90" s="28">
        <f t="shared" ca="1" si="2"/>
        <v>9.2488267039239958E-2</v>
      </c>
      <c r="G90" s="28">
        <f t="shared" ca="1" si="3"/>
        <v>0.31835277839425191</v>
      </c>
      <c r="L90" s="28"/>
    </row>
    <row r="91" spans="1:12" x14ac:dyDescent="0.2">
      <c r="A91" s="27">
        <v>13</v>
      </c>
      <c r="B91" s="27">
        <v>1</v>
      </c>
      <c r="C91" s="27">
        <f ca="1"/>
        <v>17</v>
      </c>
      <c r="D91" s="28">
        <f ca="1"/>
        <v>12.458926490343359</v>
      </c>
      <c r="E91" s="28">
        <f t="shared" ca="1" si="2"/>
        <v>-0.54107350965664125</v>
      </c>
      <c r="G91" s="28">
        <f t="shared" ca="1" si="3"/>
        <v>0.29066547731752662</v>
      </c>
      <c r="L91" s="28"/>
    </row>
    <row r="92" spans="1:12" x14ac:dyDescent="0.2">
      <c r="A92" s="27">
        <v>18</v>
      </c>
      <c r="B92" s="27">
        <v>1</v>
      </c>
      <c r="C92" s="27">
        <f ca="1"/>
        <v>26</v>
      </c>
      <c r="D92" s="28">
        <f ca="1"/>
        <v>18.607898495211895</v>
      </c>
      <c r="E92" s="28">
        <f t="shared" ca="1" si="2"/>
        <v>0.6078984952118951</v>
      </c>
      <c r="G92" s="28">
        <f t="shared" ca="1" si="3"/>
        <v>0.28360781451993688</v>
      </c>
      <c r="L92" s="28"/>
    </row>
    <row r="93" spans="1:12" x14ac:dyDescent="0.2">
      <c r="A93" s="27">
        <v>18</v>
      </c>
      <c r="B93" s="27">
        <v>1</v>
      </c>
      <c r="C93" s="27">
        <f ca="1"/>
        <v>25</v>
      </c>
      <c r="D93" s="28">
        <f ca="1"/>
        <v>17.924679383559837</v>
      </c>
      <c r="E93" s="28">
        <f t="shared" ca="1" si="2"/>
        <v>-7.5320616440162524E-2</v>
      </c>
      <c r="G93" s="28">
        <f t="shared" ca="1" si="3"/>
        <v>0.3186465302206829</v>
      </c>
      <c r="L93" s="28"/>
    </row>
    <row r="94" spans="1:12" x14ac:dyDescent="0.2">
      <c r="A94" s="27">
        <v>17</v>
      </c>
      <c r="B94" s="27">
        <v>1</v>
      </c>
      <c r="C94" s="27">
        <f ca="1"/>
        <v>26</v>
      </c>
      <c r="D94" s="28">
        <f ca="1"/>
        <v>18.607898495211895</v>
      </c>
      <c r="E94" s="28">
        <f t="shared" ca="1" si="2"/>
        <v>1.6078984952118951</v>
      </c>
      <c r="G94" s="28">
        <f t="shared" ca="1" si="3"/>
        <v>0.13952132892333158</v>
      </c>
      <c r="L94" s="28"/>
    </row>
    <row r="95" spans="1:12" x14ac:dyDescent="0.2">
      <c r="A95" s="27">
        <v>16</v>
      </c>
      <c r="B95" s="27">
        <v>1</v>
      </c>
      <c r="C95" s="27">
        <f ca="1"/>
        <v>24</v>
      </c>
      <c r="D95" s="28">
        <f ca="1"/>
        <v>17.241460271907776</v>
      </c>
      <c r="E95" s="28">
        <f t="shared" ca="1" si="2"/>
        <v>1.2414602719077763</v>
      </c>
      <c r="G95" s="28">
        <f t="shared" ca="1" si="3"/>
        <v>0.19489962071960723</v>
      </c>
      <c r="L95" s="28"/>
    </row>
    <row r="96" spans="1:12" x14ac:dyDescent="0.2">
      <c r="A96" s="27">
        <v>15</v>
      </c>
      <c r="B96" s="27">
        <v>1</v>
      </c>
      <c r="C96" s="27">
        <f ca="1"/>
        <v>21</v>
      </c>
      <c r="D96" s="28">
        <f ca="1"/>
        <v>15.191802936951598</v>
      </c>
      <c r="E96" s="28">
        <f t="shared" ca="1" si="2"/>
        <v>0.19180293695159811</v>
      </c>
      <c r="G96" s="28">
        <f t="shared" ca="1" si="3"/>
        <v>0.31548813891774308</v>
      </c>
      <c r="L96" s="28"/>
    </row>
    <row r="97" spans="1:12" x14ac:dyDescent="0.2">
      <c r="A97" s="27">
        <v>15</v>
      </c>
      <c r="B97" s="27">
        <v>1</v>
      </c>
      <c r="C97" s="27">
        <f ca="1"/>
        <v>22</v>
      </c>
      <c r="D97" s="28">
        <f ca="1"/>
        <v>15.875022048603658</v>
      </c>
      <c r="E97" s="28">
        <f t="shared" ca="1" si="2"/>
        <v>0.87502204860365751</v>
      </c>
      <c r="G97" s="28">
        <f t="shared" ca="1" si="3"/>
        <v>0.2498287819911226</v>
      </c>
      <c r="L97" s="28"/>
    </row>
    <row r="98" spans="1:12" x14ac:dyDescent="0.2">
      <c r="A98" s="27">
        <v>15</v>
      </c>
      <c r="B98" s="27">
        <v>1</v>
      </c>
      <c r="C98" s="27">
        <f ca="1"/>
        <v>23</v>
      </c>
      <c r="D98" s="28">
        <f ca="1"/>
        <v>16.558241160255715</v>
      </c>
      <c r="E98" s="28">
        <f t="shared" ca="1" si="2"/>
        <v>1.5582411602557151</v>
      </c>
      <c r="G98" s="28">
        <f t="shared" ca="1" si="3"/>
        <v>0.1467237015411641</v>
      </c>
      <c r="L98" s="28"/>
    </row>
    <row r="99" spans="1:12" x14ac:dyDescent="0.2">
      <c r="A99" s="27">
        <v>15</v>
      </c>
      <c r="B99" s="27">
        <v>1</v>
      </c>
      <c r="C99" s="27">
        <f ca="1"/>
        <v>22</v>
      </c>
      <c r="D99" s="28">
        <f ca="1"/>
        <v>15.875022048603658</v>
      </c>
      <c r="E99" s="28">
        <f t="shared" ca="1" si="2"/>
        <v>0.87502204860365751</v>
      </c>
      <c r="G99" s="28">
        <f t="shared" ca="1" si="3"/>
        <v>0.2498287819911226</v>
      </c>
      <c r="L99" s="28"/>
    </row>
    <row r="100" spans="1:12" x14ac:dyDescent="0.2">
      <c r="A100" s="27">
        <v>14</v>
      </c>
      <c r="B100" s="27">
        <v>1</v>
      </c>
      <c r="C100" s="27">
        <f ca="1"/>
        <v>20</v>
      </c>
      <c r="D100" s="28">
        <f ca="1"/>
        <v>14.508583825299539</v>
      </c>
      <c r="E100" s="28">
        <f t="shared" ca="1" si="2"/>
        <v>0.50858382529953872</v>
      </c>
      <c r="G100" s="28">
        <f t="shared" ca="1" si="3"/>
        <v>0.29385631906225068</v>
      </c>
      <c r="L100" s="28"/>
    </row>
    <row r="101" spans="1:12" x14ac:dyDescent="0.2">
      <c r="A101" s="27">
        <v>28</v>
      </c>
      <c r="B101" s="27">
        <v>1</v>
      </c>
      <c r="C101" s="27">
        <f ca="1"/>
        <v>33</v>
      </c>
      <c r="D101" s="28">
        <f ca="1"/>
        <v>23.390432276776316</v>
      </c>
      <c r="E101" s="28">
        <f t="shared" ca="1" si="2"/>
        <v>-4.6095677232236838</v>
      </c>
      <c r="G101" s="28">
        <f t="shared" ca="1" si="3"/>
        <v>3.5467090836049079E-4</v>
      </c>
      <c r="L101" s="28"/>
    </row>
    <row r="102" spans="1:12" x14ac:dyDescent="0.2">
      <c r="A102" s="27">
        <v>24</v>
      </c>
      <c r="B102" s="27">
        <v>1</v>
      </c>
      <c r="C102" s="27">
        <f ca="1"/>
        <v>32</v>
      </c>
      <c r="D102" s="28">
        <f ca="1"/>
        <v>22.707213165124255</v>
      </c>
      <c r="E102" s="28">
        <f t="shared" ca="1" si="2"/>
        <v>-1.292786834875745</v>
      </c>
      <c r="G102" s="28">
        <f t="shared" ca="1" si="3"/>
        <v>0.18695017615119994</v>
      </c>
      <c r="L102" s="28"/>
    </row>
    <row r="103" spans="1:12" x14ac:dyDescent="0.2">
      <c r="A103" s="27">
        <v>25</v>
      </c>
      <c r="B103" s="27">
        <v>1</v>
      </c>
      <c r="C103" s="27">
        <f ca="1"/>
        <v>32</v>
      </c>
      <c r="D103" s="28">
        <f ca="1"/>
        <v>22.707213165124255</v>
      </c>
      <c r="E103" s="28">
        <f t="shared" ca="1" si="2"/>
        <v>-2.292786834875745</v>
      </c>
      <c r="G103" s="28">
        <f t="shared" ca="1" si="3"/>
        <v>5.9319674466379105E-2</v>
      </c>
      <c r="L103" s="28"/>
    </row>
    <row r="104" spans="1:12" x14ac:dyDescent="0.2">
      <c r="A104" s="27">
        <v>23</v>
      </c>
      <c r="B104" s="27">
        <v>1</v>
      </c>
      <c r="C104" s="27">
        <f ca="1"/>
        <v>29</v>
      </c>
      <c r="D104" s="28">
        <f ca="1"/>
        <v>20.657555830168075</v>
      </c>
      <c r="E104" s="28">
        <f t="shared" ca="1" si="2"/>
        <v>-2.3424441698319249</v>
      </c>
      <c r="G104" s="28">
        <f t="shared" ca="1" si="3"/>
        <v>5.5105656873233724E-2</v>
      </c>
      <c r="L104" s="28"/>
    </row>
    <row r="105" spans="1:12" x14ac:dyDescent="0.2">
      <c r="A105" s="27">
        <v>24</v>
      </c>
      <c r="B105" s="27">
        <v>1</v>
      </c>
      <c r="C105" s="27">
        <f ca="1"/>
        <v>32</v>
      </c>
      <c r="D105" s="28">
        <f ca="1"/>
        <v>22.707213165124255</v>
      </c>
      <c r="E105" s="28">
        <f t="shared" ca="1" si="2"/>
        <v>-1.292786834875745</v>
      </c>
      <c r="G105" s="28">
        <f t="shared" ca="1" si="3"/>
        <v>0.18695017615119994</v>
      </c>
      <c r="L105" s="28"/>
    </row>
    <row r="106" spans="1:12" x14ac:dyDescent="0.2">
      <c r="A106" s="27">
        <v>26</v>
      </c>
      <c r="B106" s="27">
        <v>1</v>
      </c>
      <c r="C106" s="27">
        <f ca="1"/>
        <v>34</v>
      </c>
      <c r="D106" s="28">
        <f ca="1"/>
        <v>24.073651388428374</v>
      </c>
      <c r="E106" s="28">
        <f t="shared" ca="1" si="2"/>
        <v>-1.9263486115716262</v>
      </c>
      <c r="G106" s="28">
        <f t="shared" ca="1" si="3"/>
        <v>9.7309924689843758E-2</v>
      </c>
      <c r="L106" s="28"/>
    </row>
    <row r="107" spans="1:12" x14ac:dyDescent="0.2">
      <c r="A107" s="27">
        <v>25</v>
      </c>
      <c r="B107" s="27">
        <v>1</v>
      </c>
      <c r="C107" s="27">
        <f ca="1"/>
        <v>36</v>
      </c>
      <c r="D107" s="28">
        <f ca="1"/>
        <v>25.440089611732493</v>
      </c>
      <c r="E107" s="28">
        <f t="shared" ca="1" si="2"/>
        <v>0.44008961173249261</v>
      </c>
      <c r="G107" s="28">
        <f t="shared" ca="1" si="3"/>
        <v>0.30003330384512222</v>
      </c>
      <c r="L107" s="28"/>
    </row>
    <row r="108" spans="1:12" x14ac:dyDescent="0.2">
      <c r="A108" s="27">
        <v>24</v>
      </c>
      <c r="B108" s="27">
        <v>1</v>
      </c>
      <c r="C108" s="27">
        <f ca="1"/>
        <v>36</v>
      </c>
      <c r="D108" s="28">
        <f ca="1"/>
        <v>25.440089611732493</v>
      </c>
      <c r="E108" s="28">
        <f t="shared" ca="1" si="2"/>
        <v>1.4400896117324926</v>
      </c>
      <c r="G108" s="28">
        <f t="shared" ca="1" si="3"/>
        <v>0.16434448542706917</v>
      </c>
      <c r="L108" s="28"/>
    </row>
    <row r="109" spans="1:12" x14ac:dyDescent="0.2">
      <c r="A109" s="27">
        <v>21</v>
      </c>
      <c r="B109" s="27">
        <v>1</v>
      </c>
      <c r="C109" s="27">
        <f ca="1"/>
        <v>29</v>
      </c>
      <c r="D109" s="28">
        <f ca="1"/>
        <v>20.657555830168075</v>
      </c>
      <c r="E109" s="28">
        <f t="shared" ca="1" si="2"/>
        <v>-0.34244416983192494</v>
      </c>
      <c r="G109" s="28">
        <f t="shared" ca="1" si="3"/>
        <v>0.30746337812452051</v>
      </c>
      <c r="L109" s="28"/>
    </row>
    <row r="110" spans="1:12" x14ac:dyDescent="0.2">
      <c r="A110" s="27">
        <v>18</v>
      </c>
      <c r="B110" s="27">
        <v>1</v>
      </c>
      <c r="C110" s="27">
        <f ca="1"/>
        <v>26</v>
      </c>
      <c r="D110" s="28">
        <f ca="1"/>
        <v>18.607898495211895</v>
      </c>
      <c r="E110" s="28">
        <f t="shared" ca="1" si="2"/>
        <v>0.6078984952118951</v>
      </c>
      <c r="G110" s="28">
        <f t="shared" ca="1" si="3"/>
        <v>0.28360781451993688</v>
      </c>
      <c r="L110" s="28"/>
    </row>
    <row r="111" spans="1:12" x14ac:dyDescent="0.2">
      <c r="A111" s="27">
        <v>18</v>
      </c>
      <c r="B111" s="27">
        <v>1</v>
      </c>
      <c r="C111" s="27">
        <f ca="1"/>
        <v>27</v>
      </c>
      <c r="D111" s="28">
        <f ca="1"/>
        <v>19.291117606863956</v>
      </c>
      <c r="E111" s="28">
        <f t="shared" ca="1" si="2"/>
        <v>1.2911176068639563</v>
      </c>
      <c r="G111" s="28">
        <f t="shared" ca="1" si="3"/>
        <v>0.18720849951963059</v>
      </c>
      <c r="L111" s="28"/>
    </row>
    <row r="112" spans="1:12" x14ac:dyDescent="0.2">
      <c r="A112" s="27">
        <v>21</v>
      </c>
      <c r="B112" s="27">
        <v>1</v>
      </c>
      <c r="C112" s="27">
        <f ca="1"/>
        <v>30</v>
      </c>
      <c r="D112" s="28">
        <f ca="1"/>
        <v>21.340774941820136</v>
      </c>
      <c r="E112" s="28">
        <f t="shared" ca="1" si="2"/>
        <v>0.34077494182013623</v>
      </c>
      <c r="G112" s="28">
        <f t="shared" ca="1" si="3"/>
        <v>0.30757565599758996</v>
      </c>
      <c r="L112" s="28"/>
    </row>
    <row r="113" spans="1:12" x14ac:dyDescent="0.2">
      <c r="A113" s="27">
        <v>21</v>
      </c>
      <c r="B113" s="27">
        <v>1</v>
      </c>
      <c r="C113" s="27">
        <f ca="1"/>
        <v>31</v>
      </c>
      <c r="D113" s="28">
        <f ca="1"/>
        <v>22.023994053472194</v>
      </c>
      <c r="E113" s="28">
        <f t="shared" ca="1" si="2"/>
        <v>1.0239940534721939</v>
      </c>
      <c r="G113" s="28">
        <f t="shared" ca="1" si="3"/>
        <v>0.22819645484299309</v>
      </c>
      <c r="L113" s="28"/>
    </row>
    <row r="114" spans="1:12" x14ac:dyDescent="0.2">
      <c r="A114" s="27">
        <v>18</v>
      </c>
      <c r="B114" s="27">
        <v>1</v>
      </c>
      <c r="C114" s="27">
        <f ca="1"/>
        <v>26</v>
      </c>
      <c r="D114" s="28">
        <f ca="1"/>
        <v>18.607898495211895</v>
      </c>
      <c r="E114" s="28">
        <f t="shared" ca="1" si="2"/>
        <v>0.6078984952118951</v>
      </c>
      <c r="G114" s="28">
        <f t="shared" ca="1" si="3"/>
        <v>0.28360781451993688</v>
      </c>
      <c r="L114" s="28"/>
    </row>
    <row r="115" spans="1:12" x14ac:dyDescent="0.2">
      <c r="A115" s="27">
        <v>18</v>
      </c>
      <c r="B115" s="27">
        <v>1</v>
      </c>
      <c r="C115" s="27">
        <f ca="1"/>
        <v>26</v>
      </c>
      <c r="D115" s="28">
        <f ca="1"/>
        <v>18.607898495211895</v>
      </c>
      <c r="E115" s="28">
        <f t="shared" ca="1" si="2"/>
        <v>0.6078984952118951</v>
      </c>
      <c r="G115" s="28">
        <f t="shared" ca="1" si="3"/>
        <v>0.28360781451993688</v>
      </c>
      <c r="L115" s="28"/>
    </row>
    <row r="116" spans="1:12" x14ac:dyDescent="0.2">
      <c r="A116" s="27">
        <v>19</v>
      </c>
      <c r="B116" s="27">
        <v>1</v>
      </c>
      <c r="C116" s="27">
        <f ca="1"/>
        <v>28</v>
      </c>
      <c r="D116" s="28">
        <f ca="1"/>
        <v>19.974336718516017</v>
      </c>
      <c r="E116" s="28">
        <f t="shared" ca="1" si="2"/>
        <v>0.97433671851601744</v>
      </c>
      <c r="G116" s="28">
        <f t="shared" ca="1" si="3"/>
        <v>0.23556229359930655</v>
      </c>
      <c r="L116" s="28"/>
    </row>
    <row r="117" spans="1:12" x14ac:dyDescent="0.2">
      <c r="A117" s="27">
        <v>19</v>
      </c>
      <c r="B117" s="27">
        <v>1</v>
      </c>
      <c r="C117" s="27">
        <f ca="1"/>
        <v>26</v>
      </c>
      <c r="D117" s="28">
        <f ca="1"/>
        <v>18.607898495211895</v>
      </c>
      <c r="E117" s="28">
        <f t="shared" ca="1" si="2"/>
        <v>-0.3921015047881049</v>
      </c>
      <c r="G117" s="28">
        <f t="shared" ca="1" si="3"/>
        <v>0.30389387162696274</v>
      </c>
      <c r="L117" s="28"/>
    </row>
    <row r="118" spans="1:12" x14ac:dyDescent="0.2">
      <c r="A118" s="27">
        <v>19</v>
      </c>
      <c r="B118" s="27">
        <v>1</v>
      </c>
      <c r="C118" s="27">
        <f ca="1"/>
        <v>29</v>
      </c>
      <c r="D118" s="28">
        <f ca="1"/>
        <v>20.657555830168075</v>
      </c>
      <c r="E118" s="28">
        <f t="shared" ca="1" si="2"/>
        <v>1.6575558301680751</v>
      </c>
      <c r="G118" s="28">
        <f t="shared" ca="1" si="3"/>
        <v>0.13246320078694085</v>
      </c>
      <c r="L118" s="28"/>
    </row>
    <row r="119" spans="1:12" x14ac:dyDescent="0.2">
      <c r="A119" s="27">
        <v>20</v>
      </c>
      <c r="B119" s="27">
        <v>1</v>
      </c>
      <c r="C119" s="27">
        <f ca="1"/>
        <v>28</v>
      </c>
      <c r="D119" s="28">
        <f ca="1"/>
        <v>19.974336718516017</v>
      </c>
      <c r="E119" s="28">
        <f t="shared" ca="1" si="2"/>
        <v>-2.5663281483982558E-2</v>
      </c>
      <c r="G119" s="28">
        <f t="shared" ca="1" si="3"/>
        <v>0.31915849397187074</v>
      </c>
      <c r="L119" s="28"/>
    </row>
    <row r="120" spans="1:12" x14ac:dyDescent="0.2">
      <c r="A120" s="27">
        <v>20</v>
      </c>
      <c r="B120" s="27">
        <v>1</v>
      </c>
      <c r="C120" s="27">
        <f ca="1"/>
        <v>27</v>
      </c>
      <c r="D120" s="28">
        <f ca="1"/>
        <v>19.291117606863956</v>
      </c>
      <c r="E120" s="28">
        <f t="shared" ca="1" si="2"/>
        <v>-0.70888239313604373</v>
      </c>
      <c r="G120" s="28">
        <f t="shared" ca="1" si="3"/>
        <v>0.2717877911689337</v>
      </c>
      <c r="L120" s="28"/>
    </row>
    <row r="121" spans="1:12" x14ac:dyDescent="0.2">
      <c r="A121" s="27">
        <v>17</v>
      </c>
      <c r="B121" s="27">
        <v>1</v>
      </c>
      <c r="C121" s="27">
        <f ca="1"/>
        <v>24</v>
      </c>
      <c r="D121" s="28">
        <f ca="1"/>
        <v>17.241460271907776</v>
      </c>
      <c r="E121" s="28">
        <f t="shared" ca="1" si="2"/>
        <v>0.2414602719077763</v>
      </c>
      <c r="G121" s="28">
        <f t="shared" ca="1" si="3"/>
        <v>0.31332258364370175</v>
      </c>
      <c r="L121" s="28"/>
    </row>
    <row r="122" spans="1:12" x14ac:dyDescent="0.2">
      <c r="A122" s="27">
        <v>16</v>
      </c>
      <c r="B122" s="27">
        <v>1</v>
      </c>
      <c r="C122" s="27">
        <f ca="1"/>
        <v>24</v>
      </c>
      <c r="D122" s="28">
        <f ca="1"/>
        <v>17.241460271907776</v>
      </c>
      <c r="E122" s="28">
        <f t="shared" ca="1" si="2"/>
        <v>1.2414602719077763</v>
      </c>
      <c r="G122" s="28">
        <f t="shared" ca="1" si="3"/>
        <v>0.19489962071960723</v>
      </c>
      <c r="L122" s="28"/>
    </row>
    <row r="123" spans="1:12" x14ac:dyDescent="0.2">
      <c r="A123" s="27">
        <v>17</v>
      </c>
      <c r="B123" s="27">
        <v>1</v>
      </c>
      <c r="C123" s="27">
        <f ca="1"/>
        <v>24</v>
      </c>
      <c r="D123" s="28">
        <f ca="1"/>
        <v>17.241460271907776</v>
      </c>
      <c r="E123" s="28">
        <f t="shared" ca="1" si="2"/>
        <v>0.2414602719077763</v>
      </c>
      <c r="G123" s="28">
        <f t="shared" ca="1" si="3"/>
        <v>0.31332258364370175</v>
      </c>
      <c r="L123" s="28"/>
    </row>
    <row r="124" spans="1:12" x14ac:dyDescent="0.2">
      <c r="A124" s="27">
        <v>17</v>
      </c>
      <c r="B124" s="27">
        <v>1</v>
      </c>
      <c r="C124" s="27">
        <f ca="1"/>
        <v>22</v>
      </c>
      <c r="D124" s="28">
        <f ca="1"/>
        <v>15.875022048603658</v>
      </c>
      <c r="E124" s="28">
        <f t="shared" ca="1" si="2"/>
        <v>-1.1249779513963425</v>
      </c>
      <c r="G124" s="28">
        <f t="shared" ca="1" si="3"/>
        <v>0.21288069180319472</v>
      </c>
      <c r="L124" s="28"/>
    </row>
    <row r="125" spans="1:12" x14ac:dyDescent="0.2">
      <c r="A125" s="27">
        <v>15</v>
      </c>
      <c r="B125" s="27">
        <v>1</v>
      </c>
      <c r="C125" s="27">
        <f ca="1"/>
        <v>19</v>
      </c>
      <c r="D125" s="28">
        <f ca="1"/>
        <v>13.825364713647479</v>
      </c>
      <c r="E125" s="28">
        <f t="shared" ca="1" si="2"/>
        <v>-1.1746352863525207</v>
      </c>
      <c r="G125" s="28">
        <f t="shared" ca="1" si="3"/>
        <v>0.20523871008550823</v>
      </c>
      <c r="L125" s="28"/>
    </row>
    <row r="126" spans="1:12" x14ac:dyDescent="0.2">
      <c r="A126" s="27">
        <v>15</v>
      </c>
      <c r="B126" s="27">
        <v>1</v>
      </c>
      <c r="C126" s="27">
        <f ca="1"/>
        <v>20</v>
      </c>
      <c r="D126" s="28">
        <f ca="1"/>
        <v>14.508583825299539</v>
      </c>
      <c r="E126" s="28">
        <f t="shared" ca="1" si="2"/>
        <v>-0.49141617470046128</v>
      </c>
      <c r="G126" s="28">
        <f t="shared" ca="1" si="3"/>
        <v>0.29547583692562635</v>
      </c>
      <c r="L126" s="28"/>
    </row>
    <row r="127" spans="1:12" x14ac:dyDescent="0.2">
      <c r="A127" s="27">
        <v>14</v>
      </c>
      <c r="B127" s="27">
        <v>1</v>
      </c>
      <c r="C127" s="27">
        <f ca="1"/>
        <v>17</v>
      </c>
      <c r="D127" s="28">
        <f ca="1"/>
        <v>12.458926490343359</v>
      </c>
      <c r="E127" s="28">
        <f t="shared" ca="1" si="2"/>
        <v>-1.5410735096566412</v>
      </c>
      <c r="G127" s="28">
        <f t="shared" ca="1" si="3"/>
        <v>0.14924443441661395</v>
      </c>
      <c r="L127" s="28"/>
    </row>
    <row r="128" spans="1:12" x14ac:dyDescent="0.2">
      <c r="A128" s="27">
        <v>9</v>
      </c>
      <c r="B128" s="27">
        <v>1</v>
      </c>
      <c r="C128" s="27">
        <f ca="1"/>
        <v>12</v>
      </c>
      <c r="D128" s="28">
        <f ca="1"/>
        <v>9.04283093208306</v>
      </c>
      <c r="E128" s="28">
        <f t="shared" ca="1" si="2"/>
        <v>4.2830932083059992E-2</v>
      </c>
      <c r="G128" s="28">
        <f t="shared" ca="1" si="3"/>
        <v>0.31903836846290684</v>
      </c>
      <c r="L128" s="28"/>
    </row>
    <row r="129" spans="1:12" x14ac:dyDescent="0.2">
      <c r="A129" s="27">
        <v>14</v>
      </c>
      <c r="B129" s="27">
        <v>1</v>
      </c>
      <c r="C129" s="27">
        <f ca="1"/>
        <v>19</v>
      </c>
      <c r="D129" s="28">
        <f ca="1"/>
        <v>13.825364713647479</v>
      </c>
      <c r="E129" s="28">
        <f t="shared" ca="1" si="2"/>
        <v>-0.17463528635252068</v>
      </c>
      <c r="G129" s="28">
        <f t="shared" ca="1" si="3"/>
        <v>0.31612416936198534</v>
      </c>
      <c r="L129" s="28"/>
    </row>
    <row r="130" spans="1:12" x14ac:dyDescent="0.2">
      <c r="A130" s="27">
        <v>13</v>
      </c>
      <c r="B130" s="27">
        <v>1</v>
      </c>
      <c r="C130" s="27">
        <f ca="1"/>
        <v>18</v>
      </c>
      <c r="D130" s="28">
        <f ca="1"/>
        <v>13.142145601995418</v>
      </c>
      <c r="E130" s="28">
        <f t="shared" ca="1" si="2"/>
        <v>0.14214560199541815</v>
      </c>
      <c r="G130" s="28">
        <f t="shared" ca="1" si="3"/>
        <v>0.31716750413300532</v>
      </c>
      <c r="L130" s="28"/>
    </row>
    <row r="131" spans="1:12" x14ac:dyDescent="0.2">
      <c r="A131" s="27">
        <v>11</v>
      </c>
      <c r="B131" s="27">
        <v>1</v>
      </c>
      <c r="C131" s="27">
        <f ca="1"/>
        <v>14</v>
      </c>
      <c r="D131" s="28">
        <f ca="1"/>
        <v>10.409269155387181</v>
      </c>
      <c r="E131" s="28">
        <f t="shared" ref="E131:E194" ca="1" si="4">D131-A131</f>
        <v>-0.59073084461281944</v>
      </c>
      <c r="G131" s="28">
        <f t="shared" ref="G131:G194" ca="1" si="5">_xlfn.NORM.DIST(E131,0,$F$2,FALSE)</f>
        <v>0.28548233893943797</v>
      </c>
      <c r="L131" s="28"/>
    </row>
    <row r="132" spans="1:12" x14ac:dyDescent="0.2">
      <c r="A132" s="27">
        <v>11</v>
      </c>
      <c r="B132" s="27">
        <v>1</v>
      </c>
      <c r="C132" s="27">
        <f ca="1"/>
        <v>15</v>
      </c>
      <c r="D132" s="28">
        <f ca="1"/>
        <v>11.09248826703924</v>
      </c>
      <c r="E132" s="28">
        <f t="shared" ca="1" si="4"/>
        <v>9.2488267039239958E-2</v>
      </c>
      <c r="G132" s="28">
        <f t="shared" ca="1" si="5"/>
        <v>0.31835277839425191</v>
      </c>
      <c r="L132" s="28"/>
    </row>
    <row r="133" spans="1:12" x14ac:dyDescent="0.2">
      <c r="A133" s="27">
        <v>12</v>
      </c>
      <c r="B133" s="27">
        <v>1</v>
      </c>
      <c r="C133" s="27">
        <f ca="1"/>
        <v>18</v>
      </c>
      <c r="D133" s="28">
        <f ca="1"/>
        <v>13.142145601995418</v>
      </c>
      <c r="E133" s="28">
        <f t="shared" ca="1" si="4"/>
        <v>1.1421456019954181</v>
      </c>
      <c r="G133" s="28">
        <f t="shared" ca="1" si="5"/>
        <v>0.21024457151414655</v>
      </c>
      <c r="L133" s="28"/>
    </row>
    <row r="134" spans="1:12" x14ac:dyDescent="0.2">
      <c r="A134" s="27">
        <v>12</v>
      </c>
      <c r="B134" s="27">
        <v>1</v>
      </c>
      <c r="C134" s="27">
        <f ca="1"/>
        <v>18</v>
      </c>
      <c r="D134" s="28">
        <f ca="1"/>
        <v>13.142145601995418</v>
      </c>
      <c r="E134" s="28">
        <f t="shared" ca="1" si="4"/>
        <v>1.1421456019954181</v>
      </c>
      <c r="G134" s="28">
        <f t="shared" ca="1" si="5"/>
        <v>0.21024457151414655</v>
      </c>
      <c r="L134" s="28"/>
    </row>
    <row r="135" spans="1:12" x14ac:dyDescent="0.2">
      <c r="A135" s="27">
        <v>11</v>
      </c>
      <c r="B135" s="27">
        <v>1</v>
      </c>
      <c r="C135" s="27">
        <f ca="1"/>
        <v>15</v>
      </c>
      <c r="D135" s="28">
        <f ca="1"/>
        <v>11.09248826703924</v>
      </c>
      <c r="E135" s="28">
        <f t="shared" ca="1" si="4"/>
        <v>9.2488267039239958E-2</v>
      </c>
      <c r="G135" s="28">
        <f t="shared" ca="1" si="5"/>
        <v>0.31835277839425191</v>
      </c>
      <c r="L135" s="28"/>
    </row>
    <row r="136" spans="1:12" x14ac:dyDescent="0.2">
      <c r="A136" s="27">
        <v>11</v>
      </c>
      <c r="B136" s="27">
        <v>1</v>
      </c>
      <c r="C136" s="27">
        <f ca="1"/>
        <v>17</v>
      </c>
      <c r="D136" s="28">
        <f ca="1"/>
        <v>12.458926490343359</v>
      </c>
      <c r="E136" s="28">
        <f t="shared" ca="1" si="4"/>
        <v>1.4589264903433588</v>
      </c>
      <c r="G136" s="28">
        <f t="shared" ca="1" si="5"/>
        <v>0.16149629011123415</v>
      </c>
      <c r="L136" s="28"/>
    </row>
    <row r="137" spans="1:12" x14ac:dyDescent="0.2">
      <c r="A137" s="27">
        <v>11</v>
      </c>
      <c r="B137" s="27">
        <v>1</v>
      </c>
      <c r="C137" s="27">
        <f ca="1"/>
        <v>16</v>
      </c>
      <c r="D137" s="28">
        <f ca="1"/>
        <v>11.775707378691299</v>
      </c>
      <c r="E137" s="28">
        <f t="shared" ca="1" si="4"/>
        <v>0.77570737869129935</v>
      </c>
      <c r="G137" s="28">
        <f t="shared" ca="1" si="5"/>
        <v>0.26329124156712214</v>
      </c>
      <c r="L137" s="28"/>
    </row>
    <row r="138" spans="1:12" x14ac:dyDescent="0.2">
      <c r="A138" s="27">
        <v>12</v>
      </c>
      <c r="B138" s="27">
        <v>1</v>
      </c>
      <c r="C138" s="27">
        <f ca="1"/>
        <v>18</v>
      </c>
      <c r="D138" s="28">
        <f ca="1"/>
        <v>13.142145601995418</v>
      </c>
      <c r="E138" s="28">
        <f t="shared" ca="1" si="4"/>
        <v>1.1421456019954181</v>
      </c>
      <c r="G138" s="28">
        <f t="shared" ca="1" si="5"/>
        <v>0.21024457151414655</v>
      </c>
      <c r="L138" s="28"/>
    </row>
    <row r="139" spans="1:12" x14ac:dyDescent="0.2">
      <c r="A139" s="27">
        <v>14</v>
      </c>
      <c r="B139" s="27">
        <v>1</v>
      </c>
      <c r="C139" s="27">
        <f ca="1"/>
        <v>17</v>
      </c>
      <c r="D139" s="28">
        <f ca="1"/>
        <v>12.458926490343359</v>
      </c>
      <c r="E139" s="28">
        <f t="shared" ca="1" si="4"/>
        <v>-1.5410735096566412</v>
      </c>
      <c r="G139" s="28">
        <f t="shared" ca="1" si="5"/>
        <v>0.14924443441661395</v>
      </c>
      <c r="L139" s="28"/>
    </row>
    <row r="140" spans="1:12" x14ac:dyDescent="0.2">
      <c r="A140" s="27">
        <v>13</v>
      </c>
      <c r="B140" s="27">
        <v>1</v>
      </c>
      <c r="C140" s="27">
        <f ca="1"/>
        <v>19</v>
      </c>
      <c r="D140" s="28">
        <f ca="1"/>
        <v>13.825364713647479</v>
      </c>
      <c r="E140" s="28">
        <f t="shared" ca="1" si="4"/>
        <v>0.82536471364747932</v>
      </c>
      <c r="G140" s="28">
        <f t="shared" ca="1" si="5"/>
        <v>0.25667424064304967</v>
      </c>
      <c r="L140" s="28"/>
    </row>
    <row r="141" spans="1:12" x14ac:dyDescent="0.2">
      <c r="A141" s="27">
        <v>13</v>
      </c>
      <c r="B141" s="27">
        <v>1</v>
      </c>
      <c r="C141" s="27">
        <f ca="1"/>
        <v>19</v>
      </c>
      <c r="D141" s="28">
        <f ca="1"/>
        <v>13.825364713647479</v>
      </c>
      <c r="E141" s="28">
        <f t="shared" ca="1" si="4"/>
        <v>0.82536471364747932</v>
      </c>
      <c r="G141" s="28">
        <f t="shared" ca="1" si="5"/>
        <v>0.25667424064304967</v>
      </c>
      <c r="L141" s="28"/>
    </row>
    <row r="142" spans="1:12" x14ac:dyDescent="0.2">
      <c r="A142" s="27">
        <v>13</v>
      </c>
      <c r="B142" s="27">
        <v>1</v>
      </c>
      <c r="C142" s="27">
        <f ca="1"/>
        <v>17</v>
      </c>
      <c r="D142" s="28">
        <f ca="1"/>
        <v>12.458926490343359</v>
      </c>
      <c r="E142" s="28">
        <f t="shared" ca="1" si="4"/>
        <v>-0.54107350965664125</v>
      </c>
      <c r="G142" s="28">
        <f t="shared" ca="1" si="5"/>
        <v>0.29066547731752662</v>
      </c>
      <c r="L142" s="28"/>
    </row>
    <row r="143" spans="1:12" x14ac:dyDescent="0.2">
      <c r="A143" s="27">
        <v>21</v>
      </c>
      <c r="B143" s="27">
        <v>1</v>
      </c>
      <c r="C143" s="27">
        <f ca="1"/>
        <v>29</v>
      </c>
      <c r="D143" s="28">
        <f ca="1"/>
        <v>20.657555830168075</v>
      </c>
      <c r="E143" s="28">
        <f t="shared" ca="1" si="4"/>
        <v>-0.34244416983192494</v>
      </c>
      <c r="G143" s="28">
        <f t="shared" ca="1" si="5"/>
        <v>0.30746337812452051</v>
      </c>
      <c r="L143" s="28"/>
    </row>
    <row r="144" spans="1:12" x14ac:dyDescent="0.2">
      <c r="A144" s="27">
        <v>19</v>
      </c>
      <c r="B144" s="27">
        <v>1</v>
      </c>
      <c r="C144" s="27">
        <f ca="1"/>
        <v>27</v>
      </c>
      <c r="D144" s="28">
        <f ca="1"/>
        <v>19.291117606863956</v>
      </c>
      <c r="E144" s="28">
        <f t="shared" ca="1" si="4"/>
        <v>0.29111760686395627</v>
      </c>
      <c r="G144" s="28">
        <f t="shared" ca="1" si="5"/>
        <v>0.31068098494392388</v>
      </c>
      <c r="L144" s="28"/>
    </row>
    <row r="145" spans="1:12" x14ac:dyDescent="0.2">
      <c r="A145" s="27">
        <v>23</v>
      </c>
      <c r="B145" s="27">
        <v>1</v>
      </c>
      <c r="C145" s="27">
        <f ca="1"/>
        <v>31</v>
      </c>
      <c r="D145" s="28">
        <f ca="1"/>
        <v>22.023994053472194</v>
      </c>
      <c r="E145" s="28">
        <f t="shared" ca="1" si="4"/>
        <v>-0.97600594652780615</v>
      </c>
      <c r="G145" s="28">
        <f t="shared" ca="1" si="5"/>
        <v>0.23531690641077893</v>
      </c>
      <c r="L145" s="28"/>
    </row>
    <row r="146" spans="1:12" x14ac:dyDescent="0.2">
      <c r="A146" s="27">
        <v>23</v>
      </c>
      <c r="B146" s="27">
        <v>1</v>
      </c>
      <c r="C146" s="27">
        <f ca="1"/>
        <v>32</v>
      </c>
      <c r="D146" s="28">
        <f ca="1"/>
        <v>22.707213165124255</v>
      </c>
      <c r="E146" s="28">
        <f t="shared" ca="1" si="4"/>
        <v>-0.29278683487574497</v>
      </c>
      <c r="G146" s="28">
        <f t="shared" ca="1" si="5"/>
        <v>0.31058405673494627</v>
      </c>
      <c r="L146" s="28"/>
    </row>
    <row r="147" spans="1:12" x14ac:dyDescent="0.2">
      <c r="A147" s="27">
        <v>19</v>
      </c>
      <c r="B147" s="27">
        <v>1</v>
      </c>
      <c r="C147" s="27">
        <f ca="1"/>
        <v>27</v>
      </c>
      <c r="D147" s="28">
        <f ca="1"/>
        <v>19.291117606863956</v>
      </c>
      <c r="E147" s="28">
        <f t="shared" ca="1" si="4"/>
        <v>0.29111760686395627</v>
      </c>
      <c r="G147" s="28">
        <f t="shared" ca="1" si="5"/>
        <v>0.31068098494392388</v>
      </c>
      <c r="L147" s="28"/>
    </row>
    <row r="148" spans="1:12" x14ac:dyDescent="0.2">
      <c r="A148" s="27">
        <v>19</v>
      </c>
      <c r="B148" s="27">
        <v>1</v>
      </c>
      <c r="C148" s="27">
        <f ca="1"/>
        <v>26</v>
      </c>
      <c r="D148" s="28">
        <f ca="1"/>
        <v>18.607898495211895</v>
      </c>
      <c r="E148" s="28">
        <f t="shared" ca="1" si="4"/>
        <v>-0.3921015047881049</v>
      </c>
      <c r="G148" s="28">
        <f t="shared" ca="1" si="5"/>
        <v>0.30389387162696274</v>
      </c>
      <c r="L148" s="28"/>
    </row>
    <row r="149" spans="1:12" x14ac:dyDescent="0.2">
      <c r="A149" s="27">
        <v>18</v>
      </c>
      <c r="B149" s="27">
        <v>1</v>
      </c>
      <c r="C149" s="27">
        <f ca="1"/>
        <v>26</v>
      </c>
      <c r="D149" s="28">
        <f ca="1"/>
        <v>18.607898495211895</v>
      </c>
      <c r="E149" s="28">
        <f t="shared" ca="1" si="4"/>
        <v>0.6078984952118951</v>
      </c>
      <c r="G149" s="28">
        <f t="shared" ca="1" si="5"/>
        <v>0.28360781451993688</v>
      </c>
      <c r="L149" s="28"/>
    </row>
    <row r="150" spans="1:12" x14ac:dyDescent="0.2">
      <c r="A150" s="27">
        <v>19</v>
      </c>
      <c r="B150" s="27">
        <v>1</v>
      </c>
      <c r="C150" s="27">
        <f ca="1"/>
        <v>25</v>
      </c>
      <c r="D150" s="28">
        <f ca="1"/>
        <v>17.924679383559837</v>
      </c>
      <c r="E150" s="28">
        <f t="shared" ca="1" si="4"/>
        <v>-1.0753206164401625</v>
      </c>
      <c r="G150" s="28">
        <f t="shared" ca="1" si="5"/>
        <v>0.22045887184038612</v>
      </c>
      <c r="L150" s="28"/>
    </row>
    <row r="151" spans="1:12" x14ac:dyDescent="0.2">
      <c r="A151" s="27">
        <v>19</v>
      </c>
      <c r="B151" s="27">
        <v>1</v>
      </c>
      <c r="C151" s="27">
        <f ca="1"/>
        <v>25</v>
      </c>
      <c r="D151" s="28">
        <f ca="1"/>
        <v>17.924679383559837</v>
      </c>
      <c r="E151" s="28">
        <f t="shared" ca="1" si="4"/>
        <v>-1.0753206164401625</v>
      </c>
      <c r="G151" s="28">
        <f t="shared" ca="1" si="5"/>
        <v>0.22045887184038612</v>
      </c>
      <c r="L151" s="28"/>
    </row>
    <row r="152" spans="1:12" x14ac:dyDescent="0.2">
      <c r="A152" s="27">
        <v>14</v>
      </c>
      <c r="B152" s="27">
        <v>1</v>
      </c>
      <c r="C152" s="27">
        <f ca="1"/>
        <v>17</v>
      </c>
      <c r="D152" s="28">
        <f ca="1"/>
        <v>12.458926490343359</v>
      </c>
      <c r="E152" s="28">
        <f t="shared" ca="1" si="4"/>
        <v>-1.5410735096566412</v>
      </c>
      <c r="G152" s="28">
        <f t="shared" ca="1" si="5"/>
        <v>0.14924443441661395</v>
      </c>
      <c r="L152" s="28"/>
    </row>
    <row r="153" spans="1:12" x14ac:dyDescent="0.2">
      <c r="A153" s="27">
        <v>15</v>
      </c>
      <c r="B153" s="27">
        <v>1</v>
      </c>
      <c r="C153" s="27">
        <f ca="1"/>
        <v>17</v>
      </c>
      <c r="D153" s="28">
        <f ca="1"/>
        <v>12.458926490343359</v>
      </c>
      <c r="E153" s="28">
        <f t="shared" ca="1" si="4"/>
        <v>-2.5410735096566412</v>
      </c>
      <c r="G153" s="28">
        <f t="shared" ca="1" si="5"/>
        <v>4.0395128664178985E-2</v>
      </c>
      <c r="L153" s="28"/>
    </row>
    <row r="154" spans="1:12" x14ac:dyDescent="0.2">
      <c r="A154" s="27">
        <v>14</v>
      </c>
      <c r="B154" s="27">
        <v>1</v>
      </c>
      <c r="C154" s="27">
        <f ca="1"/>
        <v>20</v>
      </c>
      <c r="D154" s="28">
        <f ca="1"/>
        <v>14.508583825299539</v>
      </c>
      <c r="E154" s="28">
        <f t="shared" ca="1" si="4"/>
        <v>0.50858382529953872</v>
      </c>
      <c r="G154" s="28">
        <f t="shared" ca="1" si="5"/>
        <v>0.29385631906225068</v>
      </c>
      <c r="L154" s="28"/>
    </row>
    <row r="155" spans="1:12" x14ac:dyDescent="0.2">
      <c r="A155" s="27">
        <v>12</v>
      </c>
      <c r="B155" s="27">
        <v>1</v>
      </c>
      <c r="C155" s="27">
        <f ca="1"/>
        <v>18</v>
      </c>
      <c r="D155" s="28">
        <f ca="1"/>
        <v>13.142145601995418</v>
      </c>
      <c r="E155" s="28">
        <f t="shared" ca="1" si="4"/>
        <v>1.1421456019954181</v>
      </c>
      <c r="G155" s="28">
        <f t="shared" ca="1" si="5"/>
        <v>0.21024457151414655</v>
      </c>
      <c r="L155" s="28"/>
    </row>
    <row r="156" spans="1:12" x14ac:dyDescent="0.2">
      <c r="A156" s="27">
        <v>18</v>
      </c>
      <c r="B156" s="27">
        <v>1</v>
      </c>
      <c r="C156" s="27">
        <f ca="1"/>
        <v>26</v>
      </c>
      <c r="D156" s="28">
        <f ca="1"/>
        <v>18.607898495211895</v>
      </c>
      <c r="E156" s="28">
        <f t="shared" ca="1" si="4"/>
        <v>0.6078984952118951</v>
      </c>
      <c r="G156" s="28">
        <f t="shared" ca="1" si="5"/>
        <v>0.28360781451993688</v>
      </c>
      <c r="L156" s="28"/>
    </row>
    <row r="157" spans="1:12" x14ac:dyDescent="0.2">
      <c r="A157" s="27">
        <v>16</v>
      </c>
      <c r="B157" s="27">
        <v>1</v>
      </c>
      <c r="C157" s="27">
        <f ca="1"/>
        <v>26</v>
      </c>
      <c r="D157" s="28">
        <f ca="1"/>
        <v>18.607898495211895</v>
      </c>
      <c r="E157" s="28">
        <f t="shared" ca="1" si="4"/>
        <v>2.6078984952118951</v>
      </c>
      <c r="G157" s="28">
        <f t="shared" ca="1" si="5"/>
        <v>3.6181717224349638E-2</v>
      </c>
      <c r="L157" s="28"/>
    </row>
    <row r="158" spans="1:12" x14ac:dyDescent="0.2">
      <c r="A158" s="27">
        <v>17</v>
      </c>
      <c r="B158" s="27">
        <v>1</v>
      </c>
      <c r="C158" s="27">
        <f ca="1"/>
        <v>27</v>
      </c>
      <c r="D158" s="28">
        <f ca="1"/>
        <v>19.291117606863956</v>
      </c>
      <c r="E158" s="28">
        <f t="shared" ca="1" si="4"/>
        <v>2.2911176068639563</v>
      </c>
      <c r="G158" s="28">
        <f t="shared" ca="1" si="5"/>
        <v>5.9465162689867283E-2</v>
      </c>
      <c r="L158" s="28"/>
    </row>
    <row r="159" spans="1:12" x14ac:dyDescent="0.2">
      <c r="A159" s="27">
        <v>18</v>
      </c>
      <c r="B159" s="27">
        <v>1</v>
      </c>
      <c r="C159" s="27">
        <f ca="1"/>
        <v>28</v>
      </c>
      <c r="D159" s="28">
        <f ca="1"/>
        <v>19.974336718516017</v>
      </c>
      <c r="E159" s="28">
        <f t="shared" ca="1" si="4"/>
        <v>1.9743367185160174</v>
      </c>
      <c r="G159" s="28">
        <f t="shared" ca="1" si="5"/>
        <v>9.1649753525670924E-2</v>
      </c>
      <c r="L159" s="28"/>
    </row>
    <row r="160" spans="1:12" x14ac:dyDescent="0.2">
      <c r="A160" s="27">
        <v>16</v>
      </c>
      <c r="B160" s="27">
        <v>1</v>
      </c>
      <c r="C160" s="27">
        <f ca="1"/>
        <v>25</v>
      </c>
      <c r="D160" s="28">
        <f ca="1"/>
        <v>17.924679383559837</v>
      </c>
      <c r="E160" s="28">
        <f t="shared" ca="1" si="4"/>
        <v>1.9246793835598375</v>
      </c>
      <c r="G160" s="28">
        <f t="shared" ca="1" si="5"/>
        <v>9.7510391399401958E-2</v>
      </c>
      <c r="L160" s="28"/>
    </row>
    <row r="161" spans="1:12" x14ac:dyDescent="0.2">
      <c r="A161" s="27">
        <v>18</v>
      </c>
      <c r="B161" s="27">
        <v>1</v>
      </c>
      <c r="C161" s="27">
        <f ca="1"/>
        <v>25</v>
      </c>
      <c r="D161" s="28">
        <f ca="1"/>
        <v>17.924679383559837</v>
      </c>
      <c r="E161" s="28">
        <f t="shared" ca="1" si="4"/>
        <v>-7.5320616440162524E-2</v>
      </c>
      <c r="G161" s="28">
        <f t="shared" ca="1" si="5"/>
        <v>0.3186465302206829</v>
      </c>
      <c r="L161" s="28"/>
    </row>
    <row r="162" spans="1:12" x14ac:dyDescent="0.2">
      <c r="A162" s="27">
        <v>18</v>
      </c>
      <c r="B162" s="27">
        <v>1</v>
      </c>
      <c r="C162" s="27">
        <f ca="1"/>
        <v>24</v>
      </c>
      <c r="D162" s="28">
        <f ca="1"/>
        <v>17.241460271907776</v>
      </c>
      <c r="E162" s="28">
        <f t="shared" ca="1" si="4"/>
        <v>-0.7585397280922237</v>
      </c>
      <c r="G162" s="28">
        <f t="shared" ca="1" si="5"/>
        <v>0.2655208098682208</v>
      </c>
      <c r="L162" s="28"/>
    </row>
    <row r="163" spans="1:12" x14ac:dyDescent="0.2">
      <c r="A163" s="27">
        <v>20</v>
      </c>
      <c r="B163" s="27">
        <v>1</v>
      </c>
      <c r="C163" s="27">
        <f ca="1"/>
        <v>27</v>
      </c>
      <c r="D163" s="28">
        <f ca="1"/>
        <v>19.291117606863956</v>
      </c>
      <c r="E163" s="28">
        <f t="shared" ca="1" si="4"/>
        <v>-0.70888239313604373</v>
      </c>
      <c r="G163" s="28">
        <f t="shared" ca="1" si="5"/>
        <v>0.2717877911689337</v>
      </c>
      <c r="L163" s="28"/>
    </row>
    <row r="164" spans="1:12" x14ac:dyDescent="0.2">
      <c r="A164" s="27">
        <v>19</v>
      </c>
      <c r="B164" s="27">
        <v>1</v>
      </c>
      <c r="C164" s="27">
        <f ca="1"/>
        <v>25</v>
      </c>
      <c r="D164" s="28">
        <f ca="1"/>
        <v>17.924679383559837</v>
      </c>
      <c r="E164" s="28">
        <f t="shared" ca="1" si="4"/>
        <v>-1.0753206164401625</v>
      </c>
      <c r="G164" s="28">
        <f t="shared" ca="1" si="5"/>
        <v>0.22045887184038612</v>
      </c>
      <c r="L164" s="28"/>
    </row>
    <row r="165" spans="1:12" x14ac:dyDescent="0.2">
      <c r="A165" s="27">
        <v>20</v>
      </c>
      <c r="B165" s="27">
        <v>1</v>
      </c>
      <c r="C165" s="27">
        <f ca="1"/>
        <v>26</v>
      </c>
      <c r="D165" s="28">
        <f ca="1"/>
        <v>18.607898495211895</v>
      </c>
      <c r="E165" s="28">
        <f t="shared" ca="1" si="4"/>
        <v>-1.3921015047881049</v>
      </c>
      <c r="G165" s="28">
        <f t="shared" ca="1" si="5"/>
        <v>0.17165317899794366</v>
      </c>
      <c r="L165" s="28"/>
    </row>
    <row r="166" spans="1:12" x14ac:dyDescent="0.2">
      <c r="A166" s="27">
        <v>18</v>
      </c>
      <c r="B166" s="27">
        <v>1</v>
      </c>
      <c r="C166" s="27">
        <f ca="1"/>
        <v>23</v>
      </c>
      <c r="D166" s="28">
        <f ca="1"/>
        <v>16.558241160255715</v>
      </c>
      <c r="E166" s="28">
        <f t="shared" ca="1" si="4"/>
        <v>-1.4417588397442849</v>
      </c>
      <c r="G166" s="28">
        <f t="shared" ca="1" si="5"/>
        <v>0.16409158276943275</v>
      </c>
      <c r="L166" s="28"/>
    </row>
    <row r="167" spans="1:12" x14ac:dyDescent="0.2">
      <c r="A167" s="27">
        <v>21</v>
      </c>
      <c r="B167" s="27">
        <v>1</v>
      </c>
      <c r="C167" s="27">
        <f ca="1"/>
        <v>26</v>
      </c>
      <c r="D167" s="28">
        <f ca="1"/>
        <v>18.607898495211895</v>
      </c>
      <c r="E167" s="28">
        <f t="shared" ca="1" si="4"/>
        <v>-2.3921015047881049</v>
      </c>
      <c r="G167" s="28">
        <f t="shared" ca="1" si="5"/>
        <v>5.1110239922417852E-2</v>
      </c>
      <c r="L167" s="28"/>
    </row>
    <row r="168" spans="1:12" x14ac:dyDescent="0.2">
      <c r="A168" s="27">
        <v>19</v>
      </c>
      <c r="B168" s="27">
        <v>1</v>
      </c>
      <c r="C168" s="27">
        <f ca="1"/>
        <v>26</v>
      </c>
      <c r="D168" s="28">
        <f ca="1"/>
        <v>18.607898495211895</v>
      </c>
      <c r="E168" s="28">
        <f t="shared" ca="1" si="4"/>
        <v>-0.3921015047881049</v>
      </c>
      <c r="G168" s="28">
        <f t="shared" ca="1" si="5"/>
        <v>0.30389387162696274</v>
      </c>
      <c r="L168" s="28"/>
    </row>
    <row r="169" spans="1:12" x14ac:dyDescent="0.2">
      <c r="A169" s="27">
        <v>19</v>
      </c>
      <c r="B169" s="27">
        <v>1</v>
      </c>
      <c r="C169" s="27">
        <f ca="1"/>
        <v>26</v>
      </c>
      <c r="D169" s="28">
        <f ca="1"/>
        <v>18.607898495211895</v>
      </c>
      <c r="E169" s="28">
        <f t="shared" ca="1" si="4"/>
        <v>-0.3921015047881049</v>
      </c>
      <c r="G169" s="28">
        <f t="shared" ca="1" si="5"/>
        <v>0.30389387162696274</v>
      </c>
      <c r="L169" s="28"/>
    </row>
    <row r="170" spans="1:12" x14ac:dyDescent="0.2">
      <c r="A170" s="27">
        <v>19</v>
      </c>
      <c r="B170" s="27">
        <v>1</v>
      </c>
      <c r="C170" s="27">
        <f ca="1"/>
        <v>26</v>
      </c>
      <c r="D170" s="28">
        <f ca="1"/>
        <v>18.607898495211895</v>
      </c>
      <c r="E170" s="28">
        <f t="shared" ca="1" si="4"/>
        <v>-0.3921015047881049</v>
      </c>
      <c r="G170" s="28">
        <f t="shared" ca="1" si="5"/>
        <v>0.30389387162696274</v>
      </c>
      <c r="L170" s="28"/>
    </row>
    <row r="171" spans="1:12" x14ac:dyDescent="0.2">
      <c r="A171" s="27">
        <v>20</v>
      </c>
      <c r="B171" s="27">
        <v>1</v>
      </c>
      <c r="C171" s="27">
        <f ca="1"/>
        <v>25</v>
      </c>
      <c r="D171" s="28">
        <f ca="1"/>
        <v>17.924679383559837</v>
      </c>
      <c r="E171" s="28">
        <f t="shared" ca="1" si="4"/>
        <v>-2.0753206164401625</v>
      </c>
      <c r="G171" s="28">
        <f t="shared" ca="1" si="5"/>
        <v>8.0402976672096699E-2</v>
      </c>
      <c r="L171" s="28"/>
    </row>
    <row r="172" spans="1:12" x14ac:dyDescent="0.2">
      <c r="A172" s="27">
        <v>20</v>
      </c>
      <c r="B172" s="27">
        <v>1</v>
      </c>
      <c r="C172" s="27">
        <f ca="1"/>
        <v>27</v>
      </c>
      <c r="D172" s="28">
        <f ca="1"/>
        <v>19.291117606863956</v>
      </c>
      <c r="E172" s="28">
        <f t="shared" ca="1" si="4"/>
        <v>-0.70888239313604373</v>
      </c>
      <c r="G172" s="28">
        <f t="shared" ca="1" si="5"/>
        <v>0.2717877911689337</v>
      </c>
      <c r="L172" s="28"/>
    </row>
    <row r="173" spans="1:12" x14ac:dyDescent="0.2">
      <c r="A173" s="27">
        <v>19</v>
      </c>
      <c r="B173" s="27">
        <v>1</v>
      </c>
      <c r="C173" s="27">
        <f ca="1"/>
        <v>25</v>
      </c>
      <c r="D173" s="28">
        <f ca="1"/>
        <v>17.924679383559837</v>
      </c>
      <c r="E173" s="28">
        <f t="shared" ca="1" si="4"/>
        <v>-1.0753206164401625</v>
      </c>
      <c r="G173" s="28">
        <f t="shared" ca="1" si="5"/>
        <v>0.22045887184038612</v>
      </c>
      <c r="L173" s="28"/>
    </row>
    <row r="174" spans="1:12" x14ac:dyDescent="0.2">
      <c r="A174" s="27">
        <v>20</v>
      </c>
      <c r="B174" s="27">
        <v>1</v>
      </c>
      <c r="C174" s="27">
        <f ca="1"/>
        <v>27</v>
      </c>
      <c r="D174" s="28">
        <f ca="1"/>
        <v>19.291117606863956</v>
      </c>
      <c r="E174" s="28">
        <f t="shared" ca="1" si="4"/>
        <v>-0.70888239313604373</v>
      </c>
      <c r="G174" s="28">
        <f t="shared" ca="1" si="5"/>
        <v>0.2717877911689337</v>
      </c>
      <c r="L174" s="28"/>
    </row>
    <row r="175" spans="1:12" x14ac:dyDescent="0.2">
      <c r="A175" s="27">
        <v>15</v>
      </c>
      <c r="B175" s="27">
        <v>1</v>
      </c>
      <c r="C175" s="27">
        <f ca="1"/>
        <v>20</v>
      </c>
      <c r="D175" s="28">
        <f ca="1"/>
        <v>14.508583825299539</v>
      </c>
      <c r="E175" s="28">
        <f t="shared" ca="1" si="4"/>
        <v>-0.49141617470046128</v>
      </c>
      <c r="G175" s="28">
        <f t="shared" ca="1" si="5"/>
        <v>0.29547583692562635</v>
      </c>
      <c r="L175" s="28"/>
    </row>
    <row r="176" spans="1:12" x14ac:dyDescent="0.2">
      <c r="A176" s="27">
        <v>16</v>
      </c>
      <c r="B176" s="27">
        <v>1</v>
      </c>
      <c r="C176" s="27">
        <f ca="1"/>
        <v>20</v>
      </c>
      <c r="D176" s="28">
        <f ca="1"/>
        <v>14.508583825299539</v>
      </c>
      <c r="E176" s="28">
        <f t="shared" ca="1" si="4"/>
        <v>-1.4914161747004613</v>
      </c>
      <c r="G176" s="28">
        <f t="shared" ca="1" si="5"/>
        <v>0.15661561802916329</v>
      </c>
      <c r="L176" s="28"/>
    </row>
    <row r="177" spans="1:12" x14ac:dyDescent="0.2">
      <c r="A177" s="27">
        <v>15</v>
      </c>
      <c r="B177" s="27">
        <v>1</v>
      </c>
      <c r="C177" s="27">
        <f ca="1"/>
        <v>19</v>
      </c>
      <c r="D177" s="28">
        <f ca="1"/>
        <v>13.825364713647479</v>
      </c>
      <c r="E177" s="28">
        <f t="shared" ca="1" si="4"/>
        <v>-1.1746352863525207</v>
      </c>
      <c r="G177" s="28">
        <f t="shared" ca="1" si="5"/>
        <v>0.20523871008550823</v>
      </c>
      <c r="L177" s="28"/>
    </row>
    <row r="178" spans="1:12" x14ac:dyDescent="0.2">
      <c r="A178" s="27">
        <v>15</v>
      </c>
      <c r="B178" s="27">
        <v>1</v>
      </c>
      <c r="C178" s="27">
        <f ca="1"/>
        <v>17</v>
      </c>
      <c r="D178" s="28">
        <f ca="1"/>
        <v>12.458926490343359</v>
      </c>
      <c r="E178" s="28">
        <f t="shared" ca="1" si="4"/>
        <v>-2.5410735096566412</v>
      </c>
      <c r="G178" s="28">
        <f t="shared" ca="1" si="5"/>
        <v>4.0395128664178985E-2</v>
      </c>
      <c r="L178" s="28"/>
    </row>
    <row r="179" spans="1:12" x14ac:dyDescent="0.2">
      <c r="A179" s="27">
        <v>16</v>
      </c>
      <c r="B179" s="27">
        <v>1</v>
      </c>
      <c r="C179" s="27">
        <f ca="1"/>
        <v>20</v>
      </c>
      <c r="D179" s="28">
        <f ca="1"/>
        <v>14.508583825299539</v>
      </c>
      <c r="E179" s="28">
        <f t="shared" ca="1" si="4"/>
        <v>-1.4914161747004613</v>
      </c>
      <c r="G179" s="28">
        <f t="shared" ca="1" si="5"/>
        <v>0.15661561802916329</v>
      </c>
      <c r="L179" s="28"/>
    </row>
    <row r="180" spans="1:12" x14ac:dyDescent="0.2">
      <c r="A180" s="27">
        <v>14</v>
      </c>
      <c r="B180" s="27">
        <v>1</v>
      </c>
      <c r="C180" s="27">
        <f ca="1"/>
        <v>17</v>
      </c>
      <c r="D180" s="28">
        <f ca="1"/>
        <v>12.458926490343359</v>
      </c>
      <c r="E180" s="28">
        <f t="shared" ca="1" si="4"/>
        <v>-1.5410735096566412</v>
      </c>
      <c r="G180" s="28">
        <f t="shared" ca="1" si="5"/>
        <v>0.14924443441661395</v>
      </c>
      <c r="L180" s="28"/>
    </row>
    <row r="181" spans="1:12" x14ac:dyDescent="0.2">
      <c r="A181" s="27">
        <v>21</v>
      </c>
      <c r="B181" s="27">
        <v>1</v>
      </c>
      <c r="C181" s="27">
        <f ca="1"/>
        <v>29</v>
      </c>
      <c r="D181" s="28">
        <f ca="1"/>
        <v>20.657555830168075</v>
      </c>
      <c r="E181" s="28">
        <f t="shared" ca="1" si="4"/>
        <v>-0.34244416983192494</v>
      </c>
      <c r="G181" s="28">
        <f t="shared" ca="1" si="5"/>
        <v>0.30746337812452051</v>
      </c>
      <c r="L181" s="28"/>
    </row>
    <row r="182" spans="1:12" x14ac:dyDescent="0.2">
      <c r="A182" s="27">
        <v>21</v>
      </c>
      <c r="B182" s="27">
        <v>1</v>
      </c>
      <c r="C182" s="27">
        <f ca="1"/>
        <v>27</v>
      </c>
      <c r="D182" s="28">
        <f ca="1"/>
        <v>19.291117606863956</v>
      </c>
      <c r="E182" s="28">
        <f t="shared" ca="1" si="4"/>
        <v>-1.7088823931360437</v>
      </c>
      <c r="G182" s="28">
        <f t="shared" ca="1" si="5"/>
        <v>0.12533471414208935</v>
      </c>
      <c r="L182" s="28"/>
    </row>
    <row r="183" spans="1:12" x14ac:dyDescent="0.2">
      <c r="A183" s="27">
        <v>21</v>
      </c>
      <c r="B183" s="27">
        <v>1</v>
      </c>
      <c r="C183" s="27">
        <f ca="1"/>
        <v>31</v>
      </c>
      <c r="D183" s="28">
        <f ca="1"/>
        <v>22.023994053472194</v>
      </c>
      <c r="E183" s="28">
        <f t="shared" ca="1" si="4"/>
        <v>1.0239940534721939</v>
      </c>
      <c r="G183" s="28">
        <f t="shared" ca="1" si="5"/>
        <v>0.22819645484299309</v>
      </c>
      <c r="L183" s="28"/>
    </row>
    <row r="184" spans="1:12" x14ac:dyDescent="0.2">
      <c r="A184" s="27">
        <v>21</v>
      </c>
      <c r="B184" s="27">
        <v>1</v>
      </c>
      <c r="C184" s="27">
        <f ca="1"/>
        <v>31</v>
      </c>
      <c r="D184" s="28">
        <f ca="1"/>
        <v>22.023994053472194</v>
      </c>
      <c r="E184" s="28">
        <f t="shared" ca="1" si="4"/>
        <v>1.0239940534721939</v>
      </c>
      <c r="G184" s="28">
        <f t="shared" ca="1" si="5"/>
        <v>0.22819645484299309</v>
      </c>
      <c r="L184" s="28"/>
    </row>
    <row r="185" spans="1:12" x14ac:dyDescent="0.2">
      <c r="A185" s="27">
        <v>18</v>
      </c>
      <c r="B185" s="27">
        <v>1</v>
      </c>
      <c r="C185" s="27">
        <f ca="1"/>
        <v>26</v>
      </c>
      <c r="D185" s="28">
        <f ca="1"/>
        <v>18.607898495211895</v>
      </c>
      <c r="E185" s="28">
        <f t="shared" ca="1" si="4"/>
        <v>0.6078984952118951</v>
      </c>
      <c r="G185" s="28">
        <f t="shared" ca="1" si="5"/>
        <v>0.28360781451993688</v>
      </c>
      <c r="L185" s="28"/>
    </row>
    <row r="186" spans="1:12" x14ac:dyDescent="0.2">
      <c r="A186" s="27">
        <v>18</v>
      </c>
      <c r="B186" s="27">
        <v>1</v>
      </c>
      <c r="C186" s="27">
        <f ca="1"/>
        <v>26</v>
      </c>
      <c r="D186" s="28">
        <f ca="1"/>
        <v>18.607898495211895</v>
      </c>
      <c r="E186" s="28">
        <f t="shared" ca="1" si="4"/>
        <v>0.6078984952118951</v>
      </c>
      <c r="G186" s="28">
        <f t="shared" ca="1" si="5"/>
        <v>0.28360781451993688</v>
      </c>
      <c r="L186" s="28"/>
    </row>
    <row r="187" spans="1:12" x14ac:dyDescent="0.2">
      <c r="A187" s="27">
        <v>19</v>
      </c>
      <c r="B187" s="27">
        <v>1</v>
      </c>
      <c r="C187" s="27">
        <f ca="1"/>
        <v>28</v>
      </c>
      <c r="D187" s="28">
        <f ca="1"/>
        <v>19.974336718516017</v>
      </c>
      <c r="E187" s="28">
        <f t="shared" ca="1" si="4"/>
        <v>0.97433671851601744</v>
      </c>
      <c r="G187" s="28">
        <f t="shared" ca="1" si="5"/>
        <v>0.23556229359930655</v>
      </c>
      <c r="L187" s="28"/>
    </row>
    <row r="188" spans="1:12" x14ac:dyDescent="0.2">
      <c r="A188" s="27">
        <v>21</v>
      </c>
      <c r="B188" s="27">
        <v>1</v>
      </c>
      <c r="C188" s="27">
        <f ca="1"/>
        <v>27</v>
      </c>
      <c r="D188" s="28">
        <f ca="1"/>
        <v>19.291117606863956</v>
      </c>
      <c r="E188" s="28">
        <f t="shared" ca="1" si="4"/>
        <v>-1.7088823931360437</v>
      </c>
      <c r="G188" s="28">
        <f t="shared" ca="1" si="5"/>
        <v>0.12533471414208935</v>
      </c>
      <c r="L188" s="28"/>
    </row>
    <row r="189" spans="1:12" x14ac:dyDescent="0.2">
      <c r="A189" s="27">
        <v>21</v>
      </c>
      <c r="B189" s="27">
        <v>1</v>
      </c>
      <c r="C189" s="27">
        <f ca="1"/>
        <v>29</v>
      </c>
      <c r="D189" s="28">
        <f ca="1"/>
        <v>20.657555830168075</v>
      </c>
      <c r="E189" s="28">
        <f t="shared" ca="1" si="4"/>
        <v>-0.34244416983192494</v>
      </c>
      <c r="G189" s="28">
        <f t="shared" ca="1" si="5"/>
        <v>0.30746337812452051</v>
      </c>
      <c r="L189" s="28"/>
    </row>
    <row r="190" spans="1:12" x14ac:dyDescent="0.2">
      <c r="A190" s="27">
        <v>21</v>
      </c>
      <c r="B190" s="27">
        <v>1</v>
      </c>
      <c r="C190" s="27">
        <f ca="1"/>
        <v>31</v>
      </c>
      <c r="D190" s="28">
        <f ca="1"/>
        <v>22.023994053472194</v>
      </c>
      <c r="E190" s="28">
        <f t="shared" ca="1" si="4"/>
        <v>1.0239940534721939</v>
      </c>
      <c r="G190" s="28">
        <f t="shared" ca="1" si="5"/>
        <v>0.22819645484299309</v>
      </c>
      <c r="L190" s="28"/>
    </row>
    <row r="191" spans="1:12" x14ac:dyDescent="0.2">
      <c r="A191" s="27">
        <v>22</v>
      </c>
      <c r="B191" s="27">
        <v>1</v>
      </c>
      <c r="C191" s="27">
        <f ca="1"/>
        <v>31</v>
      </c>
      <c r="D191" s="28">
        <f ca="1"/>
        <v>22.023994053472194</v>
      </c>
      <c r="E191" s="28">
        <f t="shared" ca="1" si="4"/>
        <v>2.3994053472193855E-2</v>
      </c>
      <c r="G191" s="28">
        <f t="shared" ca="1" si="5"/>
        <v>0.31916696345814999</v>
      </c>
      <c r="L191" s="28"/>
    </row>
    <row r="192" spans="1:12" x14ac:dyDescent="0.2">
      <c r="A192" s="27">
        <v>18</v>
      </c>
      <c r="B192" s="27">
        <v>1</v>
      </c>
      <c r="C192" s="27">
        <f ca="1"/>
        <v>26</v>
      </c>
      <c r="D192" s="28">
        <f ca="1"/>
        <v>18.607898495211895</v>
      </c>
      <c r="E192" s="28">
        <f t="shared" ca="1" si="4"/>
        <v>0.6078984952118951</v>
      </c>
      <c r="G192" s="28">
        <f t="shared" ca="1" si="5"/>
        <v>0.28360781451993688</v>
      </c>
      <c r="L192" s="28"/>
    </row>
    <row r="193" spans="1:12" x14ac:dyDescent="0.2">
      <c r="A193" s="27">
        <v>18</v>
      </c>
      <c r="B193" s="27">
        <v>1</v>
      </c>
      <c r="C193" s="27">
        <f ca="1"/>
        <v>26</v>
      </c>
      <c r="D193" s="28">
        <f ca="1"/>
        <v>18.607898495211895</v>
      </c>
      <c r="E193" s="28">
        <f t="shared" ca="1" si="4"/>
        <v>0.6078984952118951</v>
      </c>
      <c r="G193" s="28">
        <f t="shared" ca="1" si="5"/>
        <v>0.28360781451993688</v>
      </c>
      <c r="L193" s="28"/>
    </row>
    <row r="194" spans="1:12" x14ac:dyDescent="0.2">
      <c r="A194" s="27">
        <v>18</v>
      </c>
      <c r="B194" s="27">
        <v>1</v>
      </c>
      <c r="C194" s="27">
        <f ca="1"/>
        <v>27</v>
      </c>
      <c r="D194" s="28">
        <f ca="1"/>
        <v>19.291117606863956</v>
      </c>
      <c r="E194" s="28">
        <f t="shared" ca="1" si="4"/>
        <v>1.2911176068639563</v>
      </c>
      <c r="G194" s="28">
        <f t="shared" ca="1" si="5"/>
        <v>0.18720849951963059</v>
      </c>
      <c r="L194" s="28"/>
    </row>
    <row r="195" spans="1:12" x14ac:dyDescent="0.2">
      <c r="A195" s="27">
        <v>24</v>
      </c>
      <c r="B195" s="27">
        <v>1</v>
      </c>
      <c r="C195" s="27">
        <f ca="1"/>
        <v>30</v>
      </c>
      <c r="D195" s="28">
        <f ca="1"/>
        <v>21.340774941820136</v>
      </c>
      <c r="E195" s="28">
        <f t="shared" ref="E195:E235" ca="1" si="6">D195-A195</f>
        <v>-2.6592250581798638</v>
      </c>
      <c r="G195" s="28">
        <f t="shared" ref="G195:G235" ca="1" si="7">_xlfn.NORM.DIST(E195,0,$F$2,FALSE)</f>
        <v>3.3181916685722804E-2</v>
      </c>
      <c r="L195" s="28"/>
    </row>
    <row r="196" spans="1:12" x14ac:dyDescent="0.2">
      <c r="A196" s="27">
        <v>24</v>
      </c>
      <c r="B196" s="27">
        <v>1</v>
      </c>
      <c r="C196" s="27">
        <f ca="1"/>
        <v>33</v>
      </c>
      <c r="D196" s="28">
        <f ca="1"/>
        <v>23.390432276776316</v>
      </c>
      <c r="E196" s="28">
        <f t="shared" ca="1" si="6"/>
        <v>-0.6095677232236838</v>
      </c>
      <c r="G196" s="28">
        <f t="shared" ca="1" si="7"/>
        <v>0.28342335743776725</v>
      </c>
      <c r="L196" s="28"/>
    </row>
    <row r="197" spans="1:12" x14ac:dyDescent="0.2">
      <c r="A197" s="27">
        <v>26</v>
      </c>
      <c r="B197" s="27">
        <v>1</v>
      </c>
      <c r="C197" s="27">
        <f ca="1"/>
        <v>35</v>
      </c>
      <c r="D197" s="28">
        <f ca="1"/>
        <v>24.756870500080435</v>
      </c>
      <c r="E197" s="28">
        <f t="shared" ca="1" si="6"/>
        <v>-1.243129499919565</v>
      </c>
      <c r="G197" s="28">
        <f t="shared" ca="1" si="7"/>
        <v>0.19464101454310373</v>
      </c>
      <c r="L197" s="28"/>
    </row>
    <row r="198" spans="1:12" x14ac:dyDescent="0.2">
      <c r="A198" s="27">
        <v>28</v>
      </c>
      <c r="B198" s="27">
        <v>1</v>
      </c>
      <c r="C198" s="27">
        <f ca="1"/>
        <v>37</v>
      </c>
      <c r="D198" s="28">
        <f ca="1"/>
        <v>26.123308723384554</v>
      </c>
      <c r="E198" s="28">
        <f t="shared" ca="1" si="6"/>
        <v>-1.8766912766154462</v>
      </c>
      <c r="G198" s="28">
        <f t="shared" ca="1" si="7"/>
        <v>0.10337466032027857</v>
      </c>
      <c r="L198" s="28"/>
    </row>
    <row r="199" spans="1:12" x14ac:dyDescent="0.2">
      <c r="A199" s="27">
        <v>26</v>
      </c>
      <c r="B199" s="27">
        <v>1</v>
      </c>
      <c r="C199" s="27">
        <f ca="1"/>
        <v>35</v>
      </c>
      <c r="D199" s="28">
        <f ca="1"/>
        <v>24.756870500080435</v>
      </c>
      <c r="E199" s="28">
        <f t="shared" ca="1" si="6"/>
        <v>-1.243129499919565</v>
      </c>
      <c r="G199" s="28">
        <f t="shared" ca="1" si="7"/>
        <v>0.19464101454310373</v>
      </c>
      <c r="L199" s="28"/>
    </row>
    <row r="200" spans="1:12" x14ac:dyDescent="0.2">
      <c r="A200" s="27">
        <v>11</v>
      </c>
      <c r="B200" s="27">
        <v>1</v>
      </c>
      <c r="C200" s="27">
        <f ca="1"/>
        <v>15</v>
      </c>
      <c r="D200" s="28">
        <f ca="1"/>
        <v>11.09248826703924</v>
      </c>
      <c r="E200" s="28">
        <f t="shared" ca="1" si="6"/>
        <v>9.2488267039239958E-2</v>
      </c>
      <c r="G200" s="28">
        <f t="shared" ca="1" si="7"/>
        <v>0.31835277839425191</v>
      </c>
      <c r="L200" s="28"/>
    </row>
    <row r="201" spans="1:12" x14ac:dyDescent="0.2">
      <c r="A201" s="27">
        <v>13</v>
      </c>
      <c r="B201" s="27">
        <v>1</v>
      </c>
      <c r="C201" s="27">
        <f ca="1"/>
        <v>18</v>
      </c>
      <c r="D201" s="28">
        <f ca="1"/>
        <v>13.142145601995418</v>
      </c>
      <c r="E201" s="28">
        <f t="shared" ca="1" si="6"/>
        <v>0.14214560199541815</v>
      </c>
      <c r="G201" s="28">
        <f t="shared" ca="1" si="7"/>
        <v>0.31716750413300532</v>
      </c>
      <c r="L201" s="28"/>
    </row>
    <row r="202" spans="1:12" x14ac:dyDescent="0.2">
      <c r="A202" s="27">
        <v>15</v>
      </c>
      <c r="B202" s="27">
        <v>1</v>
      </c>
      <c r="C202" s="27">
        <f ca="1"/>
        <v>20</v>
      </c>
      <c r="D202" s="28">
        <f ca="1"/>
        <v>14.508583825299539</v>
      </c>
      <c r="E202" s="28">
        <f t="shared" ca="1" si="6"/>
        <v>-0.49141617470046128</v>
      </c>
      <c r="G202" s="28">
        <f t="shared" ca="1" si="7"/>
        <v>0.29547583692562635</v>
      </c>
      <c r="L202" s="28"/>
    </row>
    <row r="203" spans="1:12" x14ac:dyDescent="0.2">
      <c r="A203" s="27">
        <v>16</v>
      </c>
      <c r="B203" s="27">
        <v>1</v>
      </c>
      <c r="C203" s="27">
        <f ca="1"/>
        <v>20</v>
      </c>
      <c r="D203" s="28">
        <f ca="1"/>
        <v>14.508583825299539</v>
      </c>
      <c r="E203" s="28">
        <f t="shared" ca="1" si="6"/>
        <v>-1.4914161747004613</v>
      </c>
      <c r="G203" s="28">
        <f t="shared" ca="1" si="7"/>
        <v>0.15661561802916329</v>
      </c>
      <c r="L203" s="28"/>
    </row>
    <row r="204" spans="1:12" x14ac:dyDescent="0.2">
      <c r="A204" s="27">
        <v>17</v>
      </c>
      <c r="B204" s="27">
        <v>1</v>
      </c>
      <c r="C204" s="27">
        <f ca="1"/>
        <v>22</v>
      </c>
      <c r="D204" s="28">
        <f ca="1"/>
        <v>15.875022048603658</v>
      </c>
      <c r="E204" s="28">
        <f t="shared" ca="1" si="6"/>
        <v>-1.1249779513963425</v>
      </c>
      <c r="G204" s="28">
        <f t="shared" ca="1" si="7"/>
        <v>0.21288069180319472</v>
      </c>
      <c r="L204" s="28"/>
    </row>
    <row r="205" spans="1:12" x14ac:dyDescent="0.2">
      <c r="A205" s="27">
        <v>15</v>
      </c>
      <c r="B205" s="27">
        <v>1</v>
      </c>
      <c r="C205" s="27">
        <f ca="1"/>
        <v>17</v>
      </c>
      <c r="D205" s="28">
        <f ca="1"/>
        <v>12.458926490343359</v>
      </c>
      <c r="E205" s="28">
        <f t="shared" ca="1" si="6"/>
        <v>-2.5410735096566412</v>
      </c>
      <c r="G205" s="28">
        <f t="shared" ca="1" si="7"/>
        <v>4.0395128664178985E-2</v>
      </c>
      <c r="L205" s="28"/>
    </row>
    <row r="206" spans="1:12" x14ac:dyDescent="0.2">
      <c r="A206" s="27">
        <v>15</v>
      </c>
      <c r="B206" s="27">
        <v>1</v>
      </c>
      <c r="C206" s="27">
        <f ca="1"/>
        <v>19</v>
      </c>
      <c r="D206" s="28">
        <f ca="1"/>
        <v>13.825364713647479</v>
      </c>
      <c r="E206" s="28">
        <f t="shared" ca="1" si="6"/>
        <v>-1.1746352863525207</v>
      </c>
      <c r="G206" s="28">
        <f t="shared" ca="1" si="7"/>
        <v>0.20523871008550823</v>
      </c>
      <c r="L206" s="28"/>
    </row>
    <row r="207" spans="1:12" x14ac:dyDescent="0.2">
      <c r="A207" s="27">
        <v>15</v>
      </c>
      <c r="B207" s="27">
        <v>1</v>
      </c>
      <c r="C207" s="27">
        <f ca="1"/>
        <v>18</v>
      </c>
      <c r="D207" s="28">
        <f ca="1"/>
        <v>13.142145601995418</v>
      </c>
      <c r="E207" s="28">
        <f t="shared" ca="1" si="6"/>
        <v>-1.8578543980045819</v>
      </c>
      <c r="G207" s="28">
        <f t="shared" ca="1" si="7"/>
        <v>0.10572920124505396</v>
      </c>
      <c r="L207" s="28"/>
    </row>
    <row r="208" spans="1:12" x14ac:dyDescent="0.2">
      <c r="A208" s="27">
        <v>16</v>
      </c>
      <c r="B208" s="27">
        <v>1</v>
      </c>
      <c r="C208" s="27">
        <f ca="1"/>
        <v>20</v>
      </c>
      <c r="D208" s="28">
        <f ca="1"/>
        <v>14.508583825299539</v>
      </c>
      <c r="E208" s="28">
        <f t="shared" ca="1" si="6"/>
        <v>-1.4914161747004613</v>
      </c>
      <c r="G208" s="28">
        <f t="shared" ca="1" si="7"/>
        <v>0.15661561802916329</v>
      </c>
      <c r="L208" s="28"/>
    </row>
    <row r="209" spans="1:12" x14ac:dyDescent="0.2">
      <c r="A209" s="27">
        <v>21</v>
      </c>
      <c r="B209" s="27">
        <v>1</v>
      </c>
      <c r="C209" s="27">
        <f ca="1"/>
        <v>29</v>
      </c>
      <c r="D209" s="28">
        <f ca="1"/>
        <v>20.657555830168075</v>
      </c>
      <c r="E209" s="28">
        <f t="shared" ca="1" si="6"/>
        <v>-0.34244416983192494</v>
      </c>
      <c r="G209" s="28">
        <f t="shared" ca="1" si="7"/>
        <v>0.30746337812452051</v>
      </c>
      <c r="L209" s="28"/>
    </row>
    <row r="210" spans="1:12" x14ac:dyDescent="0.2">
      <c r="A210" s="27">
        <v>19</v>
      </c>
      <c r="B210" s="27">
        <v>1</v>
      </c>
      <c r="C210" s="27">
        <f ca="1"/>
        <v>26</v>
      </c>
      <c r="D210" s="28">
        <f ca="1"/>
        <v>18.607898495211895</v>
      </c>
      <c r="E210" s="28">
        <f t="shared" ca="1" si="6"/>
        <v>-0.3921015047881049</v>
      </c>
      <c r="G210" s="28">
        <f t="shared" ca="1" si="7"/>
        <v>0.30389387162696274</v>
      </c>
      <c r="L210" s="28"/>
    </row>
    <row r="211" spans="1:12" x14ac:dyDescent="0.2">
      <c r="A211" s="27">
        <v>21</v>
      </c>
      <c r="B211" s="27">
        <v>1</v>
      </c>
      <c r="C211" s="27">
        <f ca="1"/>
        <v>29</v>
      </c>
      <c r="D211" s="28">
        <f ca="1"/>
        <v>20.657555830168075</v>
      </c>
      <c r="E211" s="28">
        <f t="shared" ca="1" si="6"/>
        <v>-0.34244416983192494</v>
      </c>
      <c r="G211" s="28">
        <f t="shared" ca="1" si="7"/>
        <v>0.30746337812452051</v>
      </c>
      <c r="L211" s="28"/>
    </row>
    <row r="212" spans="1:12" x14ac:dyDescent="0.2">
      <c r="A212" s="27">
        <v>22</v>
      </c>
      <c r="B212" s="27">
        <v>1</v>
      </c>
      <c r="C212" s="27">
        <f ca="1"/>
        <v>29</v>
      </c>
      <c r="D212" s="28">
        <f ca="1"/>
        <v>20.657555830168075</v>
      </c>
      <c r="E212" s="28">
        <f t="shared" ca="1" si="6"/>
        <v>-1.3424441698319249</v>
      </c>
      <c r="G212" s="28">
        <f t="shared" ca="1" si="7"/>
        <v>0.17927994451859014</v>
      </c>
      <c r="L212" s="28"/>
    </row>
    <row r="213" spans="1:12" x14ac:dyDescent="0.2">
      <c r="A213" s="27">
        <v>17</v>
      </c>
      <c r="B213" s="27">
        <v>1</v>
      </c>
      <c r="C213" s="27">
        <f ca="1"/>
        <v>24</v>
      </c>
      <c r="D213" s="28">
        <f ca="1"/>
        <v>17.241460271907776</v>
      </c>
      <c r="E213" s="28">
        <f t="shared" ca="1" si="6"/>
        <v>0.2414602719077763</v>
      </c>
      <c r="G213" s="28">
        <f t="shared" ca="1" si="7"/>
        <v>0.31332258364370175</v>
      </c>
      <c r="L213" s="28"/>
    </row>
    <row r="214" spans="1:12" x14ac:dyDescent="0.2">
      <c r="A214" s="27">
        <v>33</v>
      </c>
      <c r="B214" s="27">
        <v>1</v>
      </c>
      <c r="C214" s="27">
        <f ca="1"/>
        <v>44</v>
      </c>
      <c r="D214" s="28">
        <f ca="1"/>
        <v>30.905842504948971</v>
      </c>
      <c r="E214" s="28">
        <f t="shared" ca="1" si="6"/>
        <v>-2.0941574950510287</v>
      </c>
      <c r="G214" s="28">
        <f t="shared" ca="1" si="7"/>
        <v>7.8406519233685218E-2</v>
      </c>
      <c r="L214" s="28"/>
    </row>
    <row r="215" spans="1:12" x14ac:dyDescent="0.2">
      <c r="A215" s="27">
        <v>21</v>
      </c>
      <c r="B215" s="27">
        <v>1</v>
      </c>
      <c r="C215" s="27">
        <f ca="1"/>
        <v>29</v>
      </c>
      <c r="D215" s="28">
        <f ca="1"/>
        <v>20.657555830168075</v>
      </c>
      <c r="E215" s="28">
        <f t="shared" ca="1" si="6"/>
        <v>-0.34244416983192494</v>
      </c>
      <c r="G215" s="28">
        <f t="shared" ca="1" si="7"/>
        <v>0.30746337812452051</v>
      </c>
      <c r="L215" s="28"/>
    </row>
    <row r="216" spans="1:12" x14ac:dyDescent="0.2">
      <c r="A216" s="27">
        <v>19</v>
      </c>
      <c r="B216" s="27">
        <v>1</v>
      </c>
      <c r="C216" s="27">
        <f ca="1"/>
        <v>26</v>
      </c>
      <c r="D216" s="28">
        <f ca="1"/>
        <v>18.607898495211895</v>
      </c>
      <c r="E216" s="28">
        <f t="shared" ca="1" si="6"/>
        <v>-0.3921015047881049</v>
      </c>
      <c r="G216" s="28">
        <f t="shared" ca="1" si="7"/>
        <v>0.30389387162696274</v>
      </c>
      <c r="L216" s="28"/>
    </row>
    <row r="217" spans="1:12" x14ac:dyDescent="0.2">
      <c r="A217" s="27">
        <v>22</v>
      </c>
      <c r="B217" s="27">
        <v>1</v>
      </c>
      <c r="C217" s="27">
        <f ca="1"/>
        <v>29</v>
      </c>
      <c r="D217" s="28">
        <f ca="1"/>
        <v>20.657555830168075</v>
      </c>
      <c r="E217" s="28">
        <f t="shared" ca="1" si="6"/>
        <v>-1.3424441698319249</v>
      </c>
      <c r="G217" s="28">
        <f t="shared" ca="1" si="7"/>
        <v>0.17927994451859014</v>
      </c>
      <c r="L217" s="28"/>
    </row>
    <row r="218" spans="1:12" x14ac:dyDescent="0.2">
      <c r="A218" s="27">
        <v>21</v>
      </c>
      <c r="B218" s="27">
        <v>1</v>
      </c>
      <c r="C218" s="27">
        <f ca="1"/>
        <v>29</v>
      </c>
      <c r="D218" s="28">
        <f ca="1"/>
        <v>20.657555830168075</v>
      </c>
      <c r="E218" s="28">
        <f t="shared" ca="1" si="6"/>
        <v>-0.34244416983192494</v>
      </c>
      <c r="G218" s="28">
        <f t="shared" ca="1" si="7"/>
        <v>0.30746337812452051</v>
      </c>
      <c r="L218" s="28"/>
    </row>
    <row r="219" spans="1:12" x14ac:dyDescent="0.2">
      <c r="A219" s="27">
        <v>21</v>
      </c>
      <c r="B219" s="27">
        <v>1</v>
      </c>
      <c r="C219" s="27">
        <f ca="1"/>
        <v>29</v>
      </c>
      <c r="D219" s="28">
        <f ca="1"/>
        <v>20.657555830168075</v>
      </c>
      <c r="E219" s="28">
        <f t="shared" ca="1" si="6"/>
        <v>-0.34244416983192494</v>
      </c>
      <c r="G219" s="28">
        <f t="shared" ca="1" si="7"/>
        <v>0.30746337812452051</v>
      </c>
      <c r="L219" s="28"/>
    </row>
    <row r="220" spans="1:12" x14ac:dyDescent="0.2">
      <c r="A220" s="27">
        <v>21</v>
      </c>
      <c r="B220" s="27">
        <v>1</v>
      </c>
      <c r="C220" s="27">
        <f ca="1"/>
        <v>29</v>
      </c>
      <c r="D220" s="28">
        <f ca="1"/>
        <v>20.657555830168075</v>
      </c>
      <c r="E220" s="28">
        <f t="shared" ca="1" si="6"/>
        <v>-0.34244416983192494</v>
      </c>
      <c r="G220" s="28">
        <f t="shared" ca="1" si="7"/>
        <v>0.30746337812452051</v>
      </c>
      <c r="L220" s="28"/>
    </row>
    <row r="221" spans="1:12" x14ac:dyDescent="0.2">
      <c r="A221" s="27">
        <v>16</v>
      </c>
      <c r="B221" s="27">
        <v>1</v>
      </c>
      <c r="C221" s="27">
        <f ca="1"/>
        <v>23</v>
      </c>
      <c r="D221" s="28">
        <f ca="1"/>
        <v>16.558241160255715</v>
      </c>
      <c r="E221" s="28">
        <f t="shared" ca="1" si="6"/>
        <v>0.55824116025571513</v>
      </c>
      <c r="G221" s="28">
        <f t="shared" ca="1" si="7"/>
        <v>0.28891457937292003</v>
      </c>
      <c r="L221" s="28"/>
    </row>
    <row r="222" spans="1:12" x14ac:dyDescent="0.2">
      <c r="A222" s="27">
        <v>17</v>
      </c>
      <c r="B222" s="27">
        <v>1</v>
      </c>
      <c r="C222" s="27">
        <f ca="1"/>
        <v>24</v>
      </c>
      <c r="D222" s="28">
        <f ca="1"/>
        <v>17.241460271907776</v>
      </c>
      <c r="E222" s="28">
        <f t="shared" ca="1" si="6"/>
        <v>0.2414602719077763</v>
      </c>
      <c r="G222" s="28">
        <f t="shared" ca="1" si="7"/>
        <v>0.31332258364370175</v>
      </c>
      <c r="L222" s="28"/>
    </row>
    <row r="223" spans="1:12" x14ac:dyDescent="0.2">
      <c r="A223" s="27">
        <v>35</v>
      </c>
      <c r="B223" s="27">
        <v>1</v>
      </c>
      <c r="C223" s="27">
        <f ca="1"/>
        <v>44</v>
      </c>
      <c r="D223" s="28">
        <f ca="1"/>
        <v>30.905842504948971</v>
      </c>
      <c r="E223" s="28">
        <f t="shared" ca="1" si="6"/>
        <v>-4.0941574950510287</v>
      </c>
      <c r="G223" s="28">
        <f t="shared" ca="1" si="7"/>
        <v>1.4912266665311721E-3</v>
      </c>
      <c r="L223" s="28"/>
    </row>
    <row r="224" spans="1:12" x14ac:dyDescent="0.2">
      <c r="A224" s="27">
        <v>29</v>
      </c>
      <c r="B224" s="27">
        <v>1</v>
      </c>
      <c r="C224" s="27">
        <f ca="1"/>
        <v>41</v>
      </c>
      <c r="D224" s="28">
        <f ca="1"/>
        <v>28.856185169992791</v>
      </c>
      <c r="E224" s="28">
        <f t="shared" ca="1" si="6"/>
        <v>-0.14381483000720863</v>
      </c>
      <c r="G224" s="28">
        <f t="shared" ca="1" si="7"/>
        <v>0.31711903972216288</v>
      </c>
      <c r="L224" s="28"/>
    </row>
    <row r="225" spans="1:12" x14ac:dyDescent="0.2">
      <c r="A225" s="27">
        <v>21</v>
      </c>
      <c r="B225" s="27">
        <v>1</v>
      </c>
      <c r="C225" s="27">
        <f ca="1"/>
        <v>29</v>
      </c>
      <c r="D225" s="28">
        <f ca="1"/>
        <v>20.657555830168075</v>
      </c>
      <c r="E225" s="28">
        <f t="shared" ca="1" si="6"/>
        <v>-0.34244416983192494</v>
      </c>
      <c r="G225" s="28">
        <f t="shared" ca="1" si="7"/>
        <v>0.30746337812452051</v>
      </c>
      <c r="L225" s="28"/>
    </row>
    <row r="226" spans="1:12" x14ac:dyDescent="0.2">
      <c r="A226" s="27">
        <v>19</v>
      </c>
      <c r="B226" s="27">
        <v>1</v>
      </c>
      <c r="C226" s="27">
        <f ca="1"/>
        <v>26</v>
      </c>
      <c r="D226" s="28">
        <f ca="1"/>
        <v>18.607898495211895</v>
      </c>
      <c r="E226" s="28">
        <f t="shared" ca="1" si="6"/>
        <v>-0.3921015047881049</v>
      </c>
      <c r="G226" s="28">
        <f t="shared" ca="1" si="7"/>
        <v>0.30389387162696274</v>
      </c>
      <c r="L226" s="28"/>
    </row>
    <row r="227" spans="1:12" x14ac:dyDescent="0.2">
      <c r="A227" s="27">
        <v>20</v>
      </c>
      <c r="B227" s="27">
        <v>1</v>
      </c>
      <c r="C227" s="27">
        <f ca="1"/>
        <v>28</v>
      </c>
      <c r="D227" s="28">
        <f ca="1"/>
        <v>19.974336718516017</v>
      </c>
      <c r="E227" s="28">
        <f t="shared" ca="1" si="6"/>
        <v>-2.5663281483982558E-2</v>
      </c>
      <c r="G227" s="28">
        <f t="shared" ca="1" si="7"/>
        <v>0.31915849397187074</v>
      </c>
      <c r="L227" s="28"/>
    </row>
    <row r="228" spans="1:12" x14ac:dyDescent="0.2">
      <c r="A228" s="27">
        <v>20</v>
      </c>
      <c r="B228" s="27">
        <v>1</v>
      </c>
      <c r="C228" s="27">
        <f ca="1"/>
        <v>29</v>
      </c>
      <c r="D228" s="28">
        <f ca="1"/>
        <v>20.657555830168075</v>
      </c>
      <c r="E228" s="28">
        <f t="shared" ca="1" si="6"/>
        <v>0.65755583016807506</v>
      </c>
      <c r="G228" s="28">
        <f t="shared" ca="1" si="7"/>
        <v>0.2779593195039412</v>
      </c>
      <c r="L228" s="28"/>
    </row>
    <row r="229" spans="1:12" x14ac:dyDescent="0.2">
      <c r="A229" s="27">
        <v>21</v>
      </c>
      <c r="B229" s="27">
        <v>1</v>
      </c>
      <c r="C229" s="27">
        <f ca="1"/>
        <v>29</v>
      </c>
      <c r="D229" s="28">
        <f ca="1"/>
        <v>20.657555830168075</v>
      </c>
      <c r="E229" s="28">
        <f t="shared" ca="1" si="6"/>
        <v>-0.34244416983192494</v>
      </c>
      <c r="G229" s="28">
        <f t="shared" ca="1" si="7"/>
        <v>0.30746337812452051</v>
      </c>
      <c r="L229" s="28"/>
    </row>
    <row r="230" spans="1:12" x14ac:dyDescent="0.2">
      <c r="A230" s="27">
        <v>18</v>
      </c>
      <c r="B230" s="27">
        <v>1</v>
      </c>
      <c r="C230" s="27">
        <f ca="1"/>
        <v>29</v>
      </c>
      <c r="D230" s="28">
        <f ca="1"/>
        <v>20.657555830168075</v>
      </c>
      <c r="E230" s="28">
        <f t="shared" ca="1" si="6"/>
        <v>2.6575558301680751</v>
      </c>
      <c r="G230" s="28">
        <f t="shared" ca="1" si="7"/>
        <v>3.327632904268165E-2</v>
      </c>
      <c r="L230" s="28"/>
    </row>
    <row r="231" spans="1:12" x14ac:dyDescent="0.2">
      <c r="A231" s="27">
        <v>19</v>
      </c>
      <c r="B231" s="27">
        <v>1</v>
      </c>
      <c r="C231" s="27">
        <f ca="1"/>
        <v>28</v>
      </c>
      <c r="D231" s="28">
        <f ca="1"/>
        <v>19.974336718516017</v>
      </c>
      <c r="E231" s="28">
        <f t="shared" ca="1" si="6"/>
        <v>0.97433671851601744</v>
      </c>
      <c r="G231" s="28">
        <f t="shared" ca="1" si="7"/>
        <v>0.23556229359930655</v>
      </c>
      <c r="L231" s="28"/>
    </row>
    <row r="232" spans="1:12" x14ac:dyDescent="0.2">
      <c r="A232" s="27">
        <v>21</v>
      </c>
      <c r="B232" s="27">
        <v>1</v>
      </c>
      <c r="C232" s="27">
        <f ca="1"/>
        <v>29</v>
      </c>
      <c r="D232" s="28">
        <f ca="1"/>
        <v>20.657555830168075</v>
      </c>
      <c r="E232" s="28">
        <f t="shared" ca="1" si="6"/>
        <v>-0.34244416983192494</v>
      </c>
      <c r="G232" s="28">
        <f t="shared" ca="1" si="7"/>
        <v>0.30746337812452051</v>
      </c>
      <c r="L232" s="28"/>
    </row>
    <row r="233" spans="1:12" x14ac:dyDescent="0.2">
      <c r="A233" s="27">
        <v>16</v>
      </c>
      <c r="B233" s="27">
        <v>1</v>
      </c>
      <c r="C233" s="27">
        <f ca="1"/>
        <v>26</v>
      </c>
      <c r="D233" s="28">
        <f ca="1"/>
        <v>18.607898495211895</v>
      </c>
      <c r="E233" s="28">
        <f t="shared" ca="1" si="6"/>
        <v>2.6078984952118951</v>
      </c>
      <c r="G233" s="28">
        <f t="shared" ca="1" si="7"/>
        <v>3.6181717224349638E-2</v>
      </c>
      <c r="L233" s="28"/>
    </row>
    <row r="234" spans="1:12" x14ac:dyDescent="0.2">
      <c r="A234" s="27">
        <v>18</v>
      </c>
      <c r="B234" s="27">
        <v>1</v>
      </c>
      <c r="C234" s="27">
        <f ca="1"/>
        <v>26</v>
      </c>
      <c r="D234" s="28">
        <f ca="1"/>
        <v>18.607898495211895</v>
      </c>
      <c r="E234" s="28">
        <f t="shared" ca="1" si="6"/>
        <v>0.6078984952118951</v>
      </c>
      <c r="G234" s="28">
        <f t="shared" ca="1" si="7"/>
        <v>0.28360781451993688</v>
      </c>
      <c r="L234" s="28"/>
    </row>
    <row r="235" spans="1:12" x14ac:dyDescent="0.2">
      <c r="A235" s="27">
        <v>17</v>
      </c>
      <c r="B235" s="27">
        <v>1</v>
      </c>
      <c r="C235" s="27">
        <f ca="1"/>
        <v>26</v>
      </c>
      <c r="D235" s="28">
        <f ca="1"/>
        <v>18.607898495211895</v>
      </c>
      <c r="E235" s="28">
        <f t="shared" ca="1" si="6"/>
        <v>1.6078984952118951</v>
      </c>
      <c r="G235" s="28">
        <f t="shared" ca="1" si="7"/>
        <v>0.13952132892333158</v>
      </c>
      <c r="L235" s="28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B11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22</v>
      </c>
    </row>
    <row r="4" spans="2:2" x14ac:dyDescent="0.3">
      <c r="B4" s="1" t="s">
        <v>19</v>
      </c>
    </row>
    <row r="6" spans="2:2" x14ac:dyDescent="0.3">
      <c r="B6" s="1" t="s">
        <v>23</v>
      </c>
    </row>
    <row r="8" spans="2:2" x14ac:dyDescent="0.3">
      <c r="B8" s="1" t="s">
        <v>24</v>
      </c>
    </row>
    <row r="9" spans="2:2" x14ac:dyDescent="0.3">
      <c r="B9" s="1" t="s">
        <v>25</v>
      </c>
    </row>
    <row r="10" spans="2:2" x14ac:dyDescent="0.3">
      <c r="B10" s="1" t="s">
        <v>26</v>
      </c>
    </row>
    <row r="11" spans="2:2" x14ac:dyDescent="0.3">
      <c r="B11" s="1" t="s">
        <v>27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10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</v>
      </c>
    </row>
    <row r="3" spans="1:2" x14ac:dyDescent="0.3">
      <c r="B3" s="1" t="s">
        <v>200</v>
      </c>
    </row>
    <row r="4" spans="1:2" x14ac:dyDescent="0.3">
      <c r="B4" s="1" t="s">
        <v>11</v>
      </c>
    </row>
    <row r="5" spans="1:2" x14ac:dyDescent="0.3">
      <c r="B5" s="1" t="s">
        <v>12</v>
      </c>
    </row>
    <row r="6" spans="1:2" x14ac:dyDescent="0.3">
      <c r="B6" s="1" t="s">
        <v>13</v>
      </c>
    </row>
    <row r="7" spans="1:2" x14ac:dyDescent="0.3">
      <c r="B7" s="1" t="s">
        <v>14</v>
      </c>
    </row>
    <row r="8" spans="1:2" x14ac:dyDescent="0.3">
      <c r="A8" s="1">
        <v>1</v>
      </c>
      <c r="B8" s="1" t="s">
        <v>17</v>
      </c>
    </row>
    <row r="9" spans="1:2" x14ac:dyDescent="0.3">
      <c r="A9" s="1">
        <v>2</v>
      </c>
      <c r="B9" s="1" t="s">
        <v>15</v>
      </c>
    </row>
    <row r="10" spans="1:2" x14ac:dyDescent="0.3">
      <c r="A10" s="1">
        <v>3</v>
      </c>
      <c r="B10" s="1" t="s">
        <v>18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B5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</v>
      </c>
    </row>
    <row r="3" spans="1:2" x14ac:dyDescent="0.3">
      <c r="B3" s="1" t="s">
        <v>46</v>
      </c>
    </row>
    <row r="4" spans="1:2" x14ac:dyDescent="0.3">
      <c r="A4" s="1">
        <v>1</v>
      </c>
      <c r="B4" s="1" t="s">
        <v>17</v>
      </c>
    </row>
    <row r="5" spans="1:2" x14ac:dyDescent="0.3">
      <c r="A5" s="1">
        <v>2</v>
      </c>
      <c r="B5" s="1" t="s">
        <v>47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37</v>
      </c>
    </row>
    <row r="3" spans="2:5" x14ac:dyDescent="0.25">
      <c r="B3" s="9" t="s">
        <v>41</v>
      </c>
      <c r="C3" s="9"/>
    </row>
    <row r="4" spans="2:5" x14ac:dyDescent="0.25">
      <c r="B4" s="8" t="s">
        <v>38</v>
      </c>
    </row>
    <row r="5" spans="2:5" x14ac:dyDescent="0.25">
      <c r="B5" s="8" t="s">
        <v>42</v>
      </c>
    </row>
    <row r="7" spans="2:5" x14ac:dyDescent="0.25">
      <c r="B7" s="11" t="s">
        <v>33</v>
      </c>
      <c r="C7" s="11" t="s">
        <v>34</v>
      </c>
      <c r="E7" s="11" t="s">
        <v>37</v>
      </c>
    </row>
    <row r="8" spans="2:5" x14ac:dyDescent="0.25">
      <c r="B8" s="8" t="s">
        <v>43</v>
      </c>
      <c r="C8" s="8" t="s">
        <v>44</v>
      </c>
      <c r="E8" s="12"/>
    </row>
    <row r="9" spans="2:5" x14ac:dyDescent="0.25">
      <c r="B9" s="8" t="s">
        <v>44</v>
      </c>
      <c r="C9" s="8" t="s">
        <v>43</v>
      </c>
    </row>
    <row r="10" spans="2:5" x14ac:dyDescent="0.25">
      <c r="B10" s="8" t="s">
        <v>43</v>
      </c>
      <c r="C10" s="8" t="s">
        <v>44</v>
      </c>
    </row>
    <row r="11" spans="2:5" x14ac:dyDescent="0.25">
      <c r="B11" s="8" t="s">
        <v>43</v>
      </c>
      <c r="C11" s="8" t="s">
        <v>43</v>
      </c>
    </row>
    <row r="12" spans="2:5" x14ac:dyDescent="0.25">
      <c r="B12" s="8" t="s">
        <v>44</v>
      </c>
      <c r="C12" s="8" t="s">
        <v>44</v>
      </c>
    </row>
    <row r="13" spans="2:5" x14ac:dyDescent="0.25">
      <c r="B13" s="8" t="s">
        <v>44</v>
      </c>
      <c r="C13" s="8" t="s">
        <v>43</v>
      </c>
    </row>
    <row r="14" spans="2:5" x14ac:dyDescent="0.25">
      <c r="B14" s="8" t="s">
        <v>43</v>
      </c>
      <c r="C14" s="8" t="s">
        <v>43</v>
      </c>
    </row>
    <row r="15" spans="2:5" x14ac:dyDescent="0.25">
      <c r="B15" s="8" t="s">
        <v>44</v>
      </c>
      <c r="C15" s="8" t="s">
        <v>43</v>
      </c>
    </row>
    <row r="16" spans="2:5" x14ac:dyDescent="0.25">
      <c r="B16" s="8" t="s">
        <v>43</v>
      </c>
      <c r="C16" s="8" t="s">
        <v>44</v>
      </c>
    </row>
    <row r="17" spans="2:4" x14ac:dyDescent="0.25">
      <c r="B17" s="8" t="s">
        <v>44</v>
      </c>
      <c r="C17" s="8" t="s">
        <v>44</v>
      </c>
    </row>
    <row r="18" spans="2:4" x14ac:dyDescent="0.25">
      <c r="B18" s="8" t="s">
        <v>43</v>
      </c>
      <c r="C18" s="8" t="s">
        <v>43</v>
      </c>
      <c r="D18" s="8" t="s">
        <v>45</v>
      </c>
    </row>
    <row r="19" spans="2:4" x14ac:dyDescent="0.25">
      <c r="B19" s="8" t="s">
        <v>44</v>
      </c>
      <c r="C19" s="8" t="s">
        <v>44</v>
      </c>
    </row>
    <row r="20" spans="2:4" x14ac:dyDescent="0.25">
      <c r="B20" s="8" t="s">
        <v>43</v>
      </c>
      <c r="C20" s="8" t="s">
        <v>43</v>
      </c>
    </row>
    <row r="21" spans="2:4" x14ac:dyDescent="0.25">
      <c r="B21" s="8" t="s">
        <v>44</v>
      </c>
      <c r="C21" s="8" t="s">
        <v>44</v>
      </c>
    </row>
    <row r="22" spans="2:4" x14ac:dyDescent="0.25">
      <c r="B22" s="8" t="s">
        <v>44</v>
      </c>
      <c r="C22" s="8" t="s">
        <v>43</v>
      </c>
    </row>
    <row r="23" spans="2:4" x14ac:dyDescent="0.25">
      <c r="B23" s="8" t="s">
        <v>44</v>
      </c>
      <c r="C23" s="8" t="s">
        <v>43</v>
      </c>
    </row>
    <row r="24" spans="2:4" x14ac:dyDescent="0.25">
      <c r="B24" s="8" t="s">
        <v>43</v>
      </c>
      <c r="C24" s="8" t="s">
        <v>44</v>
      </c>
    </row>
    <row r="25" spans="2:4" x14ac:dyDescent="0.25">
      <c r="B25" s="8" t="s">
        <v>44</v>
      </c>
      <c r="C25" s="8" t="s">
        <v>44</v>
      </c>
    </row>
    <row r="26" spans="2:4" x14ac:dyDescent="0.25">
      <c r="B26" s="8" t="s">
        <v>43</v>
      </c>
      <c r="C26" s="8" t="s">
        <v>43</v>
      </c>
    </row>
    <row r="27" spans="2:4" x14ac:dyDescent="0.25">
      <c r="B27" s="8" t="s">
        <v>44</v>
      </c>
      <c r="C27" s="8" t="s">
        <v>44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</v>
      </c>
    </row>
    <row r="3" spans="1:2" x14ac:dyDescent="0.3">
      <c r="B3" s="1" t="s">
        <v>201</v>
      </c>
    </row>
    <row r="4" spans="1:2" x14ac:dyDescent="0.3">
      <c r="B4" s="1" t="s">
        <v>202</v>
      </c>
    </row>
    <row r="5" spans="1:2" x14ac:dyDescent="0.3">
      <c r="B5" s="1" t="s">
        <v>203</v>
      </c>
    </row>
    <row r="6" spans="1:2" x14ac:dyDescent="0.3">
      <c r="A6" s="31">
        <v>1</v>
      </c>
      <c r="B6" s="31" t="s">
        <v>17</v>
      </c>
    </row>
    <row r="7" spans="1:2" x14ac:dyDescent="0.3">
      <c r="A7" s="31">
        <v>2</v>
      </c>
      <c r="B7" s="31" t="s">
        <v>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Today</vt:lpstr>
      <vt:lpstr>Themes</vt:lpstr>
      <vt:lpstr>Regression_</vt:lpstr>
      <vt:lpstr>Assumptions</vt:lpstr>
      <vt:lpstr>KNN</vt:lpstr>
      <vt:lpstr>OutOfSampleTesting</vt:lpstr>
      <vt:lpstr>Diagnostics</vt:lpstr>
      <vt:lpstr>AIC</vt:lpstr>
      <vt:lpstr>PreWork4NextClass</vt:lpstr>
      <vt:lpstr>InClassProjects</vt:lpstr>
      <vt:lpstr>Q_KNN</vt:lpstr>
      <vt:lpstr>Q_Regression</vt:lpstr>
      <vt:lpstr>Q_Diagnostics</vt:lpstr>
      <vt:lpstr>Q_AIC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2021-03-06T03:52:09Z</dcterms:created>
  <dcterms:modified xsi:type="dcterms:W3CDTF">2022-01-20T22:19:11Z</dcterms:modified>
</cp:coreProperties>
</file>