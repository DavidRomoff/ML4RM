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B35A5E8F-2285-7146-93AA-A129B8C126C7}" xr6:coauthVersionLast="47" xr6:coauthVersionMax="47" xr10:uidLastSave="{00000000-0000-0000-0000-000000000000}"/>
  <bookViews>
    <workbookView xWindow="0" yWindow="500" windowWidth="28800" windowHeight="17460" xr2:uid="{2528C2F6-2D91-5941-BA0A-8E362C5A735B}"/>
  </bookViews>
  <sheets>
    <sheet name="Today" sheetId="6" r:id="rId1"/>
    <sheet name="Themes" sheetId="13" r:id="rId2"/>
    <sheet name="Regression" sheetId="66" r:id="rId3"/>
    <sheet name="Assumptions" sheetId="35" r:id="rId4"/>
    <sheet name="SetUp" sheetId="12" state="veryHidden" r:id="rId5"/>
    <sheet name="Linearity" sheetId="8" state="veryHidden" r:id="rId6"/>
    <sheet name="NormalErrors" sheetId="68" state="veryHidden" r:id="rId7"/>
    <sheet name="ConstantVariance" sheetId="9" state="veryHidden" r:id="rId8"/>
    <sheet name="Leverage" sheetId="10" state="veryHidden" r:id="rId9"/>
    <sheet name="IndependentErrors" sheetId="11" state="veryHidden" r:id="rId10"/>
    <sheet name="DurbinWatson" sheetId="16" state="veryHidden" r:id="rId11"/>
    <sheet name="KNN" sheetId="34" r:id="rId12"/>
    <sheet name="KNN_Data" sheetId="45" state="veryHidden" r:id="rId13"/>
    <sheet name="KNN_XNew" sheetId="46" state="veryHidden" r:id="rId14"/>
    <sheet name="KNN_Distance" sheetId="47" state="veryHidden" r:id="rId15"/>
    <sheet name="KNN_Nearest" sheetId="48" state="veryHidden" r:id="rId16"/>
    <sheet name="KNN_K" sheetId="49" state="veryHidden" r:id="rId17"/>
    <sheet name="KNN_Vote" sheetId="50" state="veryHidden" r:id="rId18"/>
    <sheet name="KNN_Link" sheetId="28" state="veryHidden" r:id="rId19"/>
    <sheet name="OutOfSampleTesting" sheetId="36" r:id="rId20"/>
    <sheet name="LearningCurves" sheetId="29" state="veryHidden" r:id="rId21"/>
    <sheet name="Contents" sheetId="37" state="veryHidden" r:id="rId22"/>
    <sheet name="BasicsWarmup" sheetId="38" state="veryHidden" r:id="rId23"/>
    <sheet name="Setup_" sheetId="39" state="veryHidden" r:id="rId24"/>
    <sheet name="Explore" sheetId="40" state="veryHidden" r:id="rId25"/>
    <sheet name="Tools" sheetId="41" state="veryHidden" r:id="rId26"/>
    <sheet name="LM_InAndOut" sheetId="42" state="veryHidden" r:id="rId27"/>
    <sheet name="Optim_InAndOut" sheetId="43" state="veryHidden" r:id="rId28"/>
    <sheet name="Optim_Shrinkage" sheetId="44" state="veryHidden" r:id="rId29"/>
    <sheet name="Diagnostics" sheetId="32" r:id="rId30"/>
    <sheet name="AIC" sheetId="64" r:id="rId31"/>
    <sheet name="MLR_Step" sheetId="51" state="veryHidden" r:id="rId32"/>
    <sheet name="Data" sheetId="53" state="veryHidden" r:id="rId33"/>
    <sheet name="AIC_0" sheetId="62" state="veryHidden" r:id="rId34"/>
    <sheet name="AIC_1" sheetId="63" state="veryHidden" r:id="rId35"/>
    <sheet name="PreWork4NextClass" sheetId="27" r:id="rId36"/>
    <sheet name="InClassProjects" sheetId="26" r:id="rId37"/>
    <sheet name="Q_KNN" sheetId="25" r:id="rId38"/>
    <sheet name="Q_Regression" sheetId="33" r:id="rId39"/>
    <sheet name="Q_Diagnostics" sheetId="31" r:id="rId40"/>
    <sheet name="Q_AIC" sheetId="65" r:id="rId41"/>
  </sheets>
  <externalReferences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definedNames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d">[8]Options2!#REF!</definedName>
    <definedName name="Change">[5]VaR0!#REF!</definedName>
    <definedName name="change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>#REF!</definedName>
    <definedName name="Inflator">[1]RSquareAdj!$C$10</definedName>
    <definedName name="k" localSheetId="33">[2]Binomial!$C$14</definedName>
    <definedName name="k" localSheetId="34">[2]Binomial!$C$14</definedName>
    <definedName name="k" localSheetId="32">[2]Binomial!$C$14</definedName>
    <definedName name="k" localSheetId="16">KNN_K!$AB$4</definedName>
    <definedName name="k" localSheetId="31">[2]Binomial!$C$14</definedName>
    <definedName name="k">KNN_Vote!$AB$4</definedName>
    <definedName name="LN_Sim">#REF!</definedName>
    <definedName name="loss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[15]Cor_N_Cov!$G$14:$G$35</definedName>
    <definedName name="MyBankDeposits">[15]Cor_N_Cov!$D$14:$D$35</definedName>
    <definedName name="MyFriendsBank">[15]Cor_N_Cov!$H$14:$H$35</definedName>
    <definedName name="MyFriendsDeposits">[15]Cor_N_Cov!$E$14:$E$35</definedName>
    <definedName name="n">[2]Binomial!$C$12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3">[2]Binomial!$C$13</definedName>
    <definedName name="p" localSheetId="34">[2]Binomial!$C$13</definedName>
    <definedName name="p" localSheetId="32">[2]Binomial!$C$13</definedName>
    <definedName name="p" localSheetId="31">[2]Binomial!$C$13</definedName>
    <definedName name="p">DurbinWatson!$B$3</definedName>
    <definedName name="PD">[4]CDS!$C$21:$C$25</definedName>
    <definedName name="PDF">[14]Calcs_Mean2!$K$10:$K$30</definedName>
    <definedName name="Period">#REF!</definedName>
    <definedName name="peso_rate">[12]FX_Intro!$C$66</definedName>
    <definedName name="Pij">#REF!</definedName>
    <definedName name="pmt">#REF!</definedName>
    <definedName name="pmt_">#REF!</definedName>
    <definedName name="pmtperyear">[16]Bond!$C$6</definedName>
    <definedName name="pmts">[16]Bond!$E$12:$E$25</definedName>
    <definedName name="price1">#REF!</definedName>
    <definedName name="price2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[16]Dur2!$G$12:$G$25</definedName>
    <definedName name="PVA">[16]InstallmentLoan!$F$3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[17]CreditMatrix!$D$10:$D$109</definedName>
    <definedName name="RatingNow">[17]CreditMatrix!$E$10:$E$109</definedName>
    <definedName name="ratingsTbl">[17]CreditMatrix!$B$2:$C$7</definedName>
    <definedName name="Ratio">[14]Calcs_VarianceDiff!$E$17</definedName>
    <definedName name="Recovery">[4]Spread2PD!$D$40:$D$44</definedName>
    <definedName name="risk1">#REF!</definedName>
    <definedName name="risk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mpleVar1">[14]Calcs_VarianceDiff!$E$13</definedName>
    <definedName name="SampleVar2">[14]Calcs_VarianceDiff!$E$14</definedName>
    <definedName name="SD">#REF!</definedName>
    <definedName name="sd_x">[1]MaximumLikelihood!$C$3</definedName>
    <definedName name="SD_xbar">[14]Calcs_Mean2!$O$28</definedName>
    <definedName name="SE0">#REF!</definedName>
    <definedName name="SE1_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>#REF!</definedName>
    <definedName name="Sum">[13]CentralLimitTheorem!$C$7:$C$106</definedName>
    <definedName name="t">#REF!</definedName>
    <definedName name="t_">[4]CDS!$B$21:$B$25</definedName>
    <definedName name="table_asf">[18]ASF!$C$31:$D$34</definedName>
    <definedName name="Time">#REF!</definedName>
    <definedName name="Time_">[4]Spread2PD!$B$40:$B$44</definedName>
    <definedName name="tmat">[4]ExporeInf!$C$3:$H$8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'[19]2_PMT'!$C$13</definedName>
    <definedName name="Value">[11]VaR3!$D$50:$H$50</definedName>
    <definedName name="value_01">[16]Dur2!$I$12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[17]CreditMatrix_Weighted!$F$10:$F$109</definedName>
    <definedName name="weights">[11]VaR3!$C$55:$C$59</definedName>
    <definedName name="Withdrawl">[20]InvestmentReturns!$B$12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[16]Bond!$C$8</definedName>
    <definedName name="y_draw">#REF!</definedName>
    <definedName name="ybar">#REF!</definedName>
    <definedName name="year">Data!$D$2:$D$235</definedName>
    <definedName name="years">[16]Bond!$C$7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62" l="1"/>
  <c r="J8" i="62"/>
  <c r="I2" i="63"/>
  <c r="H11" i="63" s="1"/>
  <c r="H2" i="62"/>
  <c r="G11" i="62" s="1"/>
  <c r="C2" i="62" a="1"/>
  <c r="C2" i="62" s="1"/>
  <c r="D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D26" i="62"/>
  <c r="D58" i="62"/>
  <c r="D90" i="62"/>
  <c r="D121" i="62"/>
  <c r="F121" i="62" s="1"/>
  <c r="D181" i="62"/>
  <c r="F181" i="62" s="1"/>
  <c r="D28" i="62"/>
  <c r="F28" i="62" s="1"/>
  <c r="D60" i="62"/>
  <c r="D92" i="62"/>
  <c r="D102" i="62"/>
  <c r="D137" i="62"/>
  <c r="F137" i="62" s="1"/>
  <c r="D168" i="62"/>
  <c r="F168" i="62" s="1"/>
  <c r="D9" i="62"/>
  <c r="D50" i="62"/>
  <c r="F50" i="62" s="1"/>
  <c r="D82" i="62"/>
  <c r="D138" i="62"/>
  <c r="F138" i="62" s="1"/>
  <c r="D189" i="62"/>
  <c r="F189" i="62" s="1"/>
  <c r="D10" i="62"/>
  <c r="F10" i="62" s="1"/>
  <c r="D30" i="62"/>
  <c r="D62" i="62"/>
  <c r="D140" i="62"/>
  <c r="D156" i="62"/>
  <c r="D172" i="62"/>
  <c r="F172" i="62" s="1"/>
  <c r="D193" i="62"/>
  <c r="F193" i="62" s="1"/>
  <c r="D225" i="62"/>
  <c r="D12" i="62"/>
  <c r="D21" i="62"/>
  <c r="D32" i="62"/>
  <c r="F32" i="62" s="1"/>
  <c r="D42" i="62"/>
  <c r="F42" i="62" s="1"/>
  <c r="D53" i="62"/>
  <c r="F53" i="62" s="1"/>
  <c r="D64" i="62"/>
  <c r="D74" i="62"/>
  <c r="F74" i="62" s="1"/>
  <c r="D85" i="62"/>
  <c r="D96" i="62"/>
  <c r="D106" i="62"/>
  <c r="D116" i="62"/>
  <c r="F116" i="62" s="1"/>
  <c r="D129" i="62"/>
  <c r="F129" i="62" s="1"/>
  <c r="D141" i="62"/>
  <c r="D157" i="62"/>
  <c r="F157" i="62" s="1"/>
  <c r="D173" i="62"/>
  <c r="F173" i="62" s="1"/>
  <c r="D197" i="62"/>
  <c r="D229" i="62"/>
  <c r="D13" i="62"/>
  <c r="D22" i="62"/>
  <c r="F22" i="62" s="1"/>
  <c r="D33" i="62"/>
  <c r="D44" i="62"/>
  <c r="F44" i="62" s="1"/>
  <c r="D54" i="62"/>
  <c r="F54" i="62" s="1"/>
  <c r="D65" i="62"/>
  <c r="F65" i="62" s="1"/>
  <c r="D76" i="62"/>
  <c r="D86" i="62"/>
  <c r="F86" i="62" s="1"/>
  <c r="D97" i="62"/>
  <c r="D108" i="62"/>
  <c r="F108" i="62" s="1"/>
  <c r="D117" i="62"/>
  <c r="F117" i="62" s="1"/>
  <c r="D132" i="62"/>
  <c r="F132" i="62" s="1"/>
  <c r="D144" i="62"/>
  <c r="F144" i="62" s="1"/>
  <c r="D160" i="62"/>
  <c r="F160" i="62" s="1"/>
  <c r="D176" i="62"/>
  <c r="D201" i="62"/>
  <c r="F201" i="62" s="1"/>
  <c r="D233" i="62"/>
  <c r="D6" i="62"/>
  <c r="F6" i="62" s="1"/>
  <c r="D37" i="62"/>
  <c r="F37" i="62" s="1"/>
  <c r="D69" i="62"/>
  <c r="F69" i="62" s="1"/>
  <c r="D101" i="62"/>
  <c r="D165" i="62"/>
  <c r="F165" i="62" s="1"/>
  <c r="D49" i="62"/>
  <c r="F49" i="62" s="1"/>
  <c r="D81" i="62"/>
  <c r="F81" i="62" s="1"/>
  <c r="D124" i="62"/>
  <c r="F124" i="62" s="1"/>
  <c r="D185" i="62"/>
  <c r="F185" i="62" s="1"/>
  <c r="D29" i="62"/>
  <c r="D61" i="62"/>
  <c r="F61" i="62" s="1"/>
  <c r="D104" i="62"/>
  <c r="F104" i="62" s="1"/>
  <c r="D169" i="62"/>
  <c r="F169" i="62" s="1"/>
  <c r="F225" i="62"/>
  <c r="D17" i="62"/>
  <c r="F17" i="62" s="1"/>
  <c r="D48" i="62"/>
  <c r="D80" i="62"/>
  <c r="F80" i="62" s="1"/>
  <c r="D112" i="62"/>
  <c r="D149" i="62"/>
  <c r="F149" i="62" s="1"/>
  <c r="D213" i="62"/>
  <c r="D8" i="62"/>
  <c r="F8" i="62" s="1"/>
  <c r="D38" i="62"/>
  <c r="F38" i="62" s="1"/>
  <c r="D70" i="62"/>
  <c r="F70" i="62" s="1"/>
  <c r="D113" i="62"/>
  <c r="F113" i="62" s="1"/>
  <c r="D152" i="62"/>
  <c r="F152" i="62" s="1"/>
  <c r="D217" i="62"/>
  <c r="D18" i="62"/>
  <c r="F18" i="62" s="1"/>
  <c r="D40" i="62"/>
  <c r="F40" i="62" s="1"/>
  <c r="D72" i="62"/>
  <c r="F72" i="62" s="1"/>
  <c r="D93" i="62"/>
  <c r="D125" i="62"/>
  <c r="F125" i="62" s="1"/>
  <c r="D153" i="62"/>
  <c r="F153" i="62" s="1"/>
  <c r="D221" i="62"/>
  <c r="D20" i="62"/>
  <c r="F20" i="62" s="1"/>
  <c r="D41" i="62"/>
  <c r="F41" i="62" s="1"/>
  <c r="D52" i="62"/>
  <c r="D73" i="62"/>
  <c r="F73" i="62" s="1"/>
  <c r="D84" i="62"/>
  <c r="F84" i="62" s="1"/>
  <c r="D94" i="62"/>
  <c r="F94" i="62" s="1"/>
  <c r="D105" i="62"/>
  <c r="F105" i="62" s="1"/>
  <c r="D114" i="62"/>
  <c r="F114" i="62" s="1"/>
  <c r="D128" i="62"/>
  <c r="F128" i="62" s="1"/>
  <c r="D4" i="62"/>
  <c r="F4" i="62" s="1"/>
  <c r="D14" i="62"/>
  <c r="F14" i="62" s="1"/>
  <c r="D24" i="62"/>
  <c r="F24" i="62" s="1"/>
  <c r="D34" i="62"/>
  <c r="D45" i="62"/>
  <c r="F45" i="62" s="1"/>
  <c r="D56" i="62"/>
  <c r="D66" i="62"/>
  <c r="D77" i="62"/>
  <c r="F77" i="62" s="1"/>
  <c r="D88" i="62"/>
  <c r="F88" i="62" s="1"/>
  <c r="D98" i="62"/>
  <c r="F98" i="62" s="1"/>
  <c r="D109" i="62"/>
  <c r="F109" i="62" s="1"/>
  <c r="D118" i="62"/>
  <c r="F118" i="62" s="1"/>
  <c r="D133" i="62"/>
  <c r="F133" i="62" s="1"/>
  <c r="D145" i="62"/>
  <c r="F145" i="62" s="1"/>
  <c r="D161" i="62"/>
  <c r="F161" i="62" s="1"/>
  <c r="D177" i="62"/>
  <c r="F177" i="62" s="1"/>
  <c r="D205" i="62"/>
  <c r="D5" i="62"/>
  <c r="F5" i="62" s="1"/>
  <c r="D16" i="62"/>
  <c r="F16" i="62" s="1"/>
  <c r="D25" i="62"/>
  <c r="D36" i="62"/>
  <c r="F36" i="62" s="1"/>
  <c r="D46" i="62"/>
  <c r="D57" i="62"/>
  <c r="D68" i="62"/>
  <c r="F68" i="62" s="1"/>
  <c r="D78" i="62"/>
  <c r="F78" i="62" s="1"/>
  <c r="D89" i="62"/>
  <c r="F89" i="62" s="1"/>
  <c r="D100" i="62"/>
  <c r="F100" i="62" s="1"/>
  <c r="D110" i="62"/>
  <c r="F110" i="62" s="1"/>
  <c r="D120" i="62"/>
  <c r="F120" i="62" s="1"/>
  <c r="D136" i="62"/>
  <c r="F136" i="62" s="1"/>
  <c r="D148" i="62"/>
  <c r="F148" i="62" s="1"/>
  <c r="D164" i="62"/>
  <c r="F164" i="62" s="1"/>
  <c r="D180" i="62"/>
  <c r="F180" i="62" s="1"/>
  <c r="D209" i="62"/>
  <c r="F209" i="62" s="1"/>
  <c r="F64" i="62"/>
  <c r="F85" i="62"/>
  <c r="F96" i="62"/>
  <c r="F76" i="62"/>
  <c r="F25" i="62"/>
  <c r="F56" i="62"/>
  <c r="F9" i="62"/>
  <c r="F57" i="62"/>
  <c r="F97" i="62"/>
  <c r="F140" i="62"/>
  <c r="F156" i="62"/>
  <c r="F221" i="62"/>
  <c r="F2" i="62"/>
  <c r="F21" i="62"/>
  <c r="F60" i="62"/>
  <c r="F101" i="62"/>
  <c r="F112" i="62"/>
  <c r="F229" i="62"/>
  <c r="F217" i="62"/>
  <c r="F12" i="62"/>
  <c r="F30" i="62"/>
  <c r="F176" i="62"/>
  <c r="F197" i="62"/>
  <c r="F13" i="62"/>
  <c r="F52" i="62"/>
  <c r="F33" i="62"/>
  <c r="F62" i="62"/>
  <c r="F92" i="62"/>
  <c r="F205" i="62"/>
  <c r="F233" i="62"/>
  <c r="F29" i="62"/>
  <c r="F93" i="62"/>
  <c r="F106" i="62"/>
  <c r="F141" i="62"/>
  <c r="F213" i="62"/>
  <c r="F46" i="62"/>
  <c r="F82" i="62"/>
  <c r="F26" i="62"/>
  <c r="F58" i="62"/>
  <c r="F34" i="62"/>
  <c r="F66" i="62"/>
  <c r="F102" i="62"/>
  <c r="F90" i="62"/>
  <c r="F48" i="62"/>
  <c r="D184" i="62"/>
  <c r="F184" i="62" s="1"/>
  <c r="D188" i="62"/>
  <c r="F188" i="62" s="1"/>
  <c r="D192" i="62"/>
  <c r="F192" i="62" s="1"/>
  <c r="D196" i="62"/>
  <c r="F196" i="62" s="1"/>
  <c r="D200" i="62"/>
  <c r="F200" i="62" s="1"/>
  <c r="D204" i="62"/>
  <c r="F204" i="62" s="1"/>
  <c r="D208" i="62"/>
  <c r="F208" i="62" s="1"/>
  <c r="D212" i="62"/>
  <c r="F212" i="62" s="1"/>
  <c r="D216" i="62"/>
  <c r="F216" i="62" s="1"/>
  <c r="D220" i="62"/>
  <c r="F220" i="62" s="1"/>
  <c r="D224" i="62"/>
  <c r="F224" i="62" s="1"/>
  <c r="D228" i="62"/>
  <c r="F228" i="62" s="1"/>
  <c r="D232" i="62"/>
  <c r="F232" i="62" s="1"/>
  <c r="D122" i="62"/>
  <c r="F122" i="62" s="1"/>
  <c r="D126" i="62"/>
  <c r="F126" i="62" s="1"/>
  <c r="D130" i="62"/>
  <c r="F130" i="62" s="1"/>
  <c r="D134" i="62"/>
  <c r="F134" i="62" s="1"/>
  <c r="D146" i="62"/>
  <c r="F146" i="62" s="1"/>
  <c r="D150" i="62"/>
  <c r="F150" i="62" s="1"/>
  <c r="D154" i="62"/>
  <c r="F154" i="62" s="1"/>
  <c r="D158" i="62"/>
  <c r="F158" i="62" s="1"/>
  <c r="D162" i="62"/>
  <c r="F162" i="62" s="1"/>
  <c r="D166" i="62"/>
  <c r="F166" i="62" s="1"/>
  <c r="D170" i="62"/>
  <c r="F170" i="62" s="1"/>
  <c r="D174" i="62"/>
  <c r="F174" i="62" s="1"/>
  <c r="D178" i="62"/>
  <c r="F178" i="62" s="1"/>
  <c r="D182" i="62"/>
  <c r="F182" i="62" s="1"/>
  <c r="D186" i="62"/>
  <c r="F186" i="62" s="1"/>
  <c r="D190" i="62"/>
  <c r="F190" i="62" s="1"/>
  <c r="D194" i="62"/>
  <c r="F194" i="62" s="1"/>
  <c r="D198" i="62"/>
  <c r="F198" i="62" s="1"/>
  <c r="D202" i="62"/>
  <c r="F202" i="62" s="1"/>
  <c r="D206" i="62"/>
  <c r="F206" i="62" s="1"/>
  <c r="D210" i="62"/>
  <c r="F210" i="62" s="1"/>
  <c r="D214" i="62"/>
  <c r="F214" i="62" s="1"/>
  <c r="D218" i="62"/>
  <c r="F218" i="62" s="1"/>
  <c r="D222" i="62"/>
  <c r="F222" i="62" s="1"/>
  <c r="D226" i="62"/>
  <c r="F226" i="62" s="1"/>
  <c r="D234" i="62"/>
  <c r="F234" i="62" s="1"/>
  <c r="D3" i="62"/>
  <c r="F3" i="62" s="1"/>
  <c r="D7" i="62"/>
  <c r="F7" i="62" s="1"/>
  <c r="D11" i="62"/>
  <c r="F11" i="62" s="1"/>
  <c r="D15" i="62"/>
  <c r="F15" i="62" s="1"/>
  <c r="D19" i="62"/>
  <c r="F19" i="62" s="1"/>
  <c r="D23" i="62"/>
  <c r="F23" i="62" s="1"/>
  <c r="D27" i="62"/>
  <c r="F27" i="62" s="1"/>
  <c r="D31" i="62"/>
  <c r="F31" i="62" s="1"/>
  <c r="D35" i="62"/>
  <c r="F35" i="62" s="1"/>
  <c r="D39" i="62"/>
  <c r="F39" i="62" s="1"/>
  <c r="D43" i="62"/>
  <c r="F43" i="62" s="1"/>
  <c r="D47" i="62"/>
  <c r="F47" i="62" s="1"/>
  <c r="D51" i="62"/>
  <c r="F51" i="62" s="1"/>
  <c r="D55" i="62"/>
  <c r="F55" i="62" s="1"/>
  <c r="D59" i="62"/>
  <c r="F59" i="62" s="1"/>
  <c r="D63" i="62"/>
  <c r="F63" i="62" s="1"/>
  <c r="D67" i="62"/>
  <c r="F67" i="62" s="1"/>
  <c r="D71" i="62"/>
  <c r="F71" i="62" s="1"/>
  <c r="D75" i="62"/>
  <c r="F75" i="62" s="1"/>
  <c r="D79" i="62"/>
  <c r="F79" i="62" s="1"/>
  <c r="D83" i="62"/>
  <c r="F83" i="62" s="1"/>
  <c r="D87" i="62"/>
  <c r="F87" i="62" s="1"/>
  <c r="D91" i="62"/>
  <c r="F91" i="62" s="1"/>
  <c r="D95" i="62"/>
  <c r="F95" i="62" s="1"/>
  <c r="D99" i="62"/>
  <c r="F99" i="62" s="1"/>
  <c r="D103" i="62"/>
  <c r="F103" i="62" s="1"/>
  <c r="D107" i="62"/>
  <c r="F107" i="62" s="1"/>
  <c r="D111" i="62"/>
  <c r="F111" i="62" s="1"/>
  <c r="D115" i="62"/>
  <c r="F115" i="62" s="1"/>
  <c r="D119" i="62"/>
  <c r="F119" i="62" s="1"/>
  <c r="D123" i="62"/>
  <c r="F123" i="62" s="1"/>
  <c r="D127" i="62"/>
  <c r="F127" i="62" s="1"/>
  <c r="D131" i="62"/>
  <c r="F131" i="62" s="1"/>
  <c r="D135" i="62"/>
  <c r="F135" i="62" s="1"/>
  <c r="D139" i="62"/>
  <c r="F139" i="62" s="1"/>
  <c r="D143" i="62"/>
  <c r="F143" i="62" s="1"/>
  <c r="D147" i="62"/>
  <c r="F147" i="62" s="1"/>
  <c r="D151" i="62"/>
  <c r="F151" i="62" s="1"/>
  <c r="D155" i="62"/>
  <c r="F155" i="62" s="1"/>
  <c r="D159" i="62"/>
  <c r="F159" i="62" s="1"/>
  <c r="D163" i="62"/>
  <c r="F163" i="62" s="1"/>
  <c r="D167" i="62"/>
  <c r="F167" i="62" s="1"/>
  <c r="D171" i="62"/>
  <c r="F171" i="62" s="1"/>
  <c r="D175" i="62"/>
  <c r="F175" i="62" s="1"/>
  <c r="D179" i="62"/>
  <c r="F179" i="62" s="1"/>
  <c r="D183" i="62"/>
  <c r="F183" i="62" s="1"/>
  <c r="D187" i="62"/>
  <c r="F187" i="62" s="1"/>
  <c r="D191" i="62"/>
  <c r="F191" i="62" s="1"/>
  <c r="D195" i="62"/>
  <c r="F195" i="62" s="1"/>
  <c r="D199" i="62"/>
  <c r="F199" i="62" s="1"/>
  <c r="D203" i="62"/>
  <c r="F203" i="62" s="1"/>
  <c r="D207" i="62"/>
  <c r="F207" i="62" s="1"/>
  <c r="D211" i="62"/>
  <c r="F211" i="62" s="1"/>
  <c r="D215" i="62"/>
  <c r="F215" i="62" s="1"/>
  <c r="D219" i="62"/>
  <c r="F219" i="62" s="1"/>
  <c r="D223" i="62"/>
  <c r="F223" i="62" s="1"/>
  <c r="D227" i="62"/>
  <c r="F227" i="62" s="1"/>
  <c r="D231" i="62"/>
  <c r="F231" i="62" s="1"/>
  <c r="D235" i="62"/>
  <c r="F235" i="62" s="1"/>
  <c r="D142" i="62"/>
  <c r="F142" i="62" s="1"/>
  <c r="D230" i="62"/>
  <c r="F230" i="62" s="1"/>
  <c r="E8" i="32" a="1"/>
  <c r="E8" i="32" s="1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D2" i="63" l="1" a="1"/>
  <c r="G5" i="62"/>
  <c r="H5" i="62" s="1"/>
  <c r="G8" i="62" s="1"/>
  <c r="G14" i="62" s="1"/>
  <c r="J14" i="62" s="1"/>
  <c r="G2" i="62" a="1"/>
  <c r="G2" i="62" s="1"/>
  <c r="J2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H24" i="50" l="1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J26" i="50" s="1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B6" i="16" l="1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K2" i="63" s="1"/>
  <c r="D12" i="16"/>
  <c r="F4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<sst xmlns="http://schemas.openxmlformats.org/spreadsheetml/2006/main" count="1733" uniqueCount="212">
  <si>
    <t>Linearity</t>
  </si>
  <si>
    <t>Assumptions of Linear Regression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</si>
  <si>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</si>
  <si>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</si>
  <si>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</si>
  <si>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</si>
  <si>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</si>
  <si>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</si>
  <si>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</si>
  <si>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</si>
  <si>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Your answer should include 3 thing pasted into this page.</t>
  </si>
  <si>
    <t>Learning Curve plot</t>
  </si>
  <si>
    <t>With a dataset of your choice and using Excel, R, Python, or Matlab …</t>
  </si>
  <si>
    <t>Code or Excel work</t>
  </si>
  <si>
    <t>Visualization of the forecast</t>
  </si>
  <si>
    <t>KNN</t>
  </si>
  <si>
    <t>K Nearest Neighbors</t>
  </si>
  <si>
    <t>Out of Sample Testing</t>
  </si>
  <si>
    <t>Regression out of sample</t>
  </si>
  <si>
    <t>Cluster analysis</t>
  </si>
  <si>
    <t>In and out of sample testing</t>
  </si>
  <si>
    <t>Find the best k</t>
  </si>
  <si>
    <t>Plot the learning curve.</t>
  </si>
  <si>
    <t>Plot the result with the nearest k found out of sample.</t>
  </si>
  <si>
    <t>Themes of the Day:</t>
  </si>
  <si>
    <t>Linear Regression with Out of Sample Testing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</si>
  <si>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</si>
  <si>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</si>
  <si>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</si>
  <si>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</si>
  <si>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</si>
  <si>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</si>
  <si>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</si>
  <si>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</si>
  <si>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Can you detect what you are looking for?</t>
  </si>
  <si>
    <t>You are looking for cases of sickness.</t>
  </si>
  <si>
    <t>Diagnostics</t>
  </si>
  <si>
    <t>https://en.wikipedia.org/wiki/Precision_and_recall</t>
  </si>
  <si>
    <t>You are looking for positive cases.</t>
  </si>
  <si>
    <t>Positive</t>
  </si>
  <si>
    <t>Negative</t>
  </si>
  <si>
    <t>`</t>
  </si>
  <si>
    <t>Fit a regression model and find the best lambda .</t>
  </si>
  <si>
    <t>Plot of MSE by lambda</t>
  </si>
  <si>
    <t>https://drive.google.com/open?id=1Hd5aE-y334DyjHNV7ngp2DbrMgMBuOKd</t>
  </si>
  <si>
    <t>CF_InAndOut</t>
  </si>
  <si>
    <t>https://drive.google.com/open?id=13ekqY2xJLaQ6bqlpkTwr8tLwzgwm0AI8</t>
  </si>
  <si>
    <t>Optim_LSearch</t>
  </si>
  <si>
    <t>https://drive.google.com/open?id=1QlKQwfvt_sy6ijeKAaqEc_wZGzA3m8t1</t>
  </si>
  <si>
    <t>Optim_Shrinkage</t>
  </si>
  <si>
    <t>https://drive.google.com/open?id=1r5mXOqsu1aTxyhy-Oee8B8JwrTHOnahV</t>
  </si>
  <si>
    <t>Optim_InAndOut</t>
  </si>
  <si>
    <t>https://drive.google.com/open?id=1SKGSkTavC0SBlPdui8UXPxujir1cM_Wu</t>
  </si>
  <si>
    <t>LM_InAndOut</t>
  </si>
  <si>
    <t>https://drive.google.com/open?id=1LNoC9BUU434VAo7ztuP8Emlp9Fnoku8G</t>
  </si>
  <si>
    <t>Tools</t>
  </si>
  <si>
    <t>https://drive.google.com/open?id=15eD9ZCG3GMF7IWnPqjqXXxPzEyKkE-oi</t>
  </si>
  <si>
    <t>Exploration</t>
  </si>
  <si>
    <t>https://drive.google.com/open?id=1Ku1bEaFYWMqDfLvZR855lDqnqMzsjd20</t>
  </si>
  <si>
    <t>Setup</t>
  </si>
  <si>
    <t>ConstantVariance</t>
  </si>
  <si>
    <t>Leverage</t>
  </si>
  <si>
    <t>IndependentErrors</t>
  </si>
  <si>
    <t>DurbinWatson</t>
  </si>
  <si>
    <t>LearningCurves</t>
  </si>
  <si>
    <t>Contents</t>
  </si>
  <si>
    <t>BasicsWarmup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</si>
  <si>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</si>
  <si>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</si>
  <si>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</si>
  <si>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</si>
  <si>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</si>
  <si>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</si>
  <si>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</si>
  <si>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</si>
  <si>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</si>
  <si>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</si>
  <si>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</si>
  <si>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</si>
  <si>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</si>
  <si>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</si>
  <si>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</si>
  <si>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</si>
  <si>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</si>
  <si>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</si>
  <si>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</si>
  <si>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</si>
  <si>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</si>
  <si>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</si>
  <si>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KNN_Link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</si>
  <si>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</si>
  <si>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</si>
  <si>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</si>
  <si>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</si>
  <si>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</si>
  <si>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</si>
  <si>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</si>
  <si>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</si>
  <si>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</si>
  <si>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</si>
  <si>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</si>
  <si>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</si>
  <si>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</si>
  <si>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</si>
  <si>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</si>
  <si>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</si>
  <si>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</si>
  <si>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</si>
  <si>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</si>
  <si>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</si>
  <si>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</si>
  <si>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</si>
  <si>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</si>
  <si>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</si>
  <si>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</si>
  <si>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</si>
  <si>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</si>
  <si>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</si>
  <si>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</si>
  <si>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</si>
  <si>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</si>
  <si>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</si>
  <si>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</si>
  <si>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</si>
  <si>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</si>
  <si>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</si>
  <si>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</si>
  <si>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</si>
  <si>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</si>
  <si>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</si>
  <si>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</si>
  <si>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</si>
  <si>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</si>
  <si>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</si>
  <si>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</si>
  <si>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</si>
  <si>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</si>
  <si>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</si>
  <si>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</si>
  <si>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</si>
  <si>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</si>
  <si>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</si>
  <si>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</si>
  <si>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</si>
  <si>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</si>
  <si>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</si>
  <si>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</si>
  <si>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</si>
  <si>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</si>
  <si>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</si>
  <si>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</si>
  <si>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</si>
  <si>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</si>
  <si>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</si>
  <si>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</si>
  <si>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</si>
  <si>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</si>
  <si>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</si>
  <si>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</si>
  <si>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</si>
  <si>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</si>
  <si>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</si>
  <si>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</si>
  <si>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</si>
  <si>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</si>
  <si>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</si>
  <si>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</si>
  <si>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</si>
  <si>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</si>
  <si>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</si>
  <si>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</si>
  <si>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</si>
  <si>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</si>
  <si>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</si>
  <si>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</si>
  <si>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</si>
  <si>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</si>
  <si>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</si>
  <si>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</si>
  <si>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</si>
  <si>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</si>
  <si>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</si>
  <si>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</si>
  <si>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</si>
  <si>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</si>
  <si>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</si>
  <si>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</si>
  <si>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</si>
  <si>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</si>
  <si>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</si>
  <si>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</si>
  <si>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</si>
  <si>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</si>
  <si>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</si>
  <si>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</si>
  <si>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</si>
  <si>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</si>
  <si>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</si>
  <si>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Display the following below.</t>
  </si>
  <si>
    <t>Table of AICs and variables</t>
  </si>
  <si>
    <t>Linear Regression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</si>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</sst>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20"/>
      <color theme="0" tint="-0.1499984740745262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1" applyFont="1" applyFill="1"/>
    <xf numFmtId="0" fontId="5" fillId="2" borderId="0" xfId="0" applyFont="1" applyFill="1"/>
    <xf numFmtId="0" fontId="2" fillId="5" borderId="0" xfId="0" applyFont="1" applyFill="1"/>
    <xf numFmtId="0" fontId="6" fillId="2" borderId="0" xfId="0" applyFont="1" applyFill="1"/>
    <xf numFmtId="0" fontId="7" fillId="2" borderId="0" xfId="1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10" fillId="6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externalLink" Target="externalLinks/externalLink6.xml"/><Relationship Id="rId50" Type="http://schemas.openxmlformats.org/officeDocument/2006/relationships/externalLink" Target="externalLinks/externalLink9.xml"/><Relationship Id="rId55" Type="http://schemas.openxmlformats.org/officeDocument/2006/relationships/externalLink" Target="externalLinks/externalLink14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4.xml"/><Relationship Id="rId53" Type="http://schemas.openxmlformats.org/officeDocument/2006/relationships/externalLink" Target="externalLinks/externalLink12.xml"/><Relationship Id="rId58" Type="http://schemas.openxmlformats.org/officeDocument/2006/relationships/externalLink" Target="externalLinks/externalLink17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externalLink" Target="externalLinks/externalLink7.xml"/><Relationship Id="rId56" Type="http://schemas.openxmlformats.org/officeDocument/2006/relationships/externalLink" Target="externalLinks/externalLink15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5.xml"/><Relationship Id="rId59" Type="http://schemas.openxmlformats.org/officeDocument/2006/relationships/externalLink" Target="externalLinks/externalLink18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3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8.xml"/><Relationship Id="rId57" Type="http://schemas.openxmlformats.org/officeDocument/2006/relationships/externalLink" Target="externalLinks/externalLink1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3.xml"/><Relationship Id="rId52" Type="http://schemas.openxmlformats.org/officeDocument/2006/relationships/externalLink" Target="externalLinks/externalLink11.xml"/><Relationship Id="rId60" Type="http://schemas.openxmlformats.org/officeDocument/2006/relationships/externalLink" Target="externalLinks/externalLink19.xml"/><Relationship Id="rId65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0.42265224330820728</c:v>
                </c:pt>
                <c:pt idx="1">
                  <c:v>0.14967611693606642</c:v>
                </c:pt>
                <c:pt idx="2">
                  <c:v>1.8119927369937283E-2</c:v>
                </c:pt>
                <c:pt idx="3">
                  <c:v>0.30439720881414933</c:v>
                </c:pt>
                <c:pt idx="4">
                  <c:v>0.97960208579906971</c:v>
                </c:pt>
                <c:pt idx="5">
                  <c:v>0.77113108430992328</c:v>
                </c:pt>
                <c:pt idx="6">
                  <c:v>0.71813211779702701</c:v>
                </c:pt>
                <c:pt idx="7">
                  <c:v>0.74375577994707476</c:v>
                </c:pt>
                <c:pt idx="8">
                  <c:v>0.64619696751917266</c:v>
                </c:pt>
                <c:pt idx="9">
                  <c:v>0.81859915451654763</c:v>
                </c:pt>
                <c:pt idx="10">
                  <c:v>0.93749051037476638</c:v>
                </c:pt>
                <c:pt idx="11">
                  <c:v>0.47907683082065344</c:v>
                </c:pt>
                <c:pt idx="12">
                  <c:v>0.34802838444174855</c:v>
                </c:pt>
                <c:pt idx="13">
                  <c:v>0.32126957112847332</c:v>
                </c:pt>
                <c:pt idx="14">
                  <c:v>0.18595664336827467</c:v>
                </c:pt>
                <c:pt idx="15">
                  <c:v>0.94023107660075866</c:v>
                </c:pt>
                <c:pt idx="16">
                  <c:v>0.10355857539155822</c:v>
                </c:pt>
                <c:pt idx="17">
                  <c:v>0.5319546241221077</c:v>
                </c:pt>
                <c:pt idx="18">
                  <c:v>1.2797356352172162E-3</c:v>
                </c:pt>
                <c:pt idx="19">
                  <c:v>0.58679639598752431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0.73716018988913956</c:v>
                </c:pt>
                <c:pt idx="1">
                  <c:v>0.35773177335187678</c:v>
                </c:pt>
                <c:pt idx="2">
                  <c:v>0.75138941119441616</c:v>
                </c:pt>
                <c:pt idx="3">
                  <c:v>0.78555796418593848</c:v>
                </c:pt>
                <c:pt idx="4">
                  <c:v>0.99037330533965573</c:v>
                </c:pt>
                <c:pt idx="5">
                  <c:v>0.99118793950640371</c:v>
                </c:pt>
                <c:pt idx="6">
                  <c:v>0.9343759901819213</c:v>
                </c:pt>
                <c:pt idx="7">
                  <c:v>0.82211454983467647</c:v>
                </c:pt>
                <c:pt idx="8">
                  <c:v>0.92551596331529473</c:v>
                </c:pt>
                <c:pt idx="9">
                  <c:v>0.93595136638886089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0.42265224330820728</c:v>
                </c:pt>
                <c:pt idx="1">
                  <c:v>0.14967611693606642</c:v>
                </c:pt>
                <c:pt idx="2">
                  <c:v>1.8119927369937283E-2</c:v>
                </c:pt>
                <c:pt idx="3">
                  <c:v>0.30439720881414933</c:v>
                </c:pt>
                <c:pt idx="4">
                  <c:v>0.97960208579906971</c:v>
                </c:pt>
                <c:pt idx="5">
                  <c:v>0.77113108430992328</c:v>
                </c:pt>
                <c:pt idx="6">
                  <c:v>0.71813211779702701</c:v>
                </c:pt>
                <c:pt idx="7">
                  <c:v>0.74375577994707476</c:v>
                </c:pt>
                <c:pt idx="8">
                  <c:v>0.64619696751917266</c:v>
                </c:pt>
                <c:pt idx="9">
                  <c:v>0.81859915451654763</c:v>
                </c:pt>
                <c:pt idx="10">
                  <c:v>0.93749051037476638</c:v>
                </c:pt>
                <c:pt idx="11">
                  <c:v>0.47907683082065344</c:v>
                </c:pt>
                <c:pt idx="12">
                  <c:v>0.34802838444174855</c:v>
                </c:pt>
                <c:pt idx="13">
                  <c:v>0.32126957112847332</c:v>
                </c:pt>
                <c:pt idx="14">
                  <c:v>0.18595664336827467</c:v>
                </c:pt>
                <c:pt idx="15">
                  <c:v>0.94023107660075866</c:v>
                </c:pt>
                <c:pt idx="16">
                  <c:v>0.10355857539155822</c:v>
                </c:pt>
                <c:pt idx="17">
                  <c:v>0.5319546241221077</c:v>
                </c:pt>
                <c:pt idx="18">
                  <c:v>1.2797356352172162E-3</c:v>
                </c:pt>
                <c:pt idx="19">
                  <c:v>0.58679639598752431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0.79429573612084214</c:v>
                </c:pt>
                <c:pt idx="11">
                  <c:v>0.31618889002211731</c:v>
                </c:pt>
                <c:pt idx="12">
                  <c:v>0.21080411998470672</c:v>
                </c:pt>
                <c:pt idx="13">
                  <c:v>0.20912711280816665</c:v>
                </c:pt>
                <c:pt idx="14">
                  <c:v>0.17924638710721225</c:v>
                </c:pt>
                <c:pt idx="15">
                  <c:v>0.195422495110879</c:v>
                </c:pt>
                <c:pt idx="16">
                  <c:v>1.2662557067194045E-2</c:v>
                </c:pt>
                <c:pt idx="17">
                  <c:v>0.39156530497078673</c:v>
                </c:pt>
                <c:pt idx="18">
                  <c:v>3.1242441944968465E-5</c:v>
                </c:pt>
                <c:pt idx="19">
                  <c:v>0.53246175409932217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0.47712519022322475</c:v>
                </c:pt>
                <c:pt idx="1">
                  <c:v>0.43230287402069101</c:v>
                </c:pt>
                <c:pt idx="2">
                  <c:v>0.3594385627953165</c:v>
                </c:pt>
                <c:pt idx="3">
                  <c:v>0.14200958695760424</c:v>
                </c:pt>
                <c:pt idx="4">
                  <c:v>0.27491339477236276</c:v>
                </c:pt>
                <c:pt idx="5">
                  <c:v>0.14001770492651133</c:v>
                </c:pt>
                <c:pt idx="6">
                  <c:v>0.60096325660888383</c:v>
                </c:pt>
                <c:pt idx="7">
                  <c:v>0.67837178242626761</c:v>
                </c:pt>
                <c:pt idx="8">
                  <c:v>9.9963198447342694E-2</c:v>
                </c:pt>
                <c:pt idx="9">
                  <c:v>0.2414302693263678</c:v>
                </c:pt>
                <c:pt idx="10">
                  <c:v>5.6611858510863367E-2</c:v>
                </c:pt>
                <c:pt idx="11">
                  <c:v>0.28234797225515529</c:v>
                </c:pt>
                <c:pt idx="12">
                  <c:v>0.58300967865405651</c:v>
                </c:pt>
                <c:pt idx="13">
                  <c:v>0.35989468343013775</c:v>
                </c:pt>
                <c:pt idx="14">
                  <c:v>0.98005216374856574</c:v>
                </c:pt>
                <c:pt idx="15">
                  <c:v>2.0425301004436847E-2</c:v>
                </c:pt>
                <c:pt idx="16">
                  <c:v>0.95612306419634319</c:v>
                </c:pt>
                <c:pt idx="17">
                  <c:v>0.70192952477890835</c:v>
                </c:pt>
                <c:pt idx="18">
                  <c:v>0.10428947778942721</c:v>
                </c:pt>
                <c:pt idx="19">
                  <c:v>0.91383313124661969</c:v>
                </c:pt>
                <c:pt idx="20">
                  <c:v>0.32359234320162111</c:v>
                </c:pt>
                <c:pt idx="21">
                  <c:v>0.92843949114738489</c:v>
                </c:pt>
                <c:pt idx="22">
                  <c:v>3.2673700905822001E-3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0.84253185653130158</c:v>
                </c:pt>
                <c:pt idx="1">
                  <c:v>0.87154377680934703</c:v>
                </c:pt>
                <c:pt idx="2">
                  <c:v>0.83080495017424516</c:v>
                </c:pt>
                <c:pt idx="3">
                  <c:v>0.68329358329372614</c:v>
                </c:pt>
                <c:pt idx="4">
                  <c:v>0.5074022080501791</c:v>
                </c:pt>
                <c:pt idx="5">
                  <c:v>0.67518851553933434</c:v>
                </c:pt>
                <c:pt idx="6">
                  <c:v>0.95208651290728896</c:v>
                </c:pt>
                <c:pt idx="7">
                  <c:v>0.80929238454007368</c:v>
                </c:pt>
                <c:pt idx="8">
                  <c:v>0.13622180356542174</c:v>
                </c:pt>
                <c:pt idx="9">
                  <c:v>0.49204040392860787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0.47712519022322475</c:v>
                </c:pt>
                <c:pt idx="1">
                  <c:v>0.43230287402069101</c:v>
                </c:pt>
                <c:pt idx="2">
                  <c:v>0.3594385627953165</c:v>
                </c:pt>
                <c:pt idx="3">
                  <c:v>0.14200958695760424</c:v>
                </c:pt>
                <c:pt idx="4">
                  <c:v>0.27491339477236276</c:v>
                </c:pt>
                <c:pt idx="5">
                  <c:v>0.14001770492651133</c:v>
                </c:pt>
                <c:pt idx="6">
                  <c:v>0.60096325660888383</c:v>
                </c:pt>
                <c:pt idx="7">
                  <c:v>0.67837178242626761</c:v>
                </c:pt>
                <c:pt idx="8">
                  <c:v>9.9963198447342694E-2</c:v>
                </c:pt>
                <c:pt idx="9">
                  <c:v>0.2414302693263678</c:v>
                </c:pt>
                <c:pt idx="10">
                  <c:v>5.6611858510863367E-2</c:v>
                </c:pt>
                <c:pt idx="11">
                  <c:v>0.28234797225515529</c:v>
                </c:pt>
                <c:pt idx="12">
                  <c:v>0.58300967865405651</c:v>
                </c:pt>
                <c:pt idx="13">
                  <c:v>0.35989468343013775</c:v>
                </c:pt>
                <c:pt idx="14">
                  <c:v>0.98005216374856574</c:v>
                </c:pt>
                <c:pt idx="15">
                  <c:v>2.0425301004436847E-2</c:v>
                </c:pt>
                <c:pt idx="16">
                  <c:v>0.95612306419634319</c:v>
                </c:pt>
                <c:pt idx="17">
                  <c:v>0.70192952477890835</c:v>
                </c:pt>
                <c:pt idx="18">
                  <c:v>0.10428947778942721</c:v>
                </c:pt>
                <c:pt idx="19">
                  <c:v>0.91383313124661969</c:v>
                </c:pt>
                <c:pt idx="20">
                  <c:v>0.32359234320162111</c:v>
                </c:pt>
                <c:pt idx="21">
                  <c:v>0.92843949114738489</c:v>
                </c:pt>
                <c:pt idx="22">
                  <c:v>3.2673700905822001E-3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1.450453359992095E-2</c:v>
                </c:pt>
                <c:pt idx="11">
                  <c:v>0.14603637133119637</c:v>
                </c:pt>
                <c:pt idx="12">
                  <c:v>0.53764337153804709</c:v>
                </c:pt>
                <c:pt idx="13">
                  <c:v>0.30773534333285535</c:v>
                </c:pt>
                <c:pt idx="14">
                  <c:v>0.15660267709506717</c:v>
                </c:pt>
                <c:pt idx="15">
                  <c:v>1.7496787522241253E-2</c:v>
                </c:pt>
                <c:pt idx="16">
                  <c:v>0.20667310523976365</c:v>
                </c:pt>
                <c:pt idx="17">
                  <c:v>0.65403815502588258</c:v>
                </c:pt>
                <c:pt idx="18">
                  <c:v>9.8088532630911815E-2</c:v>
                </c:pt>
                <c:pt idx="19">
                  <c:v>0.35140032043791425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0.47712519022322475</c:v>
                </c:pt>
                <c:pt idx="1">
                  <c:v>0.43230287402069101</c:v>
                </c:pt>
                <c:pt idx="2">
                  <c:v>0.3594385627953165</c:v>
                </c:pt>
                <c:pt idx="3">
                  <c:v>0.14200958695760424</c:v>
                </c:pt>
                <c:pt idx="4">
                  <c:v>0.27491339477236276</c:v>
                </c:pt>
                <c:pt idx="5">
                  <c:v>0.14001770492651133</c:v>
                </c:pt>
                <c:pt idx="6">
                  <c:v>0.60096325660888383</c:v>
                </c:pt>
                <c:pt idx="7">
                  <c:v>0.67837178242626761</c:v>
                </c:pt>
                <c:pt idx="8">
                  <c:v>9.9963198447342694E-2</c:v>
                </c:pt>
                <c:pt idx="9">
                  <c:v>0.2414302693263678</c:v>
                </c:pt>
                <c:pt idx="10">
                  <c:v>5.6611858510863367E-2</c:v>
                </c:pt>
                <c:pt idx="11">
                  <c:v>0.28234797225515529</c:v>
                </c:pt>
                <c:pt idx="12">
                  <c:v>0.58300967865405651</c:v>
                </c:pt>
                <c:pt idx="13">
                  <c:v>0.35989468343013775</c:v>
                </c:pt>
                <c:pt idx="14">
                  <c:v>0.98005216374856574</c:v>
                </c:pt>
                <c:pt idx="15">
                  <c:v>2.0425301004436847E-2</c:v>
                </c:pt>
                <c:pt idx="16">
                  <c:v>0.95612306419634319</c:v>
                </c:pt>
                <c:pt idx="17">
                  <c:v>0.70192952477890835</c:v>
                </c:pt>
                <c:pt idx="18">
                  <c:v>0.10428947778942721</c:v>
                </c:pt>
                <c:pt idx="19">
                  <c:v>0.91383313124661969</c:v>
                </c:pt>
                <c:pt idx="20">
                  <c:v>0.32359234320162111</c:v>
                </c:pt>
                <c:pt idx="21">
                  <c:v>0.92843949114738489</c:v>
                </c:pt>
                <c:pt idx="22">
                  <c:v>3.2673700905822001E-3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4.3990682765641109E-3</c:v>
                </c:pt>
                <c:pt idx="21" formatCode="0.00">
                  <c:v>0.37298515613453009</c:v>
                </c:pt>
                <c:pt idx="22" formatCode="0.00">
                  <c:v>0.94607556677656357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0.39512046539976708</c:v>
                </c:pt>
                <c:pt idx="1">
                  <c:v>0.93237247415860702</c:v>
                </c:pt>
                <c:pt idx="2">
                  <c:v>0.74017999362490883</c:v>
                </c:pt>
                <c:pt idx="3">
                  <c:v>0.41110545462069259</c:v>
                </c:pt>
                <c:pt idx="4">
                  <c:v>0.50318726939296421</c:v>
                </c:pt>
                <c:pt idx="5">
                  <c:v>0.2024502455978695</c:v>
                </c:pt>
                <c:pt idx="6">
                  <c:v>0.4054380605339345</c:v>
                </c:pt>
                <c:pt idx="7">
                  <c:v>0.341313446562865</c:v>
                </c:pt>
                <c:pt idx="8">
                  <c:v>0.8413006540736353</c:v>
                </c:pt>
                <c:pt idx="9">
                  <c:v>0.37864932580838095</c:v>
                </c:pt>
                <c:pt idx="10">
                  <c:v>0.19171901896486088</c:v>
                </c:pt>
                <c:pt idx="11">
                  <c:v>0.50325376393212196</c:v>
                </c:pt>
                <c:pt idx="12">
                  <c:v>7.0963029552883805E-2</c:v>
                </c:pt>
                <c:pt idx="13">
                  <c:v>0.94278979977301536</c:v>
                </c:pt>
                <c:pt idx="14">
                  <c:v>0.71645666272015951</c:v>
                </c:pt>
                <c:pt idx="15">
                  <c:v>6.8077312470042339E-2</c:v>
                </c:pt>
                <c:pt idx="16">
                  <c:v>0.7020539481833159</c:v>
                </c:pt>
                <c:pt idx="17">
                  <c:v>0.10905686935879966</c:v>
                </c:pt>
                <c:pt idx="18">
                  <c:v>0.26380294573276131</c:v>
                </c:pt>
                <c:pt idx="19">
                  <c:v>0.16869221552642499</c:v>
                </c:pt>
                <c:pt idx="20">
                  <c:v>0.97452647264531989</c:v>
                </c:pt>
                <c:pt idx="21">
                  <c:v>0.74965245470469355</c:v>
                </c:pt>
                <c:pt idx="22">
                  <c:v>0.83439363524715104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0.69972412575117648</c:v>
                </c:pt>
                <c:pt idx="1">
                  <c:v>0.94026658470153524</c:v>
                </c:pt>
                <c:pt idx="2">
                  <c:v>0.89714870385026524</c:v>
                </c:pt>
                <c:pt idx="3">
                  <c:v>0.65422667315947947</c:v>
                </c:pt>
                <c:pt idx="4">
                  <c:v>0.72650256144221848</c:v>
                </c:pt>
                <c:pt idx="5">
                  <c:v>0.2608721341918589</c:v>
                </c:pt>
                <c:pt idx="6">
                  <c:v>0.82522310145285915</c:v>
                </c:pt>
                <c:pt idx="7">
                  <c:v>0.79575046502512103</c:v>
                </c:pt>
                <c:pt idx="8">
                  <c:v>0.87184992777116033</c:v>
                </c:pt>
                <c:pt idx="9">
                  <c:v>0.57886861286307068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0.39512046539976708</c:v>
                </c:pt>
                <c:pt idx="1">
                  <c:v>0.93237247415860702</c:v>
                </c:pt>
                <c:pt idx="2">
                  <c:v>0.74017999362490883</c:v>
                </c:pt>
                <c:pt idx="3">
                  <c:v>0.41110545462069259</c:v>
                </c:pt>
                <c:pt idx="4">
                  <c:v>0.50318726939296421</c:v>
                </c:pt>
                <c:pt idx="5">
                  <c:v>0.2024502455978695</c:v>
                </c:pt>
                <c:pt idx="6">
                  <c:v>0.4054380605339345</c:v>
                </c:pt>
                <c:pt idx="7">
                  <c:v>0.341313446562865</c:v>
                </c:pt>
                <c:pt idx="8">
                  <c:v>0.8413006540736353</c:v>
                </c:pt>
                <c:pt idx="9">
                  <c:v>0.37864932580838095</c:v>
                </c:pt>
                <c:pt idx="10">
                  <c:v>0.19171901896486088</c:v>
                </c:pt>
                <c:pt idx="11">
                  <c:v>0.50325376393212196</c:v>
                </c:pt>
                <c:pt idx="12">
                  <c:v>7.0963029552883805E-2</c:v>
                </c:pt>
                <c:pt idx="13">
                  <c:v>0.94278979977301536</c:v>
                </c:pt>
                <c:pt idx="14">
                  <c:v>0.71645666272015951</c:v>
                </c:pt>
                <c:pt idx="15">
                  <c:v>6.8077312470042339E-2</c:v>
                </c:pt>
                <c:pt idx="16">
                  <c:v>0.7020539481833159</c:v>
                </c:pt>
                <c:pt idx="17">
                  <c:v>0.10905686935879966</c:v>
                </c:pt>
                <c:pt idx="18">
                  <c:v>0.26380294573276131</c:v>
                </c:pt>
                <c:pt idx="19">
                  <c:v>0.16869221552642499</c:v>
                </c:pt>
                <c:pt idx="20">
                  <c:v>0.97452647264531989</c:v>
                </c:pt>
                <c:pt idx="21">
                  <c:v>0.74965245470469355</c:v>
                </c:pt>
                <c:pt idx="22">
                  <c:v>0.83439363524715104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0.10894061911316753</c:v>
                </c:pt>
                <c:pt idx="11">
                  <c:v>0.46033167075759651</c:v>
                </c:pt>
                <c:pt idx="12">
                  <c:v>6.3315397198030768E-2</c:v>
                </c:pt>
                <c:pt idx="13">
                  <c:v>0.89435228462176164</c:v>
                </c:pt>
                <c:pt idx="14">
                  <c:v>0.58846897836088607</c:v>
                </c:pt>
                <c:pt idx="15">
                  <c:v>3.4615458729433616E-3</c:v>
                </c:pt>
                <c:pt idx="16">
                  <c:v>0.46201792135912262</c:v>
                </c:pt>
                <c:pt idx="17">
                  <c:v>5.5790383833098547E-2</c:v>
                </c:pt>
                <c:pt idx="18">
                  <c:v>7.8863019467280512E-2</c:v>
                </c:pt>
                <c:pt idx="19">
                  <c:v>8.1276674652060218E-2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0.39512046539976708</c:v>
                </c:pt>
                <c:pt idx="1">
                  <c:v>0.93237247415860702</c:v>
                </c:pt>
                <c:pt idx="2">
                  <c:v>0.74017999362490883</c:v>
                </c:pt>
                <c:pt idx="3">
                  <c:v>0.41110545462069259</c:v>
                </c:pt>
                <c:pt idx="4">
                  <c:v>0.50318726939296421</c:v>
                </c:pt>
                <c:pt idx="5">
                  <c:v>0.2024502455978695</c:v>
                </c:pt>
                <c:pt idx="6">
                  <c:v>0.4054380605339345</c:v>
                </c:pt>
                <c:pt idx="7">
                  <c:v>0.341313446562865</c:v>
                </c:pt>
                <c:pt idx="8">
                  <c:v>0.8413006540736353</c:v>
                </c:pt>
                <c:pt idx="9">
                  <c:v>0.37864932580838095</c:v>
                </c:pt>
                <c:pt idx="10">
                  <c:v>0.19171901896486088</c:v>
                </c:pt>
                <c:pt idx="11">
                  <c:v>0.50325376393212196</c:v>
                </c:pt>
                <c:pt idx="12">
                  <c:v>7.0963029552883805E-2</c:v>
                </c:pt>
                <c:pt idx="13">
                  <c:v>0.94278979977301536</c:v>
                </c:pt>
                <c:pt idx="14">
                  <c:v>0.71645666272015951</c:v>
                </c:pt>
                <c:pt idx="15">
                  <c:v>6.8077312470042339E-2</c:v>
                </c:pt>
                <c:pt idx="16">
                  <c:v>0.7020539481833159</c:v>
                </c:pt>
                <c:pt idx="17">
                  <c:v>0.10905686935879966</c:v>
                </c:pt>
                <c:pt idx="18">
                  <c:v>0.26380294573276131</c:v>
                </c:pt>
                <c:pt idx="19">
                  <c:v>0.16869221552642499</c:v>
                </c:pt>
                <c:pt idx="20">
                  <c:v>0.97452647264531989</c:v>
                </c:pt>
                <c:pt idx="21">
                  <c:v>0.74965245470469355</c:v>
                </c:pt>
                <c:pt idx="22">
                  <c:v>0.83439363524715104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0.64028560890149577</c:v>
                </c:pt>
                <c:pt idx="21" formatCode="0.00">
                  <c:v>0.97962440853000743</c:v>
                </c:pt>
                <c:pt idx="22" formatCode="0.00">
                  <c:v>0.50102871331816234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5.9315819703001815E-2</c:v>
                </c:pt>
                <c:pt idx="1">
                  <c:v>3.2736966460045869E-2</c:v>
                </c:pt>
                <c:pt idx="2">
                  <c:v>0.97912826466123837</c:v>
                </c:pt>
                <c:pt idx="3">
                  <c:v>0.16677230730869841</c:v>
                </c:pt>
                <c:pt idx="4">
                  <c:v>0.86563235510337511</c:v>
                </c:pt>
                <c:pt idx="5">
                  <c:v>1.6970706291771331E-2</c:v>
                </c:pt>
                <c:pt idx="6">
                  <c:v>6.5054203205324068E-2</c:v>
                </c:pt>
                <c:pt idx="7">
                  <c:v>1.8829133227387107E-3</c:v>
                </c:pt>
                <c:pt idx="8">
                  <c:v>0.38043896957956125</c:v>
                </c:pt>
                <c:pt idx="9">
                  <c:v>0.14594023919417265</c:v>
                </c:pt>
                <c:pt idx="10">
                  <c:v>0.35133124918777592</c:v>
                </c:pt>
                <c:pt idx="11">
                  <c:v>0.86822116655353365</c:v>
                </c:pt>
                <c:pt idx="12">
                  <c:v>0.40495979792703152</c:v>
                </c:pt>
                <c:pt idx="13">
                  <c:v>0.83488835658062943</c:v>
                </c:pt>
                <c:pt idx="14">
                  <c:v>0.72224621900736297</c:v>
                </c:pt>
                <c:pt idx="15">
                  <c:v>8.1906596089746486E-2</c:v>
                </c:pt>
                <c:pt idx="16">
                  <c:v>0.96583062492725402</c:v>
                </c:pt>
                <c:pt idx="17">
                  <c:v>0.75637103993794919</c:v>
                </c:pt>
                <c:pt idx="18">
                  <c:v>0.21106826627279573</c:v>
                </c:pt>
                <c:pt idx="19">
                  <c:v>0.9122848143394432</c:v>
                </c:pt>
                <c:pt idx="21">
                  <c:v>0.91616265907346361</c:v>
                </c:pt>
                <c:pt idx="22">
                  <c:v>0.18751185792382385</c:v>
                </c:pt>
                <c:pt idx="23">
                  <c:v>0.97060090335204063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0.58678488277519181</c:v>
                </c:pt>
                <c:pt idx="1">
                  <c:v>0.67292853691390841</c:v>
                </c:pt>
                <c:pt idx="2">
                  <c:v>0.9988160329262874</c:v>
                </c:pt>
                <c:pt idx="3">
                  <c:v>0.27783856138867052</c:v>
                </c:pt>
                <c:pt idx="4">
                  <c:v>0.87707517089583131</c:v>
                </c:pt>
                <c:pt idx="5">
                  <c:v>0.8185612906401748</c:v>
                </c:pt>
                <c:pt idx="6">
                  <c:v>0.23379040988604904</c:v>
                </c:pt>
                <c:pt idx="7">
                  <c:v>0.63438072530253531</c:v>
                </c:pt>
                <c:pt idx="8">
                  <c:v>0.80526611615326815</c:v>
                </c:pt>
                <c:pt idx="9">
                  <c:v>0.51916911579939917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5.9315819703001815E-2</c:v>
                </c:pt>
                <c:pt idx="1">
                  <c:v>3.2736966460045869E-2</c:v>
                </c:pt>
                <c:pt idx="2">
                  <c:v>0.97912826466123837</c:v>
                </c:pt>
                <c:pt idx="3">
                  <c:v>0.16677230730869841</c:v>
                </c:pt>
                <c:pt idx="4">
                  <c:v>0.86563235510337511</c:v>
                </c:pt>
                <c:pt idx="5">
                  <c:v>1.6970706291771331E-2</c:v>
                </c:pt>
                <c:pt idx="6">
                  <c:v>6.5054203205324068E-2</c:v>
                </c:pt>
                <c:pt idx="7">
                  <c:v>1.8829133227387107E-3</c:v>
                </c:pt>
                <c:pt idx="8">
                  <c:v>0.38043896957956125</c:v>
                </c:pt>
                <c:pt idx="9">
                  <c:v>0.14594023919417265</c:v>
                </c:pt>
                <c:pt idx="10">
                  <c:v>0.35133124918777592</c:v>
                </c:pt>
                <c:pt idx="11">
                  <c:v>0.86822116655353365</c:v>
                </c:pt>
                <c:pt idx="12">
                  <c:v>0.40495979792703152</c:v>
                </c:pt>
                <c:pt idx="13">
                  <c:v>0.83488835658062943</c:v>
                </c:pt>
                <c:pt idx="14">
                  <c:v>0.72224621900736297</c:v>
                </c:pt>
                <c:pt idx="15">
                  <c:v>8.1906596089746486E-2</c:v>
                </c:pt>
                <c:pt idx="16">
                  <c:v>0.96583062492725402</c:v>
                </c:pt>
                <c:pt idx="17">
                  <c:v>0.75637103993794919</c:v>
                </c:pt>
                <c:pt idx="18">
                  <c:v>0.21106826627279573</c:v>
                </c:pt>
                <c:pt idx="19">
                  <c:v>0.9122848143394432</c:v>
                </c:pt>
                <c:pt idx="21">
                  <c:v>0.91616265907346361</c:v>
                </c:pt>
                <c:pt idx="22">
                  <c:v>0.18751185792382385</c:v>
                </c:pt>
                <c:pt idx="23">
                  <c:v>0.97060090335204063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2.9979906568765539E-2</c:v>
                </c:pt>
                <c:pt idx="11">
                  <c:v>0.17930774724537937</c:v>
                </c:pt>
                <c:pt idx="12">
                  <c:v>5.0506877298675451E-2</c:v>
                </c:pt>
                <c:pt idx="13">
                  <c:v>0.75759924799924416</c:v>
                </c:pt>
                <c:pt idx="14">
                  <c:v>0.3325928745470858</c:v>
                </c:pt>
                <c:pt idx="15">
                  <c:v>7.1811069005032105E-2</c:v>
                </c:pt>
                <c:pt idx="16">
                  <c:v>0.41875186464237751</c:v>
                </c:pt>
                <c:pt idx="17">
                  <c:v>0.58538510873543648</c:v>
                </c:pt>
                <c:pt idx="18">
                  <c:v>4.6424186211200875E-2</c:v>
                </c:pt>
                <c:pt idx="19">
                  <c:v>0.87714790261753084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5.9315819703001815E-2</c:v>
                </c:pt>
                <c:pt idx="1">
                  <c:v>3.2736966460045869E-2</c:v>
                </c:pt>
                <c:pt idx="2">
                  <c:v>0.97912826466123837</c:v>
                </c:pt>
                <c:pt idx="3">
                  <c:v>0.16677230730869841</c:v>
                </c:pt>
                <c:pt idx="4">
                  <c:v>0.86563235510337511</c:v>
                </c:pt>
                <c:pt idx="5">
                  <c:v>1.6970706291771331E-2</c:v>
                </c:pt>
                <c:pt idx="6">
                  <c:v>6.5054203205324068E-2</c:v>
                </c:pt>
                <c:pt idx="7">
                  <c:v>1.8829133227387107E-3</c:v>
                </c:pt>
                <c:pt idx="8">
                  <c:v>0.38043896957956125</c:v>
                </c:pt>
                <c:pt idx="9">
                  <c:v>0.14594023919417265</c:v>
                </c:pt>
                <c:pt idx="10">
                  <c:v>0.35133124918777592</c:v>
                </c:pt>
                <c:pt idx="11">
                  <c:v>0.86822116655353365</c:v>
                </c:pt>
                <c:pt idx="12">
                  <c:v>0.40495979792703152</c:v>
                </c:pt>
                <c:pt idx="13">
                  <c:v>0.83488835658062943</c:v>
                </c:pt>
                <c:pt idx="14">
                  <c:v>0.72224621900736297</c:v>
                </c:pt>
                <c:pt idx="15">
                  <c:v>8.1906596089746486E-2</c:v>
                </c:pt>
                <c:pt idx="16">
                  <c:v>0.96583062492725402</c:v>
                </c:pt>
                <c:pt idx="17">
                  <c:v>0.75637103993794919</c:v>
                </c:pt>
                <c:pt idx="18">
                  <c:v>0.21106826627279573</c:v>
                </c:pt>
                <c:pt idx="19">
                  <c:v>0.9122848143394432</c:v>
                </c:pt>
                <c:pt idx="21">
                  <c:v>0.91616265907346361</c:v>
                </c:pt>
                <c:pt idx="22">
                  <c:v>0.18751185792382385</c:v>
                </c:pt>
                <c:pt idx="23">
                  <c:v>0.97060090335204063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0.80371499591749429</c:v>
                </c:pt>
                <c:pt idx="22" formatCode="0.00">
                  <c:v>0.1557079508271757</c:v>
                </c:pt>
                <c:pt idx="23" formatCode="0.00">
                  <c:v>0.54329090012334791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0.42797226065921001</c:v>
                </c:pt>
                <c:pt idx="1">
                  <c:v>0.15085061142697698</c:v>
                </c:pt>
                <c:pt idx="2">
                  <c:v>0.93661007896172099</c:v>
                </c:pt>
                <c:pt idx="3">
                  <c:v>0.94797640967130126</c:v>
                </c:pt>
                <c:pt idx="4">
                  <c:v>0.65562622537149096</c:v>
                </c:pt>
                <c:pt idx="5">
                  <c:v>0.45803925137325119</c:v>
                </c:pt>
                <c:pt idx="6">
                  <c:v>0.11103792754183317</c:v>
                </c:pt>
                <c:pt idx="7">
                  <c:v>0.88294315152108782</c:v>
                </c:pt>
                <c:pt idx="8">
                  <c:v>0.53869239576019989</c:v>
                </c:pt>
                <c:pt idx="9">
                  <c:v>0.22200961003107178</c:v>
                </c:pt>
                <c:pt idx="10">
                  <c:v>0.50442401287107397</c:v>
                </c:pt>
                <c:pt idx="11">
                  <c:v>0.35314985767708718</c:v>
                </c:pt>
                <c:pt idx="12">
                  <c:v>0.1532513333390203</c:v>
                </c:pt>
                <c:pt idx="13">
                  <c:v>0.34277900436041797</c:v>
                </c:pt>
                <c:pt idx="14">
                  <c:v>0.95796038234241965</c:v>
                </c:pt>
                <c:pt idx="15">
                  <c:v>0.3747305188420833</c:v>
                </c:pt>
                <c:pt idx="16">
                  <c:v>0.79398761831007147</c:v>
                </c:pt>
                <c:pt idx="17">
                  <c:v>0.64864845927804027</c:v>
                </c:pt>
                <c:pt idx="18">
                  <c:v>0.92966192563096861</c:v>
                </c:pt>
                <c:pt idx="19">
                  <c:v>0.85882393305867222</c:v>
                </c:pt>
                <c:pt idx="21">
                  <c:v>0.8008117839429949</c:v>
                </c:pt>
                <c:pt idx="22">
                  <c:v>0.11701268923875618</c:v>
                </c:pt>
                <c:pt idx="23">
                  <c:v>1.8014332140409928E-2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0.76789796034686808</c:v>
                </c:pt>
                <c:pt idx="1">
                  <c:v>0.88572836290681045</c:v>
                </c:pt>
                <c:pt idx="2">
                  <c:v>0.97225986086241867</c:v>
                </c:pt>
                <c:pt idx="3">
                  <c:v>0.98278262713923059</c:v>
                </c:pt>
                <c:pt idx="4">
                  <c:v>0.76351606930277538</c:v>
                </c:pt>
                <c:pt idx="5">
                  <c:v>0.81112869283796196</c:v>
                </c:pt>
                <c:pt idx="6">
                  <c:v>0.51608219144163692</c:v>
                </c:pt>
                <c:pt idx="7">
                  <c:v>0.94850792727803834</c:v>
                </c:pt>
                <c:pt idx="8">
                  <c:v>0.9874242916313265</c:v>
                </c:pt>
                <c:pt idx="9">
                  <c:v>0.96883727118218743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0.42797226065921001</c:v>
                </c:pt>
                <c:pt idx="1">
                  <c:v>0.15085061142697698</c:v>
                </c:pt>
                <c:pt idx="2">
                  <c:v>0.93661007896172099</c:v>
                </c:pt>
                <c:pt idx="3">
                  <c:v>0.94797640967130126</c:v>
                </c:pt>
                <c:pt idx="4">
                  <c:v>0.65562622537149096</c:v>
                </c:pt>
                <c:pt idx="5">
                  <c:v>0.45803925137325119</c:v>
                </c:pt>
                <c:pt idx="6">
                  <c:v>0.11103792754183317</c:v>
                </c:pt>
                <c:pt idx="7">
                  <c:v>0.88294315152108782</c:v>
                </c:pt>
                <c:pt idx="8">
                  <c:v>0.53869239576019989</c:v>
                </c:pt>
                <c:pt idx="9">
                  <c:v>0.22200961003107178</c:v>
                </c:pt>
                <c:pt idx="10">
                  <c:v>0.50442401287107397</c:v>
                </c:pt>
                <c:pt idx="11">
                  <c:v>0.35314985767708718</c:v>
                </c:pt>
                <c:pt idx="12">
                  <c:v>0.1532513333390203</c:v>
                </c:pt>
                <c:pt idx="13">
                  <c:v>0.34277900436041797</c:v>
                </c:pt>
                <c:pt idx="14">
                  <c:v>0.95796038234241965</c:v>
                </c:pt>
                <c:pt idx="15">
                  <c:v>0.3747305188420833</c:v>
                </c:pt>
                <c:pt idx="16">
                  <c:v>0.79398761831007147</c:v>
                </c:pt>
                <c:pt idx="17">
                  <c:v>0.64864845927804027</c:v>
                </c:pt>
                <c:pt idx="18">
                  <c:v>0.92966192563096861</c:v>
                </c:pt>
                <c:pt idx="19">
                  <c:v>0.85882393305867222</c:v>
                </c:pt>
                <c:pt idx="21">
                  <c:v>0.8008117839429949</c:v>
                </c:pt>
                <c:pt idx="22">
                  <c:v>0.11701268923875618</c:v>
                </c:pt>
                <c:pt idx="23">
                  <c:v>1.8014332140409928E-2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9.0155586581178643E-2</c:v>
                </c:pt>
                <c:pt idx="11">
                  <c:v>0.34919709119266118</c:v>
                </c:pt>
                <c:pt idx="12">
                  <c:v>9.8395453701804594E-2</c:v>
                </c:pt>
                <c:pt idx="13">
                  <c:v>0.2991756176047079</c:v>
                </c:pt>
                <c:pt idx="14">
                  <c:v>0.90261211360887939</c:v>
                </c:pt>
                <c:pt idx="15">
                  <c:v>0.37210616588214634</c:v>
                </c:pt>
                <c:pt idx="16">
                  <c:v>0.14879863796816495</c:v>
                </c:pt>
                <c:pt idx="17">
                  <c:v>0.10168015144697831</c:v>
                </c:pt>
                <c:pt idx="18">
                  <c:v>0.13677261241730837</c:v>
                </c:pt>
                <c:pt idx="19">
                  <c:v>0.22110488018075103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0.42797226065921001</c:v>
                </c:pt>
                <c:pt idx="1">
                  <c:v>0.15085061142697698</c:v>
                </c:pt>
                <c:pt idx="2">
                  <c:v>0.93661007896172099</c:v>
                </c:pt>
                <c:pt idx="3">
                  <c:v>0.94797640967130126</c:v>
                </c:pt>
                <c:pt idx="4">
                  <c:v>0.65562622537149096</c:v>
                </c:pt>
                <c:pt idx="5">
                  <c:v>0.45803925137325119</c:v>
                </c:pt>
                <c:pt idx="6">
                  <c:v>0.11103792754183317</c:v>
                </c:pt>
                <c:pt idx="7">
                  <c:v>0.88294315152108782</c:v>
                </c:pt>
                <c:pt idx="8">
                  <c:v>0.53869239576019989</c:v>
                </c:pt>
                <c:pt idx="9">
                  <c:v>0.22200961003107178</c:v>
                </c:pt>
                <c:pt idx="10">
                  <c:v>0.50442401287107397</c:v>
                </c:pt>
                <c:pt idx="11">
                  <c:v>0.35314985767708718</c:v>
                </c:pt>
                <c:pt idx="12">
                  <c:v>0.1532513333390203</c:v>
                </c:pt>
                <c:pt idx="13">
                  <c:v>0.34277900436041797</c:v>
                </c:pt>
                <c:pt idx="14">
                  <c:v>0.95796038234241965</c:v>
                </c:pt>
                <c:pt idx="15">
                  <c:v>0.3747305188420833</c:v>
                </c:pt>
                <c:pt idx="16">
                  <c:v>0.79398761831007147</c:v>
                </c:pt>
                <c:pt idx="17">
                  <c:v>0.64864845927804027</c:v>
                </c:pt>
                <c:pt idx="18">
                  <c:v>0.92966192563096861</c:v>
                </c:pt>
                <c:pt idx="19">
                  <c:v>0.85882393305867222</c:v>
                </c:pt>
                <c:pt idx="21">
                  <c:v>0.8008117839429949</c:v>
                </c:pt>
                <c:pt idx="22">
                  <c:v>0.11701268923875618</c:v>
                </c:pt>
                <c:pt idx="23">
                  <c:v>1.8014332140409928E-2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0.56517821425729498</c:v>
                </c:pt>
                <c:pt idx="22" formatCode="0.00">
                  <c:v>2.1263003617403853E-2</c:v>
                </c:pt>
                <c:pt idx="23" formatCode="0.00">
                  <c:v>0.32869081706258318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0.92143177214322591</c:v>
                </c:pt>
                <c:pt idx="1">
                  <c:v>0.24314939417828074</c:v>
                </c:pt>
                <c:pt idx="2">
                  <c:v>0.62692404147430913</c:v>
                </c:pt>
                <c:pt idx="3">
                  <c:v>0.18000441868398975</c:v>
                </c:pt>
                <c:pt idx="4">
                  <c:v>0.99470247810456758</c:v>
                </c:pt>
                <c:pt idx="5">
                  <c:v>0.36597720940386513</c:v>
                </c:pt>
                <c:pt idx="6">
                  <c:v>0.66180867166516777</c:v>
                </c:pt>
                <c:pt idx="7">
                  <c:v>0.91013891645372302</c:v>
                </c:pt>
                <c:pt idx="8">
                  <c:v>0.20147249691275226</c:v>
                </c:pt>
                <c:pt idx="9">
                  <c:v>5.468666683670298E-3</c:v>
                </c:pt>
                <c:pt idx="10">
                  <c:v>0.34714532176759738</c:v>
                </c:pt>
                <c:pt idx="11">
                  <c:v>0.17764549560105347</c:v>
                </c:pt>
                <c:pt idx="12">
                  <c:v>0.87262897813195062</c:v>
                </c:pt>
                <c:pt idx="13">
                  <c:v>0.46984224585219547</c:v>
                </c:pt>
                <c:pt idx="14">
                  <c:v>0.46668118775492273</c:v>
                </c:pt>
                <c:pt idx="15">
                  <c:v>0.15993097681016488</c:v>
                </c:pt>
                <c:pt idx="16">
                  <c:v>0.91941081039028394</c:v>
                </c:pt>
                <c:pt idx="17">
                  <c:v>0.37490163445598645</c:v>
                </c:pt>
                <c:pt idx="18">
                  <c:v>0.54599701381963173</c:v>
                </c:pt>
                <c:pt idx="19">
                  <c:v>0.14008005236418186</c:v>
                </c:pt>
                <c:pt idx="21">
                  <c:v>0.36359948655169139</c:v>
                </c:pt>
                <c:pt idx="22">
                  <c:v>0.27071733027512279</c:v>
                </c:pt>
                <c:pt idx="23">
                  <c:v>4.5321990354971975E-2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0.95727701660039832</c:v>
                </c:pt>
                <c:pt idx="1">
                  <c:v>0.43045387664630091</c:v>
                </c:pt>
                <c:pt idx="2">
                  <c:v>0.64046138344976722</c:v>
                </c:pt>
                <c:pt idx="3">
                  <c:v>0.56471330440428358</c:v>
                </c:pt>
                <c:pt idx="4">
                  <c:v>0.9952126640213963</c:v>
                </c:pt>
                <c:pt idx="5">
                  <c:v>0.80726477002753139</c:v>
                </c:pt>
                <c:pt idx="6">
                  <c:v>0.77165736468063628</c:v>
                </c:pt>
                <c:pt idx="7">
                  <c:v>0.94721218843005639</c:v>
                </c:pt>
                <c:pt idx="8">
                  <c:v>0.70585631491124867</c:v>
                </c:pt>
                <c:pt idx="9">
                  <c:v>8.8494239828491666E-2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0.92143177214322591</c:v>
                </c:pt>
                <c:pt idx="1">
                  <c:v>0.24314939417828074</c:v>
                </c:pt>
                <c:pt idx="2">
                  <c:v>0.62692404147430913</c:v>
                </c:pt>
                <c:pt idx="3">
                  <c:v>0.18000441868398975</c:v>
                </c:pt>
                <c:pt idx="4">
                  <c:v>0.99470247810456758</c:v>
                </c:pt>
                <c:pt idx="5">
                  <c:v>0.36597720940386513</c:v>
                </c:pt>
                <c:pt idx="6">
                  <c:v>0.66180867166516777</c:v>
                </c:pt>
                <c:pt idx="7">
                  <c:v>0.91013891645372302</c:v>
                </c:pt>
                <c:pt idx="8">
                  <c:v>0.20147249691275226</c:v>
                </c:pt>
                <c:pt idx="9">
                  <c:v>5.468666683670298E-3</c:v>
                </c:pt>
                <c:pt idx="10">
                  <c:v>0.34714532176759738</c:v>
                </c:pt>
                <c:pt idx="11">
                  <c:v>0.17764549560105347</c:v>
                </c:pt>
                <c:pt idx="12">
                  <c:v>0.87262897813195062</c:v>
                </c:pt>
                <c:pt idx="13">
                  <c:v>0.46984224585219547</c:v>
                </c:pt>
                <c:pt idx="14">
                  <c:v>0.46668118775492273</c:v>
                </c:pt>
                <c:pt idx="15">
                  <c:v>0.15993097681016488</c:v>
                </c:pt>
                <c:pt idx="16">
                  <c:v>0.91941081039028394</c:v>
                </c:pt>
                <c:pt idx="17">
                  <c:v>0.37490163445598645</c:v>
                </c:pt>
                <c:pt idx="18">
                  <c:v>0.54599701381963173</c:v>
                </c:pt>
                <c:pt idx="19">
                  <c:v>0.14008005236418186</c:v>
                </c:pt>
                <c:pt idx="21">
                  <c:v>0.36359948655169139</c:v>
                </c:pt>
                <c:pt idx="22">
                  <c:v>0.27071733027512279</c:v>
                </c:pt>
                <c:pt idx="23">
                  <c:v>4.5321990354971975E-2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6.7684442185374061E-2</c:v>
                </c:pt>
                <c:pt idx="11">
                  <c:v>1.9948781152283469E-2</c:v>
                </c:pt>
                <c:pt idx="12">
                  <c:v>1.6663980148151233E-2</c:v>
                </c:pt>
                <c:pt idx="13">
                  <c:v>3.7168796659081675E-2</c:v>
                </c:pt>
                <c:pt idx="14">
                  <c:v>0.20753132908862038</c:v>
                </c:pt>
                <c:pt idx="15">
                  <c:v>0.14102658500410317</c:v>
                </c:pt>
                <c:pt idx="16">
                  <c:v>0.45645261829509781</c:v>
                </c:pt>
                <c:pt idx="17">
                  <c:v>0.33294355401204917</c:v>
                </c:pt>
                <c:pt idx="18">
                  <c:v>4.9769622122551212E-2</c:v>
                </c:pt>
                <c:pt idx="19">
                  <c:v>2.9631626580772091E-2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0.92143177214322591</c:v>
                </c:pt>
                <c:pt idx="1">
                  <c:v>0.24314939417828074</c:v>
                </c:pt>
                <c:pt idx="2">
                  <c:v>0.62692404147430913</c:v>
                </c:pt>
                <c:pt idx="3">
                  <c:v>0.18000441868398975</c:v>
                </c:pt>
                <c:pt idx="4">
                  <c:v>0.99470247810456758</c:v>
                </c:pt>
                <c:pt idx="5">
                  <c:v>0.36597720940386513</c:v>
                </c:pt>
                <c:pt idx="6">
                  <c:v>0.66180867166516777</c:v>
                </c:pt>
                <c:pt idx="7">
                  <c:v>0.91013891645372302</c:v>
                </c:pt>
                <c:pt idx="8">
                  <c:v>0.20147249691275226</c:v>
                </c:pt>
                <c:pt idx="9">
                  <c:v>5.468666683670298E-3</c:v>
                </c:pt>
                <c:pt idx="10">
                  <c:v>0.34714532176759738</c:v>
                </c:pt>
                <c:pt idx="11">
                  <c:v>0.17764549560105347</c:v>
                </c:pt>
                <c:pt idx="12">
                  <c:v>0.87262897813195062</c:v>
                </c:pt>
                <c:pt idx="13">
                  <c:v>0.46984224585219547</c:v>
                </c:pt>
                <c:pt idx="14">
                  <c:v>0.46668118775492273</c:v>
                </c:pt>
                <c:pt idx="15">
                  <c:v>0.15993097681016488</c:v>
                </c:pt>
                <c:pt idx="16">
                  <c:v>0.91941081039028394</c:v>
                </c:pt>
                <c:pt idx="17">
                  <c:v>0.37490163445598645</c:v>
                </c:pt>
                <c:pt idx="18">
                  <c:v>0.54599701381963173</c:v>
                </c:pt>
                <c:pt idx="19">
                  <c:v>0.14008005236418186</c:v>
                </c:pt>
                <c:pt idx="21">
                  <c:v>0.36359948655169139</c:v>
                </c:pt>
                <c:pt idx="22">
                  <c:v>0.27071733027512279</c:v>
                </c:pt>
                <c:pt idx="23">
                  <c:v>4.5321990354971975E-2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0.34329951092227906</c:v>
                </c:pt>
                <c:pt idx="22" formatCode="0.00">
                  <c:v>0.63631879678047754</c:v>
                </c:pt>
                <c:pt idx="23" formatCode="0.00">
                  <c:v>0.99468821734871915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11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install.packages('tidyverse')</a:t>
          </a:r>
        </a:p>
        <a:p>
          <a:r>
            <a:rPr lang="en-US" sz="2000"/>
            <a:t># 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r>
            <a:rPr lang="en-US" sz="2000"/>
            <a:t>preds = predict(fit_lm,marketing)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r>
            <a:rPr lang="en-US" sz="2000"/>
            <a:t># Manual Plot</a:t>
          </a:r>
        </a:p>
        <a:p>
          <a:r>
            <a:rPr lang="en-US" sz="2000"/>
            <a:t>idx_sort = order(marketing$youtube,decreasing = F)</a:t>
          </a:r>
        </a:p>
        <a:p>
          <a:r>
            <a:rPr lang="en-US" sz="2000"/>
            <a:t>preds = predict(object = fit_lm,newdata = marketing)</a:t>
          </a:r>
        </a:p>
        <a:p>
          <a:r>
            <a:rPr lang="en-US" sz="2000"/>
            <a:t>errors = marketing$sales - preds</a:t>
          </a:r>
        </a:p>
        <a:p>
          <a:r>
            <a:rPr lang="en-US" sz="2000"/>
            <a:t>plot(errors[idx_sort])</a:t>
          </a:r>
        </a:p>
      </xdr:txBody>
    </xdr:sp>
    <xdr:clientData/>
  </xdr:twoCellAnchor>
  <xdr:twoCellAnchor editAs="oneCell">
    <xdr:from>
      <xdr:col>10</xdr:col>
      <xdr:colOff>457200</xdr:colOff>
      <xdr:row>1</xdr:row>
      <xdr:rowOff>12700</xdr:rowOff>
    </xdr:from>
    <xdr:to>
      <xdr:col>21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qtiles = (1:n)/(n+1)</a:t>
          </a:r>
        </a:p>
        <a:p>
          <a:r>
            <a:rPr lang="en-US" sz="2000"/>
            <a:t>theoreticals = qnorm(qtiles)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10</xdr:col>
      <xdr:colOff>469900</xdr:colOff>
      <xdr:row>1</xdr:row>
      <xdr:rowOff>0</xdr:rowOff>
    </xdr:from>
    <xdr:to>
      <xdr:col>21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3)</a:t>
          </a:r>
        </a:p>
        <a:p>
          <a:r>
            <a:rPr lang="en-US" sz="2000"/>
            <a:t># Manual Plot</a:t>
          </a:r>
        </a:p>
        <a:p>
          <a:r>
            <a:rPr lang="en-US" sz="2000"/>
            <a:t>idx_yhat = order(preds)</a:t>
          </a:r>
        </a:p>
        <a:p>
          <a:r>
            <a:rPr lang="en-US" sz="2000"/>
            <a:t>plot(preds,sqrt(abs(std_residual)))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</a:t>
          </a:r>
        </a:p>
        <a:p>
          <a:r>
            <a:rPr lang="en-US" sz="2000"/>
            <a:t>qf(.95,n/2-1,n/2-1)</a:t>
          </a:r>
        </a:p>
      </xdr:txBody>
    </xdr:sp>
    <xdr:clientData/>
  </xdr:twoCellAnchor>
  <xdr:twoCellAnchor editAs="oneCell">
    <xdr:from>
      <xdr:col>10</xdr:col>
      <xdr:colOff>495300</xdr:colOff>
      <xdr:row>1</xdr:row>
      <xdr:rowOff>12700</xdr:rowOff>
    </xdr:from>
    <xdr:to>
      <xdr:col>21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26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8407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Leverage Points ####</a:t>
          </a:r>
        </a:p>
        <a:p>
          <a:r>
            <a:rPr lang="en-US" sz="1800"/>
            <a:t># Automatic Plot</a:t>
          </a:r>
        </a:p>
        <a:p>
          <a:r>
            <a:rPr lang="en-US" sz="1800"/>
            <a:t>plot(fit_lm, 5)</a:t>
          </a:r>
        </a:p>
        <a:p>
          <a:r>
            <a:rPr lang="en-US" sz="1800"/>
            <a:t># Manual Plot</a:t>
          </a:r>
        </a:p>
        <a:p>
          <a:endParaRPr lang="en-US" sz="1800"/>
        </a:p>
        <a:p>
          <a:r>
            <a:rPr lang="en-US" sz="1800"/>
            <a:t>fit_lm = lm(sales ~ youtube, data = marketing)</a:t>
          </a:r>
        </a:p>
        <a:p>
          <a:r>
            <a:rPr lang="en-US" sz="1800"/>
            <a:t>MSE = sum(fit_lm$residuals^2)/fit_lm$df.residual</a:t>
          </a:r>
        </a:p>
        <a:p>
          <a:r>
            <a:rPr lang="en-US" sz="1800"/>
            <a:t>n = dim(marketing)[1]</a:t>
          </a:r>
        </a:p>
        <a:p>
          <a:r>
            <a:rPr lang="en-US" sz="1800"/>
            <a:t>p = n-fit_lm$df.residual</a:t>
          </a:r>
        </a:p>
        <a:p>
          <a:r>
            <a:rPr lang="en-US" sz="1800"/>
            <a:t>newdata = data.frame(youtube=marketing$youtube)</a:t>
          </a:r>
        </a:p>
        <a:p>
          <a:r>
            <a:rPr lang="en-US" sz="1800"/>
            <a:t>yhat = predict(object = fit_lm, newdata = newdata)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newdata)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10</xdr:col>
      <xdr:colOff>508000</xdr:colOff>
      <xdr:row>1</xdr:row>
      <xdr:rowOff>0</xdr:rowOff>
    </xdr:from>
    <xdr:to>
      <xdr:col>21</xdr:col>
      <xdr:colOff>342900</xdr:colOff>
      <xdr:row>26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8394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10</xdr:col>
      <xdr:colOff>406400</xdr:colOff>
      <xdr:row>1</xdr:row>
      <xdr:rowOff>12700</xdr:rowOff>
    </xdr:from>
    <xdr:to>
      <xdr:col>21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520700</xdr:colOff>
      <xdr:row>21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19B98C-EDAB-2147-996B-34D3C34C70BF}"/>
            </a:ext>
          </a:extLst>
        </xdr:cNvPr>
        <xdr:cNvSpPr txBox="1"/>
      </xdr:nvSpPr>
      <xdr:spPr>
        <a:xfrm>
          <a:off x="838200" y="228600"/>
          <a:ext cx="10414000" cy="412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Basics warm up</a:t>
          </a:r>
        </a:p>
        <a:p>
          <a:endParaRPr lang="en-US" sz="2000"/>
        </a:p>
        <a:p>
          <a:r>
            <a:rPr lang="en-US" sz="2000"/>
            <a:t># Indicator vectors</a:t>
          </a:r>
        </a:p>
        <a:p>
          <a:endParaRPr lang="en-US" sz="2000"/>
        </a:p>
        <a:p>
          <a:r>
            <a:rPr lang="en-US" sz="2000"/>
            <a:t>mydatavec = c('apple','orange','grape','apple')</a:t>
          </a:r>
        </a:p>
        <a:p>
          <a:endParaRPr lang="en-US" sz="2000"/>
        </a:p>
        <a:p>
          <a:r>
            <a:rPr lang="en-US" sz="2000"/>
            <a:t>ind_apple &lt;- mydatavec == 'apple'</a:t>
          </a:r>
        </a:p>
        <a:p>
          <a:r>
            <a:rPr lang="en-US" sz="2000"/>
            <a:t>print(ind_apple)</a:t>
          </a:r>
        </a:p>
        <a:p>
          <a:endParaRPr lang="en-US" sz="2000"/>
        </a:p>
        <a:p>
          <a:r>
            <a:rPr lang="en-US" sz="2000"/>
            <a:t>idx_apple = which(ind_apple)</a:t>
          </a:r>
        </a:p>
        <a:p>
          <a:r>
            <a:rPr lang="en-US" sz="2000"/>
            <a:t>print(idx_apple)</a:t>
          </a:r>
        </a:p>
        <a:p>
          <a:endParaRPr lang="en-US" sz="2000"/>
        </a:p>
        <a:p>
          <a:r>
            <a:rPr lang="en-US" sz="2000"/>
            <a:t>mydatavec[ind_apple]</a:t>
          </a:r>
        </a:p>
        <a:p>
          <a:r>
            <a:rPr lang="en-US" sz="2000"/>
            <a:t>mydatavec[idx_apple]</a:t>
          </a:r>
        </a:p>
        <a:p>
          <a:endParaRPr lang="en-US" sz="20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preds_num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as.matrix(d[idx_iis,preds_num])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as.matrix(d[idx_oos,preds_num])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DD839D4A-9430-6D49-A10D-68A51196D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VRyXoxyWCaW6lY8z1MRqGbAE7vo9RnPy/edit?usp=sharing&amp;ouid=116641273197698817700&amp;rtpof=true&amp;sd=tru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2MVIm4m5PMVoHgIivc8hu7DHEQg8jgcF/edit?usp=sharing&amp;ouid=116641273197698817700&amp;rtpof=true&amp;sd=true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zHc38yqNwScCAm86ufaecARXDi8r1Vy2/edit?usp=sharing&amp;ouid=116641273197698817700&amp;rtpof=true&amp;sd=true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Hd5aE-y334DyjHNV7ngp2DbrMgMBuOKd" TargetMode="External"/><Relationship Id="rId13" Type="http://schemas.openxmlformats.org/officeDocument/2006/relationships/hyperlink" Target="https://drive.google.com/open?id=1r5mXOqsu1aTxyhy-Oee8B8JwrTHOnahV" TargetMode="External"/><Relationship Id="rId3" Type="http://schemas.openxmlformats.org/officeDocument/2006/relationships/hyperlink" Target="https://drive.google.com/open?id=1LNoC9BUU434VAo7ztuP8Emlp9Fnoku8G" TargetMode="External"/><Relationship Id="rId7" Type="http://schemas.openxmlformats.org/officeDocument/2006/relationships/hyperlink" Target="https://drive.google.com/open?id=13ekqY2xJLaQ6bqlpkTwr8tLwzgwm0AI8" TargetMode="External"/><Relationship Id="rId12" Type="http://schemas.openxmlformats.org/officeDocument/2006/relationships/hyperlink" Target="https://drive.google.com/open?id=1SKGSkTavC0SBlPdui8UXPxujir1cM_Wu" TargetMode="External"/><Relationship Id="rId2" Type="http://schemas.openxmlformats.org/officeDocument/2006/relationships/hyperlink" Target="https://drive.google.com/open?id=15eD9ZCG3GMF7IWnPqjqXXxPzEyKkE-oi" TargetMode="External"/><Relationship Id="rId16" Type="http://schemas.openxmlformats.org/officeDocument/2006/relationships/hyperlink" Target="https://drive.google.com/open?id=1Hd5aE-y334DyjHNV7ngp2DbrMgMBuOKd" TargetMode="External"/><Relationship Id="rId1" Type="http://schemas.openxmlformats.org/officeDocument/2006/relationships/hyperlink" Target="https://drive.google.com/open?id=1Ku1bEaFYWMqDfLvZR855lDqnqMzsjd20" TargetMode="External"/><Relationship Id="rId6" Type="http://schemas.openxmlformats.org/officeDocument/2006/relationships/hyperlink" Target="https://drive.google.com/open?id=1QlKQwfvt_sy6ijeKAaqEc_wZGzA3m8t1" TargetMode="External"/><Relationship Id="rId11" Type="http://schemas.openxmlformats.org/officeDocument/2006/relationships/hyperlink" Target="https://drive.google.com/open?id=1LNoC9BUU434VAo7ztuP8Emlp9Fnoku8G" TargetMode="External"/><Relationship Id="rId5" Type="http://schemas.openxmlformats.org/officeDocument/2006/relationships/hyperlink" Target="https://drive.google.com/open?id=1r5mXOqsu1aTxyhy-Oee8B8JwrTHOnahV" TargetMode="External"/><Relationship Id="rId15" Type="http://schemas.openxmlformats.org/officeDocument/2006/relationships/hyperlink" Target="https://drive.google.com/open?id=13ekqY2xJLaQ6bqlpkTwr8tLwzgwm0AI8" TargetMode="External"/><Relationship Id="rId10" Type="http://schemas.openxmlformats.org/officeDocument/2006/relationships/hyperlink" Target="https://drive.google.com/open?id=15eD9ZCG3GMF7IWnPqjqXXxPzEyKkE-oi" TargetMode="External"/><Relationship Id="rId4" Type="http://schemas.openxmlformats.org/officeDocument/2006/relationships/hyperlink" Target="https://drive.google.com/open?id=1SKGSkTavC0SBlPdui8UXPxujir1cM_Wu" TargetMode="External"/><Relationship Id="rId9" Type="http://schemas.openxmlformats.org/officeDocument/2006/relationships/hyperlink" Target="https://drive.google.com/open?id=1Ku1bEaFYWMqDfLvZR855lDqnqMzsjd20" TargetMode="External"/><Relationship Id="rId14" Type="http://schemas.openxmlformats.org/officeDocument/2006/relationships/hyperlink" Target="https://drive.google.com/open?id=1QlKQwfvt_sy6ijeKAaqEc_wZGzA3m8t1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en.wikipedia.org/wiki/Precision_and_recall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Precision_and_reca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1</v>
      </c>
    </row>
    <row r="5" spans="2:2" x14ac:dyDescent="0.3">
      <c r="B5" s="1" t="s">
        <v>16</v>
      </c>
    </row>
    <row r="7" spans="2:2" x14ac:dyDescent="0.3">
      <c r="B7" s="1" t="s">
        <v>17</v>
      </c>
    </row>
    <row r="9" spans="2:2" x14ac:dyDescent="0.3">
      <c r="B9" s="1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24</v>
      </c>
    </row>
    <row r="4" spans="2:2" x14ac:dyDescent="0.3">
      <c r="B4" s="1" t="s">
        <v>26</v>
      </c>
    </row>
    <row r="6" spans="2:2" x14ac:dyDescent="0.3">
      <c r="B6" s="1" t="s">
        <v>27</v>
      </c>
    </row>
    <row r="8" spans="2:2" x14ac:dyDescent="0.3">
      <c r="B8" s="1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243B-FCCE-F543-8DD8-E5DE8DB28E06}">
  <sheetPr>
    <tabColor rgb="FF00206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200</v>
      </c>
    </row>
  </sheetData>
  <hyperlinks>
    <hyperlink ref="B2" r:id="rId1" xr:uid="{F5E59AE7-74B3-EB40-BE00-BEE40D395F2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59</v>
      </c>
    </row>
    <row r="2" spans="1:1" x14ac:dyDescent="0.3">
      <c r="A2" s="1" t="s">
        <v>0</v>
      </c>
    </row>
    <row r="3" spans="1:1" x14ac:dyDescent="0.3">
      <c r="A3" s="1" t="s">
        <v>201</v>
      </c>
    </row>
    <row r="4" spans="1:1" x14ac:dyDescent="0.3">
      <c r="A4" s="1" t="s">
        <v>60</v>
      </c>
    </row>
    <row r="5" spans="1:1" x14ac:dyDescent="0.3">
      <c r="A5" s="1" t="s">
        <v>61</v>
      </c>
    </row>
    <row r="6" spans="1:1" x14ac:dyDescent="0.3">
      <c r="A6" s="1" t="s">
        <v>62</v>
      </c>
    </row>
    <row r="7" spans="1:1" x14ac:dyDescent="0.3">
      <c r="A7" s="1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A1"/>
  <sheetViews>
    <sheetView zoomScaleNormal="100"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>
      <selection activeCell="L2" sqref="L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>
      <selection activeCell="L2" sqref="L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6</v>
      </c>
      <c r="D2" s="2" t="s">
        <v>5</v>
      </c>
      <c r="F2" s="2" t="s">
        <v>2</v>
      </c>
      <c r="G2" s="6">
        <f t="shared" ref="G2:Q2" si="0">AVERAGE(G5:G104)</f>
        <v>3.9599999999999942</v>
      </c>
      <c r="H2" s="6">
        <f t="shared" si="0"/>
        <v>3.5648254158978756</v>
      </c>
      <c r="I2" s="6">
        <f t="shared" si="0"/>
        <v>3.1497439778699392</v>
      </c>
      <c r="J2" s="6">
        <f t="shared" si="0"/>
        <v>2.7648863532968551</v>
      </c>
      <c r="K2" s="6">
        <f t="shared" si="0"/>
        <v>2.3630144263979709</v>
      </c>
      <c r="L2" s="6">
        <f t="shared" si="0"/>
        <v>1.9640770578793925</v>
      </c>
      <c r="M2" s="6">
        <f t="shared" si="0"/>
        <v>1.62865949026668</v>
      </c>
      <c r="N2" s="6">
        <f t="shared" si="0"/>
        <v>1.2159687818769449</v>
      </c>
      <c r="O2" s="6">
        <f t="shared" si="0"/>
        <v>0.81453888128307517</v>
      </c>
      <c r="P2" s="6">
        <f t="shared" si="0"/>
        <v>0.41408743106279905</v>
      </c>
      <c r="Q2" s="6">
        <f t="shared" si="0"/>
        <v>0</v>
      </c>
    </row>
    <row r="3" spans="1:17" x14ac:dyDescent="0.2">
      <c r="B3" s="2">
        <v>0.5</v>
      </c>
      <c r="D3" s="5">
        <f ca="1">CORREL(OFFSET(B4,1,0,100),OFFSET(B4,2,0,100))</f>
        <v>0.44435971073472902</v>
      </c>
    </row>
    <row r="4" spans="1:17" x14ac:dyDescent="0.2">
      <c r="F4" s="4">
        <f ca="1">D12</f>
        <v>1.0949089799881206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1.4485060789832254</v>
      </c>
      <c r="D5" s="2" t="s">
        <v>4</v>
      </c>
      <c r="F5" s="4">
        <v>1</v>
      </c>
      <c r="G5" s="3">
        <f t="dataTable" ref="G5:Q104" dt2D="1" dtr="1" r1="B3" r2="A1" ca="1"/>
        <v>3.96</v>
      </c>
      <c r="H5" s="3">
        <v>3.6439560395223491</v>
      </c>
      <c r="I5" s="3">
        <v>3.3944941723748716</v>
      </c>
      <c r="J5" s="3">
        <v>2.8316201006166857</v>
      </c>
      <c r="K5" s="3">
        <v>2.2296173599806708</v>
      </c>
      <c r="L5" s="3">
        <v>1.4700296723693134</v>
      </c>
      <c r="M5" s="3">
        <v>1.6772263621383119</v>
      </c>
      <c r="N5" s="3">
        <v>1.5828327504684621</v>
      </c>
      <c r="O5" s="3">
        <v>0.76750052587195638</v>
      </c>
      <c r="P5" s="3">
        <v>0.5383893932045537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0.98554941480112301</v>
      </c>
      <c r="D6" s="5">
        <f ca="1">SUMXMY2(OFFSET(B4,1,0,99),OFFSET(B4,2,0,99))</f>
        <v>120.99820854041633</v>
      </c>
      <c r="F6" s="4">
        <v>2</v>
      </c>
      <c r="G6" s="3">
        <v>3.96</v>
      </c>
      <c r="H6" s="3">
        <v>3.5955876636244657</v>
      </c>
      <c r="I6" s="3">
        <v>3.2435895089535047</v>
      </c>
      <c r="J6" s="3">
        <v>2.7076749689641559</v>
      </c>
      <c r="K6" s="3">
        <v>2.3128066422048654</v>
      </c>
      <c r="L6" s="3">
        <v>1.8743150877870556</v>
      </c>
      <c r="M6" s="3">
        <v>1.4751905750497418</v>
      </c>
      <c r="N6" s="3">
        <v>1.1524712096805676</v>
      </c>
      <c r="O6" s="3">
        <v>0.64933095442571498</v>
      </c>
      <c r="P6" s="3">
        <v>0.2734062812420025</v>
      </c>
      <c r="Q6" s="3">
        <v>0</v>
      </c>
    </row>
    <row r="7" spans="1:17" x14ac:dyDescent="0.2">
      <c r="A7" s="2">
        <v>3</v>
      </c>
      <c r="B7" s="2">
        <f t="shared" ca="1" si="1"/>
        <v>9.8782638589367922E-2</v>
      </c>
      <c r="F7" s="4">
        <v>3</v>
      </c>
      <c r="G7" s="3">
        <v>3.9600000000000004</v>
      </c>
      <c r="H7" s="3">
        <v>3.585002256244513</v>
      </c>
      <c r="I7" s="3">
        <v>2.8404184607467906</v>
      </c>
      <c r="J7" s="3">
        <v>2.7440540433208067</v>
      </c>
      <c r="K7" s="3">
        <v>2.4500332733912233</v>
      </c>
      <c r="L7" s="3">
        <v>1.7617015905449507</v>
      </c>
      <c r="M7" s="3">
        <v>1.9266566124679434</v>
      </c>
      <c r="N7" s="3">
        <v>1.6258338791333202</v>
      </c>
      <c r="O7" s="3">
        <v>0.74426521612234442</v>
      </c>
      <c r="P7" s="3">
        <v>0.52604614209564937</v>
      </c>
      <c r="Q7" s="3">
        <v>0</v>
      </c>
    </row>
    <row r="8" spans="1:17" x14ac:dyDescent="0.2">
      <c r="A8" s="2">
        <v>4</v>
      </c>
      <c r="B8" s="2">
        <f t="shared" ca="1" si="1"/>
        <v>-1.0148746608640324</v>
      </c>
      <c r="D8" s="2" t="s">
        <v>3</v>
      </c>
      <c r="F8" s="4">
        <v>4</v>
      </c>
      <c r="G8" s="3">
        <v>3.96</v>
      </c>
      <c r="H8" s="3">
        <v>3.6640535276560353</v>
      </c>
      <c r="I8" s="3">
        <v>3.0758074655636398</v>
      </c>
      <c r="J8" s="3">
        <v>2.9619242337383795</v>
      </c>
      <c r="K8" s="3">
        <v>2.4521352846644655</v>
      </c>
      <c r="L8" s="3">
        <v>1.5652551576568485</v>
      </c>
      <c r="M8" s="3">
        <v>1.332321705833506</v>
      </c>
      <c r="N8" s="3">
        <v>0.93963877856450762</v>
      </c>
      <c r="O8" s="3">
        <v>0.7996306122927459</v>
      </c>
      <c r="P8" s="3">
        <v>0.34649104843092687</v>
      </c>
      <c r="Q8" s="3">
        <v>0</v>
      </c>
    </row>
    <row r="9" spans="1:17" x14ac:dyDescent="0.2">
      <c r="A9" s="2">
        <v>5</v>
      </c>
      <c r="B9" s="2">
        <f t="shared" ca="1" si="1"/>
        <v>-1.2491930045530446</v>
      </c>
      <c r="D9" s="2">
        <f ca="1">SUMSQ(B5:B104)</f>
        <v>110.5098330107121</v>
      </c>
      <c r="F9" s="4">
        <v>5</v>
      </c>
      <c r="G9" s="3">
        <v>3.9600000000000004</v>
      </c>
      <c r="H9" s="3">
        <v>3.4421819973134529</v>
      </c>
      <c r="I9" s="3">
        <v>2.8362828197267071</v>
      </c>
      <c r="J9" s="3">
        <v>2.6753990082421835</v>
      </c>
      <c r="K9" s="3">
        <v>2.8282810675374743</v>
      </c>
      <c r="L9" s="3">
        <v>2.0589910189386531</v>
      </c>
      <c r="M9" s="3">
        <v>1.6950992260120048</v>
      </c>
      <c r="N9" s="3">
        <v>1.309965872252062</v>
      </c>
      <c r="O9" s="3">
        <v>0.90181208587245443</v>
      </c>
      <c r="P9" s="3">
        <v>0.28597692005810399</v>
      </c>
      <c r="Q9" s="3">
        <v>0</v>
      </c>
    </row>
    <row r="10" spans="1:17" x14ac:dyDescent="0.2">
      <c r="A10" s="2">
        <v>6</v>
      </c>
      <c r="B10" s="2">
        <f t="shared" ca="1" si="1"/>
        <v>1.6713980673804991</v>
      </c>
      <c r="F10" s="4">
        <v>6</v>
      </c>
      <c r="G10" s="3">
        <v>3.9599999999999995</v>
      </c>
      <c r="H10" s="3">
        <v>3.515399118283046</v>
      </c>
      <c r="I10" s="3">
        <v>3.1354942375488672</v>
      </c>
      <c r="J10" s="3">
        <v>2.8166248285980462</v>
      </c>
      <c r="K10" s="3">
        <v>2.5805692098319346</v>
      </c>
      <c r="L10" s="3">
        <v>2.0631888630189561</v>
      </c>
      <c r="M10" s="3">
        <v>1.596276711531416</v>
      </c>
      <c r="N10" s="3">
        <v>1.1937364945032658</v>
      </c>
      <c r="O10" s="3">
        <v>1.2005241464783043</v>
      </c>
      <c r="P10" s="3">
        <v>0.3779837622182412</v>
      </c>
      <c r="Q10" s="3">
        <v>0</v>
      </c>
    </row>
    <row r="11" spans="1:17" x14ac:dyDescent="0.2">
      <c r="A11" s="2">
        <v>7</v>
      </c>
      <c r="B11" s="2">
        <f t="shared" ca="1" si="1"/>
        <v>0.31568745188834113</v>
      </c>
      <c r="D11" s="2" t="s">
        <v>2</v>
      </c>
      <c r="F11" s="4">
        <v>7</v>
      </c>
      <c r="G11" s="3">
        <v>3.9600000000000004</v>
      </c>
      <c r="H11" s="3">
        <v>3.526173185212484</v>
      </c>
      <c r="I11" s="3">
        <v>2.9982749187007292</v>
      </c>
      <c r="J11" s="3">
        <v>2.9205987201817627</v>
      </c>
      <c r="K11" s="3">
        <v>2.2679537468718913</v>
      </c>
      <c r="L11" s="3">
        <v>2.1361048648576038</v>
      </c>
      <c r="M11" s="3">
        <v>2.0261845266550784</v>
      </c>
      <c r="N11" s="3">
        <v>1.2282260553566446</v>
      </c>
      <c r="O11" s="3">
        <v>0.70854604462481718</v>
      </c>
      <c r="P11" s="3">
        <v>0.30481641055539105</v>
      </c>
      <c r="Q11" s="3">
        <v>0</v>
      </c>
    </row>
    <row r="12" spans="1:17" x14ac:dyDescent="0.2">
      <c r="A12" s="2">
        <v>8</v>
      </c>
      <c r="B12" s="2">
        <f t="shared" ca="1" si="1"/>
        <v>-0.60436419639065586</v>
      </c>
      <c r="D12" s="2">
        <f ca="1">D6/D9</f>
        <v>1.0949089799881206</v>
      </c>
      <c r="F12" s="4">
        <v>8</v>
      </c>
      <c r="G12" s="3">
        <v>3.9599999999999995</v>
      </c>
      <c r="H12" s="3">
        <v>3.7251697506289561</v>
      </c>
      <c r="I12" s="3">
        <v>3.1846118892252195</v>
      </c>
      <c r="J12" s="3">
        <v>2.9687018814276347</v>
      </c>
      <c r="K12" s="3">
        <v>2.4750041969233409</v>
      </c>
      <c r="L12" s="3">
        <v>1.8478233684138867</v>
      </c>
      <c r="M12" s="3">
        <v>1.7316321989539807</v>
      </c>
      <c r="N12" s="3">
        <v>1.4625451674520171</v>
      </c>
      <c r="O12" s="3">
        <v>0.49905061035942283</v>
      </c>
      <c r="P12" s="3">
        <v>0.40214295577198639</v>
      </c>
      <c r="Q12" s="3">
        <v>0</v>
      </c>
    </row>
    <row r="13" spans="1:17" x14ac:dyDescent="0.2">
      <c r="A13" s="2">
        <v>9</v>
      </c>
      <c r="B13" s="2">
        <f t="shared" ca="1" si="1"/>
        <v>-0.41654859102810571</v>
      </c>
      <c r="F13" s="4">
        <v>9</v>
      </c>
      <c r="G13" s="3">
        <v>3.96</v>
      </c>
      <c r="H13" s="3">
        <v>3.7288978415558676</v>
      </c>
      <c r="I13" s="3">
        <v>3.2963656415002625</v>
      </c>
      <c r="J13" s="3">
        <v>2.7308369871995608</v>
      </c>
      <c r="K13" s="3">
        <v>2.0540538698646595</v>
      </c>
      <c r="L13" s="3">
        <v>2.1073573427592329</v>
      </c>
      <c r="M13" s="3">
        <v>1.7792079447958082</v>
      </c>
      <c r="N13" s="3">
        <v>1.2120166180445915</v>
      </c>
      <c r="O13" s="3">
        <v>0.74743911214271708</v>
      </c>
      <c r="P13" s="3">
        <v>0.49290166304813532</v>
      </c>
      <c r="Q13" s="3">
        <v>0</v>
      </c>
    </row>
    <row r="14" spans="1:17" x14ac:dyDescent="0.2">
      <c r="A14" s="2">
        <v>10</v>
      </c>
      <c r="B14" s="2">
        <f t="shared" ca="1" si="1"/>
        <v>-0.41550805301193211</v>
      </c>
      <c r="F14" s="4">
        <v>10</v>
      </c>
      <c r="G14" s="3">
        <v>3.96</v>
      </c>
      <c r="H14" s="3">
        <v>3.5139910307532611</v>
      </c>
      <c r="I14" s="3">
        <v>3.182325977897289</v>
      </c>
      <c r="J14" s="3">
        <v>2.6846719262778791</v>
      </c>
      <c r="K14" s="3">
        <v>2.3777446037982348</v>
      </c>
      <c r="L14" s="3">
        <v>1.7652366925099976</v>
      </c>
      <c r="M14" s="3">
        <v>1.5026011232278249</v>
      </c>
      <c r="N14" s="3">
        <v>1.2822599582325105</v>
      </c>
      <c r="O14" s="3">
        <v>0.92990142571614809</v>
      </c>
      <c r="P14" s="3">
        <v>0.31718535011720872</v>
      </c>
      <c r="Q14" s="3">
        <v>0</v>
      </c>
    </row>
    <row r="15" spans="1:17" x14ac:dyDescent="0.2">
      <c r="A15" s="2">
        <v>11</v>
      </c>
      <c r="B15" s="2">
        <f t="shared" ca="1" si="1"/>
        <v>-2.1656710879811176</v>
      </c>
      <c r="F15" s="4">
        <v>11</v>
      </c>
      <c r="G15" s="3">
        <v>3.96</v>
      </c>
      <c r="H15" s="3">
        <v>3.654890170091651</v>
      </c>
      <c r="I15" s="3">
        <v>3.3273350030003437</v>
      </c>
      <c r="J15" s="3">
        <v>2.7717776334043531</v>
      </c>
      <c r="K15" s="3">
        <v>2.7806873914293018</v>
      </c>
      <c r="L15" s="3">
        <v>1.6823894538385746</v>
      </c>
      <c r="M15" s="3">
        <v>1.7442616918310729</v>
      </c>
      <c r="N15" s="3">
        <v>0.92061912113694255</v>
      </c>
      <c r="O15" s="3">
        <v>0.82771570020963681</v>
      </c>
      <c r="P15" s="3">
        <v>0.43996074885140868</v>
      </c>
      <c r="Q15" s="3">
        <v>0</v>
      </c>
    </row>
    <row r="16" spans="1:17" x14ac:dyDescent="0.2">
      <c r="A16" s="2">
        <v>12</v>
      </c>
      <c r="B16" s="2">
        <f t="shared" ca="1" si="1"/>
        <v>-1.2772930380467076</v>
      </c>
      <c r="F16" s="4">
        <v>12</v>
      </c>
      <c r="G16" s="3">
        <v>3.96</v>
      </c>
      <c r="H16" s="3">
        <v>3.6499734469058089</v>
      </c>
      <c r="I16" s="3">
        <v>3.3506805195826028</v>
      </c>
      <c r="J16" s="3">
        <v>2.525435072204222</v>
      </c>
      <c r="K16" s="3">
        <v>2.3376420458268665</v>
      </c>
      <c r="L16" s="3">
        <v>2.1735237790070046</v>
      </c>
      <c r="M16" s="3">
        <v>1.7660817625872502</v>
      </c>
      <c r="N16" s="3">
        <v>1.1355606942361707</v>
      </c>
      <c r="O16" s="3">
        <v>1.150773797778839</v>
      </c>
      <c r="P16" s="3">
        <v>0.37578511190158825</v>
      </c>
      <c r="Q16" s="3">
        <v>0</v>
      </c>
    </row>
    <row r="17" spans="1:17" x14ac:dyDescent="0.2">
      <c r="A17" s="2">
        <v>13</v>
      </c>
      <c r="B17" s="2">
        <f t="shared" ca="1" si="1"/>
        <v>0.17699821075874089</v>
      </c>
      <c r="F17" s="4">
        <v>13</v>
      </c>
      <c r="G17" s="3">
        <v>3.9600000000000004</v>
      </c>
      <c r="H17" s="3">
        <v>3.5360675481313621</v>
      </c>
      <c r="I17" s="3">
        <v>3.3135161314352199</v>
      </c>
      <c r="J17" s="3">
        <v>2.6140092828866175</v>
      </c>
      <c r="K17" s="3">
        <v>2.4371627573429464</v>
      </c>
      <c r="L17" s="3">
        <v>1.8574876765290904</v>
      </c>
      <c r="M17" s="3">
        <v>1.574138056260816</v>
      </c>
      <c r="N17" s="3">
        <v>1.2161067883505177</v>
      </c>
      <c r="O17" s="3">
        <v>0.74141405704317254</v>
      </c>
      <c r="P17" s="3">
        <v>0.31934819415382737</v>
      </c>
      <c r="Q17" s="3">
        <v>0</v>
      </c>
    </row>
    <row r="18" spans="1:17" x14ac:dyDescent="0.2">
      <c r="A18" s="2">
        <v>14</v>
      </c>
      <c r="B18" s="2">
        <f t="shared" ca="1" si="1"/>
        <v>0.59429325902806773</v>
      </c>
      <c r="F18" s="4">
        <v>14</v>
      </c>
      <c r="G18" s="3">
        <v>3.96</v>
      </c>
      <c r="H18" s="3">
        <v>3.4457686996017172</v>
      </c>
      <c r="I18" s="3">
        <v>3.0988841868397743</v>
      </c>
      <c r="J18" s="3">
        <v>2.6965451815860098</v>
      </c>
      <c r="K18" s="3">
        <v>2.4604740210607887</v>
      </c>
      <c r="L18" s="3">
        <v>2.0395241581955461</v>
      </c>
      <c r="M18" s="3">
        <v>1.7812951762342271</v>
      </c>
      <c r="N18" s="3">
        <v>1.5584854120217864</v>
      </c>
      <c r="O18" s="3">
        <v>0.99350335293861824</v>
      </c>
      <c r="P18" s="3">
        <v>0.27478653414108362</v>
      </c>
      <c r="Q18" s="3">
        <v>0</v>
      </c>
    </row>
    <row r="19" spans="1:17" x14ac:dyDescent="0.2">
      <c r="A19" s="2">
        <v>15</v>
      </c>
      <c r="B19" s="2">
        <f t="shared" ca="1" si="1"/>
        <v>0.58439470215018474</v>
      </c>
      <c r="F19" s="4">
        <v>15</v>
      </c>
      <c r="G19" s="3">
        <v>3.96</v>
      </c>
      <c r="H19" s="3">
        <v>3.6368390943065783</v>
      </c>
      <c r="I19" s="3">
        <v>3.1693113794528256</v>
      </c>
      <c r="J19" s="3">
        <v>2.7418150669063097</v>
      </c>
      <c r="K19" s="3">
        <v>2.3625581807691924</v>
      </c>
      <c r="L19" s="3">
        <v>1.5291016697914375</v>
      </c>
      <c r="M19" s="3">
        <v>1.6617465607396162</v>
      </c>
      <c r="N19" s="3">
        <v>1.2652686258939543</v>
      </c>
      <c r="O19" s="3">
        <v>0.69278476925588361</v>
      </c>
      <c r="P19" s="3">
        <v>0.3032698539373041</v>
      </c>
      <c r="Q19" s="3">
        <v>0</v>
      </c>
    </row>
    <row r="20" spans="1:17" x14ac:dyDescent="0.2">
      <c r="A20" s="2">
        <v>16</v>
      </c>
      <c r="B20" s="2">
        <f t="shared" ca="1" si="1"/>
        <v>0.99019475801990398</v>
      </c>
      <c r="F20" s="4">
        <v>16</v>
      </c>
      <c r="G20" s="3">
        <v>3.96</v>
      </c>
      <c r="H20" s="3">
        <v>3.4199087177158924</v>
      </c>
      <c r="I20" s="3">
        <v>3.1216164439308005</v>
      </c>
      <c r="J20" s="3">
        <v>2.8649860093854205</v>
      </c>
      <c r="K20" s="3">
        <v>2.1694193937332651</v>
      </c>
      <c r="L20" s="3">
        <v>1.8338140348370022</v>
      </c>
      <c r="M20" s="3">
        <v>1.9455684850316541</v>
      </c>
      <c r="N20" s="3">
        <v>1.2320610935880509</v>
      </c>
      <c r="O20" s="3">
        <v>0.87850318985739662</v>
      </c>
      <c r="P20" s="3">
        <v>0.36421744769437375</v>
      </c>
      <c r="Q20" s="3">
        <v>0</v>
      </c>
    </row>
    <row r="21" spans="1:17" x14ac:dyDescent="0.2">
      <c r="A21" s="2">
        <v>17</v>
      </c>
      <c r="B21" s="2">
        <f t="shared" ca="1" si="1"/>
        <v>-0.34701079858644079</v>
      </c>
      <c r="F21" s="4">
        <v>17</v>
      </c>
      <c r="G21" s="3">
        <v>3.96</v>
      </c>
      <c r="H21" s="3">
        <v>3.5653802089688402</v>
      </c>
      <c r="I21" s="3">
        <v>2.7186076215336366</v>
      </c>
      <c r="J21" s="3">
        <v>2.5340883047706644</v>
      </c>
      <c r="K21" s="3">
        <v>1.9970126860973378</v>
      </c>
      <c r="L21" s="3">
        <v>1.8664712890836632</v>
      </c>
      <c r="M21" s="3">
        <v>1.524540347396546</v>
      </c>
      <c r="N21" s="3">
        <v>1.2648068077530246</v>
      </c>
      <c r="O21" s="3">
        <v>0.73564456425123437</v>
      </c>
      <c r="P21" s="3">
        <v>0.34074516737017418</v>
      </c>
      <c r="Q21" s="3">
        <v>0</v>
      </c>
    </row>
    <row r="22" spans="1:17" x14ac:dyDescent="0.2">
      <c r="A22" s="2">
        <v>18</v>
      </c>
      <c r="B22" s="2">
        <f t="shared" ca="1" si="1"/>
        <v>0.95325840226750336</v>
      </c>
      <c r="F22" s="4">
        <v>18</v>
      </c>
      <c r="G22" s="3">
        <v>3.96</v>
      </c>
      <c r="H22" s="3">
        <v>3.5295487772673688</v>
      </c>
      <c r="I22" s="3">
        <v>3.3782581911168719</v>
      </c>
      <c r="J22" s="3">
        <v>2.6835449487463672</v>
      </c>
      <c r="K22" s="3">
        <v>2.1896222672232883</v>
      </c>
      <c r="L22" s="3">
        <v>2.2113629007993127</v>
      </c>
      <c r="M22" s="3">
        <v>1.4960608150767007</v>
      </c>
      <c r="N22" s="3">
        <v>1.2556243738949298</v>
      </c>
      <c r="O22" s="3">
        <v>0.74813562662363042</v>
      </c>
      <c r="P22" s="3">
        <v>0.42630658309695951</v>
      </c>
      <c r="Q22" s="3">
        <v>0</v>
      </c>
    </row>
    <row r="23" spans="1:17" x14ac:dyDescent="0.2">
      <c r="A23" s="2">
        <v>19</v>
      </c>
      <c r="B23" s="2">
        <f t="shared" ca="1" si="1"/>
        <v>1.3012835815930277</v>
      </c>
      <c r="F23" s="4">
        <v>19</v>
      </c>
      <c r="G23" s="3">
        <v>3.96</v>
      </c>
      <c r="H23" s="3">
        <v>3.6584182021142961</v>
      </c>
      <c r="I23" s="3">
        <v>3.124231776974304</v>
      </c>
      <c r="J23" s="3">
        <v>2.8364018506288331</v>
      </c>
      <c r="K23" s="3">
        <v>2.5616225719520842</v>
      </c>
      <c r="L23" s="3">
        <v>2.1192096037481902</v>
      </c>
      <c r="M23" s="3">
        <v>1.4332055564158179</v>
      </c>
      <c r="N23" s="3">
        <v>1.2453866161260243</v>
      </c>
      <c r="O23" s="3">
        <v>0.76153373296258264</v>
      </c>
      <c r="P23" s="3">
        <v>0.42129371205530725</v>
      </c>
      <c r="Q23" s="3">
        <v>0</v>
      </c>
    </row>
    <row r="24" spans="1:17" x14ac:dyDescent="0.2">
      <c r="A24" s="2">
        <v>20</v>
      </c>
      <c r="B24" s="2">
        <f t="shared" ca="1" si="1"/>
        <v>-0.55643199284334166</v>
      </c>
      <c r="F24" s="4">
        <v>20</v>
      </c>
      <c r="G24" s="3">
        <v>3.96</v>
      </c>
      <c r="H24" s="3">
        <v>3.6754489559045505</v>
      </c>
      <c r="I24" s="3">
        <v>3.3187977245313047</v>
      </c>
      <c r="J24" s="3">
        <v>2.7685370893014971</v>
      </c>
      <c r="K24" s="3">
        <v>1.8747041589913027</v>
      </c>
      <c r="L24" s="3">
        <v>1.9779630331494449</v>
      </c>
      <c r="M24" s="3">
        <v>1.1920619830775459</v>
      </c>
      <c r="N24" s="3">
        <v>1.2058176570659913</v>
      </c>
      <c r="O24" s="3">
        <v>0.74810422277642807</v>
      </c>
      <c r="P24" s="3">
        <v>0.43598473611215594</v>
      </c>
      <c r="Q24" s="3">
        <v>0</v>
      </c>
    </row>
    <row r="25" spans="1:17" x14ac:dyDescent="0.2">
      <c r="A25" s="2">
        <v>21</v>
      </c>
      <c r="B25" s="2">
        <f t="shared" ca="1" si="1"/>
        <v>1.0118911895019171</v>
      </c>
      <c r="F25" s="4">
        <v>21</v>
      </c>
      <c r="G25" s="3">
        <v>3.96</v>
      </c>
      <c r="H25" s="3">
        <v>3.5816565098072677</v>
      </c>
      <c r="I25" s="3">
        <v>2.6218006790269186</v>
      </c>
      <c r="J25" s="3">
        <v>2.9583066758377337</v>
      </c>
      <c r="K25" s="3">
        <v>2.5911507186133198</v>
      </c>
      <c r="L25" s="3">
        <v>1.6194553530936096</v>
      </c>
      <c r="M25" s="3">
        <v>1.6860933675795267</v>
      </c>
      <c r="N25" s="3">
        <v>1.3196156599112054</v>
      </c>
      <c r="O25" s="3">
        <v>0.69899911175320772</v>
      </c>
      <c r="P25" s="3">
        <v>0.32046161727683919</v>
      </c>
      <c r="Q25" s="3">
        <v>0</v>
      </c>
    </row>
    <row r="26" spans="1:17" x14ac:dyDescent="0.2">
      <c r="A26" s="2">
        <v>22</v>
      </c>
      <c r="B26" s="2">
        <f t="shared" ca="1" si="1"/>
        <v>-9.3450122159201454E-2</v>
      </c>
      <c r="F26" s="4">
        <v>22</v>
      </c>
      <c r="G26" s="3">
        <v>3.96</v>
      </c>
      <c r="H26" s="3">
        <v>3.6171330322203237</v>
      </c>
      <c r="I26" s="3">
        <v>3.1680534827942815</v>
      </c>
      <c r="J26" s="3">
        <v>2.503457462519894</v>
      </c>
      <c r="K26" s="3">
        <v>2.566656179306241</v>
      </c>
      <c r="L26" s="3">
        <v>2.1292342604012591</v>
      </c>
      <c r="M26" s="3">
        <v>1.4572858694198492</v>
      </c>
      <c r="N26" s="3">
        <v>1.2172301024959249</v>
      </c>
      <c r="O26" s="3">
        <v>0.86729112524802621</v>
      </c>
      <c r="P26" s="3">
        <v>0.39676332942449882</v>
      </c>
      <c r="Q26" s="3">
        <v>0</v>
      </c>
    </row>
    <row r="27" spans="1:17" x14ac:dyDescent="0.2">
      <c r="A27" s="2">
        <v>23</v>
      </c>
      <c r="B27" s="2">
        <f t="shared" ca="1" si="1"/>
        <v>-6.3678664280897246E-2</v>
      </c>
      <c r="F27" s="4">
        <v>23</v>
      </c>
      <c r="G27" s="3">
        <v>3.9600000000000004</v>
      </c>
      <c r="H27" s="3">
        <v>3.2006112767334751</v>
      </c>
      <c r="I27" s="3">
        <v>2.9696620002991763</v>
      </c>
      <c r="J27" s="3">
        <v>2.7442968040832154</v>
      </c>
      <c r="K27" s="3">
        <v>2.3194846058592535</v>
      </c>
      <c r="L27" s="3">
        <v>2.2983093448073091</v>
      </c>
      <c r="M27" s="3">
        <v>1.4313831886705766</v>
      </c>
      <c r="N27" s="3">
        <v>0.88320611535685134</v>
      </c>
      <c r="O27" s="3">
        <v>0.61790257477001775</v>
      </c>
      <c r="P27" s="3">
        <v>0.49548974198357121</v>
      </c>
      <c r="Q27" s="3">
        <v>0</v>
      </c>
    </row>
    <row r="28" spans="1:17" x14ac:dyDescent="0.2">
      <c r="A28" s="2">
        <v>24</v>
      </c>
      <c r="B28" s="2">
        <f t="shared" ca="1" si="1"/>
        <v>-0.77503433508414876</v>
      </c>
      <c r="F28" s="4">
        <v>24</v>
      </c>
      <c r="G28" s="3">
        <v>3.96</v>
      </c>
      <c r="H28" s="3">
        <v>3.2556300749475788</v>
      </c>
      <c r="I28" s="3">
        <v>3.4577682153753151</v>
      </c>
      <c r="J28" s="3">
        <v>2.6864638011261013</v>
      </c>
      <c r="K28" s="3">
        <v>2.2571152104926804</v>
      </c>
      <c r="L28" s="3">
        <v>2.2333776807443719</v>
      </c>
      <c r="M28" s="3">
        <v>1.7719946506401294</v>
      </c>
      <c r="N28" s="3">
        <v>0.96616251902085226</v>
      </c>
      <c r="O28" s="3">
        <v>0.71983002189921619</v>
      </c>
      <c r="P28" s="3">
        <v>0.46477883993053021</v>
      </c>
      <c r="Q28" s="3">
        <v>0</v>
      </c>
    </row>
    <row r="29" spans="1:17" x14ac:dyDescent="0.2">
      <c r="A29" s="2">
        <v>25</v>
      </c>
      <c r="B29" s="2">
        <f t="shared" ca="1" si="1"/>
        <v>-0.32289583423316587</v>
      </c>
      <c r="F29" s="4">
        <v>25</v>
      </c>
      <c r="G29" s="3">
        <v>3.96</v>
      </c>
      <c r="H29" s="3">
        <v>3.5991192719972012</v>
      </c>
      <c r="I29" s="3">
        <v>3.2614857202225966</v>
      </c>
      <c r="J29" s="3">
        <v>2.7806846347000649</v>
      </c>
      <c r="K29" s="3">
        <v>2.5651187042424599</v>
      </c>
      <c r="L29" s="3">
        <v>2.1806196164937646</v>
      </c>
      <c r="M29" s="3">
        <v>1.4171435092115074</v>
      </c>
      <c r="N29" s="3">
        <v>1.1774128601108906</v>
      </c>
      <c r="O29" s="3">
        <v>0.93193135502702662</v>
      </c>
      <c r="P29" s="3">
        <v>0.49450194704745448</v>
      </c>
      <c r="Q29" s="3">
        <v>0</v>
      </c>
    </row>
    <row r="30" spans="1:17" x14ac:dyDescent="0.2">
      <c r="A30" s="2">
        <v>26</v>
      </c>
      <c r="B30" s="2">
        <f t="shared" ca="1" si="1"/>
        <v>0.76525273522101678</v>
      </c>
      <c r="F30" s="4">
        <v>26</v>
      </c>
      <c r="G30" s="3">
        <v>3.9600000000000004</v>
      </c>
      <c r="H30" s="3">
        <v>3.6274085154056692</v>
      </c>
      <c r="I30" s="3">
        <v>3.2271076591892642</v>
      </c>
      <c r="J30" s="3">
        <v>2.6363685867301578</v>
      </c>
      <c r="K30" s="3">
        <v>2.4312685630877047</v>
      </c>
      <c r="L30" s="3">
        <v>1.9201673322202091</v>
      </c>
      <c r="M30" s="3">
        <v>1.1970089642426636</v>
      </c>
      <c r="N30" s="3">
        <v>1.6063857666284875</v>
      </c>
      <c r="O30" s="3">
        <v>0.66904392847773575</v>
      </c>
      <c r="P30" s="3">
        <v>0.36912040161197274</v>
      </c>
      <c r="Q30" s="3">
        <v>0</v>
      </c>
    </row>
    <row r="31" spans="1:17" x14ac:dyDescent="0.2">
      <c r="A31" s="2">
        <v>27</v>
      </c>
      <c r="B31" s="2">
        <f t="shared" ca="1" si="1"/>
        <v>0.1265432762938799</v>
      </c>
      <c r="F31" s="4">
        <v>27</v>
      </c>
      <c r="G31" s="3">
        <v>3.96</v>
      </c>
      <c r="H31" s="3">
        <v>3.6089263587846907</v>
      </c>
      <c r="I31" s="3">
        <v>3.3127942933351804</v>
      </c>
      <c r="J31" s="3">
        <v>3.0860751903702441</v>
      </c>
      <c r="K31" s="3">
        <v>2.2799282258192246</v>
      </c>
      <c r="L31" s="3">
        <v>2.1022862166567551</v>
      </c>
      <c r="M31" s="3">
        <v>1.5396628854129362</v>
      </c>
      <c r="N31" s="3">
        <v>1.1105047116968174</v>
      </c>
      <c r="O31" s="3">
        <v>0.89897967484733254</v>
      </c>
      <c r="P31" s="3">
        <v>0.35060276205763141</v>
      </c>
      <c r="Q31" s="3">
        <v>0</v>
      </c>
    </row>
    <row r="32" spans="1:17" x14ac:dyDescent="0.2">
      <c r="A32" s="2">
        <v>28</v>
      </c>
      <c r="B32" s="2">
        <f t="shared" ca="1" si="1"/>
        <v>1.5766554962051844</v>
      </c>
      <c r="F32" s="4">
        <v>28</v>
      </c>
      <c r="G32" s="3">
        <v>3.96</v>
      </c>
      <c r="H32" s="3">
        <v>3.5597907928743862</v>
      </c>
      <c r="I32" s="3">
        <v>2.9835999797432935</v>
      </c>
      <c r="J32" s="3">
        <v>2.7397171680954431</v>
      </c>
      <c r="K32" s="3">
        <v>2.6890048293116275</v>
      </c>
      <c r="L32" s="3">
        <v>1.8542974435361614</v>
      </c>
      <c r="M32" s="3">
        <v>1.7085299575190795</v>
      </c>
      <c r="N32" s="3">
        <v>1.0968031195039565</v>
      </c>
      <c r="O32" s="3">
        <v>0.77481899161873236</v>
      </c>
      <c r="P32" s="3">
        <v>0.37052024819369256</v>
      </c>
      <c r="Q32" s="3">
        <v>0</v>
      </c>
    </row>
    <row r="33" spans="1:17" x14ac:dyDescent="0.2">
      <c r="A33" s="2">
        <v>29</v>
      </c>
      <c r="B33" s="2">
        <f t="shared" ca="1" si="1"/>
        <v>1.9339732100635536</v>
      </c>
      <c r="F33" s="4">
        <v>29</v>
      </c>
      <c r="G33" s="3">
        <v>3.96</v>
      </c>
      <c r="H33" s="3">
        <v>3.3943319454930774</v>
      </c>
      <c r="I33" s="3">
        <v>2.883696114537071</v>
      </c>
      <c r="J33" s="3">
        <v>2.8409744304790561</v>
      </c>
      <c r="K33" s="3">
        <v>2.6219625244541938</v>
      </c>
      <c r="L33" s="3">
        <v>1.7473670976243529</v>
      </c>
      <c r="M33" s="3">
        <v>1.5002844220008429</v>
      </c>
      <c r="N33" s="3">
        <v>1.0798895347333226</v>
      </c>
      <c r="O33" s="3">
        <v>0.70141067370897503</v>
      </c>
      <c r="P33" s="3">
        <v>0.37294253916176184</v>
      </c>
      <c r="Q33" s="3">
        <v>0</v>
      </c>
    </row>
    <row r="34" spans="1:17" x14ac:dyDescent="0.2">
      <c r="A34" s="2">
        <v>30</v>
      </c>
      <c r="B34" s="2">
        <f t="shared" ca="1" si="1"/>
        <v>1.2130585298475804</v>
      </c>
      <c r="F34" s="4">
        <v>30</v>
      </c>
      <c r="G34" s="3">
        <v>3.96</v>
      </c>
      <c r="H34" s="3">
        <v>3.5945131556920695</v>
      </c>
      <c r="I34" s="3">
        <v>3.2673735740361307</v>
      </c>
      <c r="J34" s="3">
        <v>2.8145723653814247</v>
      </c>
      <c r="K34" s="3">
        <v>2.3126770009869375</v>
      </c>
      <c r="L34" s="3">
        <v>1.6256158563553196</v>
      </c>
      <c r="M34" s="3">
        <v>2.0696460322047985</v>
      </c>
      <c r="N34" s="3">
        <v>1.0457748599581502</v>
      </c>
      <c r="O34" s="3">
        <v>0.89540610133374132</v>
      </c>
      <c r="P34" s="3">
        <v>0.50391088105564474</v>
      </c>
      <c r="Q34" s="3">
        <v>0</v>
      </c>
    </row>
    <row r="35" spans="1:17" x14ac:dyDescent="0.2">
      <c r="A35" s="2">
        <v>31</v>
      </c>
      <c r="B35" s="2">
        <f t="shared" ca="1" si="1"/>
        <v>1.3459977455351146</v>
      </c>
      <c r="F35" s="4">
        <v>31</v>
      </c>
      <c r="G35" s="3">
        <v>3.96</v>
      </c>
      <c r="H35" s="3">
        <v>3.6023467067623538</v>
      </c>
      <c r="I35" s="3">
        <v>3.0710341488914716</v>
      </c>
      <c r="J35" s="3">
        <v>3.1188958787278054</v>
      </c>
      <c r="K35" s="3">
        <v>2.1428353128854267</v>
      </c>
      <c r="L35" s="3">
        <v>1.9380988448881133</v>
      </c>
      <c r="M35" s="3">
        <v>1.5926913847202002</v>
      </c>
      <c r="N35" s="3">
        <v>1.3165605678985441</v>
      </c>
      <c r="O35" s="3">
        <v>0.65223765170389836</v>
      </c>
      <c r="P35" s="3">
        <v>0.50875766578575121</v>
      </c>
      <c r="Q35" s="3">
        <v>0</v>
      </c>
    </row>
    <row r="36" spans="1:17" x14ac:dyDescent="0.2">
      <c r="A36" s="2">
        <v>32</v>
      </c>
      <c r="B36" s="2">
        <f t="shared" ca="1" si="1"/>
        <v>0.15602743576659084</v>
      </c>
      <c r="F36" s="4">
        <v>32</v>
      </c>
      <c r="G36" s="3">
        <v>3.9599999999999995</v>
      </c>
      <c r="H36" s="3">
        <v>3.6977855813019511</v>
      </c>
      <c r="I36" s="3">
        <v>3.14618319035654</v>
      </c>
      <c r="J36" s="3">
        <v>2.7944823991316379</v>
      </c>
      <c r="K36" s="3">
        <v>2.1554566176248313</v>
      </c>
      <c r="L36" s="3">
        <v>2.1355715181905346</v>
      </c>
      <c r="M36" s="3">
        <v>1.7951478972035733</v>
      </c>
      <c r="N36" s="3">
        <v>1.0059880000795562</v>
      </c>
      <c r="O36" s="3">
        <v>0.8485130294330484</v>
      </c>
      <c r="P36" s="3">
        <v>0.48208507189998068</v>
      </c>
      <c r="Q36" s="3">
        <v>0</v>
      </c>
    </row>
    <row r="37" spans="1:17" x14ac:dyDescent="0.2">
      <c r="A37" s="2">
        <v>33</v>
      </c>
      <c r="B37" s="2">
        <f t="shared" ca="1" si="1"/>
        <v>0.32519199166648693</v>
      </c>
      <c r="F37" s="4">
        <v>33</v>
      </c>
      <c r="G37" s="3">
        <v>3.96</v>
      </c>
      <c r="H37" s="3">
        <v>3.4823140450277843</v>
      </c>
      <c r="I37" s="3">
        <v>3.3042023411482608</v>
      </c>
      <c r="J37" s="3">
        <v>2.6337225033342708</v>
      </c>
      <c r="K37" s="3">
        <v>2.4192830088883861</v>
      </c>
      <c r="L37" s="3">
        <v>1.7287477516359178</v>
      </c>
      <c r="M37" s="3">
        <v>1.5359288852811601</v>
      </c>
      <c r="N37" s="3">
        <v>1.2182026137838118</v>
      </c>
      <c r="O37" s="3">
        <v>0.67891423477556623</v>
      </c>
      <c r="P37" s="3">
        <v>0.54682139080072545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-6.0519825906775127E-2</v>
      </c>
      <c r="F38" s="4">
        <v>34</v>
      </c>
      <c r="G38" s="3">
        <v>3.96</v>
      </c>
      <c r="H38" s="3">
        <v>3.7435154423877233</v>
      </c>
      <c r="I38" s="3">
        <v>3.308359027786854</v>
      </c>
      <c r="J38" s="3">
        <v>2.5890681906092952</v>
      </c>
      <c r="K38" s="3">
        <v>1.9141547031579604</v>
      </c>
      <c r="L38" s="3">
        <v>1.8707357271410878</v>
      </c>
      <c r="M38" s="3">
        <v>1.6420153275920231</v>
      </c>
      <c r="N38" s="3">
        <v>1.3664710283693153</v>
      </c>
      <c r="O38" s="3">
        <v>0.83733992198291829</v>
      </c>
      <c r="P38" s="3">
        <v>0.33849492387286984</v>
      </c>
      <c r="Q38" s="3">
        <v>0</v>
      </c>
    </row>
    <row r="39" spans="1:17" x14ac:dyDescent="0.2">
      <c r="A39" s="2">
        <v>35</v>
      </c>
      <c r="B39" s="2">
        <f t="shared" ca="1" si="2"/>
        <v>-0.71896697644918728</v>
      </c>
      <c r="F39" s="4">
        <v>35</v>
      </c>
      <c r="G39" s="3">
        <v>3.96</v>
      </c>
      <c r="H39" s="3">
        <v>3.7269353355699963</v>
      </c>
      <c r="I39" s="3">
        <v>3.289140366514685</v>
      </c>
      <c r="J39" s="3">
        <v>2.8841674965509259</v>
      </c>
      <c r="K39" s="3">
        <v>2.5050327494229618</v>
      </c>
      <c r="L39" s="3">
        <v>2.0625065476462239</v>
      </c>
      <c r="M39" s="3">
        <v>1.8426335826644165</v>
      </c>
      <c r="N39" s="3">
        <v>1.5693739436786083</v>
      </c>
      <c r="O39" s="3">
        <v>0.71533097504948062</v>
      </c>
      <c r="P39" s="3">
        <v>0.30953578033295592</v>
      </c>
      <c r="Q39" s="3">
        <v>0</v>
      </c>
    </row>
    <row r="40" spans="1:17" x14ac:dyDescent="0.2">
      <c r="A40" s="2">
        <v>36</v>
      </c>
      <c r="B40" s="2">
        <f t="shared" ca="1" si="2"/>
        <v>0.11493492580313119</v>
      </c>
      <c r="F40" s="4">
        <v>36</v>
      </c>
      <c r="G40" s="3">
        <v>3.96</v>
      </c>
      <c r="H40" s="3">
        <v>3.5046029897769446</v>
      </c>
      <c r="I40" s="3">
        <v>2.6002913837974702</v>
      </c>
      <c r="J40" s="3">
        <v>2.6288919369356525</v>
      </c>
      <c r="K40" s="3">
        <v>2.6165122836887189</v>
      </c>
      <c r="L40" s="3">
        <v>2.0762603468091516</v>
      </c>
      <c r="M40" s="3">
        <v>1.5281959322942666</v>
      </c>
      <c r="N40" s="3">
        <v>1.184066086726824</v>
      </c>
      <c r="O40" s="3">
        <v>0.45252776515600557</v>
      </c>
      <c r="P40" s="3">
        <v>0.56358271992313858</v>
      </c>
      <c r="Q40" s="3">
        <v>0</v>
      </c>
    </row>
    <row r="41" spans="1:17" x14ac:dyDescent="0.2">
      <c r="A41" s="2">
        <v>37</v>
      </c>
      <c r="B41" s="2">
        <f t="shared" ca="1" si="2"/>
        <v>-1.2273311133007787</v>
      </c>
      <c r="F41" s="4">
        <v>37</v>
      </c>
      <c r="G41" s="3">
        <v>3.96</v>
      </c>
      <c r="H41" s="3">
        <v>3.5852703758416178</v>
      </c>
      <c r="I41" s="3">
        <v>3.2607695988563452</v>
      </c>
      <c r="J41" s="3">
        <v>2.5166354993368754</v>
      </c>
      <c r="K41" s="3">
        <v>1.959565241757238</v>
      </c>
      <c r="L41" s="3">
        <v>2.2225648824171556</v>
      </c>
      <c r="M41" s="3">
        <v>1.3299111687334051</v>
      </c>
      <c r="N41" s="3">
        <v>1.2229175687382303</v>
      </c>
      <c r="O41" s="3">
        <v>0.71554704875315822</v>
      </c>
      <c r="P41" s="3">
        <v>0.75683422079329932</v>
      </c>
      <c r="Q41" s="3">
        <v>0</v>
      </c>
    </row>
    <row r="42" spans="1:17" x14ac:dyDescent="0.2">
      <c r="A42" s="2">
        <v>38</v>
      </c>
      <c r="B42" s="2">
        <f t="shared" ca="1" si="2"/>
        <v>-6.1616796538585095E-2</v>
      </c>
      <c r="F42" s="4">
        <v>38</v>
      </c>
      <c r="G42" s="3">
        <v>3.96</v>
      </c>
      <c r="H42" s="3">
        <v>3.3522456490108024</v>
      </c>
      <c r="I42" s="3">
        <v>3.1862769857549216</v>
      </c>
      <c r="J42" s="3">
        <v>2.6995929939722352</v>
      </c>
      <c r="K42" s="3">
        <v>2.3818386871159771</v>
      </c>
      <c r="L42" s="3">
        <v>2.0703095137798364</v>
      </c>
      <c r="M42" s="3">
        <v>1.4237829892696989</v>
      </c>
      <c r="N42" s="3">
        <v>1.4732605352660084</v>
      </c>
      <c r="O42" s="3">
        <v>0.89015531564887529</v>
      </c>
      <c r="P42" s="3">
        <v>0.42088051401971183</v>
      </c>
      <c r="Q42" s="3">
        <v>0</v>
      </c>
    </row>
    <row r="43" spans="1:17" x14ac:dyDescent="0.2">
      <c r="A43" s="2">
        <v>39</v>
      </c>
      <c r="B43" s="2">
        <f t="shared" ca="1" si="2"/>
        <v>-0.41407856227010609</v>
      </c>
      <c r="F43" s="4">
        <v>39</v>
      </c>
      <c r="G43" s="3">
        <v>3.9600000000000004</v>
      </c>
      <c r="H43" s="3">
        <v>3.5426253479046066</v>
      </c>
      <c r="I43" s="3">
        <v>3.0173801312002584</v>
      </c>
      <c r="J43" s="3">
        <v>2.9814520302959044</v>
      </c>
      <c r="K43" s="3">
        <v>1.6421424797935178</v>
      </c>
      <c r="L43" s="3">
        <v>2.1392817561784847</v>
      </c>
      <c r="M43" s="3">
        <v>1.7417217517154748</v>
      </c>
      <c r="N43" s="3">
        <v>1.1418582955596708</v>
      </c>
      <c r="O43" s="3">
        <v>0.72942155344297643</v>
      </c>
      <c r="P43" s="3">
        <v>0.27656644334576791</v>
      </c>
      <c r="Q43" s="3">
        <v>0</v>
      </c>
    </row>
    <row r="44" spans="1:17" x14ac:dyDescent="0.2">
      <c r="A44" s="2">
        <v>40</v>
      </c>
      <c r="B44" s="2">
        <f t="shared" ca="1" si="2"/>
        <v>-0.25958938072774945</v>
      </c>
      <c r="F44" s="4">
        <v>40</v>
      </c>
      <c r="G44" s="3">
        <v>3.96</v>
      </c>
      <c r="H44" s="3">
        <v>3.4484811017451418</v>
      </c>
      <c r="I44" s="3">
        <v>3.2460747487980304</v>
      </c>
      <c r="J44" s="3">
        <v>2.4285976140919856</v>
      </c>
      <c r="K44" s="3">
        <v>2.3197443368301243</v>
      </c>
      <c r="L44" s="3">
        <v>2.2683774255788909</v>
      </c>
      <c r="M44" s="3">
        <v>1.7077987456962374</v>
      </c>
      <c r="N44" s="3">
        <v>1.072647316826828</v>
      </c>
      <c r="O44" s="3">
        <v>0.61909268039032805</v>
      </c>
      <c r="P44" s="3">
        <v>0.29100176122061472</v>
      </c>
      <c r="Q44" s="3">
        <v>0</v>
      </c>
    </row>
    <row r="45" spans="1:17" x14ac:dyDescent="0.2">
      <c r="A45" s="2">
        <v>41</v>
      </c>
      <c r="B45" s="2">
        <f t="shared" ca="1" si="2"/>
        <v>-1.2143283795302662</v>
      </c>
      <c r="F45" s="4">
        <v>41</v>
      </c>
      <c r="G45" s="3">
        <v>3.96</v>
      </c>
      <c r="H45" s="3">
        <v>3.6068605722126454</v>
      </c>
      <c r="I45" s="3">
        <v>3.1977234275763182</v>
      </c>
      <c r="J45" s="3">
        <v>2.8061604417496309</v>
      </c>
      <c r="K45" s="3">
        <v>2.5559549539587003</v>
      </c>
      <c r="L45" s="3">
        <v>1.9922132148561682</v>
      </c>
      <c r="M45" s="3">
        <v>1.37384772149247</v>
      </c>
      <c r="N45" s="3">
        <v>1.1106952802616861</v>
      </c>
      <c r="O45" s="3">
        <v>0.94490629310886454</v>
      </c>
      <c r="P45" s="3">
        <v>0.37705634717631364</v>
      </c>
      <c r="Q45" s="3">
        <v>0</v>
      </c>
    </row>
    <row r="46" spans="1:17" x14ac:dyDescent="0.2">
      <c r="A46" s="2">
        <v>42</v>
      </c>
      <c r="B46" s="2">
        <f t="shared" ca="1" si="2"/>
        <v>-2.5838763901201611</v>
      </c>
      <c r="F46" s="4">
        <v>42</v>
      </c>
      <c r="G46" s="3">
        <v>3.9599999999999995</v>
      </c>
      <c r="H46" s="3">
        <v>3.5241272932928052</v>
      </c>
      <c r="I46" s="3">
        <v>3.3571570230111121</v>
      </c>
      <c r="J46" s="3">
        <v>2.5202702360724833</v>
      </c>
      <c r="K46" s="3">
        <v>2.3465815959427552</v>
      </c>
      <c r="L46" s="3">
        <v>1.8386447628117859</v>
      </c>
      <c r="M46" s="3">
        <v>1.6604817628679611</v>
      </c>
      <c r="N46" s="3">
        <v>1.5377267746976937</v>
      </c>
      <c r="O46" s="3">
        <v>0.93474321119459836</v>
      </c>
      <c r="P46" s="3">
        <v>0.44870096548683197</v>
      </c>
      <c r="Q46" s="3">
        <v>0</v>
      </c>
    </row>
    <row r="47" spans="1:17" x14ac:dyDescent="0.2">
      <c r="A47" s="2">
        <v>43</v>
      </c>
      <c r="B47" s="2">
        <f t="shared" ca="1" si="2"/>
        <v>-0.71998055457216414</v>
      </c>
      <c r="F47" s="4">
        <v>43</v>
      </c>
      <c r="G47" s="3">
        <v>3.9600000000000004</v>
      </c>
      <c r="H47" s="3">
        <v>3.6353067796471201</v>
      </c>
      <c r="I47" s="3">
        <v>3.2358241791373072</v>
      </c>
      <c r="J47" s="3">
        <v>2.6966531573969217</v>
      </c>
      <c r="K47" s="3">
        <v>2.2659760962102751</v>
      </c>
      <c r="L47" s="3">
        <v>2.1810753072430216</v>
      </c>
      <c r="M47" s="3">
        <v>1.4680102198813809</v>
      </c>
      <c r="N47" s="3">
        <v>1.2370703378997125</v>
      </c>
      <c r="O47" s="3">
        <v>1.1994064613154105</v>
      </c>
      <c r="P47" s="3">
        <v>0.49801155931378743</v>
      </c>
      <c r="Q47" s="3">
        <v>0</v>
      </c>
    </row>
    <row r="48" spans="1:17" x14ac:dyDescent="0.2">
      <c r="A48" s="2">
        <v>44</v>
      </c>
      <c r="B48" s="2">
        <f t="shared" ca="1" si="2"/>
        <v>0.78727484163824735</v>
      </c>
      <c r="F48" s="4">
        <v>44</v>
      </c>
      <c r="G48" s="3">
        <v>3.96</v>
      </c>
      <c r="H48" s="3">
        <v>3.1457443250348986</v>
      </c>
      <c r="I48" s="3">
        <v>3.0601166771832142</v>
      </c>
      <c r="J48" s="3">
        <v>2.897716716468504</v>
      </c>
      <c r="K48" s="3">
        <v>2.1491997611097728</v>
      </c>
      <c r="L48" s="3">
        <v>1.7032449091296069</v>
      </c>
      <c r="M48" s="3">
        <v>1.3883306083441025</v>
      </c>
      <c r="N48" s="3">
        <v>1.3023527207136003</v>
      </c>
      <c r="O48" s="3">
        <v>0.80218000858204419</v>
      </c>
      <c r="P48" s="3">
        <v>0.59570605359458872</v>
      </c>
      <c r="Q48" s="3">
        <v>0</v>
      </c>
    </row>
    <row r="49" spans="1:17" x14ac:dyDescent="0.2">
      <c r="A49" s="2">
        <v>45</v>
      </c>
      <c r="B49" s="2">
        <f t="shared" ca="1" si="2"/>
        <v>-5.2905660229939699E-2</v>
      </c>
      <c r="F49" s="4">
        <v>45</v>
      </c>
      <c r="G49" s="3">
        <v>3.96</v>
      </c>
      <c r="H49" s="3">
        <v>3.5654551799446743</v>
      </c>
      <c r="I49" s="3">
        <v>3.3529965306213976</v>
      </c>
      <c r="J49" s="3">
        <v>2.8808862188600362</v>
      </c>
      <c r="K49" s="3">
        <v>2.2467431167772132</v>
      </c>
      <c r="L49" s="3">
        <v>1.8108320890691381</v>
      </c>
      <c r="M49" s="3">
        <v>1.2368217956080656</v>
      </c>
      <c r="N49" s="3">
        <v>1.2605003647946698</v>
      </c>
      <c r="O49" s="3">
        <v>0.8864210131449296</v>
      </c>
      <c r="P49" s="3">
        <v>0.28664870417138605</v>
      </c>
      <c r="Q49" s="3">
        <v>0</v>
      </c>
    </row>
    <row r="50" spans="1:17" x14ac:dyDescent="0.2">
      <c r="A50" s="2">
        <v>46</v>
      </c>
      <c r="B50" s="2">
        <f t="shared" ca="1" si="2"/>
        <v>0.53893319635376846</v>
      </c>
      <c r="F50" s="4">
        <v>46</v>
      </c>
      <c r="G50" s="3">
        <v>3.96</v>
      </c>
      <c r="H50" s="3">
        <v>3.58247647992214</v>
      </c>
      <c r="I50" s="3">
        <v>2.9757647360952371</v>
      </c>
      <c r="J50" s="3">
        <v>2.7465762003067269</v>
      </c>
      <c r="K50" s="3">
        <v>2.0622992013903687</v>
      </c>
      <c r="L50" s="3">
        <v>2.1085887192656809</v>
      </c>
      <c r="M50" s="3">
        <v>1.8265156187471545</v>
      </c>
      <c r="N50" s="3">
        <v>1.042826447761509</v>
      </c>
      <c r="O50" s="3">
        <v>0.73100068490832892</v>
      </c>
      <c r="P50" s="3">
        <v>0.47605553241033349</v>
      </c>
      <c r="Q50" s="3">
        <v>0</v>
      </c>
    </row>
    <row r="51" spans="1:17" x14ac:dyDescent="0.2">
      <c r="A51" s="2">
        <v>47</v>
      </c>
      <c r="B51" s="2">
        <f t="shared" ca="1" si="2"/>
        <v>-0.16342254397547323</v>
      </c>
      <c r="F51" s="4">
        <v>47</v>
      </c>
      <c r="G51" s="3">
        <v>3.96</v>
      </c>
      <c r="H51" s="3">
        <v>3.6463421234286399</v>
      </c>
      <c r="I51" s="3">
        <v>3.1663653435595656</v>
      </c>
      <c r="J51" s="3">
        <v>2.6535446950766346</v>
      </c>
      <c r="K51" s="3">
        <v>2.7178900004913547</v>
      </c>
      <c r="L51" s="3">
        <v>2.2035100664527354</v>
      </c>
      <c r="M51" s="3">
        <v>1.4279985039693188</v>
      </c>
      <c r="N51" s="3">
        <v>1.6664008716094352</v>
      </c>
      <c r="O51" s="3">
        <v>0.91921963601147416</v>
      </c>
      <c r="P51" s="3">
        <v>0.52655093924655161</v>
      </c>
      <c r="Q51" s="3">
        <v>0</v>
      </c>
    </row>
    <row r="52" spans="1:17" x14ac:dyDescent="0.2">
      <c r="A52" s="2">
        <v>48</v>
      </c>
      <c r="B52" s="2">
        <f t="shared" ca="1" si="2"/>
        <v>-0.52736836522665698</v>
      </c>
      <c r="F52" s="4">
        <v>48</v>
      </c>
      <c r="G52" s="3">
        <v>3.96</v>
      </c>
      <c r="H52" s="3">
        <v>3.5170803922254108</v>
      </c>
      <c r="I52" s="3">
        <v>3.1480970376282333</v>
      </c>
      <c r="J52" s="3">
        <v>2.7173604337812947</v>
      </c>
      <c r="K52" s="3">
        <v>2.3483331923952067</v>
      </c>
      <c r="L52" s="3">
        <v>1.9995029485844744</v>
      </c>
      <c r="M52" s="3">
        <v>1.5623683392793664</v>
      </c>
      <c r="N52" s="3">
        <v>1.2134977392881439</v>
      </c>
      <c r="O52" s="3">
        <v>0.86088787196209215</v>
      </c>
      <c r="P52" s="3">
        <v>0.35201441242770715</v>
      </c>
      <c r="Q52" s="3">
        <v>0</v>
      </c>
    </row>
    <row r="53" spans="1:17" x14ac:dyDescent="0.2">
      <c r="A53" s="2">
        <v>49</v>
      </c>
      <c r="B53" s="2">
        <f t="shared" ca="1" si="2"/>
        <v>1.4387445389394771</v>
      </c>
      <c r="F53" s="4">
        <v>49</v>
      </c>
      <c r="G53" s="3">
        <v>3.96</v>
      </c>
      <c r="H53" s="3">
        <v>3.3487357088882779</v>
      </c>
      <c r="I53" s="3">
        <v>3.0038140001331284</v>
      </c>
      <c r="J53" s="3">
        <v>3.1675726518629088</v>
      </c>
      <c r="K53" s="3">
        <v>2.3555699574041151</v>
      </c>
      <c r="L53" s="3">
        <v>1.9908407119357805</v>
      </c>
      <c r="M53" s="3">
        <v>1.6507135418241978</v>
      </c>
      <c r="N53" s="3">
        <v>0.97663695493548563</v>
      </c>
      <c r="O53" s="3">
        <v>0.6520781811202746</v>
      </c>
      <c r="P53" s="3">
        <v>0.31686363480558394</v>
      </c>
      <c r="Q53" s="3">
        <v>0</v>
      </c>
    </row>
    <row r="54" spans="1:17" x14ac:dyDescent="0.2">
      <c r="A54" s="2">
        <v>50</v>
      </c>
      <c r="B54" s="2">
        <f t="shared" ca="1" si="2"/>
        <v>0.25244974824832422</v>
      </c>
      <c r="F54" s="4">
        <v>50</v>
      </c>
      <c r="G54" s="3">
        <v>3.96</v>
      </c>
      <c r="H54" s="3">
        <v>3.700449191546074</v>
      </c>
      <c r="I54" s="3">
        <v>3.3241108286594283</v>
      </c>
      <c r="J54" s="3">
        <v>2.6921990158606217</v>
      </c>
      <c r="K54" s="3">
        <v>2.5776948659796046</v>
      </c>
      <c r="L54" s="3">
        <v>1.7864628204951416</v>
      </c>
      <c r="M54" s="3">
        <v>1.6001365918462509</v>
      </c>
      <c r="N54" s="3">
        <v>1.0483624445960369</v>
      </c>
      <c r="O54" s="3">
        <v>0.66332143233945917</v>
      </c>
      <c r="P54" s="3">
        <v>0.53440972081854043</v>
      </c>
      <c r="Q54" s="3">
        <v>0</v>
      </c>
    </row>
    <row r="55" spans="1:17" x14ac:dyDescent="0.2">
      <c r="A55" s="2">
        <v>51</v>
      </c>
      <c r="B55" s="2">
        <f t="shared" ca="1" si="2"/>
        <v>0.5757767368435891</v>
      </c>
      <c r="F55" s="4">
        <v>51</v>
      </c>
      <c r="G55" s="3">
        <v>3.96</v>
      </c>
      <c r="H55" s="3">
        <v>3.5080679130622214</v>
      </c>
      <c r="I55" s="3">
        <v>3.2203368688315521</v>
      </c>
      <c r="J55" s="3">
        <v>2.8305836560450346</v>
      </c>
      <c r="K55" s="3">
        <v>2.3714475182351831</v>
      </c>
      <c r="L55" s="3">
        <v>2.0585466945855608</v>
      </c>
      <c r="M55" s="3">
        <v>1.7472595726225915</v>
      </c>
      <c r="N55" s="3">
        <v>1.2315493913706648</v>
      </c>
      <c r="O55" s="3">
        <v>0.99416490206858121</v>
      </c>
      <c r="P55" s="3">
        <v>0.37244593467580261</v>
      </c>
      <c r="Q55" s="3">
        <v>0</v>
      </c>
    </row>
    <row r="56" spans="1:17" x14ac:dyDescent="0.2">
      <c r="A56" s="2">
        <v>52</v>
      </c>
      <c r="B56" s="2">
        <f t="shared" ca="1" si="2"/>
        <v>1.0244901381320808</v>
      </c>
      <c r="F56" s="4">
        <v>52</v>
      </c>
      <c r="G56" s="3">
        <v>3.96</v>
      </c>
      <c r="H56" s="3">
        <v>3.3843498906346574</v>
      </c>
      <c r="I56" s="3">
        <v>3.0062398173555391</v>
      </c>
      <c r="J56" s="3">
        <v>2.7385079231696792</v>
      </c>
      <c r="K56" s="3">
        <v>2.0712819732975483</v>
      </c>
      <c r="L56" s="3">
        <v>1.8152996099702658</v>
      </c>
      <c r="M56" s="3">
        <v>1.4610126277852327</v>
      </c>
      <c r="N56" s="3">
        <v>1.1270266912098827</v>
      </c>
      <c r="O56" s="3">
        <v>0.63511291281326376</v>
      </c>
      <c r="P56" s="3">
        <v>0.62998027203413109</v>
      </c>
      <c r="Q56" s="3">
        <v>0</v>
      </c>
    </row>
    <row r="57" spans="1:17" x14ac:dyDescent="0.2">
      <c r="A57" s="2">
        <v>53</v>
      </c>
      <c r="B57" s="2">
        <f t="shared" ca="1" si="2"/>
        <v>0.32241041079304938</v>
      </c>
      <c r="F57" s="4">
        <v>53</v>
      </c>
      <c r="G57" s="3">
        <v>3.96</v>
      </c>
      <c r="H57" s="3">
        <v>3.4515423769454943</v>
      </c>
      <c r="I57" s="3">
        <v>3.1587629961023858</v>
      </c>
      <c r="J57" s="3">
        <v>2.6451272029310018</v>
      </c>
      <c r="K57" s="3">
        <v>2.5750701610397049</v>
      </c>
      <c r="L57" s="3">
        <v>2.2122446916615579</v>
      </c>
      <c r="M57" s="3">
        <v>1.722325837390793</v>
      </c>
      <c r="N57" s="3">
        <v>1.4694609668687846</v>
      </c>
      <c r="O57" s="3">
        <v>0.97891362753183142</v>
      </c>
      <c r="P57" s="3">
        <v>0.41417816467106505</v>
      </c>
      <c r="Q57" s="3">
        <v>0</v>
      </c>
    </row>
    <row r="58" spans="1:17" x14ac:dyDescent="0.2">
      <c r="A58" s="2">
        <v>54</v>
      </c>
      <c r="B58" s="2">
        <f t="shared" ca="1" si="2"/>
        <v>0.87148529543745323</v>
      </c>
      <c r="F58" s="4">
        <v>54</v>
      </c>
      <c r="G58" s="3">
        <v>3.96</v>
      </c>
      <c r="H58" s="3">
        <v>3.5011889437562846</v>
      </c>
      <c r="I58" s="3">
        <v>2.804859384890289</v>
      </c>
      <c r="J58" s="3">
        <v>2.8129938108602417</v>
      </c>
      <c r="K58" s="3">
        <v>2.0350885606955416</v>
      </c>
      <c r="L58" s="3">
        <v>2.1267271952860112</v>
      </c>
      <c r="M58" s="3">
        <v>1.571936205242036</v>
      </c>
      <c r="N58" s="3">
        <v>1.0032117171236046</v>
      </c>
      <c r="O58" s="3">
        <v>0.81753694804673716</v>
      </c>
      <c r="P58" s="3">
        <v>0.32660358705077364</v>
      </c>
      <c r="Q58" s="3">
        <v>0</v>
      </c>
    </row>
    <row r="59" spans="1:17" x14ac:dyDescent="0.2">
      <c r="A59" s="2">
        <v>55</v>
      </c>
      <c r="B59" s="2">
        <f t="shared" ca="1" si="2"/>
        <v>-0.70207397380963499</v>
      </c>
      <c r="F59" s="4">
        <v>55</v>
      </c>
      <c r="G59" s="3">
        <v>3.96</v>
      </c>
      <c r="H59" s="3">
        <v>3.5068385523174359</v>
      </c>
      <c r="I59" s="3">
        <v>3.3168746287283675</v>
      </c>
      <c r="J59" s="3">
        <v>2.7365444263602727</v>
      </c>
      <c r="K59" s="3">
        <v>2.0602551951547561</v>
      </c>
      <c r="L59" s="3">
        <v>1.6346893235737594</v>
      </c>
      <c r="M59" s="3">
        <v>1.7790234936948588</v>
      </c>
      <c r="N59" s="3">
        <v>1.0457661554050037</v>
      </c>
      <c r="O59" s="3">
        <v>0.98870292549035454</v>
      </c>
      <c r="P59" s="3">
        <v>0.5612890997016301</v>
      </c>
      <c r="Q59" s="3">
        <v>0</v>
      </c>
    </row>
    <row r="60" spans="1:17" x14ac:dyDescent="0.2">
      <c r="A60" s="2">
        <v>56</v>
      </c>
      <c r="B60" s="2">
        <f t="shared" ca="1" si="2"/>
        <v>-0.15453217700701427</v>
      </c>
      <c r="F60" s="4">
        <v>56</v>
      </c>
      <c r="G60" s="3">
        <v>3.9600000000000004</v>
      </c>
      <c r="H60" s="3">
        <v>3.6011390184489449</v>
      </c>
      <c r="I60" s="3">
        <v>3.0641092980521547</v>
      </c>
      <c r="J60" s="3">
        <v>2.6400151574508928</v>
      </c>
      <c r="K60" s="3">
        <v>2.5068405655398935</v>
      </c>
      <c r="L60" s="3">
        <v>2.0986640513328898</v>
      </c>
      <c r="M60" s="3">
        <v>1.476381429248373</v>
      </c>
      <c r="N60" s="3">
        <v>1.0347135517864103</v>
      </c>
      <c r="O60" s="3">
        <v>0.79474392595139942</v>
      </c>
      <c r="P60" s="3">
        <v>0.39145095830455218</v>
      </c>
      <c r="Q60" s="3">
        <v>0</v>
      </c>
    </row>
    <row r="61" spans="1:17" x14ac:dyDescent="0.2">
      <c r="A61" s="2">
        <v>57</v>
      </c>
      <c r="B61" s="2">
        <f t="shared" ca="1" si="2"/>
        <v>-1.2743054034783121</v>
      </c>
      <c r="F61" s="4">
        <v>57</v>
      </c>
      <c r="G61" s="3">
        <v>3.96</v>
      </c>
      <c r="H61" s="3">
        <v>3.4177974950044643</v>
      </c>
      <c r="I61" s="3">
        <v>3.4872990328715305</v>
      </c>
      <c r="J61" s="3">
        <v>2.7935554416032375</v>
      </c>
      <c r="K61" s="3">
        <v>2.4968386571420291</v>
      </c>
      <c r="L61" s="3">
        <v>1.873806407350042</v>
      </c>
      <c r="M61" s="3">
        <v>1.7048854289961337</v>
      </c>
      <c r="N61" s="3">
        <v>1.2683406570248363</v>
      </c>
      <c r="O61" s="3">
        <v>0.69840681447812225</v>
      </c>
      <c r="P61" s="3">
        <v>0.32912814443877775</v>
      </c>
      <c r="Q61" s="3">
        <v>0</v>
      </c>
    </row>
    <row r="62" spans="1:17" x14ac:dyDescent="0.2">
      <c r="A62" s="2">
        <v>58</v>
      </c>
      <c r="B62" s="2">
        <f t="shared" ca="1" si="2"/>
        <v>-0.69417557694958198</v>
      </c>
      <c r="F62" s="4">
        <v>58</v>
      </c>
      <c r="G62" s="3">
        <v>3.96</v>
      </c>
      <c r="H62" s="3">
        <v>3.5578329854345059</v>
      </c>
      <c r="I62" s="3">
        <v>2.9736176224242881</v>
      </c>
      <c r="J62" s="3">
        <v>2.7773514021288905</v>
      </c>
      <c r="K62" s="3">
        <v>2.3279777082932758</v>
      </c>
      <c r="L62" s="3">
        <v>1.9552055108484805</v>
      </c>
      <c r="M62" s="3">
        <v>1.0499727150590155</v>
      </c>
      <c r="N62" s="3">
        <v>1.3327664919123563</v>
      </c>
      <c r="O62" s="3">
        <v>0.65595255461808721</v>
      </c>
      <c r="P62" s="3">
        <v>0.32602979477493976</v>
      </c>
      <c r="Q62" s="3">
        <v>0</v>
      </c>
    </row>
    <row r="63" spans="1:17" x14ac:dyDescent="0.2">
      <c r="A63" s="2">
        <v>59</v>
      </c>
      <c r="B63" s="2">
        <f t="shared" ca="1" si="2"/>
        <v>1.7785967842857011</v>
      </c>
      <c r="F63" s="4">
        <v>59</v>
      </c>
      <c r="G63" s="3">
        <v>3.96</v>
      </c>
      <c r="H63" s="3">
        <v>3.2587357201411229</v>
      </c>
      <c r="I63" s="3">
        <v>3.271736814188686</v>
      </c>
      <c r="J63" s="3">
        <v>2.7088415474299179</v>
      </c>
      <c r="K63" s="3">
        <v>2.5360285816933565</v>
      </c>
      <c r="L63" s="3">
        <v>2.0239418348117351</v>
      </c>
      <c r="M63" s="3">
        <v>1.372314398046603</v>
      </c>
      <c r="N63" s="3">
        <v>1.3686131584333767</v>
      </c>
      <c r="O63" s="3">
        <v>0.90533892077072375</v>
      </c>
      <c r="P63" s="3">
        <v>0.53428324941774985</v>
      </c>
      <c r="Q63" s="3">
        <v>0</v>
      </c>
    </row>
    <row r="64" spans="1:17" x14ac:dyDescent="0.2">
      <c r="A64" s="2">
        <v>60</v>
      </c>
      <c r="B64" s="2">
        <f t="shared" ca="1" si="2"/>
        <v>1.9273826452140117</v>
      </c>
      <c r="F64" s="4">
        <v>60</v>
      </c>
      <c r="G64" s="3">
        <v>3.96</v>
      </c>
      <c r="H64" s="3">
        <v>3.6671624407133492</v>
      </c>
      <c r="I64" s="3">
        <v>3.2216560759939288</v>
      </c>
      <c r="J64" s="3">
        <v>2.8960884110936789</v>
      </c>
      <c r="K64" s="3">
        <v>2.6255743050367299</v>
      </c>
      <c r="L64" s="3">
        <v>2.2546548940204363</v>
      </c>
      <c r="M64" s="3">
        <v>1.6503528189419623</v>
      </c>
      <c r="N64" s="3">
        <v>1.1508651340065355</v>
      </c>
      <c r="O64" s="3">
        <v>0.49118970817093782</v>
      </c>
      <c r="P64" s="3">
        <v>0.4439287318081907</v>
      </c>
      <c r="Q64" s="3">
        <v>0</v>
      </c>
    </row>
    <row r="65" spans="1:17" x14ac:dyDescent="0.2">
      <c r="A65" s="2">
        <v>61</v>
      </c>
      <c r="B65" s="2">
        <f t="shared" ca="1" si="2"/>
        <v>0.40081865336141309</v>
      </c>
      <c r="F65" s="4">
        <v>61</v>
      </c>
      <c r="G65" s="3">
        <v>3.96</v>
      </c>
      <c r="H65" s="3">
        <v>3.3545059299452884</v>
      </c>
      <c r="I65" s="3">
        <v>2.8531279320065361</v>
      </c>
      <c r="J65" s="3">
        <v>2.7516397168081506</v>
      </c>
      <c r="K65" s="3">
        <v>2.8267545320150456</v>
      </c>
      <c r="L65" s="3">
        <v>2.0812632817543197</v>
      </c>
      <c r="M65" s="3">
        <v>1.6282461821665346</v>
      </c>
      <c r="N65" s="3">
        <v>1.2770763115863384</v>
      </c>
      <c r="O65" s="3">
        <v>0.70615924838252453</v>
      </c>
      <c r="P65" s="3">
        <v>0.4438542797024192</v>
      </c>
      <c r="Q65" s="3">
        <v>0</v>
      </c>
    </row>
    <row r="66" spans="1:17" x14ac:dyDescent="0.2">
      <c r="A66" s="2">
        <v>62</v>
      </c>
      <c r="B66" s="2">
        <f t="shared" ca="1" si="2"/>
        <v>-0.53609326495745879</v>
      </c>
      <c r="F66" s="4">
        <v>62</v>
      </c>
      <c r="G66" s="3">
        <v>3.96</v>
      </c>
      <c r="H66" s="3">
        <v>3.5561942971029854</v>
      </c>
      <c r="I66" s="3">
        <v>3.1759739978262691</v>
      </c>
      <c r="J66" s="3">
        <v>2.5981732336080086</v>
      </c>
      <c r="K66" s="3">
        <v>2.4876581203518353</v>
      </c>
      <c r="L66" s="3">
        <v>1.7704769170252102</v>
      </c>
      <c r="M66" s="3">
        <v>1.5271150751430145</v>
      </c>
      <c r="N66" s="3">
        <v>0.82040798481127353</v>
      </c>
      <c r="O66" s="3">
        <v>1.0565116416781035</v>
      </c>
      <c r="P66" s="3">
        <v>0.43843474796560478</v>
      </c>
      <c r="Q66" s="3">
        <v>0</v>
      </c>
    </row>
    <row r="67" spans="1:17" x14ac:dyDescent="0.2">
      <c r="A67" s="2">
        <v>63</v>
      </c>
      <c r="B67" s="2">
        <f t="shared" ca="1" si="2"/>
        <v>-1.7390362205305736</v>
      </c>
      <c r="F67" s="4">
        <v>63</v>
      </c>
      <c r="G67" s="3">
        <v>3.96</v>
      </c>
      <c r="H67" s="3">
        <v>3.6967380647795203</v>
      </c>
      <c r="I67" s="3">
        <v>3.1996987573492421</v>
      </c>
      <c r="J67" s="3">
        <v>2.6852909486076921</v>
      </c>
      <c r="K67" s="3">
        <v>2.6056521582210368</v>
      </c>
      <c r="L67" s="3">
        <v>2.0636544757736099</v>
      </c>
      <c r="M67" s="3">
        <v>1.8451486181424732</v>
      </c>
      <c r="N67" s="3">
        <v>1.096041716279488</v>
      </c>
      <c r="O67" s="3">
        <v>0.8603041030989147</v>
      </c>
      <c r="P67" s="3">
        <v>0.4466410864571132</v>
      </c>
      <c r="Q67" s="3">
        <v>0</v>
      </c>
    </row>
    <row r="68" spans="1:17" x14ac:dyDescent="0.2">
      <c r="A68" s="2">
        <v>64</v>
      </c>
      <c r="B68" s="2">
        <f t="shared" ca="1" si="2"/>
        <v>-2.4554515492272166E-2</v>
      </c>
      <c r="F68" s="4">
        <v>64</v>
      </c>
      <c r="G68" s="3">
        <v>3.96</v>
      </c>
      <c r="H68" s="3">
        <v>3.6517917149734442</v>
      </c>
      <c r="I68" s="3">
        <v>2.8246732889460255</v>
      </c>
      <c r="J68" s="3">
        <v>2.8595800672952536</v>
      </c>
      <c r="K68" s="3">
        <v>2.1850263372295733</v>
      </c>
      <c r="L68" s="3">
        <v>2.2160248274728445</v>
      </c>
      <c r="M68" s="3">
        <v>1.7633889265655545</v>
      </c>
      <c r="N68" s="3">
        <v>1.554019934954449</v>
      </c>
      <c r="O68" s="3">
        <v>0.63220100331673512</v>
      </c>
      <c r="P68" s="3">
        <v>0.34026507416816959</v>
      </c>
      <c r="Q68" s="3">
        <v>0</v>
      </c>
    </row>
    <row r="69" spans="1:17" x14ac:dyDescent="0.2">
      <c r="A69" s="2">
        <v>65</v>
      </c>
      <c r="B69" s="2">
        <f t="shared" ca="1" si="2"/>
        <v>-0.42327811095937479</v>
      </c>
      <c r="F69" s="4">
        <v>65</v>
      </c>
      <c r="G69" s="3">
        <v>3.96</v>
      </c>
      <c r="H69" s="3">
        <v>3.6321303369723812</v>
      </c>
      <c r="I69" s="3">
        <v>3.3925979478332322</v>
      </c>
      <c r="J69" s="3">
        <v>2.9860321258686953</v>
      </c>
      <c r="K69" s="3">
        <v>2.3210150874743438</v>
      </c>
      <c r="L69" s="3">
        <v>1.8920375333231421</v>
      </c>
      <c r="M69" s="3">
        <v>1.8246165640800247</v>
      </c>
      <c r="N69" s="3">
        <v>1.0963154691921266</v>
      </c>
      <c r="O69" s="3">
        <v>0.96015069763522065</v>
      </c>
      <c r="P69" s="3">
        <v>0.44481858209173358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-1.1985722076595913</v>
      </c>
      <c r="F70" s="4">
        <v>66</v>
      </c>
      <c r="G70" s="3">
        <v>3.96</v>
      </c>
      <c r="H70" s="3">
        <v>3.7689890992025048</v>
      </c>
      <c r="I70" s="3">
        <v>2.9478221600618313</v>
      </c>
      <c r="J70" s="3">
        <v>2.7523661191018629</v>
      </c>
      <c r="K70" s="3">
        <v>2.5924992216467944</v>
      </c>
      <c r="L70" s="3">
        <v>1.9218991410298696</v>
      </c>
      <c r="M70" s="3">
        <v>1.571913012823567</v>
      </c>
      <c r="N70" s="3">
        <v>1.1362807650317575</v>
      </c>
      <c r="O70" s="3">
        <v>0.83109702470426539</v>
      </c>
      <c r="P70" s="3">
        <v>0.43378940680121342</v>
      </c>
      <c r="Q70" s="3">
        <v>0</v>
      </c>
    </row>
    <row r="71" spans="1:17" x14ac:dyDescent="0.2">
      <c r="A71" s="2">
        <v>67</v>
      </c>
      <c r="B71" s="2">
        <f t="shared" ca="1" si="3"/>
        <v>-0.72749097059892098</v>
      </c>
      <c r="F71" s="4">
        <v>67</v>
      </c>
      <c r="G71" s="3">
        <v>3.96</v>
      </c>
      <c r="H71" s="3">
        <v>3.5613380114396396</v>
      </c>
      <c r="I71" s="3">
        <v>3.1503363380713778</v>
      </c>
      <c r="J71" s="3">
        <v>2.842127277993038</v>
      </c>
      <c r="K71" s="3">
        <v>2.4097570389136922</v>
      </c>
      <c r="L71" s="3">
        <v>1.7371158035615974</v>
      </c>
      <c r="M71" s="3">
        <v>1.7043223624024546</v>
      </c>
      <c r="N71" s="3">
        <v>1.0547330037943305</v>
      </c>
      <c r="O71" s="3">
        <v>1.0753678136483837</v>
      </c>
      <c r="P71" s="3">
        <v>0.59048318149514922</v>
      </c>
      <c r="Q71" s="3">
        <v>0</v>
      </c>
    </row>
    <row r="72" spans="1:17" x14ac:dyDescent="0.2">
      <c r="A72" s="2">
        <v>68</v>
      </c>
      <c r="B72" s="2">
        <f t="shared" ca="1" si="3"/>
        <v>0.18217624643346808</v>
      </c>
      <c r="F72" s="4">
        <v>68</v>
      </c>
      <c r="G72" s="3">
        <v>3.96</v>
      </c>
      <c r="H72" s="3">
        <v>3.6756225652032226</v>
      </c>
      <c r="I72" s="3">
        <v>3.3961730154114536</v>
      </c>
      <c r="J72" s="3">
        <v>2.8953184615444676</v>
      </c>
      <c r="K72" s="3">
        <v>2.2820255492396693</v>
      </c>
      <c r="L72" s="3">
        <v>2.040145510085793</v>
      </c>
      <c r="M72" s="3">
        <v>1.8758776283743297</v>
      </c>
      <c r="N72" s="3">
        <v>1.041583080969565</v>
      </c>
      <c r="O72" s="3">
        <v>0.90014978158609604</v>
      </c>
      <c r="P72" s="3">
        <v>0.45095222781081729</v>
      </c>
      <c r="Q72" s="3">
        <v>0</v>
      </c>
    </row>
    <row r="73" spans="1:17" x14ac:dyDescent="0.2">
      <c r="A73" s="2">
        <v>69</v>
      </c>
      <c r="B73" s="2">
        <f t="shared" ca="1" si="3"/>
        <v>-7.730430450569839E-2</v>
      </c>
      <c r="F73" s="4">
        <v>69</v>
      </c>
      <c r="G73" s="3">
        <v>3.96</v>
      </c>
      <c r="H73" s="3">
        <v>3.5633712669668984</v>
      </c>
      <c r="I73" s="3">
        <v>3.0238903333876257</v>
      </c>
      <c r="J73" s="3">
        <v>2.6409628849639026</v>
      </c>
      <c r="K73" s="3">
        <v>2.5938390174676336</v>
      </c>
      <c r="L73" s="3">
        <v>2.1088708362574931</v>
      </c>
      <c r="M73" s="3">
        <v>1.8158471519549428</v>
      </c>
      <c r="N73" s="3">
        <v>1.5792098739540228</v>
      </c>
      <c r="O73" s="3">
        <v>0.74248466640557598</v>
      </c>
      <c r="P73" s="3">
        <v>0.41282763566195424</v>
      </c>
      <c r="Q73" s="3">
        <v>0</v>
      </c>
    </row>
    <row r="74" spans="1:17" x14ac:dyDescent="0.2">
      <c r="A74" s="2">
        <v>70</v>
      </c>
      <c r="B74" s="2">
        <f t="shared" ca="1" si="3"/>
        <v>-8.4691483139518131E-2</v>
      </c>
      <c r="F74" s="4">
        <v>70</v>
      </c>
      <c r="G74" s="3">
        <v>3.96</v>
      </c>
      <c r="H74" s="3">
        <v>3.4364196928955635</v>
      </c>
      <c r="I74" s="3">
        <v>3.0967019721281694</v>
      </c>
      <c r="J74" s="3">
        <v>3.019219630548116</v>
      </c>
      <c r="K74" s="3">
        <v>2.2268727324223416</v>
      </c>
      <c r="L74" s="3">
        <v>2.0629484162185503</v>
      </c>
      <c r="M74" s="3">
        <v>1.6289541491787223</v>
      </c>
      <c r="N74" s="3">
        <v>1.6387577562398969</v>
      </c>
      <c r="O74" s="3">
        <v>0.951038809028948</v>
      </c>
      <c r="P74" s="3">
        <v>0.42842343344643402</v>
      </c>
      <c r="Q74" s="3">
        <v>0</v>
      </c>
    </row>
    <row r="75" spans="1:17" x14ac:dyDescent="0.2">
      <c r="A75" s="2">
        <v>71</v>
      </c>
      <c r="B75" s="2">
        <f t="shared" ca="1" si="3"/>
        <v>-0.49464246226121211</v>
      </c>
      <c r="F75" s="4">
        <v>71</v>
      </c>
      <c r="G75" s="3">
        <v>3.96</v>
      </c>
      <c r="H75" s="3">
        <v>3.6901486579747402</v>
      </c>
      <c r="I75" s="3">
        <v>3.0548759660992939</v>
      </c>
      <c r="J75" s="3">
        <v>2.7049561007791381</v>
      </c>
      <c r="K75" s="3">
        <v>2.0440373294215837</v>
      </c>
      <c r="L75" s="3">
        <v>1.6176149516862885</v>
      </c>
      <c r="M75" s="3">
        <v>1.8401834719681054</v>
      </c>
      <c r="N75" s="3">
        <v>1.3380172087205409</v>
      </c>
      <c r="O75" s="3">
        <v>1.3068624920277683</v>
      </c>
      <c r="P75" s="3">
        <v>0.26157542095284614</v>
      </c>
      <c r="Q75" s="3">
        <v>0</v>
      </c>
    </row>
    <row r="76" spans="1:17" x14ac:dyDescent="0.2">
      <c r="A76" s="2">
        <v>72</v>
      </c>
      <c r="B76" s="2">
        <f t="shared" ca="1" si="3"/>
        <v>-0.2042498690833387</v>
      </c>
      <c r="F76" s="4">
        <v>72</v>
      </c>
      <c r="G76" s="3">
        <v>3.96</v>
      </c>
      <c r="H76" s="3">
        <v>3.6701050001263158</v>
      </c>
      <c r="I76" s="3">
        <v>2.8363290945839346</v>
      </c>
      <c r="J76" s="3">
        <v>2.666976381875898</v>
      </c>
      <c r="K76" s="3">
        <v>2.4566419044679173</v>
      </c>
      <c r="L76" s="3">
        <v>1.9775178629656478</v>
      </c>
      <c r="M76" s="3">
        <v>1.5978414678058839</v>
      </c>
      <c r="N76" s="3">
        <v>1.0565309910664917</v>
      </c>
      <c r="O76" s="3">
        <v>0.45145389712023926</v>
      </c>
      <c r="P76" s="3">
        <v>0.39685154598918765</v>
      </c>
      <c r="Q76" s="3">
        <v>0</v>
      </c>
    </row>
    <row r="77" spans="1:17" x14ac:dyDescent="0.2">
      <c r="A77" s="2">
        <v>73</v>
      </c>
      <c r="B77" s="2">
        <f t="shared" ca="1" si="3"/>
        <v>1.2334390383488241</v>
      </c>
      <c r="F77" s="4">
        <v>73</v>
      </c>
      <c r="G77" s="3">
        <v>3.96</v>
      </c>
      <c r="H77" s="3">
        <v>3.6254451043017668</v>
      </c>
      <c r="I77" s="3">
        <v>2.9025387332767334</v>
      </c>
      <c r="J77" s="3">
        <v>2.5743728808702193</v>
      </c>
      <c r="K77" s="3">
        <v>2.3918061472017547</v>
      </c>
      <c r="L77" s="3">
        <v>1.8809171341807756</v>
      </c>
      <c r="M77" s="3">
        <v>1.7945878258470438</v>
      </c>
      <c r="N77" s="3">
        <v>0.84841823588345588</v>
      </c>
      <c r="O77" s="3">
        <v>1.1776860726723708</v>
      </c>
      <c r="P77" s="3">
        <v>0.29264138215597552</v>
      </c>
      <c r="Q77" s="3">
        <v>0</v>
      </c>
    </row>
    <row r="78" spans="1:17" x14ac:dyDescent="0.2">
      <c r="A78" s="2">
        <v>74</v>
      </c>
      <c r="B78" s="2">
        <f t="shared" ca="1" si="3"/>
        <v>0.47297535478285013</v>
      </c>
      <c r="F78" s="4">
        <v>74</v>
      </c>
      <c r="G78" s="3">
        <v>3.96</v>
      </c>
      <c r="H78" s="3">
        <v>3.4466386627304915</v>
      </c>
      <c r="I78" s="3">
        <v>3.3940220579874056</v>
      </c>
      <c r="J78" s="3">
        <v>3.0476221555880505</v>
      </c>
      <c r="K78" s="3">
        <v>2.4098164340651924</v>
      </c>
      <c r="L78" s="3">
        <v>1.9001394352065031</v>
      </c>
      <c r="M78" s="3">
        <v>1.6295922704610371</v>
      </c>
      <c r="N78" s="3">
        <v>1.4669203870797214</v>
      </c>
      <c r="O78" s="3">
        <v>1.0955262377591171</v>
      </c>
      <c r="P78" s="3">
        <v>0.34937100289107309</v>
      </c>
      <c r="Q78" s="3">
        <v>0</v>
      </c>
    </row>
    <row r="79" spans="1:17" x14ac:dyDescent="0.2">
      <c r="A79" s="2">
        <v>75</v>
      </c>
      <c r="B79" s="2">
        <f t="shared" ca="1" si="3"/>
        <v>-1.33959172325511</v>
      </c>
      <c r="F79" s="4">
        <v>75</v>
      </c>
      <c r="G79" s="3">
        <v>3.96</v>
      </c>
      <c r="H79" s="3">
        <v>3.5660829494709216</v>
      </c>
      <c r="I79" s="3">
        <v>3.1271762834826173</v>
      </c>
      <c r="J79" s="3">
        <v>2.8223829700819065</v>
      </c>
      <c r="K79" s="3">
        <v>1.8637059794134945</v>
      </c>
      <c r="L79" s="3">
        <v>1.6851276928781376</v>
      </c>
      <c r="M79" s="3">
        <v>1.5934232257061662</v>
      </c>
      <c r="N79" s="3">
        <v>1.1876442423988991</v>
      </c>
      <c r="O79" s="3">
        <v>1.2897023272287451</v>
      </c>
      <c r="P79" s="3">
        <v>0.4735050546845555</v>
      </c>
      <c r="Q79" s="3">
        <v>0</v>
      </c>
    </row>
    <row r="80" spans="1:17" x14ac:dyDescent="0.2">
      <c r="A80" s="2">
        <v>76</v>
      </c>
      <c r="B80" s="2">
        <f t="shared" ca="1" si="3"/>
        <v>0.50092078969224341</v>
      </c>
      <c r="F80" s="4">
        <v>76</v>
      </c>
      <c r="G80" s="3">
        <v>3.9600000000000004</v>
      </c>
      <c r="H80" s="3">
        <v>3.6459254839157835</v>
      </c>
      <c r="I80" s="3">
        <v>3.0111192558993114</v>
      </c>
      <c r="J80" s="3">
        <v>2.7625232309062708</v>
      </c>
      <c r="K80" s="3">
        <v>2.3154690782391261</v>
      </c>
      <c r="L80" s="3">
        <v>1.7813536708614575</v>
      </c>
      <c r="M80" s="3">
        <v>1.537461707403154</v>
      </c>
      <c r="N80" s="3">
        <v>1.3019906051456751</v>
      </c>
      <c r="O80" s="3">
        <v>0.86044978711648745</v>
      </c>
      <c r="P80" s="3">
        <v>0.22524925956175934</v>
      </c>
      <c r="Q80" s="3">
        <v>0</v>
      </c>
    </row>
    <row r="81" spans="1:17" x14ac:dyDescent="0.2">
      <c r="A81" s="2">
        <v>77</v>
      </c>
      <c r="B81" s="2">
        <f t="shared" ca="1" si="3"/>
        <v>6.2717691596111624E-2</v>
      </c>
      <c r="F81" s="4">
        <v>77</v>
      </c>
      <c r="G81" s="3">
        <v>3.96</v>
      </c>
      <c r="H81" s="3">
        <v>3.53921229549344</v>
      </c>
      <c r="I81" s="3">
        <v>3.1610899914696189</v>
      </c>
      <c r="J81" s="3">
        <v>3.1163814627350681</v>
      </c>
      <c r="K81" s="3">
        <v>2.6098715851517746</v>
      </c>
      <c r="L81" s="3">
        <v>2.0620838803050989</v>
      </c>
      <c r="M81" s="3">
        <v>1.8902736180114865</v>
      </c>
      <c r="N81" s="3">
        <v>1.3213623000463028</v>
      </c>
      <c r="O81" s="3">
        <v>0.64867429083558259</v>
      </c>
      <c r="P81" s="3">
        <v>0.42994714496803965</v>
      </c>
      <c r="Q81" s="3">
        <v>0</v>
      </c>
    </row>
    <row r="82" spans="1:17" x14ac:dyDescent="0.2">
      <c r="A82" s="2">
        <v>78</v>
      </c>
      <c r="B82" s="2">
        <f t="shared" ca="1" si="3"/>
        <v>0.62851611320789003</v>
      </c>
      <c r="F82" s="4">
        <v>78</v>
      </c>
      <c r="G82" s="3">
        <v>3.9599999999999995</v>
      </c>
      <c r="H82" s="3">
        <v>3.7242271218480334</v>
      </c>
      <c r="I82" s="3">
        <v>3.3927859705485552</v>
      </c>
      <c r="J82" s="3">
        <v>2.6130173778961177</v>
      </c>
      <c r="K82" s="3">
        <v>2.5989145035523049</v>
      </c>
      <c r="L82" s="3">
        <v>1.7364553746406493</v>
      </c>
      <c r="M82" s="3">
        <v>1.7787190655633054</v>
      </c>
      <c r="N82" s="3">
        <v>1.3980280407497849</v>
      </c>
      <c r="O82" s="3">
        <v>0.4854301130089359</v>
      </c>
      <c r="P82" s="3">
        <v>0.43292747757027628</v>
      </c>
      <c r="Q82" s="3">
        <v>0</v>
      </c>
    </row>
    <row r="83" spans="1:17" x14ac:dyDescent="0.2">
      <c r="A83" s="2">
        <v>79</v>
      </c>
      <c r="B83" s="2">
        <f t="shared" ca="1" si="3"/>
        <v>1.2315109762821048</v>
      </c>
      <c r="F83" s="4">
        <v>79</v>
      </c>
      <c r="G83" s="3">
        <v>3.96</v>
      </c>
      <c r="H83" s="3">
        <v>3.6692654848449795</v>
      </c>
      <c r="I83" s="3">
        <v>3.1505532343587199</v>
      </c>
      <c r="J83" s="3">
        <v>2.6166408958881071</v>
      </c>
      <c r="K83" s="3">
        <v>2.2886882987735033</v>
      </c>
      <c r="L83" s="3">
        <v>1.9035578145702183</v>
      </c>
      <c r="M83" s="3">
        <v>1.8828013783108823</v>
      </c>
      <c r="N83" s="3">
        <v>1.2963511253489526</v>
      </c>
      <c r="O83" s="3">
        <v>0.79259736885741794</v>
      </c>
      <c r="P83" s="3">
        <v>0.50361550842884395</v>
      </c>
      <c r="Q83" s="3">
        <v>0</v>
      </c>
    </row>
    <row r="84" spans="1:17" x14ac:dyDescent="0.2">
      <c r="A84" s="2">
        <v>80</v>
      </c>
      <c r="B84" s="2">
        <f t="shared" ca="1" si="3"/>
        <v>0.64651479869987882</v>
      </c>
      <c r="F84" s="4">
        <v>80</v>
      </c>
      <c r="G84" s="3">
        <v>3.96</v>
      </c>
      <c r="H84" s="3">
        <v>3.5607669458951068</v>
      </c>
      <c r="I84" s="3">
        <v>3.1467314271205198</v>
      </c>
      <c r="J84" s="3">
        <v>2.5339633069181682</v>
      </c>
      <c r="K84" s="3">
        <v>2.5688594623735894</v>
      </c>
      <c r="L84" s="3">
        <v>1.6555855008032032</v>
      </c>
      <c r="M84" s="3">
        <v>1.5945824716798918</v>
      </c>
      <c r="N84" s="3">
        <v>1.1969289187453822</v>
      </c>
      <c r="O84" s="3">
        <v>0.86484848633765976</v>
      </c>
      <c r="P84" s="3">
        <v>0.35791585652423435</v>
      </c>
      <c r="Q84" s="3">
        <v>0</v>
      </c>
    </row>
    <row r="85" spans="1:17" x14ac:dyDescent="0.2">
      <c r="A85" s="2">
        <v>81</v>
      </c>
      <c r="B85" s="2">
        <f t="shared" ca="1" si="3"/>
        <v>0.22202468902445849</v>
      </c>
      <c r="F85" s="4">
        <v>81</v>
      </c>
      <c r="G85" s="3">
        <v>3.96</v>
      </c>
      <c r="H85" s="3">
        <v>3.4927501853143377</v>
      </c>
      <c r="I85" s="3">
        <v>3.0909987059640547</v>
      </c>
      <c r="J85" s="3">
        <v>2.8790467221456892</v>
      </c>
      <c r="K85" s="3">
        <v>2.5451766568251761</v>
      </c>
      <c r="L85" s="3">
        <v>2.1943811491420813</v>
      </c>
      <c r="M85" s="3">
        <v>1.5038743711449238</v>
      </c>
      <c r="N85" s="3">
        <v>1.0475974777714498</v>
      </c>
      <c r="O85" s="3">
        <v>0.77969159361833185</v>
      </c>
      <c r="P85" s="3">
        <v>0.21132360992386931</v>
      </c>
      <c r="Q85" s="3">
        <v>0</v>
      </c>
    </row>
    <row r="86" spans="1:17" x14ac:dyDescent="0.2">
      <c r="A86" s="2">
        <v>82</v>
      </c>
      <c r="B86" s="2">
        <f t="shared" ca="1" si="3"/>
        <v>0.84466848777548886</v>
      </c>
      <c r="F86" s="4">
        <v>82</v>
      </c>
      <c r="G86" s="3">
        <v>3.96</v>
      </c>
      <c r="H86" s="3">
        <v>3.525663834149448</v>
      </c>
      <c r="I86" s="3">
        <v>3.1048136297332891</v>
      </c>
      <c r="J86" s="3">
        <v>2.9714262326401908</v>
      </c>
      <c r="K86" s="3">
        <v>2.0448038328511098</v>
      </c>
      <c r="L86" s="3">
        <v>2.5936073663277948</v>
      </c>
      <c r="M86" s="3">
        <v>1.4969305238991615</v>
      </c>
      <c r="N86" s="3">
        <v>1.3674464891773579</v>
      </c>
      <c r="O86" s="3">
        <v>0.73135166147239172</v>
      </c>
      <c r="P86" s="3">
        <v>0.53671622370374672</v>
      </c>
      <c r="Q86" s="3">
        <v>0</v>
      </c>
    </row>
    <row r="87" spans="1:17" x14ac:dyDescent="0.2">
      <c r="A87" s="2">
        <v>83</v>
      </c>
      <c r="B87" s="2">
        <f t="shared" ca="1" si="3"/>
        <v>0.8807356447645871</v>
      </c>
      <c r="F87" s="4">
        <v>83</v>
      </c>
      <c r="G87" s="3">
        <v>3.96</v>
      </c>
      <c r="H87" s="3">
        <v>3.6651765937026255</v>
      </c>
      <c r="I87" s="3">
        <v>3.0467013036553579</v>
      </c>
      <c r="J87" s="3">
        <v>2.7769974008279839</v>
      </c>
      <c r="K87" s="3">
        <v>2.0353714498166235</v>
      </c>
      <c r="L87" s="3">
        <v>2.0231701890736402</v>
      </c>
      <c r="M87" s="3">
        <v>1.9445657194201857</v>
      </c>
      <c r="N87" s="3">
        <v>1.1548001812254696</v>
      </c>
      <c r="O87" s="3">
        <v>0.80121641353331596</v>
      </c>
      <c r="P87" s="3">
        <v>0.43681256012361208</v>
      </c>
      <c r="Q87" s="3">
        <v>0</v>
      </c>
    </row>
    <row r="88" spans="1:17" x14ac:dyDescent="0.2">
      <c r="A88" s="2">
        <v>84</v>
      </c>
      <c r="B88" s="2">
        <f t="shared" ca="1" si="3"/>
        <v>0.83486386744512031</v>
      </c>
      <c r="F88" s="4">
        <v>84</v>
      </c>
      <c r="G88" s="3">
        <v>3.96</v>
      </c>
      <c r="H88" s="3">
        <v>3.3863480476531724</v>
      </c>
      <c r="I88" s="3">
        <v>3.2743751607591918</v>
      </c>
      <c r="J88" s="3">
        <v>2.8538971845891528</v>
      </c>
      <c r="K88" s="3">
        <v>2.554996503199046</v>
      </c>
      <c r="L88" s="3">
        <v>1.7640313398729033</v>
      </c>
      <c r="M88" s="3">
        <v>1.5993736044730824</v>
      </c>
      <c r="N88" s="3">
        <v>1.1105461597749418</v>
      </c>
      <c r="O88" s="3">
        <v>0.84384208336640598</v>
      </c>
      <c r="P88" s="3">
        <v>0.33956912671831063</v>
      </c>
      <c r="Q88" s="3">
        <v>0</v>
      </c>
    </row>
    <row r="89" spans="1:17" x14ac:dyDescent="0.2">
      <c r="A89" s="2">
        <v>85</v>
      </c>
      <c r="B89" s="2">
        <f t="shared" ca="1" si="3"/>
        <v>0.23750457441039644</v>
      </c>
      <c r="F89" s="4">
        <v>85</v>
      </c>
      <c r="G89" s="3">
        <v>3.96</v>
      </c>
      <c r="H89" s="3">
        <v>3.6562575698898456</v>
      </c>
      <c r="I89" s="3">
        <v>3.2121328797895741</v>
      </c>
      <c r="J89" s="3">
        <v>2.4636496409871858</v>
      </c>
      <c r="K89" s="3">
        <v>2.1909982234355398</v>
      </c>
      <c r="L89" s="3">
        <v>2.1147438816994644</v>
      </c>
      <c r="M89" s="3">
        <v>1.9540538264127008</v>
      </c>
      <c r="N89" s="3">
        <v>1.1001041619167455</v>
      </c>
      <c r="O89" s="3">
        <v>0.72649973987717653</v>
      </c>
      <c r="P89" s="3">
        <v>0.35803194585485004</v>
      </c>
      <c r="Q89" s="3">
        <v>0</v>
      </c>
    </row>
    <row r="90" spans="1:17" x14ac:dyDescent="0.2">
      <c r="A90" s="2">
        <v>86</v>
      </c>
      <c r="B90" s="2">
        <f t="shared" ca="1" si="3"/>
        <v>-1.1754442711393085</v>
      </c>
      <c r="F90" s="4">
        <v>86</v>
      </c>
      <c r="G90" s="3">
        <v>3.96</v>
      </c>
      <c r="H90" s="3">
        <v>3.5796490032870225</v>
      </c>
      <c r="I90" s="3">
        <v>3.0784084437519685</v>
      </c>
      <c r="J90" s="3">
        <v>2.7404098941844843</v>
      </c>
      <c r="K90" s="3">
        <v>2.6864021091484798</v>
      </c>
      <c r="L90" s="3">
        <v>1.9214008507688844</v>
      </c>
      <c r="M90" s="3">
        <v>1.6976919912087631</v>
      </c>
      <c r="N90" s="3">
        <v>1.3182479726877552</v>
      </c>
      <c r="O90" s="3">
        <v>0.76006327315249644</v>
      </c>
      <c r="P90" s="3">
        <v>0.40089526995370828</v>
      </c>
      <c r="Q90" s="3">
        <v>0</v>
      </c>
    </row>
    <row r="91" spans="1:17" x14ac:dyDescent="0.2">
      <c r="A91" s="2">
        <v>87</v>
      </c>
      <c r="B91" s="2">
        <f t="shared" ca="1" si="3"/>
        <v>-3.7497648287961898</v>
      </c>
      <c r="F91" s="4">
        <v>87</v>
      </c>
      <c r="G91" s="3">
        <v>3.96</v>
      </c>
      <c r="H91" s="3">
        <v>3.5546650609613137</v>
      </c>
      <c r="I91" s="3">
        <v>3.2506368982860629</v>
      </c>
      <c r="J91" s="3">
        <v>2.7802244835334871</v>
      </c>
      <c r="K91" s="3">
        <v>2.3549299222941387</v>
      </c>
      <c r="L91" s="3">
        <v>1.8372808775299345</v>
      </c>
      <c r="M91" s="3">
        <v>1.3509635815277521</v>
      </c>
      <c r="N91" s="3">
        <v>1.1661762252894567</v>
      </c>
      <c r="O91" s="3">
        <v>0.62858374122463267</v>
      </c>
      <c r="P91" s="3">
        <v>0.33247332318120726</v>
      </c>
      <c r="Q91" s="3">
        <v>0</v>
      </c>
    </row>
    <row r="92" spans="1:17" x14ac:dyDescent="0.2">
      <c r="A92" s="2">
        <v>88</v>
      </c>
      <c r="B92" s="2">
        <f t="shared" ca="1" si="3"/>
        <v>-1.5013058744883898</v>
      </c>
      <c r="F92" s="4">
        <v>88</v>
      </c>
      <c r="G92" s="3">
        <v>3.96</v>
      </c>
      <c r="H92" s="3">
        <v>3.6243311923244632</v>
      </c>
      <c r="I92" s="3">
        <v>3.1674896037912332</v>
      </c>
      <c r="J92" s="3">
        <v>2.9929287419010766</v>
      </c>
      <c r="K92" s="3">
        <v>2.7198960927747207</v>
      </c>
      <c r="L92" s="3">
        <v>2.0882175416445623</v>
      </c>
      <c r="M92" s="3">
        <v>1.5579115026882615</v>
      </c>
      <c r="N92" s="3">
        <v>1.0575740488429244</v>
      </c>
      <c r="O92" s="3">
        <v>0.56864029588458087</v>
      </c>
      <c r="P92" s="3">
        <v>0.47892626805591376</v>
      </c>
      <c r="Q92" s="3">
        <v>0</v>
      </c>
    </row>
    <row r="93" spans="1:17" x14ac:dyDescent="0.2">
      <c r="A93" s="2">
        <v>89</v>
      </c>
      <c r="B93" s="2">
        <f t="shared" ca="1" si="3"/>
        <v>-2.9926335263501342</v>
      </c>
      <c r="F93" s="4">
        <v>89</v>
      </c>
      <c r="G93" s="3">
        <v>3.9600000000000004</v>
      </c>
      <c r="H93" s="3">
        <v>3.6664756343776825</v>
      </c>
      <c r="I93" s="3">
        <v>3.3269107803282134</v>
      </c>
      <c r="J93" s="3">
        <v>2.651987608301829</v>
      </c>
      <c r="K93" s="3">
        <v>2.966338601385297</v>
      </c>
      <c r="L93" s="3">
        <v>2.0005990781944485</v>
      </c>
      <c r="M93" s="3">
        <v>2.2408381432296371</v>
      </c>
      <c r="N93" s="3">
        <v>0.94920713631777887</v>
      </c>
      <c r="O93" s="3">
        <v>0.94767307017546365</v>
      </c>
      <c r="P93" s="3">
        <v>0.34815570601588686</v>
      </c>
      <c r="Q93" s="3">
        <v>0</v>
      </c>
    </row>
    <row r="94" spans="1:17" x14ac:dyDescent="0.2">
      <c r="A94" s="2">
        <v>90</v>
      </c>
      <c r="B94" s="2">
        <f t="shared" ca="1" si="3"/>
        <v>-0.35871466618418535</v>
      </c>
      <c r="F94" s="4">
        <v>90</v>
      </c>
      <c r="G94" s="3">
        <v>3.96</v>
      </c>
      <c r="H94" s="3">
        <v>3.428934394533377</v>
      </c>
      <c r="I94" s="3">
        <v>3.0184445202051164</v>
      </c>
      <c r="J94" s="3">
        <v>2.9338313597625327</v>
      </c>
      <c r="K94" s="3">
        <v>1.9378845619505045</v>
      </c>
      <c r="L94" s="3">
        <v>2.0303778887799613</v>
      </c>
      <c r="M94" s="3">
        <v>1.6657839001875312</v>
      </c>
      <c r="N94" s="3">
        <v>1.1091454595031509</v>
      </c>
      <c r="O94" s="3">
        <v>0.50324445871199741</v>
      </c>
      <c r="P94" s="3">
        <v>0.5343801923424244</v>
      </c>
      <c r="Q94" s="3">
        <v>0</v>
      </c>
    </row>
    <row r="95" spans="1:17" x14ac:dyDescent="0.2">
      <c r="A95" s="2">
        <v>91</v>
      </c>
      <c r="B95" s="2">
        <f t="shared" ca="1" si="3"/>
        <v>1.4432032770791934</v>
      </c>
      <c r="F95" s="4">
        <v>91</v>
      </c>
      <c r="G95" s="3">
        <v>3.96</v>
      </c>
      <c r="H95" s="3">
        <v>3.518110546462601</v>
      </c>
      <c r="I95" s="3">
        <v>3.3391625862614087</v>
      </c>
      <c r="J95" s="3">
        <v>2.5406859296117497</v>
      </c>
      <c r="K95" s="3">
        <v>2.0128804896685302</v>
      </c>
      <c r="L95" s="3">
        <v>1.7466959178084027</v>
      </c>
      <c r="M95" s="3">
        <v>1.6861549618288216</v>
      </c>
      <c r="N95" s="3">
        <v>1.5487385890030982</v>
      </c>
      <c r="O95" s="3">
        <v>0.66337006705760759</v>
      </c>
      <c r="P95" s="3">
        <v>0.3511449237067264</v>
      </c>
      <c r="Q95" s="3">
        <v>0</v>
      </c>
    </row>
    <row r="96" spans="1:17" x14ac:dyDescent="0.2">
      <c r="A96" s="2">
        <v>92</v>
      </c>
      <c r="B96" s="2">
        <f t="shared" ca="1" si="3"/>
        <v>1.7256300530723354</v>
      </c>
      <c r="F96" s="4">
        <v>92</v>
      </c>
      <c r="G96" s="3">
        <v>3.96</v>
      </c>
      <c r="H96" s="3">
        <v>3.542111953251414</v>
      </c>
      <c r="I96" s="3">
        <v>3.3541302378222819</v>
      </c>
      <c r="J96" s="3">
        <v>2.9337101499865015</v>
      </c>
      <c r="K96" s="3">
        <v>2.3034538059824041</v>
      </c>
      <c r="L96" s="3">
        <v>2.2898578790575796</v>
      </c>
      <c r="M96" s="3">
        <v>1.9885876157394746</v>
      </c>
      <c r="N96" s="3">
        <v>1.1407401733512774</v>
      </c>
      <c r="O96" s="3">
        <v>0.7945559588237302</v>
      </c>
      <c r="P96" s="3">
        <v>0.34207333879901747</v>
      </c>
      <c r="Q96" s="3">
        <v>0</v>
      </c>
    </row>
    <row r="97" spans="1:17" x14ac:dyDescent="0.2">
      <c r="A97" s="2">
        <v>93</v>
      </c>
      <c r="B97" s="2">
        <f t="shared" ca="1" si="3"/>
        <v>0.9352150365292502</v>
      </c>
      <c r="F97" s="4">
        <v>93</v>
      </c>
      <c r="G97" s="3">
        <v>3.96</v>
      </c>
      <c r="H97" s="3">
        <v>3.6789791615667897</v>
      </c>
      <c r="I97" s="3">
        <v>3.1892198698682934</v>
      </c>
      <c r="J97" s="3">
        <v>2.683793446193957</v>
      </c>
      <c r="K97" s="3">
        <v>2.4974127632607663</v>
      </c>
      <c r="L97" s="3">
        <v>1.8776578698304702</v>
      </c>
      <c r="M97" s="3">
        <v>1.493838681987695</v>
      </c>
      <c r="N97" s="3">
        <v>1.3049998405118175</v>
      </c>
      <c r="O97" s="3">
        <v>0.96965151340368683</v>
      </c>
      <c r="P97" s="3">
        <v>0.54377852702415896</v>
      </c>
      <c r="Q97" s="3">
        <v>0</v>
      </c>
    </row>
    <row r="98" spans="1:17" x14ac:dyDescent="0.2">
      <c r="A98" s="2">
        <v>94</v>
      </c>
      <c r="B98" s="2">
        <f t="shared" ca="1" si="3"/>
        <v>0.83665711657673336</v>
      </c>
      <c r="F98" s="4">
        <v>94</v>
      </c>
      <c r="G98" s="3">
        <v>3.96</v>
      </c>
      <c r="H98" s="3">
        <v>3.4297341265898078</v>
      </c>
      <c r="I98" s="3">
        <v>2.9850532935495098</v>
      </c>
      <c r="J98" s="3">
        <v>2.6140316097765655</v>
      </c>
      <c r="K98" s="3">
        <v>2.2480137501047972</v>
      </c>
      <c r="L98" s="3">
        <v>2.011554485079178</v>
      </c>
      <c r="M98" s="3">
        <v>1.5674846185996341</v>
      </c>
      <c r="N98" s="3">
        <v>0.93741210559116517</v>
      </c>
      <c r="O98" s="3">
        <v>0.82369536416894018</v>
      </c>
      <c r="P98" s="3">
        <v>0.34663947443419646</v>
      </c>
      <c r="Q98" s="3">
        <v>0</v>
      </c>
    </row>
    <row r="99" spans="1:17" x14ac:dyDescent="0.2">
      <c r="A99" s="2">
        <v>95</v>
      </c>
      <c r="B99" s="2">
        <f t="shared" ca="1" si="3"/>
        <v>-0.742638760361084</v>
      </c>
      <c r="F99" s="4">
        <v>95</v>
      </c>
      <c r="G99" s="3">
        <v>3.96</v>
      </c>
      <c r="H99" s="3">
        <v>3.6860689897028225</v>
      </c>
      <c r="I99" s="3">
        <v>2.9024317961739037</v>
      </c>
      <c r="J99" s="3">
        <v>2.7034082304191136</v>
      </c>
      <c r="K99" s="3">
        <v>2.2005116146037227</v>
      </c>
      <c r="L99" s="3">
        <v>2.2418997264288065</v>
      </c>
      <c r="M99" s="3">
        <v>1.5204758429009209</v>
      </c>
      <c r="N99" s="3">
        <v>1.119846737384351</v>
      </c>
      <c r="O99" s="3">
        <v>0.99919623525215662</v>
      </c>
      <c r="P99" s="3">
        <v>0.6558995184760259</v>
      </c>
      <c r="Q99" s="3">
        <v>0</v>
      </c>
    </row>
    <row r="100" spans="1:17" x14ac:dyDescent="0.2">
      <c r="A100" s="2">
        <v>96</v>
      </c>
      <c r="B100" s="2">
        <f t="shared" ca="1" si="3"/>
        <v>-1.1445857790920027</v>
      </c>
      <c r="F100" s="4">
        <v>96</v>
      </c>
      <c r="G100" s="3">
        <v>3.96</v>
      </c>
      <c r="H100" s="3">
        <v>3.8527896088829956</v>
      </c>
      <c r="I100" s="3">
        <v>3.2755163450201463</v>
      </c>
      <c r="J100" s="3">
        <v>2.9127329582349821</v>
      </c>
      <c r="K100" s="3">
        <v>2.2240141177886512</v>
      </c>
      <c r="L100" s="3">
        <v>1.7900932338243472</v>
      </c>
      <c r="M100" s="3">
        <v>1.6434132965409387</v>
      </c>
      <c r="N100" s="3">
        <v>0.959693253822272</v>
      </c>
      <c r="O100" s="3">
        <v>0.95881249213244479</v>
      </c>
      <c r="P100" s="3">
        <v>0.39661128204092838</v>
      </c>
      <c r="Q100" s="3">
        <v>0</v>
      </c>
    </row>
    <row r="101" spans="1:17" x14ac:dyDescent="0.2">
      <c r="A101" s="2">
        <v>97</v>
      </c>
      <c r="B101" s="2">
        <f t="shared" ca="1" si="3"/>
        <v>-0.78320207795309948</v>
      </c>
      <c r="F101" s="4">
        <v>97</v>
      </c>
      <c r="G101" s="3">
        <v>3.96</v>
      </c>
      <c r="H101" s="3">
        <v>3.6389812559784525</v>
      </c>
      <c r="I101" s="3">
        <v>3.397379361194373</v>
      </c>
      <c r="J101" s="3">
        <v>2.8447075878599661</v>
      </c>
      <c r="K101" s="3">
        <v>2.1890029379442528</v>
      </c>
      <c r="L101" s="3">
        <v>1.9592656254214791</v>
      </c>
      <c r="M101" s="3">
        <v>1.8544908360124901</v>
      </c>
      <c r="N101" s="3">
        <v>1.3208941740629834</v>
      </c>
      <c r="O101" s="3">
        <v>0.52977161418555241</v>
      </c>
      <c r="P101" s="3">
        <v>0.36494398015765162</v>
      </c>
      <c r="Q101" s="3">
        <v>0</v>
      </c>
    </row>
    <row r="102" spans="1:17" x14ac:dyDescent="0.2">
      <c r="A102" s="2">
        <v>98</v>
      </c>
      <c r="B102" s="2">
        <f t="shared" ca="1" si="3"/>
        <v>0.1907344091927522</v>
      </c>
      <c r="F102" s="4">
        <v>98</v>
      </c>
      <c r="G102" s="3">
        <v>3.96</v>
      </c>
      <c r="H102" s="3">
        <v>3.6883390260847704</v>
      </c>
      <c r="I102" s="3">
        <v>3.1903506186112502</v>
      </c>
      <c r="J102" s="3">
        <v>2.7704252287260549</v>
      </c>
      <c r="K102" s="3">
        <v>2.2905192311189437</v>
      </c>
      <c r="L102" s="3">
        <v>2.0912990390917114</v>
      </c>
      <c r="M102" s="3">
        <v>1.0726503363097692</v>
      </c>
      <c r="N102" s="3">
        <v>1.1335310994430619</v>
      </c>
      <c r="O102" s="3">
        <v>0.99003957651003471</v>
      </c>
      <c r="P102" s="3">
        <v>0.49232645265503666</v>
      </c>
      <c r="Q102" s="3">
        <v>0</v>
      </c>
    </row>
    <row r="103" spans="1:17" x14ac:dyDescent="0.2">
      <c r="A103" s="2">
        <v>99</v>
      </c>
      <c r="B103" s="2">
        <f t="shared" ca="1" si="3"/>
        <v>0.87480755655747044</v>
      </c>
      <c r="F103" s="4">
        <v>99</v>
      </c>
      <c r="G103" s="3">
        <v>3.96</v>
      </c>
      <c r="H103" s="3">
        <v>3.5837631274023511</v>
      </c>
      <c r="I103" s="3">
        <v>3.2085858470748678</v>
      </c>
      <c r="J103" s="3">
        <v>2.6779807314379798</v>
      </c>
      <c r="K103" s="3">
        <v>2.6127531428511745</v>
      </c>
      <c r="L103" s="3">
        <v>1.731045493200559</v>
      </c>
      <c r="M103" s="3">
        <v>1.4026933985713299</v>
      </c>
      <c r="N103" s="3">
        <v>0.98724399628808557</v>
      </c>
      <c r="O103" s="3">
        <v>0.96434758408909205</v>
      </c>
      <c r="P103" s="3">
        <v>0.26200225642546898</v>
      </c>
      <c r="Q103" s="3">
        <v>0</v>
      </c>
    </row>
    <row r="104" spans="1:17" x14ac:dyDescent="0.2">
      <c r="A104" s="2">
        <v>100</v>
      </c>
      <c r="B104" s="2">
        <f t="shared" ca="1" si="3"/>
        <v>1.0412886179871004</v>
      </c>
      <c r="F104" s="4">
        <v>100</v>
      </c>
      <c r="G104" s="3">
        <v>3.96</v>
      </c>
      <c r="H104" s="3">
        <v>3.6833604679008656</v>
      </c>
      <c r="I104" s="3">
        <v>3.2840181119619731</v>
      </c>
      <c r="J104" s="3">
        <v>2.768993411481067</v>
      </c>
      <c r="K104" s="3">
        <v>2.4844896345297456</v>
      </c>
      <c r="L104" s="3">
        <v>2.1730047572440463</v>
      </c>
      <c r="M104" s="3">
        <v>1.7883689361192865</v>
      </c>
      <c r="N104" s="3">
        <v>1.2643359219323012</v>
      </c>
      <c r="O104" s="3">
        <v>1.0859100129665373</v>
      </c>
      <c r="P104" s="3">
        <v>0.57992319523573566</v>
      </c>
      <c r="Q104" s="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83</v>
      </c>
    </row>
    <row r="2" spans="1:1" x14ac:dyDescent="0.3">
      <c r="A2" s="1" t="s">
        <v>84</v>
      </c>
    </row>
    <row r="3" spans="1:1" x14ac:dyDescent="0.3">
      <c r="A3" s="1" t="s">
        <v>85</v>
      </c>
    </row>
    <row r="4" spans="1:1" x14ac:dyDescent="0.3">
      <c r="A4" s="1" t="s">
        <v>86</v>
      </c>
    </row>
    <row r="5" spans="1:1" x14ac:dyDescent="0.3">
      <c r="A5" s="1" t="s">
        <v>87</v>
      </c>
    </row>
    <row r="6" spans="1:1" x14ac:dyDescent="0.3">
      <c r="A6" s="1" t="s">
        <v>88</v>
      </c>
    </row>
    <row r="7" spans="1:1" x14ac:dyDescent="0.3">
      <c r="A7" s="1" t="s">
        <v>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7" t="s">
        <v>74</v>
      </c>
      <c r="C2" s="16" t="s">
        <v>73</v>
      </c>
      <c r="D2" s="16" t="s">
        <v>72</v>
      </c>
      <c r="E2" s="16" t="s">
        <v>71</v>
      </c>
    </row>
    <row r="3" spans="2:5" x14ac:dyDescent="0.3">
      <c r="B3" s="1" t="s">
        <v>70</v>
      </c>
      <c r="C3" s="15">
        <f t="shared" ref="C3:C22" ca="1" si="0">RAND()</f>
        <v>0.42265224330820728</v>
      </c>
      <c r="D3" s="15">
        <f t="shared" ref="D3:D12" ca="1" si="1">C3+RAND()*(1-C3)</f>
        <v>0.73716018988913956</v>
      </c>
      <c r="E3" s="15"/>
    </row>
    <row r="4" spans="2:5" x14ac:dyDescent="0.3">
      <c r="B4" s="1" t="s">
        <v>70</v>
      </c>
      <c r="C4" s="15">
        <f t="shared" ca="1" si="0"/>
        <v>0.14967611693606642</v>
      </c>
      <c r="D4" s="15">
        <f t="shared" ca="1" si="1"/>
        <v>0.35773177335187678</v>
      </c>
      <c r="E4" s="15"/>
    </row>
    <row r="5" spans="2:5" x14ac:dyDescent="0.3">
      <c r="B5" s="1" t="s">
        <v>70</v>
      </c>
      <c r="C5" s="15">
        <f t="shared" ca="1" si="0"/>
        <v>1.8119927369937283E-2</v>
      </c>
      <c r="D5" s="15">
        <f t="shared" ca="1" si="1"/>
        <v>0.75138941119441616</v>
      </c>
      <c r="E5" s="15"/>
    </row>
    <row r="6" spans="2:5" x14ac:dyDescent="0.3">
      <c r="B6" s="1" t="s">
        <v>70</v>
      </c>
      <c r="C6" s="15">
        <f t="shared" ca="1" si="0"/>
        <v>0.30439720881414933</v>
      </c>
      <c r="D6" s="15">
        <f t="shared" ca="1" si="1"/>
        <v>0.78555796418593848</v>
      </c>
      <c r="E6" s="15"/>
    </row>
    <row r="7" spans="2:5" x14ac:dyDescent="0.3">
      <c r="B7" s="1" t="s">
        <v>70</v>
      </c>
      <c r="C7" s="15">
        <f t="shared" ca="1" si="0"/>
        <v>0.97960208579906971</v>
      </c>
      <c r="D7" s="15">
        <f t="shared" ca="1" si="1"/>
        <v>0.99037330533965573</v>
      </c>
      <c r="E7" s="15"/>
    </row>
    <row r="8" spans="2:5" x14ac:dyDescent="0.3">
      <c r="B8" s="1" t="s">
        <v>70</v>
      </c>
      <c r="C8" s="15">
        <f t="shared" ca="1" si="0"/>
        <v>0.77113108430992328</v>
      </c>
      <c r="D8" s="15">
        <f t="shared" ca="1" si="1"/>
        <v>0.99118793950640371</v>
      </c>
      <c r="E8" s="15"/>
    </row>
    <row r="9" spans="2:5" x14ac:dyDescent="0.3">
      <c r="B9" s="1" t="s">
        <v>70</v>
      </c>
      <c r="C9" s="15">
        <f t="shared" ca="1" si="0"/>
        <v>0.71813211779702701</v>
      </c>
      <c r="D9" s="15">
        <f t="shared" ca="1" si="1"/>
        <v>0.9343759901819213</v>
      </c>
      <c r="E9" s="15"/>
    </row>
    <row r="10" spans="2:5" x14ac:dyDescent="0.3">
      <c r="B10" s="1" t="s">
        <v>70</v>
      </c>
      <c r="C10" s="15">
        <f t="shared" ca="1" si="0"/>
        <v>0.74375577994707476</v>
      </c>
      <c r="D10" s="15">
        <f t="shared" ca="1" si="1"/>
        <v>0.82211454983467647</v>
      </c>
      <c r="E10" s="15"/>
    </row>
    <row r="11" spans="2:5" x14ac:dyDescent="0.3">
      <c r="B11" s="1" t="s">
        <v>70</v>
      </c>
      <c r="C11" s="15">
        <f t="shared" ca="1" si="0"/>
        <v>0.64619696751917266</v>
      </c>
      <c r="D11" s="15">
        <f t="shared" ca="1" si="1"/>
        <v>0.92551596331529473</v>
      </c>
      <c r="E11" s="15"/>
    </row>
    <row r="12" spans="2:5" x14ac:dyDescent="0.3">
      <c r="B12" s="1" t="s">
        <v>70</v>
      </c>
      <c r="C12" s="15">
        <f t="shared" ca="1" si="0"/>
        <v>0.81859915451654763</v>
      </c>
      <c r="D12" s="15">
        <f t="shared" ca="1" si="1"/>
        <v>0.93595136638886089</v>
      </c>
      <c r="E12" s="15"/>
    </row>
    <row r="13" spans="2:5" x14ac:dyDescent="0.3">
      <c r="B13" s="1" t="s">
        <v>69</v>
      </c>
      <c r="C13" s="15">
        <f t="shared" ca="1" si="0"/>
        <v>0.93749051037476638</v>
      </c>
      <c r="D13" s="15"/>
      <c r="E13" s="15">
        <f t="shared" ref="E13:E22" ca="1" si="2">RAND()*C13</f>
        <v>0.79429573612084214</v>
      </c>
    </row>
    <row r="14" spans="2:5" x14ac:dyDescent="0.3">
      <c r="B14" s="1" t="s">
        <v>69</v>
      </c>
      <c r="C14" s="15">
        <f t="shared" ca="1" si="0"/>
        <v>0.47907683082065344</v>
      </c>
      <c r="D14" s="15"/>
      <c r="E14" s="15">
        <f t="shared" ca="1" si="2"/>
        <v>0.31618889002211731</v>
      </c>
    </row>
    <row r="15" spans="2:5" x14ac:dyDescent="0.3">
      <c r="B15" s="1" t="s">
        <v>69</v>
      </c>
      <c r="C15" s="15">
        <f t="shared" ca="1" si="0"/>
        <v>0.34802838444174855</v>
      </c>
      <c r="D15" s="15"/>
      <c r="E15" s="15">
        <f t="shared" ca="1" si="2"/>
        <v>0.21080411998470672</v>
      </c>
    </row>
    <row r="16" spans="2:5" x14ac:dyDescent="0.3">
      <c r="B16" s="1" t="s">
        <v>69</v>
      </c>
      <c r="C16" s="15">
        <f t="shared" ca="1" si="0"/>
        <v>0.32126957112847332</v>
      </c>
      <c r="D16" s="15"/>
      <c r="E16" s="15">
        <f t="shared" ca="1" si="2"/>
        <v>0.20912711280816665</v>
      </c>
    </row>
    <row r="17" spans="2:5" x14ac:dyDescent="0.3">
      <c r="B17" s="1" t="s">
        <v>69</v>
      </c>
      <c r="C17" s="15">
        <f t="shared" ca="1" si="0"/>
        <v>0.18595664336827467</v>
      </c>
      <c r="D17" s="15"/>
      <c r="E17" s="15">
        <f t="shared" ca="1" si="2"/>
        <v>0.17924638710721225</v>
      </c>
    </row>
    <row r="18" spans="2:5" x14ac:dyDescent="0.3">
      <c r="B18" s="1" t="s">
        <v>69</v>
      </c>
      <c r="C18" s="15">
        <f t="shared" ca="1" si="0"/>
        <v>0.94023107660075866</v>
      </c>
      <c r="D18" s="15"/>
      <c r="E18" s="15">
        <f t="shared" ca="1" si="2"/>
        <v>0.195422495110879</v>
      </c>
    </row>
    <row r="19" spans="2:5" x14ac:dyDescent="0.3">
      <c r="B19" s="1" t="s">
        <v>69</v>
      </c>
      <c r="C19" s="15">
        <f t="shared" ca="1" si="0"/>
        <v>0.10355857539155822</v>
      </c>
      <c r="D19" s="15"/>
      <c r="E19" s="15">
        <f t="shared" ca="1" si="2"/>
        <v>1.2662557067194045E-2</v>
      </c>
    </row>
    <row r="20" spans="2:5" x14ac:dyDescent="0.3">
      <c r="B20" s="1" t="s">
        <v>69</v>
      </c>
      <c r="C20" s="15">
        <f t="shared" ca="1" si="0"/>
        <v>0.5319546241221077</v>
      </c>
      <c r="D20" s="15"/>
      <c r="E20" s="15">
        <f t="shared" ca="1" si="2"/>
        <v>0.39156530497078673</v>
      </c>
    </row>
    <row r="21" spans="2:5" x14ac:dyDescent="0.3">
      <c r="B21" s="1" t="s">
        <v>69</v>
      </c>
      <c r="C21" s="15">
        <f t="shared" ca="1" si="0"/>
        <v>1.2797356352172162E-3</v>
      </c>
      <c r="D21" s="15"/>
      <c r="E21" s="15">
        <f t="shared" ca="1" si="2"/>
        <v>3.1242441944968465E-5</v>
      </c>
    </row>
    <row r="22" spans="2:5" x14ac:dyDescent="0.3">
      <c r="B22" s="1" t="s">
        <v>69</v>
      </c>
      <c r="C22" s="15">
        <f t="shared" ca="1" si="0"/>
        <v>0.58679639598752431</v>
      </c>
      <c r="D22" s="15"/>
      <c r="E22" s="15">
        <f t="shared" ca="1" si="2"/>
        <v>0.53246175409932217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7" t="s">
        <v>74</v>
      </c>
      <c r="C2" s="16" t="s">
        <v>73</v>
      </c>
      <c r="D2" s="16" t="s">
        <v>72</v>
      </c>
      <c r="E2" s="16" t="s">
        <v>71</v>
      </c>
      <c r="F2" s="1" t="s">
        <v>78</v>
      </c>
    </row>
    <row r="3" spans="2:6" x14ac:dyDescent="0.3">
      <c r="B3" s="1" t="s">
        <v>70</v>
      </c>
      <c r="C3" s="15">
        <f t="shared" ref="C3:C25" ca="1" si="0">RAND()</f>
        <v>0.47712519022322475</v>
      </c>
      <c r="D3" s="15">
        <f t="shared" ref="D3:D12" ca="1" si="1">C3+RAND()*(1-C3)</f>
        <v>0.84253185653130158</v>
      </c>
      <c r="E3" s="15"/>
    </row>
    <row r="4" spans="2:6" x14ac:dyDescent="0.3">
      <c r="B4" s="1" t="s">
        <v>70</v>
      </c>
      <c r="C4" s="15">
        <f t="shared" ca="1" si="0"/>
        <v>0.43230287402069101</v>
      </c>
      <c r="D4" s="15">
        <f t="shared" ca="1" si="1"/>
        <v>0.87154377680934703</v>
      </c>
      <c r="E4" s="15"/>
    </row>
    <row r="5" spans="2:6" x14ac:dyDescent="0.3">
      <c r="B5" s="1" t="s">
        <v>70</v>
      </c>
      <c r="C5" s="15">
        <f t="shared" ca="1" si="0"/>
        <v>0.3594385627953165</v>
      </c>
      <c r="D5" s="15">
        <f t="shared" ca="1" si="1"/>
        <v>0.83080495017424516</v>
      </c>
      <c r="E5" s="15"/>
    </row>
    <row r="6" spans="2:6" x14ac:dyDescent="0.3">
      <c r="B6" s="1" t="s">
        <v>70</v>
      </c>
      <c r="C6" s="15">
        <f t="shared" ca="1" si="0"/>
        <v>0.14200958695760424</v>
      </c>
      <c r="D6" s="15">
        <f t="shared" ca="1" si="1"/>
        <v>0.68329358329372614</v>
      </c>
      <c r="E6" s="15"/>
    </row>
    <row r="7" spans="2:6" x14ac:dyDescent="0.3">
      <c r="B7" s="1" t="s">
        <v>70</v>
      </c>
      <c r="C7" s="15">
        <f t="shared" ca="1" si="0"/>
        <v>0.27491339477236276</v>
      </c>
      <c r="D7" s="15">
        <f t="shared" ca="1" si="1"/>
        <v>0.5074022080501791</v>
      </c>
      <c r="E7" s="15"/>
    </row>
    <row r="8" spans="2:6" x14ac:dyDescent="0.3">
      <c r="B8" s="1" t="s">
        <v>70</v>
      </c>
      <c r="C8" s="15">
        <f t="shared" ca="1" si="0"/>
        <v>0.14001770492651133</v>
      </c>
      <c r="D8" s="15">
        <f t="shared" ca="1" si="1"/>
        <v>0.67518851553933434</v>
      </c>
      <c r="E8" s="15"/>
    </row>
    <row r="9" spans="2:6" x14ac:dyDescent="0.3">
      <c r="B9" s="1" t="s">
        <v>70</v>
      </c>
      <c r="C9" s="15">
        <f t="shared" ca="1" si="0"/>
        <v>0.60096325660888383</v>
      </c>
      <c r="D9" s="15">
        <f t="shared" ca="1" si="1"/>
        <v>0.95208651290728896</v>
      </c>
      <c r="E9" s="15"/>
    </row>
    <row r="10" spans="2:6" x14ac:dyDescent="0.3">
      <c r="B10" s="1" t="s">
        <v>70</v>
      </c>
      <c r="C10" s="15">
        <f t="shared" ca="1" si="0"/>
        <v>0.67837178242626761</v>
      </c>
      <c r="D10" s="15">
        <f t="shared" ca="1" si="1"/>
        <v>0.80929238454007368</v>
      </c>
      <c r="E10" s="15"/>
    </row>
    <row r="11" spans="2:6" x14ac:dyDescent="0.3">
      <c r="B11" s="1" t="s">
        <v>70</v>
      </c>
      <c r="C11" s="15">
        <f t="shared" ca="1" si="0"/>
        <v>9.9963198447342694E-2</v>
      </c>
      <c r="D11" s="15">
        <f t="shared" ca="1" si="1"/>
        <v>0.13622180356542174</v>
      </c>
      <c r="E11" s="15"/>
    </row>
    <row r="12" spans="2:6" x14ac:dyDescent="0.3">
      <c r="B12" s="1" t="s">
        <v>70</v>
      </c>
      <c r="C12" s="15">
        <f t="shared" ca="1" si="0"/>
        <v>0.2414302693263678</v>
      </c>
      <c r="D12" s="15">
        <f t="shared" ca="1" si="1"/>
        <v>0.49204040392860787</v>
      </c>
      <c r="E12" s="15"/>
    </row>
    <row r="13" spans="2:6" x14ac:dyDescent="0.3">
      <c r="B13" s="1" t="s">
        <v>69</v>
      </c>
      <c r="C13" s="15">
        <f t="shared" ca="1" si="0"/>
        <v>5.6611858510863367E-2</v>
      </c>
      <c r="D13" s="15"/>
      <c r="E13" s="15">
        <f t="shared" ref="E13:E22" ca="1" si="2">RAND()*C13</f>
        <v>1.450453359992095E-2</v>
      </c>
    </row>
    <row r="14" spans="2:6" x14ac:dyDescent="0.3">
      <c r="B14" s="1" t="s">
        <v>69</v>
      </c>
      <c r="C14" s="15">
        <f t="shared" ca="1" si="0"/>
        <v>0.28234797225515529</v>
      </c>
      <c r="D14" s="15"/>
      <c r="E14" s="15">
        <f t="shared" ca="1" si="2"/>
        <v>0.14603637133119637</v>
      </c>
    </row>
    <row r="15" spans="2:6" x14ac:dyDescent="0.3">
      <c r="B15" s="1" t="s">
        <v>69</v>
      </c>
      <c r="C15" s="15">
        <f t="shared" ca="1" si="0"/>
        <v>0.58300967865405651</v>
      </c>
      <c r="D15" s="15"/>
      <c r="E15" s="15">
        <f t="shared" ca="1" si="2"/>
        <v>0.53764337153804709</v>
      </c>
    </row>
    <row r="16" spans="2:6" x14ac:dyDescent="0.3">
      <c r="B16" s="1" t="s">
        <v>69</v>
      </c>
      <c r="C16" s="15">
        <f t="shared" ca="1" si="0"/>
        <v>0.35989468343013775</v>
      </c>
      <c r="D16" s="15"/>
      <c r="E16" s="15">
        <f t="shared" ca="1" si="2"/>
        <v>0.30773534333285535</v>
      </c>
    </row>
    <row r="17" spans="2:6" x14ac:dyDescent="0.3">
      <c r="B17" s="1" t="s">
        <v>69</v>
      </c>
      <c r="C17" s="15">
        <f t="shared" ca="1" si="0"/>
        <v>0.98005216374856574</v>
      </c>
      <c r="D17" s="15"/>
      <c r="E17" s="15">
        <f t="shared" ca="1" si="2"/>
        <v>0.15660267709506717</v>
      </c>
    </row>
    <row r="18" spans="2:6" x14ac:dyDescent="0.3">
      <c r="B18" s="1" t="s">
        <v>69</v>
      </c>
      <c r="C18" s="15">
        <f t="shared" ca="1" si="0"/>
        <v>2.0425301004436847E-2</v>
      </c>
      <c r="D18" s="15"/>
      <c r="E18" s="15">
        <f t="shared" ca="1" si="2"/>
        <v>1.7496787522241253E-2</v>
      </c>
    </row>
    <row r="19" spans="2:6" x14ac:dyDescent="0.3">
      <c r="B19" s="1" t="s">
        <v>69</v>
      </c>
      <c r="C19" s="15">
        <f t="shared" ca="1" si="0"/>
        <v>0.95612306419634319</v>
      </c>
      <c r="D19" s="15"/>
      <c r="E19" s="15">
        <f t="shared" ca="1" si="2"/>
        <v>0.20667310523976365</v>
      </c>
    </row>
    <row r="20" spans="2:6" x14ac:dyDescent="0.3">
      <c r="B20" s="1" t="s">
        <v>69</v>
      </c>
      <c r="C20" s="15">
        <f t="shared" ca="1" si="0"/>
        <v>0.70192952477890835</v>
      </c>
      <c r="D20" s="15"/>
      <c r="E20" s="15">
        <f t="shared" ca="1" si="2"/>
        <v>0.65403815502588258</v>
      </c>
    </row>
    <row r="21" spans="2:6" x14ac:dyDescent="0.3">
      <c r="B21" s="1" t="s">
        <v>69</v>
      </c>
      <c r="C21" s="15">
        <f t="shared" ca="1" si="0"/>
        <v>0.10428947778942721</v>
      </c>
      <c r="D21" s="15"/>
      <c r="E21" s="15">
        <f t="shared" ca="1" si="2"/>
        <v>9.8088532630911815E-2</v>
      </c>
    </row>
    <row r="22" spans="2:6" x14ac:dyDescent="0.3">
      <c r="B22" s="1" t="s">
        <v>69</v>
      </c>
      <c r="C22" s="15">
        <f t="shared" ca="1" si="0"/>
        <v>0.91383313124661969</v>
      </c>
      <c r="D22" s="15"/>
      <c r="E22" s="15">
        <f t="shared" ca="1" si="2"/>
        <v>0.35140032043791425</v>
      </c>
    </row>
    <row r="23" spans="2:6" x14ac:dyDescent="0.3">
      <c r="B23" s="1" t="s">
        <v>77</v>
      </c>
      <c r="C23" s="15">
        <f t="shared" ca="1" si="0"/>
        <v>0.32359234320162111</v>
      </c>
      <c r="F23" s="15">
        <f ca="1">RAND()</f>
        <v>4.3990682765641109E-3</v>
      </c>
    </row>
    <row r="24" spans="2:6" x14ac:dyDescent="0.3">
      <c r="B24" s="1" t="s">
        <v>76</v>
      </c>
      <c r="C24" s="15">
        <f t="shared" ca="1" si="0"/>
        <v>0.92843949114738489</v>
      </c>
      <c r="F24" s="15">
        <f ca="1">RAND()</f>
        <v>0.37298515613453009</v>
      </c>
    </row>
    <row r="25" spans="2:6" x14ac:dyDescent="0.3">
      <c r="B25" s="1" t="s">
        <v>75</v>
      </c>
      <c r="C25" s="15">
        <f t="shared" ca="1" si="0"/>
        <v>3.2673700905822001E-3</v>
      </c>
      <c r="F25" s="15">
        <f ca="1">RAND()</f>
        <v>0.94607556677656357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>
      <selection activeCell="C3" sqref="C3:F22"/>
    </sheetView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7" t="s">
        <v>74</v>
      </c>
      <c r="C2" s="16" t="s">
        <v>73</v>
      </c>
      <c r="D2" s="16" t="s">
        <v>72</v>
      </c>
      <c r="E2" s="16" t="s">
        <v>71</v>
      </c>
      <c r="F2" s="1" t="s">
        <v>78</v>
      </c>
      <c r="G2" s="19" t="s">
        <v>81</v>
      </c>
      <c r="H2" s="19" t="s">
        <v>80</v>
      </c>
      <c r="I2" s="18" t="s">
        <v>79</v>
      </c>
    </row>
    <row r="3" spans="2:9" x14ac:dyDescent="0.3">
      <c r="B3" s="1" t="s">
        <v>70</v>
      </c>
      <c r="C3" s="15">
        <f t="shared" ref="C3:C25" ca="1" si="0">RAND()</f>
        <v>0.39512046539976708</v>
      </c>
      <c r="D3" s="15">
        <f t="shared" ref="D3:D12" ca="1" si="1">C3+RAND()*(1-C3)</f>
        <v>0.69972412575117648</v>
      </c>
      <c r="E3" s="15"/>
      <c r="G3" s="15">
        <f t="shared" ref="G3:G12" ca="1" si="2">SUMSQ($C3-$C$23,$D3-$F$23)</f>
        <v>0.33924425851752338</v>
      </c>
      <c r="H3" s="15">
        <f t="shared" ref="H3:H12" ca="1" si="3">SUMSQ($C3-$C$24,$D3-$F$24)</f>
        <v>0.20403709974017803</v>
      </c>
      <c r="I3" s="15">
        <f t="shared" ref="I3:I12" ca="1" si="4">SUMSQ($C3-$C$25,$D3-$F$25)</f>
        <v>0.23244078466969423</v>
      </c>
    </row>
    <row r="4" spans="2:9" x14ac:dyDescent="0.3">
      <c r="B4" s="1" t="s">
        <v>70</v>
      </c>
      <c r="C4" s="15">
        <f t="shared" ca="1" si="0"/>
        <v>0.93237247415860702</v>
      </c>
      <c r="D4" s="15">
        <f t="shared" ca="1" si="1"/>
        <v>0.94026658470153524</v>
      </c>
      <c r="E4" s="15"/>
      <c r="G4" s="15">
        <f t="shared" ca="1" si="2"/>
        <v>9.1765545430361653E-2</v>
      </c>
      <c r="H4" s="15">
        <f t="shared" ca="1" si="3"/>
        <v>3.4935643805751572E-2</v>
      </c>
      <c r="I4" s="15">
        <f t="shared" ca="1" si="4"/>
        <v>0.20252976053183347</v>
      </c>
    </row>
    <row r="5" spans="2:9" x14ac:dyDescent="0.3">
      <c r="B5" s="1" t="s">
        <v>70</v>
      </c>
      <c r="C5" s="15">
        <f t="shared" ca="1" si="0"/>
        <v>0.74017999362490883</v>
      </c>
      <c r="D5" s="15">
        <f t="shared" ca="1" si="1"/>
        <v>0.89714870385026524</v>
      </c>
      <c r="E5" s="15"/>
      <c r="G5" s="15">
        <f t="shared" ca="1" si="2"/>
        <v>0.12089692177592452</v>
      </c>
      <c r="H5" s="15">
        <f t="shared" ca="1" si="3"/>
        <v>6.8919693813280841E-3</v>
      </c>
      <c r="I5" s="15">
        <f t="shared" ca="1" si="4"/>
        <v>0.16578725716687756</v>
      </c>
    </row>
    <row r="6" spans="2:9" x14ac:dyDescent="0.3">
      <c r="B6" s="1" t="s">
        <v>70</v>
      </c>
      <c r="C6" s="15">
        <f t="shared" ca="1" si="0"/>
        <v>0.41110545462069259</v>
      </c>
      <c r="D6" s="15">
        <f t="shared" ca="1" si="1"/>
        <v>0.65422667315947947</v>
      </c>
      <c r="E6" s="15"/>
      <c r="G6" s="15">
        <f t="shared" ca="1" si="2"/>
        <v>0.31763759682455261</v>
      </c>
      <c r="H6" s="15">
        <f t="shared" ca="1" si="3"/>
        <v>0.22049775745014469</v>
      </c>
      <c r="I6" s="15">
        <f t="shared" ca="1" si="4"/>
        <v>0.20264249875759913</v>
      </c>
    </row>
    <row r="7" spans="2:9" x14ac:dyDescent="0.3">
      <c r="B7" s="1" t="s">
        <v>70</v>
      </c>
      <c r="C7" s="15">
        <f t="shared" ca="1" si="0"/>
        <v>0.50318726939296421</v>
      </c>
      <c r="D7" s="15">
        <f t="shared" ca="1" si="1"/>
        <v>0.72650256144221848</v>
      </c>
      <c r="E7" s="15"/>
      <c r="G7" s="15">
        <f t="shared" ca="1" si="2"/>
        <v>0.22959400742797467</v>
      </c>
      <c r="H7" s="15">
        <f t="shared" ca="1" si="3"/>
        <v>0.12481575704387909</v>
      </c>
      <c r="I7" s="15">
        <f t="shared" ca="1" si="4"/>
        <v>0.1605361129702074</v>
      </c>
    </row>
    <row r="8" spans="2:9" x14ac:dyDescent="0.3">
      <c r="B8" s="1" t="s">
        <v>70</v>
      </c>
      <c r="C8" s="15">
        <f t="shared" ca="1" si="0"/>
        <v>0.2024502455978695</v>
      </c>
      <c r="D8" s="15">
        <f t="shared" ca="1" si="1"/>
        <v>0.2608721341918589</v>
      </c>
      <c r="E8" s="15"/>
      <c r="G8" s="15">
        <f t="shared" ca="1" si="2"/>
        <v>0.74005628516306643</v>
      </c>
      <c r="H8" s="15">
        <f t="shared" ca="1" si="3"/>
        <v>0.81603508951764936</v>
      </c>
      <c r="I8" s="15">
        <f t="shared" ca="1" si="4"/>
        <v>0.45702763021907217</v>
      </c>
    </row>
    <row r="9" spans="2:9" x14ac:dyDescent="0.3">
      <c r="B9" s="1" t="s">
        <v>70</v>
      </c>
      <c r="C9" s="15">
        <f t="shared" ca="1" si="0"/>
        <v>0.4054380605339345</v>
      </c>
      <c r="D9" s="15">
        <f t="shared" ca="1" si="1"/>
        <v>0.82522310145285915</v>
      </c>
      <c r="E9" s="15"/>
      <c r="G9" s="15">
        <f t="shared" ca="1" si="2"/>
        <v>0.3580634969506436</v>
      </c>
      <c r="H9" s="15">
        <f t="shared" ca="1" si="3"/>
        <v>0.14232331278147453</v>
      </c>
      <c r="I9" s="15">
        <f t="shared" ca="1" si="4"/>
        <v>0.28910488637557635</v>
      </c>
    </row>
    <row r="10" spans="2:9" x14ac:dyDescent="0.3">
      <c r="B10" s="1" t="s">
        <v>70</v>
      </c>
      <c r="C10" s="15">
        <f t="shared" ca="1" si="0"/>
        <v>0.341313446562865</v>
      </c>
      <c r="D10" s="15">
        <f t="shared" ca="1" si="1"/>
        <v>0.79575046502512103</v>
      </c>
      <c r="E10" s="15"/>
      <c r="G10" s="15">
        <f t="shared" ca="1" si="2"/>
        <v>0.42512805789003916</v>
      </c>
      <c r="H10" s="15">
        <f t="shared" ca="1" si="3"/>
        <v>0.20055037267029047</v>
      </c>
      <c r="I10" s="15">
        <f t="shared" ca="1" si="4"/>
        <v>0.32998898340214933</v>
      </c>
    </row>
    <row r="11" spans="2:9" x14ac:dyDescent="0.3">
      <c r="B11" s="1" t="s">
        <v>70</v>
      </c>
      <c r="C11" s="15">
        <f t="shared" ca="1" si="0"/>
        <v>0.8413006540736353</v>
      </c>
      <c r="D11" s="15">
        <f t="shared" ca="1" si="1"/>
        <v>0.87184992777116033</v>
      </c>
      <c r="E11" s="15"/>
      <c r="G11" s="15">
        <f t="shared" ca="1" si="2"/>
        <v>7.1371152507667096E-2</v>
      </c>
      <c r="H11" s="15">
        <f t="shared" ca="1" si="3"/>
        <v>2.0014731150408402E-2</v>
      </c>
      <c r="I11" s="15">
        <f t="shared" ca="1" si="4"/>
        <v>0.13755607999746572</v>
      </c>
    </row>
    <row r="12" spans="2:9" x14ac:dyDescent="0.3">
      <c r="B12" s="1" t="s">
        <v>70</v>
      </c>
      <c r="C12" s="15">
        <f t="shared" ca="1" si="0"/>
        <v>0.37864932580838095</v>
      </c>
      <c r="D12" s="15">
        <f t="shared" ca="1" si="1"/>
        <v>0.57886861286307068</v>
      </c>
      <c r="E12" s="15"/>
      <c r="G12" s="15">
        <f t="shared" ca="1" si="2"/>
        <v>0.35884162152491478</v>
      </c>
      <c r="H12" s="15">
        <f t="shared" ca="1" si="3"/>
        <v>0.29824852941149349</v>
      </c>
      <c r="I12" s="15">
        <f t="shared" ca="1" si="4"/>
        <v>0.21376192554698284</v>
      </c>
    </row>
    <row r="13" spans="2:9" x14ac:dyDescent="0.3">
      <c r="B13" s="1" t="s">
        <v>69</v>
      </c>
      <c r="C13" s="15">
        <f t="shared" ca="1" si="0"/>
        <v>0.19171901896486088</v>
      </c>
      <c r="D13" s="15"/>
      <c r="E13" s="15">
        <f t="shared" ref="E13:E22" ca="1" si="5">RAND()*C13</f>
        <v>0.10894061911316753</v>
      </c>
      <c r="G13" s="15">
        <f t="shared" ref="G13:G22" ca="1" si="6">SUMSQ(C13-$C$23,E13-$F$23)</f>
        <v>0.89511500771084263</v>
      </c>
      <c r="H13" s="15">
        <f t="shared" ref="H13:H22" ca="1" si="7">SUMSQ($C13-$C$24,$E13-$F$24)</f>
        <v>1.0693799798697219</v>
      </c>
      <c r="I13" s="15">
        <f t="shared" ref="I13:I22" ca="1" si="8">SUMSQ($C13-$C$25,$E13-$F$25)</f>
        <v>0.56676373603089381</v>
      </c>
    </row>
    <row r="14" spans="2:9" x14ac:dyDescent="0.3">
      <c r="B14" s="1" t="s">
        <v>69</v>
      </c>
      <c r="C14" s="15">
        <f t="shared" ca="1" si="0"/>
        <v>0.50325376393212196</v>
      </c>
      <c r="D14" s="15"/>
      <c r="E14" s="15">
        <f t="shared" ca="1" si="5"/>
        <v>0.46033167075759651</v>
      </c>
      <c r="G14" s="15">
        <f t="shared" ca="1" si="6"/>
        <v>0.25448138583137303</v>
      </c>
      <c r="H14" s="15">
        <f t="shared" ca="1" si="7"/>
        <v>0.33037726231760328</v>
      </c>
      <c r="I14" s="15">
        <f t="shared" ca="1" si="8"/>
        <v>0.11130986364771053</v>
      </c>
    </row>
    <row r="15" spans="2:9" x14ac:dyDescent="0.3">
      <c r="B15" s="1" t="s">
        <v>69</v>
      </c>
      <c r="C15" s="15">
        <f t="shared" ca="1" si="0"/>
        <v>7.0963029552883805E-2</v>
      </c>
      <c r="D15" s="15"/>
      <c r="E15" s="15">
        <f t="shared" ca="1" si="5"/>
        <v>6.3315397198030768E-2</v>
      </c>
      <c r="G15" s="15">
        <f t="shared" ca="1" si="6"/>
        <v>1.1493215208861991</v>
      </c>
      <c r="H15" s="15">
        <f t="shared" ca="1" si="7"/>
        <v>1.3002415400610783</v>
      </c>
      <c r="I15" s="15">
        <f t="shared" ca="1" si="8"/>
        <v>0.7744192368195979</v>
      </c>
    </row>
    <row r="16" spans="2:9" x14ac:dyDescent="0.3">
      <c r="B16" s="1" t="s">
        <v>69</v>
      </c>
      <c r="C16" s="15">
        <f t="shared" ca="1" si="0"/>
        <v>0.94278979977301536</v>
      </c>
      <c r="D16" s="15"/>
      <c r="E16" s="15">
        <f t="shared" ca="1" si="5"/>
        <v>0.89435228462176164</v>
      </c>
      <c r="G16" s="15">
        <f t="shared" ca="1" si="6"/>
        <v>6.5557092116550406E-2</v>
      </c>
      <c r="H16" s="15">
        <f t="shared" ca="1" si="7"/>
        <v>4.4573369175863235E-2</v>
      </c>
      <c r="I16" s="15">
        <f t="shared" ca="1" si="8"/>
        <v>0.16645316022693582</v>
      </c>
    </row>
    <row r="17" spans="2:9" x14ac:dyDescent="0.3">
      <c r="B17" s="1" t="s">
        <v>69</v>
      </c>
      <c r="C17" s="15">
        <f t="shared" ca="1" si="0"/>
        <v>0.71645666272015951</v>
      </c>
      <c r="D17" s="15"/>
      <c r="E17" s="15">
        <f t="shared" ca="1" si="5"/>
        <v>0.58846897836088607</v>
      </c>
      <c r="G17" s="15">
        <f t="shared" ca="1" si="6"/>
        <v>6.9284989995390456E-2</v>
      </c>
      <c r="H17" s="15">
        <f t="shared" ca="1" si="7"/>
        <v>0.15410453115627082</v>
      </c>
      <c r="I17" s="15">
        <f t="shared" ca="1" si="8"/>
        <v>2.1554929439574128E-2</v>
      </c>
    </row>
    <row r="18" spans="2:9" x14ac:dyDescent="0.3">
      <c r="B18" s="1" t="s">
        <v>69</v>
      </c>
      <c r="C18" s="15">
        <f t="shared" ca="1" si="0"/>
        <v>6.8077312470042339E-2</v>
      </c>
      <c r="D18" s="15"/>
      <c r="E18" s="15">
        <f t="shared" ca="1" si="5"/>
        <v>3.4615458729433616E-3</v>
      </c>
      <c r="G18" s="15">
        <f t="shared" ca="1" si="6"/>
        <v>1.2271949672346598</v>
      </c>
      <c r="H18" s="15">
        <f t="shared" ca="1" si="7"/>
        <v>1.4174386089430191</v>
      </c>
      <c r="I18" s="15">
        <f t="shared" ca="1" si="8"/>
        <v>0.83481379267408851</v>
      </c>
    </row>
    <row r="19" spans="2:9" x14ac:dyDescent="0.3">
      <c r="B19" s="1" t="s">
        <v>69</v>
      </c>
      <c r="C19" s="15">
        <f t="shared" ca="1" si="0"/>
        <v>0.7020539481833159</v>
      </c>
      <c r="D19" s="15"/>
      <c r="E19" s="15">
        <f t="shared" ca="1" si="5"/>
        <v>0.46201792135912262</v>
      </c>
      <c r="G19" s="15">
        <f t="shared" ca="1" si="6"/>
        <v>0.10602064500840255</v>
      </c>
      <c r="H19" s="15">
        <f t="shared" ca="1" si="7"/>
        <v>0.27018209338444887</v>
      </c>
      <c r="I19" s="15">
        <f t="shared" ca="1" si="8"/>
        <v>1.9035634661425292E-2</v>
      </c>
    </row>
    <row r="20" spans="2:9" x14ac:dyDescent="0.3">
      <c r="B20" s="1" t="s">
        <v>69</v>
      </c>
      <c r="C20" s="15">
        <f t="shared" ca="1" si="0"/>
        <v>0.10905686935879966</v>
      </c>
      <c r="D20" s="15"/>
      <c r="E20" s="15">
        <f t="shared" ca="1" si="5"/>
        <v>5.5790383833098547E-2</v>
      </c>
      <c r="G20" s="15">
        <f t="shared" ca="1" si="6"/>
        <v>1.090672302340683</v>
      </c>
      <c r="H20" s="15">
        <f t="shared" ca="1" si="7"/>
        <v>1.2638320091523372</v>
      </c>
      <c r="I20" s="15">
        <f t="shared" ca="1" si="8"/>
        <v>0.72435059399202339</v>
      </c>
    </row>
    <row r="21" spans="2:9" x14ac:dyDescent="0.3">
      <c r="B21" s="1" t="s">
        <v>69</v>
      </c>
      <c r="C21" s="15">
        <f t="shared" ca="1" si="0"/>
        <v>0.26380294573276131</v>
      </c>
      <c r="D21" s="15"/>
      <c r="E21" s="15">
        <f t="shared" ca="1" si="5"/>
        <v>7.8863019467280512E-2</v>
      </c>
      <c r="G21" s="15">
        <f t="shared" ca="1" si="6"/>
        <v>0.82032325563404584</v>
      </c>
      <c r="H21" s="15">
        <f t="shared" ca="1" si="7"/>
        <v>1.047420825394481</v>
      </c>
      <c r="I21" s="15">
        <f t="shared" ca="1" si="8"/>
        <v>0.50379760802510321</v>
      </c>
    </row>
    <row r="22" spans="2:9" x14ac:dyDescent="0.3">
      <c r="B22" s="1" t="s">
        <v>69</v>
      </c>
      <c r="C22" s="15">
        <f t="shared" ca="1" si="0"/>
        <v>0.16869221552642499</v>
      </c>
      <c r="D22" s="15"/>
      <c r="E22" s="15">
        <f t="shared" ca="1" si="5"/>
        <v>8.1276674652060218E-2</v>
      </c>
      <c r="G22" s="15">
        <f t="shared" ca="1" si="6"/>
        <v>0.96185983851705092</v>
      </c>
      <c r="H22" s="15">
        <f t="shared" ca="1" si="7"/>
        <v>1.1445434504697141</v>
      </c>
      <c r="I22" s="15">
        <f t="shared" ca="1" si="8"/>
        <v>0.61935015418253914</v>
      </c>
    </row>
    <row r="23" spans="2:9" x14ac:dyDescent="0.3">
      <c r="B23" s="1" t="s">
        <v>77</v>
      </c>
      <c r="C23" s="15">
        <f t="shared" ca="1" si="0"/>
        <v>0.97452647264531989</v>
      </c>
      <c r="F23" s="15">
        <f ca="1">RAND()</f>
        <v>0.64028560890149577</v>
      </c>
    </row>
    <row r="24" spans="2:9" x14ac:dyDescent="0.3">
      <c r="B24" s="1" t="s">
        <v>76</v>
      </c>
      <c r="C24" s="15">
        <f t="shared" ca="1" si="0"/>
        <v>0.74965245470469355</v>
      </c>
      <c r="F24" s="15">
        <f ca="1">RAND()</f>
        <v>0.97962440853000743</v>
      </c>
    </row>
    <row r="25" spans="2:9" x14ac:dyDescent="0.3">
      <c r="B25" s="1" t="s">
        <v>75</v>
      </c>
      <c r="C25" s="15">
        <f t="shared" ca="1" si="0"/>
        <v>0.83439363524715104</v>
      </c>
      <c r="F25" s="15">
        <f ca="1">RAND()</f>
        <v>0.50102871331816234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B2:AA27"/>
  <sheetViews>
    <sheetView zoomScale="110" zoomScaleNormal="110" workbookViewId="0">
      <selection activeCell="H24" sqref="H24:O24"/>
    </sheetView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5" t="s">
        <v>74</v>
      </c>
      <c r="C2" s="24" t="s">
        <v>73</v>
      </c>
      <c r="D2" s="24" t="s">
        <v>72</v>
      </c>
      <c r="E2" s="24" t="s">
        <v>71</v>
      </c>
      <c r="F2" s="8" t="s">
        <v>78</v>
      </c>
      <c r="H2" s="19" t="s">
        <v>81</v>
      </c>
      <c r="I2" s="19" t="s">
        <v>80</v>
      </c>
      <c r="J2" s="18" t="s">
        <v>79</v>
      </c>
    </row>
    <row r="3" spans="2:10" x14ac:dyDescent="0.25">
      <c r="B3" s="8" t="s">
        <v>70</v>
      </c>
      <c r="C3" s="21">
        <f t="shared" ref="C3:C22" ca="1" si="0">RAND()</f>
        <v>5.9315819703001815E-2</v>
      </c>
      <c r="D3" s="21">
        <f t="shared" ref="D3:D12" ca="1" si="1">C3+RAND()*(1-C3)</f>
        <v>0.58678488277519181</v>
      </c>
      <c r="E3" s="21"/>
      <c r="H3" s="21">
        <f t="shared" ref="H3:H12" ca="1" si="2">SUMSQ($C3-$C$24,$D3-$F$24)</f>
        <v>0.78124518012708211</v>
      </c>
      <c r="I3" s="21">
        <f t="shared" ref="I3:I12" ca="1" si="3">SUMSQ($C3-$C$25,$D3-$F$25)</f>
        <v>0.20226154547322897</v>
      </c>
      <c r="J3" s="21">
        <f t="shared" ref="J3:J12" ca="1" si="4">SUMSQ($C3-$C$26,$D3-$F$26)</f>
        <v>0.83233223020815461</v>
      </c>
    </row>
    <row r="4" spans="2:10" x14ac:dyDescent="0.25">
      <c r="B4" s="8" t="s">
        <v>70</v>
      </c>
      <c r="C4" s="21">
        <f t="shared" ca="1" si="0"/>
        <v>3.2736966460045869E-2</v>
      </c>
      <c r="D4" s="21">
        <f t="shared" ca="1" si="1"/>
        <v>0.67292853691390841</v>
      </c>
      <c r="E4" s="21"/>
      <c r="H4" s="21">
        <f t="shared" ca="1" si="2"/>
        <v>0.79754605222819352</v>
      </c>
      <c r="I4" s="21">
        <f t="shared" ca="1" si="3"/>
        <v>0.29147240169952754</v>
      </c>
      <c r="J4" s="21">
        <f t="shared" ca="1" si="4"/>
        <v>0.89639468099519282</v>
      </c>
    </row>
    <row r="5" spans="2:10" x14ac:dyDescent="0.25">
      <c r="B5" s="8" t="s">
        <v>70</v>
      </c>
      <c r="C5" s="21">
        <f t="shared" ca="1" si="0"/>
        <v>0.97912826466123837</v>
      </c>
      <c r="D5" s="21">
        <f t="shared" ca="1" si="1"/>
        <v>0.9988160329262874</v>
      </c>
      <c r="E5" s="21"/>
      <c r="H5" s="21">
        <f t="shared" ca="1" si="2"/>
        <v>4.2029082128941665E-2</v>
      </c>
      <c r="I5" s="21">
        <f t="shared" ca="1" si="3"/>
        <v>1.3374877735166981</v>
      </c>
      <c r="J5" s="21">
        <f t="shared" ca="1" si="4"/>
        <v>0.20757586250603327</v>
      </c>
    </row>
    <row r="6" spans="2:10" x14ac:dyDescent="0.25">
      <c r="B6" s="8" t="s">
        <v>70</v>
      </c>
      <c r="C6" s="21">
        <f t="shared" ca="1" si="0"/>
        <v>0.16677230730869841</v>
      </c>
      <c r="D6" s="21">
        <f t="shared" ca="1" si="1"/>
        <v>0.27783856138867052</v>
      </c>
      <c r="E6" s="21"/>
      <c r="H6" s="21">
        <f t="shared" ca="1" si="2"/>
        <v>0.83813192371086687</v>
      </c>
      <c r="I6" s="21">
        <f t="shared" ca="1" si="3"/>
        <v>1.5346014995840861E-2</v>
      </c>
      <c r="J6" s="21">
        <f t="shared" ca="1" si="4"/>
        <v>0.71660535595672059</v>
      </c>
    </row>
    <row r="7" spans="2:10" x14ac:dyDescent="0.25">
      <c r="B7" s="8" t="s">
        <v>70</v>
      </c>
      <c r="C7" s="21">
        <f t="shared" ca="1" si="0"/>
        <v>0.86563235510337511</v>
      </c>
      <c r="D7" s="21">
        <f t="shared" ca="1" si="1"/>
        <v>0.87707517089583131</v>
      </c>
      <c r="E7" s="21"/>
      <c r="H7" s="21">
        <f t="shared" ca="1" si="2"/>
        <v>7.9350268921617676E-3</v>
      </c>
      <c r="I7" s="21">
        <f t="shared" ca="1" si="3"/>
        <v>0.98021807488462187</v>
      </c>
      <c r="J7" s="21">
        <f t="shared" ca="1" si="4"/>
        <v>0.12243033553655094</v>
      </c>
    </row>
    <row r="8" spans="2:10" x14ac:dyDescent="0.25">
      <c r="B8" s="8" t="s">
        <v>70</v>
      </c>
      <c r="C8" s="21">
        <f t="shared" ca="1" si="0"/>
        <v>1.6970706291771331E-2</v>
      </c>
      <c r="D8" s="21">
        <f t="shared" ca="1" si="1"/>
        <v>0.8185612906401748</v>
      </c>
      <c r="E8" s="21"/>
      <c r="H8" s="21">
        <f t="shared" ca="1" si="2"/>
        <v>0.80876658041434579</v>
      </c>
      <c r="I8" s="21">
        <f t="shared" ca="1" si="3"/>
        <v>0.46845883450123399</v>
      </c>
      <c r="J8" s="21">
        <f t="shared" ca="1" si="4"/>
        <v>0.98518434064049454</v>
      </c>
    </row>
    <row r="9" spans="2:10" x14ac:dyDescent="0.25">
      <c r="B9" s="8" t="s">
        <v>70</v>
      </c>
      <c r="C9" s="21">
        <f t="shared" ca="1" si="0"/>
        <v>6.5054203205324068E-2</v>
      </c>
      <c r="D9" s="21">
        <f t="shared" ca="1" si="1"/>
        <v>0.23379040988604904</v>
      </c>
      <c r="E9" s="21"/>
      <c r="H9" s="21">
        <f t="shared" ca="1" si="2"/>
        <v>1.0491996374133632</v>
      </c>
      <c r="I9" s="21">
        <f t="shared" ca="1" si="3"/>
        <v>2.1092747611835945E-2</v>
      </c>
      <c r="J9" s="21">
        <f t="shared" ca="1" si="4"/>
        <v>0.91580537960373576</v>
      </c>
    </row>
    <row r="10" spans="2:10" x14ac:dyDescent="0.25">
      <c r="B10" s="8" t="s">
        <v>70</v>
      </c>
      <c r="C10" s="21">
        <f t="shared" ca="1" si="0"/>
        <v>1.8829133227387107E-3</v>
      </c>
      <c r="D10" s="21">
        <f t="shared" ca="1" si="1"/>
        <v>0.63438072530253531</v>
      </c>
      <c r="E10" s="21"/>
      <c r="H10" s="21">
        <f t="shared" ca="1" si="2"/>
        <v>0.86458154869471038</v>
      </c>
      <c r="I10" s="21">
        <f t="shared" ca="1" si="3"/>
        <v>0.26358573009765124</v>
      </c>
      <c r="J10" s="21">
        <f t="shared" ca="1" si="4"/>
        <v>0.94671190045758558</v>
      </c>
    </row>
    <row r="11" spans="2:10" x14ac:dyDescent="0.25">
      <c r="B11" s="8" t="s">
        <v>70</v>
      </c>
      <c r="C11" s="21">
        <f t="shared" ca="1" si="0"/>
        <v>0.38043896957956125</v>
      </c>
      <c r="D11" s="21">
        <f t="shared" ca="1" si="1"/>
        <v>0.80526611615326815</v>
      </c>
      <c r="E11" s="21"/>
      <c r="H11" s="21">
        <f t="shared" ca="1" si="2"/>
        <v>0.28700227745894491</v>
      </c>
      <c r="I11" s="21">
        <f t="shared" ca="1" si="3"/>
        <v>0.45914668055362462</v>
      </c>
      <c r="J11" s="21">
        <f t="shared" ca="1" si="4"/>
        <v>0.41692212188799571</v>
      </c>
    </row>
    <row r="12" spans="2:10" x14ac:dyDescent="0.25">
      <c r="B12" s="8" t="s">
        <v>70</v>
      </c>
      <c r="C12" s="21">
        <f t="shared" ca="1" si="0"/>
        <v>0.14594023919417265</v>
      </c>
      <c r="D12" s="21">
        <f t="shared" ca="1" si="1"/>
        <v>0.51916911579939917</v>
      </c>
      <c r="E12" s="21"/>
      <c r="H12" s="21">
        <f t="shared" ca="1" si="2"/>
        <v>0.67420893397689208</v>
      </c>
      <c r="I12" s="21">
        <f t="shared" ca="1" si="3"/>
        <v>0.13383221792676933</v>
      </c>
      <c r="J12" s="21">
        <f t="shared" ca="1" si="4"/>
        <v>0.68064707148826709</v>
      </c>
    </row>
    <row r="13" spans="2:10" x14ac:dyDescent="0.25">
      <c r="B13" s="8" t="s">
        <v>69</v>
      </c>
      <c r="C13" s="21">
        <f t="shared" ca="1" si="0"/>
        <v>0.35133124918777592</v>
      </c>
      <c r="D13" s="21"/>
      <c r="E13" s="21">
        <f t="shared" ref="E13:E22" ca="1" si="5">RAND()*C13</f>
        <v>2.9979906568765539E-2</v>
      </c>
      <c r="H13" s="21">
        <f t="shared" ref="H13:H22" ca="1" si="6">SUMSQ(C13-$C$24,E13-$F$24)</f>
        <v>0.91770051008293896</v>
      </c>
      <c r="I13" s="21">
        <f t="shared" ref="I13:I22" ca="1" si="7">SUMSQ($C13-$C$25,$E13-$F$25)</f>
        <v>4.2644334067136559E-2</v>
      </c>
      <c r="J13" s="21">
        <f t="shared" ref="J13:J22" ca="1" si="8">SUMSQ($C13-$C$26,$E13-$F$26)</f>
        <v>0.64698308067272048</v>
      </c>
    </row>
    <row r="14" spans="2:10" x14ac:dyDescent="0.25">
      <c r="B14" s="8" t="s">
        <v>69</v>
      </c>
      <c r="C14" s="21">
        <f t="shared" ca="1" si="0"/>
        <v>0.86822116655353365</v>
      </c>
      <c r="D14" s="21"/>
      <c r="E14" s="21">
        <f t="shared" ca="1" si="5"/>
        <v>0.17930774724537937</v>
      </c>
      <c r="H14" s="21">
        <f t="shared" ca="1" si="6"/>
        <v>0.3921827988993189</v>
      </c>
      <c r="I14" s="21">
        <f t="shared" ca="1" si="7"/>
        <v>0.46392211324611815</v>
      </c>
      <c r="J14" s="21">
        <f t="shared" ca="1" si="8"/>
        <v>0.14296534608591818</v>
      </c>
    </row>
    <row r="15" spans="2:10" x14ac:dyDescent="0.25">
      <c r="B15" s="8" t="s">
        <v>69</v>
      </c>
      <c r="C15" s="21">
        <f t="shared" ca="1" si="0"/>
        <v>0.40495979792703152</v>
      </c>
      <c r="D15" s="21"/>
      <c r="E15" s="21">
        <f t="shared" ca="1" si="5"/>
        <v>5.0506877298675451E-2</v>
      </c>
      <c r="H15" s="21">
        <f t="shared" ca="1" si="6"/>
        <v>0.82865083519759897</v>
      </c>
      <c r="I15" s="21">
        <f t="shared" ca="1" si="7"/>
        <v>5.8350872483187516E-2</v>
      </c>
      <c r="J15" s="21">
        <f t="shared" ca="1" si="8"/>
        <v>0.56278595329769365</v>
      </c>
    </row>
    <row r="16" spans="2:10" x14ac:dyDescent="0.25">
      <c r="B16" s="8" t="s">
        <v>69</v>
      </c>
      <c r="C16" s="21">
        <f t="shared" ca="1" si="0"/>
        <v>0.83488835658062943</v>
      </c>
      <c r="D16" s="21"/>
      <c r="E16" s="21">
        <f t="shared" ca="1" si="5"/>
        <v>0.75759924799924416</v>
      </c>
      <c r="H16" s="21">
        <f t="shared" ca="1" si="6"/>
        <v>8.7321744517563048E-3</v>
      </c>
      <c r="I16" s="21">
        <f t="shared" ca="1" si="7"/>
        <v>0.7813694646246202</v>
      </c>
      <c r="J16" s="21">
        <f t="shared" ca="1" si="8"/>
        <v>6.4345963320478636E-2</v>
      </c>
    </row>
    <row r="17" spans="2:27" x14ac:dyDescent="0.25">
      <c r="B17" s="8" t="s">
        <v>69</v>
      </c>
      <c r="C17" s="21">
        <f t="shared" ca="1" si="0"/>
        <v>0.72224621900736297</v>
      </c>
      <c r="D17" s="21"/>
      <c r="E17" s="21">
        <f t="shared" ca="1" si="5"/>
        <v>0.3325928745470858</v>
      </c>
      <c r="H17" s="21">
        <f t="shared" ca="1" si="6"/>
        <v>0.25955963897246348</v>
      </c>
      <c r="I17" s="21">
        <f t="shared" ca="1" si="7"/>
        <v>0.31722911316281915</v>
      </c>
      <c r="J17" s="21">
        <f t="shared" ca="1" si="8"/>
        <v>0.10607370721767968</v>
      </c>
    </row>
    <row r="18" spans="2:27" x14ac:dyDescent="0.25">
      <c r="B18" s="8" t="s">
        <v>69</v>
      </c>
      <c r="C18" s="21">
        <f t="shared" ca="1" si="0"/>
        <v>8.1906596089746486E-2</v>
      </c>
      <c r="D18" s="21"/>
      <c r="E18" s="21">
        <f t="shared" ca="1" si="5"/>
        <v>7.1811069005032105E-2</v>
      </c>
      <c r="H18" s="21">
        <f t="shared" ca="1" si="6"/>
        <v>1.2316665368549746</v>
      </c>
      <c r="I18" s="21">
        <f t="shared" ca="1" si="7"/>
        <v>1.8191158106522769E-2</v>
      </c>
      <c r="J18" s="21">
        <f t="shared" ca="1" si="8"/>
        <v>1.0120708029117644</v>
      </c>
    </row>
    <row r="19" spans="2:27" x14ac:dyDescent="0.25">
      <c r="B19" s="8" t="s">
        <v>69</v>
      </c>
      <c r="C19" s="21">
        <f t="shared" ca="1" si="0"/>
        <v>0.96583062492725402</v>
      </c>
      <c r="D19" s="21"/>
      <c r="E19" s="21">
        <f t="shared" ca="1" si="5"/>
        <v>0.41875186464237751</v>
      </c>
      <c r="H19" s="21">
        <f t="shared" ca="1" si="6"/>
        <v>0.15066351927319607</v>
      </c>
      <c r="I19" s="21">
        <f t="shared" ca="1" si="7"/>
        <v>0.67497220366495914</v>
      </c>
      <c r="J19" s="21">
        <f t="shared" ca="1" si="8"/>
        <v>1.5532726914780387E-2</v>
      </c>
    </row>
    <row r="20" spans="2:27" x14ac:dyDescent="0.25">
      <c r="B20" s="8" t="s">
        <v>69</v>
      </c>
      <c r="C20" s="21">
        <f t="shared" ca="1" si="0"/>
        <v>0.75637103993794919</v>
      </c>
      <c r="D20" s="21"/>
      <c r="E20" s="21">
        <f t="shared" ca="1" si="5"/>
        <v>0.58538510873543648</v>
      </c>
      <c r="H20" s="21">
        <f t="shared" ca="1" si="6"/>
        <v>7.3201301182879389E-2</v>
      </c>
      <c r="I20" s="21">
        <f t="shared" ca="1" si="7"/>
        <v>0.50822322898990024</v>
      </c>
      <c r="J20" s="21">
        <f t="shared" ca="1" si="8"/>
        <v>4.7666356777098309E-2</v>
      </c>
    </row>
    <row r="21" spans="2:27" x14ac:dyDescent="0.25">
      <c r="B21" s="8" t="s">
        <v>69</v>
      </c>
      <c r="C21" s="21">
        <f t="shared" ca="1" si="0"/>
        <v>0.21106826627279573</v>
      </c>
      <c r="D21" s="21"/>
      <c r="E21" s="21">
        <f t="shared" ca="1" si="5"/>
        <v>4.6424186211200875E-2</v>
      </c>
      <c r="H21" s="21">
        <f t="shared" ca="1" si="6"/>
        <v>1.0706474732245559</v>
      </c>
      <c r="I21" s="21">
        <f t="shared" ca="1" si="7"/>
        <v>1.2497845582943305E-2</v>
      </c>
      <c r="J21" s="21">
        <f t="shared" ca="1" si="8"/>
        <v>0.82376635818240729</v>
      </c>
    </row>
    <row r="22" spans="2:27" x14ac:dyDescent="0.25">
      <c r="B22" s="8" t="s">
        <v>69</v>
      </c>
      <c r="C22" s="21">
        <f t="shared" ca="1" si="0"/>
        <v>0.9122848143394432</v>
      </c>
      <c r="D22" s="21"/>
      <c r="E22" s="21">
        <f t="shared" ca="1" si="5"/>
        <v>0.87714790261753084</v>
      </c>
      <c r="H22" s="21">
        <f t="shared" ca="1" si="6"/>
        <v>5.4074294661974418E-3</v>
      </c>
      <c r="I22" s="21">
        <f t="shared" ca="1" si="7"/>
        <v>1.0457714423907072</v>
      </c>
      <c r="J22" s="21">
        <f t="shared" ca="1" si="8"/>
        <v>0.11486126435212606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77</v>
      </c>
      <c r="C24" s="21">
        <f ca="1">RAND()</f>
        <v>0.91616265907346361</v>
      </c>
      <c r="F24" s="21">
        <f ca="1">RAND()</f>
        <v>0.80371499591749429</v>
      </c>
      <c r="G24" s="23" t="s">
        <v>81</v>
      </c>
      <c r="H24" s="20" t="str">
        <f t="shared" ref="H24:AA24" ca="1" si="9">OFFSET($B$2,MATCH(SMALL($H$3:$H$22,H$27),$H$3:$H$22,0),0)</f>
        <v>Orange</v>
      </c>
      <c r="I24" s="20" t="str">
        <f t="shared" ca="1" si="9"/>
        <v>Blue</v>
      </c>
      <c r="J24" s="20" t="str">
        <f t="shared" ca="1" si="9"/>
        <v>Orange</v>
      </c>
      <c r="K24" s="20" t="str">
        <f t="shared" ca="1" si="9"/>
        <v>Blue</v>
      </c>
      <c r="L24" s="20" t="str">
        <f t="shared" ca="1" si="9"/>
        <v>Orange</v>
      </c>
      <c r="M24" s="20" t="str">
        <f t="shared" ca="1" si="9"/>
        <v>Orange</v>
      </c>
      <c r="N24" s="20" t="str">
        <f t="shared" ca="1" si="9"/>
        <v>Orange</v>
      </c>
      <c r="O24" s="20" t="str">
        <f t="shared" ca="1" si="9"/>
        <v>Blue</v>
      </c>
      <c r="P24" s="20" t="str">
        <f t="shared" ca="1" si="9"/>
        <v>Orange</v>
      </c>
      <c r="Q24" s="20" t="str">
        <f t="shared" ca="1" si="9"/>
        <v>Blue</v>
      </c>
      <c r="R24" s="20" t="str">
        <f t="shared" ca="1" si="9"/>
        <v>Blue</v>
      </c>
      <c r="S24" s="20" t="str">
        <f t="shared" ca="1" si="9"/>
        <v>Blue</v>
      </c>
      <c r="T24" s="20" t="str">
        <f t="shared" ca="1" si="9"/>
        <v>Blue</v>
      </c>
      <c r="U24" s="20" t="str">
        <f t="shared" ca="1" si="9"/>
        <v>Orange</v>
      </c>
      <c r="V24" s="20" t="str">
        <f t="shared" ca="1" si="9"/>
        <v>Blue</v>
      </c>
      <c r="W24" s="20" t="str">
        <f t="shared" ca="1" si="9"/>
        <v>Blue</v>
      </c>
      <c r="X24" s="20" t="str">
        <f t="shared" ca="1" si="9"/>
        <v>Orange</v>
      </c>
      <c r="Y24" s="20" t="str">
        <f t="shared" ca="1" si="9"/>
        <v>Blue</v>
      </c>
      <c r="Z24" s="20" t="str">
        <f t="shared" ca="1" si="9"/>
        <v>Orange</v>
      </c>
      <c r="AA24" s="20" t="str">
        <f t="shared" ca="1" si="9"/>
        <v>Orange</v>
      </c>
    </row>
    <row r="25" spans="2:27" x14ac:dyDescent="0.25">
      <c r="B25" s="8" t="s">
        <v>76</v>
      </c>
      <c r="C25" s="21">
        <f ca="1">RAND()</f>
        <v>0.18751185792382385</v>
      </c>
      <c r="F25" s="21">
        <f ca="1">RAND()</f>
        <v>0.1557079508271757</v>
      </c>
      <c r="G25" s="22" t="s">
        <v>80</v>
      </c>
      <c r="H25" s="20" t="str">
        <f t="shared" ref="H25:Q25" ca="1" si="10">OFFSET($B$2,MATCH(SMALL($I$3:$I$22,H$27),$I$3:$I$22,0),0)</f>
        <v>Orange</v>
      </c>
      <c r="I25" s="20" t="str">
        <f t="shared" ca="1" si="10"/>
        <v>Blue</v>
      </c>
      <c r="J25" s="20" t="str">
        <f t="shared" ca="1" si="10"/>
        <v>Orange</v>
      </c>
      <c r="K25" s="20" t="str">
        <f t="shared" ca="1" si="10"/>
        <v>Blue</v>
      </c>
      <c r="L25" s="20" t="str">
        <f t="shared" ca="1" si="10"/>
        <v>Orange</v>
      </c>
      <c r="M25" s="20" t="str">
        <f t="shared" ca="1" si="10"/>
        <v>Orange</v>
      </c>
      <c r="N25" s="20" t="str">
        <f t="shared" ca="1" si="10"/>
        <v>Blue</v>
      </c>
      <c r="O25" s="20" t="str">
        <f t="shared" ca="1" si="10"/>
        <v>Blue</v>
      </c>
      <c r="P25" s="20" t="str">
        <f t="shared" ca="1" si="10"/>
        <v>Blue</v>
      </c>
      <c r="Q25" s="20" t="str">
        <f t="shared" ca="1" si="10"/>
        <v>Blue</v>
      </c>
      <c r="R25" s="20" t="str">
        <f t="shared" ref="R25:AA25" ca="1" si="11">OFFSET($B$2,MATCH(SMALL($I$3:$I$22,R$27),$I$3:$I$22,0),0)</f>
        <v>Orange</v>
      </c>
      <c r="S25" s="20" t="str">
        <f t="shared" ca="1" si="11"/>
        <v>Blue</v>
      </c>
      <c r="T25" s="20" t="str">
        <f t="shared" ca="1" si="11"/>
        <v>Orange</v>
      </c>
      <c r="U25" s="20" t="str">
        <f t="shared" ca="1" si="11"/>
        <v>Blue</v>
      </c>
      <c r="V25" s="20" t="str">
        <f t="shared" ca="1" si="11"/>
        <v>Orange</v>
      </c>
      <c r="W25" s="20" t="str">
        <f t="shared" ca="1" si="11"/>
        <v>Orange</v>
      </c>
      <c r="X25" s="20" t="str">
        <f t="shared" ca="1" si="11"/>
        <v>Orange</v>
      </c>
      <c r="Y25" s="20" t="str">
        <f t="shared" ca="1" si="11"/>
        <v>Blue</v>
      </c>
      <c r="Z25" s="20" t="str">
        <f t="shared" ca="1" si="11"/>
        <v>Orange</v>
      </c>
      <c r="AA25" s="20" t="str">
        <f t="shared" ca="1" si="11"/>
        <v>Blue</v>
      </c>
    </row>
    <row r="26" spans="2:27" x14ac:dyDescent="0.25">
      <c r="B26" s="8" t="s">
        <v>75</v>
      </c>
      <c r="C26" s="21">
        <f ca="1">RAND()</f>
        <v>0.97060090335204063</v>
      </c>
      <c r="F26" s="21">
        <f ca="1">RAND()</f>
        <v>0.54329090012334791</v>
      </c>
      <c r="G26" s="19" t="s">
        <v>79</v>
      </c>
      <c r="H26" s="20" t="str">
        <f ca="1">OFFSET($B$2,MATCH(SMALL($J$3:$J$22,H$27),$J$3:$J$22,0),0)</f>
        <v>Orange</v>
      </c>
      <c r="I26" s="20" t="str">
        <f t="shared" ref="I26:AA26" ca="1" si="12">OFFSET($B$2,MATCH(SMALL($J$3:$J$22,I$27),$J$3:$J$22,0),0)</f>
        <v>Orange</v>
      </c>
      <c r="J26" s="20" t="str">
        <f t="shared" ca="1" si="12"/>
        <v>Orange</v>
      </c>
      <c r="K26" s="20" t="str">
        <f t="shared" ca="1" si="12"/>
        <v>Orange</v>
      </c>
      <c r="L26" s="20" t="str">
        <f t="shared" ca="1" si="12"/>
        <v>Orange</v>
      </c>
      <c r="M26" s="20" t="str">
        <f t="shared" ca="1" si="12"/>
        <v>Blue</v>
      </c>
      <c r="N26" s="20" t="str">
        <f t="shared" ca="1" si="12"/>
        <v>Orange</v>
      </c>
      <c r="O26" s="20" t="str">
        <f t="shared" ca="1" si="12"/>
        <v>Blue</v>
      </c>
      <c r="P26" s="20" t="str">
        <f t="shared" ca="1" si="12"/>
        <v>Blue</v>
      </c>
      <c r="Q26" s="20" t="str">
        <f t="shared" ca="1" si="12"/>
        <v>Orange</v>
      </c>
      <c r="R26" s="20" t="str">
        <f t="shared" ca="1" si="12"/>
        <v>Orange</v>
      </c>
      <c r="S26" s="20" t="str">
        <f t="shared" ca="1" si="12"/>
        <v>Blue</v>
      </c>
      <c r="T26" s="20" t="str">
        <f t="shared" ca="1" si="12"/>
        <v>Blue</v>
      </c>
      <c r="U26" s="20" t="str">
        <f t="shared" ca="1" si="12"/>
        <v>Orange</v>
      </c>
      <c r="V26" s="20" t="str">
        <f t="shared" ca="1" si="12"/>
        <v>Blue</v>
      </c>
      <c r="W26" s="20" t="str">
        <f t="shared" ca="1" si="12"/>
        <v>Blue</v>
      </c>
      <c r="X26" s="20" t="str">
        <f t="shared" ca="1" si="12"/>
        <v>Blue</v>
      </c>
      <c r="Y26" s="20" t="str">
        <f t="shared" ca="1" si="12"/>
        <v>Blue</v>
      </c>
      <c r="Z26" s="20" t="str">
        <f t="shared" ca="1" si="12"/>
        <v>Blue</v>
      </c>
      <c r="AA26" s="20" t="str">
        <f t="shared" ca="1" si="12"/>
        <v>Orange</v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74</v>
      </c>
      <c r="C2" s="24" t="s">
        <v>73</v>
      </c>
      <c r="D2" s="24" t="s">
        <v>72</v>
      </c>
      <c r="E2" s="24" t="s">
        <v>71</v>
      </c>
      <c r="F2" s="8" t="s">
        <v>78</v>
      </c>
      <c r="H2" s="19" t="s">
        <v>81</v>
      </c>
      <c r="I2" s="19" t="s">
        <v>80</v>
      </c>
      <c r="J2" s="18" t="s">
        <v>79</v>
      </c>
    </row>
    <row r="3" spans="2:28" x14ac:dyDescent="0.25">
      <c r="B3" s="8" t="s">
        <v>70</v>
      </c>
      <c r="C3" s="21">
        <f t="shared" ref="C3:C22" ca="1" si="0">RAND()</f>
        <v>0.42797226065921001</v>
      </c>
      <c r="D3" s="21">
        <f t="shared" ref="D3:D12" ca="1" si="1">C3+RAND()*(1-C3)</f>
        <v>0.76789796034686808</v>
      </c>
      <c r="E3" s="21"/>
      <c r="H3" s="21">
        <f t="shared" ref="H3:H12" ca="1" si="2">SUMSQ($C3-$C$24,$D3-$F$24)</f>
        <v>0.18010460557710095</v>
      </c>
      <c r="I3" s="21">
        <f t="shared" ref="I3:I12" ca="1" si="3">SUMSQ($C3-$C$25,$D3-$F$25)</f>
        <v>0.65415961366840114</v>
      </c>
      <c r="J3" s="21">
        <f t="shared" ref="J3:J12" ca="1" si="4">SUMSQ($C3-$C$26,$D3-$F$26)</f>
        <v>0.360968417867368</v>
      </c>
      <c r="AB3" s="22" t="s">
        <v>82</v>
      </c>
    </row>
    <row r="4" spans="2:28" x14ac:dyDescent="0.25">
      <c r="B4" s="8" t="s">
        <v>70</v>
      </c>
      <c r="C4" s="21">
        <f t="shared" ca="1" si="0"/>
        <v>0.15085061142697698</v>
      </c>
      <c r="D4" s="21">
        <f t="shared" ca="1" si="1"/>
        <v>0.88572836290681045</v>
      </c>
      <c r="E4" s="21"/>
      <c r="H4" s="21">
        <f t="shared" ca="1" si="2"/>
        <v>0.5252019235776233</v>
      </c>
      <c r="I4" s="21">
        <f t="shared" ca="1" si="3"/>
        <v>0.74844536238937887</v>
      </c>
      <c r="J4" s="21">
        <f t="shared" ca="1" si="4"/>
        <v>0.32793630457485839</v>
      </c>
      <c r="AB4" s="26">
        <v>6</v>
      </c>
    </row>
    <row r="5" spans="2:28" x14ac:dyDescent="0.25">
      <c r="B5" s="8" t="s">
        <v>70</v>
      </c>
      <c r="C5" s="21">
        <f t="shared" ca="1" si="0"/>
        <v>0.93661007896172099</v>
      </c>
      <c r="D5" s="21">
        <f t="shared" ca="1" si="1"/>
        <v>0.97225986086241867</v>
      </c>
      <c r="E5" s="21"/>
      <c r="H5" s="21">
        <f t="shared" ca="1" si="2"/>
        <v>0.18415664393273179</v>
      </c>
      <c r="I5" s="21">
        <f t="shared" ca="1" si="3"/>
        <v>1.5761349037305927</v>
      </c>
      <c r="J5" s="21">
        <f t="shared" ca="1" si="4"/>
        <v>1.2579992602156369</v>
      </c>
    </row>
    <row r="6" spans="2:28" x14ac:dyDescent="0.25">
      <c r="B6" s="8" t="s">
        <v>70</v>
      </c>
      <c r="C6" s="21">
        <f t="shared" ca="1" si="0"/>
        <v>0.94797640967130126</v>
      </c>
      <c r="D6" s="21">
        <f t="shared" ca="1" si="1"/>
        <v>0.98278262713923059</v>
      </c>
      <c r="E6" s="21"/>
      <c r="H6" s="21">
        <f t="shared" ca="1" si="2"/>
        <v>0.19605087272421864</v>
      </c>
      <c r="I6" s="21">
        <f t="shared" ca="1" si="3"/>
        <v>1.6150206910926523</v>
      </c>
      <c r="J6" s="21">
        <f t="shared" ca="1" si="4"/>
        <v>1.2926655616549165</v>
      </c>
    </row>
    <row r="7" spans="2:28" x14ac:dyDescent="0.25">
      <c r="B7" s="8" t="s">
        <v>70</v>
      </c>
      <c r="C7" s="21">
        <f t="shared" ca="1" si="0"/>
        <v>0.65562622537149096</v>
      </c>
      <c r="D7" s="21">
        <f t="shared" ca="1" si="1"/>
        <v>0.76351606930277538</v>
      </c>
      <c r="E7" s="21"/>
      <c r="H7" s="21">
        <f t="shared" ca="1" si="2"/>
        <v>6.0416751161761595E-2</v>
      </c>
      <c r="I7" s="21">
        <f t="shared" ca="1" si="3"/>
        <v>0.84104415482474115</v>
      </c>
      <c r="J7" s="21">
        <f t="shared" ca="1" si="4"/>
        <v>0.59562192637547018</v>
      </c>
    </row>
    <row r="8" spans="2:28" x14ac:dyDescent="0.25">
      <c r="B8" s="8" t="s">
        <v>70</v>
      </c>
      <c r="C8" s="21">
        <f t="shared" ca="1" si="0"/>
        <v>0.45803925137325119</v>
      </c>
      <c r="D8" s="21">
        <f t="shared" ca="1" si="1"/>
        <v>0.81112869283796196</v>
      </c>
      <c r="E8" s="21"/>
      <c r="H8" s="21">
        <f t="shared" ca="1" si="2"/>
        <v>0.17798464699833513</v>
      </c>
      <c r="I8" s="21">
        <f t="shared" ca="1" si="3"/>
        <v>0.7401869230891398</v>
      </c>
      <c r="J8" s="21">
        <f t="shared" ca="1" si="4"/>
        <v>0.42636823352852826</v>
      </c>
    </row>
    <row r="9" spans="2:28" x14ac:dyDescent="0.25">
      <c r="B9" s="8" t="s">
        <v>70</v>
      </c>
      <c r="C9" s="21">
        <f t="shared" ca="1" si="0"/>
        <v>0.11103792754183317</v>
      </c>
      <c r="D9" s="21">
        <f t="shared" ca="1" si="1"/>
        <v>0.51608219144163692</v>
      </c>
      <c r="E9" s="21"/>
      <c r="H9" s="21">
        <f t="shared" ca="1" si="2"/>
        <v>0.47819839243084611</v>
      </c>
      <c r="I9" s="21">
        <f t="shared" ca="1" si="3"/>
        <v>0.24488172641636868</v>
      </c>
      <c r="J9" s="21">
        <f t="shared" ca="1" si="4"/>
        <v>4.3768916493078361E-2</v>
      </c>
    </row>
    <row r="10" spans="2:28" x14ac:dyDescent="0.25">
      <c r="B10" s="8" t="s">
        <v>70</v>
      </c>
      <c r="C10" s="21">
        <f t="shared" ca="1" si="0"/>
        <v>0.88294315152108782</v>
      </c>
      <c r="D10" s="21">
        <f t="shared" ca="1" si="1"/>
        <v>0.94850792727803834</v>
      </c>
      <c r="E10" s="21"/>
      <c r="H10" s="21">
        <f t="shared" ca="1" si="2"/>
        <v>0.15368723042481328</v>
      </c>
      <c r="I10" s="21">
        <f t="shared" ca="1" si="3"/>
        <v>1.446432621506442</v>
      </c>
      <c r="J10" s="21">
        <f t="shared" ca="1" si="4"/>
        <v>1.132275112711091</v>
      </c>
    </row>
    <row r="11" spans="2:28" x14ac:dyDescent="0.25">
      <c r="B11" s="8" t="s">
        <v>70</v>
      </c>
      <c r="C11" s="21">
        <f t="shared" ca="1" si="0"/>
        <v>0.53869239576019989</v>
      </c>
      <c r="D11" s="21">
        <f t="shared" ca="1" si="1"/>
        <v>0.9874242916313265</v>
      </c>
      <c r="E11" s="21"/>
      <c r="H11" s="21">
        <f t="shared" ca="1" si="2"/>
        <v>0.24699832351907941</v>
      </c>
      <c r="I11" s="21">
        <f t="shared" ca="1" si="3"/>
        <v>1.1112814093487329</v>
      </c>
      <c r="J11" s="21">
        <f t="shared" ca="1" si="4"/>
        <v>0.7050354364522633</v>
      </c>
    </row>
    <row r="12" spans="2:28" x14ac:dyDescent="0.25">
      <c r="B12" s="8" t="s">
        <v>70</v>
      </c>
      <c r="C12" s="21">
        <f t="shared" ca="1" si="0"/>
        <v>0.22200961003107178</v>
      </c>
      <c r="D12" s="21">
        <f t="shared" ca="1" si="1"/>
        <v>0.96883727118218743</v>
      </c>
      <c r="E12" s="21"/>
      <c r="H12" s="21">
        <f t="shared" ca="1" si="2"/>
        <v>0.49795259076266163</v>
      </c>
      <c r="I12" s="21">
        <f t="shared" ca="1" si="3"/>
        <v>0.90892134592680385</v>
      </c>
      <c r="J12" s="21">
        <f t="shared" ca="1" si="4"/>
        <v>0.4514015561235909</v>
      </c>
    </row>
    <row r="13" spans="2:28" x14ac:dyDescent="0.25">
      <c r="B13" s="8" t="s">
        <v>69</v>
      </c>
      <c r="C13" s="21">
        <f t="shared" ca="1" si="0"/>
        <v>0.50442401287107397</v>
      </c>
      <c r="D13" s="21"/>
      <c r="E13" s="21">
        <f t="shared" ref="E13:E22" ca="1" si="5">RAND()*C13</f>
        <v>9.0155586581178643E-2</v>
      </c>
      <c r="H13" s="21">
        <f t="shared" ref="H13:H22" ca="1" si="6">SUMSQ(C13-$C$24,E13-$F$24)</f>
        <v>0.31349220764530372</v>
      </c>
      <c r="I13" s="21">
        <f t="shared" ref="I13:I22" ca="1" si="7">SUMSQ($C13-$C$25,$E13-$F$25)</f>
        <v>0.15483372166596507</v>
      </c>
      <c r="J13" s="21">
        <f t="shared" ref="J13:J22" ca="1" si="8">SUMSQ($C13-$C$26,$E13-$F$26)</f>
        <v>0.29349343368932335</v>
      </c>
    </row>
    <row r="14" spans="2:28" x14ac:dyDescent="0.25">
      <c r="B14" s="8" t="s">
        <v>69</v>
      </c>
      <c r="C14" s="21">
        <f t="shared" ca="1" si="0"/>
        <v>0.35314985767708718</v>
      </c>
      <c r="D14" s="21"/>
      <c r="E14" s="21">
        <f t="shared" ca="1" si="5"/>
        <v>0.34919709119266118</v>
      </c>
      <c r="H14" s="21">
        <f t="shared" ca="1" si="6"/>
        <v>0.2470490457483635</v>
      </c>
      <c r="I14" s="21">
        <f t="shared" ca="1" si="7"/>
        <v>0.16330152811188925</v>
      </c>
      <c r="J14" s="21">
        <f t="shared" ca="1" si="8"/>
        <v>0.11273632775544276</v>
      </c>
    </row>
    <row r="15" spans="2:28" x14ac:dyDescent="0.25">
      <c r="B15" s="8" t="s">
        <v>69</v>
      </c>
      <c r="C15" s="21">
        <f t="shared" ca="1" si="0"/>
        <v>0.1532513333390203</v>
      </c>
      <c r="D15" s="21"/>
      <c r="E15" s="21">
        <f t="shared" ca="1" si="5"/>
        <v>9.8395453701804594E-2</v>
      </c>
      <c r="H15" s="21">
        <f t="shared" ca="1" si="6"/>
        <v>0.63722068273822685</v>
      </c>
      <c r="I15" s="21">
        <f t="shared" ca="1" si="7"/>
        <v>7.2626541822481796E-3</v>
      </c>
      <c r="J15" s="21">
        <f t="shared" ca="1" si="8"/>
        <v>7.1325000878665987E-2</v>
      </c>
    </row>
    <row r="16" spans="2:28" x14ac:dyDescent="0.25">
      <c r="B16" s="8" t="s">
        <v>69</v>
      </c>
      <c r="C16" s="21">
        <f t="shared" ca="1" si="0"/>
        <v>0.34277900436041797</v>
      </c>
      <c r="D16" s="21"/>
      <c r="E16" s="21">
        <f t="shared" ca="1" si="5"/>
        <v>0.2991756176047079</v>
      </c>
      <c r="H16" s="21">
        <f t="shared" ca="1" si="6"/>
        <v>0.28055140859806044</v>
      </c>
      <c r="I16" s="21">
        <f t="shared" ca="1" si="7"/>
        <v>0.12820585005686977</v>
      </c>
      <c r="J16" s="21">
        <f t="shared" ca="1" si="8"/>
        <v>0.10634323932120743</v>
      </c>
    </row>
    <row r="17" spans="2:27" x14ac:dyDescent="0.25">
      <c r="B17" s="8" t="s">
        <v>69</v>
      </c>
      <c r="C17" s="21">
        <f t="shared" ca="1" si="0"/>
        <v>0.95796038234241965</v>
      </c>
      <c r="D17" s="21"/>
      <c r="E17" s="21">
        <f t="shared" ca="1" si="5"/>
        <v>0.90261211360887939</v>
      </c>
      <c r="H17" s="21">
        <f t="shared" ca="1" si="6"/>
        <v>0.13855731841051888</v>
      </c>
      <c r="I17" s="21">
        <f t="shared" ca="1" si="7"/>
        <v>1.4839692762191394</v>
      </c>
      <c r="J17" s="21">
        <f t="shared" ca="1" si="8"/>
        <v>1.2128842319197406</v>
      </c>
    </row>
    <row r="18" spans="2:27" x14ac:dyDescent="0.25">
      <c r="B18" s="8" t="s">
        <v>69</v>
      </c>
      <c r="C18" s="21">
        <f t="shared" ca="1" si="0"/>
        <v>0.3747305188420833</v>
      </c>
      <c r="D18" s="21"/>
      <c r="E18" s="21">
        <f t="shared" ca="1" si="5"/>
        <v>0.37210616588214634</v>
      </c>
      <c r="H18" s="21">
        <f t="shared" ca="1" si="6"/>
        <v>0.21882206033376905</v>
      </c>
      <c r="I18" s="21">
        <f t="shared" ca="1" si="7"/>
        <v>0.18950940420337398</v>
      </c>
      <c r="J18" s="21">
        <f t="shared" ca="1" si="8"/>
        <v>0.12913133036810745</v>
      </c>
    </row>
    <row r="19" spans="2:27" x14ac:dyDescent="0.25">
      <c r="B19" s="8" t="s">
        <v>69</v>
      </c>
      <c r="C19" s="21">
        <f t="shared" ca="1" si="0"/>
        <v>0.79398761831007147</v>
      </c>
      <c r="D19" s="21"/>
      <c r="E19" s="21">
        <f t="shared" ca="1" si="5"/>
        <v>0.14879863796816495</v>
      </c>
      <c r="H19" s="21">
        <f t="shared" ca="1" si="6"/>
        <v>0.17341852078730102</v>
      </c>
      <c r="I19" s="21">
        <f t="shared" ca="1" si="7"/>
        <v>0.47456039262036337</v>
      </c>
      <c r="J19" s="21">
        <f t="shared" ca="1" si="8"/>
        <v>0.63449573694828176</v>
      </c>
    </row>
    <row r="20" spans="2:27" x14ac:dyDescent="0.25">
      <c r="B20" s="8" t="s">
        <v>69</v>
      </c>
      <c r="C20" s="21">
        <f t="shared" ca="1" si="0"/>
        <v>0.64864845927804027</v>
      </c>
      <c r="D20" s="21"/>
      <c r="E20" s="21">
        <f t="shared" ca="1" si="5"/>
        <v>0.10168015144697831</v>
      </c>
      <c r="H20" s="21">
        <f t="shared" ca="1" si="6"/>
        <v>0.23798413160200868</v>
      </c>
      <c r="I20" s="21">
        <f t="shared" ca="1" si="7"/>
        <v>0.28910350965030618</v>
      </c>
      <c r="J20" s="21">
        <f t="shared" ca="1" si="8"/>
        <v>0.44923324461388087</v>
      </c>
    </row>
    <row r="21" spans="2:27" x14ac:dyDescent="0.25">
      <c r="B21" s="8" t="s">
        <v>69</v>
      </c>
      <c r="C21" s="21">
        <f t="shared" ca="1" si="0"/>
        <v>0.92966192563096861</v>
      </c>
      <c r="D21" s="21"/>
      <c r="E21" s="21">
        <f t="shared" ca="1" si="5"/>
        <v>0.13677261241730837</v>
      </c>
      <c r="H21" s="21">
        <f t="shared" ca="1" si="6"/>
        <v>0.20013371870089205</v>
      </c>
      <c r="I21" s="21">
        <f t="shared" ca="1" si="7"/>
        <v>0.673741251133953</v>
      </c>
      <c r="J21" s="21">
        <f t="shared" ca="1" si="8"/>
        <v>0.86793393199139246</v>
      </c>
    </row>
    <row r="22" spans="2:27" x14ac:dyDescent="0.25">
      <c r="B22" s="8" t="s">
        <v>69</v>
      </c>
      <c r="C22" s="21">
        <f t="shared" ca="1" si="0"/>
        <v>0.85882393305867222</v>
      </c>
      <c r="D22" s="21"/>
      <c r="E22" s="21">
        <f t="shared" ca="1" si="5"/>
        <v>0.22110488018075103</v>
      </c>
      <c r="H22" s="21">
        <f t="shared" ca="1" si="6"/>
        <v>0.1217518686675686</v>
      </c>
      <c r="I22" s="21">
        <f t="shared" ca="1" si="7"/>
        <v>0.59022069708601099</v>
      </c>
      <c r="J22" s="21">
        <f t="shared" ca="1" si="8"/>
        <v>0.71853551881106914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77</v>
      </c>
      <c r="C24" s="21">
        <f ca="1">RAND()</f>
        <v>0.8008117839429949</v>
      </c>
      <c r="F24" s="21">
        <f ca="1">RAND()</f>
        <v>0.56517821425729498</v>
      </c>
      <c r="G24" s="23" t="s">
        <v>81</v>
      </c>
      <c r="H24" s="20" t="str">
        <f t="shared" ref="H24:AA24" ca="1" si="9">IF(H27&lt;=k,OFFSET($B$2,MATCH(SMALL($H$3:$H$22,H$27),$H$3:$H$22,0),0),"")</f>
        <v>Blue</v>
      </c>
      <c r="I24" s="20" t="str">
        <f t="shared" ca="1" si="9"/>
        <v>Orange</v>
      </c>
      <c r="J24" s="20" t="str">
        <f t="shared" ca="1" si="9"/>
        <v>Orange</v>
      </c>
      <c r="K24" s="20" t="str">
        <f t="shared" ca="1" si="9"/>
        <v>Blue</v>
      </c>
      <c r="L24" s="20" t="str">
        <f t="shared" ca="1" si="9"/>
        <v>Orange</v>
      </c>
      <c r="M24" s="20" t="str">
        <f t="shared" ca="1" si="9"/>
        <v>Blue</v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</row>
    <row r="25" spans="2:27" x14ac:dyDescent="0.25">
      <c r="B25" s="8" t="s">
        <v>76</v>
      </c>
      <c r="C25" s="21">
        <f ca="1">RAND()</f>
        <v>0.11701268923875618</v>
      </c>
      <c r="F25" s="21">
        <f ca="1">RAND()</f>
        <v>2.1263003617403853E-2</v>
      </c>
      <c r="G25" s="22" t="s">
        <v>80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>Orange</v>
      </c>
      <c r="M25" s="20" t="str">
        <f t="shared" ca="1" si="10"/>
        <v>Blue</v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</row>
    <row r="26" spans="2:27" x14ac:dyDescent="0.25">
      <c r="B26" s="8" t="s">
        <v>75</v>
      </c>
      <c r="C26" s="21">
        <f ca="1">RAND()</f>
        <v>1.8014332140409928E-2</v>
      </c>
      <c r="F26" s="21">
        <f ca="1">RAND()</f>
        <v>0.32869081706258318</v>
      </c>
      <c r="G26" s="19" t="s">
        <v>79</v>
      </c>
      <c r="H26" s="20" t="str">
        <f t="shared" ref="H26:AA26" ca="1" si="11">IF(H27&lt;=k,OFFSET($B$2,MATCH(SMALL($J$3:$J$22,H$27),$J$3:$J$22,0),0),"")</f>
        <v>Blue</v>
      </c>
      <c r="I26" s="20" t="str">
        <f t="shared" ca="1" si="11"/>
        <v>Orange</v>
      </c>
      <c r="J26" s="20" t="str">
        <f t="shared" ca="1" si="11"/>
        <v>Orange</v>
      </c>
      <c r="K26" s="20" t="str">
        <f t="shared" ca="1" si="11"/>
        <v>Orange</v>
      </c>
      <c r="L26" s="20" t="str">
        <f t="shared" ca="1" si="11"/>
        <v>Orange</v>
      </c>
      <c r="M26" s="20" t="str">
        <f t="shared" ca="1" si="11"/>
        <v>Orange</v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>
      <selection activeCell="AB24" sqref="AB24"/>
    </sheetView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74</v>
      </c>
      <c r="C2" s="24" t="s">
        <v>73</v>
      </c>
      <c r="D2" s="24" t="s">
        <v>72</v>
      </c>
      <c r="E2" s="24" t="s">
        <v>71</v>
      </c>
      <c r="F2" s="8" t="s">
        <v>78</v>
      </c>
      <c r="H2" s="19" t="s">
        <v>81</v>
      </c>
      <c r="I2" s="19" t="s">
        <v>80</v>
      </c>
      <c r="J2" s="18" t="s">
        <v>79</v>
      </c>
    </row>
    <row r="3" spans="2:28" x14ac:dyDescent="0.25">
      <c r="B3" s="8" t="s">
        <v>70</v>
      </c>
      <c r="C3" s="21">
        <f t="shared" ref="C3:C22" ca="1" si="0">RAND()</f>
        <v>0.92143177214322591</v>
      </c>
      <c r="D3" s="21">
        <f t="shared" ref="D3:D12" ca="1" si="1">C3+RAND()*(1-C3)</f>
        <v>0.95727701660039832</v>
      </c>
      <c r="E3" s="21"/>
      <c r="H3" s="21">
        <f t="shared" ref="H3:H12" ca="1" si="2">SUMSQ($C3-$C$24,$D3-$F$24)</f>
        <v>0.68814523632700031</v>
      </c>
      <c r="I3" s="21">
        <f t="shared" ref="I3:I12" ca="1" si="3">SUMSQ($C3-$C$25,$D3-$F$25)</f>
        <v>0.52644346372568951</v>
      </c>
      <c r="J3" s="21">
        <f t="shared" ref="J3:J12" ca="1" si="4">SUMSQ($C3-$C$26,$D3-$F$26)</f>
        <v>0.76896794768649313</v>
      </c>
      <c r="AB3" s="22" t="s">
        <v>82</v>
      </c>
    </row>
    <row r="4" spans="2:28" x14ac:dyDescent="0.25">
      <c r="B4" s="8" t="s">
        <v>70</v>
      </c>
      <c r="C4" s="21">
        <f t="shared" ca="1" si="0"/>
        <v>0.24314939417828074</v>
      </c>
      <c r="D4" s="21">
        <f t="shared" ca="1" si="1"/>
        <v>0.43045387664630091</v>
      </c>
      <c r="E4" s="21"/>
      <c r="H4" s="21">
        <f t="shared" ca="1" si="2"/>
        <v>2.2104108217519715E-2</v>
      </c>
      <c r="I4" s="21">
        <f t="shared" ca="1" si="3"/>
        <v>4.3140356442490486E-2</v>
      </c>
      <c r="J4" s="21">
        <f t="shared" ca="1" si="4"/>
        <v>0.35749607293136298</v>
      </c>
      <c r="AB4" s="26">
        <v>4</v>
      </c>
    </row>
    <row r="5" spans="2:28" x14ac:dyDescent="0.25">
      <c r="B5" s="8" t="s">
        <v>70</v>
      </c>
      <c r="C5" s="21">
        <f t="shared" ca="1" si="0"/>
        <v>0.62692404147430913</v>
      </c>
      <c r="D5" s="21">
        <f t="shared" ca="1" si="1"/>
        <v>0.64046138344976722</v>
      </c>
      <c r="E5" s="21"/>
      <c r="H5" s="21">
        <f t="shared" ca="1" si="2"/>
        <v>0.15764499970923784</v>
      </c>
      <c r="I5" s="21">
        <f t="shared" ca="1" si="3"/>
        <v>0.12690038212765312</v>
      </c>
      <c r="J5" s="21">
        <f t="shared" ca="1" si="4"/>
        <v>0.46373759572029577</v>
      </c>
    </row>
    <row r="6" spans="2:28" x14ac:dyDescent="0.25">
      <c r="B6" s="8" t="s">
        <v>70</v>
      </c>
      <c r="C6" s="21">
        <f t="shared" ca="1" si="0"/>
        <v>0.18000441868398975</v>
      </c>
      <c r="D6" s="21">
        <f t="shared" ca="1" si="1"/>
        <v>0.56471330440428358</v>
      </c>
      <c r="E6" s="21"/>
      <c r="H6" s="21">
        <f t="shared" ca="1" si="2"/>
        <v>8.2731216889437714E-2</v>
      </c>
      <c r="I6" s="21">
        <f t="shared" ca="1" si="3"/>
        <v>1.3356178867777889E-2</v>
      </c>
      <c r="J6" s="21">
        <f t="shared" ca="1" si="4"/>
        <v>0.20301778226217596</v>
      </c>
    </row>
    <row r="7" spans="2:28" x14ac:dyDescent="0.25">
      <c r="B7" s="8" t="s">
        <v>70</v>
      </c>
      <c r="C7" s="21">
        <f t="shared" ca="1" si="0"/>
        <v>0.99470247810456758</v>
      </c>
      <c r="D7" s="21">
        <f t="shared" ca="1" si="1"/>
        <v>0.9952126640213963</v>
      </c>
      <c r="E7" s="21"/>
      <c r="H7" s="21">
        <f t="shared" ca="1" si="2"/>
        <v>0.82328174513062269</v>
      </c>
      <c r="I7" s="21">
        <f t="shared" ca="1" si="3"/>
        <v>0.65295930222076526</v>
      </c>
      <c r="J7" s="21">
        <f t="shared" ca="1" si="4"/>
        <v>0.90132358556397252</v>
      </c>
    </row>
    <row r="8" spans="2:28" x14ac:dyDescent="0.25">
      <c r="B8" s="8" t="s">
        <v>70</v>
      </c>
      <c r="C8" s="21">
        <f t="shared" ca="1" si="0"/>
        <v>0.36597720940386513</v>
      </c>
      <c r="D8" s="21">
        <f t="shared" ca="1" si="1"/>
        <v>0.80726477002753139</v>
      </c>
      <c r="E8" s="21"/>
      <c r="H8" s="21">
        <f t="shared" ca="1" si="2"/>
        <v>0.21526941522256568</v>
      </c>
      <c r="I8" s="21">
        <f t="shared" ca="1" si="3"/>
        <v>3.829697034100505E-2</v>
      </c>
      <c r="J8" s="21">
        <f t="shared" ca="1" si="4"/>
        <v>0.1379473181090517</v>
      </c>
    </row>
    <row r="9" spans="2:28" x14ac:dyDescent="0.25">
      <c r="B9" s="8" t="s">
        <v>70</v>
      </c>
      <c r="C9" s="21">
        <f t="shared" ca="1" si="0"/>
        <v>0.66180867166516777</v>
      </c>
      <c r="D9" s="21">
        <f t="shared" ca="1" si="1"/>
        <v>0.77165736468063628</v>
      </c>
      <c r="E9" s="21"/>
      <c r="H9" s="21">
        <f t="shared" ca="1" si="2"/>
        <v>0.27241916896250978</v>
      </c>
      <c r="I9" s="21">
        <f t="shared" ca="1" si="3"/>
        <v>0.17126896527153057</v>
      </c>
      <c r="J9" s="21">
        <f t="shared" ca="1" si="4"/>
        <v>0.42979858947471106</v>
      </c>
    </row>
    <row r="10" spans="2:28" x14ac:dyDescent="0.25">
      <c r="B10" s="8" t="s">
        <v>70</v>
      </c>
      <c r="C10" s="21">
        <f t="shared" ca="1" si="0"/>
        <v>0.91013891645372302</v>
      </c>
      <c r="D10" s="21">
        <f t="shared" ca="1" si="1"/>
        <v>0.94721218843005639</v>
      </c>
      <c r="E10" s="21"/>
      <c r="H10" s="21">
        <f t="shared" ca="1" si="2"/>
        <v>0.66341587049225037</v>
      </c>
      <c r="I10" s="21">
        <f t="shared" ca="1" si="3"/>
        <v>0.50551466584253546</v>
      </c>
      <c r="J10" s="21">
        <f t="shared" ca="1" si="4"/>
        <v>0.75016228898877835</v>
      </c>
    </row>
    <row r="11" spans="2:28" x14ac:dyDescent="0.25">
      <c r="B11" s="8" t="s">
        <v>70</v>
      </c>
      <c r="C11" s="21">
        <f t="shared" ca="1" si="0"/>
        <v>0.20147249691275226</v>
      </c>
      <c r="D11" s="21">
        <f t="shared" ca="1" si="1"/>
        <v>0.70585631491124867</v>
      </c>
      <c r="E11" s="21"/>
      <c r="H11" s="21">
        <f t="shared" ca="1" si="2"/>
        <v>0.15773259688808081</v>
      </c>
      <c r="I11" s="21">
        <f t="shared" ca="1" si="3"/>
        <v>9.6303133751697873E-3</v>
      </c>
      <c r="J11" s="21">
        <f t="shared" ca="1" si="4"/>
        <v>0.10780684856389985</v>
      </c>
    </row>
    <row r="12" spans="2:28" x14ac:dyDescent="0.25">
      <c r="B12" s="8" t="s">
        <v>70</v>
      </c>
      <c r="C12" s="21">
        <f t="shared" ca="1" si="0"/>
        <v>5.468666683670298E-3</v>
      </c>
      <c r="D12" s="21">
        <f t="shared" ca="1" si="1"/>
        <v>8.8494239828491666E-2</v>
      </c>
      <c r="E12" s="21"/>
      <c r="H12" s="21">
        <f t="shared" ca="1" si="2"/>
        <v>0.19318341031651942</v>
      </c>
      <c r="I12" s="21">
        <f t="shared" ca="1" si="3"/>
        <v>0.37046859873669113</v>
      </c>
      <c r="J12" s="21">
        <f t="shared" ca="1" si="4"/>
        <v>0.82277581230158003</v>
      </c>
    </row>
    <row r="13" spans="2:28" x14ac:dyDescent="0.25">
      <c r="B13" s="8" t="s">
        <v>69</v>
      </c>
      <c r="C13" s="21">
        <f t="shared" ca="1" si="0"/>
        <v>0.34714532176759738</v>
      </c>
      <c r="D13" s="21"/>
      <c r="E13" s="21">
        <f t="shared" ref="E13:E22" ca="1" si="5">RAND()*C13</f>
        <v>6.7684442185374061E-2</v>
      </c>
      <c r="H13" s="21">
        <f t="shared" ref="H13:H22" ca="1" si="6">SUMSQ(C13-$C$24,E13-$F$24)</f>
        <v>7.6234405653590978E-2</v>
      </c>
      <c r="I13" s="21">
        <f t="shared" ref="I13:I22" ca="1" si="7">SUMSQ($C13-$C$25,$E13-$F$25)</f>
        <v>0.32918626710936366</v>
      </c>
      <c r="J13" s="21">
        <f t="shared" ref="J13:J22" ca="1" si="8">SUMSQ($C13-$C$26,$E13-$F$26)</f>
        <v>0.95043332255210922</v>
      </c>
    </row>
    <row r="14" spans="2:28" x14ac:dyDescent="0.25">
      <c r="B14" s="8" t="s">
        <v>69</v>
      </c>
      <c r="C14" s="21">
        <f t="shared" ca="1" si="0"/>
        <v>0.17764549560105347</v>
      </c>
      <c r="D14" s="21"/>
      <c r="E14" s="21">
        <f t="shared" ca="1" si="5"/>
        <v>1.9948781152283469E-2</v>
      </c>
      <c r="H14" s="21">
        <f t="shared" ca="1" si="6"/>
        <v>0.13913458119325861</v>
      </c>
      <c r="I14" s="21">
        <f t="shared" ca="1" si="7"/>
        <v>0.38857436257509748</v>
      </c>
      <c r="J14" s="21">
        <f t="shared" ca="1" si="8"/>
        <v>0.967626478517155</v>
      </c>
    </row>
    <row r="15" spans="2:28" x14ac:dyDescent="0.25">
      <c r="B15" s="8" t="s">
        <v>69</v>
      </c>
      <c r="C15" s="21">
        <f t="shared" ca="1" si="0"/>
        <v>0.87262897813195062</v>
      </c>
      <c r="D15" s="21"/>
      <c r="E15" s="21">
        <f t="shared" ca="1" si="5"/>
        <v>1.6663980148151233E-2</v>
      </c>
      <c r="H15" s="21">
        <f t="shared" ca="1" si="6"/>
        <v>0.36580179326255341</v>
      </c>
      <c r="I15" s="21">
        <f t="shared" ca="1" si="7"/>
        <v>0.7462697236013639</v>
      </c>
      <c r="J15" s="21">
        <f t="shared" ca="1" si="8"/>
        <v>1.6409682605763707</v>
      </c>
    </row>
    <row r="16" spans="2:28" x14ac:dyDescent="0.25">
      <c r="B16" s="8" t="s">
        <v>69</v>
      </c>
      <c r="C16" s="21">
        <f t="shared" ca="1" si="0"/>
        <v>0.46984224585219547</v>
      </c>
      <c r="D16" s="21"/>
      <c r="E16" s="21">
        <f t="shared" ca="1" si="5"/>
        <v>3.7168796659081675E-2</v>
      </c>
      <c r="H16" s="21">
        <f t="shared" ca="1" si="6"/>
        <v>0.10500353811908024</v>
      </c>
      <c r="I16" s="21">
        <f t="shared" ca="1" si="7"/>
        <v>0.39863145464904498</v>
      </c>
      <c r="J16" s="21">
        <f t="shared" ca="1" si="8"/>
        <v>1.0970608883252468</v>
      </c>
    </row>
    <row r="17" spans="2:28" x14ac:dyDescent="0.25">
      <c r="B17" s="8" t="s">
        <v>69</v>
      </c>
      <c r="C17" s="21">
        <f t="shared" ca="1" si="0"/>
        <v>0.46668118775492273</v>
      </c>
      <c r="D17" s="21"/>
      <c r="E17" s="21">
        <f t="shared" ca="1" si="5"/>
        <v>0.20753132908862038</v>
      </c>
      <c r="H17" s="21">
        <f t="shared" ca="1" si="6"/>
        <v>2.9058836321369678E-2</v>
      </c>
      <c r="I17" s="21">
        <f t="shared" ca="1" si="7"/>
        <v>0.22226052588795878</v>
      </c>
      <c r="J17" s="21">
        <f t="shared" ca="1" si="8"/>
        <v>0.79715953996885225</v>
      </c>
    </row>
    <row r="18" spans="2:28" x14ac:dyDescent="0.25">
      <c r="B18" s="8" t="s">
        <v>69</v>
      </c>
      <c r="C18" s="21">
        <f t="shared" ca="1" si="0"/>
        <v>0.15993097681016488</v>
      </c>
      <c r="D18" s="21"/>
      <c r="E18" s="21">
        <f t="shared" ca="1" si="5"/>
        <v>0.14102658500410317</v>
      </c>
      <c r="H18" s="21">
        <f t="shared" ca="1" si="6"/>
        <v>8.2395198419834143E-2</v>
      </c>
      <c r="I18" s="21">
        <f t="shared" ca="1" si="7"/>
        <v>0.25758799116039549</v>
      </c>
      <c r="J18" s="21">
        <f t="shared" ca="1" si="8"/>
        <v>0.74187340231356091</v>
      </c>
    </row>
    <row r="19" spans="2:28" x14ac:dyDescent="0.25">
      <c r="B19" s="8" t="s">
        <v>69</v>
      </c>
      <c r="C19" s="21">
        <f t="shared" ca="1" si="0"/>
        <v>0.91941081039028394</v>
      </c>
      <c r="D19" s="21"/>
      <c r="E19" s="21">
        <f t="shared" ca="1" si="5"/>
        <v>0.45645261829509781</v>
      </c>
      <c r="H19" s="21">
        <f t="shared" ca="1" si="6"/>
        <v>0.32172985341533344</v>
      </c>
      <c r="I19" s="21">
        <f t="shared" ca="1" si="7"/>
        <v>0.45315507330685345</v>
      </c>
      <c r="J19" s="21">
        <f t="shared" ca="1" si="8"/>
        <v>1.0537288253993347</v>
      </c>
    </row>
    <row r="20" spans="2:28" x14ac:dyDescent="0.25">
      <c r="B20" s="8" t="s">
        <v>69</v>
      </c>
      <c r="C20" s="21">
        <f t="shared" ca="1" si="0"/>
        <v>0.37490163445598645</v>
      </c>
      <c r="D20" s="21"/>
      <c r="E20" s="21">
        <f t="shared" ca="1" si="5"/>
        <v>0.33294355401204917</v>
      </c>
      <c r="H20" s="21">
        <f t="shared" ca="1" si="6"/>
        <v>2.3498439077709963E-4</v>
      </c>
      <c r="I20" s="21">
        <f t="shared" ca="1" si="7"/>
        <v>0.10289090716245357</v>
      </c>
      <c r="J20" s="21">
        <f t="shared" ca="1" si="8"/>
        <v>0.54652874126031392</v>
      </c>
    </row>
    <row r="21" spans="2:28" x14ac:dyDescent="0.25">
      <c r="B21" s="8" t="s">
        <v>69</v>
      </c>
      <c r="C21" s="21">
        <f t="shared" ca="1" si="0"/>
        <v>0.54599701381963173</v>
      </c>
      <c r="D21" s="21"/>
      <c r="E21" s="21">
        <f t="shared" ca="1" si="5"/>
        <v>4.9769622122551212E-2</v>
      </c>
      <c r="H21" s="21">
        <f t="shared" ca="1" si="6"/>
        <v>0.11942865357223964</v>
      </c>
      <c r="I21" s="21">
        <f t="shared" ca="1" si="7"/>
        <v>0.41981883846425955</v>
      </c>
      <c r="J21" s="21">
        <f t="shared" ca="1" si="8"/>
        <v>1.1435466307255322</v>
      </c>
    </row>
    <row r="22" spans="2:28" x14ac:dyDescent="0.25">
      <c r="B22" s="8" t="s">
        <v>69</v>
      </c>
      <c r="C22" s="21">
        <f t="shared" ca="1" si="0"/>
        <v>0.14008005236418186</v>
      </c>
      <c r="D22" s="21"/>
      <c r="E22" s="21">
        <f t="shared" ca="1" si="5"/>
        <v>2.9631626580772091E-2</v>
      </c>
      <c r="H22" s="21">
        <f t="shared" ca="1" si="6"/>
        <v>0.1483484791267814</v>
      </c>
      <c r="I22" s="21">
        <f t="shared" ca="1" si="7"/>
        <v>0.38513542086490676</v>
      </c>
      <c r="J22" s="21">
        <f t="shared" ca="1" si="8"/>
        <v>0.94031331370039406</v>
      </c>
    </row>
    <row r="23" spans="2:28" x14ac:dyDescent="0.25">
      <c r="C23" s="21"/>
      <c r="D23" s="21"/>
      <c r="E23" s="21"/>
      <c r="H23" s="21"/>
      <c r="I23" s="21"/>
      <c r="J23" s="21"/>
    </row>
    <row r="24" spans="2:28" x14ac:dyDescent="0.25">
      <c r="B24" s="8" t="s">
        <v>77</v>
      </c>
      <c r="C24" s="21">
        <f ca="1">RAND()</f>
        <v>0.36359948655169139</v>
      </c>
      <c r="F24" s="21">
        <f ca="1">RAND()</f>
        <v>0.34329951092227906</v>
      </c>
      <c r="G24" s="23" t="s">
        <v>81</v>
      </c>
      <c r="H24" s="20" t="str">
        <f ca="1">IF(H27&lt;=k,OFFSET($B$2,MATCH(SMALL($H$3:$H$22,H$27),$H$3:$H$22,0),0),"")</f>
        <v>Orange</v>
      </c>
      <c r="I24" s="20" t="str">
        <f t="shared" ref="I24:AA24" ca="1" si="9">IF(I27&lt;=k,OFFSET($B$2,MATCH(SMALL($H$3:$H$22,I$27),$H$3:$H$22,0),0),"")</f>
        <v>Blue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/>
      </c>
      <c r="M24" s="20" t="str">
        <f t="shared" ca="1" si="9"/>
        <v/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Orange</v>
      </c>
    </row>
    <row r="25" spans="2:28" x14ac:dyDescent="0.25">
      <c r="B25" s="8" t="s">
        <v>76</v>
      </c>
      <c r="C25" s="21">
        <f ca="1">RAND()</f>
        <v>0.27071733027512279</v>
      </c>
      <c r="F25" s="21">
        <f ca="1">RAND()</f>
        <v>0.63631879678047754</v>
      </c>
      <c r="G25" s="22" t="s">
        <v>80</v>
      </c>
      <c r="H25" s="20" t="str">
        <f t="shared" ref="H25:AA25" ca="1" si="10">IF(H27&lt;=k,OFFSET($B$2,MATCH(SMALL($I$3:$I$22,H$27),$I$3:$I$22,0),0),"")</f>
        <v>Blue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/>
      </c>
      <c r="M25" s="20" t="str">
        <f t="shared" ca="1" si="10"/>
        <v/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Blue</v>
      </c>
    </row>
    <row r="26" spans="2:28" x14ac:dyDescent="0.25">
      <c r="B26" s="8" t="s">
        <v>75</v>
      </c>
      <c r="C26" s="21">
        <f ca="1">RAND()</f>
        <v>4.5321990354971975E-2</v>
      </c>
      <c r="F26" s="21">
        <f ca="1">RAND()</f>
        <v>0.99468821734871915</v>
      </c>
      <c r="G26" s="19" t="s">
        <v>79</v>
      </c>
      <c r="H26" s="20" t="str">
        <f t="shared" ref="H26:AA26" ca="1" si="11">IF(H27&lt;=k,OFFSET($B$2,MATCH(SMALL($J$3:$J$22,H$27),$J$3:$J$22,0),0),"")</f>
        <v>Blue</v>
      </c>
      <c r="I26" s="20" t="str">
        <f t="shared" ca="1" si="11"/>
        <v>Blue</v>
      </c>
      <c r="J26" s="20" t="str">
        <f t="shared" ca="1" si="11"/>
        <v>Blue</v>
      </c>
      <c r="K26" s="20" t="str">
        <f t="shared" ca="1" si="11"/>
        <v>Blue</v>
      </c>
      <c r="L26" s="20" t="str">
        <f t="shared" ca="1" si="11"/>
        <v/>
      </c>
      <c r="M26" s="20" t="str">
        <f t="shared" ca="1" si="11"/>
        <v/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Blue</v>
      </c>
    </row>
    <row r="27" spans="2:28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98B1-EC95-7443-AF9F-02D1D7B5F523}">
  <sheetPr codeName="Sheet12"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16</v>
      </c>
    </row>
  </sheetData>
  <hyperlinks>
    <hyperlink ref="B2" r:id="rId1" xr:uid="{CA93D91C-34F8-2546-BDB0-17415129BFBA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9"/>
  <sheetViews>
    <sheetView workbookViewId="0">
      <selection activeCell="A9" sqref="A9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64</v>
      </c>
    </row>
    <row r="2" spans="1:1" x14ac:dyDescent="0.3">
      <c r="A2" s="1" t="s">
        <v>65</v>
      </c>
    </row>
    <row r="3" spans="1:1" x14ac:dyDescent="0.3">
      <c r="A3" s="1" t="s">
        <v>66</v>
      </c>
    </row>
    <row r="4" spans="1:1" x14ac:dyDescent="0.3">
      <c r="A4" s="1" t="s">
        <v>67</v>
      </c>
    </row>
    <row r="5" spans="1:1" x14ac:dyDescent="0.3">
      <c r="A5" s="1" t="s">
        <v>68</v>
      </c>
    </row>
    <row r="6" spans="1:1" x14ac:dyDescent="0.3">
      <c r="A6" s="1" t="s">
        <v>55</v>
      </c>
    </row>
    <row r="7" spans="1:1" x14ac:dyDescent="0.3">
      <c r="A7" s="1" t="s">
        <v>53</v>
      </c>
    </row>
    <row r="8" spans="1:1" x14ac:dyDescent="0.3">
      <c r="A8" s="1" t="s">
        <v>51</v>
      </c>
    </row>
    <row r="9" spans="1:1" x14ac:dyDescent="0.3">
      <c r="A9" s="1" t="s">
        <v>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BC7-B1C2-0D42-A855-16771E66F507}">
  <sheetPr codeName="Sheet14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25</v>
      </c>
    </row>
  </sheetData>
  <hyperlinks>
    <hyperlink ref="B2" r:id="rId1" xr:uid="{F7E071C6-C90C-6646-9FFE-126DABDAB769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2A115-039F-6447-B618-B6CAC2F1D267}">
  <sheetPr codeName="Sheet15">
    <tabColor rgb="FFFF0000"/>
  </sheetPr>
  <dimension ref="B2:C9"/>
  <sheetViews>
    <sheetView workbookViewId="0"/>
  </sheetViews>
  <sheetFormatPr baseColWidth="10" defaultRowHeight="26" x14ac:dyDescent="0.3"/>
  <cols>
    <col min="1" max="1" width="10.83203125" style="1"/>
    <col min="2" max="2" width="25.6640625" style="1" bestFit="1" customWidth="1"/>
    <col min="3" max="3" width="10.83203125" style="13"/>
    <col min="4" max="16384" width="10.83203125" style="1"/>
  </cols>
  <sheetData>
    <row r="2" spans="2:3" x14ac:dyDescent="0.3">
      <c r="B2" s="10" t="s">
        <v>59</v>
      </c>
      <c r="C2" s="14" t="s">
        <v>58</v>
      </c>
    </row>
    <row r="3" spans="2:3" x14ac:dyDescent="0.3">
      <c r="B3" s="10" t="s">
        <v>57</v>
      </c>
      <c r="C3" s="14" t="s">
        <v>56</v>
      </c>
    </row>
    <row r="4" spans="2:3" x14ac:dyDescent="0.3">
      <c r="B4" s="10" t="s">
        <v>55</v>
      </c>
      <c r="C4" s="14" t="s">
        <v>54</v>
      </c>
    </row>
    <row r="5" spans="2:3" x14ac:dyDescent="0.3">
      <c r="B5" s="10" t="s">
        <v>53</v>
      </c>
      <c r="C5" s="14" t="s">
        <v>52</v>
      </c>
    </row>
    <row r="6" spans="2:3" x14ac:dyDescent="0.3">
      <c r="B6" s="10" t="s">
        <v>51</v>
      </c>
      <c r="C6" s="14" t="s">
        <v>50</v>
      </c>
    </row>
    <row r="7" spans="2:3" x14ac:dyDescent="0.3">
      <c r="B7" s="10" t="s">
        <v>49</v>
      </c>
      <c r="C7" s="14" t="s">
        <v>48</v>
      </c>
    </row>
    <row r="8" spans="2:3" x14ac:dyDescent="0.3">
      <c r="B8" s="10" t="s">
        <v>47</v>
      </c>
      <c r="C8" s="14" t="s">
        <v>46</v>
      </c>
    </row>
    <row r="9" spans="2:3" x14ac:dyDescent="0.3">
      <c r="B9" s="10" t="s">
        <v>45</v>
      </c>
      <c r="C9" s="14" t="s">
        <v>44</v>
      </c>
    </row>
  </sheetData>
  <hyperlinks>
    <hyperlink ref="C2" r:id="rId1" xr:uid="{9FB16181-C2AE-AA43-A5DC-FC95E8E12DDD}"/>
    <hyperlink ref="C3" r:id="rId2" xr:uid="{FF675BD4-C76D-994F-8908-C9FD11C16DCA}"/>
    <hyperlink ref="C4" r:id="rId3" xr:uid="{F28F4DE4-86C0-D24B-8927-A5F18A9F7DEC}"/>
    <hyperlink ref="C5" r:id="rId4" xr:uid="{572D551A-589E-5048-9C1A-F535FB23EC38}"/>
    <hyperlink ref="C6" r:id="rId5" xr:uid="{F973134B-5C8D-C541-8B21-4347FBF4E995}"/>
    <hyperlink ref="C7" r:id="rId6" xr:uid="{F673910E-81BE-0340-8708-8D3F1233B80A}"/>
    <hyperlink ref="C8" r:id="rId7" xr:uid="{BCE10B39-66B4-334A-B964-339C74891499}"/>
    <hyperlink ref="C9" r:id="rId8" xr:uid="{DB32E371-C91B-5B49-BD09-D618BD40AFB6}"/>
    <hyperlink ref="B2:C2" r:id="rId9" display="Setup" xr:uid="{B5888879-E464-764A-AFE5-526D61B158AB}"/>
    <hyperlink ref="B3:C3" r:id="rId10" display="Exploration" xr:uid="{8552C58E-5249-6F48-BDC3-7776A0D4FD9E}"/>
    <hyperlink ref="B4:C4" r:id="rId11" display="Tools" xr:uid="{BCBFB0BB-5756-884F-B31B-AE4881C5C7F9}"/>
    <hyperlink ref="B5:C5" r:id="rId12" display="LM_InAndOut" xr:uid="{6563DE7C-EB07-D441-A4A4-3EECC4330888}"/>
    <hyperlink ref="B6:C6" r:id="rId13" display="Optim_InAndOut" xr:uid="{8B0B5558-D0F6-7347-AC76-D24A3A8A2269}"/>
    <hyperlink ref="B7:C7" r:id="rId14" display="Optim_Shrinkage" xr:uid="{71C4EA75-CF16-144C-BFFD-81C5ED29A2B3}"/>
    <hyperlink ref="B8:C8" r:id="rId15" display="Optim_LSearch" xr:uid="{5BF51BD4-3DBB-9E4A-AD0E-F2CA7CC06B91}"/>
    <hyperlink ref="B9:C9" r:id="rId16" display="CF_InAndOut" xr:uid="{58CE96B1-D0B2-2345-B826-4461600604CC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9FCC-D9B5-7A4A-BD7D-8ED3FA1D0D38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00206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33</v>
      </c>
    </row>
    <row r="3" spans="2:5" x14ac:dyDescent="0.25">
      <c r="B3" s="9" t="s">
        <v>37</v>
      </c>
      <c r="C3" s="9"/>
    </row>
    <row r="4" spans="2:5" x14ac:dyDescent="0.25">
      <c r="B4" s="8" t="s">
        <v>34</v>
      </c>
    </row>
    <row r="5" spans="2:5" x14ac:dyDescent="0.25">
      <c r="B5" s="8" t="s">
        <v>35</v>
      </c>
    </row>
    <row r="7" spans="2:5" x14ac:dyDescent="0.25">
      <c r="B7" s="11" t="s">
        <v>29</v>
      </c>
      <c r="C7" s="11" t="s">
        <v>30</v>
      </c>
      <c r="E7" s="11" t="s">
        <v>33</v>
      </c>
    </row>
    <row r="8" spans="2:5" x14ac:dyDescent="0.25">
      <c r="B8" s="8" t="s">
        <v>31</v>
      </c>
      <c r="C8" s="8" t="s">
        <v>31</v>
      </c>
      <c r="E8" s="8" cm="1">
        <f t="array" ref="E8">SUM((B8:B27=C8:C27)*(C8:C27="Sick"))/SUM((C8:C27="Sick")*1)</f>
        <v>0.66666666666666663</v>
      </c>
    </row>
    <row r="9" spans="2:5" x14ac:dyDescent="0.25">
      <c r="B9" s="8" t="s">
        <v>32</v>
      </c>
      <c r="C9" s="8" t="s">
        <v>31</v>
      </c>
    </row>
    <row r="10" spans="2:5" x14ac:dyDescent="0.25">
      <c r="B10" s="8" t="s">
        <v>32</v>
      </c>
      <c r="C10" s="8" t="s">
        <v>31</v>
      </c>
    </row>
    <row r="11" spans="2:5" x14ac:dyDescent="0.25">
      <c r="B11" s="8" t="s">
        <v>32</v>
      </c>
      <c r="C11" s="8" t="s">
        <v>32</v>
      </c>
    </row>
    <row r="12" spans="2:5" x14ac:dyDescent="0.25">
      <c r="B12" s="8" t="s">
        <v>31</v>
      </c>
      <c r="C12" s="8" t="s">
        <v>32</v>
      </c>
    </row>
    <row r="13" spans="2:5" x14ac:dyDescent="0.25">
      <c r="B13" s="8" t="s">
        <v>32</v>
      </c>
      <c r="C13" s="8" t="s">
        <v>32</v>
      </c>
    </row>
    <row r="14" spans="2:5" x14ac:dyDescent="0.25">
      <c r="B14" s="8" t="s">
        <v>31</v>
      </c>
      <c r="C14" s="8" t="s">
        <v>31</v>
      </c>
    </row>
    <row r="15" spans="2:5" x14ac:dyDescent="0.25">
      <c r="B15" s="8" t="s">
        <v>32</v>
      </c>
      <c r="C15" s="8" t="s">
        <v>32</v>
      </c>
    </row>
    <row r="16" spans="2:5" x14ac:dyDescent="0.25">
      <c r="B16" s="8" t="s">
        <v>31</v>
      </c>
      <c r="C16" s="8" t="s">
        <v>31</v>
      </c>
    </row>
    <row r="17" spans="2:3" x14ac:dyDescent="0.25">
      <c r="B17" s="8" t="s">
        <v>32</v>
      </c>
      <c r="C17" s="8" t="s">
        <v>31</v>
      </c>
    </row>
    <row r="18" spans="2:3" x14ac:dyDescent="0.25">
      <c r="B18" s="8" t="s">
        <v>31</v>
      </c>
      <c r="C18" s="8" t="s">
        <v>31</v>
      </c>
    </row>
    <row r="19" spans="2:3" x14ac:dyDescent="0.25">
      <c r="B19" s="8" t="s">
        <v>31</v>
      </c>
      <c r="C19" s="8" t="s">
        <v>31</v>
      </c>
    </row>
    <row r="20" spans="2:3" x14ac:dyDescent="0.25">
      <c r="B20" s="8" t="s">
        <v>31</v>
      </c>
      <c r="C20" s="8" t="s">
        <v>32</v>
      </c>
    </row>
    <row r="21" spans="2:3" x14ac:dyDescent="0.25">
      <c r="B21" s="8" t="s">
        <v>32</v>
      </c>
      <c r="C21" s="8" t="s">
        <v>32</v>
      </c>
    </row>
    <row r="22" spans="2:3" x14ac:dyDescent="0.25">
      <c r="B22" s="8" t="s">
        <v>32</v>
      </c>
      <c r="C22" s="8" t="s">
        <v>31</v>
      </c>
    </row>
    <row r="23" spans="2:3" x14ac:dyDescent="0.25">
      <c r="B23" s="8" t="s">
        <v>31</v>
      </c>
      <c r="C23" s="8" t="s">
        <v>31</v>
      </c>
    </row>
    <row r="24" spans="2:3" x14ac:dyDescent="0.25">
      <c r="B24" s="8" t="s">
        <v>32</v>
      </c>
      <c r="C24" s="8" t="s">
        <v>32</v>
      </c>
    </row>
    <row r="25" spans="2:3" x14ac:dyDescent="0.25">
      <c r="B25" s="8" t="s">
        <v>32</v>
      </c>
      <c r="C25" s="8" t="s">
        <v>32</v>
      </c>
    </row>
    <row r="26" spans="2:3" x14ac:dyDescent="0.25">
      <c r="B26" s="8" t="s">
        <v>31</v>
      </c>
      <c r="C26" s="8" t="s">
        <v>31</v>
      </c>
    </row>
    <row r="27" spans="2:3" x14ac:dyDescent="0.25">
      <c r="B27" s="8" t="s">
        <v>31</v>
      </c>
      <c r="C27" s="8" t="s">
        <v>31</v>
      </c>
    </row>
  </sheetData>
  <hyperlinks>
    <hyperlink ref="B3" r:id="rId1" xr:uid="{FF44839E-5187-E04A-B2FB-DF9FF4B73D53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191</v>
      </c>
    </row>
    <row r="2" spans="1:1" x14ac:dyDescent="0.3">
      <c r="A2" s="1" t="s">
        <v>192</v>
      </c>
    </row>
    <row r="3" spans="1:1" x14ac:dyDescent="0.3">
      <c r="A3" s="1" t="s">
        <v>193</v>
      </c>
    </row>
    <row r="4" spans="1:1" x14ac:dyDescent="0.3">
      <c r="A4" s="1" t="s">
        <v>194</v>
      </c>
    </row>
  </sheetData>
  <phoneticPr fontId="9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8"/>
    <col min="2" max="2" width="20.83203125" style="28" bestFit="1" customWidth="1"/>
    <col min="3" max="16384" width="14.5" style="28"/>
  </cols>
  <sheetData>
    <row r="1" spans="1:11" x14ac:dyDescent="0.2">
      <c r="A1" s="27" t="s">
        <v>90</v>
      </c>
      <c r="B1" s="27" t="s">
        <v>91</v>
      </c>
      <c r="C1" s="27" t="s">
        <v>92</v>
      </c>
      <c r="D1" s="27" t="s">
        <v>93</v>
      </c>
      <c r="E1" s="27" t="s">
        <v>94</v>
      </c>
      <c r="F1" s="27" t="s">
        <v>95</v>
      </c>
      <c r="G1" s="27" t="s">
        <v>96</v>
      </c>
      <c r="H1" s="27" t="s">
        <v>97</v>
      </c>
      <c r="I1" s="27" t="s">
        <v>98</v>
      </c>
      <c r="J1" s="27" t="s">
        <v>99</v>
      </c>
      <c r="K1" s="27" t="s">
        <v>100</v>
      </c>
    </row>
    <row r="2" spans="1:11" x14ac:dyDescent="0.2">
      <c r="A2" s="27" t="s">
        <v>101</v>
      </c>
      <c r="B2" s="27" t="s">
        <v>102</v>
      </c>
      <c r="C2" s="27">
        <v>1.8</v>
      </c>
      <c r="D2" s="27">
        <v>1999</v>
      </c>
      <c r="E2" s="27">
        <v>4</v>
      </c>
      <c r="F2" s="27" t="s">
        <v>103</v>
      </c>
      <c r="G2" s="27" t="s">
        <v>104</v>
      </c>
      <c r="H2" s="27">
        <v>18</v>
      </c>
      <c r="I2" s="27">
        <v>29</v>
      </c>
      <c r="J2" s="27" t="s">
        <v>6</v>
      </c>
      <c r="K2" s="27" t="s">
        <v>105</v>
      </c>
    </row>
    <row r="3" spans="1:11" x14ac:dyDescent="0.2">
      <c r="A3" s="27" t="s">
        <v>101</v>
      </c>
      <c r="B3" s="27" t="s">
        <v>102</v>
      </c>
      <c r="C3" s="27">
        <v>1.8</v>
      </c>
      <c r="D3" s="27">
        <v>1999</v>
      </c>
      <c r="E3" s="27">
        <v>4</v>
      </c>
      <c r="F3" s="27" t="s">
        <v>106</v>
      </c>
      <c r="G3" s="27" t="s">
        <v>104</v>
      </c>
      <c r="H3" s="27">
        <v>21</v>
      </c>
      <c r="I3" s="27">
        <v>29</v>
      </c>
      <c r="J3" s="27" t="s">
        <v>6</v>
      </c>
      <c r="K3" s="27" t="s">
        <v>105</v>
      </c>
    </row>
    <row r="4" spans="1:11" x14ac:dyDescent="0.2">
      <c r="A4" s="27" t="s">
        <v>101</v>
      </c>
      <c r="B4" s="27" t="s">
        <v>102</v>
      </c>
      <c r="C4" s="27">
        <v>2</v>
      </c>
      <c r="D4" s="27">
        <v>2008</v>
      </c>
      <c r="E4" s="27">
        <v>4</v>
      </c>
      <c r="F4" s="27" t="s">
        <v>107</v>
      </c>
      <c r="G4" s="27" t="s">
        <v>104</v>
      </c>
      <c r="H4" s="27">
        <v>20</v>
      </c>
      <c r="I4" s="27">
        <v>31</v>
      </c>
      <c r="J4" s="27" t="s">
        <v>6</v>
      </c>
      <c r="K4" s="27" t="s">
        <v>105</v>
      </c>
    </row>
    <row r="5" spans="1:11" x14ac:dyDescent="0.2">
      <c r="A5" s="27" t="s">
        <v>101</v>
      </c>
      <c r="B5" s="27" t="s">
        <v>102</v>
      </c>
      <c r="C5" s="27">
        <v>2</v>
      </c>
      <c r="D5" s="27">
        <v>2008</v>
      </c>
      <c r="E5" s="27">
        <v>4</v>
      </c>
      <c r="F5" s="27" t="s">
        <v>108</v>
      </c>
      <c r="G5" s="27" t="s">
        <v>104</v>
      </c>
      <c r="H5" s="27">
        <v>21</v>
      </c>
      <c r="I5" s="27">
        <v>30</v>
      </c>
      <c r="J5" s="27" t="s">
        <v>6</v>
      </c>
      <c r="K5" s="27" t="s">
        <v>105</v>
      </c>
    </row>
    <row r="6" spans="1:11" x14ac:dyDescent="0.2">
      <c r="A6" s="27" t="s">
        <v>101</v>
      </c>
      <c r="B6" s="27" t="s">
        <v>102</v>
      </c>
      <c r="C6" s="27">
        <v>2.8</v>
      </c>
      <c r="D6" s="27">
        <v>1999</v>
      </c>
      <c r="E6" s="27">
        <v>6</v>
      </c>
      <c r="F6" s="27" t="s">
        <v>103</v>
      </c>
      <c r="G6" s="27" t="s">
        <v>104</v>
      </c>
      <c r="H6" s="27">
        <v>16</v>
      </c>
      <c r="I6" s="27">
        <v>26</v>
      </c>
      <c r="J6" s="27" t="s">
        <v>6</v>
      </c>
      <c r="K6" s="27" t="s">
        <v>105</v>
      </c>
    </row>
    <row r="7" spans="1:11" x14ac:dyDescent="0.2">
      <c r="A7" s="27" t="s">
        <v>101</v>
      </c>
      <c r="B7" s="27" t="s">
        <v>102</v>
      </c>
      <c r="C7" s="27">
        <v>2.8</v>
      </c>
      <c r="D7" s="27">
        <v>1999</v>
      </c>
      <c r="E7" s="27">
        <v>6</v>
      </c>
      <c r="F7" s="27" t="s">
        <v>106</v>
      </c>
      <c r="G7" s="27" t="s">
        <v>104</v>
      </c>
      <c r="H7" s="27">
        <v>18</v>
      </c>
      <c r="I7" s="27">
        <v>26</v>
      </c>
      <c r="J7" s="27" t="s">
        <v>6</v>
      </c>
      <c r="K7" s="27" t="s">
        <v>105</v>
      </c>
    </row>
    <row r="8" spans="1:11" x14ac:dyDescent="0.2">
      <c r="A8" s="27" t="s">
        <v>101</v>
      </c>
      <c r="B8" s="27" t="s">
        <v>102</v>
      </c>
      <c r="C8" s="27">
        <v>3.1</v>
      </c>
      <c r="D8" s="27">
        <v>2008</v>
      </c>
      <c r="E8" s="27">
        <v>6</v>
      </c>
      <c r="F8" s="27" t="s">
        <v>108</v>
      </c>
      <c r="G8" s="27" t="s">
        <v>104</v>
      </c>
      <c r="H8" s="27">
        <v>18</v>
      </c>
      <c r="I8" s="27">
        <v>27</v>
      </c>
      <c r="J8" s="27" t="s">
        <v>6</v>
      </c>
      <c r="K8" s="27" t="s">
        <v>105</v>
      </c>
    </row>
    <row r="9" spans="1:11" x14ac:dyDescent="0.2">
      <c r="A9" s="27" t="s">
        <v>101</v>
      </c>
      <c r="B9" s="27" t="s">
        <v>109</v>
      </c>
      <c r="C9" s="27">
        <v>1.8</v>
      </c>
      <c r="D9" s="27">
        <v>1999</v>
      </c>
      <c r="E9" s="27">
        <v>4</v>
      </c>
      <c r="F9" s="27" t="s">
        <v>106</v>
      </c>
      <c r="G9" s="27">
        <v>4</v>
      </c>
      <c r="H9" s="27">
        <v>18</v>
      </c>
      <c r="I9" s="27">
        <v>26</v>
      </c>
      <c r="J9" s="27" t="s">
        <v>6</v>
      </c>
      <c r="K9" s="27" t="s">
        <v>105</v>
      </c>
    </row>
    <row r="10" spans="1:11" x14ac:dyDescent="0.2">
      <c r="A10" s="27" t="s">
        <v>101</v>
      </c>
      <c r="B10" s="27" t="s">
        <v>109</v>
      </c>
      <c r="C10" s="27">
        <v>1.8</v>
      </c>
      <c r="D10" s="27">
        <v>1999</v>
      </c>
      <c r="E10" s="27">
        <v>4</v>
      </c>
      <c r="F10" s="27" t="s">
        <v>103</v>
      </c>
      <c r="G10" s="27">
        <v>4</v>
      </c>
      <c r="H10" s="27">
        <v>16</v>
      </c>
      <c r="I10" s="27">
        <v>25</v>
      </c>
      <c r="J10" s="27" t="s">
        <v>6</v>
      </c>
      <c r="K10" s="27" t="s">
        <v>105</v>
      </c>
    </row>
    <row r="11" spans="1:11" x14ac:dyDescent="0.2">
      <c r="A11" s="27" t="s">
        <v>101</v>
      </c>
      <c r="B11" s="27" t="s">
        <v>109</v>
      </c>
      <c r="C11" s="27">
        <v>2</v>
      </c>
      <c r="D11" s="27">
        <v>2008</v>
      </c>
      <c r="E11" s="27">
        <v>4</v>
      </c>
      <c r="F11" s="27" t="s">
        <v>107</v>
      </c>
      <c r="G11" s="27">
        <v>4</v>
      </c>
      <c r="H11" s="27">
        <v>20</v>
      </c>
      <c r="I11" s="27">
        <v>28</v>
      </c>
      <c r="J11" s="27" t="s">
        <v>6</v>
      </c>
      <c r="K11" s="27" t="s">
        <v>105</v>
      </c>
    </row>
    <row r="12" spans="1:11" x14ac:dyDescent="0.2">
      <c r="A12" s="27" t="s">
        <v>101</v>
      </c>
      <c r="B12" s="27" t="s">
        <v>109</v>
      </c>
      <c r="C12" s="27">
        <v>2</v>
      </c>
      <c r="D12" s="27">
        <v>2008</v>
      </c>
      <c r="E12" s="27">
        <v>4</v>
      </c>
      <c r="F12" s="27" t="s">
        <v>110</v>
      </c>
      <c r="G12" s="27">
        <v>4</v>
      </c>
      <c r="H12" s="27">
        <v>19</v>
      </c>
      <c r="I12" s="27">
        <v>27</v>
      </c>
      <c r="J12" s="27" t="s">
        <v>6</v>
      </c>
      <c r="K12" s="27" t="s">
        <v>105</v>
      </c>
    </row>
    <row r="13" spans="1:11" x14ac:dyDescent="0.2">
      <c r="A13" s="27" t="s">
        <v>101</v>
      </c>
      <c r="B13" s="27" t="s">
        <v>109</v>
      </c>
      <c r="C13" s="27">
        <v>2.8</v>
      </c>
      <c r="D13" s="27">
        <v>1999</v>
      </c>
      <c r="E13" s="27">
        <v>6</v>
      </c>
      <c r="F13" s="27" t="s">
        <v>103</v>
      </c>
      <c r="G13" s="27">
        <v>4</v>
      </c>
      <c r="H13" s="27">
        <v>15</v>
      </c>
      <c r="I13" s="27">
        <v>25</v>
      </c>
      <c r="J13" s="27" t="s">
        <v>6</v>
      </c>
      <c r="K13" s="27" t="s">
        <v>105</v>
      </c>
    </row>
    <row r="14" spans="1:11" x14ac:dyDescent="0.2">
      <c r="A14" s="27" t="s">
        <v>101</v>
      </c>
      <c r="B14" s="27" t="s">
        <v>109</v>
      </c>
      <c r="C14" s="27">
        <v>2.8</v>
      </c>
      <c r="D14" s="27">
        <v>1999</v>
      </c>
      <c r="E14" s="27">
        <v>6</v>
      </c>
      <c r="F14" s="27" t="s">
        <v>106</v>
      </c>
      <c r="G14" s="27">
        <v>4</v>
      </c>
      <c r="H14" s="27">
        <v>17</v>
      </c>
      <c r="I14" s="27">
        <v>25</v>
      </c>
      <c r="J14" s="27" t="s">
        <v>6</v>
      </c>
      <c r="K14" s="27" t="s">
        <v>105</v>
      </c>
    </row>
    <row r="15" spans="1:11" x14ac:dyDescent="0.2">
      <c r="A15" s="27" t="s">
        <v>101</v>
      </c>
      <c r="B15" s="27" t="s">
        <v>109</v>
      </c>
      <c r="C15" s="27">
        <v>3.1</v>
      </c>
      <c r="D15" s="27">
        <v>2008</v>
      </c>
      <c r="E15" s="27">
        <v>6</v>
      </c>
      <c r="F15" s="27" t="s">
        <v>110</v>
      </c>
      <c r="G15" s="27">
        <v>4</v>
      </c>
      <c r="H15" s="27">
        <v>17</v>
      </c>
      <c r="I15" s="27">
        <v>25</v>
      </c>
      <c r="J15" s="27" t="s">
        <v>6</v>
      </c>
      <c r="K15" s="27" t="s">
        <v>105</v>
      </c>
    </row>
    <row r="16" spans="1:11" x14ac:dyDescent="0.2">
      <c r="A16" s="27" t="s">
        <v>101</v>
      </c>
      <c r="B16" s="27" t="s">
        <v>109</v>
      </c>
      <c r="C16" s="27">
        <v>3.1</v>
      </c>
      <c r="D16" s="27">
        <v>2008</v>
      </c>
      <c r="E16" s="27">
        <v>6</v>
      </c>
      <c r="F16" s="27" t="s">
        <v>107</v>
      </c>
      <c r="G16" s="27">
        <v>4</v>
      </c>
      <c r="H16" s="27">
        <v>15</v>
      </c>
      <c r="I16" s="27">
        <v>25</v>
      </c>
      <c r="J16" s="27" t="s">
        <v>6</v>
      </c>
      <c r="K16" s="27" t="s">
        <v>105</v>
      </c>
    </row>
    <row r="17" spans="1:11" x14ac:dyDescent="0.2">
      <c r="A17" s="27" t="s">
        <v>101</v>
      </c>
      <c r="B17" s="27" t="s">
        <v>111</v>
      </c>
      <c r="C17" s="27">
        <v>2.8</v>
      </c>
      <c r="D17" s="27">
        <v>1999</v>
      </c>
      <c r="E17" s="27">
        <v>6</v>
      </c>
      <c r="F17" s="27" t="s">
        <v>103</v>
      </c>
      <c r="G17" s="27">
        <v>4</v>
      </c>
      <c r="H17" s="27">
        <v>15</v>
      </c>
      <c r="I17" s="27">
        <v>24</v>
      </c>
      <c r="J17" s="27" t="s">
        <v>6</v>
      </c>
      <c r="K17" s="27" t="s">
        <v>112</v>
      </c>
    </row>
    <row r="18" spans="1:11" x14ac:dyDescent="0.2">
      <c r="A18" s="27" t="s">
        <v>101</v>
      </c>
      <c r="B18" s="27" t="s">
        <v>111</v>
      </c>
      <c r="C18" s="27">
        <v>3.1</v>
      </c>
      <c r="D18" s="27">
        <v>2008</v>
      </c>
      <c r="E18" s="27">
        <v>6</v>
      </c>
      <c r="F18" s="27" t="s">
        <v>110</v>
      </c>
      <c r="G18" s="27">
        <v>4</v>
      </c>
      <c r="H18" s="27">
        <v>17</v>
      </c>
      <c r="I18" s="27">
        <v>25</v>
      </c>
      <c r="J18" s="27" t="s">
        <v>6</v>
      </c>
      <c r="K18" s="27" t="s">
        <v>112</v>
      </c>
    </row>
    <row r="19" spans="1:11" x14ac:dyDescent="0.2">
      <c r="A19" s="27" t="s">
        <v>101</v>
      </c>
      <c r="B19" s="27" t="s">
        <v>111</v>
      </c>
      <c r="C19" s="27">
        <v>4.2</v>
      </c>
      <c r="D19" s="27">
        <v>2008</v>
      </c>
      <c r="E19" s="27">
        <v>8</v>
      </c>
      <c r="F19" s="27" t="s">
        <v>110</v>
      </c>
      <c r="G19" s="27">
        <v>4</v>
      </c>
      <c r="H19" s="27">
        <v>16</v>
      </c>
      <c r="I19" s="27">
        <v>23</v>
      </c>
      <c r="J19" s="27" t="s">
        <v>6</v>
      </c>
      <c r="K19" s="27" t="s">
        <v>112</v>
      </c>
    </row>
    <row r="20" spans="1:11" x14ac:dyDescent="0.2">
      <c r="A20" s="27" t="s">
        <v>113</v>
      </c>
      <c r="B20" s="27" t="s">
        <v>114</v>
      </c>
      <c r="C20" s="27">
        <v>5.3</v>
      </c>
      <c r="D20" s="27">
        <v>2008</v>
      </c>
      <c r="E20" s="27">
        <v>8</v>
      </c>
      <c r="F20" s="27" t="s">
        <v>115</v>
      </c>
      <c r="G20" s="27" t="s">
        <v>116</v>
      </c>
      <c r="H20" s="27">
        <v>14</v>
      </c>
      <c r="I20" s="27">
        <v>20</v>
      </c>
      <c r="J20" s="27" t="s">
        <v>116</v>
      </c>
      <c r="K20" s="27" t="s">
        <v>117</v>
      </c>
    </row>
    <row r="21" spans="1:11" x14ac:dyDescent="0.2">
      <c r="A21" s="27" t="s">
        <v>113</v>
      </c>
      <c r="B21" s="27" t="s">
        <v>114</v>
      </c>
      <c r="C21" s="27">
        <v>5.3</v>
      </c>
      <c r="D21" s="27">
        <v>2008</v>
      </c>
      <c r="E21" s="27">
        <v>8</v>
      </c>
      <c r="F21" s="27" t="s">
        <v>115</v>
      </c>
      <c r="G21" s="27" t="s">
        <v>116</v>
      </c>
      <c r="H21" s="27">
        <v>11</v>
      </c>
      <c r="I21" s="27">
        <v>15</v>
      </c>
      <c r="J21" s="27" t="s">
        <v>118</v>
      </c>
      <c r="K21" s="27" t="s">
        <v>117</v>
      </c>
    </row>
    <row r="22" spans="1:11" x14ac:dyDescent="0.2">
      <c r="A22" s="27" t="s">
        <v>113</v>
      </c>
      <c r="B22" s="27" t="s">
        <v>114</v>
      </c>
      <c r="C22" s="27">
        <v>5.3</v>
      </c>
      <c r="D22" s="27">
        <v>2008</v>
      </c>
      <c r="E22" s="27">
        <v>8</v>
      </c>
      <c r="F22" s="27" t="s">
        <v>115</v>
      </c>
      <c r="G22" s="27" t="s">
        <v>116</v>
      </c>
      <c r="H22" s="27">
        <v>14</v>
      </c>
      <c r="I22" s="27">
        <v>20</v>
      </c>
      <c r="J22" s="27" t="s">
        <v>116</v>
      </c>
      <c r="K22" s="27" t="s">
        <v>117</v>
      </c>
    </row>
    <row r="23" spans="1:11" x14ac:dyDescent="0.2">
      <c r="A23" s="27" t="s">
        <v>113</v>
      </c>
      <c r="B23" s="27" t="s">
        <v>114</v>
      </c>
      <c r="C23" s="27">
        <v>5.7</v>
      </c>
      <c r="D23" s="27">
        <v>1999</v>
      </c>
      <c r="E23" s="27">
        <v>8</v>
      </c>
      <c r="F23" s="27" t="s">
        <v>115</v>
      </c>
      <c r="G23" s="27" t="s">
        <v>116</v>
      </c>
      <c r="H23" s="27">
        <v>13</v>
      </c>
      <c r="I23" s="27">
        <v>17</v>
      </c>
      <c r="J23" s="27" t="s">
        <v>116</v>
      </c>
      <c r="K23" s="27" t="s">
        <v>117</v>
      </c>
    </row>
    <row r="24" spans="1:11" x14ac:dyDescent="0.2">
      <c r="A24" s="27" t="s">
        <v>113</v>
      </c>
      <c r="B24" s="27" t="s">
        <v>114</v>
      </c>
      <c r="C24" s="27">
        <v>6</v>
      </c>
      <c r="D24" s="27">
        <v>2008</v>
      </c>
      <c r="E24" s="27">
        <v>8</v>
      </c>
      <c r="F24" s="27" t="s">
        <v>115</v>
      </c>
      <c r="G24" s="27" t="s">
        <v>116</v>
      </c>
      <c r="H24" s="27">
        <v>12</v>
      </c>
      <c r="I24" s="27">
        <v>17</v>
      </c>
      <c r="J24" s="27" t="s">
        <v>116</v>
      </c>
      <c r="K24" s="27" t="s">
        <v>117</v>
      </c>
    </row>
    <row r="25" spans="1:11" x14ac:dyDescent="0.2">
      <c r="A25" s="27" t="s">
        <v>113</v>
      </c>
      <c r="B25" s="27" t="s">
        <v>119</v>
      </c>
      <c r="C25" s="27">
        <v>5.7</v>
      </c>
      <c r="D25" s="27">
        <v>1999</v>
      </c>
      <c r="E25" s="27">
        <v>8</v>
      </c>
      <c r="F25" s="27" t="s">
        <v>107</v>
      </c>
      <c r="G25" s="27" t="s">
        <v>116</v>
      </c>
      <c r="H25" s="27">
        <v>16</v>
      </c>
      <c r="I25" s="27">
        <v>26</v>
      </c>
      <c r="J25" s="27" t="s">
        <v>6</v>
      </c>
      <c r="K25" s="27" t="s">
        <v>120</v>
      </c>
    </row>
    <row r="26" spans="1:11" x14ac:dyDescent="0.2">
      <c r="A26" s="27" t="s">
        <v>113</v>
      </c>
      <c r="B26" s="27" t="s">
        <v>119</v>
      </c>
      <c r="C26" s="27">
        <v>5.7</v>
      </c>
      <c r="D26" s="27">
        <v>1999</v>
      </c>
      <c r="E26" s="27">
        <v>8</v>
      </c>
      <c r="F26" s="27" t="s">
        <v>115</v>
      </c>
      <c r="G26" s="27" t="s">
        <v>116</v>
      </c>
      <c r="H26" s="27">
        <v>15</v>
      </c>
      <c r="I26" s="27">
        <v>23</v>
      </c>
      <c r="J26" s="27" t="s">
        <v>6</v>
      </c>
      <c r="K26" s="27" t="s">
        <v>120</v>
      </c>
    </row>
    <row r="27" spans="1:11" x14ac:dyDescent="0.2">
      <c r="A27" s="27" t="s">
        <v>113</v>
      </c>
      <c r="B27" s="27" t="s">
        <v>119</v>
      </c>
      <c r="C27" s="27">
        <v>6.2</v>
      </c>
      <c r="D27" s="27">
        <v>2008</v>
      </c>
      <c r="E27" s="27">
        <v>8</v>
      </c>
      <c r="F27" s="27" t="s">
        <v>107</v>
      </c>
      <c r="G27" s="27" t="s">
        <v>116</v>
      </c>
      <c r="H27" s="27">
        <v>16</v>
      </c>
      <c r="I27" s="27">
        <v>26</v>
      </c>
      <c r="J27" s="27" t="s">
        <v>6</v>
      </c>
      <c r="K27" s="27" t="s">
        <v>120</v>
      </c>
    </row>
    <row r="28" spans="1:11" x14ac:dyDescent="0.2">
      <c r="A28" s="27" t="s">
        <v>113</v>
      </c>
      <c r="B28" s="27" t="s">
        <v>119</v>
      </c>
      <c r="C28" s="27">
        <v>6.2</v>
      </c>
      <c r="D28" s="27">
        <v>2008</v>
      </c>
      <c r="E28" s="27">
        <v>8</v>
      </c>
      <c r="F28" s="27" t="s">
        <v>110</v>
      </c>
      <c r="G28" s="27" t="s">
        <v>116</v>
      </c>
      <c r="H28" s="27">
        <v>15</v>
      </c>
      <c r="I28" s="27">
        <v>25</v>
      </c>
      <c r="J28" s="27" t="s">
        <v>6</v>
      </c>
      <c r="K28" s="27" t="s">
        <v>120</v>
      </c>
    </row>
    <row r="29" spans="1:11" x14ac:dyDescent="0.2">
      <c r="A29" s="27" t="s">
        <v>113</v>
      </c>
      <c r="B29" s="27" t="s">
        <v>119</v>
      </c>
      <c r="C29" s="27">
        <v>7</v>
      </c>
      <c r="D29" s="27">
        <v>2008</v>
      </c>
      <c r="E29" s="27">
        <v>8</v>
      </c>
      <c r="F29" s="27" t="s">
        <v>107</v>
      </c>
      <c r="G29" s="27" t="s">
        <v>116</v>
      </c>
      <c r="H29" s="27">
        <v>15</v>
      </c>
      <c r="I29" s="27">
        <v>24</v>
      </c>
      <c r="J29" s="27" t="s">
        <v>6</v>
      </c>
      <c r="K29" s="27" t="s">
        <v>120</v>
      </c>
    </row>
    <row r="30" spans="1:11" x14ac:dyDescent="0.2">
      <c r="A30" s="27" t="s">
        <v>113</v>
      </c>
      <c r="B30" s="27" t="s">
        <v>121</v>
      </c>
      <c r="C30" s="27">
        <v>5.3</v>
      </c>
      <c r="D30" s="27">
        <v>2008</v>
      </c>
      <c r="E30" s="27">
        <v>8</v>
      </c>
      <c r="F30" s="27" t="s">
        <v>115</v>
      </c>
      <c r="G30" s="27">
        <v>4</v>
      </c>
      <c r="H30" s="27">
        <v>14</v>
      </c>
      <c r="I30" s="27">
        <v>19</v>
      </c>
      <c r="J30" s="27" t="s">
        <v>116</v>
      </c>
      <c r="K30" s="27" t="s">
        <v>117</v>
      </c>
    </row>
    <row r="31" spans="1:11" x14ac:dyDescent="0.2">
      <c r="A31" s="27" t="s">
        <v>113</v>
      </c>
      <c r="B31" s="27" t="s">
        <v>121</v>
      </c>
      <c r="C31" s="27">
        <v>5.3</v>
      </c>
      <c r="D31" s="27">
        <v>2008</v>
      </c>
      <c r="E31" s="27">
        <v>8</v>
      </c>
      <c r="F31" s="27" t="s">
        <v>115</v>
      </c>
      <c r="G31" s="27">
        <v>4</v>
      </c>
      <c r="H31" s="27">
        <v>11</v>
      </c>
      <c r="I31" s="27">
        <v>14</v>
      </c>
      <c r="J31" s="27" t="s">
        <v>118</v>
      </c>
      <c r="K31" s="27" t="s">
        <v>117</v>
      </c>
    </row>
    <row r="32" spans="1:11" x14ac:dyDescent="0.2">
      <c r="A32" s="27" t="s">
        <v>113</v>
      </c>
      <c r="B32" s="27" t="s">
        <v>121</v>
      </c>
      <c r="C32" s="27">
        <v>5.7</v>
      </c>
      <c r="D32" s="27">
        <v>1999</v>
      </c>
      <c r="E32" s="27">
        <v>8</v>
      </c>
      <c r="F32" s="27" t="s">
        <v>115</v>
      </c>
      <c r="G32" s="27">
        <v>4</v>
      </c>
      <c r="H32" s="27">
        <v>11</v>
      </c>
      <c r="I32" s="27">
        <v>15</v>
      </c>
      <c r="J32" s="27" t="s">
        <v>116</v>
      </c>
      <c r="K32" s="27" t="s">
        <v>117</v>
      </c>
    </row>
    <row r="33" spans="1:11" x14ac:dyDescent="0.2">
      <c r="A33" s="27" t="s">
        <v>113</v>
      </c>
      <c r="B33" s="27" t="s">
        <v>121</v>
      </c>
      <c r="C33" s="27">
        <v>6.5</v>
      </c>
      <c r="D33" s="27">
        <v>1999</v>
      </c>
      <c r="E33" s="27">
        <v>8</v>
      </c>
      <c r="F33" s="27" t="s">
        <v>115</v>
      </c>
      <c r="G33" s="27">
        <v>4</v>
      </c>
      <c r="H33" s="27">
        <v>14</v>
      </c>
      <c r="I33" s="27">
        <v>17</v>
      </c>
      <c r="J33" s="27" t="s">
        <v>122</v>
      </c>
      <c r="K33" s="27" t="s">
        <v>117</v>
      </c>
    </row>
    <row r="34" spans="1:11" x14ac:dyDescent="0.2">
      <c r="A34" s="27" t="s">
        <v>113</v>
      </c>
      <c r="B34" s="27" t="s">
        <v>123</v>
      </c>
      <c r="C34" s="27">
        <v>2.4</v>
      </c>
      <c r="D34" s="27">
        <v>1999</v>
      </c>
      <c r="E34" s="27">
        <v>4</v>
      </c>
      <c r="F34" s="27" t="s">
        <v>115</v>
      </c>
      <c r="G34" s="27" t="s">
        <v>104</v>
      </c>
      <c r="H34" s="27">
        <v>19</v>
      </c>
      <c r="I34" s="27">
        <v>27</v>
      </c>
      <c r="J34" s="27" t="s">
        <v>116</v>
      </c>
      <c r="K34" s="27" t="s">
        <v>112</v>
      </c>
    </row>
    <row r="35" spans="1:11" x14ac:dyDescent="0.2">
      <c r="A35" s="27" t="s">
        <v>113</v>
      </c>
      <c r="B35" s="27" t="s">
        <v>123</v>
      </c>
      <c r="C35" s="27">
        <v>2.4</v>
      </c>
      <c r="D35" s="27">
        <v>2008</v>
      </c>
      <c r="E35" s="27">
        <v>4</v>
      </c>
      <c r="F35" s="27" t="s">
        <v>115</v>
      </c>
      <c r="G35" s="27" t="s">
        <v>104</v>
      </c>
      <c r="H35" s="27">
        <v>22</v>
      </c>
      <c r="I35" s="27">
        <v>30</v>
      </c>
      <c r="J35" s="27" t="s">
        <v>116</v>
      </c>
      <c r="K35" s="27" t="s">
        <v>112</v>
      </c>
    </row>
    <row r="36" spans="1:11" x14ac:dyDescent="0.2">
      <c r="A36" s="27" t="s">
        <v>113</v>
      </c>
      <c r="B36" s="27" t="s">
        <v>123</v>
      </c>
      <c r="C36" s="27">
        <v>3.1</v>
      </c>
      <c r="D36" s="27">
        <v>1999</v>
      </c>
      <c r="E36" s="27">
        <v>6</v>
      </c>
      <c r="F36" s="27" t="s">
        <v>115</v>
      </c>
      <c r="G36" s="27" t="s">
        <v>104</v>
      </c>
      <c r="H36" s="27">
        <v>18</v>
      </c>
      <c r="I36" s="27">
        <v>26</v>
      </c>
      <c r="J36" s="27" t="s">
        <v>116</v>
      </c>
      <c r="K36" s="27" t="s">
        <v>112</v>
      </c>
    </row>
    <row r="37" spans="1:11" x14ac:dyDescent="0.2">
      <c r="A37" s="27" t="s">
        <v>113</v>
      </c>
      <c r="B37" s="27" t="s">
        <v>123</v>
      </c>
      <c r="C37" s="27">
        <v>3.5</v>
      </c>
      <c r="D37" s="27">
        <v>2008</v>
      </c>
      <c r="E37" s="27">
        <v>6</v>
      </c>
      <c r="F37" s="27" t="s">
        <v>115</v>
      </c>
      <c r="G37" s="27" t="s">
        <v>104</v>
      </c>
      <c r="H37" s="27">
        <v>18</v>
      </c>
      <c r="I37" s="27">
        <v>29</v>
      </c>
      <c r="J37" s="27" t="s">
        <v>116</v>
      </c>
      <c r="K37" s="27" t="s">
        <v>112</v>
      </c>
    </row>
    <row r="38" spans="1:11" x14ac:dyDescent="0.2">
      <c r="A38" s="27" t="s">
        <v>113</v>
      </c>
      <c r="B38" s="27" t="s">
        <v>123</v>
      </c>
      <c r="C38" s="27">
        <v>3.6</v>
      </c>
      <c r="D38" s="27">
        <v>2008</v>
      </c>
      <c r="E38" s="27">
        <v>6</v>
      </c>
      <c r="F38" s="27" t="s">
        <v>110</v>
      </c>
      <c r="G38" s="27" t="s">
        <v>104</v>
      </c>
      <c r="H38" s="27">
        <v>17</v>
      </c>
      <c r="I38" s="27">
        <v>26</v>
      </c>
      <c r="J38" s="27" t="s">
        <v>116</v>
      </c>
      <c r="K38" s="27" t="s">
        <v>112</v>
      </c>
    </row>
    <row r="39" spans="1:11" x14ac:dyDescent="0.2">
      <c r="A39" s="27" t="s">
        <v>124</v>
      </c>
      <c r="B39" s="27" t="s">
        <v>125</v>
      </c>
      <c r="C39" s="27">
        <v>2.4</v>
      </c>
      <c r="D39" s="27">
        <v>1999</v>
      </c>
      <c r="E39" s="27">
        <v>4</v>
      </c>
      <c r="F39" s="27" t="s">
        <v>126</v>
      </c>
      <c r="G39" s="27" t="s">
        <v>104</v>
      </c>
      <c r="H39" s="27">
        <v>18</v>
      </c>
      <c r="I39" s="27">
        <v>24</v>
      </c>
      <c r="J39" s="27" t="s">
        <v>116</v>
      </c>
      <c r="K39" s="27" t="s">
        <v>127</v>
      </c>
    </row>
    <row r="40" spans="1:11" x14ac:dyDescent="0.2">
      <c r="A40" s="27" t="s">
        <v>124</v>
      </c>
      <c r="B40" s="27" t="s">
        <v>125</v>
      </c>
      <c r="C40" s="27">
        <v>3</v>
      </c>
      <c r="D40" s="27">
        <v>1999</v>
      </c>
      <c r="E40" s="27">
        <v>6</v>
      </c>
      <c r="F40" s="27" t="s">
        <v>115</v>
      </c>
      <c r="G40" s="27" t="s">
        <v>104</v>
      </c>
      <c r="H40" s="27">
        <v>17</v>
      </c>
      <c r="I40" s="27">
        <v>24</v>
      </c>
      <c r="J40" s="27" t="s">
        <v>116</v>
      </c>
      <c r="K40" s="27" t="s">
        <v>127</v>
      </c>
    </row>
    <row r="41" spans="1:11" x14ac:dyDescent="0.2">
      <c r="A41" s="27" t="s">
        <v>124</v>
      </c>
      <c r="B41" s="27" t="s">
        <v>125</v>
      </c>
      <c r="C41" s="27">
        <v>3.3</v>
      </c>
      <c r="D41" s="27">
        <v>1999</v>
      </c>
      <c r="E41" s="27">
        <v>6</v>
      </c>
      <c r="F41" s="27" t="s">
        <v>115</v>
      </c>
      <c r="G41" s="27" t="s">
        <v>104</v>
      </c>
      <c r="H41" s="27">
        <v>16</v>
      </c>
      <c r="I41" s="27">
        <v>22</v>
      </c>
      <c r="J41" s="27" t="s">
        <v>116</v>
      </c>
      <c r="K41" s="27" t="s">
        <v>127</v>
      </c>
    </row>
    <row r="42" spans="1:11" x14ac:dyDescent="0.2">
      <c r="A42" s="27" t="s">
        <v>124</v>
      </c>
      <c r="B42" s="27" t="s">
        <v>125</v>
      </c>
      <c r="C42" s="27">
        <v>3.3</v>
      </c>
      <c r="D42" s="27">
        <v>1999</v>
      </c>
      <c r="E42" s="27">
        <v>6</v>
      </c>
      <c r="F42" s="27" t="s">
        <v>115</v>
      </c>
      <c r="G42" s="27" t="s">
        <v>104</v>
      </c>
      <c r="H42" s="27">
        <v>16</v>
      </c>
      <c r="I42" s="27">
        <v>22</v>
      </c>
      <c r="J42" s="27" t="s">
        <v>116</v>
      </c>
      <c r="K42" s="27" t="s">
        <v>127</v>
      </c>
    </row>
    <row r="43" spans="1:11" x14ac:dyDescent="0.2">
      <c r="A43" s="27" t="s">
        <v>124</v>
      </c>
      <c r="B43" s="27" t="s">
        <v>125</v>
      </c>
      <c r="C43" s="27">
        <v>3.3</v>
      </c>
      <c r="D43" s="27">
        <v>2008</v>
      </c>
      <c r="E43" s="27">
        <v>6</v>
      </c>
      <c r="F43" s="27" t="s">
        <v>115</v>
      </c>
      <c r="G43" s="27" t="s">
        <v>104</v>
      </c>
      <c r="H43" s="27">
        <v>17</v>
      </c>
      <c r="I43" s="27">
        <v>24</v>
      </c>
      <c r="J43" s="27" t="s">
        <v>116</v>
      </c>
      <c r="K43" s="27" t="s">
        <v>127</v>
      </c>
    </row>
    <row r="44" spans="1:11" x14ac:dyDescent="0.2">
      <c r="A44" s="27" t="s">
        <v>124</v>
      </c>
      <c r="B44" s="27" t="s">
        <v>125</v>
      </c>
      <c r="C44" s="27">
        <v>3.3</v>
      </c>
      <c r="D44" s="27">
        <v>2008</v>
      </c>
      <c r="E44" s="27">
        <v>6</v>
      </c>
      <c r="F44" s="27" t="s">
        <v>115</v>
      </c>
      <c r="G44" s="27" t="s">
        <v>104</v>
      </c>
      <c r="H44" s="27">
        <v>17</v>
      </c>
      <c r="I44" s="27">
        <v>24</v>
      </c>
      <c r="J44" s="27" t="s">
        <v>116</v>
      </c>
      <c r="K44" s="27" t="s">
        <v>127</v>
      </c>
    </row>
    <row r="45" spans="1:11" x14ac:dyDescent="0.2">
      <c r="A45" s="27" t="s">
        <v>124</v>
      </c>
      <c r="B45" s="27" t="s">
        <v>125</v>
      </c>
      <c r="C45" s="27">
        <v>3.3</v>
      </c>
      <c r="D45" s="27">
        <v>2008</v>
      </c>
      <c r="E45" s="27">
        <v>6</v>
      </c>
      <c r="F45" s="27" t="s">
        <v>115</v>
      </c>
      <c r="G45" s="27" t="s">
        <v>104</v>
      </c>
      <c r="H45" s="27">
        <v>11</v>
      </c>
      <c r="I45" s="27">
        <v>17</v>
      </c>
      <c r="J45" s="27" t="s">
        <v>118</v>
      </c>
      <c r="K45" s="27" t="s">
        <v>127</v>
      </c>
    </row>
    <row r="46" spans="1:11" x14ac:dyDescent="0.2">
      <c r="A46" s="27" t="s">
        <v>124</v>
      </c>
      <c r="B46" s="27" t="s">
        <v>125</v>
      </c>
      <c r="C46" s="27">
        <v>3.8</v>
      </c>
      <c r="D46" s="27">
        <v>1999</v>
      </c>
      <c r="E46" s="27">
        <v>6</v>
      </c>
      <c r="F46" s="27" t="s">
        <v>115</v>
      </c>
      <c r="G46" s="27" t="s">
        <v>104</v>
      </c>
      <c r="H46" s="27">
        <v>15</v>
      </c>
      <c r="I46" s="27">
        <v>22</v>
      </c>
      <c r="J46" s="27" t="s">
        <v>116</v>
      </c>
      <c r="K46" s="27" t="s">
        <v>127</v>
      </c>
    </row>
    <row r="47" spans="1:11" x14ac:dyDescent="0.2">
      <c r="A47" s="27" t="s">
        <v>124</v>
      </c>
      <c r="B47" s="27" t="s">
        <v>125</v>
      </c>
      <c r="C47" s="27">
        <v>3.8</v>
      </c>
      <c r="D47" s="27">
        <v>1999</v>
      </c>
      <c r="E47" s="27">
        <v>6</v>
      </c>
      <c r="F47" s="27" t="s">
        <v>115</v>
      </c>
      <c r="G47" s="27" t="s">
        <v>104</v>
      </c>
      <c r="H47" s="27">
        <v>15</v>
      </c>
      <c r="I47" s="27">
        <v>21</v>
      </c>
      <c r="J47" s="27" t="s">
        <v>116</v>
      </c>
      <c r="K47" s="27" t="s">
        <v>127</v>
      </c>
    </row>
    <row r="48" spans="1:11" x14ac:dyDescent="0.2">
      <c r="A48" s="27" t="s">
        <v>124</v>
      </c>
      <c r="B48" s="27" t="s">
        <v>125</v>
      </c>
      <c r="C48" s="27">
        <v>3.8</v>
      </c>
      <c r="D48" s="27">
        <v>2008</v>
      </c>
      <c r="E48" s="27">
        <v>6</v>
      </c>
      <c r="F48" s="27" t="s">
        <v>128</v>
      </c>
      <c r="G48" s="27" t="s">
        <v>104</v>
      </c>
      <c r="H48" s="27">
        <v>16</v>
      </c>
      <c r="I48" s="27">
        <v>23</v>
      </c>
      <c r="J48" s="27" t="s">
        <v>116</v>
      </c>
      <c r="K48" s="27" t="s">
        <v>127</v>
      </c>
    </row>
    <row r="49" spans="1:11" x14ac:dyDescent="0.2">
      <c r="A49" s="27" t="s">
        <v>124</v>
      </c>
      <c r="B49" s="27" t="s">
        <v>125</v>
      </c>
      <c r="C49" s="27">
        <v>4</v>
      </c>
      <c r="D49" s="27">
        <v>2008</v>
      </c>
      <c r="E49" s="27">
        <v>6</v>
      </c>
      <c r="F49" s="27" t="s">
        <v>128</v>
      </c>
      <c r="G49" s="27" t="s">
        <v>104</v>
      </c>
      <c r="H49" s="27">
        <v>16</v>
      </c>
      <c r="I49" s="27">
        <v>23</v>
      </c>
      <c r="J49" s="27" t="s">
        <v>116</v>
      </c>
      <c r="K49" s="27" t="s">
        <v>127</v>
      </c>
    </row>
    <row r="50" spans="1:11" x14ac:dyDescent="0.2">
      <c r="A50" s="27" t="s">
        <v>124</v>
      </c>
      <c r="B50" s="27" t="s">
        <v>129</v>
      </c>
      <c r="C50" s="27">
        <v>3.7</v>
      </c>
      <c r="D50" s="27">
        <v>2008</v>
      </c>
      <c r="E50" s="27">
        <v>6</v>
      </c>
      <c r="F50" s="27" t="s">
        <v>107</v>
      </c>
      <c r="G50" s="27">
        <v>4</v>
      </c>
      <c r="H50" s="27">
        <v>15</v>
      </c>
      <c r="I50" s="27">
        <v>19</v>
      </c>
      <c r="J50" s="27" t="s">
        <v>116</v>
      </c>
      <c r="K50" s="27" t="s">
        <v>130</v>
      </c>
    </row>
    <row r="51" spans="1:11" x14ac:dyDescent="0.2">
      <c r="A51" s="27" t="s">
        <v>124</v>
      </c>
      <c r="B51" s="27" t="s">
        <v>129</v>
      </c>
      <c r="C51" s="27">
        <v>3.7</v>
      </c>
      <c r="D51" s="27">
        <v>2008</v>
      </c>
      <c r="E51" s="27">
        <v>6</v>
      </c>
      <c r="F51" s="27" t="s">
        <v>115</v>
      </c>
      <c r="G51" s="27">
        <v>4</v>
      </c>
      <c r="H51" s="27">
        <v>14</v>
      </c>
      <c r="I51" s="27">
        <v>18</v>
      </c>
      <c r="J51" s="27" t="s">
        <v>116</v>
      </c>
      <c r="K51" s="27" t="s">
        <v>130</v>
      </c>
    </row>
    <row r="52" spans="1:11" x14ac:dyDescent="0.2">
      <c r="A52" s="27" t="s">
        <v>124</v>
      </c>
      <c r="B52" s="27" t="s">
        <v>129</v>
      </c>
      <c r="C52" s="27">
        <v>3.9</v>
      </c>
      <c r="D52" s="27">
        <v>1999</v>
      </c>
      <c r="E52" s="27">
        <v>6</v>
      </c>
      <c r="F52" s="27" t="s">
        <v>115</v>
      </c>
      <c r="G52" s="27">
        <v>4</v>
      </c>
      <c r="H52" s="27">
        <v>13</v>
      </c>
      <c r="I52" s="27">
        <v>17</v>
      </c>
      <c r="J52" s="27" t="s">
        <v>116</v>
      </c>
      <c r="K52" s="27" t="s">
        <v>130</v>
      </c>
    </row>
    <row r="53" spans="1:11" x14ac:dyDescent="0.2">
      <c r="A53" s="27" t="s">
        <v>124</v>
      </c>
      <c r="B53" s="27" t="s">
        <v>129</v>
      </c>
      <c r="C53" s="27">
        <v>3.9</v>
      </c>
      <c r="D53" s="27">
        <v>1999</v>
      </c>
      <c r="E53" s="27">
        <v>6</v>
      </c>
      <c r="F53" s="27" t="s">
        <v>106</v>
      </c>
      <c r="G53" s="27">
        <v>4</v>
      </c>
      <c r="H53" s="27">
        <v>14</v>
      </c>
      <c r="I53" s="27">
        <v>17</v>
      </c>
      <c r="J53" s="27" t="s">
        <v>116</v>
      </c>
      <c r="K53" s="27" t="s">
        <v>130</v>
      </c>
    </row>
    <row r="54" spans="1:11" x14ac:dyDescent="0.2">
      <c r="A54" s="27" t="s">
        <v>124</v>
      </c>
      <c r="B54" s="27" t="s">
        <v>129</v>
      </c>
      <c r="C54" s="27">
        <v>4.7</v>
      </c>
      <c r="D54" s="27">
        <v>2008</v>
      </c>
      <c r="E54" s="27">
        <v>8</v>
      </c>
      <c r="F54" s="27" t="s">
        <v>103</v>
      </c>
      <c r="G54" s="27">
        <v>4</v>
      </c>
      <c r="H54" s="27">
        <v>14</v>
      </c>
      <c r="I54" s="27">
        <v>19</v>
      </c>
      <c r="J54" s="27" t="s">
        <v>116</v>
      </c>
      <c r="K54" s="27" t="s">
        <v>130</v>
      </c>
    </row>
    <row r="55" spans="1:11" x14ac:dyDescent="0.2">
      <c r="A55" s="27" t="s">
        <v>124</v>
      </c>
      <c r="B55" s="27" t="s">
        <v>129</v>
      </c>
      <c r="C55" s="27">
        <v>4.7</v>
      </c>
      <c r="D55" s="27">
        <v>2008</v>
      </c>
      <c r="E55" s="27">
        <v>8</v>
      </c>
      <c r="F55" s="27" t="s">
        <v>103</v>
      </c>
      <c r="G55" s="27">
        <v>4</v>
      </c>
      <c r="H55" s="27">
        <v>14</v>
      </c>
      <c r="I55" s="27">
        <v>19</v>
      </c>
      <c r="J55" s="27" t="s">
        <v>116</v>
      </c>
      <c r="K55" s="27" t="s">
        <v>130</v>
      </c>
    </row>
    <row r="56" spans="1:11" x14ac:dyDescent="0.2">
      <c r="A56" s="27" t="s">
        <v>124</v>
      </c>
      <c r="B56" s="27" t="s">
        <v>129</v>
      </c>
      <c r="C56" s="27">
        <v>4.7</v>
      </c>
      <c r="D56" s="27">
        <v>2008</v>
      </c>
      <c r="E56" s="27">
        <v>8</v>
      </c>
      <c r="F56" s="27" t="s">
        <v>103</v>
      </c>
      <c r="G56" s="27">
        <v>4</v>
      </c>
      <c r="H56" s="27">
        <v>9</v>
      </c>
      <c r="I56" s="27">
        <v>12</v>
      </c>
      <c r="J56" s="27" t="s">
        <v>118</v>
      </c>
      <c r="K56" s="27" t="s">
        <v>130</v>
      </c>
    </row>
    <row r="57" spans="1:11" x14ac:dyDescent="0.2">
      <c r="A57" s="27" t="s">
        <v>124</v>
      </c>
      <c r="B57" s="27" t="s">
        <v>129</v>
      </c>
      <c r="C57" s="27">
        <v>5.2</v>
      </c>
      <c r="D57" s="27">
        <v>1999</v>
      </c>
      <c r="E57" s="27">
        <v>8</v>
      </c>
      <c r="F57" s="27" t="s">
        <v>106</v>
      </c>
      <c r="G57" s="27">
        <v>4</v>
      </c>
      <c r="H57" s="27">
        <v>11</v>
      </c>
      <c r="I57" s="27">
        <v>17</v>
      </c>
      <c r="J57" s="27" t="s">
        <v>116</v>
      </c>
      <c r="K57" s="27" t="s">
        <v>130</v>
      </c>
    </row>
    <row r="58" spans="1:11" x14ac:dyDescent="0.2">
      <c r="A58" s="27" t="s">
        <v>124</v>
      </c>
      <c r="B58" s="27" t="s">
        <v>129</v>
      </c>
      <c r="C58" s="27">
        <v>5.2</v>
      </c>
      <c r="D58" s="27">
        <v>1999</v>
      </c>
      <c r="E58" s="27">
        <v>8</v>
      </c>
      <c r="F58" s="27" t="s">
        <v>115</v>
      </c>
      <c r="G58" s="27">
        <v>4</v>
      </c>
      <c r="H58" s="27">
        <v>11</v>
      </c>
      <c r="I58" s="27">
        <v>15</v>
      </c>
      <c r="J58" s="27" t="s">
        <v>116</v>
      </c>
      <c r="K58" s="27" t="s">
        <v>130</v>
      </c>
    </row>
    <row r="59" spans="1:11" x14ac:dyDescent="0.2">
      <c r="A59" s="27" t="s">
        <v>124</v>
      </c>
      <c r="B59" s="27" t="s">
        <v>131</v>
      </c>
      <c r="C59" s="27">
        <v>3.9</v>
      </c>
      <c r="D59" s="27">
        <v>1999</v>
      </c>
      <c r="E59" s="27">
        <v>6</v>
      </c>
      <c r="F59" s="27" t="s">
        <v>115</v>
      </c>
      <c r="G59" s="27">
        <v>4</v>
      </c>
      <c r="H59" s="27">
        <v>13</v>
      </c>
      <c r="I59" s="27">
        <v>17</v>
      </c>
      <c r="J59" s="27" t="s">
        <v>116</v>
      </c>
      <c r="K59" s="27" t="s">
        <v>117</v>
      </c>
    </row>
    <row r="60" spans="1:11" x14ac:dyDescent="0.2">
      <c r="A60" s="27" t="s">
        <v>124</v>
      </c>
      <c r="B60" s="27" t="s">
        <v>131</v>
      </c>
      <c r="C60" s="27">
        <v>4.7</v>
      </c>
      <c r="D60" s="27">
        <v>2008</v>
      </c>
      <c r="E60" s="27">
        <v>8</v>
      </c>
      <c r="F60" s="27" t="s">
        <v>103</v>
      </c>
      <c r="G60" s="27">
        <v>4</v>
      </c>
      <c r="H60" s="27">
        <v>13</v>
      </c>
      <c r="I60" s="27">
        <v>17</v>
      </c>
      <c r="J60" s="27" t="s">
        <v>116</v>
      </c>
      <c r="K60" s="27" t="s">
        <v>117</v>
      </c>
    </row>
    <row r="61" spans="1:11" x14ac:dyDescent="0.2">
      <c r="A61" s="27" t="s">
        <v>124</v>
      </c>
      <c r="B61" s="27" t="s">
        <v>131</v>
      </c>
      <c r="C61" s="27">
        <v>4.7</v>
      </c>
      <c r="D61" s="27">
        <v>2008</v>
      </c>
      <c r="E61" s="27">
        <v>8</v>
      </c>
      <c r="F61" s="27" t="s">
        <v>103</v>
      </c>
      <c r="G61" s="27">
        <v>4</v>
      </c>
      <c r="H61" s="27">
        <v>9</v>
      </c>
      <c r="I61" s="27">
        <v>12</v>
      </c>
      <c r="J61" s="27" t="s">
        <v>118</v>
      </c>
      <c r="K61" s="27" t="s">
        <v>117</v>
      </c>
    </row>
    <row r="62" spans="1:11" x14ac:dyDescent="0.2">
      <c r="A62" s="27" t="s">
        <v>124</v>
      </c>
      <c r="B62" s="27" t="s">
        <v>131</v>
      </c>
      <c r="C62" s="27">
        <v>4.7</v>
      </c>
      <c r="D62" s="27">
        <v>2008</v>
      </c>
      <c r="E62" s="27">
        <v>8</v>
      </c>
      <c r="F62" s="27" t="s">
        <v>103</v>
      </c>
      <c r="G62" s="27">
        <v>4</v>
      </c>
      <c r="H62" s="27">
        <v>13</v>
      </c>
      <c r="I62" s="27">
        <v>17</v>
      </c>
      <c r="J62" s="27" t="s">
        <v>116</v>
      </c>
      <c r="K62" s="27" t="s">
        <v>117</v>
      </c>
    </row>
    <row r="63" spans="1:11" x14ac:dyDescent="0.2">
      <c r="A63" s="27" t="s">
        <v>124</v>
      </c>
      <c r="B63" s="27" t="s">
        <v>131</v>
      </c>
      <c r="C63" s="27">
        <v>5.2</v>
      </c>
      <c r="D63" s="27">
        <v>1999</v>
      </c>
      <c r="E63" s="27">
        <v>8</v>
      </c>
      <c r="F63" s="27" t="s">
        <v>115</v>
      </c>
      <c r="G63" s="27">
        <v>4</v>
      </c>
      <c r="H63" s="27">
        <v>11</v>
      </c>
      <c r="I63" s="27">
        <v>16</v>
      </c>
      <c r="J63" s="27" t="s">
        <v>116</v>
      </c>
      <c r="K63" s="27" t="s">
        <v>117</v>
      </c>
    </row>
    <row r="64" spans="1:11" x14ac:dyDescent="0.2">
      <c r="A64" s="27" t="s">
        <v>124</v>
      </c>
      <c r="B64" s="27" t="s">
        <v>131</v>
      </c>
      <c r="C64" s="27">
        <v>5.7</v>
      </c>
      <c r="D64" s="27">
        <v>2008</v>
      </c>
      <c r="E64" s="27">
        <v>8</v>
      </c>
      <c r="F64" s="27" t="s">
        <v>103</v>
      </c>
      <c r="G64" s="27">
        <v>4</v>
      </c>
      <c r="H64" s="27">
        <v>13</v>
      </c>
      <c r="I64" s="27">
        <v>18</v>
      </c>
      <c r="J64" s="27" t="s">
        <v>116</v>
      </c>
      <c r="K64" s="27" t="s">
        <v>117</v>
      </c>
    </row>
    <row r="65" spans="1:11" x14ac:dyDescent="0.2">
      <c r="A65" s="27" t="s">
        <v>124</v>
      </c>
      <c r="B65" s="27" t="s">
        <v>131</v>
      </c>
      <c r="C65" s="27">
        <v>5.9</v>
      </c>
      <c r="D65" s="27">
        <v>1999</v>
      </c>
      <c r="E65" s="27">
        <v>8</v>
      </c>
      <c r="F65" s="27" t="s">
        <v>115</v>
      </c>
      <c r="G65" s="27">
        <v>4</v>
      </c>
      <c r="H65" s="27">
        <v>11</v>
      </c>
      <c r="I65" s="27">
        <v>15</v>
      </c>
      <c r="J65" s="27" t="s">
        <v>116</v>
      </c>
      <c r="K65" s="27" t="s">
        <v>117</v>
      </c>
    </row>
    <row r="66" spans="1:11" x14ac:dyDescent="0.2">
      <c r="A66" s="27" t="s">
        <v>124</v>
      </c>
      <c r="B66" s="27" t="s">
        <v>132</v>
      </c>
      <c r="C66" s="27">
        <v>4.7</v>
      </c>
      <c r="D66" s="27">
        <v>2008</v>
      </c>
      <c r="E66" s="27">
        <v>8</v>
      </c>
      <c r="F66" s="27" t="s">
        <v>107</v>
      </c>
      <c r="G66" s="27">
        <v>4</v>
      </c>
      <c r="H66" s="27">
        <v>12</v>
      </c>
      <c r="I66" s="27">
        <v>16</v>
      </c>
      <c r="J66" s="27" t="s">
        <v>116</v>
      </c>
      <c r="K66" s="27" t="s">
        <v>130</v>
      </c>
    </row>
    <row r="67" spans="1:11" x14ac:dyDescent="0.2">
      <c r="A67" s="27" t="s">
        <v>124</v>
      </c>
      <c r="B67" s="27" t="s">
        <v>132</v>
      </c>
      <c r="C67" s="27">
        <v>4.7</v>
      </c>
      <c r="D67" s="27">
        <v>2008</v>
      </c>
      <c r="E67" s="27">
        <v>8</v>
      </c>
      <c r="F67" s="27" t="s">
        <v>103</v>
      </c>
      <c r="G67" s="27">
        <v>4</v>
      </c>
      <c r="H67" s="27">
        <v>9</v>
      </c>
      <c r="I67" s="27">
        <v>12</v>
      </c>
      <c r="J67" s="27" t="s">
        <v>118</v>
      </c>
      <c r="K67" s="27" t="s">
        <v>130</v>
      </c>
    </row>
    <row r="68" spans="1:11" x14ac:dyDescent="0.2">
      <c r="A68" s="27" t="s">
        <v>124</v>
      </c>
      <c r="B68" s="27" t="s">
        <v>132</v>
      </c>
      <c r="C68" s="27">
        <v>4.7</v>
      </c>
      <c r="D68" s="27">
        <v>2008</v>
      </c>
      <c r="E68" s="27">
        <v>8</v>
      </c>
      <c r="F68" s="27" t="s">
        <v>103</v>
      </c>
      <c r="G68" s="27">
        <v>4</v>
      </c>
      <c r="H68" s="27">
        <v>13</v>
      </c>
      <c r="I68" s="27">
        <v>17</v>
      </c>
      <c r="J68" s="27" t="s">
        <v>116</v>
      </c>
      <c r="K68" s="27" t="s">
        <v>130</v>
      </c>
    </row>
    <row r="69" spans="1:11" x14ac:dyDescent="0.2">
      <c r="A69" s="27" t="s">
        <v>124</v>
      </c>
      <c r="B69" s="27" t="s">
        <v>132</v>
      </c>
      <c r="C69" s="27">
        <v>4.7</v>
      </c>
      <c r="D69" s="27">
        <v>2008</v>
      </c>
      <c r="E69" s="27">
        <v>8</v>
      </c>
      <c r="F69" s="27" t="s">
        <v>103</v>
      </c>
      <c r="G69" s="27">
        <v>4</v>
      </c>
      <c r="H69" s="27">
        <v>13</v>
      </c>
      <c r="I69" s="27">
        <v>17</v>
      </c>
      <c r="J69" s="27" t="s">
        <v>116</v>
      </c>
      <c r="K69" s="27" t="s">
        <v>130</v>
      </c>
    </row>
    <row r="70" spans="1:11" x14ac:dyDescent="0.2">
      <c r="A70" s="27" t="s">
        <v>124</v>
      </c>
      <c r="B70" s="27" t="s">
        <v>132</v>
      </c>
      <c r="C70" s="27">
        <v>4.7</v>
      </c>
      <c r="D70" s="27">
        <v>2008</v>
      </c>
      <c r="E70" s="27">
        <v>8</v>
      </c>
      <c r="F70" s="27" t="s">
        <v>107</v>
      </c>
      <c r="G70" s="27">
        <v>4</v>
      </c>
      <c r="H70" s="27">
        <v>12</v>
      </c>
      <c r="I70" s="27">
        <v>16</v>
      </c>
      <c r="J70" s="27" t="s">
        <v>116</v>
      </c>
      <c r="K70" s="27" t="s">
        <v>130</v>
      </c>
    </row>
    <row r="71" spans="1:11" x14ac:dyDescent="0.2">
      <c r="A71" s="27" t="s">
        <v>124</v>
      </c>
      <c r="B71" s="27" t="s">
        <v>132</v>
      </c>
      <c r="C71" s="27">
        <v>4.7</v>
      </c>
      <c r="D71" s="27">
        <v>2008</v>
      </c>
      <c r="E71" s="27">
        <v>8</v>
      </c>
      <c r="F71" s="27" t="s">
        <v>107</v>
      </c>
      <c r="G71" s="27">
        <v>4</v>
      </c>
      <c r="H71" s="27">
        <v>9</v>
      </c>
      <c r="I71" s="27">
        <v>12</v>
      </c>
      <c r="J71" s="27" t="s">
        <v>118</v>
      </c>
      <c r="K71" s="27" t="s">
        <v>130</v>
      </c>
    </row>
    <row r="72" spans="1:11" x14ac:dyDescent="0.2">
      <c r="A72" s="27" t="s">
        <v>124</v>
      </c>
      <c r="B72" s="27" t="s">
        <v>132</v>
      </c>
      <c r="C72" s="27">
        <v>5.2</v>
      </c>
      <c r="D72" s="27">
        <v>1999</v>
      </c>
      <c r="E72" s="27">
        <v>8</v>
      </c>
      <c r="F72" s="27" t="s">
        <v>115</v>
      </c>
      <c r="G72" s="27">
        <v>4</v>
      </c>
      <c r="H72" s="27">
        <v>11</v>
      </c>
      <c r="I72" s="27">
        <v>15</v>
      </c>
      <c r="J72" s="27" t="s">
        <v>116</v>
      </c>
      <c r="K72" s="27" t="s">
        <v>130</v>
      </c>
    </row>
    <row r="73" spans="1:11" x14ac:dyDescent="0.2">
      <c r="A73" s="27" t="s">
        <v>124</v>
      </c>
      <c r="B73" s="27" t="s">
        <v>132</v>
      </c>
      <c r="C73" s="27">
        <v>5.2</v>
      </c>
      <c r="D73" s="27">
        <v>1999</v>
      </c>
      <c r="E73" s="27">
        <v>8</v>
      </c>
      <c r="F73" s="27" t="s">
        <v>106</v>
      </c>
      <c r="G73" s="27">
        <v>4</v>
      </c>
      <c r="H73" s="27">
        <v>11</v>
      </c>
      <c r="I73" s="27">
        <v>16</v>
      </c>
      <c r="J73" s="27" t="s">
        <v>116</v>
      </c>
      <c r="K73" s="27" t="s">
        <v>130</v>
      </c>
    </row>
    <row r="74" spans="1:11" x14ac:dyDescent="0.2">
      <c r="A74" s="27" t="s">
        <v>124</v>
      </c>
      <c r="B74" s="27" t="s">
        <v>132</v>
      </c>
      <c r="C74" s="27">
        <v>5.7</v>
      </c>
      <c r="D74" s="27">
        <v>2008</v>
      </c>
      <c r="E74" s="27">
        <v>8</v>
      </c>
      <c r="F74" s="27" t="s">
        <v>103</v>
      </c>
      <c r="G74" s="27">
        <v>4</v>
      </c>
      <c r="H74" s="27">
        <v>13</v>
      </c>
      <c r="I74" s="27">
        <v>17</v>
      </c>
      <c r="J74" s="27" t="s">
        <v>116</v>
      </c>
      <c r="K74" s="27" t="s">
        <v>130</v>
      </c>
    </row>
    <row r="75" spans="1:11" x14ac:dyDescent="0.2">
      <c r="A75" s="27" t="s">
        <v>124</v>
      </c>
      <c r="B75" s="27" t="s">
        <v>132</v>
      </c>
      <c r="C75" s="27">
        <v>5.9</v>
      </c>
      <c r="D75" s="27">
        <v>1999</v>
      </c>
      <c r="E75" s="27">
        <v>8</v>
      </c>
      <c r="F75" s="27" t="s">
        <v>115</v>
      </c>
      <c r="G75" s="27">
        <v>4</v>
      </c>
      <c r="H75" s="27">
        <v>11</v>
      </c>
      <c r="I75" s="27">
        <v>15</v>
      </c>
      <c r="J75" s="27" t="s">
        <v>116</v>
      </c>
      <c r="K75" s="27" t="s">
        <v>130</v>
      </c>
    </row>
    <row r="76" spans="1:11" x14ac:dyDescent="0.2">
      <c r="A76" s="27" t="s">
        <v>133</v>
      </c>
      <c r="B76" s="27" t="s">
        <v>134</v>
      </c>
      <c r="C76" s="27">
        <v>4.5999999999999996</v>
      </c>
      <c r="D76" s="27">
        <v>1999</v>
      </c>
      <c r="E76" s="27">
        <v>8</v>
      </c>
      <c r="F76" s="27" t="s">
        <v>115</v>
      </c>
      <c r="G76" s="27" t="s">
        <v>116</v>
      </c>
      <c r="H76" s="27">
        <v>11</v>
      </c>
      <c r="I76" s="27">
        <v>17</v>
      </c>
      <c r="J76" s="27" t="s">
        <v>116</v>
      </c>
      <c r="K76" s="27" t="s">
        <v>117</v>
      </c>
    </row>
    <row r="77" spans="1:11" x14ac:dyDescent="0.2">
      <c r="A77" s="27" t="s">
        <v>133</v>
      </c>
      <c r="B77" s="27" t="s">
        <v>134</v>
      </c>
      <c r="C77" s="27">
        <v>5.4</v>
      </c>
      <c r="D77" s="27">
        <v>1999</v>
      </c>
      <c r="E77" s="27">
        <v>8</v>
      </c>
      <c r="F77" s="27" t="s">
        <v>115</v>
      </c>
      <c r="G77" s="27" t="s">
        <v>116</v>
      </c>
      <c r="H77" s="27">
        <v>11</v>
      </c>
      <c r="I77" s="27">
        <v>17</v>
      </c>
      <c r="J77" s="27" t="s">
        <v>116</v>
      </c>
      <c r="K77" s="27" t="s">
        <v>117</v>
      </c>
    </row>
    <row r="78" spans="1:11" x14ac:dyDescent="0.2">
      <c r="A78" s="27" t="s">
        <v>133</v>
      </c>
      <c r="B78" s="27" t="s">
        <v>134</v>
      </c>
      <c r="C78" s="27">
        <v>5.4</v>
      </c>
      <c r="D78" s="27">
        <v>2008</v>
      </c>
      <c r="E78" s="27">
        <v>8</v>
      </c>
      <c r="F78" s="27" t="s">
        <v>128</v>
      </c>
      <c r="G78" s="27" t="s">
        <v>116</v>
      </c>
      <c r="H78" s="27">
        <v>12</v>
      </c>
      <c r="I78" s="27">
        <v>18</v>
      </c>
      <c r="J78" s="27" t="s">
        <v>116</v>
      </c>
      <c r="K78" s="27" t="s">
        <v>117</v>
      </c>
    </row>
    <row r="79" spans="1:11" x14ac:dyDescent="0.2">
      <c r="A79" s="27" t="s">
        <v>133</v>
      </c>
      <c r="B79" s="27" t="s">
        <v>135</v>
      </c>
      <c r="C79" s="27">
        <v>4</v>
      </c>
      <c r="D79" s="27">
        <v>1999</v>
      </c>
      <c r="E79" s="27">
        <v>6</v>
      </c>
      <c r="F79" s="27" t="s">
        <v>103</v>
      </c>
      <c r="G79" s="27">
        <v>4</v>
      </c>
      <c r="H79" s="27">
        <v>14</v>
      </c>
      <c r="I79" s="27">
        <v>17</v>
      </c>
      <c r="J79" s="27" t="s">
        <v>116</v>
      </c>
      <c r="K79" s="27" t="s">
        <v>117</v>
      </c>
    </row>
    <row r="80" spans="1:11" x14ac:dyDescent="0.2">
      <c r="A80" s="27" t="s">
        <v>133</v>
      </c>
      <c r="B80" s="27" t="s">
        <v>135</v>
      </c>
      <c r="C80" s="27">
        <v>4</v>
      </c>
      <c r="D80" s="27">
        <v>1999</v>
      </c>
      <c r="E80" s="27">
        <v>6</v>
      </c>
      <c r="F80" s="27" t="s">
        <v>106</v>
      </c>
      <c r="G80" s="27">
        <v>4</v>
      </c>
      <c r="H80" s="27">
        <v>15</v>
      </c>
      <c r="I80" s="27">
        <v>19</v>
      </c>
      <c r="J80" s="27" t="s">
        <v>116</v>
      </c>
      <c r="K80" s="27" t="s">
        <v>117</v>
      </c>
    </row>
    <row r="81" spans="1:11" x14ac:dyDescent="0.2">
      <c r="A81" s="27" t="s">
        <v>133</v>
      </c>
      <c r="B81" s="27" t="s">
        <v>135</v>
      </c>
      <c r="C81" s="27">
        <v>4</v>
      </c>
      <c r="D81" s="27">
        <v>1999</v>
      </c>
      <c r="E81" s="27">
        <v>6</v>
      </c>
      <c r="F81" s="27" t="s">
        <v>103</v>
      </c>
      <c r="G81" s="27">
        <v>4</v>
      </c>
      <c r="H81" s="27">
        <v>14</v>
      </c>
      <c r="I81" s="27">
        <v>17</v>
      </c>
      <c r="J81" s="27" t="s">
        <v>116</v>
      </c>
      <c r="K81" s="27" t="s">
        <v>117</v>
      </c>
    </row>
    <row r="82" spans="1:11" x14ac:dyDescent="0.2">
      <c r="A82" s="27" t="s">
        <v>133</v>
      </c>
      <c r="B82" s="27" t="s">
        <v>135</v>
      </c>
      <c r="C82" s="27">
        <v>4</v>
      </c>
      <c r="D82" s="27">
        <v>2008</v>
      </c>
      <c r="E82" s="27">
        <v>6</v>
      </c>
      <c r="F82" s="27" t="s">
        <v>103</v>
      </c>
      <c r="G82" s="27">
        <v>4</v>
      </c>
      <c r="H82" s="27">
        <v>13</v>
      </c>
      <c r="I82" s="27">
        <v>19</v>
      </c>
      <c r="J82" s="27" t="s">
        <v>116</v>
      </c>
      <c r="K82" s="27" t="s">
        <v>117</v>
      </c>
    </row>
    <row r="83" spans="1:11" x14ac:dyDescent="0.2">
      <c r="A83" s="27" t="s">
        <v>133</v>
      </c>
      <c r="B83" s="27" t="s">
        <v>135</v>
      </c>
      <c r="C83" s="27">
        <v>4.5999999999999996</v>
      </c>
      <c r="D83" s="27">
        <v>2008</v>
      </c>
      <c r="E83" s="27">
        <v>8</v>
      </c>
      <c r="F83" s="27" t="s">
        <v>128</v>
      </c>
      <c r="G83" s="27">
        <v>4</v>
      </c>
      <c r="H83" s="27">
        <v>13</v>
      </c>
      <c r="I83" s="27">
        <v>19</v>
      </c>
      <c r="J83" s="27" t="s">
        <v>116</v>
      </c>
      <c r="K83" s="27" t="s">
        <v>117</v>
      </c>
    </row>
    <row r="84" spans="1:11" x14ac:dyDescent="0.2">
      <c r="A84" s="27" t="s">
        <v>133</v>
      </c>
      <c r="B84" s="27" t="s">
        <v>135</v>
      </c>
      <c r="C84" s="27">
        <v>5</v>
      </c>
      <c r="D84" s="27">
        <v>1999</v>
      </c>
      <c r="E84" s="27">
        <v>8</v>
      </c>
      <c r="F84" s="27" t="s">
        <v>115</v>
      </c>
      <c r="G84" s="27">
        <v>4</v>
      </c>
      <c r="H84" s="27">
        <v>13</v>
      </c>
      <c r="I84" s="27">
        <v>17</v>
      </c>
      <c r="J84" s="27" t="s">
        <v>116</v>
      </c>
      <c r="K84" s="27" t="s">
        <v>117</v>
      </c>
    </row>
    <row r="85" spans="1:11" x14ac:dyDescent="0.2">
      <c r="A85" s="27" t="s">
        <v>133</v>
      </c>
      <c r="B85" s="27" t="s">
        <v>136</v>
      </c>
      <c r="C85" s="27">
        <v>4.2</v>
      </c>
      <c r="D85" s="27">
        <v>1999</v>
      </c>
      <c r="E85" s="27">
        <v>6</v>
      </c>
      <c r="F85" s="27" t="s">
        <v>115</v>
      </c>
      <c r="G85" s="27">
        <v>4</v>
      </c>
      <c r="H85" s="27">
        <v>14</v>
      </c>
      <c r="I85" s="27">
        <v>17</v>
      </c>
      <c r="J85" s="27" t="s">
        <v>116</v>
      </c>
      <c r="K85" s="27" t="s">
        <v>130</v>
      </c>
    </row>
    <row r="86" spans="1:11" x14ac:dyDescent="0.2">
      <c r="A86" s="27" t="s">
        <v>133</v>
      </c>
      <c r="B86" s="27" t="s">
        <v>136</v>
      </c>
      <c r="C86" s="27">
        <v>4.2</v>
      </c>
      <c r="D86" s="27">
        <v>1999</v>
      </c>
      <c r="E86" s="27">
        <v>6</v>
      </c>
      <c r="F86" s="27" t="s">
        <v>106</v>
      </c>
      <c r="G86" s="27">
        <v>4</v>
      </c>
      <c r="H86" s="27">
        <v>14</v>
      </c>
      <c r="I86" s="27">
        <v>17</v>
      </c>
      <c r="J86" s="27" t="s">
        <v>116</v>
      </c>
      <c r="K86" s="27" t="s">
        <v>130</v>
      </c>
    </row>
    <row r="87" spans="1:11" x14ac:dyDescent="0.2">
      <c r="A87" s="27" t="s">
        <v>133</v>
      </c>
      <c r="B87" s="27" t="s">
        <v>136</v>
      </c>
      <c r="C87" s="27">
        <v>4.5999999999999996</v>
      </c>
      <c r="D87" s="27">
        <v>1999</v>
      </c>
      <c r="E87" s="27">
        <v>8</v>
      </c>
      <c r="F87" s="27" t="s">
        <v>106</v>
      </c>
      <c r="G87" s="27">
        <v>4</v>
      </c>
      <c r="H87" s="27">
        <v>13</v>
      </c>
      <c r="I87" s="27">
        <v>16</v>
      </c>
      <c r="J87" s="27" t="s">
        <v>116</v>
      </c>
      <c r="K87" s="27" t="s">
        <v>130</v>
      </c>
    </row>
    <row r="88" spans="1:11" x14ac:dyDescent="0.2">
      <c r="A88" s="27" t="s">
        <v>133</v>
      </c>
      <c r="B88" s="27" t="s">
        <v>136</v>
      </c>
      <c r="C88" s="27">
        <v>4.5999999999999996</v>
      </c>
      <c r="D88" s="27">
        <v>1999</v>
      </c>
      <c r="E88" s="27">
        <v>8</v>
      </c>
      <c r="F88" s="27" t="s">
        <v>115</v>
      </c>
      <c r="G88" s="27">
        <v>4</v>
      </c>
      <c r="H88" s="27">
        <v>13</v>
      </c>
      <c r="I88" s="27">
        <v>16</v>
      </c>
      <c r="J88" s="27" t="s">
        <v>116</v>
      </c>
      <c r="K88" s="27" t="s">
        <v>130</v>
      </c>
    </row>
    <row r="89" spans="1:11" x14ac:dyDescent="0.2">
      <c r="A89" s="27" t="s">
        <v>133</v>
      </c>
      <c r="B89" s="27" t="s">
        <v>136</v>
      </c>
      <c r="C89" s="27">
        <v>4.5999999999999996</v>
      </c>
      <c r="D89" s="27">
        <v>2008</v>
      </c>
      <c r="E89" s="27">
        <v>8</v>
      </c>
      <c r="F89" s="27" t="s">
        <v>115</v>
      </c>
      <c r="G89" s="27">
        <v>4</v>
      </c>
      <c r="H89" s="27">
        <v>13</v>
      </c>
      <c r="I89" s="27">
        <v>17</v>
      </c>
      <c r="J89" s="27" t="s">
        <v>116</v>
      </c>
      <c r="K89" s="27" t="s">
        <v>130</v>
      </c>
    </row>
    <row r="90" spans="1:11" x14ac:dyDescent="0.2">
      <c r="A90" s="27" t="s">
        <v>133</v>
      </c>
      <c r="B90" s="27" t="s">
        <v>136</v>
      </c>
      <c r="C90" s="27">
        <v>5.4</v>
      </c>
      <c r="D90" s="27">
        <v>1999</v>
      </c>
      <c r="E90" s="27">
        <v>8</v>
      </c>
      <c r="F90" s="27" t="s">
        <v>115</v>
      </c>
      <c r="G90" s="27">
        <v>4</v>
      </c>
      <c r="H90" s="27">
        <v>11</v>
      </c>
      <c r="I90" s="27">
        <v>15</v>
      </c>
      <c r="J90" s="27" t="s">
        <v>116</v>
      </c>
      <c r="K90" s="27" t="s">
        <v>130</v>
      </c>
    </row>
    <row r="91" spans="1:11" x14ac:dyDescent="0.2">
      <c r="A91" s="27" t="s">
        <v>133</v>
      </c>
      <c r="B91" s="27" t="s">
        <v>136</v>
      </c>
      <c r="C91" s="27">
        <v>5.4</v>
      </c>
      <c r="D91" s="27">
        <v>2008</v>
      </c>
      <c r="E91" s="27">
        <v>8</v>
      </c>
      <c r="F91" s="27" t="s">
        <v>115</v>
      </c>
      <c r="G91" s="27">
        <v>4</v>
      </c>
      <c r="H91" s="27">
        <v>13</v>
      </c>
      <c r="I91" s="27">
        <v>17</v>
      </c>
      <c r="J91" s="27" t="s">
        <v>116</v>
      </c>
      <c r="K91" s="27" t="s">
        <v>130</v>
      </c>
    </row>
    <row r="92" spans="1:11" x14ac:dyDescent="0.2">
      <c r="A92" s="27" t="s">
        <v>133</v>
      </c>
      <c r="B92" s="27" t="s">
        <v>137</v>
      </c>
      <c r="C92" s="27">
        <v>3.8</v>
      </c>
      <c r="D92" s="27">
        <v>1999</v>
      </c>
      <c r="E92" s="27">
        <v>6</v>
      </c>
      <c r="F92" s="27" t="s">
        <v>106</v>
      </c>
      <c r="G92" s="27" t="s">
        <v>116</v>
      </c>
      <c r="H92" s="27">
        <v>18</v>
      </c>
      <c r="I92" s="27">
        <v>26</v>
      </c>
      <c r="J92" s="27" t="s">
        <v>116</v>
      </c>
      <c r="K92" s="27" t="s">
        <v>138</v>
      </c>
    </row>
    <row r="93" spans="1:11" x14ac:dyDescent="0.2">
      <c r="A93" s="27" t="s">
        <v>133</v>
      </c>
      <c r="B93" s="27" t="s">
        <v>137</v>
      </c>
      <c r="C93" s="27">
        <v>3.8</v>
      </c>
      <c r="D93" s="27">
        <v>1999</v>
      </c>
      <c r="E93" s="27">
        <v>6</v>
      </c>
      <c r="F93" s="27" t="s">
        <v>115</v>
      </c>
      <c r="G93" s="27" t="s">
        <v>116</v>
      </c>
      <c r="H93" s="27">
        <v>18</v>
      </c>
      <c r="I93" s="27">
        <v>25</v>
      </c>
      <c r="J93" s="27" t="s">
        <v>116</v>
      </c>
      <c r="K93" s="27" t="s">
        <v>138</v>
      </c>
    </row>
    <row r="94" spans="1:11" x14ac:dyDescent="0.2">
      <c r="A94" s="27" t="s">
        <v>133</v>
      </c>
      <c r="B94" s="27" t="s">
        <v>137</v>
      </c>
      <c r="C94" s="27">
        <v>4</v>
      </c>
      <c r="D94" s="27">
        <v>2008</v>
      </c>
      <c r="E94" s="27">
        <v>6</v>
      </c>
      <c r="F94" s="27" t="s">
        <v>106</v>
      </c>
      <c r="G94" s="27" t="s">
        <v>116</v>
      </c>
      <c r="H94" s="27">
        <v>17</v>
      </c>
      <c r="I94" s="27">
        <v>26</v>
      </c>
      <c r="J94" s="27" t="s">
        <v>116</v>
      </c>
      <c r="K94" s="27" t="s">
        <v>138</v>
      </c>
    </row>
    <row r="95" spans="1:11" x14ac:dyDescent="0.2">
      <c r="A95" s="27" t="s">
        <v>133</v>
      </c>
      <c r="B95" s="27" t="s">
        <v>137</v>
      </c>
      <c r="C95" s="27">
        <v>4</v>
      </c>
      <c r="D95" s="27">
        <v>2008</v>
      </c>
      <c r="E95" s="27">
        <v>6</v>
      </c>
      <c r="F95" s="27" t="s">
        <v>103</v>
      </c>
      <c r="G95" s="27" t="s">
        <v>116</v>
      </c>
      <c r="H95" s="27">
        <v>16</v>
      </c>
      <c r="I95" s="27">
        <v>24</v>
      </c>
      <c r="J95" s="27" t="s">
        <v>116</v>
      </c>
      <c r="K95" s="27" t="s">
        <v>138</v>
      </c>
    </row>
    <row r="96" spans="1:11" x14ac:dyDescent="0.2">
      <c r="A96" s="27" t="s">
        <v>133</v>
      </c>
      <c r="B96" s="27" t="s">
        <v>137</v>
      </c>
      <c r="C96" s="27">
        <v>4.5999999999999996</v>
      </c>
      <c r="D96" s="27">
        <v>1999</v>
      </c>
      <c r="E96" s="27">
        <v>8</v>
      </c>
      <c r="F96" s="27" t="s">
        <v>115</v>
      </c>
      <c r="G96" s="27" t="s">
        <v>116</v>
      </c>
      <c r="H96" s="27">
        <v>15</v>
      </c>
      <c r="I96" s="27">
        <v>21</v>
      </c>
      <c r="J96" s="27" t="s">
        <v>116</v>
      </c>
      <c r="K96" s="27" t="s">
        <v>138</v>
      </c>
    </row>
    <row r="97" spans="1:11" x14ac:dyDescent="0.2">
      <c r="A97" s="27" t="s">
        <v>133</v>
      </c>
      <c r="B97" s="27" t="s">
        <v>137</v>
      </c>
      <c r="C97" s="27">
        <v>4.5999999999999996</v>
      </c>
      <c r="D97" s="27">
        <v>1999</v>
      </c>
      <c r="E97" s="27">
        <v>8</v>
      </c>
      <c r="F97" s="27" t="s">
        <v>106</v>
      </c>
      <c r="G97" s="27" t="s">
        <v>116</v>
      </c>
      <c r="H97" s="27">
        <v>15</v>
      </c>
      <c r="I97" s="27">
        <v>22</v>
      </c>
      <c r="J97" s="27" t="s">
        <v>116</v>
      </c>
      <c r="K97" s="27" t="s">
        <v>138</v>
      </c>
    </row>
    <row r="98" spans="1:11" x14ac:dyDescent="0.2">
      <c r="A98" s="27" t="s">
        <v>133</v>
      </c>
      <c r="B98" s="27" t="s">
        <v>137</v>
      </c>
      <c r="C98" s="27">
        <v>4.5999999999999996</v>
      </c>
      <c r="D98" s="27">
        <v>2008</v>
      </c>
      <c r="E98" s="27">
        <v>8</v>
      </c>
      <c r="F98" s="27" t="s">
        <v>106</v>
      </c>
      <c r="G98" s="27" t="s">
        <v>116</v>
      </c>
      <c r="H98" s="27">
        <v>15</v>
      </c>
      <c r="I98" s="27">
        <v>23</v>
      </c>
      <c r="J98" s="27" t="s">
        <v>116</v>
      </c>
      <c r="K98" s="27" t="s">
        <v>138</v>
      </c>
    </row>
    <row r="99" spans="1:11" x14ac:dyDescent="0.2">
      <c r="A99" s="27" t="s">
        <v>133</v>
      </c>
      <c r="B99" s="27" t="s">
        <v>137</v>
      </c>
      <c r="C99" s="27">
        <v>4.5999999999999996</v>
      </c>
      <c r="D99" s="27">
        <v>2008</v>
      </c>
      <c r="E99" s="27">
        <v>8</v>
      </c>
      <c r="F99" s="27" t="s">
        <v>103</v>
      </c>
      <c r="G99" s="27" t="s">
        <v>116</v>
      </c>
      <c r="H99" s="27">
        <v>15</v>
      </c>
      <c r="I99" s="27">
        <v>22</v>
      </c>
      <c r="J99" s="27" t="s">
        <v>116</v>
      </c>
      <c r="K99" s="27" t="s">
        <v>138</v>
      </c>
    </row>
    <row r="100" spans="1:11" x14ac:dyDescent="0.2">
      <c r="A100" s="27" t="s">
        <v>133</v>
      </c>
      <c r="B100" s="27" t="s">
        <v>137</v>
      </c>
      <c r="C100" s="27">
        <v>5.4</v>
      </c>
      <c r="D100" s="27">
        <v>2008</v>
      </c>
      <c r="E100" s="27">
        <v>8</v>
      </c>
      <c r="F100" s="27" t="s">
        <v>107</v>
      </c>
      <c r="G100" s="27" t="s">
        <v>116</v>
      </c>
      <c r="H100" s="27">
        <v>14</v>
      </c>
      <c r="I100" s="27">
        <v>20</v>
      </c>
      <c r="J100" s="27" t="s">
        <v>6</v>
      </c>
      <c r="K100" s="27" t="s">
        <v>138</v>
      </c>
    </row>
    <row r="101" spans="1:11" x14ac:dyDescent="0.2">
      <c r="A101" s="27" t="s">
        <v>139</v>
      </c>
      <c r="B101" s="27" t="s">
        <v>140</v>
      </c>
      <c r="C101" s="27">
        <v>1.6</v>
      </c>
      <c r="D101" s="27">
        <v>1999</v>
      </c>
      <c r="E101" s="27">
        <v>4</v>
      </c>
      <c r="F101" s="27" t="s">
        <v>106</v>
      </c>
      <c r="G101" s="27" t="s">
        <v>104</v>
      </c>
      <c r="H101" s="27">
        <v>28</v>
      </c>
      <c r="I101" s="27">
        <v>33</v>
      </c>
      <c r="J101" s="27" t="s">
        <v>116</v>
      </c>
      <c r="K101" s="27" t="s">
        <v>138</v>
      </c>
    </row>
    <row r="102" spans="1:11" x14ac:dyDescent="0.2">
      <c r="A102" s="27" t="s">
        <v>139</v>
      </c>
      <c r="B102" s="27" t="s">
        <v>140</v>
      </c>
      <c r="C102" s="27">
        <v>1.6</v>
      </c>
      <c r="D102" s="27">
        <v>1999</v>
      </c>
      <c r="E102" s="27">
        <v>4</v>
      </c>
      <c r="F102" s="27" t="s">
        <v>115</v>
      </c>
      <c r="G102" s="27" t="s">
        <v>104</v>
      </c>
      <c r="H102" s="27">
        <v>24</v>
      </c>
      <c r="I102" s="27">
        <v>32</v>
      </c>
      <c r="J102" s="27" t="s">
        <v>116</v>
      </c>
      <c r="K102" s="27" t="s">
        <v>138</v>
      </c>
    </row>
    <row r="103" spans="1:11" x14ac:dyDescent="0.2">
      <c r="A103" s="27" t="s">
        <v>139</v>
      </c>
      <c r="B103" s="27" t="s">
        <v>140</v>
      </c>
      <c r="C103" s="27">
        <v>1.6</v>
      </c>
      <c r="D103" s="27">
        <v>1999</v>
      </c>
      <c r="E103" s="27">
        <v>4</v>
      </c>
      <c r="F103" s="27" t="s">
        <v>106</v>
      </c>
      <c r="G103" s="27" t="s">
        <v>104</v>
      </c>
      <c r="H103" s="27">
        <v>25</v>
      </c>
      <c r="I103" s="27">
        <v>32</v>
      </c>
      <c r="J103" s="27" t="s">
        <v>116</v>
      </c>
      <c r="K103" s="27" t="s">
        <v>138</v>
      </c>
    </row>
    <row r="104" spans="1:11" x14ac:dyDescent="0.2">
      <c r="A104" s="27" t="s">
        <v>139</v>
      </c>
      <c r="B104" s="27" t="s">
        <v>140</v>
      </c>
      <c r="C104" s="27">
        <v>1.6</v>
      </c>
      <c r="D104" s="27">
        <v>1999</v>
      </c>
      <c r="E104" s="27">
        <v>4</v>
      </c>
      <c r="F104" s="27" t="s">
        <v>106</v>
      </c>
      <c r="G104" s="27" t="s">
        <v>104</v>
      </c>
      <c r="H104" s="27">
        <v>23</v>
      </c>
      <c r="I104" s="27">
        <v>29</v>
      </c>
      <c r="J104" s="27" t="s">
        <v>6</v>
      </c>
      <c r="K104" s="27" t="s">
        <v>138</v>
      </c>
    </row>
    <row r="105" spans="1:11" x14ac:dyDescent="0.2">
      <c r="A105" s="27" t="s">
        <v>139</v>
      </c>
      <c r="B105" s="27" t="s">
        <v>140</v>
      </c>
      <c r="C105" s="27">
        <v>1.6</v>
      </c>
      <c r="D105" s="27">
        <v>1999</v>
      </c>
      <c r="E105" s="27">
        <v>4</v>
      </c>
      <c r="F105" s="27" t="s">
        <v>115</v>
      </c>
      <c r="G105" s="27" t="s">
        <v>104</v>
      </c>
      <c r="H105" s="27">
        <v>24</v>
      </c>
      <c r="I105" s="27">
        <v>32</v>
      </c>
      <c r="J105" s="27" t="s">
        <v>116</v>
      </c>
      <c r="K105" s="27" t="s">
        <v>138</v>
      </c>
    </row>
    <row r="106" spans="1:11" x14ac:dyDescent="0.2">
      <c r="A106" s="27" t="s">
        <v>139</v>
      </c>
      <c r="B106" s="27" t="s">
        <v>140</v>
      </c>
      <c r="C106" s="27">
        <v>1.8</v>
      </c>
      <c r="D106" s="27">
        <v>2008</v>
      </c>
      <c r="E106" s="27">
        <v>4</v>
      </c>
      <c r="F106" s="27" t="s">
        <v>106</v>
      </c>
      <c r="G106" s="27" t="s">
        <v>104</v>
      </c>
      <c r="H106" s="27">
        <v>26</v>
      </c>
      <c r="I106" s="27">
        <v>34</v>
      </c>
      <c r="J106" s="27" t="s">
        <v>116</v>
      </c>
      <c r="K106" s="27" t="s">
        <v>138</v>
      </c>
    </row>
    <row r="107" spans="1:11" x14ac:dyDescent="0.2">
      <c r="A107" s="27" t="s">
        <v>139</v>
      </c>
      <c r="B107" s="27" t="s">
        <v>140</v>
      </c>
      <c r="C107" s="27">
        <v>1.8</v>
      </c>
      <c r="D107" s="27">
        <v>2008</v>
      </c>
      <c r="E107" s="27">
        <v>4</v>
      </c>
      <c r="F107" s="27" t="s">
        <v>103</v>
      </c>
      <c r="G107" s="27" t="s">
        <v>104</v>
      </c>
      <c r="H107" s="27">
        <v>25</v>
      </c>
      <c r="I107" s="27">
        <v>36</v>
      </c>
      <c r="J107" s="27" t="s">
        <v>116</v>
      </c>
      <c r="K107" s="27" t="s">
        <v>138</v>
      </c>
    </row>
    <row r="108" spans="1:11" x14ac:dyDescent="0.2">
      <c r="A108" s="27" t="s">
        <v>139</v>
      </c>
      <c r="B108" s="27" t="s">
        <v>140</v>
      </c>
      <c r="C108" s="27">
        <v>1.8</v>
      </c>
      <c r="D108" s="27">
        <v>2008</v>
      </c>
      <c r="E108" s="27">
        <v>4</v>
      </c>
      <c r="F108" s="27" t="s">
        <v>103</v>
      </c>
      <c r="G108" s="27" t="s">
        <v>104</v>
      </c>
      <c r="H108" s="27">
        <v>24</v>
      </c>
      <c r="I108" s="27">
        <v>36</v>
      </c>
      <c r="J108" s="27" t="s">
        <v>141</v>
      </c>
      <c r="K108" s="27" t="s">
        <v>138</v>
      </c>
    </row>
    <row r="109" spans="1:11" x14ac:dyDescent="0.2">
      <c r="A109" s="27" t="s">
        <v>139</v>
      </c>
      <c r="B109" s="27" t="s">
        <v>140</v>
      </c>
      <c r="C109" s="27">
        <v>2</v>
      </c>
      <c r="D109" s="27">
        <v>2008</v>
      </c>
      <c r="E109" s="27">
        <v>4</v>
      </c>
      <c r="F109" s="27" t="s">
        <v>107</v>
      </c>
      <c r="G109" s="27" t="s">
        <v>104</v>
      </c>
      <c r="H109" s="27">
        <v>21</v>
      </c>
      <c r="I109" s="27">
        <v>29</v>
      </c>
      <c r="J109" s="27" t="s">
        <v>6</v>
      </c>
      <c r="K109" s="27" t="s">
        <v>138</v>
      </c>
    </row>
    <row r="110" spans="1:11" x14ac:dyDescent="0.2">
      <c r="A110" s="27" t="s">
        <v>142</v>
      </c>
      <c r="B110" s="27" t="s">
        <v>143</v>
      </c>
      <c r="C110" s="27">
        <v>2.4</v>
      </c>
      <c r="D110" s="27">
        <v>1999</v>
      </c>
      <c r="E110" s="27">
        <v>4</v>
      </c>
      <c r="F110" s="27" t="s">
        <v>115</v>
      </c>
      <c r="G110" s="27" t="s">
        <v>104</v>
      </c>
      <c r="H110" s="27">
        <v>18</v>
      </c>
      <c r="I110" s="27">
        <v>26</v>
      </c>
      <c r="J110" s="27" t="s">
        <v>116</v>
      </c>
      <c r="K110" s="27" t="s">
        <v>112</v>
      </c>
    </row>
    <row r="111" spans="1:11" x14ac:dyDescent="0.2">
      <c r="A111" s="27" t="s">
        <v>142</v>
      </c>
      <c r="B111" s="27" t="s">
        <v>143</v>
      </c>
      <c r="C111" s="27">
        <v>2.4</v>
      </c>
      <c r="D111" s="27">
        <v>1999</v>
      </c>
      <c r="E111" s="27">
        <v>4</v>
      </c>
      <c r="F111" s="27" t="s">
        <v>106</v>
      </c>
      <c r="G111" s="27" t="s">
        <v>104</v>
      </c>
      <c r="H111" s="27">
        <v>18</v>
      </c>
      <c r="I111" s="27">
        <v>27</v>
      </c>
      <c r="J111" s="27" t="s">
        <v>116</v>
      </c>
      <c r="K111" s="27" t="s">
        <v>112</v>
      </c>
    </row>
    <row r="112" spans="1:11" x14ac:dyDescent="0.2">
      <c r="A112" s="27" t="s">
        <v>142</v>
      </c>
      <c r="B112" s="27" t="s">
        <v>143</v>
      </c>
      <c r="C112" s="27">
        <v>2.4</v>
      </c>
      <c r="D112" s="27">
        <v>2008</v>
      </c>
      <c r="E112" s="27">
        <v>4</v>
      </c>
      <c r="F112" s="27" t="s">
        <v>115</v>
      </c>
      <c r="G112" s="27" t="s">
        <v>104</v>
      </c>
      <c r="H112" s="27">
        <v>21</v>
      </c>
      <c r="I112" s="27">
        <v>30</v>
      </c>
      <c r="J112" s="27" t="s">
        <v>116</v>
      </c>
      <c r="K112" s="27" t="s">
        <v>112</v>
      </c>
    </row>
    <row r="113" spans="1:11" x14ac:dyDescent="0.2">
      <c r="A113" s="27" t="s">
        <v>142</v>
      </c>
      <c r="B113" s="27" t="s">
        <v>143</v>
      </c>
      <c r="C113" s="27">
        <v>2.4</v>
      </c>
      <c r="D113" s="27">
        <v>2008</v>
      </c>
      <c r="E113" s="27">
        <v>4</v>
      </c>
      <c r="F113" s="27" t="s">
        <v>106</v>
      </c>
      <c r="G113" s="27" t="s">
        <v>104</v>
      </c>
      <c r="H113" s="27">
        <v>21</v>
      </c>
      <c r="I113" s="27">
        <v>31</v>
      </c>
      <c r="J113" s="27" t="s">
        <v>116</v>
      </c>
      <c r="K113" s="27" t="s">
        <v>112</v>
      </c>
    </row>
    <row r="114" spans="1:11" x14ac:dyDescent="0.2">
      <c r="A114" s="27" t="s">
        <v>142</v>
      </c>
      <c r="B114" s="27" t="s">
        <v>143</v>
      </c>
      <c r="C114" s="27">
        <v>2.5</v>
      </c>
      <c r="D114" s="27">
        <v>1999</v>
      </c>
      <c r="E114" s="27">
        <v>6</v>
      </c>
      <c r="F114" s="27" t="s">
        <v>115</v>
      </c>
      <c r="G114" s="27" t="s">
        <v>104</v>
      </c>
      <c r="H114" s="27">
        <v>18</v>
      </c>
      <c r="I114" s="27">
        <v>26</v>
      </c>
      <c r="J114" s="27" t="s">
        <v>116</v>
      </c>
      <c r="K114" s="27" t="s">
        <v>112</v>
      </c>
    </row>
    <row r="115" spans="1:11" x14ac:dyDescent="0.2">
      <c r="A115" s="27" t="s">
        <v>142</v>
      </c>
      <c r="B115" s="27" t="s">
        <v>143</v>
      </c>
      <c r="C115" s="27">
        <v>2.5</v>
      </c>
      <c r="D115" s="27">
        <v>1999</v>
      </c>
      <c r="E115" s="27">
        <v>6</v>
      </c>
      <c r="F115" s="27" t="s">
        <v>106</v>
      </c>
      <c r="G115" s="27" t="s">
        <v>104</v>
      </c>
      <c r="H115" s="27">
        <v>18</v>
      </c>
      <c r="I115" s="27">
        <v>26</v>
      </c>
      <c r="J115" s="27" t="s">
        <v>116</v>
      </c>
      <c r="K115" s="27" t="s">
        <v>112</v>
      </c>
    </row>
    <row r="116" spans="1:11" x14ac:dyDescent="0.2">
      <c r="A116" s="27" t="s">
        <v>142</v>
      </c>
      <c r="B116" s="27" t="s">
        <v>143</v>
      </c>
      <c r="C116" s="27">
        <v>3.3</v>
      </c>
      <c r="D116" s="27">
        <v>2008</v>
      </c>
      <c r="E116" s="27">
        <v>6</v>
      </c>
      <c r="F116" s="27" t="s">
        <v>103</v>
      </c>
      <c r="G116" s="27" t="s">
        <v>104</v>
      </c>
      <c r="H116" s="27">
        <v>19</v>
      </c>
      <c r="I116" s="27">
        <v>28</v>
      </c>
      <c r="J116" s="27" t="s">
        <v>116</v>
      </c>
      <c r="K116" s="27" t="s">
        <v>112</v>
      </c>
    </row>
    <row r="117" spans="1:11" x14ac:dyDescent="0.2">
      <c r="A117" s="27" t="s">
        <v>142</v>
      </c>
      <c r="B117" s="27" t="s">
        <v>144</v>
      </c>
      <c r="C117" s="27">
        <v>2</v>
      </c>
      <c r="D117" s="27">
        <v>1999</v>
      </c>
      <c r="E117" s="27">
        <v>4</v>
      </c>
      <c r="F117" s="27" t="s">
        <v>115</v>
      </c>
      <c r="G117" s="27" t="s">
        <v>104</v>
      </c>
      <c r="H117" s="27">
        <v>19</v>
      </c>
      <c r="I117" s="27">
        <v>26</v>
      </c>
      <c r="J117" s="27" t="s">
        <v>116</v>
      </c>
      <c r="K117" s="27" t="s">
        <v>138</v>
      </c>
    </row>
    <row r="118" spans="1:11" x14ac:dyDescent="0.2">
      <c r="A118" s="27" t="s">
        <v>142</v>
      </c>
      <c r="B118" s="27" t="s">
        <v>144</v>
      </c>
      <c r="C118" s="27">
        <v>2</v>
      </c>
      <c r="D118" s="27">
        <v>1999</v>
      </c>
      <c r="E118" s="27">
        <v>4</v>
      </c>
      <c r="F118" s="27" t="s">
        <v>106</v>
      </c>
      <c r="G118" s="27" t="s">
        <v>104</v>
      </c>
      <c r="H118" s="27">
        <v>19</v>
      </c>
      <c r="I118" s="27">
        <v>29</v>
      </c>
      <c r="J118" s="27" t="s">
        <v>116</v>
      </c>
      <c r="K118" s="27" t="s">
        <v>138</v>
      </c>
    </row>
    <row r="119" spans="1:11" x14ac:dyDescent="0.2">
      <c r="A119" s="27" t="s">
        <v>142</v>
      </c>
      <c r="B119" s="27" t="s">
        <v>144</v>
      </c>
      <c r="C119" s="27">
        <v>2</v>
      </c>
      <c r="D119" s="27">
        <v>2008</v>
      </c>
      <c r="E119" s="27">
        <v>4</v>
      </c>
      <c r="F119" s="27" t="s">
        <v>106</v>
      </c>
      <c r="G119" s="27" t="s">
        <v>104</v>
      </c>
      <c r="H119" s="27">
        <v>20</v>
      </c>
      <c r="I119" s="27">
        <v>28</v>
      </c>
      <c r="J119" s="27" t="s">
        <v>116</v>
      </c>
      <c r="K119" s="27" t="s">
        <v>138</v>
      </c>
    </row>
    <row r="120" spans="1:11" x14ac:dyDescent="0.2">
      <c r="A120" s="27" t="s">
        <v>142</v>
      </c>
      <c r="B120" s="27" t="s">
        <v>144</v>
      </c>
      <c r="C120" s="27">
        <v>2</v>
      </c>
      <c r="D120" s="27">
        <v>2008</v>
      </c>
      <c r="E120" s="27">
        <v>4</v>
      </c>
      <c r="F120" s="27" t="s">
        <v>115</v>
      </c>
      <c r="G120" s="27" t="s">
        <v>104</v>
      </c>
      <c r="H120" s="27">
        <v>20</v>
      </c>
      <c r="I120" s="27">
        <v>27</v>
      </c>
      <c r="J120" s="27" t="s">
        <v>116</v>
      </c>
      <c r="K120" s="27" t="s">
        <v>138</v>
      </c>
    </row>
    <row r="121" spans="1:11" x14ac:dyDescent="0.2">
      <c r="A121" s="27" t="s">
        <v>142</v>
      </c>
      <c r="B121" s="27" t="s">
        <v>144</v>
      </c>
      <c r="C121" s="27">
        <v>2.7</v>
      </c>
      <c r="D121" s="27">
        <v>2008</v>
      </c>
      <c r="E121" s="27">
        <v>6</v>
      </c>
      <c r="F121" s="27" t="s">
        <v>115</v>
      </c>
      <c r="G121" s="27" t="s">
        <v>104</v>
      </c>
      <c r="H121" s="27">
        <v>17</v>
      </c>
      <c r="I121" s="27">
        <v>24</v>
      </c>
      <c r="J121" s="27" t="s">
        <v>116</v>
      </c>
      <c r="K121" s="27" t="s">
        <v>138</v>
      </c>
    </row>
    <row r="122" spans="1:11" x14ac:dyDescent="0.2">
      <c r="A122" s="27" t="s">
        <v>142</v>
      </c>
      <c r="B122" s="27" t="s">
        <v>144</v>
      </c>
      <c r="C122" s="27">
        <v>2.7</v>
      </c>
      <c r="D122" s="27">
        <v>2008</v>
      </c>
      <c r="E122" s="27">
        <v>6</v>
      </c>
      <c r="F122" s="27" t="s">
        <v>107</v>
      </c>
      <c r="G122" s="27" t="s">
        <v>104</v>
      </c>
      <c r="H122" s="27">
        <v>16</v>
      </c>
      <c r="I122" s="27">
        <v>24</v>
      </c>
      <c r="J122" s="27" t="s">
        <v>116</v>
      </c>
      <c r="K122" s="27" t="s">
        <v>138</v>
      </c>
    </row>
    <row r="123" spans="1:11" x14ac:dyDescent="0.2">
      <c r="A123" s="27" t="s">
        <v>142</v>
      </c>
      <c r="B123" s="27" t="s">
        <v>144</v>
      </c>
      <c r="C123" s="27">
        <v>2.7</v>
      </c>
      <c r="D123" s="27">
        <v>2008</v>
      </c>
      <c r="E123" s="27">
        <v>6</v>
      </c>
      <c r="F123" s="27" t="s">
        <v>106</v>
      </c>
      <c r="G123" s="27" t="s">
        <v>104</v>
      </c>
      <c r="H123" s="27">
        <v>17</v>
      </c>
      <c r="I123" s="27">
        <v>24</v>
      </c>
      <c r="J123" s="27" t="s">
        <v>116</v>
      </c>
      <c r="K123" s="27" t="s">
        <v>138</v>
      </c>
    </row>
    <row r="124" spans="1:11" x14ac:dyDescent="0.2">
      <c r="A124" s="27" t="s">
        <v>145</v>
      </c>
      <c r="B124" s="27" t="s">
        <v>146</v>
      </c>
      <c r="C124" s="27">
        <v>3</v>
      </c>
      <c r="D124" s="27">
        <v>2008</v>
      </c>
      <c r="E124" s="27">
        <v>6</v>
      </c>
      <c r="F124" s="27" t="s">
        <v>103</v>
      </c>
      <c r="G124" s="27">
        <v>4</v>
      </c>
      <c r="H124" s="27">
        <v>17</v>
      </c>
      <c r="I124" s="27">
        <v>22</v>
      </c>
      <c r="J124" s="27" t="s">
        <v>122</v>
      </c>
      <c r="K124" s="27" t="s">
        <v>117</v>
      </c>
    </row>
    <row r="125" spans="1:11" x14ac:dyDescent="0.2">
      <c r="A125" s="27" t="s">
        <v>145</v>
      </c>
      <c r="B125" s="27" t="s">
        <v>146</v>
      </c>
      <c r="C125" s="27">
        <v>3.7</v>
      </c>
      <c r="D125" s="27">
        <v>2008</v>
      </c>
      <c r="E125" s="27">
        <v>6</v>
      </c>
      <c r="F125" s="27" t="s">
        <v>103</v>
      </c>
      <c r="G125" s="27">
        <v>4</v>
      </c>
      <c r="H125" s="27">
        <v>15</v>
      </c>
      <c r="I125" s="27">
        <v>19</v>
      </c>
      <c r="J125" s="27" t="s">
        <v>116</v>
      </c>
      <c r="K125" s="27" t="s">
        <v>117</v>
      </c>
    </row>
    <row r="126" spans="1:11" x14ac:dyDescent="0.2">
      <c r="A126" s="27" t="s">
        <v>145</v>
      </c>
      <c r="B126" s="27" t="s">
        <v>146</v>
      </c>
      <c r="C126" s="27">
        <v>4</v>
      </c>
      <c r="D126" s="27">
        <v>1999</v>
      </c>
      <c r="E126" s="27">
        <v>6</v>
      </c>
      <c r="F126" s="27" t="s">
        <v>115</v>
      </c>
      <c r="G126" s="27">
        <v>4</v>
      </c>
      <c r="H126" s="27">
        <v>15</v>
      </c>
      <c r="I126" s="27">
        <v>20</v>
      </c>
      <c r="J126" s="27" t="s">
        <v>116</v>
      </c>
      <c r="K126" s="27" t="s">
        <v>117</v>
      </c>
    </row>
    <row r="127" spans="1:11" x14ac:dyDescent="0.2">
      <c r="A127" s="27" t="s">
        <v>145</v>
      </c>
      <c r="B127" s="27" t="s">
        <v>146</v>
      </c>
      <c r="C127" s="27">
        <v>4.7</v>
      </c>
      <c r="D127" s="27">
        <v>1999</v>
      </c>
      <c r="E127" s="27">
        <v>8</v>
      </c>
      <c r="F127" s="27" t="s">
        <v>115</v>
      </c>
      <c r="G127" s="27">
        <v>4</v>
      </c>
      <c r="H127" s="27">
        <v>14</v>
      </c>
      <c r="I127" s="27">
        <v>17</v>
      </c>
      <c r="J127" s="27" t="s">
        <v>116</v>
      </c>
      <c r="K127" s="27" t="s">
        <v>117</v>
      </c>
    </row>
    <row r="128" spans="1:11" x14ac:dyDescent="0.2">
      <c r="A128" s="27" t="s">
        <v>145</v>
      </c>
      <c r="B128" s="27" t="s">
        <v>146</v>
      </c>
      <c r="C128" s="27">
        <v>4.7</v>
      </c>
      <c r="D128" s="27">
        <v>2008</v>
      </c>
      <c r="E128" s="27">
        <v>8</v>
      </c>
      <c r="F128" s="27" t="s">
        <v>103</v>
      </c>
      <c r="G128" s="27">
        <v>4</v>
      </c>
      <c r="H128" s="27">
        <v>9</v>
      </c>
      <c r="I128" s="27">
        <v>12</v>
      </c>
      <c r="J128" s="27" t="s">
        <v>118</v>
      </c>
      <c r="K128" s="27" t="s">
        <v>117</v>
      </c>
    </row>
    <row r="129" spans="1:11" x14ac:dyDescent="0.2">
      <c r="A129" s="27" t="s">
        <v>145</v>
      </c>
      <c r="B129" s="27" t="s">
        <v>146</v>
      </c>
      <c r="C129" s="27">
        <v>4.7</v>
      </c>
      <c r="D129" s="27">
        <v>2008</v>
      </c>
      <c r="E129" s="27">
        <v>8</v>
      </c>
      <c r="F129" s="27" t="s">
        <v>103</v>
      </c>
      <c r="G129" s="27">
        <v>4</v>
      </c>
      <c r="H129" s="27">
        <v>14</v>
      </c>
      <c r="I129" s="27">
        <v>19</v>
      </c>
      <c r="J129" s="27" t="s">
        <v>116</v>
      </c>
      <c r="K129" s="27" t="s">
        <v>117</v>
      </c>
    </row>
    <row r="130" spans="1:11" x14ac:dyDescent="0.2">
      <c r="A130" s="27" t="s">
        <v>145</v>
      </c>
      <c r="B130" s="27" t="s">
        <v>146</v>
      </c>
      <c r="C130" s="27">
        <v>5.7</v>
      </c>
      <c r="D130" s="27">
        <v>2008</v>
      </c>
      <c r="E130" s="27">
        <v>8</v>
      </c>
      <c r="F130" s="27" t="s">
        <v>103</v>
      </c>
      <c r="G130" s="27">
        <v>4</v>
      </c>
      <c r="H130" s="27">
        <v>13</v>
      </c>
      <c r="I130" s="27">
        <v>18</v>
      </c>
      <c r="J130" s="27" t="s">
        <v>116</v>
      </c>
      <c r="K130" s="27" t="s">
        <v>117</v>
      </c>
    </row>
    <row r="131" spans="1:11" x14ac:dyDescent="0.2">
      <c r="A131" s="27" t="s">
        <v>145</v>
      </c>
      <c r="B131" s="27" t="s">
        <v>146</v>
      </c>
      <c r="C131" s="27">
        <v>6.1</v>
      </c>
      <c r="D131" s="27">
        <v>2008</v>
      </c>
      <c r="E131" s="27">
        <v>8</v>
      </c>
      <c r="F131" s="27" t="s">
        <v>103</v>
      </c>
      <c r="G131" s="27">
        <v>4</v>
      </c>
      <c r="H131" s="27">
        <v>11</v>
      </c>
      <c r="I131" s="27">
        <v>14</v>
      </c>
      <c r="J131" s="27" t="s">
        <v>6</v>
      </c>
      <c r="K131" s="27" t="s">
        <v>117</v>
      </c>
    </row>
    <row r="132" spans="1:11" x14ac:dyDescent="0.2">
      <c r="A132" s="27" t="s">
        <v>147</v>
      </c>
      <c r="B132" s="27" t="s">
        <v>148</v>
      </c>
      <c r="C132" s="27">
        <v>4</v>
      </c>
      <c r="D132" s="27">
        <v>1999</v>
      </c>
      <c r="E132" s="27">
        <v>8</v>
      </c>
      <c r="F132" s="27" t="s">
        <v>115</v>
      </c>
      <c r="G132" s="27">
        <v>4</v>
      </c>
      <c r="H132" s="27">
        <v>11</v>
      </c>
      <c r="I132" s="27">
        <v>15</v>
      </c>
      <c r="J132" s="27" t="s">
        <v>6</v>
      </c>
      <c r="K132" s="27" t="s">
        <v>117</v>
      </c>
    </row>
    <row r="133" spans="1:11" x14ac:dyDescent="0.2">
      <c r="A133" s="27" t="s">
        <v>147</v>
      </c>
      <c r="B133" s="27" t="s">
        <v>148</v>
      </c>
      <c r="C133" s="27">
        <v>4.2</v>
      </c>
      <c r="D133" s="27">
        <v>2008</v>
      </c>
      <c r="E133" s="27">
        <v>8</v>
      </c>
      <c r="F133" s="27" t="s">
        <v>110</v>
      </c>
      <c r="G133" s="27">
        <v>4</v>
      </c>
      <c r="H133" s="27">
        <v>12</v>
      </c>
      <c r="I133" s="27">
        <v>18</v>
      </c>
      <c r="J133" s="27" t="s">
        <v>116</v>
      </c>
      <c r="K133" s="27" t="s">
        <v>117</v>
      </c>
    </row>
    <row r="134" spans="1:11" x14ac:dyDescent="0.2">
      <c r="A134" s="27" t="s">
        <v>147</v>
      </c>
      <c r="B134" s="27" t="s">
        <v>148</v>
      </c>
      <c r="C134" s="27">
        <v>4.4000000000000004</v>
      </c>
      <c r="D134" s="27">
        <v>2008</v>
      </c>
      <c r="E134" s="27">
        <v>8</v>
      </c>
      <c r="F134" s="27" t="s">
        <v>110</v>
      </c>
      <c r="G134" s="27">
        <v>4</v>
      </c>
      <c r="H134" s="27">
        <v>12</v>
      </c>
      <c r="I134" s="27">
        <v>18</v>
      </c>
      <c r="J134" s="27" t="s">
        <v>116</v>
      </c>
      <c r="K134" s="27" t="s">
        <v>117</v>
      </c>
    </row>
    <row r="135" spans="1:11" x14ac:dyDescent="0.2">
      <c r="A135" s="27" t="s">
        <v>147</v>
      </c>
      <c r="B135" s="27" t="s">
        <v>148</v>
      </c>
      <c r="C135" s="27">
        <v>4.5999999999999996</v>
      </c>
      <c r="D135" s="27">
        <v>1999</v>
      </c>
      <c r="E135" s="27">
        <v>8</v>
      </c>
      <c r="F135" s="27" t="s">
        <v>115</v>
      </c>
      <c r="G135" s="27">
        <v>4</v>
      </c>
      <c r="H135" s="27">
        <v>11</v>
      </c>
      <c r="I135" s="27">
        <v>15</v>
      </c>
      <c r="J135" s="27" t="s">
        <v>6</v>
      </c>
      <c r="K135" s="27" t="s">
        <v>117</v>
      </c>
    </row>
    <row r="136" spans="1:11" x14ac:dyDescent="0.2">
      <c r="A136" s="27" t="s">
        <v>149</v>
      </c>
      <c r="B136" s="27" t="s">
        <v>150</v>
      </c>
      <c r="C136" s="27">
        <v>5.4</v>
      </c>
      <c r="D136" s="27">
        <v>1999</v>
      </c>
      <c r="E136" s="27">
        <v>8</v>
      </c>
      <c r="F136" s="27" t="s">
        <v>115</v>
      </c>
      <c r="G136" s="27" t="s">
        <v>116</v>
      </c>
      <c r="H136" s="27">
        <v>11</v>
      </c>
      <c r="I136" s="27">
        <v>17</v>
      </c>
      <c r="J136" s="27" t="s">
        <v>116</v>
      </c>
      <c r="K136" s="27" t="s">
        <v>117</v>
      </c>
    </row>
    <row r="137" spans="1:11" x14ac:dyDescent="0.2">
      <c r="A137" s="27" t="s">
        <v>149</v>
      </c>
      <c r="B137" s="27" t="s">
        <v>150</v>
      </c>
      <c r="C137" s="27">
        <v>5.4</v>
      </c>
      <c r="D137" s="27">
        <v>1999</v>
      </c>
      <c r="E137" s="27">
        <v>8</v>
      </c>
      <c r="F137" s="27" t="s">
        <v>115</v>
      </c>
      <c r="G137" s="27" t="s">
        <v>116</v>
      </c>
      <c r="H137" s="27">
        <v>11</v>
      </c>
      <c r="I137" s="27">
        <v>16</v>
      </c>
      <c r="J137" s="27" t="s">
        <v>6</v>
      </c>
      <c r="K137" s="27" t="s">
        <v>117</v>
      </c>
    </row>
    <row r="138" spans="1:11" x14ac:dyDescent="0.2">
      <c r="A138" s="27" t="s">
        <v>149</v>
      </c>
      <c r="B138" s="27" t="s">
        <v>150</v>
      </c>
      <c r="C138" s="27">
        <v>5.4</v>
      </c>
      <c r="D138" s="27">
        <v>2008</v>
      </c>
      <c r="E138" s="27">
        <v>8</v>
      </c>
      <c r="F138" s="27" t="s">
        <v>128</v>
      </c>
      <c r="G138" s="27" t="s">
        <v>116</v>
      </c>
      <c r="H138" s="27">
        <v>12</v>
      </c>
      <c r="I138" s="27">
        <v>18</v>
      </c>
      <c r="J138" s="27" t="s">
        <v>116</v>
      </c>
      <c r="K138" s="27" t="s">
        <v>117</v>
      </c>
    </row>
    <row r="139" spans="1:11" x14ac:dyDescent="0.2">
      <c r="A139" s="27" t="s">
        <v>151</v>
      </c>
      <c r="B139" s="27" t="s">
        <v>152</v>
      </c>
      <c r="C139" s="27">
        <v>4</v>
      </c>
      <c r="D139" s="27">
        <v>1999</v>
      </c>
      <c r="E139" s="27">
        <v>6</v>
      </c>
      <c r="F139" s="27" t="s">
        <v>103</v>
      </c>
      <c r="G139" s="27">
        <v>4</v>
      </c>
      <c r="H139" s="27">
        <v>14</v>
      </c>
      <c r="I139" s="27">
        <v>17</v>
      </c>
      <c r="J139" s="27" t="s">
        <v>116</v>
      </c>
      <c r="K139" s="27" t="s">
        <v>117</v>
      </c>
    </row>
    <row r="140" spans="1:11" x14ac:dyDescent="0.2">
      <c r="A140" s="27" t="s">
        <v>151</v>
      </c>
      <c r="B140" s="27" t="s">
        <v>152</v>
      </c>
      <c r="C140" s="27">
        <v>4</v>
      </c>
      <c r="D140" s="27">
        <v>2008</v>
      </c>
      <c r="E140" s="27">
        <v>6</v>
      </c>
      <c r="F140" s="27" t="s">
        <v>103</v>
      </c>
      <c r="G140" s="27">
        <v>4</v>
      </c>
      <c r="H140" s="27">
        <v>13</v>
      </c>
      <c r="I140" s="27">
        <v>19</v>
      </c>
      <c r="J140" s="27" t="s">
        <v>116</v>
      </c>
      <c r="K140" s="27" t="s">
        <v>117</v>
      </c>
    </row>
    <row r="141" spans="1:11" x14ac:dyDescent="0.2">
      <c r="A141" s="27" t="s">
        <v>151</v>
      </c>
      <c r="B141" s="27" t="s">
        <v>152</v>
      </c>
      <c r="C141" s="27">
        <v>4.5999999999999996</v>
      </c>
      <c r="D141" s="27">
        <v>2008</v>
      </c>
      <c r="E141" s="27">
        <v>8</v>
      </c>
      <c r="F141" s="27" t="s">
        <v>128</v>
      </c>
      <c r="G141" s="27">
        <v>4</v>
      </c>
      <c r="H141" s="27">
        <v>13</v>
      </c>
      <c r="I141" s="27">
        <v>19</v>
      </c>
      <c r="J141" s="27" t="s">
        <v>116</v>
      </c>
      <c r="K141" s="27" t="s">
        <v>117</v>
      </c>
    </row>
    <row r="142" spans="1:11" x14ac:dyDescent="0.2">
      <c r="A142" s="27" t="s">
        <v>151</v>
      </c>
      <c r="B142" s="27" t="s">
        <v>152</v>
      </c>
      <c r="C142" s="27">
        <v>5</v>
      </c>
      <c r="D142" s="27">
        <v>1999</v>
      </c>
      <c r="E142" s="27">
        <v>8</v>
      </c>
      <c r="F142" s="27" t="s">
        <v>115</v>
      </c>
      <c r="G142" s="27">
        <v>4</v>
      </c>
      <c r="H142" s="27">
        <v>13</v>
      </c>
      <c r="I142" s="27">
        <v>17</v>
      </c>
      <c r="J142" s="27" t="s">
        <v>116</v>
      </c>
      <c r="K142" s="27" t="s">
        <v>117</v>
      </c>
    </row>
    <row r="143" spans="1:11" x14ac:dyDescent="0.2">
      <c r="A143" s="27" t="s">
        <v>153</v>
      </c>
      <c r="B143" s="27" t="s">
        <v>154</v>
      </c>
      <c r="C143" s="27">
        <v>2.4</v>
      </c>
      <c r="D143" s="27">
        <v>1999</v>
      </c>
      <c r="E143" s="27">
        <v>4</v>
      </c>
      <c r="F143" s="27" t="s">
        <v>106</v>
      </c>
      <c r="G143" s="27" t="s">
        <v>104</v>
      </c>
      <c r="H143" s="27">
        <v>21</v>
      </c>
      <c r="I143" s="27">
        <v>29</v>
      </c>
      <c r="J143" s="27" t="s">
        <v>116</v>
      </c>
      <c r="K143" s="27" t="s">
        <v>105</v>
      </c>
    </row>
    <row r="144" spans="1:11" x14ac:dyDescent="0.2">
      <c r="A144" s="27" t="s">
        <v>153</v>
      </c>
      <c r="B144" s="27" t="s">
        <v>154</v>
      </c>
      <c r="C144" s="27">
        <v>2.4</v>
      </c>
      <c r="D144" s="27">
        <v>1999</v>
      </c>
      <c r="E144" s="27">
        <v>4</v>
      </c>
      <c r="F144" s="27" t="s">
        <v>115</v>
      </c>
      <c r="G144" s="27" t="s">
        <v>104</v>
      </c>
      <c r="H144" s="27">
        <v>19</v>
      </c>
      <c r="I144" s="27">
        <v>27</v>
      </c>
      <c r="J144" s="27" t="s">
        <v>116</v>
      </c>
      <c r="K144" s="27" t="s">
        <v>105</v>
      </c>
    </row>
    <row r="145" spans="1:11" x14ac:dyDescent="0.2">
      <c r="A145" s="27" t="s">
        <v>153</v>
      </c>
      <c r="B145" s="27" t="s">
        <v>154</v>
      </c>
      <c r="C145" s="27">
        <v>2.5</v>
      </c>
      <c r="D145" s="27">
        <v>2008</v>
      </c>
      <c r="E145" s="27">
        <v>4</v>
      </c>
      <c r="F145" s="27" t="s">
        <v>108</v>
      </c>
      <c r="G145" s="27" t="s">
        <v>104</v>
      </c>
      <c r="H145" s="27">
        <v>23</v>
      </c>
      <c r="I145" s="27">
        <v>31</v>
      </c>
      <c r="J145" s="27" t="s">
        <v>116</v>
      </c>
      <c r="K145" s="27" t="s">
        <v>112</v>
      </c>
    </row>
    <row r="146" spans="1:11" x14ac:dyDescent="0.2">
      <c r="A146" s="27" t="s">
        <v>153</v>
      </c>
      <c r="B146" s="27" t="s">
        <v>154</v>
      </c>
      <c r="C146" s="27">
        <v>2.5</v>
      </c>
      <c r="D146" s="27">
        <v>2008</v>
      </c>
      <c r="E146" s="27">
        <v>4</v>
      </c>
      <c r="F146" s="27" t="s">
        <v>107</v>
      </c>
      <c r="G146" s="27" t="s">
        <v>104</v>
      </c>
      <c r="H146" s="27">
        <v>23</v>
      </c>
      <c r="I146" s="27">
        <v>32</v>
      </c>
      <c r="J146" s="27" t="s">
        <v>116</v>
      </c>
      <c r="K146" s="27" t="s">
        <v>112</v>
      </c>
    </row>
    <row r="147" spans="1:11" x14ac:dyDescent="0.2">
      <c r="A147" s="27" t="s">
        <v>153</v>
      </c>
      <c r="B147" s="27" t="s">
        <v>154</v>
      </c>
      <c r="C147" s="27">
        <v>3.5</v>
      </c>
      <c r="D147" s="27">
        <v>2008</v>
      </c>
      <c r="E147" s="27">
        <v>6</v>
      </c>
      <c r="F147" s="27" t="s">
        <v>107</v>
      </c>
      <c r="G147" s="27" t="s">
        <v>104</v>
      </c>
      <c r="H147" s="27">
        <v>19</v>
      </c>
      <c r="I147" s="27">
        <v>27</v>
      </c>
      <c r="J147" s="27" t="s">
        <v>6</v>
      </c>
      <c r="K147" s="27" t="s">
        <v>112</v>
      </c>
    </row>
    <row r="148" spans="1:11" x14ac:dyDescent="0.2">
      <c r="A148" s="27" t="s">
        <v>153</v>
      </c>
      <c r="B148" s="27" t="s">
        <v>154</v>
      </c>
      <c r="C148" s="27">
        <v>3.5</v>
      </c>
      <c r="D148" s="27">
        <v>2008</v>
      </c>
      <c r="E148" s="27">
        <v>6</v>
      </c>
      <c r="F148" s="27" t="s">
        <v>108</v>
      </c>
      <c r="G148" s="27" t="s">
        <v>104</v>
      </c>
      <c r="H148" s="27">
        <v>19</v>
      </c>
      <c r="I148" s="27">
        <v>26</v>
      </c>
      <c r="J148" s="27" t="s">
        <v>6</v>
      </c>
      <c r="K148" s="27" t="s">
        <v>112</v>
      </c>
    </row>
    <row r="149" spans="1:11" x14ac:dyDescent="0.2">
      <c r="A149" s="27" t="s">
        <v>153</v>
      </c>
      <c r="B149" s="27" t="s">
        <v>155</v>
      </c>
      <c r="C149" s="27">
        <v>3</v>
      </c>
      <c r="D149" s="27">
        <v>1999</v>
      </c>
      <c r="E149" s="27">
        <v>6</v>
      </c>
      <c r="F149" s="27" t="s">
        <v>115</v>
      </c>
      <c r="G149" s="27" t="s">
        <v>104</v>
      </c>
      <c r="H149" s="27">
        <v>18</v>
      </c>
      <c r="I149" s="27">
        <v>26</v>
      </c>
      <c r="J149" s="27" t="s">
        <v>116</v>
      </c>
      <c r="K149" s="27" t="s">
        <v>112</v>
      </c>
    </row>
    <row r="150" spans="1:11" x14ac:dyDescent="0.2">
      <c r="A150" s="27" t="s">
        <v>153</v>
      </c>
      <c r="B150" s="27" t="s">
        <v>155</v>
      </c>
      <c r="C150" s="27">
        <v>3</v>
      </c>
      <c r="D150" s="27">
        <v>1999</v>
      </c>
      <c r="E150" s="27">
        <v>6</v>
      </c>
      <c r="F150" s="27" t="s">
        <v>106</v>
      </c>
      <c r="G150" s="27" t="s">
        <v>104</v>
      </c>
      <c r="H150" s="27">
        <v>19</v>
      </c>
      <c r="I150" s="27">
        <v>25</v>
      </c>
      <c r="J150" s="27" t="s">
        <v>116</v>
      </c>
      <c r="K150" s="27" t="s">
        <v>112</v>
      </c>
    </row>
    <row r="151" spans="1:11" x14ac:dyDescent="0.2">
      <c r="A151" s="27" t="s">
        <v>153</v>
      </c>
      <c r="B151" s="27" t="s">
        <v>155</v>
      </c>
      <c r="C151" s="27">
        <v>3.5</v>
      </c>
      <c r="D151" s="27">
        <v>2008</v>
      </c>
      <c r="E151" s="27">
        <v>6</v>
      </c>
      <c r="F151" s="27" t="s">
        <v>108</v>
      </c>
      <c r="G151" s="27" t="s">
        <v>104</v>
      </c>
      <c r="H151" s="27">
        <v>19</v>
      </c>
      <c r="I151" s="27">
        <v>25</v>
      </c>
      <c r="J151" s="27" t="s">
        <v>6</v>
      </c>
      <c r="K151" s="27" t="s">
        <v>112</v>
      </c>
    </row>
    <row r="152" spans="1:11" x14ac:dyDescent="0.2">
      <c r="A152" s="27" t="s">
        <v>153</v>
      </c>
      <c r="B152" s="27" t="s">
        <v>156</v>
      </c>
      <c r="C152" s="27">
        <v>3.3</v>
      </c>
      <c r="D152" s="27">
        <v>1999</v>
      </c>
      <c r="E152" s="27">
        <v>6</v>
      </c>
      <c r="F152" s="27" t="s">
        <v>115</v>
      </c>
      <c r="G152" s="27">
        <v>4</v>
      </c>
      <c r="H152" s="27">
        <v>14</v>
      </c>
      <c r="I152" s="27">
        <v>17</v>
      </c>
      <c r="J152" s="27" t="s">
        <v>116</v>
      </c>
      <c r="K152" s="27" t="s">
        <v>117</v>
      </c>
    </row>
    <row r="153" spans="1:11" x14ac:dyDescent="0.2">
      <c r="A153" s="27" t="s">
        <v>153</v>
      </c>
      <c r="B153" s="27" t="s">
        <v>156</v>
      </c>
      <c r="C153" s="27">
        <v>3.3</v>
      </c>
      <c r="D153" s="27">
        <v>1999</v>
      </c>
      <c r="E153" s="27">
        <v>6</v>
      </c>
      <c r="F153" s="27" t="s">
        <v>106</v>
      </c>
      <c r="G153" s="27">
        <v>4</v>
      </c>
      <c r="H153" s="27">
        <v>15</v>
      </c>
      <c r="I153" s="27">
        <v>17</v>
      </c>
      <c r="J153" s="27" t="s">
        <v>116</v>
      </c>
      <c r="K153" s="27" t="s">
        <v>117</v>
      </c>
    </row>
    <row r="154" spans="1:11" x14ac:dyDescent="0.2">
      <c r="A154" s="27" t="s">
        <v>153</v>
      </c>
      <c r="B154" s="27" t="s">
        <v>156</v>
      </c>
      <c r="C154" s="27">
        <v>4</v>
      </c>
      <c r="D154" s="27">
        <v>2008</v>
      </c>
      <c r="E154" s="27">
        <v>6</v>
      </c>
      <c r="F154" s="27" t="s">
        <v>103</v>
      </c>
      <c r="G154" s="27">
        <v>4</v>
      </c>
      <c r="H154" s="27">
        <v>14</v>
      </c>
      <c r="I154" s="27">
        <v>20</v>
      </c>
      <c r="J154" s="27" t="s">
        <v>6</v>
      </c>
      <c r="K154" s="27" t="s">
        <v>117</v>
      </c>
    </row>
    <row r="155" spans="1:11" x14ac:dyDescent="0.2">
      <c r="A155" s="27" t="s">
        <v>153</v>
      </c>
      <c r="B155" s="27" t="s">
        <v>156</v>
      </c>
      <c r="C155" s="27">
        <v>5.6</v>
      </c>
      <c r="D155" s="27">
        <v>2008</v>
      </c>
      <c r="E155" s="27">
        <v>8</v>
      </c>
      <c r="F155" s="27" t="s">
        <v>157</v>
      </c>
      <c r="G155" s="27">
        <v>4</v>
      </c>
      <c r="H155" s="27">
        <v>12</v>
      </c>
      <c r="I155" s="27">
        <v>18</v>
      </c>
      <c r="J155" s="27" t="s">
        <v>6</v>
      </c>
      <c r="K155" s="27" t="s">
        <v>117</v>
      </c>
    </row>
    <row r="156" spans="1:11" x14ac:dyDescent="0.2">
      <c r="A156" s="27" t="s">
        <v>158</v>
      </c>
      <c r="B156" s="27" t="s">
        <v>159</v>
      </c>
      <c r="C156" s="27">
        <v>3.1</v>
      </c>
      <c r="D156" s="27">
        <v>1999</v>
      </c>
      <c r="E156" s="27">
        <v>6</v>
      </c>
      <c r="F156" s="27" t="s">
        <v>115</v>
      </c>
      <c r="G156" s="27" t="s">
        <v>104</v>
      </c>
      <c r="H156" s="27">
        <v>18</v>
      </c>
      <c r="I156" s="27">
        <v>26</v>
      </c>
      <c r="J156" s="27" t="s">
        <v>116</v>
      </c>
      <c r="K156" s="27" t="s">
        <v>112</v>
      </c>
    </row>
    <row r="157" spans="1:11" x14ac:dyDescent="0.2">
      <c r="A157" s="27" t="s">
        <v>158</v>
      </c>
      <c r="B157" s="27" t="s">
        <v>159</v>
      </c>
      <c r="C157" s="27">
        <v>3.8</v>
      </c>
      <c r="D157" s="27">
        <v>1999</v>
      </c>
      <c r="E157" s="27">
        <v>6</v>
      </c>
      <c r="F157" s="27" t="s">
        <v>115</v>
      </c>
      <c r="G157" s="27" t="s">
        <v>104</v>
      </c>
      <c r="H157" s="27">
        <v>16</v>
      </c>
      <c r="I157" s="27">
        <v>26</v>
      </c>
      <c r="J157" s="27" t="s">
        <v>6</v>
      </c>
      <c r="K157" s="27" t="s">
        <v>112</v>
      </c>
    </row>
    <row r="158" spans="1:11" x14ac:dyDescent="0.2">
      <c r="A158" s="27" t="s">
        <v>158</v>
      </c>
      <c r="B158" s="27" t="s">
        <v>159</v>
      </c>
      <c r="C158" s="27">
        <v>3.8</v>
      </c>
      <c r="D158" s="27">
        <v>1999</v>
      </c>
      <c r="E158" s="27">
        <v>6</v>
      </c>
      <c r="F158" s="27" t="s">
        <v>115</v>
      </c>
      <c r="G158" s="27" t="s">
        <v>104</v>
      </c>
      <c r="H158" s="27">
        <v>17</v>
      </c>
      <c r="I158" s="27">
        <v>27</v>
      </c>
      <c r="J158" s="27" t="s">
        <v>116</v>
      </c>
      <c r="K158" s="27" t="s">
        <v>112</v>
      </c>
    </row>
    <row r="159" spans="1:11" x14ac:dyDescent="0.2">
      <c r="A159" s="27" t="s">
        <v>158</v>
      </c>
      <c r="B159" s="27" t="s">
        <v>159</v>
      </c>
      <c r="C159" s="27">
        <v>3.8</v>
      </c>
      <c r="D159" s="27">
        <v>2008</v>
      </c>
      <c r="E159" s="27">
        <v>6</v>
      </c>
      <c r="F159" s="27" t="s">
        <v>115</v>
      </c>
      <c r="G159" s="27" t="s">
        <v>104</v>
      </c>
      <c r="H159" s="27">
        <v>18</v>
      </c>
      <c r="I159" s="27">
        <v>28</v>
      </c>
      <c r="J159" s="27" t="s">
        <v>116</v>
      </c>
      <c r="K159" s="27" t="s">
        <v>112</v>
      </c>
    </row>
    <row r="160" spans="1:11" x14ac:dyDescent="0.2">
      <c r="A160" s="27" t="s">
        <v>158</v>
      </c>
      <c r="B160" s="27" t="s">
        <v>159</v>
      </c>
      <c r="C160" s="27">
        <v>5.3</v>
      </c>
      <c r="D160" s="27">
        <v>2008</v>
      </c>
      <c r="E160" s="27">
        <v>8</v>
      </c>
      <c r="F160" s="27" t="s">
        <v>160</v>
      </c>
      <c r="G160" s="27" t="s">
        <v>104</v>
      </c>
      <c r="H160" s="27">
        <v>16</v>
      </c>
      <c r="I160" s="27">
        <v>25</v>
      </c>
      <c r="J160" s="27" t="s">
        <v>6</v>
      </c>
      <c r="K160" s="27" t="s">
        <v>112</v>
      </c>
    </row>
    <row r="161" spans="1:11" x14ac:dyDescent="0.2">
      <c r="A161" s="27" t="s">
        <v>161</v>
      </c>
      <c r="B161" s="27" t="s">
        <v>162</v>
      </c>
      <c r="C161" s="27">
        <v>2.5</v>
      </c>
      <c r="D161" s="27">
        <v>1999</v>
      </c>
      <c r="E161" s="27">
        <v>4</v>
      </c>
      <c r="F161" s="27" t="s">
        <v>106</v>
      </c>
      <c r="G161" s="27">
        <v>4</v>
      </c>
      <c r="H161" s="27">
        <v>18</v>
      </c>
      <c r="I161" s="27">
        <v>25</v>
      </c>
      <c r="J161" s="27" t="s">
        <v>116</v>
      </c>
      <c r="K161" s="27" t="s">
        <v>117</v>
      </c>
    </row>
    <row r="162" spans="1:11" x14ac:dyDescent="0.2">
      <c r="A162" s="27" t="s">
        <v>161</v>
      </c>
      <c r="B162" s="27" t="s">
        <v>162</v>
      </c>
      <c r="C162" s="27">
        <v>2.5</v>
      </c>
      <c r="D162" s="27">
        <v>1999</v>
      </c>
      <c r="E162" s="27">
        <v>4</v>
      </c>
      <c r="F162" s="27" t="s">
        <v>115</v>
      </c>
      <c r="G162" s="27">
        <v>4</v>
      </c>
      <c r="H162" s="27">
        <v>18</v>
      </c>
      <c r="I162" s="27">
        <v>24</v>
      </c>
      <c r="J162" s="27" t="s">
        <v>116</v>
      </c>
      <c r="K162" s="27" t="s">
        <v>117</v>
      </c>
    </row>
    <row r="163" spans="1:11" x14ac:dyDescent="0.2">
      <c r="A163" s="27" t="s">
        <v>161</v>
      </c>
      <c r="B163" s="27" t="s">
        <v>162</v>
      </c>
      <c r="C163" s="27">
        <v>2.5</v>
      </c>
      <c r="D163" s="27">
        <v>2008</v>
      </c>
      <c r="E163" s="27">
        <v>4</v>
      </c>
      <c r="F163" s="27" t="s">
        <v>106</v>
      </c>
      <c r="G163" s="27">
        <v>4</v>
      </c>
      <c r="H163" s="27">
        <v>20</v>
      </c>
      <c r="I163" s="27">
        <v>27</v>
      </c>
      <c r="J163" s="27" t="s">
        <v>116</v>
      </c>
      <c r="K163" s="27" t="s">
        <v>117</v>
      </c>
    </row>
    <row r="164" spans="1:11" x14ac:dyDescent="0.2">
      <c r="A164" s="27" t="s">
        <v>161</v>
      </c>
      <c r="B164" s="27" t="s">
        <v>162</v>
      </c>
      <c r="C164" s="27">
        <v>2.5</v>
      </c>
      <c r="D164" s="27">
        <v>2008</v>
      </c>
      <c r="E164" s="27">
        <v>4</v>
      </c>
      <c r="F164" s="27" t="s">
        <v>106</v>
      </c>
      <c r="G164" s="27">
        <v>4</v>
      </c>
      <c r="H164" s="27">
        <v>19</v>
      </c>
      <c r="I164" s="27">
        <v>25</v>
      </c>
      <c r="J164" s="27" t="s">
        <v>6</v>
      </c>
      <c r="K164" s="27" t="s">
        <v>117</v>
      </c>
    </row>
    <row r="165" spans="1:11" x14ac:dyDescent="0.2">
      <c r="A165" s="27" t="s">
        <v>161</v>
      </c>
      <c r="B165" s="27" t="s">
        <v>162</v>
      </c>
      <c r="C165" s="27">
        <v>2.5</v>
      </c>
      <c r="D165" s="27">
        <v>2008</v>
      </c>
      <c r="E165" s="27">
        <v>4</v>
      </c>
      <c r="F165" s="27" t="s">
        <v>115</v>
      </c>
      <c r="G165" s="27">
        <v>4</v>
      </c>
      <c r="H165" s="27">
        <v>20</v>
      </c>
      <c r="I165" s="27">
        <v>26</v>
      </c>
      <c r="J165" s="27" t="s">
        <v>116</v>
      </c>
      <c r="K165" s="27" t="s">
        <v>117</v>
      </c>
    </row>
    <row r="166" spans="1:11" x14ac:dyDescent="0.2">
      <c r="A166" s="27" t="s">
        <v>161</v>
      </c>
      <c r="B166" s="27" t="s">
        <v>162</v>
      </c>
      <c r="C166" s="27">
        <v>2.5</v>
      </c>
      <c r="D166" s="27">
        <v>2008</v>
      </c>
      <c r="E166" s="27">
        <v>4</v>
      </c>
      <c r="F166" s="27" t="s">
        <v>115</v>
      </c>
      <c r="G166" s="27">
        <v>4</v>
      </c>
      <c r="H166" s="27">
        <v>18</v>
      </c>
      <c r="I166" s="27">
        <v>23</v>
      </c>
      <c r="J166" s="27" t="s">
        <v>6</v>
      </c>
      <c r="K166" s="27" t="s">
        <v>117</v>
      </c>
    </row>
    <row r="167" spans="1:11" x14ac:dyDescent="0.2">
      <c r="A167" s="27" t="s">
        <v>161</v>
      </c>
      <c r="B167" s="27" t="s">
        <v>163</v>
      </c>
      <c r="C167" s="27">
        <v>2.2000000000000002</v>
      </c>
      <c r="D167" s="27">
        <v>1999</v>
      </c>
      <c r="E167" s="27">
        <v>4</v>
      </c>
      <c r="F167" s="27" t="s">
        <v>115</v>
      </c>
      <c r="G167" s="27">
        <v>4</v>
      </c>
      <c r="H167" s="27">
        <v>21</v>
      </c>
      <c r="I167" s="27">
        <v>26</v>
      </c>
      <c r="J167" s="27" t="s">
        <v>116</v>
      </c>
      <c r="K167" s="27" t="s">
        <v>138</v>
      </c>
    </row>
    <row r="168" spans="1:11" x14ac:dyDescent="0.2">
      <c r="A168" s="27" t="s">
        <v>161</v>
      </c>
      <c r="B168" s="27" t="s">
        <v>163</v>
      </c>
      <c r="C168" s="27">
        <v>2.2000000000000002</v>
      </c>
      <c r="D168" s="27">
        <v>1999</v>
      </c>
      <c r="E168" s="27">
        <v>4</v>
      </c>
      <c r="F168" s="27" t="s">
        <v>106</v>
      </c>
      <c r="G168" s="27">
        <v>4</v>
      </c>
      <c r="H168" s="27">
        <v>19</v>
      </c>
      <c r="I168" s="27">
        <v>26</v>
      </c>
      <c r="J168" s="27" t="s">
        <v>116</v>
      </c>
      <c r="K168" s="27" t="s">
        <v>138</v>
      </c>
    </row>
    <row r="169" spans="1:11" x14ac:dyDescent="0.2">
      <c r="A169" s="27" t="s">
        <v>161</v>
      </c>
      <c r="B169" s="27" t="s">
        <v>163</v>
      </c>
      <c r="C169" s="27">
        <v>2.5</v>
      </c>
      <c r="D169" s="27">
        <v>1999</v>
      </c>
      <c r="E169" s="27">
        <v>4</v>
      </c>
      <c r="F169" s="27" t="s">
        <v>106</v>
      </c>
      <c r="G169" s="27">
        <v>4</v>
      </c>
      <c r="H169" s="27">
        <v>19</v>
      </c>
      <c r="I169" s="27">
        <v>26</v>
      </c>
      <c r="J169" s="27" t="s">
        <v>116</v>
      </c>
      <c r="K169" s="27" t="s">
        <v>138</v>
      </c>
    </row>
    <row r="170" spans="1:11" x14ac:dyDescent="0.2">
      <c r="A170" s="27" t="s">
        <v>161</v>
      </c>
      <c r="B170" s="27" t="s">
        <v>163</v>
      </c>
      <c r="C170" s="27">
        <v>2.5</v>
      </c>
      <c r="D170" s="27">
        <v>1999</v>
      </c>
      <c r="E170" s="27">
        <v>4</v>
      </c>
      <c r="F170" s="27" t="s">
        <v>115</v>
      </c>
      <c r="G170" s="27">
        <v>4</v>
      </c>
      <c r="H170" s="27">
        <v>19</v>
      </c>
      <c r="I170" s="27">
        <v>26</v>
      </c>
      <c r="J170" s="27" t="s">
        <v>116</v>
      </c>
      <c r="K170" s="27" t="s">
        <v>138</v>
      </c>
    </row>
    <row r="171" spans="1:11" x14ac:dyDescent="0.2">
      <c r="A171" s="27" t="s">
        <v>161</v>
      </c>
      <c r="B171" s="27" t="s">
        <v>163</v>
      </c>
      <c r="C171" s="27">
        <v>2.5</v>
      </c>
      <c r="D171" s="27">
        <v>2008</v>
      </c>
      <c r="E171" s="27">
        <v>4</v>
      </c>
      <c r="F171" s="27" t="s">
        <v>160</v>
      </c>
      <c r="G171" s="27">
        <v>4</v>
      </c>
      <c r="H171" s="27">
        <v>20</v>
      </c>
      <c r="I171" s="27">
        <v>25</v>
      </c>
      <c r="J171" s="27" t="s">
        <v>6</v>
      </c>
      <c r="K171" s="27" t="s">
        <v>105</v>
      </c>
    </row>
    <row r="172" spans="1:11" x14ac:dyDescent="0.2">
      <c r="A172" s="27" t="s">
        <v>161</v>
      </c>
      <c r="B172" s="27" t="s">
        <v>163</v>
      </c>
      <c r="C172" s="27">
        <v>2.5</v>
      </c>
      <c r="D172" s="27">
        <v>2008</v>
      </c>
      <c r="E172" s="27">
        <v>4</v>
      </c>
      <c r="F172" s="27" t="s">
        <v>160</v>
      </c>
      <c r="G172" s="27">
        <v>4</v>
      </c>
      <c r="H172" s="27">
        <v>20</v>
      </c>
      <c r="I172" s="27">
        <v>27</v>
      </c>
      <c r="J172" s="27" t="s">
        <v>116</v>
      </c>
      <c r="K172" s="27" t="s">
        <v>105</v>
      </c>
    </row>
    <row r="173" spans="1:11" x14ac:dyDescent="0.2">
      <c r="A173" s="27" t="s">
        <v>161</v>
      </c>
      <c r="B173" s="27" t="s">
        <v>163</v>
      </c>
      <c r="C173" s="27">
        <v>2.5</v>
      </c>
      <c r="D173" s="27">
        <v>2008</v>
      </c>
      <c r="E173" s="27">
        <v>4</v>
      </c>
      <c r="F173" s="27" t="s">
        <v>106</v>
      </c>
      <c r="G173" s="27">
        <v>4</v>
      </c>
      <c r="H173" s="27">
        <v>19</v>
      </c>
      <c r="I173" s="27">
        <v>25</v>
      </c>
      <c r="J173" s="27" t="s">
        <v>6</v>
      </c>
      <c r="K173" s="27" t="s">
        <v>105</v>
      </c>
    </row>
    <row r="174" spans="1:11" x14ac:dyDescent="0.2">
      <c r="A174" s="27" t="s">
        <v>161</v>
      </c>
      <c r="B174" s="27" t="s">
        <v>163</v>
      </c>
      <c r="C174" s="27">
        <v>2.5</v>
      </c>
      <c r="D174" s="27">
        <v>2008</v>
      </c>
      <c r="E174" s="27">
        <v>4</v>
      </c>
      <c r="F174" s="27" t="s">
        <v>106</v>
      </c>
      <c r="G174" s="27">
        <v>4</v>
      </c>
      <c r="H174" s="27">
        <v>20</v>
      </c>
      <c r="I174" s="27">
        <v>27</v>
      </c>
      <c r="J174" s="27" t="s">
        <v>116</v>
      </c>
      <c r="K174" s="27" t="s">
        <v>105</v>
      </c>
    </row>
    <row r="175" spans="1:11" x14ac:dyDescent="0.2">
      <c r="A175" s="27" t="s">
        <v>164</v>
      </c>
      <c r="B175" s="27" t="s">
        <v>165</v>
      </c>
      <c r="C175" s="27">
        <v>2.7</v>
      </c>
      <c r="D175" s="27">
        <v>1999</v>
      </c>
      <c r="E175" s="27">
        <v>4</v>
      </c>
      <c r="F175" s="27" t="s">
        <v>106</v>
      </c>
      <c r="G175" s="27">
        <v>4</v>
      </c>
      <c r="H175" s="27">
        <v>15</v>
      </c>
      <c r="I175" s="27">
        <v>20</v>
      </c>
      <c r="J175" s="27" t="s">
        <v>116</v>
      </c>
      <c r="K175" s="27" t="s">
        <v>117</v>
      </c>
    </row>
    <row r="176" spans="1:11" x14ac:dyDescent="0.2">
      <c r="A176" s="27" t="s">
        <v>164</v>
      </c>
      <c r="B176" s="27" t="s">
        <v>165</v>
      </c>
      <c r="C176" s="27">
        <v>2.7</v>
      </c>
      <c r="D176" s="27">
        <v>1999</v>
      </c>
      <c r="E176" s="27">
        <v>4</v>
      </c>
      <c r="F176" s="27" t="s">
        <v>115</v>
      </c>
      <c r="G176" s="27">
        <v>4</v>
      </c>
      <c r="H176" s="27">
        <v>16</v>
      </c>
      <c r="I176" s="27">
        <v>20</v>
      </c>
      <c r="J176" s="27" t="s">
        <v>116</v>
      </c>
      <c r="K176" s="27" t="s">
        <v>117</v>
      </c>
    </row>
    <row r="177" spans="1:11" x14ac:dyDescent="0.2">
      <c r="A177" s="27" t="s">
        <v>164</v>
      </c>
      <c r="B177" s="27" t="s">
        <v>165</v>
      </c>
      <c r="C177" s="27">
        <v>3.4</v>
      </c>
      <c r="D177" s="27">
        <v>1999</v>
      </c>
      <c r="E177" s="27">
        <v>6</v>
      </c>
      <c r="F177" s="27" t="s">
        <v>115</v>
      </c>
      <c r="G177" s="27">
        <v>4</v>
      </c>
      <c r="H177" s="27">
        <v>15</v>
      </c>
      <c r="I177" s="27">
        <v>19</v>
      </c>
      <c r="J177" s="27" t="s">
        <v>116</v>
      </c>
      <c r="K177" s="27" t="s">
        <v>117</v>
      </c>
    </row>
    <row r="178" spans="1:11" x14ac:dyDescent="0.2">
      <c r="A178" s="27" t="s">
        <v>164</v>
      </c>
      <c r="B178" s="27" t="s">
        <v>165</v>
      </c>
      <c r="C178" s="27">
        <v>3.4</v>
      </c>
      <c r="D178" s="27">
        <v>1999</v>
      </c>
      <c r="E178" s="27">
        <v>6</v>
      </c>
      <c r="F178" s="27" t="s">
        <v>106</v>
      </c>
      <c r="G178" s="27">
        <v>4</v>
      </c>
      <c r="H178" s="27">
        <v>15</v>
      </c>
      <c r="I178" s="27">
        <v>17</v>
      </c>
      <c r="J178" s="27" t="s">
        <v>116</v>
      </c>
      <c r="K178" s="27" t="s">
        <v>117</v>
      </c>
    </row>
    <row r="179" spans="1:11" x14ac:dyDescent="0.2">
      <c r="A179" s="27" t="s">
        <v>164</v>
      </c>
      <c r="B179" s="27" t="s">
        <v>165</v>
      </c>
      <c r="C179" s="27">
        <v>4</v>
      </c>
      <c r="D179" s="27">
        <v>2008</v>
      </c>
      <c r="E179" s="27">
        <v>6</v>
      </c>
      <c r="F179" s="27" t="s">
        <v>103</v>
      </c>
      <c r="G179" s="27">
        <v>4</v>
      </c>
      <c r="H179" s="27">
        <v>16</v>
      </c>
      <c r="I179" s="27">
        <v>20</v>
      </c>
      <c r="J179" s="27" t="s">
        <v>116</v>
      </c>
      <c r="K179" s="27" t="s">
        <v>117</v>
      </c>
    </row>
    <row r="180" spans="1:11" x14ac:dyDescent="0.2">
      <c r="A180" s="27" t="s">
        <v>164</v>
      </c>
      <c r="B180" s="27" t="s">
        <v>165</v>
      </c>
      <c r="C180" s="27">
        <v>4.7</v>
      </c>
      <c r="D180" s="27">
        <v>2008</v>
      </c>
      <c r="E180" s="27">
        <v>8</v>
      </c>
      <c r="F180" s="27" t="s">
        <v>103</v>
      </c>
      <c r="G180" s="27">
        <v>4</v>
      </c>
      <c r="H180" s="27">
        <v>14</v>
      </c>
      <c r="I180" s="27">
        <v>17</v>
      </c>
      <c r="J180" s="27" t="s">
        <v>116</v>
      </c>
      <c r="K180" s="27" t="s">
        <v>117</v>
      </c>
    </row>
    <row r="181" spans="1:11" x14ac:dyDescent="0.2">
      <c r="A181" s="27" t="s">
        <v>164</v>
      </c>
      <c r="B181" s="27" t="s">
        <v>166</v>
      </c>
      <c r="C181" s="27">
        <v>2.2000000000000002</v>
      </c>
      <c r="D181" s="27">
        <v>1999</v>
      </c>
      <c r="E181" s="27">
        <v>4</v>
      </c>
      <c r="F181" s="27" t="s">
        <v>106</v>
      </c>
      <c r="G181" s="27" t="s">
        <v>104</v>
      </c>
      <c r="H181" s="27">
        <v>21</v>
      </c>
      <c r="I181" s="27">
        <v>29</v>
      </c>
      <c r="J181" s="27" t="s">
        <v>116</v>
      </c>
      <c r="K181" s="27" t="s">
        <v>112</v>
      </c>
    </row>
    <row r="182" spans="1:11" x14ac:dyDescent="0.2">
      <c r="A182" s="27" t="s">
        <v>164</v>
      </c>
      <c r="B182" s="27" t="s">
        <v>166</v>
      </c>
      <c r="C182" s="27">
        <v>2.2000000000000002</v>
      </c>
      <c r="D182" s="27">
        <v>1999</v>
      </c>
      <c r="E182" s="27">
        <v>4</v>
      </c>
      <c r="F182" s="27" t="s">
        <v>115</v>
      </c>
      <c r="G182" s="27" t="s">
        <v>104</v>
      </c>
      <c r="H182" s="27">
        <v>21</v>
      </c>
      <c r="I182" s="27">
        <v>27</v>
      </c>
      <c r="J182" s="27" t="s">
        <v>116</v>
      </c>
      <c r="K182" s="27" t="s">
        <v>112</v>
      </c>
    </row>
    <row r="183" spans="1:11" x14ac:dyDescent="0.2">
      <c r="A183" s="27" t="s">
        <v>164</v>
      </c>
      <c r="B183" s="27" t="s">
        <v>166</v>
      </c>
      <c r="C183" s="27">
        <v>2.4</v>
      </c>
      <c r="D183" s="27">
        <v>2008</v>
      </c>
      <c r="E183" s="27">
        <v>4</v>
      </c>
      <c r="F183" s="27" t="s">
        <v>106</v>
      </c>
      <c r="G183" s="27" t="s">
        <v>104</v>
      </c>
      <c r="H183" s="27">
        <v>21</v>
      </c>
      <c r="I183" s="27">
        <v>31</v>
      </c>
      <c r="J183" s="27" t="s">
        <v>116</v>
      </c>
      <c r="K183" s="27" t="s">
        <v>112</v>
      </c>
    </row>
    <row r="184" spans="1:11" x14ac:dyDescent="0.2">
      <c r="A184" s="27" t="s">
        <v>164</v>
      </c>
      <c r="B184" s="27" t="s">
        <v>166</v>
      </c>
      <c r="C184" s="27">
        <v>2.4</v>
      </c>
      <c r="D184" s="27">
        <v>2008</v>
      </c>
      <c r="E184" s="27">
        <v>4</v>
      </c>
      <c r="F184" s="27" t="s">
        <v>103</v>
      </c>
      <c r="G184" s="27" t="s">
        <v>104</v>
      </c>
      <c r="H184" s="27">
        <v>21</v>
      </c>
      <c r="I184" s="27">
        <v>31</v>
      </c>
      <c r="J184" s="27" t="s">
        <v>116</v>
      </c>
      <c r="K184" s="27" t="s">
        <v>112</v>
      </c>
    </row>
    <row r="185" spans="1:11" x14ac:dyDescent="0.2">
      <c r="A185" s="27" t="s">
        <v>164</v>
      </c>
      <c r="B185" s="27" t="s">
        <v>166</v>
      </c>
      <c r="C185" s="27">
        <v>3</v>
      </c>
      <c r="D185" s="27">
        <v>1999</v>
      </c>
      <c r="E185" s="27">
        <v>6</v>
      </c>
      <c r="F185" s="27" t="s">
        <v>115</v>
      </c>
      <c r="G185" s="27" t="s">
        <v>104</v>
      </c>
      <c r="H185" s="27">
        <v>18</v>
      </c>
      <c r="I185" s="27">
        <v>26</v>
      </c>
      <c r="J185" s="27" t="s">
        <v>116</v>
      </c>
      <c r="K185" s="27" t="s">
        <v>112</v>
      </c>
    </row>
    <row r="186" spans="1:11" x14ac:dyDescent="0.2">
      <c r="A186" s="27" t="s">
        <v>164</v>
      </c>
      <c r="B186" s="27" t="s">
        <v>166</v>
      </c>
      <c r="C186" s="27">
        <v>3</v>
      </c>
      <c r="D186" s="27">
        <v>1999</v>
      </c>
      <c r="E186" s="27">
        <v>6</v>
      </c>
      <c r="F186" s="27" t="s">
        <v>106</v>
      </c>
      <c r="G186" s="27" t="s">
        <v>104</v>
      </c>
      <c r="H186" s="27">
        <v>18</v>
      </c>
      <c r="I186" s="27">
        <v>26</v>
      </c>
      <c r="J186" s="27" t="s">
        <v>116</v>
      </c>
      <c r="K186" s="27" t="s">
        <v>112</v>
      </c>
    </row>
    <row r="187" spans="1:11" x14ac:dyDescent="0.2">
      <c r="A187" s="27" t="s">
        <v>164</v>
      </c>
      <c r="B187" s="27" t="s">
        <v>166</v>
      </c>
      <c r="C187" s="27">
        <v>3.5</v>
      </c>
      <c r="D187" s="27">
        <v>2008</v>
      </c>
      <c r="E187" s="27">
        <v>6</v>
      </c>
      <c r="F187" s="27" t="s">
        <v>110</v>
      </c>
      <c r="G187" s="27" t="s">
        <v>104</v>
      </c>
      <c r="H187" s="27">
        <v>19</v>
      </c>
      <c r="I187" s="27">
        <v>28</v>
      </c>
      <c r="J187" s="27" t="s">
        <v>116</v>
      </c>
      <c r="K187" s="27" t="s">
        <v>112</v>
      </c>
    </row>
    <row r="188" spans="1:11" x14ac:dyDescent="0.2">
      <c r="A188" s="27" t="s">
        <v>164</v>
      </c>
      <c r="B188" s="27" t="s">
        <v>167</v>
      </c>
      <c r="C188" s="27">
        <v>2.2000000000000002</v>
      </c>
      <c r="D188" s="27">
        <v>1999</v>
      </c>
      <c r="E188" s="27">
        <v>4</v>
      </c>
      <c r="F188" s="27" t="s">
        <v>115</v>
      </c>
      <c r="G188" s="27" t="s">
        <v>104</v>
      </c>
      <c r="H188" s="27">
        <v>21</v>
      </c>
      <c r="I188" s="27">
        <v>27</v>
      </c>
      <c r="J188" s="27" t="s">
        <v>116</v>
      </c>
      <c r="K188" s="27" t="s">
        <v>105</v>
      </c>
    </row>
    <row r="189" spans="1:11" x14ac:dyDescent="0.2">
      <c r="A189" s="27" t="s">
        <v>164</v>
      </c>
      <c r="B189" s="27" t="s">
        <v>167</v>
      </c>
      <c r="C189" s="27">
        <v>2.2000000000000002</v>
      </c>
      <c r="D189" s="27">
        <v>1999</v>
      </c>
      <c r="E189" s="27">
        <v>4</v>
      </c>
      <c r="F189" s="27" t="s">
        <v>106</v>
      </c>
      <c r="G189" s="27" t="s">
        <v>104</v>
      </c>
      <c r="H189" s="27">
        <v>21</v>
      </c>
      <c r="I189" s="27">
        <v>29</v>
      </c>
      <c r="J189" s="27" t="s">
        <v>116</v>
      </c>
      <c r="K189" s="27" t="s">
        <v>105</v>
      </c>
    </row>
    <row r="190" spans="1:11" x14ac:dyDescent="0.2">
      <c r="A190" s="27" t="s">
        <v>164</v>
      </c>
      <c r="B190" s="27" t="s">
        <v>167</v>
      </c>
      <c r="C190" s="27">
        <v>2.4</v>
      </c>
      <c r="D190" s="27">
        <v>2008</v>
      </c>
      <c r="E190" s="27">
        <v>4</v>
      </c>
      <c r="F190" s="27" t="s">
        <v>106</v>
      </c>
      <c r="G190" s="27" t="s">
        <v>104</v>
      </c>
      <c r="H190" s="27">
        <v>21</v>
      </c>
      <c r="I190" s="27">
        <v>31</v>
      </c>
      <c r="J190" s="27" t="s">
        <v>116</v>
      </c>
      <c r="K190" s="27" t="s">
        <v>105</v>
      </c>
    </row>
    <row r="191" spans="1:11" x14ac:dyDescent="0.2">
      <c r="A191" s="27" t="s">
        <v>164</v>
      </c>
      <c r="B191" s="27" t="s">
        <v>167</v>
      </c>
      <c r="C191" s="27">
        <v>2.4</v>
      </c>
      <c r="D191" s="27">
        <v>2008</v>
      </c>
      <c r="E191" s="27">
        <v>4</v>
      </c>
      <c r="F191" s="27" t="s">
        <v>157</v>
      </c>
      <c r="G191" s="27" t="s">
        <v>104</v>
      </c>
      <c r="H191" s="27">
        <v>22</v>
      </c>
      <c r="I191" s="27">
        <v>31</v>
      </c>
      <c r="J191" s="27" t="s">
        <v>116</v>
      </c>
      <c r="K191" s="27" t="s">
        <v>105</v>
      </c>
    </row>
    <row r="192" spans="1:11" x14ac:dyDescent="0.2">
      <c r="A192" s="27" t="s">
        <v>164</v>
      </c>
      <c r="B192" s="27" t="s">
        <v>167</v>
      </c>
      <c r="C192" s="27">
        <v>3</v>
      </c>
      <c r="D192" s="27">
        <v>1999</v>
      </c>
      <c r="E192" s="27">
        <v>6</v>
      </c>
      <c r="F192" s="27" t="s">
        <v>115</v>
      </c>
      <c r="G192" s="27" t="s">
        <v>104</v>
      </c>
      <c r="H192" s="27">
        <v>18</v>
      </c>
      <c r="I192" s="27">
        <v>26</v>
      </c>
      <c r="J192" s="27" t="s">
        <v>116</v>
      </c>
      <c r="K192" s="27" t="s">
        <v>105</v>
      </c>
    </row>
    <row r="193" spans="1:11" x14ac:dyDescent="0.2">
      <c r="A193" s="27" t="s">
        <v>164</v>
      </c>
      <c r="B193" s="27" t="s">
        <v>167</v>
      </c>
      <c r="C193" s="27">
        <v>3</v>
      </c>
      <c r="D193" s="27">
        <v>1999</v>
      </c>
      <c r="E193" s="27">
        <v>6</v>
      </c>
      <c r="F193" s="27" t="s">
        <v>106</v>
      </c>
      <c r="G193" s="27" t="s">
        <v>104</v>
      </c>
      <c r="H193" s="27">
        <v>18</v>
      </c>
      <c r="I193" s="27">
        <v>26</v>
      </c>
      <c r="J193" s="27" t="s">
        <v>116</v>
      </c>
      <c r="K193" s="27" t="s">
        <v>105</v>
      </c>
    </row>
    <row r="194" spans="1:11" x14ac:dyDescent="0.2">
      <c r="A194" s="27" t="s">
        <v>164</v>
      </c>
      <c r="B194" s="27" t="s">
        <v>167</v>
      </c>
      <c r="C194" s="27">
        <v>3.3</v>
      </c>
      <c r="D194" s="27">
        <v>2008</v>
      </c>
      <c r="E194" s="27">
        <v>6</v>
      </c>
      <c r="F194" s="27" t="s">
        <v>157</v>
      </c>
      <c r="G194" s="27" t="s">
        <v>104</v>
      </c>
      <c r="H194" s="27">
        <v>18</v>
      </c>
      <c r="I194" s="27">
        <v>27</v>
      </c>
      <c r="J194" s="27" t="s">
        <v>116</v>
      </c>
      <c r="K194" s="27" t="s">
        <v>105</v>
      </c>
    </row>
    <row r="195" spans="1:11" x14ac:dyDescent="0.2">
      <c r="A195" s="27" t="s">
        <v>164</v>
      </c>
      <c r="B195" s="27" t="s">
        <v>168</v>
      </c>
      <c r="C195" s="27">
        <v>1.8</v>
      </c>
      <c r="D195" s="27">
        <v>1999</v>
      </c>
      <c r="E195" s="27">
        <v>4</v>
      </c>
      <c r="F195" s="27" t="s">
        <v>126</v>
      </c>
      <c r="G195" s="27" t="s">
        <v>104</v>
      </c>
      <c r="H195" s="27">
        <v>24</v>
      </c>
      <c r="I195" s="27">
        <v>30</v>
      </c>
      <c r="J195" s="27" t="s">
        <v>116</v>
      </c>
      <c r="K195" s="27" t="s">
        <v>105</v>
      </c>
    </row>
    <row r="196" spans="1:11" x14ac:dyDescent="0.2">
      <c r="A196" s="27" t="s">
        <v>164</v>
      </c>
      <c r="B196" s="27" t="s">
        <v>168</v>
      </c>
      <c r="C196" s="27">
        <v>1.8</v>
      </c>
      <c r="D196" s="27">
        <v>1999</v>
      </c>
      <c r="E196" s="27">
        <v>4</v>
      </c>
      <c r="F196" s="27" t="s">
        <v>115</v>
      </c>
      <c r="G196" s="27" t="s">
        <v>104</v>
      </c>
      <c r="H196" s="27">
        <v>24</v>
      </c>
      <c r="I196" s="27">
        <v>33</v>
      </c>
      <c r="J196" s="27" t="s">
        <v>116</v>
      </c>
      <c r="K196" s="27" t="s">
        <v>105</v>
      </c>
    </row>
    <row r="197" spans="1:11" x14ac:dyDescent="0.2">
      <c r="A197" s="27" t="s">
        <v>164</v>
      </c>
      <c r="B197" s="27" t="s">
        <v>168</v>
      </c>
      <c r="C197" s="27">
        <v>1.8</v>
      </c>
      <c r="D197" s="27">
        <v>1999</v>
      </c>
      <c r="E197" s="27">
        <v>4</v>
      </c>
      <c r="F197" s="27" t="s">
        <v>106</v>
      </c>
      <c r="G197" s="27" t="s">
        <v>104</v>
      </c>
      <c r="H197" s="27">
        <v>26</v>
      </c>
      <c r="I197" s="27">
        <v>35</v>
      </c>
      <c r="J197" s="27" t="s">
        <v>116</v>
      </c>
      <c r="K197" s="27" t="s">
        <v>105</v>
      </c>
    </row>
    <row r="198" spans="1:11" x14ac:dyDescent="0.2">
      <c r="A198" s="27" t="s">
        <v>164</v>
      </c>
      <c r="B198" s="27" t="s">
        <v>168</v>
      </c>
      <c r="C198" s="27">
        <v>1.8</v>
      </c>
      <c r="D198" s="27">
        <v>2008</v>
      </c>
      <c r="E198" s="27">
        <v>4</v>
      </c>
      <c r="F198" s="27" t="s">
        <v>106</v>
      </c>
      <c r="G198" s="27" t="s">
        <v>104</v>
      </c>
      <c r="H198" s="27">
        <v>28</v>
      </c>
      <c r="I198" s="27">
        <v>37</v>
      </c>
      <c r="J198" s="27" t="s">
        <v>116</v>
      </c>
      <c r="K198" s="27" t="s">
        <v>105</v>
      </c>
    </row>
    <row r="199" spans="1:11" x14ac:dyDescent="0.2">
      <c r="A199" s="27" t="s">
        <v>164</v>
      </c>
      <c r="B199" s="27" t="s">
        <v>168</v>
      </c>
      <c r="C199" s="27">
        <v>1.8</v>
      </c>
      <c r="D199" s="27">
        <v>2008</v>
      </c>
      <c r="E199" s="27">
        <v>4</v>
      </c>
      <c r="F199" s="27" t="s">
        <v>115</v>
      </c>
      <c r="G199" s="27" t="s">
        <v>104</v>
      </c>
      <c r="H199" s="27">
        <v>26</v>
      </c>
      <c r="I199" s="27">
        <v>35</v>
      </c>
      <c r="J199" s="27" t="s">
        <v>116</v>
      </c>
      <c r="K199" s="27" t="s">
        <v>105</v>
      </c>
    </row>
    <row r="200" spans="1:11" x14ac:dyDescent="0.2">
      <c r="A200" s="27" t="s">
        <v>164</v>
      </c>
      <c r="B200" s="27" t="s">
        <v>169</v>
      </c>
      <c r="C200" s="27">
        <v>4.7</v>
      </c>
      <c r="D200" s="27">
        <v>1999</v>
      </c>
      <c r="E200" s="27">
        <v>8</v>
      </c>
      <c r="F200" s="27" t="s">
        <v>115</v>
      </c>
      <c r="G200" s="27">
        <v>4</v>
      </c>
      <c r="H200" s="27">
        <v>11</v>
      </c>
      <c r="I200" s="27">
        <v>15</v>
      </c>
      <c r="J200" s="27" t="s">
        <v>116</v>
      </c>
      <c r="K200" s="27" t="s">
        <v>117</v>
      </c>
    </row>
    <row r="201" spans="1:11" x14ac:dyDescent="0.2">
      <c r="A201" s="27" t="s">
        <v>164</v>
      </c>
      <c r="B201" s="27" t="s">
        <v>169</v>
      </c>
      <c r="C201" s="27">
        <v>5.7</v>
      </c>
      <c r="D201" s="27">
        <v>2008</v>
      </c>
      <c r="E201" s="27">
        <v>8</v>
      </c>
      <c r="F201" s="27" t="s">
        <v>110</v>
      </c>
      <c r="G201" s="27">
        <v>4</v>
      </c>
      <c r="H201" s="27">
        <v>13</v>
      </c>
      <c r="I201" s="27">
        <v>18</v>
      </c>
      <c r="J201" s="27" t="s">
        <v>116</v>
      </c>
      <c r="K201" s="27" t="s">
        <v>117</v>
      </c>
    </row>
    <row r="202" spans="1:11" x14ac:dyDescent="0.2">
      <c r="A202" s="27" t="s">
        <v>164</v>
      </c>
      <c r="B202" s="27" t="s">
        <v>170</v>
      </c>
      <c r="C202" s="27">
        <v>2.7</v>
      </c>
      <c r="D202" s="27">
        <v>1999</v>
      </c>
      <c r="E202" s="27">
        <v>4</v>
      </c>
      <c r="F202" s="27" t="s">
        <v>106</v>
      </c>
      <c r="G202" s="27">
        <v>4</v>
      </c>
      <c r="H202" s="27">
        <v>15</v>
      </c>
      <c r="I202" s="27">
        <v>20</v>
      </c>
      <c r="J202" s="27" t="s">
        <v>116</v>
      </c>
      <c r="K202" s="27" t="s">
        <v>130</v>
      </c>
    </row>
    <row r="203" spans="1:11" x14ac:dyDescent="0.2">
      <c r="A203" s="27" t="s">
        <v>164</v>
      </c>
      <c r="B203" s="27" t="s">
        <v>170</v>
      </c>
      <c r="C203" s="27">
        <v>2.7</v>
      </c>
      <c r="D203" s="27">
        <v>1999</v>
      </c>
      <c r="E203" s="27">
        <v>4</v>
      </c>
      <c r="F203" s="27" t="s">
        <v>115</v>
      </c>
      <c r="G203" s="27">
        <v>4</v>
      </c>
      <c r="H203" s="27">
        <v>16</v>
      </c>
      <c r="I203" s="27">
        <v>20</v>
      </c>
      <c r="J203" s="27" t="s">
        <v>116</v>
      </c>
      <c r="K203" s="27" t="s">
        <v>130</v>
      </c>
    </row>
    <row r="204" spans="1:11" x14ac:dyDescent="0.2">
      <c r="A204" s="27" t="s">
        <v>164</v>
      </c>
      <c r="B204" s="27" t="s">
        <v>170</v>
      </c>
      <c r="C204" s="27">
        <v>2.7</v>
      </c>
      <c r="D204" s="27">
        <v>2008</v>
      </c>
      <c r="E204" s="27">
        <v>4</v>
      </c>
      <c r="F204" s="27" t="s">
        <v>106</v>
      </c>
      <c r="G204" s="27">
        <v>4</v>
      </c>
      <c r="H204" s="27">
        <v>17</v>
      </c>
      <c r="I204" s="27">
        <v>22</v>
      </c>
      <c r="J204" s="27" t="s">
        <v>116</v>
      </c>
      <c r="K204" s="27" t="s">
        <v>130</v>
      </c>
    </row>
    <row r="205" spans="1:11" x14ac:dyDescent="0.2">
      <c r="A205" s="27" t="s">
        <v>164</v>
      </c>
      <c r="B205" s="27" t="s">
        <v>170</v>
      </c>
      <c r="C205" s="27">
        <v>3.4</v>
      </c>
      <c r="D205" s="27">
        <v>1999</v>
      </c>
      <c r="E205" s="27">
        <v>6</v>
      </c>
      <c r="F205" s="27" t="s">
        <v>106</v>
      </c>
      <c r="G205" s="27">
        <v>4</v>
      </c>
      <c r="H205" s="27">
        <v>15</v>
      </c>
      <c r="I205" s="27">
        <v>17</v>
      </c>
      <c r="J205" s="27" t="s">
        <v>116</v>
      </c>
      <c r="K205" s="27" t="s">
        <v>130</v>
      </c>
    </row>
    <row r="206" spans="1:11" x14ac:dyDescent="0.2">
      <c r="A206" s="27" t="s">
        <v>164</v>
      </c>
      <c r="B206" s="27" t="s">
        <v>170</v>
      </c>
      <c r="C206" s="27">
        <v>3.4</v>
      </c>
      <c r="D206" s="27">
        <v>1999</v>
      </c>
      <c r="E206" s="27">
        <v>6</v>
      </c>
      <c r="F206" s="27" t="s">
        <v>115</v>
      </c>
      <c r="G206" s="27">
        <v>4</v>
      </c>
      <c r="H206" s="27">
        <v>15</v>
      </c>
      <c r="I206" s="27">
        <v>19</v>
      </c>
      <c r="J206" s="27" t="s">
        <v>116</v>
      </c>
      <c r="K206" s="27" t="s">
        <v>130</v>
      </c>
    </row>
    <row r="207" spans="1:11" x14ac:dyDescent="0.2">
      <c r="A207" s="27" t="s">
        <v>164</v>
      </c>
      <c r="B207" s="27" t="s">
        <v>170</v>
      </c>
      <c r="C207" s="27">
        <v>4</v>
      </c>
      <c r="D207" s="27">
        <v>2008</v>
      </c>
      <c r="E207" s="27">
        <v>6</v>
      </c>
      <c r="F207" s="27" t="s">
        <v>107</v>
      </c>
      <c r="G207" s="27">
        <v>4</v>
      </c>
      <c r="H207" s="27">
        <v>15</v>
      </c>
      <c r="I207" s="27">
        <v>18</v>
      </c>
      <c r="J207" s="27" t="s">
        <v>116</v>
      </c>
      <c r="K207" s="27" t="s">
        <v>130</v>
      </c>
    </row>
    <row r="208" spans="1:11" x14ac:dyDescent="0.2">
      <c r="A208" s="27" t="s">
        <v>164</v>
      </c>
      <c r="B208" s="27" t="s">
        <v>170</v>
      </c>
      <c r="C208" s="27">
        <v>4</v>
      </c>
      <c r="D208" s="27">
        <v>2008</v>
      </c>
      <c r="E208" s="27">
        <v>6</v>
      </c>
      <c r="F208" s="27" t="s">
        <v>103</v>
      </c>
      <c r="G208" s="27">
        <v>4</v>
      </c>
      <c r="H208" s="27">
        <v>16</v>
      </c>
      <c r="I208" s="27">
        <v>20</v>
      </c>
      <c r="J208" s="27" t="s">
        <v>116</v>
      </c>
      <c r="K208" s="27" t="s">
        <v>130</v>
      </c>
    </row>
    <row r="209" spans="1:11" x14ac:dyDescent="0.2">
      <c r="A209" s="27" t="s">
        <v>171</v>
      </c>
      <c r="B209" s="27" t="s">
        <v>172</v>
      </c>
      <c r="C209" s="27">
        <v>2</v>
      </c>
      <c r="D209" s="27">
        <v>1999</v>
      </c>
      <c r="E209" s="27">
        <v>4</v>
      </c>
      <c r="F209" s="27" t="s">
        <v>106</v>
      </c>
      <c r="G209" s="27" t="s">
        <v>104</v>
      </c>
      <c r="H209" s="27">
        <v>21</v>
      </c>
      <c r="I209" s="27">
        <v>29</v>
      </c>
      <c r="J209" s="27" t="s">
        <v>116</v>
      </c>
      <c r="K209" s="27" t="s">
        <v>105</v>
      </c>
    </row>
    <row r="210" spans="1:11" x14ac:dyDescent="0.2">
      <c r="A210" s="27" t="s">
        <v>171</v>
      </c>
      <c r="B210" s="27" t="s">
        <v>172</v>
      </c>
      <c r="C210" s="27">
        <v>2</v>
      </c>
      <c r="D210" s="27">
        <v>1999</v>
      </c>
      <c r="E210" s="27">
        <v>4</v>
      </c>
      <c r="F210" s="27" t="s">
        <v>115</v>
      </c>
      <c r="G210" s="27" t="s">
        <v>104</v>
      </c>
      <c r="H210" s="27">
        <v>19</v>
      </c>
      <c r="I210" s="27">
        <v>26</v>
      </c>
      <c r="J210" s="27" t="s">
        <v>116</v>
      </c>
      <c r="K210" s="27" t="s">
        <v>105</v>
      </c>
    </row>
    <row r="211" spans="1:11" x14ac:dyDescent="0.2">
      <c r="A211" s="27" t="s">
        <v>171</v>
      </c>
      <c r="B211" s="27" t="s">
        <v>172</v>
      </c>
      <c r="C211" s="27">
        <v>2</v>
      </c>
      <c r="D211" s="27">
        <v>2008</v>
      </c>
      <c r="E211" s="27">
        <v>4</v>
      </c>
      <c r="F211" s="27" t="s">
        <v>107</v>
      </c>
      <c r="G211" s="27" t="s">
        <v>104</v>
      </c>
      <c r="H211" s="27">
        <v>21</v>
      </c>
      <c r="I211" s="27">
        <v>29</v>
      </c>
      <c r="J211" s="27" t="s">
        <v>6</v>
      </c>
      <c r="K211" s="27" t="s">
        <v>105</v>
      </c>
    </row>
    <row r="212" spans="1:11" x14ac:dyDescent="0.2">
      <c r="A212" s="27" t="s">
        <v>171</v>
      </c>
      <c r="B212" s="27" t="s">
        <v>172</v>
      </c>
      <c r="C212" s="27">
        <v>2</v>
      </c>
      <c r="D212" s="27">
        <v>2008</v>
      </c>
      <c r="E212" s="27">
        <v>4</v>
      </c>
      <c r="F212" s="27" t="s">
        <v>110</v>
      </c>
      <c r="G212" s="27" t="s">
        <v>104</v>
      </c>
      <c r="H212" s="27">
        <v>22</v>
      </c>
      <c r="I212" s="27">
        <v>29</v>
      </c>
      <c r="J212" s="27" t="s">
        <v>6</v>
      </c>
      <c r="K212" s="27" t="s">
        <v>105</v>
      </c>
    </row>
    <row r="213" spans="1:11" x14ac:dyDescent="0.2">
      <c r="A213" s="27" t="s">
        <v>171</v>
      </c>
      <c r="B213" s="27" t="s">
        <v>172</v>
      </c>
      <c r="C213" s="27">
        <v>2.8</v>
      </c>
      <c r="D213" s="27">
        <v>1999</v>
      </c>
      <c r="E213" s="27">
        <v>6</v>
      </c>
      <c r="F213" s="27" t="s">
        <v>106</v>
      </c>
      <c r="G213" s="27" t="s">
        <v>104</v>
      </c>
      <c r="H213" s="27">
        <v>17</v>
      </c>
      <c r="I213" s="27">
        <v>24</v>
      </c>
      <c r="J213" s="27" t="s">
        <v>116</v>
      </c>
      <c r="K213" s="27" t="s">
        <v>105</v>
      </c>
    </row>
    <row r="214" spans="1:11" x14ac:dyDescent="0.2">
      <c r="A214" s="27" t="s">
        <v>171</v>
      </c>
      <c r="B214" s="27" t="s">
        <v>173</v>
      </c>
      <c r="C214" s="27">
        <v>1.9</v>
      </c>
      <c r="D214" s="27">
        <v>1999</v>
      </c>
      <c r="E214" s="27">
        <v>4</v>
      </c>
      <c r="F214" s="27" t="s">
        <v>106</v>
      </c>
      <c r="G214" s="27" t="s">
        <v>104</v>
      </c>
      <c r="H214" s="27">
        <v>33</v>
      </c>
      <c r="I214" s="27">
        <v>44</v>
      </c>
      <c r="J214" s="27" t="s">
        <v>122</v>
      </c>
      <c r="K214" s="27" t="s">
        <v>105</v>
      </c>
    </row>
    <row r="215" spans="1:11" x14ac:dyDescent="0.2">
      <c r="A215" s="27" t="s">
        <v>171</v>
      </c>
      <c r="B215" s="27" t="s">
        <v>173</v>
      </c>
      <c r="C215" s="27">
        <v>2</v>
      </c>
      <c r="D215" s="27">
        <v>1999</v>
      </c>
      <c r="E215" s="27">
        <v>4</v>
      </c>
      <c r="F215" s="27" t="s">
        <v>106</v>
      </c>
      <c r="G215" s="27" t="s">
        <v>104</v>
      </c>
      <c r="H215" s="27">
        <v>21</v>
      </c>
      <c r="I215" s="27">
        <v>29</v>
      </c>
      <c r="J215" s="27" t="s">
        <v>116</v>
      </c>
      <c r="K215" s="27" t="s">
        <v>105</v>
      </c>
    </row>
    <row r="216" spans="1:11" x14ac:dyDescent="0.2">
      <c r="A216" s="27" t="s">
        <v>171</v>
      </c>
      <c r="B216" s="27" t="s">
        <v>173</v>
      </c>
      <c r="C216" s="27">
        <v>2</v>
      </c>
      <c r="D216" s="27">
        <v>1999</v>
      </c>
      <c r="E216" s="27">
        <v>4</v>
      </c>
      <c r="F216" s="27" t="s">
        <v>115</v>
      </c>
      <c r="G216" s="27" t="s">
        <v>104</v>
      </c>
      <c r="H216" s="27">
        <v>19</v>
      </c>
      <c r="I216" s="27">
        <v>26</v>
      </c>
      <c r="J216" s="27" t="s">
        <v>116</v>
      </c>
      <c r="K216" s="27" t="s">
        <v>105</v>
      </c>
    </row>
    <row r="217" spans="1:11" x14ac:dyDescent="0.2">
      <c r="A217" s="27" t="s">
        <v>171</v>
      </c>
      <c r="B217" s="27" t="s">
        <v>173</v>
      </c>
      <c r="C217" s="27">
        <v>2</v>
      </c>
      <c r="D217" s="27">
        <v>2008</v>
      </c>
      <c r="E217" s="27">
        <v>4</v>
      </c>
      <c r="F217" s="27" t="s">
        <v>110</v>
      </c>
      <c r="G217" s="27" t="s">
        <v>104</v>
      </c>
      <c r="H217" s="27">
        <v>22</v>
      </c>
      <c r="I217" s="27">
        <v>29</v>
      </c>
      <c r="J217" s="27" t="s">
        <v>6</v>
      </c>
      <c r="K217" s="27" t="s">
        <v>105</v>
      </c>
    </row>
    <row r="218" spans="1:11" x14ac:dyDescent="0.2">
      <c r="A218" s="27" t="s">
        <v>171</v>
      </c>
      <c r="B218" s="27" t="s">
        <v>173</v>
      </c>
      <c r="C218" s="27">
        <v>2</v>
      </c>
      <c r="D218" s="27">
        <v>2008</v>
      </c>
      <c r="E218" s="27">
        <v>4</v>
      </c>
      <c r="F218" s="27" t="s">
        <v>107</v>
      </c>
      <c r="G218" s="27" t="s">
        <v>104</v>
      </c>
      <c r="H218" s="27">
        <v>21</v>
      </c>
      <c r="I218" s="27">
        <v>29</v>
      </c>
      <c r="J218" s="27" t="s">
        <v>6</v>
      </c>
      <c r="K218" s="27" t="s">
        <v>105</v>
      </c>
    </row>
    <row r="219" spans="1:11" x14ac:dyDescent="0.2">
      <c r="A219" s="27" t="s">
        <v>171</v>
      </c>
      <c r="B219" s="27" t="s">
        <v>173</v>
      </c>
      <c r="C219" s="27">
        <v>2.5</v>
      </c>
      <c r="D219" s="27">
        <v>2008</v>
      </c>
      <c r="E219" s="27">
        <v>5</v>
      </c>
      <c r="F219" s="27" t="s">
        <v>110</v>
      </c>
      <c r="G219" s="27" t="s">
        <v>104</v>
      </c>
      <c r="H219" s="27">
        <v>21</v>
      </c>
      <c r="I219" s="27">
        <v>29</v>
      </c>
      <c r="J219" s="27" t="s">
        <v>116</v>
      </c>
      <c r="K219" s="27" t="s">
        <v>105</v>
      </c>
    </row>
    <row r="220" spans="1:11" x14ac:dyDescent="0.2">
      <c r="A220" s="27" t="s">
        <v>171</v>
      </c>
      <c r="B220" s="27" t="s">
        <v>173</v>
      </c>
      <c r="C220" s="27">
        <v>2.5</v>
      </c>
      <c r="D220" s="27">
        <v>2008</v>
      </c>
      <c r="E220" s="27">
        <v>5</v>
      </c>
      <c r="F220" s="27" t="s">
        <v>106</v>
      </c>
      <c r="G220" s="27" t="s">
        <v>104</v>
      </c>
      <c r="H220" s="27">
        <v>21</v>
      </c>
      <c r="I220" s="27">
        <v>29</v>
      </c>
      <c r="J220" s="27" t="s">
        <v>116</v>
      </c>
      <c r="K220" s="27" t="s">
        <v>105</v>
      </c>
    </row>
    <row r="221" spans="1:11" x14ac:dyDescent="0.2">
      <c r="A221" s="27" t="s">
        <v>171</v>
      </c>
      <c r="B221" s="27" t="s">
        <v>173</v>
      </c>
      <c r="C221" s="27">
        <v>2.8</v>
      </c>
      <c r="D221" s="27">
        <v>1999</v>
      </c>
      <c r="E221" s="27">
        <v>6</v>
      </c>
      <c r="F221" s="27" t="s">
        <v>115</v>
      </c>
      <c r="G221" s="27" t="s">
        <v>104</v>
      </c>
      <c r="H221" s="27">
        <v>16</v>
      </c>
      <c r="I221" s="27">
        <v>23</v>
      </c>
      <c r="J221" s="27" t="s">
        <v>116</v>
      </c>
      <c r="K221" s="27" t="s">
        <v>105</v>
      </c>
    </row>
    <row r="222" spans="1:11" x14ac:dyDescent="0.2">
      <c r="A222" s="27" t="s">
        <v>171</v>
      </c>
      <c r="B222" s="27" t="s">
        <v>173</v>
      </c>
      <c r="C222" s="27">
        <v>2.8</v>
      </c>
      <c r="D222" s="27">
        <v>1999</v>
      </c>
      <c r="E222" s="27">
        <v>6</v>
      </c>
      <c r="F222" s="27" t="s">
        <v>106</v>
      </c>
      <c r="G222" s="27" t="s">
        <v>104</v>
      </c>
      <c r="H222" s="27">
        <v>17</v>
      </c>
      <c r="I222" s="27">
        <v>24</v>
      </c>
      <c r="J222" s="27" t="s">
        <v>116</v>
      </c>
      <c r="K222" s="27" t="s">
        <v>105</v>
      </c>
    </row>
    <row r="223" spans="1:11" x14ac:dyDescent="0.2">
      <c r="A223" s="27" t="s">
        <v>171</v>
      </c>
      <c r="B223" s="27" t="s">
        <v>174</v>
      </c>
      <c r="C223" s="27">
        <v>1.9</v>
      </c>
      <c r="D223" s="27">
        <v>1999</v>
      </c>
      <c r="E223" s="27">
        <v>4</v>
      </c>
      <c r="F223" s="27" t="s">
        <v>106</v>
      </c>
      <c r="G223" s="27" t="s">
        <v>104</v>
      </c>
      <c r="H223" s="27">
        <v>35</v>
      </c>
      <c r="I223" s="27">
        <v>44</v>
      </c>
      <c r="J223" s="27" t="s">
        <v>122</v>
      </c>
      <c r="K223" s="27" t="s">
        <v>138</v>
      </c>
    </row>
    <row r="224" spans="1:11" x14ac:dyDescent="0.2">
      <c r="A224" s="27" t="s">
        <v>171</v>
      </c>
      <c r="B224" s="27" t="s">
        <v>174</v>
      </c>
      <c r="C224" s="27">
        <v>1.9</v>
      </c>
      <c r="D224" s="27">
        <v>1999</v>
      </c>
      <c r="E224" s="27">
        <v>4</v>
      </c>
      <c r="F224" s="27" t="s">
        <v>115</v>
      </c>
      <c r="G224" s="27" t="s">
        <v>104</v>
      </c>
      <c r="H224" s="27">
        <v>29</v>
      </c>
      <c r="I224" s="27">
        <v>41</v>
      </c>
      <c r="J224" s="27" t="s">
        <v>122</v>
      </c>
      <c r="K224" s="27" t="s">
        <v>138</v>
      </c>
    </row>
    <row r="225" spans="1:11" x14ac:dyDescent="0.2">
      <c r="A225" s="27" t="s">
        <v>171</v>
      </c>
      <c r="B225" s="27" t="s">
        <v>174</v>
      </c>
      <c r="C225" s="27">
        <v>2</v>
      </c>
      <c r="D225" s="27">
        <v>1999</v>
      </c>
      <c r="E225" s="27">
        <v>4</v>
      </c>
      <c r="F225" s="27" t="s">
        <v>106</v>
      </c>
      <c r="G225" s="27" t="s">
        <v>104</v>
      </c>
      <c r="H225" s="27">
        <v>21</v>
      </c>
      <c r="I225" s="27">
        <v>29</v>
      </c>
      <c r="J225" s="27" t="s">
        <v>116</v>
      </c>
      <c r="K225" s="27" t="s">
        <v>138</v>
      </c>
    </row>
    <row r="226" spans="1:11" x14ac:dyDescent="0.2">
      <c r="A226" s="27" t="s">
        <v>171</v>
      </c>
      <c r="B226" s="27" t="s">
        <v>174</v>
      </c>
      <c r="C226" s="27">
        <v>2</v>
      </c>
      <c r="D226" s="27">
        <v>1999</v>
      </c>
      <c r="E226" s="27">
        <v>4</v>
      </c>
      <c r="F226" s="27" t="s">
        <v>115</v>
      </c>
      <c r="G226" s="27" t="s">
        <v>104</v>
      </c>
      <c r="H226" s="27">
        <v>19</v>
      </c>
      <c r="I226" s="27">
        <v>26</v>
      </c>
      <c r="J226" s="27" t="s">
        <v>116</v>
      </c>
      <c r="K226" s="27" t="s">
        <v>138</v>
      </c>
    </row>
    <row r="227" spans="1:11" x14ac:dyDescent="0.2">
      <c r="A227" s="27" t="s">
        <v>171</v>
      </c>
      <c r="B227" s="27" t="s">
        <v>174</v>
      </c>
      <c r="C227" s="27">
        <v>2.5</v>
      </c>
      <c r="D227" s="27">
        <v>2008</v>
      </c>
      <c r="E227" s="27">
        <v>5</v>
      </c>
      <c r="F227" s="27" t="s">
        <v>106</v>
      </c>
      <c r="G227" s="27" t="s">
        <v>104</v>
      </c>
      <c r="H227" s="27">
        <v>20</v>
      </c>
      <c r="I227" s="27">
        <v>28</v>
      </c>
      <c r="J227" s="27" t="s">
        <v>116</v>
      </c>
      <c r="K227" s="27" t="s">
        <v>138</v>
      </c>
    </row>
    <row r="228" spans="1:11" x14ac:dyDescent="0.2">
      <c r="A228" s="27" t="s">
        <v>171</v>
      </c>
      <c r="B228" s="27" t="s">
        <v>174</v>
      </c>
      <c r="C228" s="27">
        <v>2.5</v>
      </c>
      <c r="D228" s="27">
        <v>2008</v>
      </c>
      <c r="E228" s="27">
        <v>5</v>
      </c>
      <c r="F228" s="27" t="s">
        <v>110</v>
      </c>
      <c r="G228" s="27" t="s">
        <v>104</v>
      </c>
      <c r="H228" s="27">
        <v>20</v>
      </c>
      <c r="I228" s="27">
        <v>29</v>
      </c>
      <c r="J228" s="27" t="s">
        <v>116</v>
      </c>
      <c r="K228" s="27" t="s">
        <v>138</v>
      </c>
    </row>
    <row r="229" spans="1:11" x14ac:dyDescent="0.2">
      <c r="A229" s="27" t="s">
        <v>171</v>
      </c>
      <c r="B229" s="27" t="s">
        <v>175</v>
      </c>
      <c r="C229" s="27">
        <v>1.8</v>
      </c>
      <c r="D229" s="27">
        <v>1999</v>
      </c>
      <c r="E229" s="27">
        <v>4</v>
      </c>
      <c r="F229" s="27" t="s">
        <v>106</v>
      </c>
      <c r="G229" s="27" t="s">
        <v>104</v>
      </c>
      <c r="H229" s="27">
        <v>21</v>
      </c>
      <c r="I229" s="27">
        <v>29</v>
      </c>
      <c r="J229" s="27" t="s">
        <v>6</v>
      </c>
      <c r="K229" s="27" t="s">
        <v>112</v>
      </c>
    </row>
    <row r="230" spans="1:11" x14ac:dyDescent="0.2">
      <c r="A230" s="27" t="s">
        <v>171</v>
      </c>
      <c r="B230" s="27" t="s">
        <v>175</v>
      </c>
      <c r="C230" s="27">
        <v>1.8</v>
      </c>
      <c r="D230" s="27">
        <v>1999</v>
      </c>
      <c r="E230" s="27">
        <v>4</v>
      </c>
      <c r="F230" s="27" t="s">
        <v>103</v>
      </c>
      <c r="G230" s="27" t="s">
        <v>104</v>
      </c>
      <c r="H230" s="27">
        <v>18</v>
      </c>
      <c r="I230" s="27">
        <v>29</v>
      </c>
      <c r="J230" s="27" t="s">
        <v>6</v>
      </c>
      <c r="K230" s="27" t="s">
        <v>112</v>
      </c>
    </row>
    <row r="231" spans="1:11" x14ac:dyDescent="0.2">
      <c r="A231" s="27" t="s">
        <v>171</v>
      </c>
      <c r="B231" s="27" t="s">
        <v>175</v>
      </c>
      <c r="C231" s="27">
        <v>2</v>
      </c>
      <c r="D231" s="27">
        <v>2008</v>
      </c>
      <c r="E231" s="27">
        <v>4</v>
      </c>
      <c r="F231" s="27" t="s">
        <v>110</v>
      </c>
      <c r="G231" s="27" t="s">
        <v>104</v>
      </c>
      <c r="H231" s="27">
        <v>19</v>
      </c>
      <c r="I231" s="27">
        <v>28</v>
      </c>
      <c r="J231" s="27" t="s">
        <v>6</v>
      </c>
      <c r="K231" s="27" t="s">
        <v>112</v>
      </c>
    </row>
    <row r="232" spans="1:11" x14ac:dyDescent="0.2">
      <c r="A232" s="27" t="s">
        <v>171</v>
      </c>
      <c r="B232" s="27" t="s">
        <v>175</v>
      </c>
      <c r="C232" s="27">
        <v>2</v>
      </c>
      <c r="D232" s="27">
        <v>2008</v>
      </c>
      <c r="E232" s="27">
        <v>4</v>
      </c>
      <c r="F232" s="27" t="s">
        <v>107</v>
      </c>
      <c r="G232" s="27" t="s">
        <v>104</v>
      </c>
      <c r="H232" s="27">
        <v>21</v>
      </c>
      <c r="I232" s="27">
        <v>29</v>
      </c>
      <c r="J232" s="27" t="s">
        <v>6</v>
      </c>
      <c r="K232" s="27" t="s">
        <v>112</v>
      </c>
    </row>
    <row r="233" spans="1:11" x14ac:dyDescent="0.2">
      <c r="A233" s="27" t="s">
        <v>171</v>
      </c>
      <c r="B233" s="27" t="s">
        <v>175</v>
      </c>
      <c r="C233" s="27">
        <v>2.8</v>
      </c>
      <c r="D233" s="27">
        <v>1999</v>
      </c>
      <c r="E233" s="27">
        <v>6</v>
      </c>
      <c r="F233" s="27" t="s">
        <v>103</v>
      </c>
      <c r="G233" s="27" t="s">
        <v>104</v>
      </c>
      <c r="H233" s="27">
        <v>16</v>
      </c>
      <c r="I233" s="27">
        <v>26</v>
      </c>
      <c r="J233" s="27" t="s">
        <v>6</v>
      </c>
      <c r="K233" s="27" t="s">
        <v>112</v>
      </c>
    </row>
    <row r="234" spans="1:11" x14ac:dyDescent="0.2">
      <c r="A234" s="27" t="s">
        <v>171</v>
      </c>
      <c r="B234" s="27" t="s">
        <v>175</v>
      </c>
      <c r="C234" s="27">
        <v>2.8</v>
      </c>
      <c r="D234" s="27">
        <v>1999</v>
      </c>
      <c r="E234" s="27">
        <v>6</v>
      </c>
      <c r="F234" s="27" t="s">
        <v>106</v>
      </c>
      <c r="G234" s="27" t="s">
        <v>104</v>
      </c>
      <c r="H234" s="27">
        <v>18</v>
      </c>
      <c r="I234" s="27">
        <v>26</v>
      </c>
      <c r="J234" s="27" t="s">
        <v>6</v>
      </c>
      <c r="K234" s="27" t="s">
        <v>112</v>
      </c>
    </row>
    <row r="235" spans="1:11" x14ac:dyDescent="0.2">
      <c r="A235" s="27" t="s">
        <v>171</v>
      </c>
      <c r="B235" s="27" t="s">
        <v>175</v>
      </c>
      <c r="C235" s="27">
        <v>3.6</v>
      </c>
      <c r="D235" s="27">
        <v>2008</v>
      </c>
      <c r="E235" s="27">
        <v>6</v>
      </c>
      <c r="F235" s="27" t="s">
        <v>110</v>
      </c>
      <c r="G235" s="27" t="s">
        <v>104</v>
      </c>
      <c r="H235" s="27">
        <v>17</v>
      </c>
      <c r="I235" s="27">
        <v>26</v>
      </c>
      <c r="J235" s="27" t="s">
        <v>6</v>
      </c>
      <c r="K235" s="27" t="s">
        <v>112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K235"/>
  <sheetViews>
    <sheetView workbookViewId="0"/>
  </sheetViews>
  <sheetFormatPr baseColWidth="10" defaultColWidth="14.5" defaultRowHeight="16" x14ac:dyDescent="0.2"/>
  <cols>
    <col min="1" max="10" width="14.5" style="28"/>
    <col min="12" max="16384" width="14.5" style="28"/>
  </cols>
  <sheetData>
    <row r="1" spans="1:11" x14ac:dyDescent="0.2">
      <c r="A1" s="27" t="s">
        <v>97</v>
      </c>
      <c r="B1" s="27" t="s">
        <v>176</v>
      </c>
      <c r="C1" s="28" t="s">
        <v>177</v>
      </c>
      <c r="D1" s="28" t="s">
        <v>178</v>
      </c>
      <c r="E1" s="28" t="s">
        <v>179</v>
      </c>
      <c r="F1" s="28" t="s">
        <v>181</v>
      </c>
      <c r="G1" s="28" t="s">
        <v>180</v>
      </c>
      <c r="H1" s="28" t="s">
        <v>183</v>
      </c>
      <c r="I1" s="28" t="s">
        <v>6</v>
      </c>
      <c r="J1" s="28" t="s">
        <v>182</v>
      </c>
      <c r="K1" s="28"/>
    </row>
    <row r="2" spans="1:11" x14ac:dyDescent="0.2">
      <c r="A2" s="27">
        <v>18</v>
      </c>
      <c r="B2" s="27">
        <v>1</v>
      </c>
      <c r="C2" s="28" cm="1">
        <f t="array" ref="C2:C235">TREND(A2:A235,B2:B235,B2:B235,FALSE)</f>
        <v>16.858974358974358</v>
      </c>
      <c r="D2" s="28">
        <f>C2-A2</f>
        <v>-1.1410256410256423</v>
      </c>
      <c r="E2" s="28">
        <f>STDEV(D2:D235)</f>
        <v>4.2559456788893932</v>
      </c>
      <c r="F2" s="28">
        <f>_xlfn.NORM.DIST(D2,0,$E$2,FALSE)</f>
        <v>9.0428595220514676E-2</v>
      </c>
      <c r="G2" s="28" cm="1">
        <f t="array" ref="G2">SUM(LN(F2:F235))</f>
        <v>-670.43779208802937</v>
      </c>
      <c r="H2" s="28">
        <f>COUNT(A2:A235)</f>
        <v>234</v>
      </c>
      <c r="I2" s="28">
        <v>1</v>
      </c>
      <c r="J2" s="28">
        <f>-2*G2+2*I2</f>
        <v>1342.8755841760587</v>
      </c>
      <c r="K2" s="28"/>
    </row>
    <row r="3" spans="1:11" x14ac:dyDescent="0.2">
      <c r="A3" s="27">
        <v>21</v>
      </c>
      <c r="B3" s="27">
        <v>1</v>
      </c>
      <c r="C3" s="28">
        <v>16.858974358974358</v>
      </c>
      <c r="D3" s="28">
        <f t="shared" ref="D3:D66" si="0">C3-A3</f>
        <v>-4.1410256410256423</v>
      </c>
      <c r="F3" s="28">
        <f t="shared" ref="F3:F66" si="1">_xlfn.NORM.DIST(D3,0,$E$2,FALSE)</f>
        <v>5.8389578885814829E-2</v>
      </c>
      <c r="K3" s="28"/>
    </row>
    <row r="4" spans="1:11" x14ac:dyDescent="0.2">
      <c r="A4" s="27">
        <v>20</v>
      </c>
      <c r="B4" s="27">
        <v>1</v>
      </c>
      <c r="C4" s="28">
        <v>16.858974358974358</v>
      </c>
      <c r="D4" s="28">
        <f t="shared" si="0"/>
        <v>-3.1410256410256423</v>
      </c>
      <c r="F4" s="28">
        <f t="shared" si="1"/>
        <v>7.138971945227178E-2</v>
      </c>
      <c r="G4" s="28" t="s">
        <v>184</v>
      </c>
      <c r="H4" s="28" t="s">
        <v>185</v>
      </c>
      <c r="K4" s="28"/>
    </row>
    <row r="5" spans="1:11" x14ac:dyDescent="0.2">
      <c r="A5" s="27">
        <v>21</v>
      </c>
      <c r="B5" s="27">
        <v>1</v>
      </c>
      <c r="C5" s="28">
        <v>16.858974358974358</v>
      </c>
      <c r="D5" s="28">
        <f t="shared" si="0"/>
        <v>-4.1410256410256423</v>
      </c>
      <c r="F5" s="28">
        <f t="shared" si="1"/>
        <v>5.8389578885814829E-2</v>
      </c>
      <c r="G5" s="28">
        <f>SUMSQ(D2:D235)</f>
        <v>4220.3461538461506</v>
      </c>
      <c r="H5" s="28">
        <f>G5/H2</f>
        <v>18.035667324128848</v>
      </c>
      <c r="K5" s="28"/>
    </row>
    <row r="6" spans="1:11" x14ac:dyDescent="0.2">
      <c r="A6" s="27">
        <v>16</v>
      </c>
      <c r="B6" s="27">
        <v>1</v>
      </c>
      <c r="C6" s="28">
        <v>16.858974358974358</v>
      </c>
      <c r="D6" s="28">
        <f t="shared" si="0"/>
        <v>0.8589743589743577</v>
      </c>
      <c r="F6" s="28">
        <f t="shared" si="1"/>
        <v>9.1847742433773194E-2</v>
      </c>
      <c r="K6" s="28"/>
    </row>
    <row r="7" spans="1:11" x14ac:dyDescent="0.2">
      <c r="A7" s="27">
        <v>18</v>
      </c>
      <c r="B7" s="27">
        <v>1</v>
      </c>
      <c r="C7" s="28">
        <v>16.858974358974358</v>
      </c>
      <c r="D7" s="28">
        <f t="shared" si="0"/>
        <v>-1.1410256410256423</v>
      </c>
      <c r="F7" s="28">
        <f t="shared" si="1"/>
        <v>9.0428595220514676E-2</v>
      </c>
      <c r="G7" s="28" t="s">
        <v>187</v>
      </c>
      <c r="J7" s="28" t="s">
        <v>189</v>
      </c>
      <c r="K7" s="28"/>
    </row>
    <row r="8" spans="1:11" x14ac:dyDescent="0.2">
      <c r="A8" s="27">
        <v>18</v>
      </c>
      <c r="B8" s="27">
        <v>1</v>
      </c>
      <c r="C8" s="28">
        <v>16.858974358974358</v>
      </c>
      <c r="D8" s="28">
        <f t="shared" si="0"/>
        <v>-1.1410256410256423</v>
      </c>
      <c r="F8" s="28">
        <f t="shared" si="1"/>
        <v>9.0428595220514676E-2</v>
      </c>
      <c r="G8" s="28">
        <f>H2*LN(H5)</f>
        <v>676.81020777694471</v>
      </c>
      <c r="J8" s="28">
        <f>G8+2*I2</f>
        <v>678.81020777694471</v>
      </c>
      <c r="K8" s="28"/>
    </row>
    <row r="9" spans="1:11" x14ac:dyDescent="0.2">
      <c r="A9" s="27">
        <v>18</v>
      </c>
      <c r="B9" s="27">
        <v>1</v>
      </c>
      <c r="C9" s="28">
        <v>16.858974358974358</v>
      </c>
      <c r="D9" s="28">
        <f t="shared" si="0"/>
        <v>-1.1410256410256423</v>
      </c>
      <c r="F9" s="28">
        <f t="shared" si="1"/>
        <v>9.0428595220514676E-2</v>
      </c>
      <c r="K9" s="28"/>
    </row>
    <row r="10" spans="1:11" x14ac:dyDescent="0.2">
      <c r="A10" s="27">
        <v>16</v>
      </c>
      <c r="B10" s="27">
        <v>1</v>
      </c>
      <c r="C10" s="28">
        <v>16.858974358974358</v>
      </c>
      <c r="D10" s="28">
        <f t="shared" si="0"/>
        <v>0.8589743589743577</v>
      </c>
      <c r="F10" s="28">
        <f t="shared" si="1"/>
        <v>9.1847742433773194E-2</v>
      </c>
      <c r="G10" s="28" t="s">
        <v>188</v>
      </c>
      <c r="K10" s="28"/>
    </row>
    <row r="11" spans="1:11" x14ac:dyDescent="0.2">
      <c r="A11" s="27">
        <v>20</v>
      </c>
      <c r="B11" s="27">
        <v>1</v>
      </c>
      <c r="C11" s="28">
        <v>16.858974358974358</v>
      </c>
      <c r="D11" s="28">
        <f t="shared" si="0"/>
        <v>-3.1410256410256423</v>
      </c>
      <c r="F11" s="28">
        <f t="shared" si="1"/>
        <v>7.138971945227178E-2</v>
      </c>
      <c r="G11" s="28">
        <f>H2*LN(2*PI())</f>
        <v>430.06323353978684</v>
      </c>
      <c r="K11" s="28"/>
    </row>
    <row r="12" spans="1:11" x14ac:dyDescent="0.2">
      <c r="A12" s="27">
        <v>19</v>
      </c>
      <c r="B12" s="27">
        <v>1</v>
      </c>
      <c r="C12" s="28">
        <v>16.858974358974358</v>
      </c>
      <c r="D12" s="28">
        <f t="shared" si="0"/>
        <v>-2.1410256410256423</v>
      </c>
      <c r="F12" s="28">
        <f t="shared" si="1"/>
        <v>8.2596026638649928E-2</v>
      </c>
      <c r="K12" s="28"/>
    </row>
    <row r="13" spans="1:11" x14ac:dyDescent="0.2">
      <c r="A13" s="27">
        <v>15</v>
      </c>
      <c r="B13" s="27">
        <v>1</v>
      </c>
      <c r="C13" s="28">
        <v>16.858974358974358</v>
      </c>
      <c r="D13" s="28">
        <f t="shared" si="0"/>
        <v>1.8589743589743577</v>
      </c>
      <c r="F13" s="28">
        <f t="shared" si="1"/>
        <v>8.5208821600122359E-2</v>
      </c>
      <c r="G13" s="28" t="s">
        <v>186</v>
      </c>
      <c r="J13" s="28" t="s">
        <v>182</v>
      </c>
      <c r="K13" s="28"/>
    </row>
    <row r="14" spans="1:11" x14ac:dyDescent="0.2">
      <c r="A14" s="27">
        <v>17</v>
      </c>
      <c r="B14" s="27">
        <v>1</v>
      </c>
      <c r="C14" s="28">
        <v>16.858974358974358</v>
      </c>
      <c r="D14" s="28">
        <f t="shared" si="0"/>
        <v>-0.1410256410256423</v>
      </c>
      <c r="F14" s="28">
        <f t="shared" si="1"/>
        <v>9.3686186441259228E-2</v>
      </c>
      <c r="G14" s="28">
        <f>G8+G11+H2</f>
        <v>1340.8734413167315</v>
      </c>
      <c r="J14" s="28">
        <f>G14+2*I2</f>
        <v>1342.8734413167315</v>
      </c>
      <c r="K14" s="28"/>
    </row>
    <row r="15" spans="1:11" x14ac:dyDescent="0.2">
      <c r="A15" s="27">
        <v>17</v>
      </c>
      <c r="B15" s="27">
        <v>1</v>
      </c>
      <c r="C15" s="28">
        <v>16.858974358974358</v>
      </c>
      <c r="D15" s="28">
        <f t="shared" si="0"/>
        <v>-0.1410256410256423</v>
      </c>
      <c r="F15" s="28">
        <f t="shared" si="1"/>
        <v>9.3686186441259228E-2</v>
      </c>
      <c r="K15" s="28"/>
    </row>
    <row r="16" spans="1:11" x14ac:dyDescent="0.2">
      <c r="A16" s="27">
        <v>15</v>
      </c>
      <c r="B16" s="27">
        <v>1</v>
      </c>
      <c r="C16" s="28">
        <v>16.858974358974358</v>
      </c>
      <c r="D16" s="28">
        <f t="shared" si="0"/>
        <v>1.8589743589743577</v>
      </c>
      <c r="F16" s="28">
        <f t="shared" si="1"/>
        <v>8.5208821600122359E-2</v>
      </c>
      <c r="K16" s="28"/>
    </row>
    <row r="17" spans="1:11" x14ac:dyDescent="0.2">
      <c r="A17" s="27">
        <v>15</v>
      </c>
      <c r="B17" s="27">
        <v>1</v>
      </c>
      <c r="C17" s="28">
        <v>16.858974358974358</v>
      </c>
      <c r="D17" s="28">
        <f t="shared" si="0"/>
        <v>1.8589743589743577</v>
      </c>
      <c r="F17" s="28">
        <f t="shared" si="1"/>
        <v>8.5208821600122359E-2</v>
      </c>
      <c r="K17" s="28"/>
    </row>
    <row r="18" spans="1:11" x14ac:dyDescent="0.2">
      <c r="A18" s="27">
        <v>17</v>
      </c>
      <c r="B18" s="27">
        <v>1</v>
      </c>
      <c r="C18" s="28">
        <v>16.858974358974358</v>
      </c>
      <c r="D18" s="28">
        <f t="shared" si="0"/>
        <v>-0.1410256410256423</v>
      </c>
      <c r="F18" s="28">
        <f t="shared" si="1"/>
        <v>9.3686186441259228E-2</v>
      </c>
      <c r="K18" s="28"/>
    </row>
    <row r="19" spans="1:11" x14ac:dyDescent="0.2">
      <c r="A19" s="27">
        <v>16</v>
      </c>
      <c r="B19" s="27">
        <v>1</v>
      </c>
      <c r="C19" s="28">
        <v>16.858974358974358</v>
      </c>
      <c r="D19" s="28">
        <f t="shared" si="0"/>
        <v>0.8589743589743577</v>
      </c>
      <c r="F19" s="28">
        <f t="shared" si="1"/>
        <v>9.1847742433773194E-2</v>
      </c>
      <c r="K19" s="28"/>
    </row>
    <row r="20" spans="1:11" x14ac:dyDescent="0.2">
      <c r="A20" s="27">
        <v>14</v>
      </c>
      <c r="B20" s="27">
        <v>1</v>
      </c>
      <c r="C20" s="28">
        <v>16.858974358974358</v>
      </c>
      <c r="D20" s="28">
        <f t="shared" si="0"/>
        <v>2.8589743589743577</v>
      </c>
      <c r="F20" s="28">
        <f t="shared" si="1"/>
        <v>7.4803820711623142E-2</v>
      </c>
      <c r="K20" s="28"/>
    </row>
    <row r="21" spans="1:11" x14ac:dyDescent="0.2">
      <c r="A21" s="27">
        <v>11</v>
      </c>
      <c r="B21" s="27">
        <v>1</v>
      </c>
      <c r="C21" s="28">
        <v>16.858974358974358</v>
      </c>
      <c r="D21" s="28">
        <f t="shared" si="0"/>
        <v>5.8589743589743577</v>
      </c>
      <c r="F21" s="28">
        <f t="shared" si="1"/>
        <v>3.6339616015446226E-2</v>
      </c>
      <c r="K21" s="28"/>
    </row>
    <row r="22" spans="1:11" x14ac:dyDescent="0.2">
      <c r="A22" s="27">
        <v>14</v>
      </c>
      <c r="B22" s="27">
        <v>1</v>
      </c>
      <c r="C22" s="28">
        <v>16.858974358974358</v>
      </c>
      <c r="D22" s="28">
        <f t="shared" si="0"/>
        <v>2.8589743589743577</v>
      </c>
      <c r="F22" s="28">
        <f t="shared" si="1"/>
        <v>7.4803820711623142E-2</v>
      </c>
      <c r="K22" s="28"/>
    </row>
    <row r="23" spans="1:11" x14ac:dyDescent="0.2">
      <c r="A23" s="27">
        <v>13</v>
      </c>
      <c r="B23" s="27">
        <v>1</v>
      </c>
      <c r="C23" s="28">
        <v>16.858974358974358</v>
      </c>
      <c r="D23" s="28">
        <f t="shared" si="0"/>
        <v>3.8589743589743577</v>
      </c>
      <c r="F23" s="28">
        <f t="shared" si="1"/>
        <v>6.2142132155231941E-2</v>
      </c>
      <c r="K23" s="28"/>
    </row>
    <row r="24" spans="1:11" x14ac:dyDescent="0.2">
      <c r="A24" s="27">
        <v>12</v>
      </c>
      <c r="B24" s="27">
        <v>1</v>
      </c>
      <c r="C24" s="28">
        <v>16.858974358974358</v>
      </c>
      <c r="D24" s="28">
        <f t="shared" si="0"/>
        <v>4.8589743589743577</v>
      </c>
      <c r="F24" s="28">
        <f t="shared" si="1"/>
        <v>4.8850798619149906E-2</v>
      </c>
      <c r="K24" s="28"/>
    </row>
    <row r="25" spans="1:11" x14ac:dyDescent="0.2">
      <c r="A25" s="27">
        <v>16</v>
      </c>
      <c r="B25" s="27">
        <v>1</v>
      </c>
      <c r="C25" s="28">
        <v>16.858974358974358</v>
      </c>
      <c r="D25" s="28">
        <f t="shared" si="0"/>
        <v>0.8589743589743577</v>
      </c>
      <c r="F25" s="28">
        <f t="shared" si="1"/>
        <v>9.1847742433773194E-2</v>
      </c>
      <c r="K25" s="28"/>
    </row>
    <row r="26" spans="1:11" x14ac:dyDescent="0.2">
      <c r="A26" s="27">
        <v>15</v>
      </c>
      <c r="B26" s="27">
        <v>1</v>
      </c>
      <c r="C26" s="28">
        <v>16.858974358974358</v>
      </c>
      <c r="D26" s="28">
        <f t="shared" si="0"/>
        <v>1.8589743589743577</v>
      </c>
      <c r="F26" s="28">
        <f t="shared" si="1"/>
        <v>8.5208821600122359E-2</v>
      </c>
      <c r="K26" s="28"/>
    </row>
    <row r="27" spans="1:11" x14ac:dyDescent="0.2">
      <c r="A27" s="27">
        <v>16</v>
      </c>
      <c r="B27" s="27">
        <v>1</v>
      </c>
      <c r="C27" s="28">
        <v>16.858974358974358</v>
      </c>
      <c r="D27" s="28">
        <f t="shared" si="0"/>
        <v>0.8589743589743577</v>
      </c>
      <c r="F27" s="28">
        <f t="shared" si="1"/>
        <v>9.1847742433773194E-2</v>
      </c>
      <c r="K27" s="28"/>
    </row>
    <row r="28" spans="1:11" x14ac:dyDescent="0.2">
      <c r="A28" s="27">
        <v>15</v>
      </c>
      <c r="B28" s="27">
        <v>1</v>
      </c>
      <c r="C28" s="28">
        <v>16.858974358974358</v>
      </c>
      <c r="D28" s="28">
        <f t="shared" si="0"/>
        <v>1.8589743589743577</v>
      </c>
      <c r="F28" s="28">
        <f t="shared" si="1"/>
        <v>8.5208821600122359E-2</v>
      </c>
      <c r="K28" s="28"/>
    </row>
    <row r="29" spans="1:11" x14ac:dyDescent="0.2">
      <c r="A29" s="27">
        <v>15</v>
      </c>
      <c r="B29" s="27">
        <v>1</v>
      </c>
      <c r="C29" s="28">
        <v>16.858974358974358</v>
      </c>
      <c r="D29" s="28">
        <f t="shared" si="0"/>
        <v>1.8589743589743577</v>
      </c>
      <c r="F29" s="28">
        <f t="shared" si="1"/>
        <v>8.5208821600122359E-2</v>
      </c>
      <c r="K29" s="28"/>
    </row>
    <row r="30" spans="1:11" x14ac:dyDescent="0.2">
      <c r="A30" s="27">
        <v>14</v>
      </c>
      <c r="B30" s="27">
        <v>1</v>
      </c>
      <c r="C30" s="28">
        <v>16.858974358974358</v>
      </c>
      <c r="D30" s="28">
        <f t="shared" si="0"/>
        <v>2.8589743589743577</v>
      </c>
      <c r="F30" s="28">
        <f t="shared" si="1"/>
        <v>7.4803820711623142E-2</v>
      </c>
      <c r="K30" s="28"/>
    </row>
    <row r="31" spans="1:11" x14ac:dyDescent="0.2">
      <c r="A31" s="27">
        <v>11</v>
      </c>
      <c r="B31" s="27">
        <v>1</v>
      </c>
      <c r="C31" s="28">
        <v>16.858974358974358</v>
      </c>
      <c r="D31" s="28">
        <f t="shared" si="0"/>
        <v>5.8589743589743577</v>
      </c>
      <c r="F31" s="28">
        <f t="shared" si="1"/>
        <v>3.6339616015446226E-2</v>
      </c>
      <c r="K31" s="28"/>
    </row>
    <row r="32" spans="1:11" x14ac:dyDescent="0.2">
      <c r="A32" s="27">
        <v>11</v>
      </c>
      <c r="B32" s="27">
        <v>1</v>
      </c>
      <c r="C32" s="28">
        <v>16.858974358974358</v>
      </c>
      <c r="D32" s="28">
        <f t="shared" si="0"/>
        <v>5.8589743589743577</v>
      </c>
      <c r="F32" s="28">
        <f t="shared" si="1"/>
        <v>3.6339616015446226E-2</v>
      </c>
      <c r="K32" s="28"/>
    </row>
    <row r="33" spans="1:11" x14ac:dyDescent="0.2">
      <c r="A33" s="27">
        <v>14</v>
      </c>
      <c r="B33" s="27">
        <v>1</v>
      </c>
      <c r="C33" s="28">
        <v>16.858974358974358</v>
      </c>
      <c r="D33" s="28">
        <f t="shared" si="0"/>
        <v>2.8589743589743577</v>
      </c>
      <c r="F33" s="28">
        <f t="shared" si="1"/>
        <v>7.4803820711623142E-2</v>
      </c>
      <c r="K33" s="28"/>
    </row>
    <row r="34" spans="1:11" x14ac:dyDescent="0.2">
      <c r="A34" s="27">
        <v>19</v>
      </c>
      <c r="B34" s="27">
        <v>1</v>
      </c>
      <c r="C34" s="28">
        <v>16.858974358974358</v>
      </c>
      <c r="D34" s="28">
        <f t="shared" si="0"/>
        <v>-2.1410256410256423</v>
      </c>
      <c r="F34" s="28">
        <f t="shared" si="1"/>
        <v>8.2596026638649928E-2</v>
      </c>
      <c r="K34" s="28"/>
    </row>
    <row r="35" spans="1:11" x14ac:dyDescent="0.2">
      <c r="A35" s="27">
        <v>22</v>
      </c>
      <c r="B35" s="27">
        <v>1</v>
      </c>
      <c r="C35" s="28">
        <v>16.858974358974358</v>
      </c>
      <c r="D35" s="28">
        <f t="shared" si="0"/>
        <v>-5.1410256410256423</v>
      </c>
      <c r="F35" s="28">
        <f t="shared" si="1"/>
        <v>4.5191645925457373E-2</v>
      </c>
      <c r="K35" s="28"/>
    </row>
    <row r="36" spans="1:11" x14ac:dyDescent="0.2">
      <c r="A36" s="27">
        <v>18</v>
      </c>
      <c r="B36" s="27">
        <v>1</v>
      </c>
      <c r="C36" s="28">
        <v>16.858974358974358</v>
      </c>
      <c r="D36" s="28">
        <f t="shared" si="0"/>
        <v>-1.1410256410256423</v>
      </c>
      <c r="F36" s="28">
        <f t="shared" si="1"/>
        <v>9.0428595220514676E-2</v>
      </c>
      <c r="K36" s="28"/>
    </row>
    <row r="37" spans="1:11" x14ac:dyDescent="0.2">
      <c r="A37" s="27">
        <v>18</v>
      </c>
      <c r="B37" s="27">
        <v>1</v>
      </c>
      <c r="C37" s="28">
        <v>16.858974358974358</v>
      </c>
      <c r="D37" s="28">
        <f t="shared" si="0"/>
        <v>-1.1410256410256423</v>
      </c>
      <c r="F37" s="28">
        <f t="shared" si="1"/>
        <v>9.0428595220514676E-2</v>
      </c>
      <c r="K37" s="28"/>
    </row>
    <row r="38" spans="1:11" x14ac:dyDescent="0.2">
      <c r="A38" s="27">
        <v>17</v>
      </c>
      <c r="B38" s="27">
        <v>1</v>
      </c>
      <c r="C38" s="28">
        <v>16.858974358974358</v>
      </c>
      <c r="D38" s="28">
        <f t="shared" si="0"/>
        <v>-0.1410256410256423</v>
      </c>
      <c r="F38" s="28">
        <f t="shared" si="1"/>
        <v>9.3686186441259228E-2</v>
      </c>
      <c r="K38" s="28"/>
    </row>
    <row r="39" spans="1:11" x14ac:dyDescent="0.2">
      <c r="A39" s="27">
        <v>18</v>
      </c>
      <c r="B39" s="27">
        <v>1</v>
      </c>
      <c r="C39" s="28">
        <v>16.858974358974358</v>
      </c>
      <c r="D39" s="28">
        <f t="shared" si="0"/>
        <v>-1.1410256410256423</v>
      </c>
      <c r="F39" s="28">
        <f t="shared" si="1"/>
        <v>9.0428595220514676E-2</v>
      </c>
      <c r="K39" s="28"/>
    </row>
    <row r="40" spans="1:11" x14ac:dyDescent="0.2">
      <c r="A40" s="27">
        <v>17</v>
      </c>
      <c r="B40" s="27">
        <v>1</v>
      </c>
      <c r="C40" s="28">
        <v>16.858974358974358</v>
      </c>
      <c r="D40" s="28">
        <f t="shared" si="0"/>
        <v>-0.1410256410256423</v>
      </c>
      <c r="F40" s="28">
        <f t="shared" si="1"/>
        <v>9.3686186441259228E-2</v>
      </c>
      <c r="K40" s="28"/>
    </row>
    <row r="41" spans="1:11" x14ac:dyDescent="0.2">
      <c r="A41" s="27">
        <v>16</v>
      </c>
      <c r="B41" s="27">
        <v>1</v>
      </c>
      <c r="C41" s="28">
        <v>16.858974358974358</v>
      </c>
      <c r="D41" s="28">
        <f t="shared" si="0"/>
        <v>0.8589743589743577</v>
      </c>
      <c r="F41" s="28">
        <f t="shared" si="1"/>
        <v>9.1847742433773194E-2</v>
      </c>
      <c r="K41" s="28"/>
    </row>
    <row r="42" spans="1:11" x14ac:dyDescent="0.2">
      <c r="A42" s="27">
        <v>16</v>
      </c>
      <c r="B42" s="27">
        <v>1</v>
      </c>
      <c r="C42" s="28">
        <v>16.858974358974358</v>
      </c>
      <c r="D42" s="28">
        <f t="shared" si="0"/>
        <v>0.8589743589743577</v>
      </c>
      <c r="F42" s="28">
        <f t="shared" si="1"/>
        <v>9.1847742433773194E-2</v>
      </c>
      <c r="K42" s="28"/>
    </row>
    <row r="43" spans="1:11" x14ac:dyDescent="0.2">
      <c r="A43" s="27">
        <v>17</v>
      </c>
      <c r="B43" s="27">
        <v>1</v>
      </c>
      <c r="C43" s="28">
        <v>16.858974358974358</v>
      </c>
      <c r="D43" s="28">
        <f t="shared" si="0"/>
        <v>-0.1410256410256423</v>
      </c>
      <c r="F43" s="28">
        <f t="shared" si="1"/>
        <v>9.3686186441259228E-2</v>
      </c>
      <c r="K43" s="28"/>
    </row>
    <row r="44" spans="1:11" x14ac:dyDescent="0.2">
      <c r="A44" s="27">
        <v>17</v>
      </c>
      <c r="B44" s="27">
        <v>1</v>
      </c>
      <c r="C44" s="28">
        <v>16.858974358974358</v>
      </c>
      <c r="D44" s="28">
        <f t="shared" si="0"/>
        <v>-0.1410256410256423</v>
      </c>
      <c r="F44" s="28">
        <f t="shared" si="1"/>
        <v>9.3686186441259228E-2</v>
      </c>
      <c r="K44" s="28"/>
    </row>
    <row r="45" spans="1:11" x14ac:dyDescent="0.2">
      <c r="A45" s="27">
        <v>11</v>
      </c>
      <c r="B45" s="27">
        <v>1</v>
      </c>
      <c r="C45" s="28">
        <v>16.858974358974358</v>
      </c>
      <c r="D45" s="28">
        <f t="shared" si="0"/>
        <v>5.8589743589743577</v>
      </c>
      <c r="F45" s="28">
        <f t="shared" si="1"/>
        <v>3.6339616015446226E-2</v>
      </c>
      <c r="K45" s="28"/>
    </row>
    <row r="46" spans="1:11" x14ac:dyDescent="0.2">
      <c r="A46" s="27">
        <v>15</v>
      </c>
      <c r="B46" s="27">
        <v>1</v>
      </c>
      <c r="C46" s="28">
        <v>16.858974358974358</v>
      </c>
      <c r="D46" s="28">
        <f t="shared" si="0"/>
        <v>1.8589743589743577</v>
      </c>
      <c r="F46" s="28">
        <f t="shared" si="1"/>
        <v>8.5208821600122359E-2</v>
      </c>
      <c r="K46" s="28"/>
    </row>
    <row r="47" spans="1:11" x14ac:dyDescent="0.2">
      <c r="A47" s="27">
        <v>15</v>
      </c>
      <c r="B47" s="27">
        <v>1</v>
      </c>
      <c r="C47" s="28">
        <v>16.858974358974358</v>
      </c>
      <c r="D47" s="28">
        <f t="shared" si="0"/>
        <v>1.8589743589743577</v>
      </c>
      <c r="F47" s="28">
        <f t="shared" si="1"/>
        <v>8.5208821600122359E-2</v>
      </c>
      <c r="K47" s="28"/>
    </row>
    <row r="48" spans="1:11" x14ac:dyDescent="0.2">
      <c r="A48" s="27">
        <v>16</v>
      </c>
      <c r="B48" s="27">
        <v>1</v>
      </c>
      <c r="C48" s="28">
        <v>16.858974358974358</v>
      </c>
      <c r="D48" s="28">
        <f t="shared" si="0"/>
        <v>0.8589743589743577</v>
      </c>
      <c r="F48" s="28">
        <f t="shared" si="1"/>
        <v>9.1847742433773194E-2</v>
      </c>
      <c r="K48" s="28"/>
    </row>
    <row r="49" spans="1:11" x14ac:dyDescent="0.2">
      <c r="A49" s="27">
        <v>16</v>
      </c>
      <c r="B49" s="27">
        <v>1</v>
      </c>
      <c r="C49" s="28">
        <v>16.858974358974358</v>
      </c>
      <c r="D49" s="28">
        <f t="shared" si="0"/>
        <v>0.8589743589743577</v>
      </c>
      <c r="F49" s="28">
        <f t="shared" si="1"/>
        <v>9.1847742433773194E-2</v>
      </c>
      <c r="K49" s="28"/>
    </row>
    <row r="50" spans="1:11" x14ac:dyDescent="0.2">
      <c r="A50" s="27">
        <v>15</v>
      </c>
      <c r="B50" s="27">
        <v>1</v>
      </c>
      <c r="C50" s="28">
        <v>16.858974358974358</v>
      </c>
      <c r="D50" s="28">
        <f t="shared" si="0"/>
        <v>1.8589743589743577</v>
      </c>
      <c r="F50" s="28">
        <f t="shared" si="1"/>
        <v>8.5208821600122359E-2</v>
      </c>
      <c r="K50" s="28"/>
    </row>
    <row r="51" spans="1:11" x14ac:dyDescent="0.2">
      <c r="A51" s="27">
        <v>14</v>
      </c>
      <c r="B51" s="27">
        <v>1</v>
      </c>
      <c r="C51" s="28">
        <v>16.858974358974358</v>
      </c>
      <c r="D51" s="28">
        <f t="shared" si="0"/>
        <v>2.8589743589743577</v>
      </c>
      <c r="F51" s="28">
        <f t="shared" si="1"/>
        <v>7.4803820711623142E-2</v>
      </c>
      <c r="K51" s="28"/>
    </row>
    <row r="52" spans="1:11" x14ac:dyDescent="0.2">
      <c r="A52" s="27">
        <v>13</v>
      </c>
      <c r="B52" s="27">
        <v>1</v>
      </c>
      <c r="C52" s="28">
        <v>16.858974358974358</v>
      </c>
      <c r="D52" s="28">
        <f t="shared" si="0"/>
        <v>3.8589743589743577</v>
      </c>
      <c r="F52" s="28">
        <f t="shared" si="1"/>
        <v>6.2142132155231941E-2</v>
      </c>
      <c r="K52" s="28"/>
    </row>
    <row r="53" spans="1:11" x14ac:dyDescent="0.2">
      <c r="A53" s="27">
        <v>14</v>
      </c>
      <c r="B53" s="27">
        <v>1</v>
      </c>
      <c r="C53" s="28">
        <v>16.858974358974358</v>
      </c>
      <c r="D53" s="28">
        <f t="shared" si="0"/>
        <v>2.8589743589743577</v>
      </c>
      <c r="F53" s="28">
        <f t="shared" si="1"/>
        <v>7.4803820711623142E-2</v>
      </c>
      <c r="K53" s="28"/>
    </row>
    <row r="54" spans="1:11" x14ac:dyDescent="0.2">
      <c r="A54" s="27">
        <v>14</v>
      </c>
      <c r="B54" s="27">
        <v>1</v>
      </c>
      <c r="C54" s="28">
        <v>16.858974358974358</v>
      </c>
      <c r="D54" s="28">
        <f t="shared" si="0"/>
        <v>2.8589743589743577</v>
      </c>
      <c r="F54" s="28">
        <f t="shared" si="1"/>
        <v>7.4803820711623142E-2</v>
      </c>
      <c r="K54" s="28"/>
    </row>
    <row r="55" spans="1:11" x14ac:dyDescent="0.2">
      <c r="A55" s="27">
        <v>14</v>
      </c>
      <c r="B55" s="27">
        <v>1</v>
      </c>
      <c r="C55" s="28">
        <v>16.858974358974358</v>
      </c>
      <c r="D55" s="28">
        <f t="shared" si="0"/>
        <v>2.8589743589743577</v>
      </c>
      <c r="F55" s="28">
        <f t="shared" si="1"/>
        <v>7.4803820711623142E-2</v>
      </c>
      <c r="K55" s="28"/>
    </row>
    <row r="56" spans="1:11" x14ac:dyDescent="0.2">
      <c r="A56" s="27">
        <v>9</v>
      </c>
      <c r="B56" s="27">
        <v>1</v>
      </c>
      <c r="C56" s="28">
        <v>16.858974358974358</v>
      </c>
      <c r="D56" s="28">
        <f t="shared" si="0"/>
        <v>7.8589743589743577</v>
      </c>
      <c r="F56" s="28">
        <f t="shared" si="1"/>
        <v>1.7039902700084295E-2</v>
      </c>
      <c r="K56" s="28"/>
    </row>
    <row r="57" spans="1:11" x14ac:dyDescent="0.2">
      <c r="A57" s="27">
        <v>11</v>
      </c>
      <c r="B57" s="27">
        <v>1</v>
      </c>
      <c r="C57" s="28">
        <v>16.858974358974358</v>
      </c>
      <c r="D57" s="28">
        <f t="shared" si="0"/>
        <v>5.8589743589743577</v>
      </c>
      <c r="F57" s="28">
        <f t="shared" si="1"/>
        <v>3.6339616015446226E-2</v>
      </c>
      <c r="K57" s="28"/>
    </row>
    <row r="58" spans="1:11" x14ac:dyDescent="0.2">
      <c r="A58" s="27">
        <v>11</v>
      </c>
      <c r="B58" s="27">
        <v>1</v>
      </c>
      <c r="C58" s="28">
        <v>16.858974358974358</v>
      </c>
      <c r="D58" s="28">
        <f t="shared" si="0"/>
        <v>5.8589743589743577</v>
      </c>
      <c r="F58" s="28">
        <f t="shared" si="1"/>
        <v>3.6339616015446226E-2</v>
      </c>
      <c r="K58" s="28"/>
    </row>
    <row r="59" spans="1:11" x14ac:dyDescent="0.2">
      <c r="A59" s="27">
        <v>13</v>
      </c>
      <c r="B59" s="27">
        <v>1</v>
      </c>
      <c r="C59" s="28">
        <v>16.858974358974358</v>
      </c>
      <c r="D59" s="28">
        <f t="shared" si="0"/>
        <v>3.8589743589743577</v>
      </c>
      <c r="F59" s="28">
        <f t="shared" si="1"/>
        <v>6.2142132155231941E-2</v>
      </c>
      <c r="K59" s="28"/>
    </row>
    <row r="60" spans="1:11" x14ac:dyDescent="0.2">
      <c r="A60" s="27">
        <v>13</v>
      </c>
      <c r="B60" s="27">
        <v>1</v>
      </c>
      <c r="C60" s="28">
        <v>16.858974358974358</v>
      </c>
      <c r="D60" s="28">
        <f t="shared" si="0"/>
        <v>3.8589743589743577</v>
      </c>
      <c r="F60" s="28">
        <f t="shared" si="1"/>
        <v>6.2142132155231941E-2</v>
      </c>
      <c r="K60" s="28"/>
    </row>
    <row r="61" spans="1:11" x14ac:dyDescent="0.2">
      <c r="A61" s="27">
        <v>9</v>
      </c>
      <c r="B61" s="27">
        <v>1</v>
      </c>
      <c r="C61" s="28">
        <v>16.858974358974358</v>
      </c>
      <c r="D61" s="28">
        <f t="shared" si="0"/>
        <v>7.8589743589743577</v>
      </c>
      <c r="F61" s="28">
        <f t="shared" si="1"/>
        <v>1.7039902700084295E-2</v>
      </c>
      <c r="K61" s="28"/>
    </row>
    <row r="62" spans="1:11" x14ac:dyDescent="0.2">
      <c r="A62" s="27">
        <v>13</v>
      </c>
      <c r="B62" s="27">
        <v>1</v>
      </c>
      <c r="C62" s="28">
        <v>16.858974358974358</v>
      </c>
      <c r="D62" s="28">
        <f t="shared" si="0"/>
        <v>3.8589743589743577</v>
      </c>
      <c r="F62" s="28">
        <f t="shared" si="1"/>
        <v>6.2142132155231941E-2</v>
      </c>
      <c r="K62" s="28"/>
    </row>
    <row r="63" spans="1:11" x14ac:dyDescent="0.2">
      <c r="A63" s="27">
        <v>11</v>
      </c>
      <c r="B63" s="27">
        <v>1</v>
      </c>
      <c r="C63" s="28">
        <v>16.858974358974358</v>
      </c>
      <c r="D63" s="28">
        <f t="shared" si="0"/>
        <v>5.8589743589743577</v>
      </c>
      <c r="F63" s="28">
        <f t="shared" si="1"/>
        <v>3.6339616015446226E-2</v>
      </c>
      <c r="K63" s="28"/>
    </row>
    <row r="64" spans="1:11" x14ac:dyDescent="0.2">
      <c r="A64" s="27">
        <v>13</v>
      </c>
      <c r="B64" s="27">
        <v>1</v>
      </c>
      <c r="C64" s="28">
        <v>16.858974358974358</v>
      </c>
      <c r="D64" s="28">
        <f t="shared" si="0"/>
        <v>3.8589743589743577</v>
      </c>
      <c r="F64" s="28">
        <f t="shared" si="1"/>
        <v>6.2142132155231941E-2</v>
      </c>
      <c r="K64" s="28"/>
    </row>
    <row r="65" spans="1:11" x14ac:dyDescent="0.2">
      <c r="A65" s="27">
        <v>11</v>
      </c>
      <c r="B65" s="27">
        <v>1</v>
      </c>
      <c r="C65" s="28">
        <v>16.858974358974358</v>
      </c>
      <c r="D65" s="28">
        <f t="shared" si="0"/>
        <v>5.8589743589743577</v>
      </c>
      <c r="F65" s="28">
        <f t="shared" si="1"/>
        <v>3.6339616015446226E-2</v>
      </c>
      <c r="K65" s="28"/>
    </row>
    <row r="66" spans="1:11" x14ac:dyDescent="0.2">
      <c r="A66" s="27">
        <v>12</v>
      </c>
      <c r="B66" s="27">
        <v>1</v>
      </c>
      <c r="C66" s="28">
        <v>16.858974358974358</v>
      </c>
      <c r="D66" s="28">
        <f t="shared" si="0"/>
        <v>4.8589743589743577</v>
      </c>
      <c r="F66" s="28">
        <f t="shared" si="1"/>
        <v>4.8850798619149906E-2</v>
      </c>
      <c r="K66" s="28"/>
    </row>
    <row r="67" spans="1:11" x14ac:dyDescent="0.2">
      <c r="A67" s="27">
        <v>9</v>
      </c>
      <c r="B67" s="27">
        <v>1</v>
      </c>
      <c r="C67" s="28">
        <v>16.858974358974358</v>
      </c>
      <c r="D67" s="28">
        <f t="shared" ref="D67:D130" si="2">C67-A67</f>
        <v>7.8589743589743577</v>
      </c>
      <c r="F67" s="28">
        <f t="shared" ref="F67:F130" si="3">_xlfn.NORM.DIST(D67,0,$E$2,FALSE)</f>
        <v>1.7039902700084295E-2</v>
      </c>
      <c r="K67" s="28"/>
    </row>
    <row r="68" spans="1:11" x14ac:dyDescent="0.2">
      <c r="A68" s="27">
        <v>13</v>
      </c>
      <c r="B68" s="27">
        <v>1</v>
      </c>
      <c r="C68" s="28">
        <v>16.858974358974358</v>
      </c>
      <c r="D68" s="28">
        <f t="shared" si="2"/>
        <v>3.8589743589743577</v>
      </c>
      <c r="F68" s="28">
        <f t="shared" si="3"/>
        <v>6.2142132155231941E-2</v>
      </c>
      <c r="K68" s="28"/>
    </row>
    <row r="69" spans="1:11" x14ac:dyDescent="0.2">
      <c r="A69" s="27">
        <v>13</v>
      </c>
      <c r="B69" s="27">
        <v>1</v>
      </c>
      <c r="C69" s="28">
        <v>16.858974358974358</v>
      </c>
      <c r="D69" s="28">
        <f t="shared" si="2"/>
        <v>3.8589743589743577</v>
      </c>
      <c r="F69" s="28">
        <f t="shared" si="3"/>
        <v>6.2142132155231941E-2</v>
      </c>
      <c r="K69" s="28"/>
    </row>
    <row r="70" spans="1:11" x14ac:dyDescent="0.2">
      <c r="A70" s="27">
        <v>12</v>
      </c>
      <c r="B70" s="27">
        <v>1</v>
      </c>
      <c r="C70" s="28">
        <v>16.858974358974358</v>
      </c>
      <c r="D70" s="28">
        <f t="shared" si="2"/>
        <v>4.8589743589743577</v>
      </c>
      <c r="F70" s="28">
        <f t="shared" si="3"/>
        <v>4.8850798619149906E-2</v>
      </c>
      <c r="K70" s="28"/>
    </row>
    <row r="71" spans="1:11" x14ac:dyDescent="0.2">
      <c r="A71" s="27">
        <v>9</v>
      </c>
      <c r="B71" s="27">
        <v>1</v>
      </c>
      <c r="C71" s="28">
        <v>16.858974358974358</v>
      </c>
      <c r="D71" s="28">
        <f t="shared" si="2"/>
        <v>7.8589743589743577</v>
      </c>
      <c r="F71" s="28">
        <f t="shared" si="3"/>
        <v>1.7039902700084295E-2</v>
      </c>
      <c r="K71" s="28"/>
    </row>
    <row r="72" spans="1:11" x14ac:dyDescent="0.2">
      <c r="A72" s="27">
        <v>11</v>
      </c>
      <c r="B72" s="27">
        <v>1</v>
      </c>
      <c r="C72" s="28">
        <v>16.858974358974358</v>
      </c>
      <c r="D72" s="28">
        <f t="shared" si="2"/>
        <v>5.8589743589743577</v>
      </c>
      <c r="F72" s="28">
        <f t="shared" si="3"/>
        <v>3.6339616015446226E-2</v>
      </c>
      <c r="K72" s="28"/>
    </row>
    <row r="73" spans="1:11" x14ac:dyDescent="0.2">
      <c r="A73" s="27">
        <v>11</v>
      </c>
      <c r="B73" s="27">
        <v>1</v>
      </c>
      <c r="C73" s="28">
        <v>16.858974358974358</v>
      </c>
      <c r="D73" s="28">
        <f t="shared" si="2"/>
        <v>5.8589743589743577</v>
      </c>
      <c r="F73" s="28">
        <f t="shared" si="3"/>
        <v>3.6339616015446226E-2</v>
      </c>
      <c r="K73" s="28"/>
    </row>
    <row r="74" spans="1:11" x14ac:dyDescent="0.2">
      <c r="A74" s="27">
        <v>13</v>
      </c>
      <c r="B74" s="27">
        <v>1</v>
      </c>
      <c r="C74" s="28">
        <v>16.858974358974358</v>
      </c>
      <c r="D74" s="28">
        <f t="shared" si="2"/>
        <v>3.8589743589743577</v>
      </c>
      <c r="F74" s="28">
        <f t="shared" si="3"/>
        <v>6.2142132155231941E-2</v>
      </c>
      <c r="K74" s="28"/>
    </row>
    <row r="75" spans="1:11" x14ac:dyDescent="0.2">
      <c r="A75" s="27">
        <v>11</v>
      </c>
      <c r="B75" s="27">
        <v>1</v>
      </c>
      <c r="C75" s="28">
        <v>16.858974358974358</v>
      </c>
      <c r="D75" s="28">
        <f t="shared" si="2"/>
        <v>5.8589743589743577</v>
      </c>
      <c r="F75" s="28">
        <f t="shared" si="3"/>
        <v>3.6339616015446226E-2</v>
      </c>
      <c r="K75" s="28"/>
    </row>
    <row r="76" spans="1:11" x14ac:dyDescent="0.2">
      <c r="A76" s="27">
        <v>11</v>
      </c>
      <c r="B76" s="27">
        <v>1</v>
      </c>
      <c r="C76" s="28">
        <v>16.858974358974358</v>
      </c>
      <c r="D76" s="28">
        <f t="shared" si="2"/>
        <v>5.8589743589743577</v>
      </c>
      <c r="F76" s="28">
        <f t="shared" si="3"/>
        <v>3.6339616015446226E-2</v>
      </c>
      <c r="K76" s="28"/>
    </row>
    <row r="77" spans="1:11" x14ac:dyDescent="0.2">
      <c r="A77" s="27">
        <v>11</v>
      </c>
      <c r="B77" s="27">
        <v>1</v>
      </c>
      <c r="C77" s="28">
        <v>16.858974358974358</v>
      </c>
      <c r="D77" s="28">
        <f t="shared" si="2"/>
        <v>5.8589743589743577</v>
      </c>
      <c r="F77" s="28">
        <f t="shared" si="3"/>
        <v>3.6339616015446226E-2</v>
      </c>
      <c r="K77" s="28"/>
    </row>
    <row r="78" spans="1:11" x14ac:dyDescent="0.2">
      <c r="A78" s="27">
        <v>12</v>
      </c>
      <c r="B78" s="27">
        <v>1</v>
      </c>
      <c r="C78" s="28">
        <v>16.858974358974358</v>
      </c>
      <c r="D78" s="28">
        <f t="shared" si="2"/>
        <v>4.8589743589743577</v>
      </c>
      <c r="F78" s="28">
        <f t="shared" si="3"/>
        <v>4.8850798619149906E-2</v>
      </c>
      <c r="K78" s="28"/>
    </row>
    <row r="79" spans="1:11" x14ac:dyDescent="0.2">
      <c r="A79" s="27">
        <v>14</v>
      </c>
      <c r="B79" s="27">
        <v>1</v>
      </c>
      <c r="C79" s="28">
        <v>16.858974358974358</v>
      </c>
      <c r="D79" s="28">
        <f t="shared" si="2"/>
        <v>2.8589743589743577</v>
      </c>
      <c r="F79" s="28">
        <f t="shared" si="3"/>
        <v>7.4803820711623142E-2</v>
      </c>
      <c r="K79" s="28"/>
    </row>
    <row r="80" spans="1:11" x14ac:dyDescent="0.2">
      <c r="A80" s="27">
        <v>15</v>
      </c>
      <c r="B80" s="27">
        <v>1</v>
      </c>
      <c r="C80" s="28">
        <v>16.858974358974358</v>
      </c>
      <c r="D80" s="28">
        <f t="shared" si="2"/>
        <v>1.8589743589743577</v>
      </c>
      <c r="F80" s="28">
        <f t="shared" si="3"/>
        <v>8.5208821600122359E-2</v>
      </c>
      <c r="K80" s="28"/>
    </row>
    <row r="81" spans="1:11" x14ac:dyDescent="0.2">
      <c r="A81" s="27">
        <v>14</v>
      </c>
      <c r="B81" s="27">
        <v>1</v>
      </c>
      <c r="C81" s="28">
        <v>16.858974358974358</v>
      </c>
      <c r="D81" s="28">
        <f t="shared" si="2"/>
        <v>2.8589743589743577</v>
      </c>
      <c r="F81" s="28">
        <f t="shared" si="3"/>
        <v>7.4803820711623142E-2</v>
      </c>
      <c r="K81" s="28"/>
    </row>
    <row r="82" spans="1:11" x14ac:dyDescent="0.2">
      <c r="A82" s="27">
        <v>13</v>
      </c>
      <c r="B82" s="27">
        <v>1</v>
      </c>
      <c r="C82" s="28">
        <v>16.858974358974358</v>
      </c>
      <c r="D82" s="28">
        <f t="shared" si="2"/>
        <v>3.8589743589743577</v>
      </c>
      <c r="F82" s="28">
        <f t="shared" si="3"/>
        <v>6.2142132155231941E-2</v>
      </c>
      <c r="K82" s="28"/>
    </row>
    <row r="83" spans="1:11" x14ac:dyDescent="0.2">
      <c r="A83" s="27">
        <v>13</v>
      </c>
      <c r="B83" s="27">
        <v>1</v>
      </c>
      <c r="C83" s="28">
        <v>16.858974358974358</v>
      </c>
      <c r="D83" s="28">
        <f t="shared" si="2"/>
        <v>3.8589743589743577</v>
      </c>
      <c r="F83" s="28">
        <f t="shared" si="3"/>
        <v>6.2142132155231941E-2</v>
      </c>
      <c r="K83" s="28"/>
    </row>
    <row r="84" spans="1:11" x14ac:dyDescent="0.2">
      <c r="A84" s="27">
        <v>13</v>
      </c>
      <c r="B84" s="27">
        <v>1</v>
      </c>
      <c r="C84" s="28">
        <v>16.858974358974358</v>
      </c>
      <c r="D84" s="28">
        <f t="shared" si="2"/>
        <v>3.8589743589743577</v>
      </c>
      <c r="F84" s="28">
        <f t="shared" si="3"/>
        <v>6.2142132155231941E-2</v>
      </c>
      <c r="K84" s="28"/>
    </row>
    <row r="85" spans="1:11" x14ac:dyDescent="0.2">
      <c r="A85" s="27">
        <v>14</v>
      </c>
      <c r="B85" s="27">
        <v>1</v>
      </c>
      <c r="C85" s="28">
        <v>16.858974358974358</v>
      </c>
      <c r="D85" s="28">
        <f t="shared" si="2"/>
        <v>2.8589743589743577</v>
      </c>
      <c r="F85" s="28">
        <f t="shared" si="3"/>
        <v>7.4803820711623142E-2</v>
      </c>
      <c r="K85" s="28"/>
    </row>
    <row r="86" spans="1:11" x14ac:dyDescent="0.2">
      <c r="A86" s="27">
        <v>14</v>
      </c>
      <c r="B86" s="27">
        <v>1</v>
      </c>
      <c r="C86" s="28">
        <v>16.858974358974358</v>
      </c>
      <c r="D86" s="28">
        <f t="shared" si="2"/>
        <v>2.8589743589743577</v>
      </c>
      <c r="F86" s="28">
        <f t="shared" si="3"/>
        <v>7.4803820711623142E-2</v>
      </c>
      <c r="K86" s="28"/>
    </row>
    <row r="87" spans="1:11" x14ac:dyDescent="0.2">
      <c r="A87" s="27">
        <v>13</v>
      </c>
      <c r="B87" s="27">
        <v>1</v>
      </c>
      <c r="C87" s="28">
        <v>16.858974358974358</v>
      </c>
      <c r="D87" s="28">
        <f t="shared" si="2"/>
        <v>3.8589743589743577</v>
      </c>
      <c r="F87" s="28">
        <f t="shared" si="3"/>
        <v>6.2142132155231941E-2</v>
      </c>
      <c r="K87" s="28"/>
    </row>
    <row r="88" spans="1:11" x14ac:dyDescent="0.2">
      <c r="A88" s="27">
        <v>13</v>
      </c>
      <c r="B88" s="27">
        <v>1</v>
      </c>
      <c r="C88" s="28">
        <v>16.858974358974358</v>
      </c>
      <c r="D88" s="28">
        <f t="shared" si="2"/>
        <v>3.8589743589743577</v>
      </c>
      <c r="F88" s="28">
        <f t="shared" si="3"/>
        <v>6.2142132155231941E-2</v>
      </c>
      <c r="K88" s="28"/>
    </row>
    <row r="89" spans="1:11" x14ac:dyDescent="0.2">
      <c r="A89" s="27">
        <v>13</v>
      </c>
      <c r="B89" s="27">
        <v>1</v>
      </c>
      <c r="C89" s="28">
        <v>16.858974358974358</v>
      </c>
      <c r="D89" s="28">
        <f t="shared" si="2"/>
        <v>3.8589743589743577</v>
      </c>
      <c r="F89" s="28">
        <f t="shared" si="3"/>
        <v>6.2142132155231941E-2</v>
      </c>
      <c r="K89" s="28"/>
    </row>
    <row r="90" spans="1:11" x14ac:dyDescent="0.2">
      <c r="A90" s="27">
        <v>11</v>
      </c>
      <c r="B90" s="27">
        <v>1</v>
      </c>
      <c r="C90" s="28">
        <v>16.858974358974358</v>
      </c>
      <c r="D90" s="28">
        <f t="shared" si="2"/>
        <v>5.8589743589743577</v>
      </c>
      <c r="F90" s="28">
        <f t="shared" si="3"/>
        <v>3.6339616015446226E-2</v>
      </c>
      <c r="K90" s="28"/>
    </row>
    <row r="91" spans="1:11" x14ac:dyDescent="0.2">
      <c r="A91" s="27">
        <v>13</v>
      </c>
      <c r="B91" s="27">
        <v>1</v>
      </c>
      <c r="C91" s="28">
        <v>16.858974358974358</v>
      </c>
      <c r="D91" s="28">
        <f t="shared" si="2"/>
        <v>3.8589743589743577</v>
      </c>
      <c r="F91" s="28">
        <f t="shared" si="3"/>
        <v>6.2142132155231941E-2</v>
      </c>
      <c r="K91" s="28"/>
    </row>
    <row r="92" spans="1:11" x14ac:dyDescent="0.2">
      <c r="A92" s="27">
        <v>18</v>
      </c>
      <c r="B92" s="27">
        <v>1</v>
      </c>
      <c r="C92" s="28">
        <v>16.858974358974358</v>
      </c>
      <c r="D92" s="28">
        <f t="shared" si="2"/>
        <v>-1.1410256410256423</v>
      </c>
      <c r="F92" s="28">
        <f t="shared" si="3"/>
        <v>9.0428595220514676E-2</v>
      </c>
      <c r="K92" s="28"/>
    </row>
    <row r="93" spans="1:11" x14ac:dyDescent="0.2">
      <c r="A93" s="27">
        <v>18</v>
      </c>
      <c r="B93" s="27">
        <v>1</v>
      </c>
      <c r="C93" s="28">
        <v>16.858974358974358</v>
      </c>
      <c r="D93" s="28">
        <f t="shared" si="2"/>
        <v>-1.1410256410256423</v>
      </c>
      <c r="F93" s="28">
        <f t="shared" si="3"/>
        <v>9.0428595220514676E-2</v>
      </c>
      <c r="K93" s="28"/>
    </row>
    <row r="94" spans="1:11" x14ac:dyDescent="0.2">
      <c r="A94" s="27">
        <v>17</v>
      </c>
      <c r="B94" s="27">
        <v>1</v>
      </c>
      <c r="C94" s="28">
        <v>16.858974358974358</v>
      </c>
      <c r="D94" s="28">
        <f t="shared" si="2"/>
        <v>-0.1410256410256423</v>
      </c>
      <c r="F94" s="28">
        <f t="shared" si="3"/>
        <v>9.3686186441259228E-2</v>
      </c>
      <c r="K94" s="28"/>
    </row>
    <row r="95" spans="1:11" x14ac:dyDescent="0.2">
      <c r="A95" s="27">
        <v>16</v>
      </c>
      <c r="B95" s="27">
        <v>1</v>
      </c>
      <c r="C95" s="28">
        <v>16.858974358974358</v>
      </c>
      <c r="D95" s="28">
        <f t="shared" si="2"/>
        <v>0.8589743589743577</v>
      </c>
      <c r="F95" s="28">
        <f t="shared" si="3"/>
        <v>9.1847742433773194E-2</v>
      </c>
      <c r="K95" s="28"/>
    </row>
    <row r="96" spans="1:11" x14ac:dyDescent="0.2">
      <c r="A96" s="27">
        <v>15</v>
      </c>
      <c r="B96" s="27">
        <v>1</v>
      </c>
      <c r="C96" s="28">
        <v>16.858974358974358</v>
      </c>
      <c r="D96" s="28">
        <f t="shared" si="2"/>
        <v>1.8589743589743577</v>
      </c>
      <c r="F96" s="28">
        <f t="shared" si="3"/>
        <v>8.5208821600122359E-2</v>
      </c>
      <c r="K96" s="28"/>
    </row>
    <row r="97" spans="1:11" x14ac:dyDescent="0.2">
      <c r="A97" s="27">
        <v>15</v>
      </c>
      <c r="B97" s="27">
        <v>1</v>
      </c>
      <c r="C97" s="28">
        <v>16.858974358974358</v>
      </c>
      <c r="D97" s="28">
        <f t="shared" si="2"/>
        <v>1.8589743589743577</v>
      </c>
      <c r="F97" s="28">
        <f t="shared" si="3"/>
        <v>8.5208821600122359E-2</v>
      </c>
      <c r="K97" s="28"/>
    </row>
    <row r="98" spans="1:11" x14ac:dyDescent="0.2">
      <c r="A98" s="27">
        <v>15</v>
      </c>
      <c r="B98" s="27">
        <v>1</v>
      </c>
      <c r="C98" s="28">
        <v>16.858974358974358</v>
      </c>
      <c r="D98" s="28">
        <f t="shared" si="2"/>
        <v>1.8589743589743577</v>
      </c>
      <c r="F98" s="28">
        <f t="shared" si="3"/>
        <v>8.5208821600122359E-2</v>
      </c>
      <c r="K98" s="28"/>
    </row>
    <row r="99" spans="1:11" x14ac:dyDescent="0.2">
      <c r="A99" s="27">
        <v>15</v>
      </c>
      <c r="B99" s="27">
        <v>1</v>
      </c>
      <c r="C99" s="28">
        <v>16.858974358974358</v>
      </c>
      <c r="D99" s="28">
        <f t="shared" si="2"/>
        <v>1.8589743589743577</v>
      </c>
      <c r="F99" s="28">
        <f t="shared" si="3"/>
        <v>8.5208821600122359E-2</v>
      </c>
      <c r="K99" s="28"/>
    </row>
    <row r="100" spans="1:11" x14ac:dyDescent="0.2">
      <c r="A100" s="27">
        <v>14</v>
      </c>
      <c r="B100" s="27">
        <v>1</v>
      </c>
      <c r="C100" s="28">
        <v>16.858974358974358</v>
      </c>
      <c r="D100" s="28">
        <f t="shared" si="2"/>
        <v>2.8589743589743577</v>
      </c>
      <c r="F100" s="28">
        <f t="shared" si="3"/>
        <v>7.4803820711623142E-2</v>
      </c>
      <c r="K100" s="28"/>
    </row>
    <row r="101" spans="1:11" x14ac:dyDescent="0.2">
      <c r="A101" s="27">
        <v>28</v>
      </c>
      <c r="B101" s="27">
        <v>1</v>
      </c>
      <c r="C101" s="28">
        <v>16.858974358974358</v>
      </c>
      <c r="D101" s="28">
        <f t="shared" si="2"/>
        <v>-11.141025641025642</v>
      </c>
      <c r="F101" s="28">
        <f t="shared" si="3"/>
        <v>3.0470611306731058E-3</v>
      </c>
      <c r="K101" s="28"/>
    </row>
    <row r="102" spans="1:11" x14ac:dyDescent="0.2">
      <c r="A102" s="27">
        <v>24</v>
      </c>
      <c r="B102" s="27">
        <v>1</v>
      </c>
      <c r="C102" s="28">
        <v>16.858974358974358</v>
      </c>
      <c r="D102" s="28">
        <f t="shared" si="2"/>
        <v>-7.1410256410256423</v>
      </c>
      <c r="F102" s="28">
        <f t="shared" si="3"/>
        <v>2.293893420103504E-2</v>
      </c>
      <c r="K102" s="28"/>
    </row>
    <row r="103" spans="1:11" x14ac:dyDescent="0.2">
      <c r="A103" s="27">
        <v>25</v>
      </c>
      <c r="B103" s="27">
        <v>1</v>
      </c>
      <c r="C103" s="28">
        <v>16.858974358974358</v>
      </c>
      <c r="D103" s="28">
        <f t="shared" si="2"/>
        <v>-8.1410256410256423</v>
      </c>
      <c r="F103" s="28">
        <f t="shared" si="3"/>
        <v>1.5044075220828471E-2</v>
      </c>
      <c r="K103" s="28"/>
    </row>
    <row r="104" spans="1:11" x14ac:dyDescent="0.2">
      <c r="A104" s="27">
        <v>23</v>
      </c>
      <c r="B104" s="27">
        <v>1</v>
      </c>
      <c r="C104" s="28">
        <v>16.858974358974358</v>
      </c>
      <c r="D104" s="28">
        <f t="shared" si="2"/>
        <v>-6.1410256410256423</v>
      </c>
      <c r="F104" s="28">
        <f t="shared" si="3"/>
        <v>3.3098180744967454E-2</v>
      </c>
      <c r="K104" s="28"/>
    </row>
    <row r="105" spans="1:11" x14ac:dyDescent="0.2">
      <c r="A105" s="27">
        <v>24</v>
      </c>
      <c r="B105" s="27">
        <v>1</v>
      </c>
      <c r="C105" s="28">
        <v>16.858974358974358</v>
      </c>
      <c r="D105" s="28">
        <f t="shared" si="2"/>
        <v>-7.1410256410256423</v>
      </c>
      <c r="F105" s="28">
        <f t="shared" si="3"/>
        <v>2.293893420103504E-2</v>
      </c>
      <c r="K105" s="28"/>
    </row>
    <row r="106" spans="1:11" x14ac:dyDescent="0.2">
      <c r="A106" s="27">
        <v>26</v>
      </c>
      <c r="B106" s="27">
        <v>1</v>
      </c>
      <c r="C106" s="28">
        <v>16.858974358974358</v>
      </c>
      <c r="D106" s="28">
        <f t="shared" si="2"/>
        <v>-9.1410256410256423</v>
      </c>
      <c r="F106" s="28">
        <f t="shared" si="3"/>
        <v>9.3364312813032559E-3</v>
      </c>
      <c r="K106" s="28"/>
    </row>
    <row r="107" spans="1:11" x14ac:dyDescent="0.2">
      <c r="A107" s="27">
        <v>25</v>
      </c>
      <c r="B107" s="27">
        <v>1</v>
      </c>
      <c r="C107" s="28">
        <v>16.858974358974358</v>
      </c>
      <c r="D107" s="28">
        <f t="shared" si="2"/>
        <v>-8.1410256410256423</v>
      </c>
      <c r="F107" s="28">
        <f t="shared" si="3"/>
        <v>1.5044075220828471E-2</v>
      </c>
      <c r="K107" s="28"/>
    </row>
    <row r="108" spans="1:11" x14ac:dyDescent="0.2">
      <c r="A108" s="27">
        <v>24</v>
      </c>
      <c r="B108" s="27">
        <v>1</v>
      </c>
      <c r="C108" s="28">
        <v>16.858974358974358</v>
      </c>
      <c r="D108" s="28">
        <f t="shared" si="2"/>
        <v>-7.1410256410256423</v>
      </c>
      <c r="F108" s="28">
        <f t="shared" si="3"/>
        <v>2.293893420103504E-2</v>
      </c>
      <c r="K108" s="28"/>
    </row>
    <row r="109" spans="1:11" x14ac:dyDescent="0.2">
      <c r="A109" s="27">
        <v>21</v>
      </c>
      <c r="B109" s="27">
        <v>1</v>
      </c>
      <c r="C109" s="28">
        <v>16.858974358974358</v>
      </c>
      <c r="D109" s="28">
        <f t="shared" si="2"/>
        <v>-4.1410256410256423</v>
      </c>
      <c r="F109" s="28">
        <f t="shared" si="3"/>
        <v>5.8389578885814829E-2</v>
      </c>
      <c r="K109" s="28"/>
    </row>
    <row r="110" spans="1:11" x14ac:dyDescent="0.2">
      <c r="A110" s="27">
        <v>18</v>
      </c>
      <c r="B110" s="27">
        <v>1</v>
      </c>
      <c r="C110" s="28">
        <v>16.858974358974358</v>
      </c>
      <c r="D110" s="28">
        <f t="shared" si="2"/>
        <v>-1.1410256410256423</v>
      </c>
      <c r="F110" s="28">
        <f t="shared" si="3"/>
        <v>9.0428595220514676E-2</v>
      </c>
      <c r="K110" s="28"/>
    </row>
    <row r="111" spans="1:11" x14ac:dyDescent="0.2">
      <c r="A111" s="27">
        <v>18</v>
      </c>
      <c r="B111" s="27">
        <v>1</v>
      </c>
      <c r="C111" s="28">
        <v>16.858974358974358</v>
      </c>
      <c r="D111" s="28">
        <f t="shared" si="2"/>
        <v>-1.1410256410256423</v>
      </c>
      <c r="F111" s="28">
        <f t="shared" si="3"/>
        <v>9.0428595220514676E-2</v>
      </c>
      <c r="K111" s="28"/>
    </row>
    <row r="112" spans="1:11" x14ac:dyDescent="0.2">
      <c r="A112" s="27">
        <v>21</v>
      </c>
      <c r="B112" s="27">
        <v>1</v>
      </c>
      <c r="C112" s="28">
        <v>16.858974358974358</v>
      </c>
      <c r="D112" s="28">
        <f t="shared" si="2"/>
        <v>-4.1410256410256423</v>
      </c>
      <c r="F112" s="28">
        <f t="shared" si="3"/>
        <v>5.8389578885814829E-2</v>
      </c>
      <c r="K112" s="28"/>
    </row>
    <row r="113" spans="1:11" x14ac:dyDescent="0.2">
      <c r="A113" s="27">
        <v>21</v>
      </c>
      <c r="B113" s="27">
        <v>1</v>
      </c>
      <c r="C113" s="28">
        <v>16.858974358974358</v>
      </c>
      <c r="D113" s="28">
        <f t="shared" si="2"/>
        <v>-4.1410256410256423</v>
      </c>
      <c r="F113" s="28">
        <f t="shared" si="3"/>
        <v>5.8389578885814829E-2</v>
      </c>
      <c r="K113" s="28"/>
    </row>
    <row r="114" spans="1:11" x14ac:dyDescent="0.2">
      <c r="A114" s="27">
        <v>18</v>
      </c>
      <c r="B114" s="27">
        <v>1</v>
      </c>
      <c r="C114" s="28">
        <v>16.858974358974358</v>
      </c>
      <c r="D114" s="28">
        <f t="shared" si="2"/>
        <v>-1.1410256410256423</v>
      </c>
      <c r="F114" s="28">
        <f t="shared" si="3"/>
        <v>9.0428595220514676E-2</v>
      </c>
      <c r="K114" s="28"/>
    </row>
    <row r="115" spans="1:11" x14ac:dyDescent="0.2">
      <c r="A115" s="27">
        <v>18</v>
      </c>
      <c r="B115" s="27">
        <v>1</v>
      </c>
      <c r="C115" s="28">
        <v>16.858974358974358</v>
      </c>
      <c r="D115" s="28">
        <f t="shared" si="2"/>
        <v>-1.1410256410256423</v>
      </c>
      <c r="F115" s="28">
        <f t="shared" si="3"/>
        <v>9.0428595220514676E-2</v>
      </c>
      <c r="K115" s="28"/>
    </row>
    <row r="116" spans="1:11" x14ac:dyDescent="0.2">
      <c r="A116" s="27">
        <v>19</v>
      </c>
      <c r="B116" s="27">
        <v>1</v>
      </c>
      <c r="C116" s="28">
        <v>16.858974358974358</v>
      </c>
      <c r="D116" s="28">
        <f t="shared" si="2"/>
        <v>-2.1410256410256423</v>
      </c>
      <c r="F116" s="28">
        <f t="shared" si="3"/>
        <v>8.2596026638649928E-2</v>
      </c>
      <c r="K116" s="28"/>
    </row>
    <row r="117" spans="1:11" x14ac:dyDescent="0.2">
      <c r="A117" s="27">
        <v>19</v>
      </c>
      <c r="B117" s="27">
        <v>1</v>
      </c>
      <c r="C117" s="28">
        <v>16.858974358974358</v>
      </c>
      <c r="D117" s="28">
        <f t="shared" si="2"/>
        <v>-2.1410256410256423</v>
      </c>
      <c r="F117" s="28">
        <f t="shared" si="3"/>
        <v>8.2596026638649928E-2</v>
      </c>
      <c r="K117" s="28"/>
    </row>
    <row r="118" spans="1:11" x14ac:dyDescent="0.2">
      <c r="A118" s="27">
        <v>19</v>
      </c>
      <c r="B118" s="27">
        <v>1</v>
      </c>
      <c r="C118" s="28">
        <v>16.858974358974358</v>
      </c>
      <c r="D118" s="28">
        <f t="shared" si="2"/>
        <v>-2.1410256410256423</v>
      </c>
      <c r="F118" s="28">
        <f t="shared" si="3"/>
        <v>8.2596026638649928E-2</v>
      </c>
      <c r="K118" s="28"/>
    </row>
    <row r="119" spans="1:11" x14ac:dyDescent="0.2">
      <c r="A119" s="27">
        <v>20</v>
      </c>
      <c r="B119" s="27">
        <v>1</v>
      </c>
      <c r="C119" s="28">
        <v>16.858974358974358</v>
      </c>
      <c r="D119" s="28">
        <f t="shared" si="2"/>
        <v>-3.1410256410256423</v>
      </c>
      <c r="F119" s="28">
        <f t="shared" si="3"/>
        <v>7.138971945227178E-2</v>
      </c>
      <c r="K119" s="28"/>
    </row>
    <row r="120" spans="1:11" x14ac:dyDescent="0.2">
      <c r="A120" s="27">
        <v>20</v>
      </c>
      <c r="B120" s="27">
        <v>1</v>
      </c>
      <c r="C120" s="28">
        <v>16.858974358974358</v>
      </c>
      <c r="D120" s="28">
        <f t="shared" si="2"/>
        <v>-3.1410256410256423</v>
      </c>
      <c r="F120" s="28">
        <f t="shared" si="3"/>
        <v>7.138971945227178E-2</v>
      </c>
      <c r="K120" s="28"/>
    </row>
    <row r="121" spans="1:11" x14ac:dyDescent="0.2">
      <c r="A121" s="27">
        <v>17</v>
      </c>
      <c r="B121" s="27">
        <v>1</v>
      </c>
      <c r="C121" s="28">
        <v>16.858974358974358</v>
      </c>
      <c r="D121" s="28">
        <f t="shared" si="2"/>
        <v>-0.1410256410256423</v>
      </c>
      <c r="F121" s="28">
        <f t="shared" si="3"/>
        <v>9.3686186441259228E-2</v>
      </c>
      <c r="K121" s="28"/>
    </row>
    <row r="122" spans="1:11" x14ac:dyDescent="0.2">
      <c r="A122" s="27">
        <v>16</v>
      </c>
      <c r="B122" s="27">
        <v>1</v>
      </c>
      <c r="C122" s="28">
        <v>16.858974358974358</v>
      </c>
      <c r="D122" s="28">
        <f t="shared" si="2"/>
        <v>0.8589743589743577</v>
      </c>
      <c r="F122" s="28">
        <f t="shared" si="3"/>
        <v>9.1847742433773194E-2</v>
      </c>
      <c r="K122" s="28"/>
    </row>
    <row r="123" spans="1:11" x14ac:dyDescent="0.2">
      <c r="A123" s="27">
        <v>17</v>
      </c>
      <c r="B123" s="27">
        <v>1</v>
      </c>
      <c r="C123" s="28">
        <v>16.858974358974358</v>
      </c>
      <c r="D123" s="28">
        <f t="shared" si="2"/>
        <v>-0.1410256410256423</v>
      </c>
      <c r="F123" s="28">
        <f t="shared" si="3"/>
        <v>9.3686186441259228E-2</v>
      </c>
      <c r="K123" s="28"/>
    </row>
    <row r="124" spans="1:11" x14ac:dyDescent="0.2">
      <c r="A124" s="27">
        <v>17</v>
      </c>
      <c r="B124" s="27">
        <v>1</v>
      </c>
      <c r="C124" s="28">
        <v>16.858974358974358</v>
      </c>
      <c r="D124" s="28">
        <f t="shared" si="2"/>
        <v>-0.1410256410256423</v>
      </c>
      <c r="F124" s="28">
        <f t="shared" si="3"/>
        <v>9.3686186441259228E-2</v>
      </c>
      <c r="K124" s="28"/>
    </row>
    <row r="125" spans="1:11" x14ac:dyDescent="0.2">
      <c r="A125" s="27">
        <v>15</v>
      </c>
      <c r="B125" s="27">
        <v>1</v>
      </c>
      <c r="C125" s="28">
        <v>16.858974358974358</v>
      </c>
      <c r="D125" s="28">
        <f t="shared" si="2"/>
        <v>1.8589743589743577</v>
      </c>
      <c r="F125" s="28">
        <f t="shared" si="3"/>
        <v>8.5208821600122359E-2</v>
      </c>
      <c r="K125" s="28"/>
    </row>
    <row r="126" spans="1:11" x14ac:dyDescent="0.2">
      <c r="A126" s="27">
        <v>15</v>
      </c>
      <c r="B126" s="27">
        <v>1</v>
      </c>
      <c r="C126" s="28">
        <v>16.858974358974358</v>
      </c>
      <c r="D126" s="28">
        <f t="shared" si="2"/>
        <v>1.8589743589743577</v>
      </c>
      <c r="F126" s="28">
        <f t="shared" si="3"/>
        <v>8.5208821600122359E-2</v>
      </c>
      <c r="K126" s="28"/>
    </row>
    <row r="127" spans="1:11" x14ac:dyDescent="0.2">
      <c r="A127" s="27">
        <v>14</v>
      </c>
      <c r="B127" s="27">
        <v>1</v>
      </c>
      <c r="C127" s="28">
        <v>16.858974358974358</v>
      </c>
      <c r="D127" s="28">
        <f t="shared" si="2"/>
        <v>2.8589743589743577</v>
      </c>
      <c r="F127" s="28">
        <f t="shared" si="3"/>
        <v>7.4803820711623142E-2</v>
      </c>
      <c r="K127" s="28"/>
    </row>
    <row r="128" spans="1:11" x14ac:dyDescent="0.2">
      <c r="A128" s="27">
        <v>9</v>
      </c>
      <c r="B128" s="27">
        <v>1</v>
      </c>
      <c r="C128" s="28">
        <v>16.858974358974358</v>
      </c>
      <c r="D128" s="28">
        <f t="shared" si="2"/>
        <v>7.8589743589743577</v>
      </c>
      <c r="F128" s="28">
        <f t="shared" si="3"/>
        <v>1.7039902700084295E-2</v>
      </c>
      <c r="K128" s="28"/>
    </row>
    <row r="129" spans="1:11" x14ac:dyDescent="0.2">
      <c r="A129" s="27">
        <v>14</v>
      </c>
      <c r="B129" s="27">
        <v>1</v>
      </c>
      <c r="C129" s="28">
        <v>16.858974358974358</v>
      </c>
      <c r="D129" s="28">
        <f t="shared" si="2"/>
        <v>2.8589743589743577</v>
      </c>
      <c r="F129" s="28">
        <f t="shared" si="3"/>
        <v>7.4803820711623142E-2</v>
      </c>
      <c r="K129" s="28"/>
    </row>
    <row r="130" spans="1:11" x14ac:dyDescent="0.2">
      <c r="A130" s="27">
        <v>13</v>
      </c>
      <c r="B130" s="27">
        <v>1</v>
      </c>
      <c r="C130" s="28">
        <v>16.858974358974358</v>
      </c>
      <c r="D130" s="28">
        <f t="shared" si="2"/>
        <v>3.8589743589743577</v>
      </c>
      <c r="F130" s="28">
        <f t="shared" si="3"/>
        <v>6.2142132155231941E-2</v>
      </c>
      <c r="K130" s="28"/>
    </row>
    <row r="131" spans="1:11" x14ac:dyDescent="0.2">
      <c r="A131" s="27">
        <v>11</v>
      </c>
      <c r="B131" s="27">
        <v>1</v>
      </c>
      <c r="C131" s="28">
        <v>16.858974358974358</v>
      </c>
      <c r="D131" s="28">
        <f t="shared" ref="D131:D194" si="4">C131-A131</f>
        <v>5.8589743589743577</v>
      </c>
      <c r="F131" s="28">
        <f t="shared" ref="F131:F194" si="5">_xlfn.NORM.DIST(D131,0,$E$2,FALSE)</f>
        <v>3.6339616015446226E-2</v>
      </c>
      <c r="K131" s="28"/>
    </row>
    <row r="132" spans="1:11" x14ac:dyDescent="0.2">
      <c r="A132" s="27">
        <v>11</v>
      </c>
      <c r="B132" s="27">
        <v>1</v>
      </c>
      <c r="C132" s="28">
        <v>16.858974358974358</v>
      </c>
      <c r="D132" s="28">
        <f t="shared" si="4"/>
        <v>5.8589743589743577</v>
      </c>
      <c r="F132" s="28">
        <f t="shared" si="5"/>
        <v>3.6339616015446226E-2</v>
      </c>
      <c r="K132" s="28"/>
    </row>
    <row r="133" spans="1:11" x14ac:dyDescent="0.2">
      <c r="A133" s="27">
        <v>12</v>
      </c>
      <c r="B133" s="27">
        <v>1</v>
      </c>
      <c r="C133" s="28">
        <v>16.858974358974358</v>
      </c>
      <c r="D133" s="28">
        <f t="shared" si="4"/>
        <v>4.8589743589743577</v>
      </c>
      <c r="F133" s="28">
        <f t="shared" si="5"/>
        <v>4.8850798619149906E-2</v>
      </c>
      <c r="K133" s="28"/>
    </row>
    <row r="134" spans="1:11" x14ac:dyDescent="0.2">
      <c r="A134" s="27">
        <v>12</v>
      </c>
      <c r="B134" s="27">
        <v>1</v>
      </c>
      <c r="C134" s="28">
        <v>16.858974358974358</v>
      </c>
      <c r="D134" s="28">
        <f t="shared" si="4"/>
        <v>4.8589743589743577</v>
      </c>
      <c r="F134" s="28">
        <f t="shared" si="5"/>
        <v>4.8850798619149906E-2</v>
      </c>
      <c r="K134" s="28"/>
    </row>
    <row r="135" spans="1:11" x14ac:dyDescent="0.2">
      <c r="A135" s="27">
        <v>11</v>
      </c>
      <c r="B135" s="27">
        <v>1</v>
      </c>
      <c r="C135" s="28">
        <v>16.858974358974358</v>
      </c>
      <c r="D135" s="28">
        <f t="shared" si="4"/>
        <v>5.8589743589743577</v>
      </c>
      <c r="F135" s="28">
        <f t="shared" si="5"/>
        <v>3.6339616015446226E-2</v>
      </c>
      <c r="K135" s="28"/>
    </row>
    <row r="136" spans="1:11" x14ac:dyDescent="0.2">
      <c r="A136" s="27">
        <v>11</v>
      </c>
      <c r="B136" s="27">
        <v>1</v>
      </c>
      <c r="C136" s="28">
        <v>16.858974358974358</v>
      </c>
      <c r="D136" s="28">
        <f t="shared" si="4"/>
        <v>5.8589743589743577</v>
      </c>
      <c r="F136" s="28">
        <f t="shared" si="5"/>
        <v>3.6339616015446226E-2</v>
      </c>
      <c r="K136" s="28"/>
    </row>
    <row r="137" spans="1:11" x14ac:dyDescent="0.2">
      <c r="A137" s="27">
        <v>11</v>
      </c>
      <c r="B137" s="27">
        <v>1</v>
      </c>
      <c r="C137" s="28">
        <v>16.858974358974358</v>
      </c>
      <c r="D137" s="28">
        <f t="shared" si="4"/>
        <v>5.8589743589743577</v>
      </c>
      <c r="F137" s="28">
        <f t="shared" si="5"/>
        <v>3.6339616015446226E-2</v>
      </c>
      <c r="K137" s="28"/>
    </row>
    <row r="138" spans="1:11" x14ac:dyDescent="0.2">
      <c r="A138" s="27">
        <v>12</v>
      </c>
      <c r="B138" s="27">
        <v>1</v>
      </c>
      <c r="C138" s="28">
        <v>16.858974358974358</v>
      </c>
      <c r="D138" s="28">
        <f t="shared" si="4"/>
        <v>4.8589743589743577</v>
      </c>
      <c r="F138" s="28">
        <f t="shared" si="5"/>
        <v>4.8850798619149906E-2</v>
      </c>
      <c r="K138" s="28"/>
    </row>
    <row r="139" spans="1:11" x14ac:dyDescent="0.2">
      <c r="A139" s="27">
        <v>14</v>
      </c>
      <c r="B139" s="27">
        <v>1</v>
      </c>
      <c r="C139" s="28">
        <v>16.858974358974358</v>
      </c>
      <c r="D139" s="28">
        <f t="shared" si="4"/>
        <v>2.8589743589743577</v>
      </c>
      <c r="F139" s="28">
        <f t="shared" si="5"/>
        <v>7.4803820711623142E-2</v>
      </c>
      <c r="K139" s="28"/>
    </row>
    <row r="140" spans="1:11" x14ac:dyDescent="0.2">
      <c r="A140" s="27">
        <v>13</v>
      </c>
      <c r="B140" s="27">
        <v>1</v>
      </c>
      <c r="C140" s="28">
        <v>16.858974358974358</v>
      </c>
      <c r="D140" s="28">
        <f t="shared" si="4"/>
        <v>3.8589743589743577</v>
      </c>
      <c r="F140" s="28">
        <f t="shared" si="5"/>
        <v>6.2142132155231941E-2</v>
      </c>
      <c r="K140" s="28"/>
    </row>
    <row r="141" spans="1:11" x14ac:dyDescent="0.2">
      <c r="A141" s="27">
        <v>13</v>
      </c>
      <c r="B141" s="27">
        <v>1</v>
      </c>
      <c r="C141" s="28">
        <v>16.858974358974358</v>
      </c>
      <c r="D141" s="28">
        <f t="shared" si="4"/>
        <v>3.8589743589743577</v>
      </c>
      <c r="F141" s="28">
        <f t="shared" si="5"/>
        <v>6.2142132155231941E-2</v>
      </c>
      <c r="K141" s="28"/>
    </row>
    <row r="142" spans="1:11" x14ac:dyDescent="0.2">
      <c r="A142" s="27">
        <v>13</v>
      </c>
      <c r="B142" s="27">
        <v>1</v>
      </c>
      <c r="C142" s="28">
        <v>16.858974358974358</v>
      </c>
      <c r="D142" s="28">
        <f t="shared" si="4"/>
        <v>3.8589743589743577</v>
      </c>
      <c r="F142" s="28">
        <f t="shared" si="5"/>
        <v>6.2142132155231941E-2</v>
      </c>
      <c r="K142" s="28"/>
    </row>
    <row r="143" spans="1:11" x14ac:dyDescent="0.2">
      <c r="A143" s="27">
        <v>21</v>
      </c>
      <c r="B143" s="27">
        <v>1</v>
      </c>
      <c r="C143" s="28">
        <v>16.858974358974358</v>
      </c>
      <c r="D143" s="28">
        <f t="shared" si="4"/>
        <v>-4.1410256410256423</v>
      </c>
      <c r="F143" s="28">
        <f t="shared" si="5"/>
        <v>5.8389578885814829E-2</v>
      </c>
      <c r="K143" s="28"/>
    </row>
    <row r="144" spans="1:11" x14ac:dyDescent="0.2">
      <c r="A144" s="27">
        <v>19</v>
      </c>
      <c r="B144" s="27">
        <v>1</v>
      </c>
      <c r="C144" s="28">
        <v>16.858974358974358</v>
      </c>
      <c r="D144" s="28">
        <f t="shared" si="4"/>
        <v>-2.1410256410256423</v>
      </c>
      <c r="F144" s="28">
        <f t="shared" si="5"/>
        <v>8.2596026638649928E-2</v>
      </c>
      <c r="K144" s="28"/>
    </row>
    <row r="145" spans="1:11" x14ac:dyDescent="0.2">
      <c r="A145" s="27">
        <v>23</v>
      </c>
      <c r="B145" s="27">
        <v>1</v>
      </c>
      <c r="C145" s="28">
        <v>16.858974358974358</v>
      </c>
      <c r="D145" s="28">
        <f t="shared" si="4"/>
        <v>-6.1410256410256423</v>
      </c>
      <c r="F145" s="28">
        <f t="shared" si="5"/>
        <v>3.3098180744967454E-2</v>
      </c>
      <c r="K145" s="28"/>
    </row>
    <row r="146" spans="1:11" x14ac:dyDescent="0.2">
      <c r="A146" s="27">
        <v>23</v>
      </c>
      <c r="B146" s="27">
        <v>1</v>
      </c>
      <c r="C146" s="28">
        <v>16.858974358974358</v>
      </c>
      <c r="D146" s="28">
        <f t="shared" si="4"/>
        <v>-6.1410256410256423</v>
      </c>
      <c r="F146" s="28">
        <f t="shared" si="5"/>
        <v>3.3098180744967454E-2</v>
      </c>
      <c r="K146" s="28"/>
    </row>
    <row r="147" spans="1:11" x14ac:dyDescent="0.2">
      <c r="A147" s="27">
        <v>19</v>
      </c>
      <c r="B147" s="27">
        <v>1</v>
      </c>
      <c r="C147" s="28">
        <v>16.858974358974358</v>
      </c>
      <c r="D147" s="28">
        <f t="shared" si="4"/>
        <v>-2.1410256410256423</v>
      </c>
      <c r="F147" s="28">
        <f t="shared" si="5"/>
        <v>8.2596026638649928E-2</v>
      </c>
      <c r="K147" s="28"/>
    </row>
    <row r="148" spans="1:11" x14ac:dyDescent="0.2">
      <c r="A148" s="27">
        <v>19</v>
      </c>
      <c r="B148" s="27">
        <v>1</v>
      </c>
      <c r="C148" s="28">
        <v>16.858974358974358</v>
      </c>
      <c r="D148" s="28">
        <f t="shared" si="4"/>
        <v>-2.1410256410256423</v>
      </c>
      <c r="F148" s="28">
        <f t="shared" si="5"/>
        <v>8.2596026638649928E-2</v>
      </c>
      <c r="K148" s="28"/>
    </row>
    <row r="149" spans="1:11" x14ac:dyDescent="0.2">
      <c r="A149" s="27">
        <v>18</v>
      </c>
      <c r="B149" s="27">
        <v>1</v>
      </c>
      <c r="C149" s="28">
        <v>16.858974358974358</v>
      </c>
      <c r="D149" s="28">
        <f t="shared" si="4"/>
        <v>-1.1410256410256423</v>
      </c>
      <c r="F149" s="28">
        <f t="shared" si="5"/>
        <v>9.0428595220514676E-2</v>
      </c>
      <c r="K149" s="28"/>
    </row>
    <row r="150" spans="1:11" x14ac:dyDescent="0.2">
      <c r="A150" s="27">
        <v>19</v>
      </c>
      <c r="B150" s="27">
        <v>1</v>
      </c>
      <c r="C150" s="28">
        <v>16.858974358974358</v>
      </c>
      <c r="D150" s="28">
        <f t="shared" si="4"/>
        <v>-2.1410256410256423</v>
      </c>
      <c r="F150" s="28">
        <f t="shared" si="5"/>
        <v>8.2596026638649928E-2</v>
      </c>
      <c r="K150" s="28"/>
    </row>
    <row r="151" spans="1:11" x14ac:dyDescent="0.2">
      <c r="A151" s="27">
        <v>19</v>
      </c>
      <c r="B151" s="27">
        <v>1</v>
      </c>
      <c r="C151" s="28">
        <v>16.858974358974358</v>
      </c>
      <c r="D151" s="28">
        <f t="shared" si="4"/>
        <v>-2.1410256410256423</v>
      </c>
      <c r="F151" s="28">
        <f t="shared" si="5"/>
        <v>8.2596026638649928E-2</v>
      </c>
      <c r="K151" s="28"/>
    </row>
    <row r="152" spans="1:11" x14ac:dyDescent="0.2">
      <c r="A152" s="27">
        <v>14</v>
      </c>
      <c r="B152" s="27">
        <v>1</v>
      </c>
      <c r="C152" s="28">
        <v>16.858974358974358</v>
      </c>
      <c r="D152" s="28">
        <f t="shared" si="4"/>
        <v>2.8589743589743577</v>
      </c>
      <c r="F152" s="28">
        <f t="shared" si="5"/>
        <v>7.4803820711623142E-2</v>
      </c>
      <c r="K152" s="28"/>
    </row>
    <row r="153" spans="1:11" x14ac:dyDescent="0.2">
      <c r="A153" s="27">
        <v>15</v>
      </c>
      <c r="B153" s="27">
        <v>1</v>
      </c>
      <c r="C153" s="28">
        <v>16.858974358974358</v>
      </c>
      <c r="D153" s="28">
        <f t="shared" si="4"/>
        <v>1.8589743589743577</v>
      </c>
      <c r="F153" s="28">
        <f t="shared" si="5"/>
        <v>8.5208821600122359E-2</v>
      </c>
      <c r="K153" s="28"/>
    </row>
    <row r="154" spans="1:11" x14ac:dyDescent="0.2">
      <c r="A154" s="27">
        <v>14</v>
      </c>
      <c r="B154" s="27">
        <v>1</v>
      </c>
      <c r="C154" s="28">
        <v>16.858974358974358</v>
      </c>
      <c r="D154" s="28">
        <f t="shared" si="4"/>
        <v>2.8589743589743577</v>
      </c>
      <c r="F154" s="28">
        <f t="shared" si="5"/>
        <v>7.4803820711623142E-2</v>
      </c>
      <c r="K154" s="28"/>
    </row>
    <row r="155" spans="1:11" x14ac:dyDescent="0.2">
      <c r="A155" s="27">
        <v>12</v>
      </c>
      <c r="B155" s="27">
        <v>1</v>
      </c>
      <c r="C155" s="28">
        <v>16.858974358974358</v>
      </c>
      <c r="D155" s="28">
        <f t="shared" si="4"/>
        <v>4.8589743589743577</v>
      </c>
      <c r="F155" s="28">
        <f t="shared" si="5"/>
        <v>4.8850798619149906E-2</v>
      </c>
      <c r="K155" s="28"/>
    </row>
    <row r="156" spans="1:11" x14ac:dyDescent="0.2">
      <c r="A156" s="27">
        <v>18</v>
      </c>
      <c r="B156" s="27">
        <v>1</v>
      </c>
      <c r="C156" s="28">
        <v>16.858974358974358</v>
      </c>
      <c r="D156" s="28">
        <f t="shared" si="4"/>
        <v>-1.1410256410256423</v>
      </c>
      <c r="F156" s="28">
        <f t="shared" si="5"/>
        <v>9.0428595220514676E-2</v>
      </c>
      <c r="K156" s="28"/>
    </row>
    <row r="157" spans="1:11" x14ac:dyDescent="0.2">
      <c r="A157" s="27">
        <v>16</v>
      </c>
      <c r="B157" s="27">
        <v>1</v>
      </c>
      <c r="C157" s="28">
        <v>16.858974358974358</v>
      </c>
      <c r="D157" s="28">
        <f t="shared" si="4"/>
        <v>0.8589743589743577</v>
      </c>
      <c r="F157" s="28">
        <f t="shared" si="5"/>
        <v>9.1847742433773194E-2</v>
      </c>
      <c r="K157" s="28"/>
    </row>
    <row r="158" spans="1:11" x14ac:dyDescent="0.2">
      <c r="A158" s="27">
        <v>17</v>
      </c>
      <c r="B158" s="27">
        <v>1</v>
      </c>
      <c r="C158" s="28">
        <v>16.858974358974358</v>
      </c>
      <c r="D158" s="28">
        <f t="shared" si="4"/>
        <v>-0.1410256410256423</v>
      </c>
      <c r="F158" s="28">
        <f t="shared" si="5"/>
        <v>9.3686186441259228E-2</v>
      </c>
      <c r="K158" s="28"/>
    </row>
    <row r="159" spans="1:11" x14ac:dyDescent="0.2">
      <c r="A159" s="27">
        <v>18</v>
      </c>
      <c r="B159" s="27">
        <v>1</v>
      </c>
      <c r="C159" s="28">
        <v>16.858974358974358</v>
      </c>
      <c r="D159" s="28">
        <f t="shared" si="4"/>
        <v>-1.1410256410256423</v>
      </c>
      <c r="F159" s="28">
        <f t="shared" si="5"/>
        <v>9.0428595220514676E-2</v>
      </c>
      <c r="K159" s="28"/>
    </row>
    <row r="160" spans="1:11" x14ac:dyDescent="0.2">
      <c r="A160" s="27">
        <v>16</v>
      </c>
      <c r="B160" s="27">
        <v>1</v>
      </c>
      <c r="C160" s="28">
        <v>16.858974358974358</v>
      </c>
      <c r="D160" s="28">
        <f t="shared" si="4"/>
        <v>0.8589743589743577</v>
      </c>
      <c r="F160" s="28">
        <f t="shared" si="5"/>
        <v>9.1847742433773194E-2</v>
      </c>
      <c r="K160" s="28"/>
    </row>
    <row r="161" spans="1:11" x14ac:dyDescent="0.2">
      <c r="A161" s="27">
        <v>18</v>
      </c>
      <c r="B161" s="27">
        <v>1</v>
      </c>
      <c r="C161" s="28">
        <v>16.858974358974358</v>
      </c>
      <c r="D161" s="28">
        <f t="shared" si="4"/>
        <v>-1.1410256410256423</v>
      </c>
      <c r="F161" s="28">
        <f t="shared" si="5"/>
        <v>9.0428595220514676E-2</v>
      </c>
      <c r="K161" s="28"/>
    </row>
    <row r="162" spans="1:11" x14ac:dyDescent="0.2">
      <c r="A162" s="27">
        <v>18</v>
      </c>
      <c r="B162" s="27">
        <v>1</v>
      </c>
      <c r="C162" s="28">
        <v>16.858974358974358</v>
      </c>
      <c r="D162" s="28">
        <f t="shared" si="4"/>
        <v>-1.1410256410256423</v>
      </c>
      <c r="F162" s="28">
        <f t="shared" si="5"/>
        <v>9.0428595220514676E-2</v>
      </c>
      <c r="K162" s="28"/>
    </row>
    <row r="163" spans="1:11" x14ac:dyDescent="0.2">
      <c r="A163" s="27">
        <v>20</v>
      </c>
      <c r="B163" s="27">
        <v>1</v>
      </c>
      <c r="C163" s="28">
        <v>16.858974358974358</v>
      </c>
      <c r="D163" s="28">
        <f t="shared" si="4"/>
        <v>-3.1410256410256423</v>
      </c>
      <c r="F163" s="28">
        <f t="shared" si="5"/>
        <v>7.138971945227178E-2</v>
      </c>
      <c r="K163" s="28"/>
    </row>
    <row r="164" spans="1:11" x14ac:dyDescent="0.2">
      <c r="A164" s="27">
        <v>19</v>
      </c>
      <c r="B164" s="27">
        <v>1</v>
      </c>
      <c r="C164" s="28">
        <v>16.858974358974358</v>
      </c>
      <c r="D164" s="28">
        <f t="shared" si="4"/>
        <v>-2.1410256410256423</v>
      </c>
      <c r="F164" s="28">
        <f t="shared" si="5"/>
        <v>8.2596026638649928E-2</v>
      </c>
      <c r="K164" s="28"/>
    </row>
    <row r="165" spans="1:11" x14ac:dyDescent="0.2">
      <c r="A165" s="27">
        <v>20</v>
      </c>
      <c r="B165" s="27">
        <v>1</v>
      </c>
      <c r="C165" s="28">
        <v>16.858974358974358</v>
      </c>
      <c r="D165" s="28">
        <f t="shared" si="4"/>
        <v>-3.1410256410256423</v>
      </c>
      <c r="F165" s="28">
        <f t="shared" si="5"/>
        <v>7.138971945227178E-2</v>
      </c>
      <c r="K165" s="28"/>
    </row>
    <row r="166" spans="1:11" x14ac:dyDescent="0.2">
      <c r="A166" s="27">
        <v>18</v>
      </c>
      <c r="B166" s="27">
        <v>1</v>
      </c>
      <c r="C166" s="28">
        <v>16.858974358974358</v>
      </c>
      <c r="D166" s="28">
        <f t="shared" si="4"/>
        <v>-1.1410256410256423</v>
      </c>
      <c r="F166" s="28">
        <f t="shared" si="5"/>
        <v>9.0428595220514676E-2</v>
      </c>
      <c r="K166" s="28"/>
    </row>
    <row r="167" spans="1:11" x14ac:dyDescent="0.2">
      <c r="A167" s="27">
        <v>21</v>
      </c>
      <c r="B167" s="27">
        <v>1</v>
      </c>
      <c r="C167" s="28">
        <v>16.858974358974358</v>
      </c>
      <c r="D167" s="28">
        <f t="shared" si="4"/>
        <v>-4.1410256410256423</v>
      </c>
      <c r="F167" s="28">
        <f t="shared" si="5"/>
        <v>5.8389578885814829E-2</v>
      </c>
      <c r="K167" s="28"/>
    </row>
    <row r="168" spans="1:11" x14ac:dyDescent="0.2">
      <c r="A168" s="27">
        <v>19</v>
      </c>
      <c r="B168" s="27">
        <v>1</v>
      </c>
      <c r="C168" s="28">
        <v>16.858974358974358</v>
      </c>
      <c r="D168" s="28">
        <f t="shared" si="4"/>
        <v>-2.1410256410256423</v>
      </c>
      <c r="F168" s="28">
        <f t="shared" si="5"/>
        <v>8.2596026638649928E-2</v>
      </c>
      <c r="K168" s="28"/>
    </row>
    <row r="169" spans="1:11" x14ac:dyDescent="0.2">
      <c r="A169" s="27">
        <v>19</v>
      </c>
      <c r="B169" s="27">
        <v>1</v>
      </c>
      <c r="C169" s="28">
        <v>16.858974358974358</v>
      </c>
      <c r="D169" s="28">
        <f t="shared" si="4"/>
        <v>-2.1410256410256423</v>
      </c>
      <c r="F169" s="28">
        <f t="shared" si="5"/>
        <v>8.2596026638649928E-2</v>
      </c>
      <c r="K169" s="28"/>
    </row>
    <row r="170" spans="1:11" x14ac:dyDescent="0.2">
      <c r="A170" s="27">
        <v>19</v>
      </c>
      <c r="B170" s="27">
        <v>1</v>
      </c>
      <c r="C170" s="28">
        <v>16.858974358974358</v>
      </c>
      <c r="D170" s="28">
        <f t="shared" si="4"/>
        <v>-2.1410256410256423</v>
      </c>
      <c r="F170" s="28">
        <f t="shared" si="5"/>
        <v>8.2596026638649928E-2</v>
      </c>
      <c r="K170" s="28"/>
    </row>
    <row r="171" spans="1:11" x14ac:dyDescent="0.2">
      <c r="A171" s="27">
        <v>20</v>
      </c>
      <c r="B171" s="27">
        <v>1</v>
      </c>
      <c r="C171" s="28">
        <v>16.858974358974358</v>
      </c>
      <c r="D171" s="28">
        <f t="shared" si="4"/>
        <v>-3.1410256410256423</v>
      </c>
      <c r="F171" s="28">
        <f t="shared" si="5"/>
        <v>7.138971945227178E-2</v>
      </c>
      <c r="K171" s="28"/>
    </row>
    <row r="172" spans="1:11" x14ac:dyDescent="0.2">
      <c r="A172" s="27">
        <v>20</v>
      </c>
      <c r="B172" s="27">
        <v>1</v>
      </c>
      <c r="C172" s="28">
        <v>16.858974358974358</v>
      </c>
      <c r="D172" s="28">
        <f t="shared" si="4"/>
        <v>-3.1410256410256423</v>
      </c>
      <c r="F172" s="28">
        <f t="shared" si="5"/>
        <v>7.138971945227178E-2</v>
      </c>
      <c r="K172" s="28"/>
    </row>
    <row r="173" spans="1:11" x14ac:dyDescent="0.2">
      <c r="A173" s="27">
        <v>19</v>
      </c>
      <c r="B173" s="27">
        <v>1</v>
      </c>
      <c r="C173" s="28">
        <v>16.858974358974358</v>
      </c>
      <c r="D173" s="28">
        <f t="shared" si="4"/>
        <v>-2.1410256410256423</v>
      </c>
      <c r="F173" s="28">
        <f t="shared" si="5"/>
        <v>8.2596026638649928E-2</v>
      </c>
      <c r="K173" s="28"/>
    </row>
    <row r="174" spans="1:11" x14ac:dyDescent="0.2">
      <c r="A174" s="27">
        <v>20</v>
      </c>
      <c r="B174" s="27">
        <v>1</v>
      </c>
      <c r="C174" s="28">
        <v>16.858974358974358</v>
      </c>
      <c r="D174" s="28">
        <f t="shared" si="4"/>
        <v>-3.1410256410256423</v>
      </c>
      <c r="F174" s="28">
        <f t="shared" si="5"/>
        <v>7.138971945227178E-2</v>
      </c>
      <c r="K174" s="28"/>
    </row>
    <row r="175" spans="1:11" x14ac:dyDescent="0.2">
      <c r="A175" s="27">
        <v>15</v>
      </c>
      <c r="B175" s="27">
        <v>1</v>
      </c>
      <c r="C175" s="28">
        <v>16.858974358974358</v>
      </c>
      <c r="D175" s="28">
        <f t="shared" si="4"/>
        <v>1.8589743589743577</v>
      </c>
      <c r="F175" s="28">
        <f t="shared" si="5"/>
        <v>8.5208821600122359E-2</v>
      </c>
      <c r="K175" s="28"/>
    </row>
    <row r="176" spans="1:11" x14ac:dyDescent="0.2">
      <c r="A176" s="27">
        <v>16</v>
      </c>
      <c r="B176" s="27">
        <v>1</v>
      </c>
      <c r="C176" s="28">
        <v>16.858974358974358</v>
      </c>
      <c r="D176" s="28">
        <f t="shared" si="4"/>
        <v>0.8589743589743577</v>
      </c>
      <c r="F176" s="28">
        <f t="shared" si="5"/>
        <v>9.1847742433773194E-2</v>
      </c>
      <c r="K176" s="28"/>
    </row>
    <row r="177" spans="1:11" x14ac:dyDescent="0.2">
      <c r="A177" s="27">
        <v>15</v>
      </c>
      <c r="B177" s="27">
        <v>1</v>
      </c>
      <c r="C177" s="28">
        <v>16.858974358974358</v>
      </c>
      <c r="D177" s="28">
        <f t="shared" si="4"/>
        <v>1.8589743589743577</v>
      </c>
      <c r="F177" s="28">
        <f t="shared" si="5"/>
        <v>8.5208821600122359E-2</v>
      </c>
      <c r="K177" s="28"/>
    </row>
    <row r="178" spans="1:11" x14ac:dyDescent="0.2">
      <c r="A178" s="27">
        <v>15</v>
      </c>
      <c r="B178" s="27">
        <v>1</v>
      </c>
      <c r="C178" s="28">
        <v>16.858974358974358</v>
      </c>
      <c r="D178" s="28">
        <f t="shared" si="4"/>
        <v>1.8589743589743577</v>
      </c>
      <c r="F178" s="28">
        <f t="shared" si="5"/>
        <v>8.5208821600122359E-2</v>
      </c>
      <c r="K178" s="28"/>
    </row>
    <row r="179" spans="1:11" x14ac:dyDescent="0.2">
      <c r="A179" s="27">
        <v>16</v>
      </c>
      <c r="B179" s="27">
        <v>1</v>
      </c>
      <c r="C179" s="28">
        <v>16.858974358974358</v>
      </c>
      <c r="D179" s="28">
        <f t="shared" si="4"/>
        <v>0.8589743589743577</v>
      </c>
      <c r="F179" s="28">
        <f t="shared" si="5"/>
        <v>9.1847742433773194E-2</v>
      </c>
      <c r="K179" s="28"/>
    </row>
    <row r="180" spans="1:11" x14ac:dyDescent="0.2">
      <c r="A180" s="27">
        <v>14</v>
      </c>
      <c r="B180" s="27">
        <v>1</v>
      </c>
      <c r="C180" s="28">
        <v>16.858974358974358</v>
      </c>
      <c r="D180" s="28">
        <f t="shared" si="4"/>
        <v>2.8589743589743577</v>
      </c>
      <c r="F180" s="28">
        <f t="shared" si="5"/>
        <v>7.4803820711623142E-2</v>
      </c>
      <c r="K180" s="28"/>
    </row>
    <row r="181" spans="1:11" x14ac:dyDescent="0.2">
      <c r="A181" s="27">
        <v>21</v>
      </c>
      <c r="B181" s="27">
        <v>1</v>
      </c>
      <c r="C181" s="28">
        <v>16.858974358974358</v>
      </c>
      <c r="D181" s="28">
        <f t="shared" si="4"/>
        <v>-4.1410256410256423</v>
      </c>
      <c r="F181" s="28">
        <f t="shared" si="5"/>
        <v>5.8389578885814829E-2</v>
      </c>
      <c r="K181" s="28"/>
    </row>
    <row r="182" spans="1:11" x14ac:dyDescent="0.2">
      <c r="A182" s="27">
        <v>21</v>
      </c>
      <c r="B182" s="27">
        <v>1</v>
      </c>
      <c r="C182" s="28">
        <v>16.858974358974358</v>
      </c>
      <c r="D182" s="28">
        <f t="shared" si="4"/>
        <v>-4.1410256410256423</v>
      </c>
      <c r="F182" s="28">
        <f t="shared" si="5"/>
        <v>5.8389578885814829E-2</v>
      </c>
      <c r="K182" s="28"/>
    </row>
    <row r="183" spans="1:11" x14ac:dyDescent="0.2">
      <c r="A183" s="27">
        <v>21</v>
      </c>
      <c r="B183" s="27">
        <v>1</v>
      </c>
      <c r="C183" s="28">
        <v>16.858974358974358</v>
      </c>
      <c r="D183" s="28">
        <f t="shared" si="4"/>
        <v>-4.1410256410256423</v>
      </c>
      <c r="F183" s="28">
        <f t="shared" si="5"/>
        <v>5.8389578885814829E-2</v>
      </c>
      <c r="K183" s="28"/>
    </row>
    <row r="184" spans="1:11" x14ac:dyDescent="0.2">
      <c r="A184" s="27">
        <v>21</v>
      </c>
      <c r="B184" s="27">
        <v>1</v>
      </c>
      <c r="C184" s="28">
        <v>16.858974358974358</v>
      </c>
      <c r="D184" s="28">
        <f t="shared" si="4"/>
        <v>-4.1410256410256423</v>
      </c>
      <c r="F184" s="28">
        <f t="shared" si="5"/>
        <v>5.8389578885814829E-2</v>
      </c>
      <c r="K184" s="28"/>
    </row>
    <row r="185" spans="1:11" x14ac:dyDescent="0.2">
      <c r="A185" s="27">
        <v>18</v>
      </c>
      <c r="B185" s="27">
        <v>1</v>
      </c>
      <c r="C185" s="28">
        <v>16.858974358974358</v>
      </c>
      <c r="D185" s="28">
        <f t="shared" si="4"/>
        <v>-1.1410256410256423</v>
      </c>
      <c r="F185" s="28">
        <f t="shared" si="5"/>
        <v>9.0428595220514676E-2</v>
      </c>
      <c r="K185" s="28"/>
    </row>
    <row r="186" spans="1:11" x14ac:dyDescent="0.2">
      <c r="A186" s="27">
        <v>18</v>
      </c>
      <c r="B186" s="27">
        <v>1</v>
      </c>
      <c r="C186" s="28">
        <v>16.858974358974358</v>
      </c>
      <c r="D186" s="28">
        <f t="shared" si="4"/>
        <v>-1.1410256410256423</v>
      </c>
      <c r="F186" s="28">
        <f t="shared" si="5"/>
        <v>9.0428595220514676E-2</v>
      </c>
      <c r="K186" s="28"/>
    </row>
    <row r="187" spans="1:11" x14ac:dyDescent="0.2">
      <c r="A187" s="27">
        <v>19</v>
      </c>
      <c r="B187" s="27">
        <v>1</v>
      </c>
      <c r="C187" s="28">
        <v>16.858974358974358</v>
      </c>
      <c r="D187" s="28">
        <f t="shared" si="4"/>
        <v>-2.1410256410256423</v>
      </c>
      <c r="F187" s="28">
        <f t="shared" si="5"/>
        <v>8.2596026638649928E-2</v>
      </c>
      <c r="K187" s="28"/>
    </row>
    <row r="188" spans="1:11" x14ac:dyDescent="0.2">
      <c r="A188" s="27">
        <v>21</v>
      </c>
      <c r="B188" s="27">
        <v>1</v>
      </c>
      <c r="C188" s="28">
        <v>16.858974358974358</v>
      </c>
      <c r="D188" s="28">
        <f t="shared" si="4"/>
        <v>-4.1410256410256423</v>
      </c>
      <c r="F188" s="28">
        <f t="shared" si="5"/>
        <v>5.8389578885814829E-2</v>
      </c>
      <c r="K188" s="28"/>
    </row>
    <row r="189" spans="1:11" x14ac:dyDescent="0.2">
      <c r="A189" s="27">
        <v>21</v>
      </c>
      <c r="B189" s="27">
        <v>1</v>
      </c>
      <c r="C189" s="28">
        <v>16.858974358974358</v>
      </c>
      <c r="D189" s="28">
        <f t="shared" si="4"/>
        <v>-4.1410256410256423</v>
      </c>
      <c r="F189" s="28">
        <f t="shared" si="5"/>
        <v>5.8389578885814829E-2</v>
      </c>
      <c r="K189" s="28"/>
    </row>
    <row r="190" spans="1:11" x14ac:dyDescent="0.2">
      <c r="A190" s="27">
        <v>21</v>
      </c>
      <c r="B190" s="27">
        <v>1</v>
      </c>
      <c r="C190" s="28">
        <v>16.858974358974358</v>
      </c>
      <c r="D190" s="28">
        <f t="shared" si="4"/>
        <v>-4.1410256410256423</v>
      </c>
      <c r="F190" s="28">
        <f t="shared" si="5"/>
        <v>5.8389578885814829E-2</v>
      </c>
      <c r="K190" s="28"/>
    </row>
    <row r="191" spans="1:11" x14ac:dyDescent="0.2">
      <c r="A191" s="27">
        <v>22</v>
      </c>
      <c r="B191" s="27">
        <v>1</v>
      </c>
      <c r="C191" s="28">
        <v>16.858974358974358</v>
      </c>
      <c r="D191" s="28">
        <f t="shared" si="4"/>
        <v>-5.1410256410256423</v>
      </c>
      <c r="F191" s="28">
        <f t="shared" si="5"/>
        <v>4.5191645925457373E-2</v>
      </c>
      <c r="K191" s="28"/>
    </row>
    <row r="192" spans="1:11" x14ac:dyDescent="0.2">
      <c r="A192" s="27">
        <v>18</v>
      </c>
      <c r="B192" s="27">
        <v>1</v>
      </c>
      <c r="C192" s="28">
        <v>16.858974358974358</v>
      </c>
      <c r="D192" s="28">
        <f t="shared" si="4"/>
        <v>-1.1410256410256423</v>
      </c>
      <c r="F192" s="28">
        <f t="shared" si="5"/>
        <v>9.0428595220514676E-2</v>
      </c>
      <c r="K192" s="28"/>
    </row>
    <row r="193" spans="1:11" x14ac:dyDescent="0.2">
      <c r="A193" s="27">
        <v>18</v>
      </c>
      <c r="B193" s="27">
        <v>1</v>
      </c>
      <c r="C193" s="28">
        <v>16.858974358974358</v>
      </c>
      <c r="D193" s="28">
        <f t="shared" si="4"/>
        <v>-1.1410256410256423</v>
      </c>
      <c r="F193" s="28">
        <f t="shared" si="5"/>
        <v>9.0428595220514676E-2</v>
      </c>
      <c r="K193" s="28"/>
    </row>
    <row r="194" spans="1:11" x14ac:dyDescent="0.2">
      <c r="A194" s="27">
        <v>18</v>
      </c>
      <c r="B194" s="27">
        <v>1</v>
      </c>
      <c r="C194" s="28">
        <v>16.858974358974358</v>
      </c>
      <c r="D194" s="28">
        <f t="shared" si="4"/>
        <v>-1.1410256410256423</v>
      </c>
      <c r="F194" s="28">
        <f t="shared" si="5"/>
        <v>9.0428595220514676E-2</v>
      </c>
      <c r="K194" s="28"/>
    </row>
    <row r="195" spans="1:11" x14ac:dyDescent="0.2">
      <c r="A195" s="27">
        <v>24</v>
      </c>
      <c r="B195" s="27">
        <v>1</v>
      </c>
      <c r="C195" s="28">
        <v>16.858974358974358</v>
      </c>
      <c r="D195" s="28">
        <f t="shared" ref="D195:D235" si="6">C195-A195</f>
        <v>-7.1410256410256423</v>
      </c>
      <c r="F195" s="28">
        <f t="shared" ref="F195:F235" si="7">_xlfn.NORM.DIST(D195,0,$E$2,FALSE)</f>
        <v>2.293893420103504E-2</v>
      </c>
      <c r="K195" s="28"/>
    </row>
    <row r="196" spans="1:11" x14ac:dyDescent="0.2">
      <c r="A196" s="27">
        <v>24</v>
      </c>
      <c r="B196" s="27">
        <v>1</v>
      </c>
      <c r="C196" s="28">
        <v>16.858974358974358</v>
      </c>
      <c r="D196" s="28">
        <f t="shared" si="6"/>
        <v>-7.1410256410256423</v>
      </c>
      <c r="F196" s="28">
        <f t="shared" si="7"/>
        <v>2.293893420103504E-2</v>
      </c>
      <c r="K196" s="28"/>
    </row>
    <row r="197" spans="1:11" x14ac:dyDescent="0.2">
      <c r="A197" s="27">
        <v>26</v>
      </c>
      <c r="B197" s="27">
        <v>1</v>
      </c>
      <c r="C197" s="28">
        <v>16.858974358974358</v>
      </c>
      <c r="D197" s="28">
        <f t="shared" si="6"/>
        <v>-9.1410256410256423</v>
      </c>
      <c r="F197" s="28">
        <f t="shared" si="7"/>
        <v>9.3364312813032559E-3</v>
      </c>
      <c r="K197" s="28"/>
    </row>
    <row r="198" spans="1:11" x14ac:dyDescent="0.2">
      <c r="A198" s="27">
        <v>28</v>
      </c>
      <c r="B198" s="27">
        <v>1</v>
      </c>
      <c r="C198" s="28">
        <v>16.858974358974358</v>
      </c>
      <c r="D198" s="28">
        <f t="shared" si="6"/>
        <v>-11.141025641025642</v>
      </c>
      <c r="F198" s="28">
        <f t="shared" si="7"/>
        <v>3.0470611306731058E-3</v>
      </c>
      <c r="K198" s="28"/>
    </row>
    <row r="199" spans="1:11" x14ac:dyDescent="0.2">
      <c r="A199" s="27">
        <v>26</v>
      </c>
      <c r="B199" s="27">
        <v>1</v>
      </c>
      <c r="C199" s="28">
        <v>16.858974358974358</v>
      </c>
      <c r="D199" s="28">
        <f t="shared" si="6"/>
        <v>-9.1410256410256423</v>
      </c>
      <c r="F199" s="28">
        <f t="shared" si="7"/>
        <v>9.3364312813032559E-3</v>
      </c>
      <c r="K199" s="28"/>
    </row>
    <row r="200" spans="1:11" x14ac:dyDescent="0.2">
      <c r="A200" s="27">
        <v>11</v>
      </c>
      <c r="B200" s="27">
        <v>1</v>
      </c>
      <c r="C200" s="28">
        <v>16.858974358974358</v>
      </c>
      <c r="D200" s="28">
        <f t="shared" si="6"/>
        <v>5.8589743589743577</v>
      </c>
      <c r="F200" s="28">
        <f t="shared" si="7"/>
        <v>3.6339616015446226E-2</v>
      </c>
      <c r="K200" s="28"/>
    </row>
    <row r="201" spans="1:11" x14ac:dyDescent="0.2">
      <c r="A201" s="27">
        <v>13</v>
      </c>
      <c r="B201" s="27">
        <v>1</v>
      </c>
      <c r="C201" s="28">
        <v>16.858974358974358</v>
      </c>
      <c r="D201" s="28">
        <f t="shared" si="6"/>
        <v>3.8589743589743577</v>
      </c>
      <c r="F201" s="28">
        <f t="shared" si="7"/>
        <v>6.2142132155231941E-2</v>
      </c>
      <c r="K201" s="28"/>
    </row>
    <row r="202" spans="1:11" x14ac:dyDescent="0.2">
      <c r="A202" s="27">
        <v>15</v>
      </c>
      <c r="B202" s="27">
        <v>1</v>
      </c>
      <c r="C202" s="28">
        <v>16.858974358974358</v>
      </c>
      <c r="D202" s="28">
        <f t="shared" si="6"/>
        <v>1.8589743589743577</v>
      </c>
      <c r="F202" s="28">
        <f t="shared" si="7"/>
        <v>8.5208821600122359E-2</v>
      </c>
      <c r="K202" s="28"/>
    </row>
    <row r="203" spans="1:11" x14ac:dyDescent="0.2">
      <c r="A203" s="27">
        <v>16</v>
      </c>
      <c r="B203" s="27">
        <v>1</v>
      </c>
      <c r="C203" s="28">
        <v>16.858974358974358</v>
      </c>
      <c r="D203" s="28">
        <f t="shared" si="6"/>
        <v>0.8589743589743577</v>
      </c>
      <c r="F203" s="28">
        <f t="shared" si="7"/>
        <v>9.1847742433773194E-2</v>
      </c>
      <c r="K203" s="28"/>
    </row>
    <row r="204" spans="1:11" x14ac:dyDescent="0.2">
      <c r="A204" s="27">
        <v>17</v>
      </c>
      <c r="B204" s="27">
        <v>1</v>
      </c>
      <c r="C204" s="28">
        <v>16.858974358974358</v>
      </c>
      <c r="D204" s="28">
        <f t="shared" si="6"/>
        <v>-0.1410256410256423</v>
      </c>
      <c r="F204" s="28">
        <f t="shared" si="7"/>
        <v>9.3686186441259228E-2</v>
      </c>
      <c r="K204" s="28"/>
    </row>
    <row r="205" spans="1:11" x14ac:dyDescent="0.2">
      <c r="A205" s="27">
        <v>15</v>
      </c>
      <c r="B205" s="27">
        <v>1</v>
      </c>
      <c r="C205" s="28">
        <v>16.858974358974358</v>
      </c>
      <c r="D205" s="28">
        <f t="shared" si="6"/>
        <v>1.8589743589743577</v>
      </c>
      <c r="F205" s="28">
        <f t="shared" si="7"/>
        <v>8.5208821600122359E-2</v>
      </c>
      <c r="K205" s="28"/>
    </row>
    <row r="206" spans="1:11" x14ac:dyDescent="0.2">
      <c r="A206" s="27">
        <v>15</v>
      </c>
      <c r="B206" s="27">
        <v>1</v>
      </c>
      <c r="C206" s="28">
        <v>16.858974358974358</v>
      </c>
      <c r="D206" s="28">
        <f t="shared" si="6"/>
        <v>1.8589743589743577</v>
      </c>
      <c r="F206" s="28">
        <f t="shared" si="7"/>
        <v>8.5208821600122359E-2</v>
      </c>
      <c r="K206" s="28"/>
    </row>
    <row r="207" spans="1:11" x14ac:dyDescent="0.2">
      <c r="A207" s="27">
        <v>15</v>
      </c>
      <c r="B207" s="27">
        <v>1</v>
      </c>
      <c r="C207" s="28">
        <v>16.858974358974358</v>
      </c>
      <c r="D207" s="28">
        <f t="shared" si="6"/>
        <v>1.8589743589743577</v>
      </c>
      <c r="F207" s="28">
        <f t="shared" si="7"/>
        <v>8.5208821600122359E-2</v>
      </c>
      <c r="K207" s="28"/>
    </row>
    <row r="208" spans="1:11" x14ac:dyDescent="0.2">
      <c r="A208" s="27">
        <v>16</v>
      </c>
      <c r="B208" s="27">
        <v>1</v>
      </c>
      <c r="C208" s="28">
        <v>16.858974358974358</v>
      </c>
      <c r="D208" s="28">
        <f t="shared" si="6"/>
        <v>0.8589743589743577</v>
      </c>
      <c r="F208" s="28">
        <f t="shared" si="7"/>
        <v>9.1847742433773194E-2</v>
      </c>
      <c r="K208" s="28"/>
    </row>
    <row r="209" spans="1:11" x14ac:dyDescent="0.2">
      <c r="A209" s="27">
        <v>21</v>
      </c>
      <c r="B209" s="27">
        <v>1</v>
      </c>
      <c r="C209" s="28">
        <v>16.858974358974358</v>
      </c>
      <c r="D209" s="28">
        <f t="shared" si="6"/>
        <v>-4.1410256410256423</v>
      </c>
      <c r="F209" s="28">
        <f t="shared" si="7"/>
        <v>5.8389578885814829E-2</v>
      </c>
      <c r="K209" s="28"/>
    </row>
    <row r="210" spans="1:11" x14ac:dyDescent="0.2">
      <c r="A210" s="27">
        <v>19</v>
      </c>
      <c r="B210" s="27">
        <v>1</v>
      </c>
      <c r="C210" s="28">
        <v>16.858974358974358</v>
      </c>
      <c r="D210" s="28">
        <f t="shared" si="6"/>
        <v>-2.1410256410256423</v>
      </c>
      <c r="F210" s="28">
        <f t="shared" si="7"/>
        <v>8.2596026638649928E-2</v>
      </c>
      <c r="K210" s="28"/>
    </row>
    <row r="211" spans="1:11" x14ac:dyDescent="0.2">
      <c r="A211" s="27">
        <v>21</v>
      </c>
      <c r="B211" s="27">
        <v>1</v>
      </c>
      <c r="C211" s="28">
        <v>16.858974358974358</v>
      </c>
      <c r="D211" s="28">
        <f t="shared" si="6"/>
        <v>-4.1410256410256423</v>
      </c>
      <c r="F211" s="28">
        <f t="shared" si="7"/>
        <v>5.8389578885814829E-2</v>
      </c>
      <c r="K211" s="28"/>
    </row>
    <row r="212" spans="1:11" x14ac:dyDescent="0.2">
      <c r="A212" s="27">
        <v>22</v>
      </c>
      <c r="B212" s="27">
        <v>1</v>
      </c>
      <c r="C212" s="28">
        <v>16.858974358974358</v>
      </c>
      <c r="D212" s="28">
        <f t="shared" si="6"/>
        <v>-5.1410256410256423</v>
      </c>
      <c r="F212" s="28">
        <f t="shared" si="7"/>
        <v>4.5191645925457373E-2</v>
      </c>
      <c r="K212" s="28"/>
    </row>
    <row r="213" spans="1:11" x14ac:dyDescent="0.2">
      <c r="A213" s="27">
        <v>17</v>
      </c>
      <c r="B213" s="27">
        <v>1</v>
      </c>
      <c r="C213" s="28">
        <v>16.858974358974358</v>
      </c>
      <c r="D213" s="28">
        <f t="shared" si="6"/>
        <v>-0.1410256410256423</v>
      </c>
      <c r="F213" s="28">
        <f t="shared" si="7"/>
        <v>9.3686186441259228E-2</v>
      </c>
      <c r="K213" s="28"/>
    </row>
    <row r="214" spans="1:11" x14ac:dyDescent="0.2">
      <c r="A214" s="27">
        <v>33</v>
      </c>
      <c r="B214" s="27">
        <v>1</v>
      </c>
      <c r="C214" s="28">
        <v>16.858974358974358</v>
      </c>
      <c r="D214" s="28">
        <f t="shared" si="6"/>
        <v>-16.141025641025642</v>
      </c>
      <c r="F214" s="28">
        <f t="shared" si="7"/>
        <v>7.0556481624534586E-5</v>
      </c>
      <c r="K214" s="28"/>
    </row>
    <row r="215" spans="1:11" x14ac:dyDescent="0.2">
      <c r="A215" s="27">
        <v>21</v>
      </c>
      <c r="B215" s="27">
        <v>1</v>
      </c>
      <c r="C215" s="28">
        <v>16.858974358974358</v>
      </c>
      <c r="D215" s="28">
        <f t="shared" si="6"/>
        <v>-4.1410256410256423</v>
      </c>
      <c r="F215" s="28">
        <f t="shared" si="7"/>
        <v>5.8389578885814829E-2</v>
      </c>
      <c r="K215" s="28"/>
    </row>
    <row r="216" spans="1:11" x14ac:dyDescent="0.2">
      <c r="A216" s="27">
        <v>19</v>
      </c>
      <c r="B216" s="27">
        <v>1</v>
      </c>
      <c r="C216" s="28">
        <v>16.858974358974358</v>
      </c>
      <c r="D216" s="28">
        <f t="shared" si="6"/>
        <v>-2.1410256410256423</v>
      </c>
      <c r="F216" s="28">
        <f t="shared" si="7"/>
        <v>8.2596026638649928E-2</v>
      </c>
      <c r="K216" s="28"/>
    </row>
    <row r="217" spans="1:11" x14ac:dyDescent="0.2">
      <c r="A217" s="27">
        <v>22</v>
      </c>
      <c r="B217" s="27">
        <v>1</v>
      </c>
      <c r="C217" s="28">
        <v>16.858974358974358</v>
      </c>
      <c r="D217" s="28">
        <f t="shared" si="6"/>
        <v>-5.1410256410256423</v>
      </c>
      <c r="F217" s="28">
        <f t="shared" si="7"/>
        <v>4.5191645925457373E-2</v>
      </c>
      <c r="K217" s="28"/>
    </row>
    <row r="218" spans="1:11" x14ac:dyDescent="0.2">
      <c r="A218" s="27">
        <v>21</v>
      </c>
      <c r="B218" s="27">
        <v>1</v>
      </c>
      <c r="C218" s="28">
        <v>16.858974358974358</v>
      </c>
      <c r="D218" s="28">
        <f t="shared" si="6"/>
        <v>-4.1410256410256423</v>
      </c>
      <c r="F218" s="28">
        <f t="shared" si="7"/>
        <v>5.8389578885814829E-2</v>
      </c>
      <c r="K218" s="28"/>
    </row>
    <row r="219" spans="1:11" x14ac:dyDescent="0.2">
      <c r="A219" s="27">
        <v>21</v>
      </c>
      <c r="B219" s="27">
        <v>1</v>
      </c>
      <c r="C219" s="28">
        <v>16.858974358974358</v>
      </c>
      <c r="D219" s="28">
        <f t="shared" si="6"/>
        <v>-4.1410256410256423</v>
      </c>
      <c r="F219" s="28">
        <f t="shared" si="7"/>
        <v>5.8389578885814829E-2</v>
      </c>
      <c r="K219" s="28"/>
    </row>
    <row r="220" spans="1:11" x14ac:dyDescent="0.2">
      <c r="A220" s="27">
        <v>21</v>
      </c>
      <c r="B220" s="27">
        <v>1</v>
      </c>
      <c r="C220" s="28">
        <v>16.858974358974358</v>
      </c>
      <c r="D220" s="28">
        <f t="shared" si="6"/>
        <v>-4.1410256410256423</v>
      </c>
      <c r="F220" s="28">
        <f t="shared" si="7"/>
        <v>5.8389578885814829E-2</v>
      </c>
      <c r="K220" s="28"/>
    </row>
    <row r="221" spans="1:11" x14ac:dyDescent="0.2">
      <c r="A221" s="27">
        <v>16</v>
      </c>
      <c r="B221" s="27">
        <v>1</v>
      </c>
      <c r="C221" s="28">
        <v>16.858974358974358</v>
      </c>
      <c r="D221" s="28">
        <f t="shared" si="6"/>
        <v>0.8589743589743577</v>
      </c>
      <c r="F221" s="28">
        <f t="shared" si="7"/>
        <v>9.1847742433773194E-2</v>
      </c>
      <c r="K221" s="28"/>
    </row>
    <row r="222" spans="1:11" x14ac:dyDescent="0.2">
      <c r="A222" s="27">
        <v>17</v>
      </c>
      <c r="B222" s="27">
        <v>1</v>
      </c>
      <c r="C222" s="28">
        <v>16.858974358974358</v>
      </c>
      <c r="D222" s="28">
        <f t="shared" si="6"/>
        <v>-0.1410256410256423</v>
      </c>
      <c r="F222" s="28">
        <f t="shared" si="7"/>
        <v>9.3686186441259228E-2</v>
      </c>
      <c r="K222" s="28"/>
    </row>
    <row r="223" spans="1:11" x14ac:dyDescent="0.2">
      <c r="A223" s="27">
        <v>35</v>
      </c>
      <c r="B223" s="27">
        <v>1</v>
      </c>
      <c r="C223" s="28">
        <v>16.858974358974358</v>
      </c>
      <c r="D223" s="28">
        <f t="shared" si="6"/>
        <v>-18.141025641025642</v>
      </c>
      <c r="F223" s="28">
        <f t="shared" si="7"/>
        <v>1.0630685082524548E-5</v>
      </c>
      <c r="K223" s="28"/>
    </row>
    <row r="224" spans="1:11" x14ac:dyDescent="0.2">
      <c r="A224" s="27">
        <v>29</v>
      </c>
      <c r="B224" s="27">
        <v>1</v>
      </c>
      <c r="C224" s="28">
        <v>16.858974358974358</v>
      </c>
      <c r="D224" s="28">
        <f t="shared" si="6"/>
        <v>-12.141025641025642</v>
      </c>
      <c r="F224" s="28">
        <f t="shared" si="7"/>
        <v>1.60238186282746E-3</v>
      </c>
      <c r="K224" s="28"/>
    </row>
    <row r="225" spans="1:11" x14ac:dyDescent="0.2">
      <c r="A225" s="27">
        <v>21</v>
      </c>
      <c r="B225" s="27">
        <v>1</v>
      </c>
      <c r="C225" s="28">
        <v>16.858974358974358</v>
      </c>
      <c r="D225" s="28">
        <f t="shared" si="6"/>
        <v>-4.1410256410256423</v>
      </c>
      <c r="F225" s="28">
        <f t="shared" si="7"/>
        <v>5.8389578885814829E-2</v>
      </c>
      <c r="K225" s="28"/>
    </row>
    <row r="226" spans="1:11" x14ac:dyDescent="0.2">
      <c r="A226" s="27">
        <v>19</v>
      </c>
      <c r="B226" s="27">
        <v>1</v>
      </c>
      <c r="C226" s="28">
        <v>16.858974358974358</v>
      </c>
      <c r="D226" s="28">
        <f t="shared" si="6"/>
        <v>-2.1410256410256423</v>
      </c>
      <c r="F226" s="28">
        <f t="shared" si="7"/>
        <v>8.2596026638649928E-2</v>
      </c>
      <c r="K226" s="28"/>
    </row>
    <row r="227" spans="1:11" x14ac:dyDescent="0.2">
      <c r="A227" s="27">
        <v>20</v>
      </c>
      <c r="B227" s="27">
        <v>1</v>
      </c>
      <c r="C227" s="28">
        <v>16.858974358974358</v>
      </c>
      <c r="D227" s="28">
        <f t="shared" si="6"/>
        <v>-3.1410256410256423</v>
      </c>
      <c r="F227" s="28">
        <f t="shared" si="7"/>
        <v>7.138971945227178E-2</v>
      </c>
      <c r="K227" s="28"/>
    </row>
    <row r="228" spans="1:11" x14ac:dyDescent="0.2">
      <c r="A228" s="27">
        <v>20</v>
      </c>
      <c r="B228" s="27">
        <v>1</v>
      </c>
      <c r="C228" s="28">
        <v>16.858974358974358</v>
      </c>
      <c r="D228" s="28">
        <f t="shared" si="6"/>
        <v>-3.1410256410256423</v>
      </c>
      <c r="F228" s="28">
        <f t="shared" si="7"/>
        <v>7.138971945227178E-2</v>
      </c>
      <c r="K228" s="28"/>
    </row>
    <row r="229" spans="1:11" x14ac:dyDescent="0.2">
      <c r="A229" s="27">
        <v>21</v>
      </c>
      <c r="B229" s="27">
        <v>1</v>
      </c>
      <c r="C229" s="28">
        <v>16.858974358974358</v>
      </c>
      <c r="D229" s="28">
        <f t="shared" si="6"/>
        <v>-4.1410256410256423</v>
      </c>
      <c r="F229" s="28">
        <f t="shared" si="7"/>
        <v>5.8389578885814829E-2</v>
      </c>
      <c r="K229" s="28"/>
    </row>
    <row r="230" spans="1:11" x14ac:dyDescent="0.2">
      <c r="A230" s="27">
        <v>18</v>
      </c>
      <c r="B230" s="27">
        <v>1</v>
      </c>
      <c r="C230" s="28">
        <v>16.858974358974358</v>
      </c>
      <c r="D230" s="28">
        <f t="shared" si="6"/>
        <v>-1.1410256410256423</v>
      </c>
      <c r="F230" s="28">
        <f t="shared" si="7"/>
        <v>9.0428595220514676E-2</v>
      </c>
      <c r="K230" s="28"/>
    </row>
    <row r="231" spans="1:11" x14ac:dyDescent="0.2">
      <c r="A231" s="27">
        <v>19</v>
      </c>
      <c r="B231" s="27">
        <v>1</v>
      </c>
      <c r="C231" s="28">
        <v>16.858974358974358</v>
      </c>
      <c r="D231" s="28">
        <f t="shared" si="6"/>
        <v>-2.1410256410256423</v>
      </c>
      <c r="F231" s="28">
        <f t="shared" si="7"/>
        <v>8.2596026638649928E-2</v>
      </c>
      <c r="K231" s="28"/>
    </row>
    <row r="232" spans="1:11" x14ac:dyDescent="0.2">
      <c r="A232" s="27">
        <v>21</v>
      </c>
      <c r="B232" s="27">
        <v>1</v>
      </c>
      <c r="C232" s="28">
        <v>16.858974358974358</v>
      </c>
      <c r="D232" s="28">
        <f t="shared" si="6"/>
        <v>-4.1410256410256423</v>
      </c>
      <c r="F232" s="28">
        <f t="shared" si="7"/>
        <v>5.8389578885814829E-2</v>
      </c>
      <c r="K232" s="28"/>
    </row>
    <row r="233" spans="1:11" x14ac:dyDescent="0.2">
      <c r="A233" s="27">
        <v>16</v>
      </c>
      <c r="B233" s="27">
        <v>1</v>
      </c>
      <c r="C233" s="28">
        <v>16.858974358974358</v>
      </c>
      <c r="D233" s="28">
        <f t="shared" si="6"/>
        <v>0.8589743589743577</v>
      </c>
      <c r="F233" s="28">
        <f t="shared" si="7"/>
        <v>9.1847742433773194E-2</v>
      </c>
      <c r="K233" s="28"/>
    </row>
    <row r="234" spans="1:11" x14ac:dyDescent="0.2">
      <c r="A234" s="27">
        <v>18</v>
      </c>
      <c r="B234" s="27">
        <v>1</v>
      </c>
      <c r="C234" s="28">
        <v>16.858974358974358</v>
      </c>
      <c r="D234" s="28">
        <f t="shared" si="6"/>
        <v>-1.1410256410256423</v>
      </c>
      <c r="F234" s="28">
        <f t="shared" si="7"/>
        <v>9.0428595220514676E-2</v>
      </c>
      <c r="K234" s="28"/>
    </row>
    <row r="235" spans="1:11" x14ac:dyDescent="0.2">
      <c r="A235" s="27">
        <v>17</v>
      </c>
      <c r="B235" s="27">
        <v>1</v>
      </c>
      <c r="C235" s="28">
        <v>16.858974358974358</v>
      </c>
      <c r="D235" s="28">
        <f t="shared" si="6"/>
        <v>-0.1410256410256423</v>
      </c>
      <c r="F235" s="28">
        <f t="shared" si="7"/>
        <v>9.3686186441259228E-2</v>
      </c>
      <c r="K235" s="28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>
      <selection activeCell="K2" sqref="K2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5" x14ac:dyDescent="0.2">
      <c r="A1" s="27" t="s">
        <v>97</v>
      </c>
      <c r="B1" s="27" t="s">
        <v>176</v>
      </c>
      <c r="C1" s="27" t="s">
        <v>98</v>
      </c>
      <c r="D1" s="28" t="s">
        <v>177</v>
      </c>
      <c r="E1" s="28" t="s">
        <v>178</v>
      </c>
      <c r="F1" s="28" t="s">
        <v>179</v>
      </c>
      <c r="G1" s="28" t="s">
        <v>181</v>
      </c>
      <c r="H1" s="28" t="s">
        <v>180</v>
      </c>
      <c r="I1" s="28" t="s">
        <v>183</v>
      </c>
      <c r="J1" s="28" t="s">
        <v>6</v>
      </c>
      <c r="K1" s="28" t="s">
        <v>182</v>
      </c>
      <c r="L1" s="28"/>
      <c r="M1" s="28" t="s">
        <v>190</v>
      </c>
    </row>
    <row r="2" spans="1:15" x14ac:dyDescent="0.2">
      <c r="A2" s="27">
        <v>18</v>
      </c>
      <c r="B2" s="27">
        <v>1</v>
      </c>
      <c r="C2" s="27">
        <f t="array" aca="1" ref="C2:C235" ca="1">INDIRECT(C1)</f>
        <v>29</v>
      </c>
      <c r="D2" s="28" cm="1">
        <f t="array" aca="1" ref="D2:D235" ca="1">TREND(A2:A235,B2:C235,,FALSE)</f>
        <v>20.657555830168075</v>
      </c>
      <c r="E2" s="28">
        <f ca="1">D2-A2</f>
        <v>2.6575558301680751</v>
      </c>
      <c r="F2" s="28">
        <f ca="1">STDEV(E2:E235)</f>
        <v>1.2497181822870325</v>
      </c>
      <c r="G2" s="28">
        <f ca="1">_xlfn.NORM.DIST(E2,0,$F$2,FALSE)</f>
        <v>3.327632904268165E-2</v>
      </c>
      <c r="H2" s="28" cm="1">
        <f t="array" aca="1" ref="H2" ca="1">SUM(LN(G2:G235))</f>
        <v>-383.6944455535961</v>
      </c>
      <c r="I2" s="28">
        <f>COUNT(A2:A235)</f>
        <v>234</v>
      </c>
      <c r="J2" s="28">
        <v>2</v>
      </c>
      <c r="K2" s="28">
        <f ca="1">-2*H2+2*J2</f>
        <v>771.38889110719219</v>
      </c>
      <c r="L2" s="28"/>
      <c r="N2" s="28" t="s">
        <v>189</v>
      </c>
      <c r="O2" s="28" t="s">
        <v>182</v>
      </c>
    </row>
    <row r="3" spans="1:15" x14ac:dyDescent="0.2">
      <c r="A3" s="27">
        <v>21</v>
      </c>
      <c r="B3" s="27">
        <v>1</v>
      </c>
      <c r="C3" s="27">
        <f ca="1"/>
        <v>29</v>
      </c>
      <c r="D3" s="28">
        <f ca="1"/>
        <v>20.657555830168075</v>
      </c>
      <c r="E3" s="28">
        <f t="shared" ref="E3:E66" ca="1" si="0">D3-A3</f>
        <v>-0.34244416983192494</v>
      </c>
      <c r="G3" s="28">
        <f t="shared" ref="G3:G66" ca="1" si="1">_xlfn.NORM.DIST(E3,0,$F$2,FALSE)</f>
        <v>0.30746337812452051</v>
      </c>
      <c r="L3" s="28"/>
      <c r="M3" s="29"/>
      <c r="N3" s="29">
        <f ca="1">K8</f>
        <v>107.32351470807653</v>
      </c>
      <c r="O3" s="29">
        <f ca="1">K14</f>
        <v>771.38674824786335</v>
      </c>
    </row>
    <row r="4" spans="1:15" x14ac:dyDescent="0.2">
      <c r="A4" s="27">
        <v>20</v>
      </c>
      <c r="B4" s="27">
        <v>1</v>
      </c>
      <c r="C4" s="27">
        <f ca="1"/>
        <v>31</v>
      </c>
      <c r="D4" s="28">
        <f ca="1"/>
        <v>22.023994053472194</v>
      </c>
      <c r="E4" s="28">
        <f t="shared" ca="1" si="0"/>
        <v>2.0239940534721939</v>
      </c>
      <c r="G4" s="28">
        <f t="shared" ca="1" si="1"/>
        <v>8.6005458292729375E-2</v>
      </c>
      <c r="H4" s="28" t="s">
        <v>184</v>
      </c>
      <c r="I4" s="28" t="s">
        <v>185</v>
      </c>
      <c r="L4" s="28"/>
      <c r="M4" s="29" t="s">
        <v>92</v>
      </c>
      <c r="N4" s="30">
        <f t="dataTable" ref="N4:O7" dt2D="0" dtr="0" r1="C1" ca="1"/>
        <v>443.27246802336475</v>
      </c>
      <c r="O4" s="30">
        <v>1107.3357015631516</v>
      </c>
    </row>
    <row r="5" spans="1:15" x14ac:dyDescent="0.2">
      <c r="A5" s="27">
        <v>21</v>
      </c>
      <c r="B5" s="27">
        <v>1</v>
      </c>
      <c r="C5" s="27">
        <f ca="1"/>
        <v>30</v>
      </c>
      <c r="D5" s="28">
        <f ca="1"/>
        <v>21.340774941820136</v>
      </c>
      <c r="E5" s="28">
        <f t="shared" ca="1" si="0"/>
        <v>0.34077494182013623</v>
      </c>
      <c r="G5" s="28">
        <f t="shared" ca="1" si="1"/>
        <v>0.30757565599758996</v>
      </c>
      <c r="H5" s="28">
        <f ca="1">SUMSQ(E2:E235)</f>
        <v>363.8983596873415</v>
      </c>
      <c r="I5" s="28">
        <f ca="1">H5/I2</f>
        <v>1.5551211952450492</v>
      </c>
      <c r="L5" s="28"/>
      <c r="M5" s="29" t="s">
        <v>93</v>
      </c>
      <c r="N5" s="30">
        <v>680.48560175849059</v>
      </c>
      <c r="O5" s="30">
        <v>1344.5488352982775</v>
      </c>
    </row>
    <row r="6" spans="1:15" x14ac:dyDescent="0.2">
      <c r="A6" s="27">
        <v>16</v>
      </c>
      <c r="B6" s="27">
        <v>1</v>
      </c>
      <c r="C6" s="27">
        <f ca="1"/>
        <v>26</v>
      </c>
      <c r="D6" s="28">
        <f ca="1"/>
        <v>18.607898495211895</v>
      </c>
      <c r="E6" s="28">
        <f t="shared" ca="1" si="0"/>
        <v>2.6078984952118951</v>
      </c>
      <c r="G6" s="28">
        <f t="shared" ca="1" si="1"/>
        <v>3.6181717224349638E-2</v>
      </c>
      <c r="L6" s="28"/>
      <c r="M6" s="29" t="s">
        <v>94</v>
      </c>
      <c r="N6" s="30">
        <v>435.64100584426035</v>
      </c>
      <c r="O6" s="30">
        <v>1099.7042393840472</v>
      </c>
    </row>
    <row r="7" spans="1:15" x14ac:dyDescent="0.2">
      <c r="A7" s="27">
        <v>18</v>
      </c>
      <c r="B7" s="27">
        <v>1</v>
      </c>
      <c r="C7" s="27">
        <f ca="1"/>
        <v>26</v>
      </c>
      <c r="D7" s="28">
        <f ca="1"/>
        <v>18.607898495211895</v>
      </c>
      <c r="E7" s="28">
        <f t="shared" ca="1" si="0"/>
        <v>0.6078984952118951</v>
      </c>
      <c r="G7" s="28">
        <f t="shared" ca="1" si="1"/>
        <v>0.28360781451993688</v>
      </c>
      <c r="H7" s="28" t="s">
        <v>187</v>
      </c>
      <c r="K7" s="28" t="s">
        <v>189</v>
      </c>
      <c r="L7" s="28"/>
      <c r="M7" s="29" t="s">
        <v>98</v>
      </c>
      <c r="N7" s="30">
        <v>107.32351470807653</v>
      </c>
      <c r="O7" s="30">
        <v>771.38674824786335</v>
      </c>
    </row>
    <row r="8" spans="1:15" x14ac:dyDescent="0.2">
      <c r="A8" s="27">
        <v>18</v>
      </c>
      <c r="B8" s="27">
        <v>1</v>
      </c>
      <c r="C8" s="27">
        <f ca="1"/>
        <v>27</v>
      </c>
      <c r="D8" s="28">
        <f ca="1"/>
        <v>19.291117606863956</v>
      </c>
      <c r="E8" s="28">
        <f t="shared" ca="1" si="0"/>
        <v>1.2911176068639563</v>
      </c>
      <c r="G8" s="28">
        <f t="shared" ca="1" si="1"/>
        <v>0.18720849951963059</v>
      </c>
      <c r="H8" s="28">
        <f ca="1">I2*LN(I5)</f>
        <v>103.32351470807653</v>
      </c>
      <c r="K8" s="28">
        <f ca="1">H8+2*J2</f>
        <v>107.32351470807653</v>
      </c>
      <c r="L8" s="28"/>
    </row>
    <row r="9" spans="1:15" x14ac:dyDescent="0.2">
      <c r="A9" s="27">
        <v>18</v>
      </c>
      <c r="B9" s="27">
        <v>1</v>
      </c>
      <c r="C9" s="27">
        <f ca="1"/>
        <v>26</v>
      </c>
      <c r="D9" s="28">
        <f ca="1"/>
        <v>18.607898495211895</v>
      </c>
      <c r="E9" s="28">
        <f t="shared" ca="1" si="0"/>
        <v>0.6078984952118951</v>
      </c>
      <c r="G9" s="28">
        <f t="shared" ca="1" si="1"/>
        <v>0.28360781451993688</v>
      </c>
      <c r="L9" s="28"/>
    </row>
    <row r="10" spans="1:15" x14ac:dyDescent="0.2">
      <c r="A10" s="27">
        <v>16</v>
      </c>
      <c r="B10" s="27">
        <v>1</v>
      </c>
      <c r="C10" s="27">
        <f ca="1"/>
        <v>25</v>
      </c>
      <c r="D10" s="28">
        <f ca="1"/>
        <v>17.924679383559837</v>
      </c>
      <c r="E10" s="28">
        <f t="shared" ca="1" si="0"/>
        <v>1.9246793835598375</v>
      </c>
      <c r="G10" s="28">
        <f t="shared" ca="1" si="1"/>
        <v>9.7510391399401958E-2</v>
      </c>
      <c r="H10" s="28" t="s">
        <v>188</v>
      </c>
      <c r="L10" s="28"/>
    </row>
    <row r="11" spans="1:15" x14ac:dyDescent="0.2">
      <c r="A11" s="27">
        <v>20</v>
      </c>
      <c r="B11" s="27">
        <v>1</v>
      </c>
      <c r="C11" s="27">
        <f ca="1"/>
        <v>28</v>
      </c>
      <c r="D11" s="28">
        <f ca="1"/>
        <v>19.974336718516017</v>
      </c>
      <c r="E11" s="28">
        <f t="shared" ca="1" si="0"/>
        <v>-2.5663281483982558E-2</v>
      </c>
      <c r="G11" s="28">
        <f t="shared" ca="1" si="1"/>
        <v>0.31915849397187074</v>
      </c>
      <c r="H11" s="28">
        <f>I2*LN(2*PI())</f>
        <v>430.06323353978684</v>
      </c>
      <c r="L11" s="28"/>
    </row>
    <row r="12" spans="1:15" x14ac:dyDescent="0.2">
      <c r="A12" s="27">
        <v>19</v>
      </c>
      <c r="B12" s="27">
        <v>1</v>
      </c>
      <c r="C12" s="27">
        <f ca="1"/>
        <v>27</v>
      </c>
      <c r="D12" s="28">
        <f ca="1"/>
        <v>19.291117606863956</v>
      </c>
      <c r="E12" s="28">
        <f t="shared" ca="1" si="0"/>
        <v>0.29111760686395627</v>
      </c>
      <c r="G12" s="28">
        <f t="shared" ca="1" si="1"/>
        <v>0.31068098494392388</v>
      </c>
      <c r="L12" s="28"/>
    </row>
    <row r="13" spans="1:15" x14ac:dyDescent="0.2">
      <c r="A13" s="27">
        <v>15</v>
      </c>
      <c r="B13" s="27">
        <v>1</v>
      </c>
      <c r="C13" s="27">
        <f ca="1"/>
        <v>25</v>
      </c>
      <c r="D13" s="28">
        <f ca="1"/>
        <v>17.924679383559837</v>
      </c>
      <c r="E13" s="28">
        <f t="shared" ca="1" si="0"/>
        <v>2.9246793835598375</v>
      </c>
      <c r="G13" s="28">
        <f t="shared" ca="1" si="1"/>
        <v>2.0644814857305384E-2</v>
      </c>
      <c r="H13" s="28" t="s">
        <v>186</v>
      </c>
      <c r="K13" s="28" t="s">
        <v>182</v>
      </c>
      <c r="L13" s="28"/>
    </row>
    <row r="14" spans="1:15" x14ac:dyDescent="0.2">
      <c r="A14" s="27">
        <v>17</v>
      </c>
      <c r="B14" s="27">
        <v>1</v>
      </c>
      <c r="C14" s="27">
        <f ca="1"/>
        <v>25</v>
      </c>
      <c r="D14" s="28">
        <f ca="1"/>
        <v>17.924679383559837</v>
      </c>
      <c r="E14" s="28">
        <f t="shared" ca="1" si="0"/>
        <v>0.92467938355983748</v>
      </c>
      <c r="G14" s="28">
        <f t="shared" ca="1" si="1"/>
        <v>0.24278226945780421</v>
      </c>
      <c r="H14" s="28">
        <f ca="1">H8+H11+I2</f>
        <v>767.38674824786335</v>
      </c>
      <c r="K14" s="28">
        <f ca="1">H14+2*J2</f>
        <v>771.38674824786335</v>
      </c>
      <c r="L14" s="28"/>
    </row>
    <row r="15" spans="1:15" x14ac:dyDescent="0.2">
      <c r="A15" s="27">
        <v>17</v>
      </c>
      <c r="B15" s="27">
        <v>1</v>
      </c>
      <c r="C15" s="27">
        <f ca="1"/>
        <v>25</v>
      </c>
      <c r="D15" s="28">
        <f ca="1"/>
        <v>17.924679383559837</v>
      </c>
      <c r="E15" s="28">
        <f t="shared" ca="1" si="0"/>
        <v>0.92467938355983748</v>
      </c>
      <c r="G15" s="28">
        <f t="shared" ca="1" si="1"/>
        <v>0.24278226945780421</v>
      </c>
      <c r="L15" s="28"/>
    </row>
    <row r="16" spans="1:15" x14ac:dyDescent="0.2">
      <c r="A16" s="27">
        <v>15</v>
      </c>
      <c r="B16" s="27">
        <v>1</v>
      </c>
      <c r="C16" s="27">
        <f ca="1"/>
        <v>25</v>
      </c>
      <c r="D16" s="28">
        <f ca="1"/>
        <v>17.924679383559837</v>
      </c>
      <c r="E16" s="28">
        <f t="shared" ca="1" si="0"/>
        <v>2.9246793835598375</v>
      </c>
      <c r="G16" s="28">
        <f t="shared" ca="1" si="1"/>
        <v>2.0644814857305384E-2</v>
      </c>
      <c r="L16" s="28"/>
    </row>
    <row r="17" spans="1:12" x14ac:dyDescent="0.2">
      <c r="A17" s="27">
        <v>15</v>
      </c>
      <c r="B17" s="27">
        <v>1</v>
      </c>
      <c r="C17" s="27">
        <f ca="1"/>
        <v>24</v>
      </c>
      <c r="D17" s="28">
        <f ca="1"/>
        <v>17.241460271907776</v>
      </c>
      <c r="E17" s="28">
        <f t="shared" ca="1" si="0"/>
        <v>2.2414602719077763</v>
      </c>
      <c r="G17" s="28">
        <f t="shared" ca="1" si="1"/>
        <v>6.3908179860316897E-2</v>
      </c>
      <c r="L17" s="28"/>
    </row>
    <row r="18" spans="1:12" x14ac:dyDescent="0.2">
      <c r="A18" s="27">
        <v>17</v>
      </c>
      <c r="B18" s="27">
        <v>1</v>
      </c>
      <c r="C18" s="27">
        <f ca="1"/>
        <v>25</v>
      </c>
      <c r="D18" s="28">
        <f ca="1"/>
        <v>17.924679383559837</v>
      </c>
      <c r="E18" s="28">
        <f t="shared" ca="1" si="0"/>
        <v>0.92467938355983748</v>
      </c>
      <c r="G18" s="28">
        <f t="shared" ca="1" si="1"/>
        <v>0.24278226945780421</v>
      </c>
      <c r="L18" s="28"/>
    </row>
    <row r="19" spans="1:12" x14ac:dyDescent="0.2">
      <c r="A19" s="27">
        <v>16</v>
      </c>
      <c r="B19" s="27">
        <v>1</v>
      </c>
      <c r="C19" s="27">
        <f ca="1"/>
        <v>23</v>
      </c>
      <c r="D19" s="28">
        <f ca="1"/>
        <v>16.558241160255715</v>
      </c>
      <c r="E19" s="28">
        <f t="shared" ca="1" si="0"/>
        <v>0.55824116025571513</v>
      </c>
      <c r="G19" s="28">
        <f t="shared" ca="1" si="1"/>
        <v>0.28891457937292003</v>
      </c>
      <c r="L19" s="28"/>
    </row>
    <row r="20" spans="1:12" x14ac:dyDescent="0.2">
      <c r="A20" s="27">
        <v>14</v>
      </c>
      <c r="B20" s="27">
        <v>1</v>
      </c>
      <c r="C20" s="27">
        <f ca="1"/>
        <v>20</v>
      </c>
      <c r="D20" s="28">
        <f ca="1"/>
        <v>14.508583825299539</v>
      </c>
      <c r="E20" s="28">
        <f t="shared" ca="1" si="0"/>
        <v>0.50858382529953872</v>
      </c>
      <c r="G20" s="28">
        <f t="shared" ca="1" si="1"/>
        <v>0.29385631906225068</v>
      </c>
      <c r="L20" s="28"/>
    </row>
    <row r="21" spans="1:12" x14ac:dyDescent="0.2">
      <c r="A21" s="27">
        <v>11</v>
      </c>
      <c r="B21" s="27">
        <v>1</v>
      </c>
      <c r="C21" s="27">
        <f ca="1"/>
        <v>15</v>
      </c>
      <c r="D21" s="28">
        <f ca="1"/>
        <v>11.09248826703924</v>
      </c>
      <c r="E21" s="28">
        <f t="shared" ca="1" si="0"/>
        <v>9.2488267039239958E-2</v>
      </c>
      <c r="G21" s="28">
        <f t="shared" ca="1" si="1"/>
        <v>0.31835277839425191</v>
      </c>
      <c r="L21" s="28"/>
    </row>
    <row r="22" spans="1:12" x14ac:dyDescent="0.2">
      <c r="A22" s="27">
        <v>14</v>
      </c>
      <c r="B22" s="27">
        <v>1</v>
      </c>
      <c r="C22" s="27">
        <f ca="1"/>
        <v>20</v>
      </c>
      <c r="D22" s="28">
        <f ca="1"/>
        <v>14.508583825299539</v>
      </c>
      <c r="E22" s="28">
        <f t="shared" ca="1" si="0"/>
        <v>0.50858382529953872</v>
      </c>
      <c r="G22" s="28">
        <f t="shared" ca="1" si="1"/>
        <v>0.29385631906225068</v>
      </c>
      <c r="L22" s="28"/>
    </row>
    <row r="23" spans="1:12" x14ac:dyDescent="0.2">
      <c r="A23" s="27">
        <v>13</v>
      </c>
      <c r="B23" s="27">
        <v>1</v>
      </c>
      <c r="C23" s="27">
        <f ca="1"/>
        <v>17</v>
      </c>
      <c r="D23" s="28">
        <f ca="1"/>
        <v>12.458926490343359</v>
      </c>
      <c r="E23" s="28">
        <f t="shared" ca="1" si="0"/>
        <v>-0.54107350965664125</v>
      </c>
      <c r="G23" s="28">
        <f t="shared" ca="1" si="1"/>
        <v>0.29066547731752662</v>
      </c>
      <c r="L23" s="28"/>
    </row>
    <row r="24" spans="1:12" x14ac:dyDescent="0.2">
      <c r="A24" s="27">
        <v>12</v>
      </c>
      <c r="B24" s="27">
        <v>1</v>
      </c>
      <c r="C24" s="27">
        <f ca="1"/>
        <v>17</v>
      </c>
      <c r="D24" s="28">
        <f ca="1"/>
        <v>12.458926490343359</v>
      </c>
      <c r="E24" s="28">
        <f t="shared" ca="1" si="0"/>
        <v>0.45892649034335875</v>
      </c>
      <c r="G24" s="28">
        <f t="shared" ca="1" si="1"/>
        <v>0.29841106438288428</v>
      </c>
      <c r="L24" s="28"/>
    </row>
    <row r="25" spans="1:12" x14ac:dyDescent="0.2">
      <c r="A25" s="27">
        <v>16</v>
      </c>
      <c r="B25" s="27">
        <v>1</v>
      </c>
      <c r="C25" s="27">
        <f ca="1"/>
        <v>26</v>
      </c>
      <c r="D25" s="28">
        <f ca="1"/>
        <v>18.607898495211895</v>
      </c>
      <c r="E25" s="28">
        <f t="shared" ca="1" si="0"/>
        <v>2.6078984952118951</v>
      </c>
      <c r="G25" s="28">
        <f t="shared" ca="1" si="1"/>
        <v>3.6181717224349638E-2</v>
      </c>
      <c r="L25" s="28"/>
    </row>
    <row r="26" spans="1:12" x14ac:dyDescent="0.2">
      <c r="A26" s="27">
        <v>15</v>
      </c>
      <c r="B26" s="27">
        <v>1</v>
      </c>
      <c r="C26" s="27">
        <f ca="1"/>
        <v>23</v>
      </c>
      <c r="D26" s="28">
        <f ca="1"/>
        <v>16.558241160255715</v>
      </c>
      <c r="E26" s="28">
        <f t="shared" ca="1" si="0"/>
        <v>1.5582411602557151</v>
      </c>
      <c r="G26" s="28">
        <f t="shared" ca="1" si="1"/>
        <v>0.1467237015411641</v>
      </c>
      <c r="L26" s="28"/>
    </row>
    <row r="27" spans="1:12" x14ac:dyDescent="0.2">
      <c r="A27" s="27">
        <v>16</v>
      </c>
      <c r="B27" s="27">
        <v>1</v>
      </c>
      <c r="C27" s="27">
        <f ca="1"/>
        <v>26</v>
      </c>
      <c r="D27" s="28">
        <f ca="1"/>
        <v>18.607898495211895</v>
      </c>
      <c r="E27" s="28">
        <f t="shared" ca="1" si="0"/>
        <v>2.6078984952118951</v>
      </c>
      <c r="G27" s="28">
        <f t="shared" ca="1" si="1"/>
        <v>3.6181717224349638E-2</v>
      </c>
      <c r="L27" s="28"/>
    </row>
    <row r="28" spans="1:12" x14ac:dyDescent="0.2">
      <c r="A28" s="27">
        <v>15</v>
      </c>
      <c r="B28" s="27">
        <v>1</v>
      </c>
      <c r="C28" s="27">
        <f ca="1"/>
        <v>25</v>
      </c>
      <c r="D28" s="28">
        <f ca="1"/>
        <v>17.924679383559837</v>
      </c>
      <c r="E28" s="28">
        <f t="shared" ca="1" si="0"/>
        <v>2.9246793835598375</v>
      </c>
      <c r="G28" s="28">
        <f t="shared" ca="1" si="1"/>
        <v>2.0644814857305384E-2</v>
      </c>
      <c r="L28" s="28"/>
    </row>
    <row r="29" spans="1:12" x14ac:dyDescent="0.2">
      <c r="A29" s="27">
        <v>15</v>
      </c>
      <c r="B29" s="27">
        <v>1</v>
      </c>
      <c r="C29" s="27">
        <f ca="1"/>
        <v>24</v>
      </c>
      <c r="D29" s="28">
        <f ca="1"/>
        <v>17.241460271907776</v>
      </c>
      <c r="E29" s="28">
        <f t="shared" ca="1" si="0"/>
        <v>2.2414602719077763</v>
      </c>
      <c r="G29" s="28">
        <f t="shared" ca="1" si="1"/>
        <v>6.3908179860316897E-2</v>
      </c>
      <c r="L29" s="28"/>
    </row>
    <row r="30" spans="1:12" x14ac:dyDescent="0.2">
      <c r="A30" s="27">
        <v>14</v>
      </c>
      <c r="B30" s="27">
        <v>1</v>
      </c>
      <c r="C30" s="27">
        <f ca="1"/>
        <v>19</v>
      </c>
      <c r="D30" s="28">
        <f ca="1"/>
        <v>13.825364713647479</v>
      </c>
      <c r="E30" s="28">
        <f t="shared" ca="1" si="0"/>
        <v>-0.17463528635252068</v>
      </c>
      <c r="G30" s="28">
        <f t="shared" ca="1" si="1"/>
        <v>0.31612416936198534</v>
      </c>
      <c r="L30" s="28"/>
    </row>
    <row r="31" spans="1:12" x14ac:dyDescent="0.2">
      <c r="A31" s="27">
        <v>11</v>
      </c>
      <c r="B31" s="27">
        <v>1</v>
      </c>
      <c r="C31" s="27">
        <f ca="1"/>
        <v>14</v>
      </c>
      <c r="D31" s="28">
        <f ca="1"/>
        <v>10.409269155387181</v>
      </c>
      <c r="E31" s="28">
        <f t="shared" ca="1" si="0"/>
        <v>-0.59073084461281944</v>
      </c>
      <c r="G31" s="28">
        <f t="shared" ca="1" si="1"/>
        <v>0.28548233893943797</v>
      </c>
      <c r="L31" s="28"/>
    </row>
    <row r="32" spans="1:12" x14ac:dyDescent="0.2">
      <c r="A32" s="27">
        <v>11</v>
      </c>
      <c r="B32" s="27">
        <v>1</v>
      </c>
      <c r="C32" s="27">
        <f ca="1"/>
        <v>15</v>
      </c>
      <c r="D32" s="28">
        <f ca="1"/>
        <v>11.09248826703924</v>
      </c>
      <c r="E32" s="28">
        <f t="shared" ca="1" si="0"/>
        <v>9.2488267039239958E-2</v>
      </c>
      <c r="G32" s="28">
        <f t="shared" ca="1" si="1"/>
        <v>0.31835277839425191</v>
      </c>
      <c r="L32" s="28"/>
    </row>
    <row r="33" spans="1:12" x14ac:dyDescent="0.2">
      <c r="A33" s="27">
        <v>14</v>
      </c>
      <c r="B33" s="27">
        <v>1</v>
      </c>
      <c r="C33" s="27">
        <f ca="1"/>
        <v>17</v>
      </c>
      <c r="D33" s="28">
        <f ca="1"/>
        <v>12.458926490343359</v>
      </c>
      <c r="E33" s="28">
        <f t="shared" ca="1" si="0"/>
        <v>-1.5410735096566412</v>
      </c>
      <c r="G33" s="28">
        <f t="shared" ca="1" si="1"/>
        <v>0.14924443441661395</v>
      </c>
      <c r="L33" s="28"/>
    </row>
    <row r="34" spans="1:12" x14ac:dyDescent="0.2">
      <c r="A34" s="27">
        <v>19</v>
      </c>
      <c r="B34" s="27">
        <v>1</v>
      </c>
      <c r="C34" s="27">
        <f ca="1"/>
        <v>27</v>
      </c>
      <c r="D34" s="28">
        <f ca="1"/>
        <v>19.291117606863956</v>
      </c>
      <c r="E34" s="28">
        <f t="shared" ca="1" si="0"/>
        <v>0.29111760686395627</v>
      </c>
      <c r="G34" s="28">
        <f t="shared" ca="1" si="1"/>
        <v>0.31068098494392388</v>
      </c>
      <c r="L34" s="28"/>
    </row>
    <row r="35" spans="1:12" x14ac:dyDescent="0.2">
      <c r="A35" s="27">
        <v>22</v>
      </c>
      <c r="B35" s="27">
        <v>1</v>
      </c>
      <c r="C35" s="27">
        <f ca="1"/>
        <v>30</v>
      </c>
      <c r="D35" s="28">
        <f ca="1"/>
        <v>21.340774941820136</v>
      </c>
      <c r="E35" s="28">
        <f t="shared" ca="1" si="0"/>
        <v>-0.65922505817986377</v>
      </c>
      <c r="G35" s="28">
        <f t="shared" ca="1" si="1"/>
        <v>0.27776379398250539</v>
      </c>
      <c r="L35" s="28"/>
    </row>
    <row r="36" spans="1:12" x14ac:dyDescent="0.2">
      <c r="A36" s="27">
        <v>18</v>
      </c>
      <c r="B36" s="27">
        <v>1</v>
      </c>
      <c r="C36" s="27">
        <f ca="1"/>
        <v>26</v>
      </c>
      <c r="D36" s="28">
        <f ca="1"/>
        <v>18.607898495211895</v>
      </c>
      <c r="E36" s="28">
        <f t="shared" ca="1" si="0"/>
        <v>0.6078984952118951</v>
      </c>
      <c r="G36" s="28">
        <f t="shared" ca="1" si="1"/>
        <v>0.28360781451993688</v>
      </c>
      <c r="L36" s="28"/>
    </row>
    <row r="37" spans="1:12" x14ac:dyDescent="0.2">
      <c r="A37" s="27">
        <v>18</v>
      </c>
      <c r="B37" s="27">
        <v>1</v>
      </c>
      <c r="C37" s="27">
        <f ca="1"/>
        <v>29</v>
      </c>
      <c r="D37" s="28">
        <f ca="1"/>
        <v>20.657555830168075</v>
      </c>
      <c r="E37" s="28">
        <f t="shared" ca="1" si="0"/>
        <v>2.6575558301680751</v>
      </c>
      <c r="G37" s="28">
        <f t="shared" ca="1" si="1"/>
        <v>3.327632904268165E-2</v>
      </c>
      <c r="L37" s="28"/>
    </row>
    <row r="38" spans="1:12" x14ac:dyDescent="0.2">
      <c r="A38" s="27">
        <v>17</v>
      </c>
      <c r="B38" s="27">
        <v>1</v>
      </c>
      <c r="C38" s="27">
        <f ca="1"/>
        <v>26</v>
      </c>
      <c r="D38" s="28">
        <f ca="1"/>
        <v>18.607898495211895</v>
      </c>
      <c r="E38" s="28">
        <f t="shared" ca="1" si="0"/>
        <v>1.6078984952118951</v>
      </c>
      <c r="G38" s="28">
        <f t="shared" ca="1" si="1"/>
        <v>0.13952132892333158</v>
      </c>
      <c r="L38" s="28"/>
    </row>
    <row r="39" spans="1:12" x14ac:dyDescent="0.2">
      <c r="A39" s="27">
        <v>18</v>
      </c>
      <c r="B39" s="27">
        <v>1</v>
      </c>
      <c r="C39" s="27">
        <f ca="1"/>
        <v>24</v>
      </c>
      <c r="D39" s="28">
        <f ca="1"/>
        <v>17.241460271907776</v>
      </c>
      <c r="E39" s="28">
        <f t="shared" ca="1" si="0"/>
        <v>-0.7585397280922237</v>
      </c>
      <c r="G39" s="28">
        <f t="shared" ca="1" si="1"/>
        <v>0.2655208098682208</v>
      </c>
      <c r="L39" s="28"/>
    </row>
    <row r="40" spans="1:12" x14ac:dyDescent="0.2">
      <c r="A40" s="27">
        <v>17</v>
      </c>
      <c r="B40" s="27">
        <v>1</v>
      </c>
      <c r="C40" s="27">
        <f ca="1"/>
        <v>24</v>
      </c>
      <c r="D40" s="28">
        <f ca="1"/>
        <v>17.241460271907776</v>
      </c>
      <c r="E40" s="28">
        <f t="shared" ca="1" si="0"/>
        <v>0.2414602719077763</v>
      </c>
      <c r="G40" s="28">
        <f t="shared" ca="1" si="1"/>
        <v>0.31332258364370175</v>
      </c>
      <c r="L40" s="28"/>
    </row>
    <row r="41" spans="1:12" x14ac:dyDescent="0.2">
      <c r="A41" s="27">
        <v>16</v>
      </c>
      <c r="B41" s="27">
        <v>1</v>
      </c>
      <c r="C41" s="27">
        <f ca="1"/>
        <v>22</v>
      </c>
      <c r="D41" s="28">
        <f ca="1"/>
        <v>15.875022048603658</v>
      </c>
      <c r="E41" s="28">
        <f t="shared" ca="1" si="0"/>
        <v>-0.12497795139634249</v>
      </c>
      <c r="G41" s="28">
        <f t="shared" ca="1" si="1"/>
        <v>0.31763349392564566</v>
      </c>
      <c r="L41" s="28"/>
    </row>
    <row r="42" spans="1:12" x14ac:dyDescent="0.2">
      <c r="A42" s="27">
        <v>16</v>
      </c>
      <c r="B42" s="27">
        <v>1</v>
      </c>
      <c r="C42" s="27">
        <f ca="1"/>
        <v>22</v>
      </c>
      <c r="D42" s="28">
        <f ca="1"/>
        <v>15.875022048603658</v>
      </c>
      <c r="E42" s="28">
        <f t="shared" ca="1" si="0"/>
        <v>-0.12497795139634249</v>
      </c>
      <c r="G42" s="28">
        <f t="shared" ca="1" si="1"/>
        <v>0.31763349392564566</v>
      </c>
      <c r="L42" s="28"/>
    </row>
    <row r="43" spans="1:12" x14ac:dyDescent="0.2">
      <c r="A43" s="27">
        <v>17</v>
      </c>
      <c r="B43" s="27">
        <v>1</v>
      </c>
      <c r="C43" s="27">
        <f ca="1"/>
        <v>24</v>
      </c>
      <c r="D43" s="28">
        <f ca="1"/>
        <v>17.241460271907776</v>
      </c>
      <c r="E43" s="28">
        <f t="shared" ca="1" si="0"/>
        <v>0.2414602719077763</v>
      </c>
      <c r="G43" s="28">
        <f t="shared" ca="1" si="1"/>
        <v>0.31332258364370175</v>
      </c>
      <c r="L43" s="28"/>
    </row>
    <row r="44" spans="1:12" x14ac:dyDescent="0.2">
      <c r="A44" s="27">
        <v>17</v>
      </c>
      <c r="B44" s="27">
        <v>1</v>
      </c>
      <c r="C44" s="27">
        <f ca="1"/>
        <v>24</v>
      </c>
      <c r="D44" s="28">
        <f ca="1"/>
        <v>17.241460271907776</v>
      </c>
      <c r="E44" s="28">
        <f t="shared" ca="1" si="0"/>
        <v>0.2414602719077763</v>
      </c>
      <c r="G44" s="28">
        <f t="shared" ca="1" si="1"/>
        <v>0.31332258364370175</v>
      </c>
      <c r="L44" s="28"/>
    </row>
    <row r="45" spans="1:12" x14ac:dyDescent="0.2">
      <c r="A45" s="27">
        <v>11</v>
      </c>
      <c r="B45" s="27">
        <v>1</v>
      </c>
      <c r="C45" s="27">
        <f ca="1"/>
        <v>17</v>
      </c>
      <c r="D45" s="28">
        <f ca="1"/>
        <v>12.458926490343359</v>
      </c>
      <c r="E45" s="28">
        <f t="shared" ca="1" si="0"/>
        <v>1.4589264903433588</v>
      </c>
      <c r="G45" s="28">
        <f t="shared" ca="1" si="1"/>
        <v>0.16149629011123415</v>
      </c>
      <c r="L45" s="28"/>
    </row>
    <row r="46" spans="1:12" x14ac:dyDescent="0.2">
      <c r="A46" s="27">
        <v>15</v>
      </c>
      <c r="B46" s="27">
        <v>1</v>
      </c>
      <c r="C46" s="27">
        <f ca="1"/>
        <v>22</v>
      </c>
      <c r="D46" s="28">
        <f ca="1"/>
        <v>15.875022048603658</v>
      </c>
      <c r="E46" s="28">
        <f t="shared" ca="1" si="0"/>
        <v>0.87502204860365751</v>
      </c>
      <c r="G46" s="28">
        <f t="shared" ca="1" si="1"/>
        <v>0.2498287819911226</v>
      </c>
      <c r="L46" s="28"/>
    </row>
    <row r="47" spans="1:12" x14ac:dyDescent="0.2">
      <c r="A47" s="27">
        <v>15</v>
      </c>
      <c r="B47" s="27">
        <v>1</v>
      </c>
      <c r="C47" s="27">
        <f ca="1"/>
        <v>21</v>
      </c>
      <c r="D47" s="28">
        <f ca="1"/>
        <v>15.191802936951598</v>
      </c>
      <c r="E47" s="28">
        <f t="shared" ca="1" si="0"/>
        <v>0.19180293695159811</v>
      </c>
      <c r="G47" s="28">
        <f t="shared" ca="1" si="1"/>
        <v>0.31548813891774308</v>
      </c>
      <c r="L47" s="28"/>
    </row>
    <row r="48" spans="1:12" x14ac:dyDescent="0.2">
      <c r="A48" s="27">
        <v>16</v>
      </c>
      <c r="B48" s="27">
        <v>1</v>
      </c>
      <c r="C48" s="27">
        <f ca="1"/>
        <v>23</v>
      </c>
      <c r="D48" s="28">
        <f ca="1"/>
        <v>16.558241160255715</v>
      </c>
      <c r="E48" s="28">
        <f t="shared" ca="1" si="0"/>
        <v>0.55824116025571513</v>
      </c>
      <c r="G48" s="28">
        <f t="shared" ca="1" si="1"/>
        <v>0.28891457937292003</v>
      </c>
      <c r="L48" s="28"/>
    </row>
    <row r="49" spans="1:12" x14ac:dyDescent="0.2">
      <c r="A49" s="27">
        <v>16</v>
      </c>
      <c r="B49" s="27">
        <v>1</v>
      </c>
      <c r="C49" s="27">
        <f ca="1"/>
        <v>23</v>
      </c>
      <c r="D49" s="28">
        <f ca="1"/>
        <v>16.558241160255715</v>
      </c>
      <c r="E49" s="28">
        <f t="shared" ca="1" si="0"/>
        <v>0.55824116025571513</v>
      </c>
      <c r="G49" s="28">
        <f t="shared" ca="1" si="1"/>
        <v>0.28891457937292003</v>
      </c>
      <c r="L49" s="28"/>
    </row>
    <row r="50" spans="1:12" x14ac:dyDescent="0.2">
      <c r="A50" s="27">
        <v>15</v>
      </c>
      <c r="B50" s="27">
        <v>1</v>
      </c>
      <c r="C50" s="27">
        <f ca="1"/>
        <v>19</v>
      </c>
      <c r="D50" s="28">
        <f ca="1"/>
        <v>13.825364713647479</v>
      </c>
      <c r="E50" s="28">
        <f t="shared" ca="1" si="0"/>
        <v>-1.1746352863525207</v>
      </c>
      <c r="G50" s="28">
        <f t="shared" ca="1" si="1"/>
        <v>0.20523871008550823</v>
      </c>
      <c r="L50" s="28"/>
    </row>
    <row r="51" spans="1:12" x14ac:dyDescent="0.2">
      <c r="A51" s="27">
        <v>14</v>
      </c>
      <c r="B51" s="27">
        <v>1</v>
      </c>
      <c r="C51" s="27">
        <f ca="1"/>
        <v>18</v>
      </c>
      <c r="D51" s="28">
        <f ca="1"/>
        <v>13.142145601995418</v>
      </c>
      <c r="E51" s="28">
        <f t="shared" ca="1" si="0"/>
        <v>-0.85785439800458185</v>
      </c>
      <c r="G51" s="28">
        <f t="shared" ca="1" si="1"/>
        <v>0.25221954505601618</v>
      </c>
      <c r="L51" s="28"/>
    </row>
    <row r="52" spans="1:12" x14ac:dyDescent="0.2">
      <c r="A52" s="27">
        <v>13</v>
      </c>
      <c r="B52" s="27">
        <v>1</v>
      </c>
      <c r="C52" s="27">
        <f ca="1"/>
        <v>17</v>
      </c>
      <c r="D52" s="28">
        <f ca="1"/>
        <v>12.458926490343359</v>
      </c>
      <c r="E52" s="28">
        <f t="shared" ca="1" si="0"/>
        <v>-0.54107350965664125</v>
      </c>
      <c r="G52" s="28">
        <f t="shared" ca="1" si="1"/>
        <v>0.29066547731752662</v>
      </c>
      <c r="L52" s="28"/>
    </row>
    <row r="53" spans="1:12" x14ac:dyDescent="0.2">
      <c r="A53" s="27">
        <v>14</v>
      </c>
      <c r="B53" s="27">
        <v>1</v>
      </c>
      <c r="C53" s="27">
        <f ca="1"/>
        <v>17</v>
      </c>
      <c r="D53" s="28">
        <f ca="1"/>
        <v>12.458926490343359</v>
      </c>
      <c r="E53" s="28">
        <f t="shared" ca="1" si="0"/>
        <v>-1.5410735096566412</v>
      </c>
      <c r="G53" s="28">
        <f t="shared" ca="1" si="1"/>
        <v>0.14924443441661395</v>
      </c>
      <c r="L53" s="28"/>
    </row>
    <row r="54" spans="1:12" x14ac:dyDescent="0.2">
      <c r="A54" s="27">
        <v>14</v>
      </c>
      <c r="B54" s="27">
        <v>1</v>
      </c>
      <c r="C54" s="27">
        <f ca="1"/>
        <v>19</v>
      </c>
      <c r="D54" s="28">
        <f ca="1"/>
        <v>13.825364713647479</v>
      </c>
      <c r="E54" s="28">
        <f t="shared" ca="1" si="0"/>
        <v>-0.17463528635252068</v>
      </c>
      <c r="G54" s="28">
        <f t="shared" ca="1" si="1"/>
        <v>0.31612416936198534</v>
      </c>
      <c r="L54" s="28"/>
    </row>
    <row r="55" spans="1:12" x14ac:dyDescent="0.2">
      <c r="A55" s="27">
        <v>14</v>
      </c>
      <c r="B55" s="27">
        <v>1</v>
      </c>
      <c r="C55" s="27">
        <f ca="1"/>
        <v>19</v>
      </c>
      <c r="D55" s="28">
        <f ca="1"/>
        <v>13.825364713647479</v>
      </c>
      <c r="E55" s="28">
        <f t="shared" ca="1" si="0"/>
        <v>-0.17463528635252068</v>
      </c>
      <c r="G55" s="28">
        <f t="shared" ca="1" si="1"/>
        <v>0.31612416936198534</v>
      </c>
      <c r="L55" s="28"/>
    </row>
    <row r="56" spans="1:12" x14ac:dyDescent="0.2">
      <c r="A56" s="27">
        <v>9</v>
      </c>
      <c r="B56" s="27">
        <v>1</v>
      </c>
      <c r="C56" s="27">
        <f ca="1"/>
        <v>12</v>
      </c>
      <c r="D56" s="28">
        <f ca="1"/>
        <v>9.04283093208306</v>
      </c>
      <c r="E56" s="28">
        <f t="shared" ca="1" si="0"/>
        <v>4.2830932083059992E-2</v>
      </c>
      <c r="G56" s="28">
        <f t="shared" ca="1" si="1"/>
        <v>0.31903836846290684</v>
      </c>
      <c r="L56" s="28"/>
    </row>
    <row r="57" spans="1:12" x14ac:dyDescent="0.2">
      <c r="A57" s="27">
        <v>11</v>
      </c>
      <c r="B57" s="27">
        <v>1</v>
      </c>
      <c r="C57" s="27">
        <f ca="1"/>
        <v>17</v>
      </c>
      <c r="D57" s="28">
        <f ca="1"/>
        <v>12.458926490343359</v>
      </c>
      <c r="E57" s="28">
        <f t="shared" ca="1" si="0"/>
        <v>1.4589264903433588</v>
      </c>
      <c r="G57" s="28">
        <f t="shared" ca="1" si="1"/>
        <v>0.16149629011123415</v>
      </c>
      <c r="L57" s="28"/>
    </row>
    <row r="58" spans="1:12" x14ac:dyDescent="0.2">
      <c r="A58" s="27">
        <v>11</v>
      </c>
      <c r="B58" s="27">
        <v>1</v>
      </c>
      <c r="C58" s="27">
        <f ca="1"/>
        <v>15</v>
      </c>
      <c r="D58" s="28">
        <f ca="1"/>
        <v>11.09248826703924</v>
      </c>
      <c r="E58" s="28">
        <f t="shared" ca="1" si="0"/>
        <v>9.2488267039239958E-2</v>
      </c>
      <c r="G58" s="28">
        <f t="shared" ca="1" si="1"/>
        <v>0.31835277839425191</v>
      </c>
      <c r="L58" s="28"/>
    </row>
    <row r="59" spans="1:12" x14ac:dyDescent="0.2">
      <c r="A59" s="27">
        <v>13</v>
      </c>
      <c r="B59" s="27">
        <v>1</v>
      </c>
      <c r="C59" s="27">
        <f ca="1"/>
        <v>17</v>
      </c>
      <c r="D59" s="28">
        <f ca="1"/>
        <v>12.458926490343359</v>
      </c>
      <c r="E59" s="28">
        <f t="shared" ca="1" si="0"/>
        <v>-0.54107350965664125</v>
      </c>
      <c r="G59" s="28">
        <f t="shared" ca="1" si="1"/>
        <v>0.29066547731752662</v>
      </c>
      <c r="L59" s="28"/>
    </row>
    <row r="60" spans="1:12" x14ac:dyDescent="0.2">
      <c r="A60" s="27">
        <v>13</v>
      </c>
      <c r="B60" s="27">
        <v>1</v>
      </c>
      <c r="C60" s="27">
        <f ca="1"/>
        <v>17</v>
      </c>
      <c r="D60" s="28">
        <f ca="1"/>
        <v>12.458926490343359</v>
      </c>
      <c r="E60" s="28">
        <f t="shared" ca="1" si="0"/>
        <v>-0.54107350965664125</v>
      </c>
      <c r="G60" s="28">
        <f t="shared" ca="1" si="1"/>
        <v>0.29066547731752662</v>
      </c>
      <c r="L60" s="28"/>
    </row>
    <row r="61" spans="1:12" x14ac:dyDescent="0.2">
      <c r="A61" s="27">
        <v>9</v>
      </c>
      <c r="B61" s="27">
        <v>1</v>
      </c>
      <c r="C61" s="27">
        <f ca="1"/>
        <v>12</v>
      </c>
      <c r="D61" s="28">
        <f ca="1"/>
        <v>9.04283093208306</v>
      </c>
      <c r="E61" s="28">
        <f t="shared" ca="1" si="0"/>
        <v>4.2830932083059992E-2</v>
      </c>
      <c r="G61" s="28">
        <f t="shared" ca="1" si="1"/>
        <v>0.31903836846290684</v>
      </c>
      <c r="L61" s="28"/>
    </row>
    <row r="62" spans="1:12" x14ac:dyDescent="0.2">
      <c r="A62" s="27">
        <v>13</v>
      </c>
      <c r="B62" s="27">
        <v>1</v>
      </c>
      <c r="C62" s="27">
        <f ca="1"/>
        <v>17</v>
      </c>
      <c r="D62" s="28">
        <f ca="1"/>
        <v>12.458926490343359</v>
      </c>
      <c r="E62" s="28">
        <f t="shared" ca="1" si="0"/>
        <v>-0.54107350965664125</v>
      </c>
      <c r="G62" s="28">
        <f t="shared" ca="1" si="1"/>
        <v>0.29066547731752662</v>
      </c>
      <c r="L62" s="28"/>
    </row>
    <row r="63" spans="1:12" x14ac:dyDescent="0.2">
      <c r="A63" s="27">
        <v>11</v>
      </c>
      <c r="B63" s="27">
        <v>1</v>
      </c>
      <c r="C63" s="27">
        <f ca="1"/>
        <v>16</v>
      </c>
      <c r="D63" s="28">
        <f ca="1"/>
        <v>11.775707378691299</v>
      </c>
      <c r="E63" s="28">
        <f t="shared" ca="1" si="0"/>
        <v>0.77570737869129935</v>
      </c>
      <c r="G63" s="28">
        <f t="shared" ca="1" si="1"/>
        <v>0.26329124156712214</v>
      </c>
      <c r="L63" s="28"/>
    </row>
    <row r="64" spans="1:12" x14ac:dyDescent="0.2">
      <c r="A64" s="27">
        <v>13</v>
      </c>
      <c r="B64" s="27">
        <v>1</v>
      </c>
      <c r="C64" s="27">
        <f ca="1"/>
        <v>18</v>
      </c>
      <c r="D64" s="28">
        <f ca="1"/>
        <v>13.142145601995418</v>
      </c>
      <c r="E64" s="28">
        <f t="shared" ca="1" si="0"/>
        <v>0.14214560199541815</v>
      </c>
      <c r="G64" s="28">
        <f t="shared" ca="1" si="1"/>
        <v>0.31716750413300532</v>
      </c>
      <c r="L64" s="28"/>
    </row>
    <row r="65" spans="1:12" x14ac:dyDescent="0.2">
      <c r="A65" s="27">
        <v>11</v>
      </c>
      <c r="B65" s="27">
        <v>1</v>
      </c>
      <c r="C65" s="27">
        <f ca="1"/>
        <v>15</v>
      </c>
      <c r="D65" s="28">
        <f ca="1"/>
        <v>11.09248826703924</v>
      </c>
      <c r="E65" s="28">
        <f t="shared" ca="1" si="0"/>
        <v>9.2488267039239958E-2</v>
      </c>
      <c r="G65" s="28">
        <f t="shared" ca="1" si="1"/>
        <v>0.31835277839425191</v>
      </c>
      <c r="L65" s="28"/>
    </row>
    <row r="66" spans="1:12" x14ac:dyDescent="0.2">
      <c r="A66" s="27">
        <v>12</v>
      </c>
      <c r="B66" s="27">
        <v>1</v>
      </c>
      <c r="C66" s="27">
        <f ca="1"/>
        <v>16</v>
      </c>
      <c r="D66" s="28">
        <f ca="1"/>
        <v>11.775707378691299</v>
      </c>
      <c r="E66" s="28">
        <f t="shared" ca="1" si="0"/>
        <v>-0.22429262130870065</v>
      </c>
      <c r="G66" s="28">
        <f t="shared" ca="1" si="1"/>
        <v>0.31412566572102818</v>
      </c>
      <c r="L66" s="28"/>
    </row>
    <row r="67" spans="1:12" x14ac:dyDescent="0.2">
      <c r="A67" s="27">
        <v>9</v>
      </c>
      <c r="B67" s="27">
        <v>1</v>
      </c>
      <c r="C67" s="27">
        <f ca="1"/>
        <v>12</v>
      </c>
      <c r="D67" s="28">
        <f ca="1"/>
        <v>9.04283093208306</v>
      </c>
      <c r="E67" s="28">
        <f t="shared" ref="E67:E130" ca="1" si="2">D67-A67</f>
        <v>4.2830932083059992E-2</v>
      </c>
      <c r="G67" s="28">
        <f t="shared" ref="G67:G130" ca="1" si="3">_xlfn.NORM.DIST(E67,0,$F$2,FALSE)</f>
        <v>0.31903836846290684</v>
      </c>
      <c r="L67" s="28"/>
    </row>
    <row r="68" spans="1:12" x14ac:dyDescent="0.2">
      <c r="A68" s="27">
        <v>13</v>
      </c>
      <c r="B68" s="27">
        <v>1</v>
      </c>
      <c r="C68" s="27">
        <f ca="1"/>
        <v>17</v>
      </c>
      <c r="D68" s="28">
        <f ca="1"/>
        <v>12.458926490343359</v>
      </c>
      <c r="E68" s="28">
        <f t="shared" ca="1" si="2"/>
        <v>-0.54107350965664125</v>
      </c>
      <c r="G68" s="28">
        <f t="shared" ca="1" si="3"/>
        <v>0.29066547731752662</v>
      </c>
      <c r="L68" s="28"/>
    </row>
    <row r="69" spans="1:12" x14ac:dyDescent="0.2">
      <c r="A69" s="27">
        <v>13</v>
      </c>
      <c r="B69" s="27">
        <v>1</v>
      </c>
      <c r="C69" s="27">
        <f ca="1"/>
        <v>17</v>
      </c>
      <c r="D69" s="28">
        <f ca="1"/>
        <v>12.458926490343359</v>
      </c>
      <c r="E69" s="28">
        <f t="shared" ca="1" si="2"/>
        <v>-0.54107350965664125</v>
      </c>
      <c r="G69" s="28">
        <f t="shared" ca="1" si="3"/>
        <v>0.29066547731752662</v>
      </c>
      <c r="L69" s="28"/>
    </row>
    <row r="70" spans="1:12" x14ac:dyDescent="0.2">
      <c r="A70" s="27">
        <v>12</v>
      </c>
      <c r="B70" s="27">
        <v>1</v>
      </c>
      <c r="C70" s="27">
        <f ca="1"/>
        <v>16</v>
      </c>
      <c r="D70" s="28">
        <f ca="1"/>
        <v>11.775707378691299</v>
      </c>
      <c r="E70" s="28">
        <f t="shared" ca="1" si="2"/>
        <v>-0.22429262130870065</v>
      </c>
      <c r="G70" s="28">
        <f t="shared" ca="1" si="3"/>
        <v>0.31412566572102818</v>
      </c>
      <c r="L70" s="28"/>
    </row>
    <row r="71" spans="1:12" x14ac:dyDescent="0.2">
      <c r="A71" s="27">
        <v>9</v>
      </c>
      <c r="B71" s="27">
        <v>1</v>
      </c>
      <c r="C71" s="27">
        <f ca="1"/>
        <v>12</v>
      </c>
      <c r="D71" s="28">
        <f ca="1"/>
        <v>9.04283093208306</v>
      </c>
      <c r="E71" s="28">
        <f t="shared" ca="1" si="2"/>
        <v>4.2830932083059992E-2</v>
      </c>
      <c r="G71" s="28">
        <f t="shared" ca="1" si="3"/>
        <v>0.31903836846290684</v>
      </c>
      <c r="L71" s="28"/>
    </row>
    <row r="72" spans="1:12" x14ac:dyDescent="0.2">
      <c r="A72" s="27">
        <v>11</v>
      </c>
      <c r="B72" s="27">
        <v>1</v>
      </c>
      <c r="C72" s="27">
        <f ca="1"/>
        <v>15</v>
      </c>
      <c r="D72" s="28">
        <f ca="1"/>
        <v>11.09248826703924</v>
      </c>
      <c r="E72" s="28">
        <f t="shared" ca="1" si="2"/>
        <v>9.2488267039239958E-2</v>
      </c>
      <c r="G72" s="28">
        <f t="shared" ca="1" si="3"/>
        <v>0.31835277839425191</v>
      </c>
      <c r="L72" s="28"/>
    </row>
    <row r="73" spans="1:12" x14ac:dyDescent="0.2">
      <c r="A73" s="27">
        <v>11</v>
      </c>
      <c r="B73" s="27">
        <v>1</v>
      </c>
      <c r="C73" s="27">
        <f ca="1"/>
        <v>16</v>
      </c>
      <c r="D73" s="28">
        <f ca="1"/>
        <v>11.775707378691299</v>
      </c>
      <c r="E73" s="28">
        <f t="shared" ca="1" si="2"/>
        <v>0.77570737869129935</v>
      </c>
      <c r="G73" s="28">
        <f t="shared" ca="1" si="3"/>
        <v>0.26329124156712214</v>
      </c>
      <c r="L73" s="28"/>
    </row>
    <row r="74" spans="1:12" x14ac:dyDescent="0.2">
      <c r="A74" s="27">
        <v>13</v>
      </c>
      <c r="B74" s="27">
        <v>1</v>
      </c>
      <c r="C74" s="27">
        <f ca="1"/>
        <v>17</v>
      </c>
      <c r="D74" s="28">
        <f ca="1"/>
        <v>12.458926490343359</v>
      </c>
      <c r="E74" s="28">
        <f t="shared" ca="1" si="2"/>
        <v>-0.54107350965664125</v>
      </c>
      <c r="G74" s="28">
        <f t="shared" ca="1" si="3"/>
        <v>0.29066547731752662</v>
      </c>
      <c r="L74" s="28"/>
    </row>
    <row r="75" spans="1:12" x14ac:dyDescent="0.2">
      <c r="A75" s="27">
        <v>11</v>
      </c>
      <c r="B75" s="27">
        <v>1</v>
      </c>
      <c r="C75" s="27">
        <f ca="1"/>
        <v>15</v>
      </c>
      <c r="D75" s="28">
        <f ca="1"/>
        <v>11.09248826703924</v>
      </c>
      <c r="E75" s="28">
        <f t="shared" ca="1" si="2"/>
        <v>9.2488267039239958E-2</v>
      </c>
      <c r="G75" s="28">
        <f t="shared" ca="1" si="3"/>
        <v>0.31835277839425191</v>
      </c>
      <c r="L75" s="28"/>
    </row>
    <row r="76" spans="1:12" x14ac:dyDescent="0.2">
      <c r="A76" s="27">
        <v>11</v>
      </c>
      <c r="B76" s="27">
        <v>1</v>
      </c>
      <c r="C76" s="27">
        <f ca="1"/>
        <v>17</v>
      </c>
      <c r="D76" s="28">
        <f ca="1"/>
        <v>12.458926490343359</v>
      </c>
      <c r="E76" s="28">
        <f t="shared" ca="1" si="2"/>
        <v>1.4589264903433588</v>
      </c>
      <c r="G76" s="28">
        <f t="shared" ca="1" si="3"/>
        <v>0.16149629011123415</v>
      </c>
      <c r="L76" s="28"/>
    </row>
    <row r="77" spans="1:12" x14ac:dyDescent="0.2">
      <c r="A77" s="27">
        <v>11</v>
      </c>
      <c r="B77" s="27">
        <v>1</v>
      </c>
      <c r="C77" s="27">
        <f ca="1"/>
        <v>17</v>
      </c>
      <c r="D77" s="28">
        <f ca="1"/>
        <v>12.458926490343359</v>
      </c>
      <c r="E77" s="28">
        <f t="shared" ca="1" si="2"/>
        <v>1.4589264903433588</v>
      </c>
      <c r="G77" s="28">
        <f t="shared" ca="1" si="3"/>
        <v>0.16149629011123415</v>
      </c>
      <c r="L77" s="28"/>
    </row>
    <row r="78" spans="1:12" x14ac:dyDescent="0.2">
      <c r="A78" s="27">
        <v>12</v>
      </c>
      <c r="B78" s="27">
        <v>1</v>
      </c>
      <c r="C78" s="27">
        <f ca="1"/>
        <v>18</v>
      </c>
      <c r="D78" s="28">
        <f ca="1"/>
        <v>13.142145601995418</v>
      </c>
      <c r="E78" s="28">
        <f t="shared" ca="1" si="2"/>
        <v>1.1421456019954181</v>
      </c>
      <c r="G78" s="28">
        <f t="shared" ca="1" si="3"/>
        <v>0.21024457151414655</v>
      </c>
      <c r="L78" s="28"/>
    </row>
    <row r="79" spans="1:12" x14ac:dyDescent="0.2">
      <c r="A79" s="27">
        <v>14</v>
      </c>
      <c r="B79" s="27">
        <v>1</v>
      </c>
      <c r="C79" s="27">
        <f ca="1"/>
        <v>17</v>
      </c>
      <c r="D79" s="28">
        <f ca="1"/>
        <v>12.458926490343359</v>
      </c>
      <c r="E79" s="28">
        <f t="shared" ca="1" si="2"/>
        <v>-1.5410735096566412</v>
      </c>
      <c r="G79" s="28">
        <f t="shared" ca="1" si="3"/>
        <v>0.14924443441661395</v>
      </c>
      <c r="L79" s="28"/>
    </row>
    <row r="80" spans="1:12" x14ac:dyDescent="0.2">
      <c r="A80" s="27">
        <v>15</v>
      </c>
      <c r="B80" s="27">
        <v>1</v>
      </c>
      <c r="C80" s="27">
        <f ca="1"/>
        <v>19</v>
      </c>
      <c r="D80" s="28">
        <f ca="1"/>
        <v>13.825364713647479</v>
      </c>
      <c r="E80" s="28">
        <f t="shared" ca="1" si="2"/>
        <v>-1.1746352863525207</v>
      </c>
      <c r="G80" s="28">
        <f t="shared" ca="1" si="3"/>
        <v>0.20523871008550823</v>
      </c>
      <c r="L80" s="28"/>
    </row>
    <row r="81" spans="1:12" x14ac:dyDescent="0.2">
      <c r="A81" s="27">
        <v>14</v>
      </c>
      <c r="B81" s="27">
        <v>1</v>
      </c>
      <c r="C81" s="27">
        <f ca="1"/>
        <v>17</v>
      </c>
      <c r="D81" s="28">
        <f ca="1"/>
        <v>12.458926490343359</v>
      </c>
      <c r="E81" s="28">
        <f t="shared" ca="1" si="2"/>
        <v>-1.5410735096566412</v>
      </c>
      <c r="G81" s="28">
        <f t="shared" ca="1" si="3"/>
        <v>0.14924443441661395</v>
      </c>
      <c r="L81" s="28"/>
    </row>
    <row r="82" spans="1:12" x14ac:dyDescent="0.2">
      <c r="A82" s="27">
        <v>13</v>
      </c>
      <c r="B82" s="27">
        <v>1</v>
      </c>
      <c r="C82" s="27">
        <f ca="1"/>
        <v>19</v>
      </c>
      <c r="D82" s="28">
        <f ca="1"/>
        <v>13.825364713647479</v>
      </c>
      <c r="E82" s="28">
        <f t="shared" ca="1" si="2"/>
        <v>0.82536471364747932</v>
      </c>
      <c r="G82" s="28">
        <f t="shared" ca="1" si="3"/>
        <v>0.25667424064304967</v>
      </c>
      <c r="L82" s="28"/>
    </row>
    <row r="83" spans="1:12" x14ac:dyDescent="0.2">
      <c r="A83" s="27">
        <v>13</v>
      </c>
      <c r="B83" s="27">
        <v>1</v>
      </c>
      <c r="C83" s="27">
        <f ca="1"/>
        <v>19</v>
      </c>
      <c r="D83" s="28">
        <f ca="1"/>
        <v>13.825364713647479</v>
      </c>
      <c r="E83" s="28">
        <f t="shared" ca="1" si="2"/>
        <v>0.82536471364747932</v>
      </c>
      <c r="G83" s="28">
        <f t="shared" ca="1" si="3"/>
        <v>0.25667424064304967</v>
      </c>
      <c r="L83" s="28"/>
    </row>
    <row r="84" spans="1:12" x14ac:dyDescent="0.2">
      <c r="A84" s="27">
        <v>13</v>
      </c>
      <c r="B84" s="27">
        <v>1</v>
      </c>
      <c r="C84" s="27">
        <f ca="1"/>
        <v>17</v>
      </c>
      <c r="D84" s="28">
        <f ca="1"/>
        <v>12.458926490343359</v>
      </c>
      <c r="E84" s="28">
        <f t="shared" ca="1" si="2"/>
        <v>-0.54107350965664125</v>
      </c>
      <c r="G84" s="28">
        <f t="shared" ca="1" si="3"/>
        <v>0.29066547731752662</v>
      </c>
      <c r="L84" s="28"/>
    </row>
    <row r="85" spans="1:12" x14ac:dyDescent="0.2">
      <c r="A85" s="27">
        <v>14</v>
      </c>
      <c r="B85" s="27">
        <v>1</v>
      </c>
      <c r="C85" s="27">
        <f ca="1"/>
        <v>17</v>
      </c>
      <c r="D85" s="28">
        <f ca="1"/>
        <v>12.458926490343359</v>
      </c>
      <c r="E85" s="28">
        <f t="shared" ca="1" si="2"/>
        <v>-1.5410735096566412</v>
      </c>
      <c r="G85" s="28">
        <f t="shared" ca="1" si="3"/>
        <v>0.14924443441661395</v>
      </c>
      <c r="L85" s="28"/>
    </row>
    <row r="86" spans="1:12" x14ac:dyDescent="0.2">
      <c r="A86" s="27">
        <v>14</v>
      </c>
      <c r="B86" s="27">
        <v>1</v>
      </c>
      <c r="C86" s="27">
        <f ca="1"/>
        <v>17</v>
      </c>
      <c r="D86" s="28">
        <f ca="1"/>
        <v>12.458926490343359</v>
      </c>
      <c r="E86" s="28">
        <f t="shared" ca="1" si="2"/>
        <v>-1.5410735096566412</v>
      </c>
      <c r="G86" s="28">
        <f t="shared" ca="1" si="3"/>
        <v>0.14924443441661395</v>
      </c>
      <c r="L86" s="28"/>
    </row>
    <row r="87" spans="1:12" x14ac:dyDescent="0.2">
      <c r="A87" s="27">
        <v>13</v>
      </c>
      <c r="B87" s="27">
        <v>1</v>
      </c>
      <c r="C87" s="27">
        <f ca="1"/>
        <v>16</v>
      </c>
      <c r="D87" s="28">
        <f ca="1"/>
        <v>11.775707378691299</v>
      </c>
      <c r="E87" s="28">
        <f t="shared" ca="1" si="2"/>
        <v>-1.2242926213087006</v>
      </c>
      <c r="G87" s="28">
        <f t="shared" ca="1" si="3"/>
        <v>0.19755889639295596</v>
      </c>
      <c r="L87" s="28"/>
    </row>
    <row r="88" spans="1:12" x14ac:dyDescent="0.2">
      <c r="A88" s="27">
        <v>13</v>
      </c>
      <c r="B88" s="27">
        <v>1</v>
      </c>
      <c r="C88" s="27">
        <f ca="1"/>
        <v>16</v>
      </c>
      <c r="D88" s="28">
        <f ca="1"/>
        <v>11.775707378691299</v>
      </c>
      <c r="E88" s="28">
        <f t="shared" ca="1" si="2"/>
        <v>-1.2242926213087006</v>
      </c>
      <c r="G88" s="28">
        <f t="shared" ca="1" si="3"/>
        <v>0.19755889639295596</v>
      </c>
      <c r="L88" s="28"/>
    </row>
    <row r="89" spans="1:12" x14ac:dyDescent="0.2">
      <c r="A89" s="27">
        <v>13</v>
      </c>
      <c r="B89" s="27">
        <v>1</v>
      </c>
      <c r="C89" s="27">
        <f ca="1"/>
        <v>17</v>
      </c>
      <c r="D89" s="28">
        <f ca="1"/>
        <v>12.458926490343359</v>
      </c>
      <c r="E89" s="28">
        <f t="shared" ca="1" si="2"/>
        <v>-0.54107350965664125</v>
      </c>
      <c r="G89" s="28">
        <f t="shared" ca="1" si="3"/>
        <v>0.29066547731752662</v>
      </c>
      <c r="L89" s="28"/>
    </row>
    <row r="90" spans="1:12" x14ac:dyDescent="0.2">
      <c r="A90" s="27">
        <v>11</v>
      </c>
      <c r="B90" s="27">
        <v>1</v>
      </c>
      <c r="C90" s="27">
        <f ca="1"/>
        <v>15</v>
      </c>
      <c r="D90" s="28">
        <f ca="1"/>
        <v>11.09248826703924</v>
      </c>
      <c r="E90" s="28">
        <f t="shared" ca="1" si="2"/>
        <v>9.2488267039239958E-2</v>
      </c>
      <c r="G90" s="28">
        <f t="shared" ca="1" si="3"/>
        <v>0.31835277839425191</v>
      </c>
      <c r="L90" s="28"/>
    </row>
    <row r="91" spans="1:12" x14ac:dyDescent="0.2">
      <c r="A91" s="27">
        <v>13</v>
      </c>
      <c r="B91" s="27">
        <v>1</v>
      </c>
      <c r="C91" s="27">
        <f ca="1"/>
        <v>17</v>
      </c>
      <c r="D91" s="28">
        <f ca="1"/>
        <v>12.458926490343359</v>
      </c>
      <c r="E91" s="28">
        <f t="shared" ca="1" si="2"/>
        <v>-0.54107350965664125</v>
      </c>
      <c r="G91" s="28">
        <f t="shared" ca="1" si="3"/>
        <v>0.29066547731752662</v>
      </c>
      <c r="L91" s="28"/>
    </row>
    <row r="92" spans="1:12" x14ac:dyDescent="0.2">
      <c r="A92" s="27">
        <v>18</v>
      </c>
      <c r="B92" s="27">
        <v>1</v>
      </c>
      <c r="C92" s="27">
        <f ca="1"/>
        <v>26</v>
      </c>
      <c r="D92" s="28">
        <f ca="1"/>
        <v>18.607898495211895</v>
      </c>
      <c r="E92" s="28">
        <f t="shared" ca="1" si="2"/>
        <v>0.6078984952118951</v>
      </c>
      <c r="G92" s="28">
        <f t="shared" ca="1" si="3"/>
        <v>0.28360781451993688</v>
      </c>
      <c r="L92" s="28"/>
    </row>
    <row r="93" spans="1:12" x14ac:dyDescent="0.2">
      <c r="A93" s="27">
        <v>18</v>
      </c>
      <c r="B93" s="27">
        <v>1</v>
      </c>
      <c r="C93" s="27">
        <f ca="1"/>
        <v>25</v>
      </c>
      <c r="D93" s="28">
        <f ca="1"/>
        <v>17.924679383559837</v>
      </c>
      <c r="E93" s="28">
        <f t="shared" ca="1" si="2"/>
        <v>-7.5320616440162524E-2</v>
      </c>
      <c r="G93" s="28">
        <f t="shared" ca="1" si="3"/>
        <v>0.3186465302206829</v>
      </c>
      <c r="L93" s="28"/>
    </row>
    <row r="94" spans="1:12" x14ac:dyDescent="0.2">
      <c r="A94" s="27">
        <v>17</v>
      </c>
      <c r="B94" s="27">
        <v>1</v>
      </c>
      <c r="C94" s="27">
        <f ca="1"/>
        <v>26</v>
      </c>
      <c r="D94" s="28">
        <f ca="1"/>
        <v>18.607898495211895</v>
      </c>
      <c r="E94" s="28">
        <f t="shared" ca="1" si="2"/>
        <v>1.6078984952118951</v>
      </c>
      <c r="G94" s="28">
        <f t="shared" ca="1" si="3"/>
        <v>0.13952132892333158</v>
      </c>
      <c r="L94" s="28"/>
    </row>
    <row r="95" spans="1:12" x14ac:dyDescent="0.2">
      <c r="A95" s="27">
        <v>16</v>
      </c>
      <c r="B95" s="27">
        <v>1</v>
      </c>
      <c r="C95" s="27">
        <f ca="1"/>
        <v>24</v>
      </c>
      <c r="D95" s="28">
        <f ca="1"/>
        <v>17.241460271907776</v>
      </c>
      <c r="E95" s="28">
        <f t="shared" ca="1" si="2"/>
        <v>1.2414602719077763</v>
      </c>
      <c r="G95" s="28">
        <f t="shared" ca="1" si="3"/>
        <v>0.19489962071960723</v>
      </c>
      <c r="L95" s="28"/>
    </row>
    <row r="96" spans="1:12" x14ac:dyDescent="0.2">
      <c r="A96" s="27">
        <v>15</v>
      </c>
      <c r="B96" s="27">
        <v>1</v>
      </c>
      <c r="C96" s="27">
        <f ca="1"/>
        <v>21</v>
      </c>
      <c r="D96" s="28">
        <f ca="1"/>
        <v>15.191802936951598</v>
      </c>
      <c r="E96" s="28">
        <f t="shared" ca="1" si="2"/>
        <v>0.19180293695159811</v>
      </c>
      <c r="G96" s="28">
        <f t="shared" ca="1" si="3"/>
        <v>0.31548813891774308</v>
      </c>
      <c r="L96" s="28"/>
    </row>
    <row r="97" spans="1:12" x14ac:dyDescent="0.2">
      <c r="A97" s="27">
        <v>15</v>
      </c>
      <c r="B97" s="27">
        <v>1</v>
      </c>
      <c r="C97" s="27">
        <f ca="1"/>
        <v>22</v>
      </c>
      <c r="D97" s="28">
        <f ca="1"/>
        <v>15.875022048603658</v>
      </c>
      <c r="E97" s="28">
        <f t="shared" ca="1" si="2"/>
        <v>0.87502204860365751</v>
      </c>
      <c r="G97" s="28">
        <f t="shared" ca="1" si="3"/>
        <v>0.2498287819911226</v>
      </c>
      <c r="L97" s="28"/>
    </row>
    <row r="98" spans="1:12" x14ac:dyDescent="0.2">
      <c r="A98" s="27">
        <v>15</v>
      </c>
      <c r="B98" s="27">
        <v>1</v>
      </c>
      <c r="C98" s="27">
        <f ca="1"/>
        <v>23</v>
      </c>
      <c r="D98" s="28">
        <f ca="1"/>
        <v>16.558241160255715</v>
      </c>
      <c r="E98" s="28">
        <f t="shared" ca="1" si="2"/>
        <v>1.5582411602557151</v>
      </c>
      <c r="G98" s="28">
        <f t="shared" ca="1" si="3"/>
        <v>0.1467237015411641</v>
      </c>
      <c r="L98" s="28"/>
    </row>
    <row r="99" spans="1:12" x14ac:dyDescent="0.2">
      <c r="A99" s="27">
        <v>15</v>
      </c>
      <c r="B99" s="27">
        <v>1</v>
      </c>
      <c r="C99" s="27">
        <f ca="1"/>
        <v>22</v>
      </c>
      <c r="D99" s="28">
        <f ca="1"/>
        <v>15.875022048603658</v>
      </c>
      <c r="E99" s="28">
        <f t="shared" ca="1" si="2"/>
        <v>0.87502204860365751</v>
      </c>
      <c r="G99" s="28">
        <f t="shared" ca="1" si="3"/>
        <v>0.2498287819911226</v>
      </c>
      <c r="L99" s="28"/>
    </row>
    <row r="100" spans="1:12" x14ac:dyDescent="0.2">
      <c r="A100" s="27">
        <v>14</v>
      </c>
      <c r="B100" s="27">
        <v>1</v>
      </c>
      <c r="C100" s="27">
        <f ca="1"/>
        <v>20</v>
      </c>
      <c r="D100" s="28">
        <f ca="1"/>
        <v>14.508583825299539</v>
      </c>
      <c r="E100" s="28">
        <f t="shared" ca="1" si="2"/>
        <v>0.50858382529953872</v>
      </c>
      <c r="G100" s="28">
        <f t="shared" ca="1" si="3"/>
        <v>0.29385631906225068</v>
      </c>
      <c r="L100" s="28"/>
    </row>
    <row r="101" spans="1:12" x14ac:dyDescent="0.2">
      <c r="A101" s="27">
        <v>28</v>
      </c>
      <c r="B101" s="27">
        <v>1</v>
      </c>
      <c r="C101" s="27">
        <f ca="1"/>
        <v>33</v>
      </c>
      <c r="D101" s="28">
        <f ca="1"/>
        <v>23.390432276776316</v>
      </c>
      <c r="E101" s="28">
        <f t="shared" ca="1" si="2"/>
        <v>-4.6095677232236838</v>
      </c>
      <c r="G101" s="28">
        <f t="shared" ca="1" si="3"/>
        <v>3.5467090836049079E-4</v>
      </c>
      <c r="L101" s="28"/>
    </row>
    <row r="102" spans="1:12" x14ac:dyDescent="0.2">
      <c r="A102" s="27">
        <v>24</v>
      </c>
      <c r="B102" s="27">
        <v>1</v>
      </c>
      <c r="C102" s="27">
        <f ca="1"/>
        <v>32</v>
      </c>
      <c r="D102" s="28">
        <f ca="1"/>
        <v>22.707213165124255</v>
      </c>
      <c r="E102" s="28">
        <f t="shared" ca="1" si="2"/>
        <v>-1.292786834875745</v>
      </c>
      <c r="G102" s="28">
        <f t="shared" ca="1" si="3"/>
        <v>0.18695017615119994</v>
      </c>
      <c r="L102" s="28"/>
    </row>
    <row r="103" spans="1:12" x14ac:dyDescent="0.2">
      <c r="A103" s="27">
        <v>25</v>
      </c>
      <c r="B103" s="27">
        <v>1</v>
      </c>
      <c r="C103" s="27">
        <f ca="1"/>
        <v>32</v>
      </c>
      <c r="D103" s="28">
        <f ca="1"/>
        <v>22.707213165124255</v>
      </c>
      <c r="E103" s="28">
        <f t="shared" ca="1" si="2"/>
        <v>-2.292786834875745</v>
      </c>
      <c r="G103" s="28">
        <f t="shared" ca="1" si="3"/>
        <v>5.9319674466379105E-2</v>
      </c>
      <c r="L103" s="28"/>
    </row>
    <row r="104" spans="1:12" x14ac:dyDescent="0.2">
      <c r="A104" s="27">
        <v>23</v>
      </c>
      <c r="B104" s="27">
        <v>1</v>
      </c>
      <c r="C104" s="27">
        <f ca="1"/>
        <v>29</v>
      </c>
      <c r="D104" s="28">
        <f ca="1"/>
        <v>20.657555830168075</v>
      </c>
      <c r="E104" s="28">
        <f t="shared" ca="1" si="2"/>
        <v>-2.3424441698319249</v>
      </c>
      <c r="G104" s="28">
        <f t="shared" ca="1" si="3"/>
        <v>5.5105656873233724E-2</v>
      </c>
      <c r="L104" s="28"/>
    </row>
    <row r="105" spans="1:12" x14ac:dyDescent="0.2">
      <c r="A105" s="27">
        <v>24</v>
      </c>
      <c r="B105" s="27">
        <v>1</v>
      </c>
      <c r="C105" s="27">
        <f ca="1"/>
        <v>32</v>
      </c>
      <c r="D105" s="28">
        <f ca="1"/>
        <v>22.707213165124255</v>
      </c>
      <c r="E105" s="28">
        <f t="shared" ca="1" si="2"/>
        <v>-1.292786834875745</v>
      </c>
      <c r="G105" s="28">
        <f t="shared" ca="1" si="3"/>
        <v>0.18695017615119994</v>
      </c>
      <c r="L105" s="28"/>
    </row>
    <row r="106" spans="1:12" x14ac:dyDescent="0.2">
      <c r="A106" s="27">
        <v>26</v>
      </c>
      <c r="B106" s="27">
        <v>1</v>
      </c>
      <c r="C106" s="27">
        <f ca="1"/>
        <v>34</v>
      </c>
      <c r="D106" s="28">
        <f ca="1"/>
        <v>24.073651388428374</v>
      </c>
      <c r="E106" s="28">
        <f t="shared" ca="1" si="2"/>
        <v>-1.9263486115716262</v>
      </c>
      <c r="G106" s="28">
        <f t="shared" ca="1" si="3"/>
        <v>9.7309924689843758E-2</v>
      </c>
      <c r="L106" s="28"/>
    </row>
    <row r="107" spans="1:12" x14ac:dyDescent="0.2">
      <c r="A107" s="27">
        <v>25</v>
      </c>
      <c r="B107" s="27">
        <v>1</v>
      </c>
      <c r="C107" s="27">
        <f ca="1"/>
        <v>36</v>
      </c>
      <c r="D107" s="28">
        <f ca="1"/>
        <v>25.440089611732493</v>
      </c>
      <c r="E107" s="28">
        <f t="shared" ca="1" si="2"/>
        <v>0.44008961173249261</v>
      </c>
      <c r="G107" s="28">
        <f t="shared" ca="1" si="3"/>
        <v>0.30003330384512222</v>
      </c>
      <c r="L107" s="28"/>
    </row>
    <row r="108" spans="1:12" x14ac:dyDescent="0.2">
      <c r="A108" s="27">
        <v>24</v>
      </c>
      <c r="B108" s="27">
        <v>1</v>
      </c>
      <c r="C108" s="27">
        <f ca="1"/>
        <v>36</v>
      </c>
      <c r="D108" s="28">
        <f ca="1"/>
        <v>25.440089611732493</v>
      </c>
      <c r="E108" s="28">
        <f t="shared" ca="1" si="2"/>
        <v>1.4400896117324926</v>
      </c>
      <c r="G108" s="28">
        <f t="shared" ca="1" si="3"/>
        <v>0.16434448542706917</v>
      </c>
      <c r="L108" s="28"/>
    </row>
    <row r="109" spans="1:12" x14ac:dyDescent="0.2">
      <c r="A109" s="27">
        <v>21</v>
      </c>
      <c r="B109" s="27">
        <v>1</v>
      </c>
      <c r="C109" s="27">
        <f ca="1"/>
        <v>29</v>
      </c>
      <c r="D109" s="28">
        <f ca="1"/>
        <v>20.657555830168075</v>
      </c>
      <c r="E109" s="28">
        <f t="shared" ca="1" si="2"/>
        <v>-0.34244416983192494</v>
      </c>
      <c r="G109" s="28">
        <f t="shared" ca="1" si="3"/>
        <v>0.30746337812452051</v>
      </c>
      <c r="L109" s="28"/>
    </row>
    <row r="110" spans="1:12" x14ac:dyDescent="0.2">
      <c r="A110" s="27">
        <v>18</v>
      </c>
      <c r="B110" s="27">
        <v>1</v>
      </c>
      <c r="C110" s="27">
        <f ca="1"/>
        <v>26</v>
      </c>
      <c r="D110" s="28">
        <f ca="1"/>
        <v>18.607898495211895</v>
      </c>
      <c r="E110" s="28">
        <f t="shared" ca="1" si="2"/>
        <v>0.6078984952118951</v>
      </c>
      <c r="G110" s="28">
        <f t="shared" ca="1" si="3"/>
        <v>0.28360781451993688</v>
      </c>
      <c r="L110" s="28"/>
    </row>
    <row r="111" spans="1:12" x14ac:dyDescent="0.2">
      <c r="A111" s="27">
        <v>18</v>
      </c>
      <c r="B111" s="27">
        <v>1</v>
      </c>
      <c r="C111" s="27">
        <f ca="1"/>
        <v>27</v>
      </c>
      <c r="D111" s="28">
        <f ca="1"/>
        <v>19.291117606863956</v>
      </c>
      <c r="E111" s="28">
        <f t="shared" ca="1" si="2"/>
        <v>1.2911176068639563</v>
      </c>
      <c r="G111" s="28">
        <f t="shared" ca="1" si="3"/>
        <v>0.18720849951963059</v>
      </c>
      <c r="L111" s="28"/>
    </row>
    <row r="112" spans="1:12" x14ac:dyDescent="0.2">
      <c r="A112" s="27">
        <v>21</v>
      </c>
      <c r="B112" s="27">
        <v>1</v>
      </c>
      <c r="C112" s="27">
        <f ca="1"/>
        <v>30</v>
      </c>
      <c r="D112" s="28">
        <f ca="1"/>
        <v>21.340774941820136</v>
      </c>
      <c r="E112" s="28">
        <f t="shared" ca="1" si="2"/>
        <v>0.34077494182013623</v>
      </c>
      <c r="G112" s="28">
        <f t="shared" ca="1" si="3"/>
        <v>0.30757565599758996</v>
      </c>
      <c r="L112" s="28"/>
    </row>
    <row r="113" spans="1:12" x14ac:dyDescent="0.2">
      <c r="A113" s="27">
        <v>21</v>
      </c>
      <c r="B113" s="27">
        <v>1</v>
      </c>
      <c r="C113" s="27">
        <f ca="1"/>
        <v>31</v>
      </c>
      <c r="D113" s="28">
        <f ca="1"/>
        <v>22.023994053472194</v>
      </c>
      <c r="E113" s="28">
        <f t="shared" ca="1" si="2"/>
        <v>1.0239940534721939</v>
      </c>
      <c r="G113" s="28">
        <f t="shared" ca="1" si="3"/>
        <v>0.22819645484299309</v>
      </c>
      <c r="L113" s="28"/>
    </row>
    <row r="114" spans="1:12" x14ac:dyDescent="0.2">
      <c r="A114" s="27">
        <v>18</v>
      </c>
      <c r="B114" s="27">
        <v>1</v>
      </c>
      <c r="C114" s="27">
        <f ca="1"/>
        <v>26</v>
      </c>
      <c r="D114" s="28">
        <f ca="1"/>
        <v>18.607898495211895</v>
      </c>
      <c r="E114" s="28">
        <f t="shared" ca="1" si="2"/>
        <v>0.6078984952118951</v>
      </c>
      <c r="G114" s="28">
        <f t="shared" ca="1" si="3"/>
        <v>0.28360781451993688</v>
      </c>
      <c r="L114" s="28"/>
    </row>
    <row r="115" spans="1:12" x14ac:dyDescent="0.2">
      <c r="A115" s="27">
        <v>18</v>
      </c>
      <c r="B115" s="27">
        <v>1</v>
      </c>
      <c r="C115" s="27">
        <f ca="1"/>
        <v>26</v>
      </c>
      <c r="D115" s="28">
        <f ca="1"/>
        <v>18.607898495211895</v>
      </c>
      <c r="E115" s="28">
        <f t="shared" ca="1" si="2"/>
        <v>0.6078984952118951</v>
      </c>
      <c r="G115" s="28">
        <f t="shared" ca="1" si="3"/>
        <v>0.28360781451993688</v>
      </c>
      <c r="L115" s="28"/>
    </row>
    <row r="116" spans="1:12" x14ac:dyDescent="0.2">
      <c r="A116" s="27">
        <v>19</v>
      </c>
      <c r="B116" s="27">
        <v>1</v>
      </c>
      <c r="C116" s="27">
        <f ca="1"/>
        <v>28</v>
      </c>
      <c r="D116" s="28">
        <f ca="1"/>
        <v>19.974336718516017</v>
      </c>
      <c r="E116" s="28">
        <f t="shared" ca="1" si="2"/>
        <v>0.97433671851601744</v>
      </c>
      <c r="G116" s="28">
        <f t="shared" ca="1" si="3"/>
        <v>0.23556229359930655</v>
      </c>
      <c r="L116" s="28"/>
    </row>
    <row r="117" spans="1:12" x14ac:dyDescent="0.2">
      <c r="A117" s="27">
        <v>19</v>
      </c>
      <c r="B117" s="27">
        <v>1</v>
      </c>
      <c r="C117" s="27">
        <f ca="1"/>
        <v>26</v>
      </c>
      <c r="D117" s="28">
        <f ca="1"/>
        <v>18.607898495211895</v>
      </c>
      <c r="E117" s="28">
        <f t="shared" ca="1" si="2"/>
        <v>-0.3921015047881049</v>
      </c>
      <c r="G117" s="28">
        <f t="shared" ca="1" si="3"/>
        <v>0.30389387162696274</v>
      </c>
      <c r="L117" s="28"/>
    </row>
    <row r="118" spans="1:12" x14ac:dyDescent="0.2">
      <c r="A118" s="27">
        <v>19</v>
      </c>
      <c r="B118" s="27">
        <v>1</v>
      </c>
      <c r="C118" s="27">
        <f ca="1"/>
        <v>29</v>
      </c>
      <c r="D118" s="28">
        <f ca="1"/>
        <v>20.657555830168075</v>
      </c>
      <c r="E118" s="28">
        <f t="shared" ca="1" si="2"/>
        <v>1.6575558301680751</v>
      </c>
      <c r="G118" s="28">
        <f t="shared" ca="1" si="3"/>
        <v>0.13246320078694085</v>
      </c>
      <c r="L118" s="28"/>
    </row>
    <row r="119" spans="1:12" x14ac:dyDescent="0.2">
      <c r="A119" s="27">
        <v>20</v>
      </c>
      <c r="B119" s="27">
        <v>1</v>
      </c>
      <c r="C119" s="27">
        <f ca="1"/>
        <v>28</v>
      </c>
      <c r="D119" s="28">
        <f ca="1"/>
        <v>19.974336718516017</v>
      </c>
      <c r="E119" s="28">
        <f t="shared" ca="1" si="2"/>
        <v>-2.5663281483982558E-2</v>
      </c>
      <c r="G119" s="28">
        <f t="shared" ca="1" si="3"/>
        <v>0.31915849397187074</v>
      </c>
      <c r="L119" s="28"/>
    </row>
    <row r="120" spans="1:12" x14ac:dyDescent="0.2">
      <c r="A120" s="27">
        <v>20</v>
      </c>
      <c r="B120" s="27">
        <v>1</v>
      </c>
      <c r="C120" s="27">
        <f ca="1"/>
        <v>27</v>
      </c>
      <c r="D120" s="28">
        <f ca="1"/>
        <v>19.291117606863956</v>
      </c>
      <c r="E120" s="28">
        <f t="shared" ca="1" si="2"/>
        <v>-0.70888239313604373</v>
      </c>
      <c r="G120" s="28">
        <f t="shared" ca="1" si="3"/>
        <v>0.2717877911689337</v>
      </c>
      <c r="L120" s="28"/>
    </row>
    <row r="121" spans="1:12" x14ac:dyDescent="0.2">
      <c r="A121" s="27">
        <v>17</v>
      </c>
      <c r="B121" s="27">
        <v>1</v>
      </c>
      <c r="C121" s="27">
        <f ca="1"/>
        <v>24</v>
      </c>
      <c r="D121" s="28">
        <f ca="1"/>
        <v>17.241460271907776</v>
      </c>
      <c r="E121" s="28">
        <f t="shared" ca="1" si="2"/>
        <v>0.2414602719077763</v>
      </c>
      <c r="G121" s="28">
        <f t="shared" ca="1" si="3"/>
        <v>0.31332258364370175</v>
      </c>
      <c r="L121" s="28"/>
    </row>
    <row r="122" spans="1:12" x14ac:dyDescent="0.2">
      <c r="A122" s="27">
        <v>16</v>
      </c>
      <c r="B122" s="27">
        <v>1</v>
      </c>
      <c r="C122" s="27">
        <f ca="1"/>
        <v>24</v>
      </c>
      <c r="D122" s="28">
        <f ca="1"/>
        <v>17.241460271907776</v>
      </c>
      <c r="E122" s="28">
        <f t="shared" ca="1" si="2"/>
        <v>1.2414602719077763</v>
      </c>
      <c r="G122" s="28">
        <f t="shared" ca="1" si="3"/>
        <v>0.19489962071960723</v>
      </c>
      <c r="L122" s="28"/>
    </row>
    <row r="123" spans="1:12" x14ac:dyDescent="0.2">
      <c r="A123" s="27">
        <v>17</v>
      </c>
      <c r="B123" s="27">
        <v>1</v>
      </c>
      <c r="C123" s="27">
        <f ca="1"/>
        <v>24</v>
      </c>
      <c r="D123" s="28">
        <f ca="1"/>
        <v>17.241460271907776</v>
      </c>
      <c r="E123" s="28">
        <f t="shared" ca="1" si="2"/>
        <v>0.2414602719077763</v>
      </c>
      <c r="G123" s="28">
        <f t="shared" ca="1" si="3"/>
        <v>0.31332258364370175</v>
      </c>
      <c r="L123" s="28"/>
    </row>
    <row r="124" spans="1:12" x14ac:dyDescent="0.2">
      <c r="A124" s="27">
        <v>17</v>
      </c>
      <c r="B124" s="27">
        <v>1</v>
      </c>
      <c r="C124" s="27">
        <f ca="1"/>
        <v>22</v>
      </c>
      <c r="D124" s="28">
        <f ca="1"/>
        <v>15.875022048603658</v>
      </c>
      <c r="E124" s="28">
        <f t="shared" ca="1" si="2"/>
        <v>-1.1249779513963425</v>
      </c>
      <c r="G124" s="28">
        <f t="shared" ca="1" si="3"/>
        <v>0.21288069180319472</v>
      </c>
      <c r="L124" s="28"/>
    </row>
    <row r="125" spans="1:12" x14ac:dyDescent="0.2">
      <c r="A125" s="27">
        <v>15</v>
      </c>
      <c r="B125" s="27">
        <v>1</v>
      </c>
      <c r="C125" s="27">
        <f ca="1"/>
        <v>19</v>
      </c>
      <c r="D125" s="28">
        <f ca="1"/>
        <v>13.825364713647479</v>
      </c>
      <c r="E125" s="28">
        <f t="shared" ca="1" si="2"/>
        <v>-1.1746352863525207</v>
      </c>
      <c r="G125" s="28">
        <f t="shared" ca="1" si="3"/>
        <v>0.20523871008550823</v>
      </c>
      <c r="L125" s="28"/>
    </row>
    <row r="126" spans="1:12" x14ac:dyDescent="0.2">
      <c r="A126" s="27">
        <v>15</v>
      </c>
      <c r="B126" s="27">
        <v>1</v>
      </c>
      <c r="C126" s="27">
        <f ca="1"/>
        <v>20</v>
      </c>
      <c r="D126" s="28">
        <f ca="1"/>
        <v>14.508583825299539</v>
      </c>
      <c r="E126" s="28">
        <f t="shared" ca="1" si="2"/>
        <v>-0.49141617470046128</v>
      </c>
      <c r="G126" s="28">
        <f t="shared" ca="1" si="3"/>
        <v>0.29547583692562635</v>
      </c>
      <c r="L126" s="28"/>
    </row>
    <row r="127" spans="1:12" x14ac:dyDescent="0.2">
      <c r="A127" s="27">
        <v>14</v>
      </c>
      <c r="B127" s="27">
        <v>1</v>
      </c>
      <c r="C127" s="27">
        <f ca="1"/>
        <v>17</v>
      </c>
      <c r="D127" s="28">
        <f ca="1"/>
        <v>12.458926490343359</v>
      </c>
      <c r="E127" s="28">
        <f t="shared" ca="1" si="2"/>
        <v>-1.5410735096566412</v>
      </c>
      <c r="G127" s="28">
        <f t="shared" ca="1" si="3"/>
        <v>0.14924443441661395</v>
      </c>
      <c r="L127" s="28"/>
    </row>
    <row r="128" spans="1:12" x14ac:dyDescent="0.2">
      <c r="A128" s="27">
        <v>9</v>
      </c>
      <c r="B128" s="27">
        <v>1</v>
      </c>
      <c r="C128" s="27">
        <f ca="1"/>
        <v>12</v>
      </c>
      <c r="D128" s="28">
        <f ca="1"/>
        <v>9.04283093208306</v>
      </c>
      <c r="E128" s="28">
        <f t="shared" ca="1" si="2"/>
        <v>4.2830932083059992E-2</v>
      </c>
      <c r="G128" s="28">
        <f t="shared" ca="1" si="3"/>
        <v>0.31903836846290684</v>
      </c>
      <c r="L128" s="28"/>
    </row>
    <row r="129" spans="1:12" x14ac:dyDescent="0.2">
      <c r="A129" s="27">
        <v>14</v>
      </c>
      <c r="B129" s="27">
        <v>1</v>
      </c>
      <c r="C129" s="27">
        <f ca="1"/>
        <v>19</v>
      </c>
      <c r="D129" s="28">
        <f ca="1"/>
        <v>13.825364713647479</v>
      </c>
      <c r="E129" s="28">
        <f t="shared" ca="1" si="2"/>
        <v>-0.17463528635252068</v>
      </c>
      <c r="G129" s="28">
        <f t="shared" ca="1" si="3"/>
        <v>0.31612416936198534</v>
      </c>
      <c r="L129" s="28"/>
    </row>
    <row r="130" spans="1:12" x14ac:dyDescent="0.2">
      <c r="A130" s="27">
        <v>13</v>
      </c>
      <c r="B130" s="27">
        <v>1</v>
      </c>
      <c r="C130" s="27">
        <f ca="1"/>
        <v>18</v>
      </c>
      <c r="D130" s="28">
        <f ca="1"/>
        <v>13.142145601995418</v>
      </c>
      <c r="E130" s="28">
        <f t="shared" ca="1" si="2"/>
        <v>0.14214560199541815</v>
      </c>
      <c r="G130" s="28">
        <f t="shared" ca="1" si="3"/>
        <v>0.31716750413300532</v>
      </c>
      <c r="L130" s="28"/>
    </row>
    <row r="131" spans="1:12" x14ac:dyDescent="0.2">
      <c r="A131" s="27">
        <v>11</v>
      </c>
      <c r="B131" s="27">
        <v>1</v>
      </c>
      <c r="C131" s="27">
        <f ca="1"/>
        <v>14</v>
      </c>
      <c r="D131" s="28">
        <f ca="1"/>
        <v>10.409269155387181</v>
      </c>
      <c r="E131" s="28">
        <f t="shared" ref="E131:E194" ca="1" si="4">D131-A131</f>
        <v>-0.59073084461281944</v>
      </c>
      <c r="G131" s="28">
        <f t="shared" ref="G131:G194" ca="1" si="5">_xlfn.NORM.DIST(E131,0,$F$2,FALSE)</f>
        <v>0.28548233893943797</v>
      </c>
      <c r="L131" s="28"/>
    </row>
    <row r="132" spans="1:12" x14ac:dyDescent="0.2">
      <c r="A132" s="27">
        <v>11</v>
      </c>
      <c r="B132" s="27">
        <v>1</v>
      </c>
      <c r="C132" s="27">
        <f ca="1"/>
        <v>15</v>
      </c>
      <c r="D132" s="28">
        <f ca="1"/>
        <v>11.09248826703924</v>
      </c>
      <c r="E132" s="28">
        <f t="shared" ca="1" si="4"/>
        <v>9.2488267039239958E-2</v>
      </c>
      <c r="G132" s="28">
        <f t="shared" ca="1" si="5"/>
        <v>0.31835277839425191</v>
      </c>
      <c r="L132" s="28"/>
    </row>
    <row r="133" spans="1:12" x14ac:dyDescent="0.2">
      <c r="A133" s="27">
        <v>12</v>
      </c>
      <c r="B133" s="27">
        <v>1</v>
      </c>
      <c r="C133" s="27">
        <f ca="1"/>
        <v>18</v>
      </c>
      <c r="D133" s="28">
        <f ca="1"/>
        <v>13.142145601995418</v>
      </c>
      <c r="E133" s="28">
        <f t="shared" ca="1" si="4"/>
        <v>1.1421456019954181</v>
      </c>
      <c r="G133" s="28">
        <f t="shared" ca="1" si="5"/>
        <v>0.21024457151414655</v>
      </c>
      <c r="L133" s="28"/>
    </row>
    <row r="134" spans="1:12" x14ac:dyDescent="0.2">
      <c r="A134" s="27">
        <v>12</v>
      </c>
      <c r="B134" s="27">
        <v>1</v>
      </c>
      <c r="C134" s="27">
        <f ca="1"/>
        <v>18</v>
      </c>
      <c r="D134" s="28">
        <f ca="1"/>
        <v>13.142145601995418</v>
      </c>
      <c r="E134" s="28">
        <f t="shared" ca="1" si="4"/>
        <v>1.1421456019954181</v>
      </c>
      <c r="G134" s="28">
        <f t="shared" ca="1" si="5"/>
        <v>0.21024457151414655</v>
      </c>
      <c r="L134" s="28"/>
    </row>
    <row r="135" spans="1:12" x14ac:dyDescent="0.2">
      <c r="A135" s="27">
        <v>11</v>
      </c>
      <c r="B135" s="27">
        <v>1</v>
      </c>
      <c r="C135" s="27">
        <f ca="1"/>
        <v>15</v>
      </c>
      <c r="D135" s="28">
        <f ca="1"/>
        <v>11.09248826703924</v>
      </c>
      <c r="E135" s="28">
        <f t="shared" ca="1" si="4"/>
        <v>9.2488267039239958E-2</v>
      </c>
      <c r="G135" s="28">
        <f t="shared" ca="1" si="5"/>
        <v>0.31835277839425191</v>
      </c>
      <c r="L135" s="28"/>
    </row>
    <row r="136" spans="1:12" x14ac:dyDescent="0.2">
      <c r="A136" s="27">
        <v>11</v>
      </c>
      <c r="B136" s="27">
        <v>1</v>
      </c>
      <c r="C136" s="27">
        <f ca="1"/>
        <v>17</v>
      </c>
      <c r="D136" s="28">
        <f ca="1"/>
        <v>12.458926490343359</v>
      </c>
      <c r="E136" s="28">
        <f t="shared" ca="1" si="4"/>
        <v>1.4589264903433588</v>
      </c>
      <c r="G136" s="28">
        <f t="shared" ca="1" si="5"/>
        <v>0.16149629011123415</v>
      </c>
      <c r="L136" s="28"/>
    </row>
    <row r="137" spans="1:12" x14ac:dyDescent="0.2">
      <c r="A137" s="27">
        <v>11</v>
      </c>
      <c r="B137" s="27">
        <v>1</v>
      </c>
      <c r="C137" s="27">
        <f ca="1"/>
        <v>16</v>
      </c>
      <c r="D137" s="28">
        <f ca="1"/>
        <v>11.775707378691299</v>
      </c>
      <c r="E137" s="28">
        <f t="shared" ca="1" si="4"/>
        <v>0.77570737869129935</v>
      </c>
      <c r="G137" s="28">
        <f t="shared" ca="1" si="5"/>
        <v>0.26329124156712214</v>
      </c>
      <c r="L137" s="28"/>
    </row>
    <row r="138" spans="1:12" x14ac:dyDescent="0.2">
      <c r="A138" s="27">
        <v>12</v>
      </c>
      <c r="B138" s="27">
        <v>1</v>
      </c>
      <c r="C138" s="27">
        <f ca="1"/>
        <v>18</v>
      </c>
      <c r="D138" s="28">
        <f ca="1"/>
        <v>13.142145601995418</v>
      </c>
      <c r="E138" s="28">
        <f t="shared" ca="1" si="4"/>
        <v>1.1421456019954181</v>
      </c>
      <c r="G138" s="28">
        <f t="shared" ca="1" si="5"/>
        <v>0.21024457151414655</v>
      </c>
      <c r="L138" s="28"/>
    </row>
    <row r="139" spans="1:12" x14ac:dyDescent="0.2">
      <c r="A139" s="27">
        <v>14</v>
      </c>
      <c r="B139" s="27">
        <v>1</v>
      </c>
      <c r="C139" s="27">
        <f ca="1"/>
        <v>17</v>
      </c>
      <c r="D139" s="28">
        <f ca="1"/>
        <v>12.458926490343359</v>
      </c>
      <c r="E139" s="28">
        <f t="shared" ca="1" si="4"/>
        <v>-1.5410735096566412</v>
      </c>
      <c r="G139" s="28">
        <f t="shared" ca="1" si="5"/>
        <v>0.14924443441661395</v>
      </c>
      <c r="L139" s="28"/>
    </row>
    <row r="140" spans="1:12" x14ac:dyDescent="0.2">
      <c r="A140" s="27">
        <v>13</v>
      </c>
      <c r="B140" s="27">
        <v>1</v>
      </c>
      <c r="C140" s="27">
        <f ca="1"/>
        <v>19</v>
      </c>
      <c r="D140" s="28">
        <f ca="1"/>
        <v>13.825364713647479</v>
      </c>
      <c r="E140" s="28">
        <f t="shared" ca="1" si="4"/>
        <v>0.82536471364747932</v>
      </c>
      <c r="G140" s="28">
        <f t="shared" ca="1" si="5"/>
        <v>0.25667424064304967</v>
      </c>
      <c r="L140" s="28"/>
    </row>
    <row r="141" spans="1:12" x14ac:dyDescent="0.2">
      <c r="A141" s="27">
        <v>13</v>
      </c>
      <c r="B141" s="27">
        <v>1</v>
      </c>
      <c r="C141" s="27">
        <f ca="1"/>
        <v>19</v>
      </c>
      <c r="D141" s="28">
        <f ca="1"/>
        <v>13.825364713647479</v>
      </c>
      <c r="E141" s="28">
        <f t="shared" ca="1" si="4"/>
        <v>0.82536471364747932</v>
      </c>
      <c r="G141" s="28">
        <f t="shared" ca="1" si="5"/>
        <v>0.25667424064304967</v>
      </c>
      <c r="L141" s="28"/>
    </row>
    <row r="142" spans="1:12" x14ac:dyDescent="0.2">
      <c r="A142" s="27">
        <v>13</v>
      </c>
      <c r="B142" s="27">
        <v>1</v>
      </c>
      <c r="C142" s="27">
        <f ca="1"/>
        <v>17</v>
      </c>
      <c r="D142" s="28">
        <f ca="1"/>
        <v>12.458926490343359</v>
      </c>
      <c r="E142" s="28">
        <f t="shared" ca="1" si="4"/>
        <v>-0.54107350965664125</v>
      </c>
      <c r="G142" s="28">
        <f t="shared" ca="1" si="5"/>
        <v>0.29066547731752662</v>
      </c>
      <c r="L142" s="28"/>
    </row>
    <row r="143" spans="1:12" x14ac:dyDescent="0.2">
      <c r="A143" s="27">
        <v>21</v>
      </c>
      <c r="B143" s="27">
        <v>1</v>
      </c>
      <c r="C143" s="27">
        <f ca="1"/>
        <v>29</v>
      </c>
      <c r="D143" s="28">
        <f ca="1"/>
        <v>20.657555830168075</v>
      </c>
      <c r="E143" s="28">
        <f t="shared" ca="1" si="4"/>
        <v>-0.34244416983192494</v>
      </c>
      <c r="G143" s="28">
        <f t="shared" ca="1" si="5"/>
        <v>0.30746337812452051</v>
      </c>
      <c r="L143" s="28"/>
    </row>
    <row r="144" spans="1:12" x14ac:dyDescent="0.2">
      <c r="A144" s="27">
        <v>19</v>
      </c>
      <c r="B144" s="27">
        <v>1</v>
      </c>
      <c r="C144" s="27">
        <f ca="1"/>
        <v>27</v>
      </c>
      <c r="D144" s="28">
        <f ca="1"/>
        <v>19.291117606863956</v>
      </c>
      <c r="E144" s="28">
        <f t="shared" ca="1" si="4"/>
        <v>0.29111760686395627</v>
      </c>
      <c r="G144" s="28">
        <f t="shared" ca="1" si="5"/>
        <v>0.31068098494392388</v>
      </c>
      <c r="L144" s="28"/>
    </row>
    <row r="145" spans="1:12" x14ac:dyDescent="0.2">
      <c r="A145" s="27">
        <v>23</v>
      </c>
      <c r="B145" s="27">
        <v>1</v>
      </c>
      <c r="C145" s="27">
        <f ca="1"/>
        <v>31</v>
      </c>
      <c r="D145" s="28">
        <f ca="1"/>
        <v>22.023994053472194</v>
      </c>
      <c r="E145" s="28">
        <f t="shared" ca="1" si="4"/>
        <v>-0.97600594652780615</v>
      </c>
      <c r="G145" s="28">
        <f t="shared" ca="1" si="5"/>
        <v>0.23531690641077893</v>
      </c>
      <c r="L145" s="28"/>
    </row>
    <row r="146" spans="1:12" x14ac:dyDescent="0.2">
      <c r="A146" s="27">
        <v>23</v>
      </c>
      <c r="B146" s="27">
        <v>1</v>
      </c>
      <c r="C146" s="27">
        <f ca="1"/>
        <v>32</v>
      </c>
      <c r="D146" s="28">
        <f ca="1"/>
        <v>22.707213165124255</v>
      </c>
      <c r="E146" s="28">
        <f t="shared" ca="1" si="4"/>
        <v>-0.29278683487574497</v>
      </c>
      <c r="G146" s="28">
        <f t="shared" ca="1" si="5"/>
        <v>0.31058405673494627</v>
      </c>
      <c r="L146" s="28"/>
    </row>
    <row r="147" spans="1:12" x14ac:dyDescent="0.2">
      <c r="A147" s="27">
        <v>19</v>
      </c>
      <c r="B147" s="27">
        <v>1</v>
      </c>
      <c r="C147" s="27">
        <f ca="1"/>
        <v>27</v>
      </c>
      <c r="D147" s="28">
        <f ca="1"/>
        <v>19.291117606863956</v>
      </c>
      <c r="E147" s="28">
        <f t="shared" ca="1" si="4"/>
        <v>0.29111760686395627</v>
      </c>
      <c r="G147" s="28">
        <f t="shared" ca="1" si="5"/>
        <v>0.31068098494392388</v>
      </c>
      <c r="L147" s="28"/>
    </row>
    <row r="148" spans="1:12" x14ac:dyDescent="0.2">
      <c r="A148" s="27">
        <v>19</v>
      </c>
      <c r="B148" s="27">
        <v>1</v>
      </c>
      <c r="C148" s="27">
        <f ca="1"/>
        <v>26</v>
      </c>
      <c r="D148" s="28">
        <f ca="1"/>
        <v>18.607898495211895</v>
      </c>
      <c r="E148" s="28">
        <f t="shared" ca="1" si="4"/>
        <v>-0.3921015047881049</v>
      </c>
      <c r="G148" s="28">
        <f t="shared" ca="1" si="5"/>
        <v>0.30389387162696274</v>
      </c>
      <c r="L148" s="28"/>
    </row>
    <row r="149" spans="1:12" x14ac:dyDescent="0.2">
      <c r="A149" s="27">
        <v>18</v>
      </c>
      <c r="B149" s="27">
        <v>1</v>
      </c>
      <c r="C149" s="27">
        <f ca="1"/>
        <v>26</v>
      </c>
      <c r="D149" s="28">
        <f ca="1"/>
        <v>18.607898495211895</v>
      </c>
      <c r="E149" s="28">
        <f t="shared" ca="1" si="4"/>
        <v>0.6078984952118951</v>
      </c>
      <c r="G149" s="28">
        <f t="shared" ca="1" si="5"/>
        <v>0.28360781451993688</v>
      </c>
      <c r="L149" s="28"/>
    </row>
    <row r="150" spans="1:12" x14ac:dyDescent="0.2">
      <c r="A150" s="27">
        <v>19</v>
      </c>
      <c r="B150" s="27">
        <v>1</v>
      </c>
      <c r="C150" s="27">
        <f ca="1"/>
        <v>25</v>
      </c>
      <c r="D150" s="28">
        <f ca="1"/>
        <v>17.924679383559837</v>
      </c>
      <c r="E150" s="28">
        <f t="shared" ca="1" si="4"/>
        <v>-1.0753206164401625</v>
      </c>
      <c r="G150" s="28">
        <f t="shared" ca="1" si="5"/>
        <v>0.22045887184038612</v>
      </c>
      <c r="L150" s="28"/>
    </row>
    <row r="151" spans="1:12" x14ac:dyDescent="0.2">
      <c r="A151" s="27">
        <v>19</v>
      </c>
      <c r="B151" s="27">
        <v>1</v>
      </c>
      <c r="C151" s="27">
        <f ca="1"/>
        <v>25</v>
      </c>
      <c r="D151" s="28">
        <f ca="1"/>
        <v>17.924679383559837</v>
      </c>
      <c r="E151" s="28">
        <f t="shared" ca="1" si="4"/>
        <v>-1.0753206164401625</v>
      </c>
      <c r="G151" s="28">
        <f t="shared" ca="1" si="5"/>
        <v>0.22045887184038612</v>
      </c>
      <c r="L151" s="28"/>
    </row>
    <row r="152" spans="1:12" x14ac:dyDescent="0.2">
      <c r="A152" s="27">
        <v>14</v>
      </c>
      <c r="B152" s="27">
        <v>1</v>
      </c>
      <c r="C152" s="27">
        <f ca="1"/>
        <v>17</v>
      </c>
      <c r="D152" s="28">
        <f ca="1"/>
        <v>12.458926490343359</v>
      </c>
      <c r="E152" s="28">
        <f t="shared" ca="1" si="4"/>
        <v>-1.5410735096566412</v>
      </c>
      <c r="G152" s="28">
        <f t="shared" ca="1" si="5"/>
        <v>0.14924443441661395</v>
      </c>
      <c r="L152" s="28"/>
    </row>
    <row r="153" spans="1:12" x14ac:dyDescent="0.2">
      <c r="A153" s="27">
        <v>15</v>
      </c>
      <c r="B153" s="27">
        <v>1</v>
      </c>
      <c r="C153" s="27">
        <f ca="1"/>
        <v>17</v>
      </c>
      <c r="D153" s="28">
        <f ca="1"/>
        <v>12.458926490343359</v>
      </c>
      <c r="E153" s="28">
        <f t="shared" ca="1" si="4"/>
        <v>-2.5410735096566412</v>
      </c>
      <c r="G153" s="28">
        <f t="shared" ca="1" si="5"/>
        <v>4.0395128664178985E-2</v>
      </c>
      <c r="L153" s="28"/>
    </row>
    <row r="154" spans="1:12" x14ac:dyDescent="0.2">
      <c r="A154" s="27">
        <v>14</v>
      </c>
      <c r="B154" s="27">
        <v>1</v>
      </c>
      <c r="C154" s="27">
        <f ca="1"/>
        <v>20</v>
      </c>
      <c r="D154" s="28">
        <f ca="1"/>
        <v>14.508583825299539</v>
      </c>
      <c r="E154" s="28">
        <f t="shared" ca="1" si="4"/>
        <v>0.50858382529953872</v>
      </c>
      <c r="G154" s="28">
        <f t="shared" ca="1" si="5"/>
        <v>0.29385631906225068</v>
      </c>
      <c r="L154" s="28"/>
    </row>
    <row r="155" spans="1:12" x14ac:dyDescent="0.2">
      <c r="A155" s="27">
        <v>12</v>
      </c>
      <c r="B155" s="27">
        <v>1</v>
      </c>
      <c r="C155" s="27">
        <f ca="1"/>
        <v>18</v>
      </c>
      <c r="D155" s="28">
        <f ca="1"/>
        <v>13.142145601995418</v>
      </c>
      <c r="E155" s="28">
        <f t="shared" ca="1" si="4"/>
        <v>1.1421456019954181</v>
      </c>
      <c r="G155" s="28">
        <f t="shared" ca="1" si="5"/>
        <v>0.21024457151414655</v>
      </c>
      <c r="L155" s="28"/>
    </row>
    <row r="156" spans="1:12" x14ac:dyDescent="0.2">
      <c r="A156" s="27">
        <v>18</v>
      </c>
      <c r="B156" s="27">
        <v>1</v>
      </c>
      <c r="C156" s="27">
        <f ca="1"/>
        <v>26</v>
      </c>
      <c r="D156" s="28">
        <f ca="1"/>
        <v>18.607898495211895</v>
      </c>
      <c r="E156" s="28">
        <f t="shared" ca="1" si="4"/>
        <v>0.6078984952118951</v>
      </c>
      <c r="G156" s="28">
        <f t="shared" ca="1" si="5"/>
        <v>0.28360781451993688</v>
      </c>
      <c r="L156" s="28"/>
    </row>
    <row r="157" spans="1:12" x14ac:dyDescent="0.2">
      <c r="A157" s="27">
        <v>16</v>
      </c>
      <c r="B157" s="27">
        <v>1</v>
      </c>
      <c r="C157" s="27">
        <f ca="1"/>
        <v>26</v>
      </c>
      <c r="D157" s="28">
        <f ca="1"/>
        <v>18.607898495211895</v>
      </c>
      <c r="E157" s="28">
        <f t="shared" ca="1" si="4"/>
        <v>2.6078984952118951</v>
      </c>
      <c r="G157" s="28">
        <f t="shared" ca="1" si="5"/>
        <v>3.6181717224349638E-2</v>
      </c>
      <c r="L157" s="28"/>
    </row>
    <row r="158" spans="1:12" x14ac:dyDescent="0.2">
      <c r="A158" s="27">
        <v>17</v>
      </c>
      <c r="B158" s="27">
        <v>1</v>
      </c>
      <c r="C158" s="27">
        <f ca="1"/>
        <v>27</v>
      </c>
      <c r="D158" s="28">
        <f ca="1"/>
        <v>19.291117606863956</v>
      </c>
      <c r="E158" s="28">
        <f t="shared" ca="1" si="4"/>
        <v>2.2911176068639563</v>
      </c>
      <c r="G158" s="28">
        <f t="shared" ca="1" si="5"/>
        <v>5.9465162689867283E-2</v>
      </c>
      <c r="L158" s="28"/>
    </row>
    <row r="159" spans="1:12" x14ac:dyDescent="0.2">
      <c r="A159" s="27">
        <v>18</v>
      </c>
      <c r="B159" s="27">
        <v>1</v>
      </c>
      <c r="C159" s="27">
        <f ca="1"/>
        <v>28</v>
      </c>
      <c r="D159" s="28">
        <f ca="1"/>
        <v>19.974336718516017</v>
      </c>
      <c r="E159" s="28">
        <f t="shared" ca="1" si="4"/>
        <v>1.9743367185160174</v>
      </c>
      <c r="G159" s="28">
        <f t="shared" ca="1" si="5"/>
        <v>9.1649753525670924E-2</v>
      </c>
      <c r="L159" s="28"/>
    </row>
    <row r="160" spans="1:12" x14ac:dyDescent="0.2">
      <c r="A160" s="27">
        <v>16</v>
      </c>
      <c r="B160" s="27">
        <v>1</v>
      </c>
      <c r="C160" s="27">
        <f ca="1"/>
        <v>25</v>
      </c>
      <c r="D160" s="28">
        <f ca="1"/>
        <v>17.924679383559837</v>
      </c>
      <c r="E160" s="28">
        <f t="shared" ca="1" si="4"/>
        <v>1.9246793835598375</v>
      </c>
      <c r="G160" s="28">
        <f t="shared" ca="1" si="5"/>
        <v>9.7510391399401958E-2</v>
      </c>
      <c r="L160" s="28"/>
    </row>
    <row r="161" spans="1:12" x14ac:dyDescent="0.2">
      <c r="A161" s="27">
        <v>18</v>
      </c>
      <c r="B161" s="27">
        <v>1</v>
      </c>
      <c r="C161" s="27">
        <f ca="1"/>
        <v>25</v>
      </c>
      <c r="D161" s="28">
        <f ca="1"/>
        <v>17.924679383559837</v>
      </c>
      <c r="E161" s="28">
        <f t="shared" ca="1" si="4"/>
        <v>-7.5320616440162524E-2</v>
      </c>
      <c r="G161" s="28">
        <f t="shared" ca="1" si="5"/>
        <v>0.3186465302206829</v>
      </c>
      <c r="L161" s="28"/>
    </row>
    <row r="162" spans="1:12" x14ac:dyDescent="0.2">
      <c r="A162" s="27">
        <v>18</v>
      </c>
      <c r="B162" s="27">
        <v>1</v>
      </c>
      <c r="C162" s="27">
        <f ca="1"/>
        <v>24</v>
      </c>
      <c r="D162" s="28">
        <f ca="1"/>
        <v>17.241460271907776</v>
      </c>
      <c r="E162" s="28">
        <f t="shared" ca="1" si="4"/>
        <v>-0.7585397280922237</v>
      </c>
      <c r="G162" s="28">
        <f t="shared" ca="1" si="5"/>
        <v>0.2655208098682208</v>
      </c>
      <c r="L162" s="28"/>
    </row>
    <row r="163" spans="1:12" x14ac:dyDescent="0.2">
      <c r="A163" s="27">
        <v>20</v>
      </c>
      <c r="B163" s="27">
        <v>1</v>
      </c>
      <c r="C163" s="27">
        <f ca="1"/>
        <v>27</v>
      </c>
      <c r="D163" s="28">
        <f ca="1"/>
        <v>19.291117606863956</v>
      </c>
      <c r="E163" s="28">
        <f t="shared" ca="1" si="4"/>
        <v>-0.70888239313604373</v>
      </c>
      <c r="G163" s="28">
        <f t="shared" ca="1" si="5"/>
        <v>0.2717877911689337</v>
      </c>
      <c r="L163" s="28"/>
    </row>
    <row r="164" spans="1:12" x14ac:dyDescent="0.2">
      <c r="A164" s="27">
        <v>19</v>
      </c>
      <c r="B164" s="27">
        <v>1</v>
      </c>
      <c r="C164" s="27">
        <f ca="1"/>
        <v>25</v>
      </c>
      <c r="D164" s="28">
        <f ca="1"/>
        <v>17.924679383559837</v>
      </c>
      <c r="E164" s="28">
        <f t="shared" ca="1" si="4"/>
        <v>-1.0753206164401625</v>
      </c>
      <c r="G164" s="28">
        <f t="shared" ca="1" si="5"/>
        <v>0.22045887184038612</v>
      </c>
      <c r="L164" s="28"/>
    </row>
    <row r="165" spans="1:12" x14ac:dyDescent="0.2">
      <c r="A165" s="27">
        <v>20</v>
      </c>
      <c r="B165" s="27">
        <v>1</v>
      </c>
      <c r="C165" s="27">
        <f ca="1"/>
        <v>26</v>
      </c>
      <c r="D165" s="28">
        <f ca="1"/>
        <v>18.607898495211895</v>
      </c>
      <c r="E165" s="28">
        <f t="shared" ca="1" si="4"/>
        <v>-1.3921015047881049</v>
      </c>
      <c r="G165" s="28">
        <f t="shared" ca="1" si="5"/>
        <v>0.17165317899794366</v>
      </c>
      <c r="L165" s="28"/>
    </row>
    <row r="166" spans="1:12" x14ac:dyDescent="0.2">
      <c r="A166" s="27">
        <v>18</v>
      </c>
      <c r="B166" s="27">
        <v>1</v>
      </c>
      <c r="C166" s="27">
        <f ca="1"/>
        <v>23</v>
      </c>
      <c r="D166" s="28">
        <f ca="1"/>
        <v>16.558241160255715</v>
      </c>
      <c r="E166" s="28">
        <f t="shared" ca="1" si="4"/>
        <v>-1.4417588397442849</v>
      </c>
      <c r="G166" s="28">
        <f t="shared" ca="1" si="5"/>
        <v>0.16409158276943275</v>
      </c>
      <c r="L166" s="28"/>
    </row>
    <row r="167" spans="1:12" x14ac:dyDescent="0.2">
      <c r="A167" s="27">
        <v>21</v>
      </c>
      <c r="B167" s="27">
        <v>1</v>
      </c>
      <c r="C167" s="27">
        <f ca="1"/>
        <v>26</v>
      </c>
      <c r="D167" s="28">
        <f ca="1"/>
        <v>18.607898495211895</v>
      </c>
      <c r="E167" s="28">
        <f t="shared" ca="1" si="4"/>
        <v>-2.3921015047881049</v>
      </c>
      <c r="G167" s="28">
        <f t="shared" ca="1" si="5"/>
        <v>5.1110239922417852E-2</v>
      </c>
      <c r="L167" s="28"/>
    </row>
    <row r="168" spans="1:12" x14ac:dyDescent="0.2">
      <c r="A168" s="27">
        <v>19</v>
      </c>
      <c r="B168" s="27">
        <v>1</v>
      </c>
      <c r="C168" s="27">
        <f ca="1"/>
        <v>26</v>
      </c>
      <c r="D168" s="28">
        <f ca="1"/>
        <v>18.607898495211895</v>
      </c>
      <c r="E168" s="28">
        <f t="shared" ca="1" si="4"/>
        <v>-0.3921015047881049</v>
      </c>
      <c r="G168" s="28">
        <f t="shared" ca="1" si="5"/>
        <v>0.30389387162696274</v>
      </c>
      <c r="L168" s="28"/>
    </row>
    <row r="169" spans="1:12" x14ac:dyDescent="0.2">
      <c r="A169" s="27">
        <v>19</v>
      </c>
      <c r="B169" s="27">
        <v>1</v>
      </c>
      <c r="C169" s="27">
        <f ca="1"/>
        <v>26</v>
      </c>
      <c r="D169" s="28">
        <f ca="1"/>
        <v>18.607898495211895</v>
      </c>
      <c r="E169" s="28">
        <f t="shared" ca="1" si="4"/>
        <v>-0.3921015047881049</v>
      </c>
      <c r="G169" s="28">
        <f t="shared" ca="1" si="5"/>
        <v>0.30389387162696274</v>
      </c>
      <c r="L169" s="28"/>
    </row>
    <row r="170" spans="1:12" x14ac:dyDescent="0.2">
      <c r="A170" s="27">
        <v>19</v>
      </c>
      <c r="B170" s="27">
        <v>1</v>
      </c>
      <c r="C170" s="27">
        <f ca="1"/>
        <v>26</v>
      </c>
      <c r="D170" s="28">
        <f ca="1"/>
        <v>18.607898495211895</v>
      </c>
      <c r="E170" s="28">
        <f t="shared" ca="1" si="4"/>
        <v>-0.3921015047881049</v>
      </c>
      <c r="G170" s="28">
        <f t="shared" ca="1" si="5"/>
        <v>0.30389387162696274</v>
      </c>
      <c r="L170" s="28"/>
    </row>
    <row r="171" spans="1:12" x14ac:dyDescent="0.2">
      <c r="A171" s="27">
        <v>20</v>
      </c>
      <c r="B171" s="27">
        <v>1</v>
      </c>
      <c r="C171" s="27">
        <f ca="1"/>
        <v>25</v>
      </c>
      <c r="D171" s="28">
        <f ca="1"/>
        <v>17.924679383559837</v>
      </c>
      <c r="E171" s="28">
        <f t="shared" ca="1" si="4"/>
        <v>-2.0753206164401625</v>
      </c>
      <c r="G171" s="28">
        <f t="shared" ca="1" si="5"/>
        <v>8.0402976672096699E-2</v>
      </c>
      <c r="L171" s="28"/>
    </row>
    <row r="172" spans="1:12" x14ac:dyDescent="0.2">
      <c r="A172" s="27">
        <v>20</v>
      </c>
      <c r="B172" s="27">
        <v>1</v>
      </c>
      <c r="C172" s="27">
        <f ca="1"/>
        <v>27</v>
      </c>
      <c r="D172" s="28">
        <f ca="1"/>
        <v>19.291117606863956</v>
      </c>
      <c r="E172" s="28">
        <f t="shared" ca="1" si="4"/>
        <v>-0.70888239313604373</v>
      </c>
      <c r="G172" s="28">
        <f t="shared" ca="1" si="5"/>
        <v>0.2717877911689337</v>
      </c>
      <c r="L172" s="28"/>
    </row>
    <row r="173" spans="1:12" x14ac:dyDescent="0.2">
      <c r="A173" s="27">
        <v>19</v>
      </c>
      <c r="B173" s="27">
        <v>1</v>
      </c>
      <c r="C173" s="27">
        <f ca="1"/>
        <v>25</v>
      </c>
      <c r="D173" s="28">
        <f ca="1"/>
        <v>17.924679383559837</v>
      </c>
      <c r="E173" s="28">
        <f t="shared" ca="1" si="4"/>
        <v>-1.0753206164401625</v>
      </c>
      <c r="G173" s="28">
        <f t="shared" ca="1" si="5"/>
        <v>0.22045887184038612</v>
      </c>
      <c r="L173" s="28"/>
    </row>
    <row r="174" spans="1:12" x14ac:dyDescent="0.2">
      <c r="A174" s="27">
        <v>20</v>
      </c>
      <c r="B174" s="27">
        <v>1</v>
      </c>
      <c r="C174" s="27">
        <f ca="1"/>
        <v>27</v>
      </c>
      <c r="D174" s="28">
        <f ca="1"/>
        <v>19.291117606863956</v>
      </c>
      <c r="E174" s="28">
        <f t="shared" ca="1" si="4"/>
        <v>-0.70888239313604373</v>
      </c>
      <c r="G174" s="28">
        <f t="shared" ca="1" si="5"/>
        <v>0.2717877911689337</v>
      </c>
      <c r="L174" s="28"/>
    </row>
    <row r="175" spans="1:12" x14ac:dyDescent="0.2">
      <c r="A175" s="27">
        <v>15</v>
      </c>
      <c r="B175" s="27">
        <v>1</v>
      </c>
      <c r="C175" s="27">
        <f ca="1"/>
        <v>20</v>
      </c>
      <c r="D175" s="28">
        <f ca="1"/>
        <v>14.508583825299539</v>
      </c>
      <c r="E175" s="28">
        <f t="shared" ca="1" si="4"/>
        <v>-0.49141617470046128</v>
      </c>
      <c r="G175" s="28">
        <f t="shared" ca="1" si="5"/>
        <v>0.29547583692562635</v>
      </c>
      <c r="L175" s="28"/>
    </row>
    <row r="176" spans="1:12" x14ac:dyDescent="0.2">
      <c r="A176" s="27">
        <v>16</v>
      </c>
      <c r="B176" s="27">
        <v>1</v>
      </c>
      <c r="C176" s="27">
        <f ca="1"/>
        <v>20</v>
      </c>
      <c r="D176" s="28">
        <f ca="1"/>
        <v>14.508583825299539</v>
      </c>
      <c r="E176" s="28">
        <f t="shared" ca="1" si="4"/>
        <v>-1.4914161747004613</v>
      </c>
      <c r="G176" s="28">
        <f t="shared" ca="1" si="5"/>
        <v>0.15661561802916329</v>
      </c>
      <c r="L176" s="28"/>
    </row>
    <row r="177" spans="1:12" x14ac:dyDescent="0.2">
      <c r="A177" s="27">
        <v>15</v>
      </c>
      <c r="B177" s="27">
        <v>1</v>
      </c>
      <c r="C177" s="27">
        <f ca="1"/>
        <v>19</v>
      </c>
      <c r="D177" s="28">
        <f ca="1"/>
        <v>13.825364713647479</v>
      </c>
      <c r="E177" s="28">
        <f t="shared" ca="1" si="4"/>
        <v>-1.1746352863525207</v>
      </c>
      <c r="G177" s="28">
        <f t="shared" ca="1" si="5"/>
        <v>0.20523871008550823</v>
      </c>
      <c r="L177" s="28"/>
    </row>
    <row r="178" spans="1:12" x14ac:dyDescent="0.2">
      <c r="A178" s="27">
        <v>15</v>
      </c>
      <c r="B178" s="27">
        <v>1</v>
      </c>
      <c r="C178" s="27">
        <f ca="1"/>
        <v>17</v>
      </c>
      <c r="D178" s="28">
        <f ca="1"/>
        <v>12.458926490343359</v>
      </c>
      <c r="E178" s="28">
        <f t="shared" ca="1" si="4"/>
        <v>-2.5410735096566412</v>
      </c>
      <c r="G178" s="28">
        <f t="shared" ca="1" si="5"/>
        <v>4.0395128664178985E-2</v>
      </c>
      <c r="L178" s="28"/>
    </row>
    <row r="179" spans="1:12" x14ac:dyDescent="0.2">
      <c r="A179" s="27">
        <v>16</v>
      </c>
      <c r="B179" s="27">
        <v>1</v>
      </c>
      <c r="C179" s="27">
        <f ca="1"/>
        <v>20</v>
      </c>
      <c r="D179" s="28">
        <f ca="1"/>
        <v>14.508583825299539</v>
      </c>
      <c r="E179" s="28">
        <f t="shared" ca="1" si="4"/>
        <v>-1.4914161747004613</v>
      </c>
      <c r="G179" s="28">
        <f t="shared" ca="1" si="5"/>
        <v>0.15661561802916329</v>
      </c>
      <c r="L179" s="28"/>
    </row>
    <row r="180" spans="1:12" x14ac:dyDescent="0.2">
      <c r="A180" s="27">
        <v>14</v>
      </c>
      <c r="B180" s="27">
        <v>1</v>
      </c>
      <c r="C180" s="27">
        <f ca="1"/>
        <v>17</v>
      </c>
      <c r="D180" s="28">
        <f ca="1"/>
        <v>12.458926490343359</v>
      </c>
      <c r="E180" s="28">
        <f t="shared" ca="1" si="4"/>
        <v>-1.5410735096566412</v>
      </c>
      <c r="G180" s="28">
        <f t="shared" ca="1" si="5"/>
        <v>0.14924443441661395</v>
      </c>
      <c r="L180" s="28"/>
    </row>
    <row r="181" spans="1:12" x14ac:dyDescent="0.2">
      <c r="A181" s="27">
        <v>21</v>
      </c>
      <c r="B181" s="27">
        <v>1</v>
      </c>
      <c r="C181" s="27">
        <f ca="1"/>
        <v>29</v>
      </c>
      <c r="D181" s="28">
        <f ca="1"/>
        <v>20.657555830168075</v>
      </c>
      <c r="E181" s="28">
        <f t="shared" ca="1" si="4"/>
        <v>-0.34244416983192494</v>
      </c>
      <c r="G181" s="28">
        <f t="shared" ca="1" si="5"/>
        <v>0.30746337812452051</v>
      </c>
      <c r="L181" s="28"/>
    </row>
    <row r="182" spans="1:12" x14ac:dyDescent="0.2">
      <c r="A182" s="27">
        <v>21</v>
      </c>
      <c r="B182" s="27">
        <v>1</v>
      </c>
      <c r="C182" s="27">
        <f ca="1"/>
        <v>27</v>
      </c>
      <c r="D182" s="28">
        <f ca="1"/>
        <v>19.291117606863956</v>
      </c>
      <c r="E182" s="28">
        <f t="shared" ca="1" si="4"/>
        <v>-1.7088823931360437</v>
      </c>
      <c r="G182" s="28">
        <f t="shared" ca="1" si="5"/>
        <v>0.12533471414208935</v>
      </c>
      <c r="L182" s="28"/>
    </row>
    <row r="183" spans="1:12" x14ac:dyDescent="0.2">
      <c r="A183" s="27">
        <v>21</v>
      </c>
      <c r="B183" s="27">
        <v>1</v>
      </c>
      <c r="C183" s="27">
        <f ca="1"/>
        <v>31</v>
      </c>
      <c r="D183" s="28">
        <f ca="1"/>
        <v>22.023994053472194</v>
      </c>
      <c r="E183" s="28">
        <f t="shared" ca="1" si="4"/>
        <v>1.0239940534721939</v>
      </c>
      <c r="G183" s="28">
        <f t="shared" ca="1" si="5"/>
        <v>0.22819645484299309</v>
      </c>
      <c r="L183" s="28"/>
    </row>
    <row r="184" spans="1:12" x14ac:dyDescent="0.2">
      <c r="A184" s="27">
        <v>21</v>
      </c>
      <c r="B184" s="27">
        <v>1</v>
      </c>
      <c r="C184" s="27">
        <f ca="1"/>
        <v>31</v>
      </c>
      <c r="D184" s="28">
        <f ca="1"/>
        <v>22.023994053472194</v>
      </c>
      <c r="E184" s="28">
        <f t="shared" ca="1" si="4"/>
        <v>1.0239940534721939</v>
      </c>
      <c r="G184" s="28">
        <f t="shared" ca="1" si="5"/>
        <v>0.22819645484299309</v>
      </c>
      <c r="L184" s="28"/>
    </row>
    <row r="185" spans="1:12" x14ac:dyDescent="0.2">
      <c r="A185" s="27">
        <v>18</v>
      </c>
      <c r="B185" s="27">
        <v>1</v>
      </c>
      <c r="C185" s="27">
        <f ca="1"/>
        <v>26</v>
      </c>
      <c r="D185" s="28">
        <f ca="1"/>
        <v>18.607898495211895</v>
      </c>
      <c r="E185" s="28">
        <f t="shared" ca="1" si="4"/>
        <v>0.6078984952118951</v>
      </c>
      <c r="G185" s="28">
        <f t="shared" ca="1" si="5"/>
        <v>0.28360781451993688</v>
      </c>
      <c r="L185" s="28"/>
    </row>
    <row r="186" spans="1:12" x14ac:dyDescent="0.2">
      <c r="A186" s="27">
        <v>18</v>
      </c>
      <c r="B186" s="27">
        <v>1</v>
      </c>
      <c r="C186" s="27">
        <f ca="1"/>
        <v>26</v>
      </c>
      <c r="D186" s="28">
        <f ca="1"/>
        <v>18.607898495211895</v>
      </c>
      <c r="E186" s="28">
        <f t="shared" ca="1" si="4"/>
        <v>0.6078984952118951</v>
      </c>
      <c r="G186" s="28">
        <f t="shared" ca="1" si="5"/>
        <v>0.28360781451993688</v>
      </c>
      <c r="L186" s="28"/>
    </row>
    <row r="187" spans="1:12" x14ac:dyDescent="0.2">
      <c r="A187" s="27">
        <v>19</v>
      </c>
      <c r="B187" s="27">
        <v>1</v>
      </c>
      <c r="C187" s="27">
        <f ca="1"/>
        <v>28</v>
      </c>
      <c r="D187" s="28">
        <f ca="1"/>
        <v>19.974336718516017</v>
      </c>
      <c r="E187" s="28">
        <f t="shared" ca="1" si="4"/>
        <v>0.97433671851601744</v>
      </c>
      <c r="G187" s="28">
        <f t="shared" ca="1" si="5"/>
        <v>0.23556229359930655</v>
      </c>
      <c r="L187" s="28"/>
    </row>
    <row r="188" spans="1:12" x14ac:dyDescent="0.2">
      <c r="A188" s="27">
        <v>21</v>
      </c>
      <c r="B188" s="27">
        <v>1</v>
      </c>
      <c r="C188" s="27">
        <f ca="1"/>
        <v>27</v>
      </c>
      <c r="D188" s="28">
        <f ca="1"/>
        <v>19.291117606863956</v>
      </c>
      <c r="E188" s="28">
        <f t="shared" ca="1" si="4"/>
        <v>-1.7088823931360437</v>
      </c>
      <c r="G188" s="28">
        <f t="shared" ca="1" si="5"/>
        <v>0.12533471414208935</v>
      </c>
      <c r="L188" s="28"/>
    </row>
    <row r="189" spans="1:12" x14ac:dyDescent="0.2">
      <c r="A189" s="27">
        <v>21</v>
      </c>
      <c r="B189" s="27">
        <v>1</v>
      </c>
      <c r="C189" s="27">
        <f ca="1"/>
        <v>29</v>
      </c>
      <c r="D189" s="28">
        <f ca="1"/>
        <v>20.657555830168075</v>
      </c>
      <c r="E189" s="28">
        <f t="shared" ca="1" si="4"/>
        <v>-0.34244416983192494</v>
      </c>
      <c r="G189" s="28">
        <f t="shared" ca="1" si="5"/>
        <v>0.30746337812452051</v>
      </c>
      <c r="L189" s="28"/>
    </row>
    <row r="190" spans="1:12" x14ac:dyDescent="0.2">
      <c r="A190" s="27">
        <v>21</v>
      </c>
      <c r="B190" s="27">
        <v>1</v>
      </c>
      <c r="C190" s="27">
        <f ca="1"/>
        <v>31</v>
      </c>
      <c r="D190" s="28">
        <f ca="1"/>
        <v>22.023994053472194</v>
      </c>
      <c r="E190" s="28">
        <f t="shared" ca="1" si="4"/>
        <v>1.0239940534721939</v>
      </c>
      <c r="G190" s="28">
        <f t="shared" ca="1" si="5"/>
        <v>0.22819645484299309</v>
      </c>
      <c r="L190" s="28"/>
    </row>
    <row r="191" spans="1:12" x14ac:dyDescent="0.2">
      <c r="A191" s="27">
        <v>22</v>
      </c>
      <c r="B191" s="27">
        <v>1</v>
      </c>
      <c r="C191" s="27">
        <f ca="1"/>
        <v>31</v>
      </c>
      <c r="D191" s="28">
        <f ca="1"/>
        <v>22.023994053472194</v>
      </c>
      <c r="E191" s="28">
        <f t="shared" ca="1" si="4"/>
        <v>2.3994053472193855E-2</v>
      </c>
      <c r="G191" s="28">
        <f t="shared" ca="1" si="5"/>
        <v>0.31916696345814999</v>
      </c>
      <c r="L191" s="28"/>
    </row>
    <row r="192" spans="1:12" x14ac:dyDescent="0.2">
      <c r="A192" s="27">
        <v>18</v>
      </c>
      <c r="B192" s="27">
        <v>1</v>
      </c>
      <c r="C192" s="27">
        <f ca="1"/>
        <v>26</v>
      </c>
      <c r="D192" s="28">
        <f ca="1"/>
        <v>18.607898495211895</v>
      </c>
      <c r="E192" s="28">
        <f t="shared" ca="1" si="4"/>
        <v>0.6078984952118951</v>
      </c>
      <c r="G192" s="28">
        <f t="shared" ca="1" si="5"/>
        <v>0.28360781451993688</v>
      </c>
      <c r="L192" s="28"/>
    </row>
    <row r="193" spans="1:12" x14ac:dyDescent="0.2">
      <c r="A193" s="27">
        <v>18</v>
      </c>
      <c r="B193" s="27">
        <v>1</v>
      </c>
      <c r="C193" s="27">
        <f ca="1"/>
        <v>26</v>
      </c>
      <c r="D193" s="28">
        <f ca="1"/>
        <v>18.607898495211895</v>
      </c>
      <c r="E193" s="28">
        <f t="shared" ca="1" si="4"/>
        <v>0.6078984952118951</v>
      </c>
      <c r="G193" s="28">
        <f t="shared" ca="1" si="5"/>
        <v>0.28360781451993688</v>
      </c>
      <c r="L193" s="28"/>
    </row>
    <row r="194" spans="1:12" x14ac:dyDescent="0.2">
      <c r="A194" s="27">
        <v>18</v>
      </c>
      <c r="B194" s="27">
        <v>1</v>
      </c>
      <c r="C194" s="27">
        <f ca="1"/>
        <v>27</v>
      </c>
      <c r="D194" s="28">
        <f ca="1"/>
        <v>19.291117606863956</v>
      </c>
      <c r="E194" s="28">
        <f t="shared" ca="1" si="4"/>
        <v>1.2911176068639563</v>
      </c>
      <c r="G194" s="28">
        <f t="shared" ca="1" si="5"/>
        <v>0.18720849951963059</v>
      </c>
      <c r="L194" s="28"/>
    </row>
    <row r="195" spans="1:12" x14ac:dyDescent="0.2">
      <c r="A195" s="27">
        <v>24</v>
      </c>
      <c r="B195" s="27">
        <v>1</v>
      </c>
      <c r="C195" s="27">
        <f ca="1"/>
        <v>30</v>
      </c>
      <c r="D195" s="28">
        <f ca="1"/>
        <v>21.340774941820136</v>
      </c>
      <c r="E195" s="28">
        <f t="shared" ref="E195:E235" ca="1" si="6">D195-A195</f>
        <v>-2.6592250581798638</v>
      </c>
      <c r="G195" s="28">
        <f t="shared" ref="G195:G235" ca="1" si="7">_xlfn.NORM.DIST(E195,0,$F$2,FALSE)</f>
        <v>3.3181916685722804E-2</v>
      </c>
      <c r="L195" s="28"/>
    </row>
    <row r="196" spans="1:12" x14ac:dyDescent="0.2">
      <c r="A196" s="27">
        <v>24</v>
      </c>
      <c r="B196" s="27">
        <v>1</v>
      </c>
      <c r="C196" s="27">
        <f ca="1"/>
        <v>33</v>
      </c>
      <c r="D196" s="28">
        <f ca="1"/>
        <v>23.390432276776316</v>
      </c>
      <c r="E196" s="28">
        <f t="shared" ca="1" si="6"/>
        <v>-0.6095677232236838</v>
      </c>
      <c r="G196" s="28">
        <f t="shared" ca="1" si="7"/>
        <v>0.28342335743776725</v>
      </c>
      <c r="L196" s="28"/>
    </row>
    <row r="197" spans="1:12" x14ac:dyDescent="0.2">
      <c r="A197" s="27">
        <v>26</v>
      </c>
      <c r="B197" s="27">
        <v>1</v>
      </c>
      <c r="C197" s="27">
        <f ca="1"/>
        <v>35</v>
      </c>
      <c r="D197" s="28">
        <f ca="1"/>
        <v>24.756870500080435</v>
      </c>
      <c r="E197" s="28">
        <f t="shared" ca="1" si="6"/>
        <v>-1.243129499919565</v>
      </c>
      <c r="G197" s="28">
        <f t="shared" ca="1" si="7"/>
        <v>0.19464101454310373</v>
      </c>
      <c r="L197" s="28"/>
    </row>
    <row r="198" spans="1:12" x14ac:dyDescent="0.2">
      <c r="A198" s="27">
        <v>28</v>
      </c>
      <c r="B198" s="27">
        <v>1</v>
      </c>
      <c r="C198" s="27">
        <f ca="1"/>
        <v>37</v>
      </c>
      <c r="D198" s="28">
        <f ca="1"/>
        <v>26.123308723384554</v>
      </c>
      <c r="E198" s="28">
        <f t="shared" ca="1" si="6"/>
        <v>-1.8766912766154462</v>
      </c>
      <c r="G198" s="28">
        <f t="shared" ca="1" si="7"/>
        <v>0.10337466032027857</v>
      </c>
      <c r="L198" s="28"/>
    </row>
    <row r="199" spans="1:12" x14ac:dyDescent="0.2">
      <c r="A199" s="27">
        <v>26</v>
      </c>
      <c r="B199" s="27">
        <v>1</v>
      </c>
      <c r="C199" s="27">
        <f ca="1"/>
        <v>35</v>
      </c>
      <c r="D199" s="28">
        <f ca="1"/>
        <v>24.756870500080435</v>
      </c>
      <c r="E199" s="28">
        <f t="shared" ca="1" si="6"/>
        <v>-1.243129499919565</v>
      </c>
      <c r="G199" s="28">
        <f t="shared" ca="1" si="7"/>
        <v>0.19464101454310373</v>
      </c>
      <c r="L199" s="28"/>
    </row>
    <row r="200" spans="1:12" x14ac:dyDescent="0.2">
      <c r="A200" s="27">
        <v>11</v>
      </c>
      <c r="B200" s="27">
        <v>1</v>
      </c>
      <c r="C200" s="27">
        <f ca="1"/>
        <v>15</v>
      </c>
      <c r="D200" s="28">
        <f ca="1"/>
        <v>11.09248826703924</v>
      </c>
      <c r="E200" s="28">
        <f t="shared" ca="1" si="6"/>
        <v>9.2488267039239958E-2</v>
      </c>
      <c r="G200" s="28">
        <f t="shared" ca="1" si="7"/>
        <v>0.31835277839425191</v>
      </c>
      <c r="L200" s="28"/>
    </row>
    <row r="201" spans="1:12" x14ac:dyDescent="0.2">
      <c r="A201" s="27">
        <v>13</v>
      </c>
      <c r="B201" s="27">
        <v>1</v>
      </c>
      <c r="C201" s="27">
        <f ca="1"/>
        <v>18</v>
      </c>
      <c r="D201" s="28">
        <f ca="1"/>
        <v>13.142145601995418</v>
      </c>
      <c r="E201" s="28">
        <f t="shared" ca="1" si="6"/>
        <v>0.14214560199541815</v>
      </c>
      <c r="G201" s="28">
        <f t="shared" ca="1" si="7"/>
        <v>0.31716750413300532</v>
      </c>
      <c r="L201" s="28"/>
    </row>
    <row r="202" spans="1:12" x14ac:dyDescent="0.2">
      <c r="A202" s="27">
        <v>15</v>
      </c>
      <c r="B202" s="27">
        <v>1</v>
      </c>
      <c r="C202" s="27">
        <f ca="1"/>
        <v>20</v>
      </c>
      <c r="D202" s="28">
        <f ca="1"/>
        <v>14.508583825299539</v>
      </c>
      <c r="E202" s="28">
        <f t="shared" ca="1" si="6"/>
        <v>-0.49141617470046128</v>
      </c>
      <c r="G202" s="28">
        <f t="shared" ca="1" si="7"/>
        <v>0.29547583692562635</v>
      </c>
      <c r="L202" s="28"/>
    </row>
    <row r="203" spans="1:12" x14ac:dyDescent="0.2">
      <c r="A203" s="27">
        <v>16</v>
      </c>
      <c r="B203" s="27">
        <v>1</v>
      </c>
      <c r="C203" s="27">
        <f ca="1"/>
        <v>20</v>
      </c>
      <c r="D203" s="28">
        <f ca="1"/>
        <v>14.508583825299539</v>
      </c>
      <c r="E203" s="28">
        <f t="shared" ca="1" si="6"/>
        <v>-1.4914161747004613</v>
      </c>
      <c r="G203" s="28">
        <f t="shared" ca="1" si="7"/>
        <v>0.15661561802916329</v>
      </c>
      <c r="L203" s="28"/>
    </row>
    <row r="204" spans="1:12" x14ac:dyDescent="0.2">
      <c r="A204" s="27">
        <v>17</v>
      </c>
      <c r="B204" s="27">
        <v>1</v>
      </c>
      <c r="C204" s="27">
        <f ca="1"/>
        <v>22</v>
      </c>
      <c r="D204" s="28">
        <f ca="1"/>
        <v>15.875022048603658</v>
      </c>
      <c r="E204" s="28">
        <f t="shared" ca="1" si="6"/>
        <v>-1.1249779513963425</v>
      </c>
      <c r="G204" s="28">
        <f t="shared" ca="1" si="7"/>
        <v>0.21288069180319472</v>
      </c>
      <c r="L204" s="28"/>
    </row>
    <row r="205" spans="1:12" x14ac:dyDescent="0.2">
      <c r="A205" s="27">
        <v>15</v>
      </c>
      <c r="B205" s="27">
        <v>1</v>
      </c>
      <c r="C205" s="27">
        <f ca="1"/>
        <v>17</v>
      </c>
      <c r="D205" s="28">
        <f ca="1"/>
        <v>12.458926490343359</v>
      </c>
      <c r="E205" s="28">
        <f t="shared" ca="1" si="6"/>
        <v>-2.5410735096566412</v>
      </c>
      <c r="G205" s="28">
        <f t="shared" ca="1" si="7"/>
        <v>4.0395128664178985E-2</v>
      </c>
      <c r="L205" s="28"/>
    </row>
    <row r="206" spans="1:12" x14ac:dyDescent="0.2">
      <c r="A206" s="27">
        <v>15</v>
      </c>
      <c r="B206" s="27">
        <v>1</v>
      </c>
      <c r="C206" s="27">
        <f ca="1"/>
        <v>19</v>
      </c>
      <c r="D206" s="28">
        <f ca="1"/>
        <v>13.825364713647479</v>
      </c>
      <c r="E206" s="28">
        <f t="shared" ca="1" si="6"/>
        <v>-1.1746352863525207</v>
      </c>
      <c r="G206" s="28">
        <f t="shared" ca="1" si="7"/>
        <v>0.20523871008550823</v>
      </c>
      <c r="L206" s="28"/>
    </row>
    <row r="207" spans="1:12" x14ac:dyDescent="0.2">
      <c r="A207" s="27">
        <v>15</v>
      </c>
      <c r="B207" s="27">
        <v>1</v>
      </c>
      <c r="C207" s="27">
        <f ca="1"/>
        <v>18</v>
      </c>
      <c r="D207" s="28">
        <f ca="1"/>
        <v>13.142145601995418</v>
      </c>
      <c r="E207" s="28">
        <f t="shared" ca="1" si="6"/>
        <v>-1.8578543980045819</v>
      </c>
      <c r="G207" s="28">
        <f t="shared" ca="1" si="7"/>
        <v>0.10572920124505396</v>
      </c>
      <c r="L207" s="28"/>
    </row>
    <row r="208" spans="1:12" x14ac:dyDescent="0.2">
      <c r="A208" s="27">
        <v>16</v>
      </c>
      <c r="B208" s="27">
        <v>1</v>
      </c>
      <c r="C208" s="27">
        <f ca="1"/>
        <v>20</v>
      </c>
      <c r="D208" s="28">
        <f ca="1"/>
        <v>14.508583825299539</v>
      </c>
      <c r="E208" s="28">
        <f t="shared" ca="1" si="6"/>
        <v>-1.4914161747004613</v>
      </c>
      <c r="G208" s="28">
        <f t="shared" ca="1" si="7"/>
        <v>0.15661561802916329</v>
      </c>
      <c r="L208" s="28"/>
    </row>
    <row r="209" spans="1:12" x14ac:dyDescent="0.2">
      <c r="A209" s="27">
        <v>21</v>
      </c>
      <c r="B209" s="27">
        <v>1</v>
      </c>
      <c r="C209" s="27">
        <f ca="1"/>
        <v>29</v>
      </c>
      <c r="D209" s="28">
        <f ca="1"/>
        <v>20.657555830168075</v>
      </c>
      <c r="E209" s="28">
        <f t="shared" ca="1" si="6"/>
        <v>-0.34244416983192494</v>
      </c>
      <c r="G209" s="28">
        <f t="shared" ca="1" si="7"/>
        <v>0.30746337812452051</v>
      </c>
      <c r="L209" s="28"/>
    </row>
    <row r="210" spans="1:12" x14ac:dyDescent="0.2">
      <c r="A210" s="27">
        <v>19</v>
      </c>
      <c r="B210" s="27">
        <v>1</v>
      </c>
      <c r="C210" s="27">
        <f ca="1"/>
        <v>26</v>
      </c>
      <c r="D210" s="28">
        <f ca="1"/>
        <v>18.607898495211895</v>
      </c>
      <c r="E210" s="28">
        <f t="shared" ca="1" si="6"/>
        <v>-0.3921015047881049</v>
      </c>
      <c r="G210" s="28">
        <f t="shared" ca="1" si="7"/>
        <v>0.30389387162696274</v>
      </c>
      <c r="L210" s="28"/>
    </row>
    <row r="211" spans="1:12" x14ac:dyDescent="0.2">
      <c r="A211" s="27">
        <v>21</v>
      </c>
      <c r="B211" s="27">
        <v>1</v>
      </c>
      <c r="C211" s="27">
        <f ca="1"/>
        <v>29</v>
      </c>
      <c r="D211" s="28">
        <f ca="1"/>
        <v>20.657555830168075</v>
      </c>
      <c r="E211" s="28">
        <f t="shared" ca="1" si="6"/>
        <v>-0.34244416983192494</v>
      </c>
      <c r="G211" s="28">
        <f t="shared" ca="1" si="7"/>
        <v>0.30746337812452051</v>
      </c>
      <c r="L211" s="28"/>
    </row>
    <row r="212" spans="1:12" x14ac:dyDescent="0.2">
      <c r="A212" s="27">
        <v>22</v>
      </c>
      <c r="B212" s="27">
        <v>1</v>
      </c>
      <c r="C212" s="27">
        <f ca="1"/>
        <v>29</v>
      </c>
      <c r="D212" s="28">
        <f ca="1"/>
        <v>20.657555830168075</v>
      </c>
      <c r="E212" s="28">
        <f t="shared" ca="1" si="6"/>
        <v>-1.3424441698319249</v>
      </c>
      <c r="G212" s="28">
        <f t="shared" ca="1" si="7"/>
        <v>0.17927994451859014</v>
      </c>
      <c r="L212" s="28"/>
    </row>
    <row r="213" spans="1:12" x14ac:dyDescent="0.2">
      <c r="A213" s="27">
        <v>17</v>
      </c>
      <c r="B213" s="27">
        <v>1</v>
      </c>
      <c r="C213" s="27">
        <f ca="1"/>
        <v>24</v>
      </c>
      <c r="D213" s="28">
        <f ca="1"/>
        <v>17.241460271907776</v>
      </c>
      <c r="E213" s="28">
        <f t="shared" ca="1" si="6"/>
        <v>0.2414602719077763</v>
      </c>
      <c r="G213" s="28">
        <f t="shared" ca="1" si="7"/>
        <v>0.31332258364370175</v>
      </c>
      <c r="L213" s="28"/>
    </row>
    <row r="214" spans="1:12" x14ac:dyDescent="0.2">
      <c r="A214" s="27">
        <v>33</v>
      </c>
      <c r="B214" s="27">
        <v>1</v>
      </c>
      <c r="C214" s="27">
        <f ca="1"/>
        <v>44</v>
      </c>
      <c r="D214" s="28">
        <f ca="1"/>
        <v>30.905842504948971</v>
      </c>
      <c r="E214" s="28">
        <f t="shared" ca="1" si="6"/>
        <v>-2.0941574950510287</v>
      </c>
      <c r="G214" s="28">
        <f t="shared" ca="1" si="7"/>
        <v>7.8406519233685218E-2</v>
      </c>
      <c r="L214" s="28"/>
    </row>
    <row r="215" spans="1:12" x14ac:dyDescent="0.2">
      <c r="A215" s="27">
        <v>21</v>
      </c>
      <c r="B215" s="27">
        <v>1</v>
      </c>
      <c r="C215" s="27">
        <f ca="1"/>
        <v>29</v>
      </c>
      <c r="D215" s="28">
        <f ca="1"/>
        <v>20.657555830168075</v>
      </c>
      <c r="E215" s="28">
        <f t="shared" ca="1" si="6"/>
        <v>-0.34244416983192494</v>
      </c>
      <c r="G215" s="28">
        <f t="shared" ca="1" si="7"/>
        <v>0.30746337812452051</v>
      </c>
      <c r="L215" s="28"/>
    </row>
    <row r="216" spans="1:12" x14ac:dyDescent="0.2">
      <c r="A216" s="27">
        <v>19</v>
      </c>
      <c r="B216" s="27">
        <v>1</v>
      </c>
      <c r="C216" s="27">
        <f ca="1"/>
        <v>26</v>
      </c>
      <c r="D216" s="28">
        <f ca="1"/>
        <v>18.607898495211895</v>
      </c>
      <c r="E216" s="28">
        <f t="shared" ca="1" si="6"/>
        <v>-0.3921015047881049</v>
      </c>
      <c r="G216" s="28">
        <f t="shared" ca="1" si="7"/>
        <v>0.30389387162696274</v>
      </c>
      <c r="L216" s="28"/>
    </row>
    <row r="217" spans="1:12" x14ac:dyDescent="0.2">
      <c r="A217" s="27">
        <v>22</v>
      </c>
      <c r="B217" s="27">
        <v>1</v>
      </c>
      <c r="C217" s="27">
        <f ca="1"/>
        <v>29</v>
      </c>
      <c r="D217" s="28">
        <f ca="1"/>
        <v>20.657555830168075</v>
      </c>
      <c r="E217" s="28">
        <f t="shared" ca="1" si="6"/>
        <v>-1.3424441698319249</v>
      </c>
      <c r="G217" s="28">
        <f t="shared" ca="1" si="7"/>
        <v>0.17927994451859014</v>
      </c>
      <c r="L217" s="28"/>
    </row>
    <row r="218" spans="1:12" x14ac:dyDescent="0.2">
      <c r="A218" s="27">
        <v>21</v>
      </c>
      <c r="B218" s="27">
        <v>1</v>
      </c>
      <c r="C218" s="27">
        <f ca="1"/>
        <v>29</v>
      </c>
      <c r="D218" s="28">
        <f ca="1"/>
        <v>20.657555830168075</v>
      </c>
      <c r="E218" s="28">
        <f t="shared" ca="1" si="6"/>
        <v>-0.34244416983192494</v>
      </c>
      <c r="G218" s="28">
        <f t="shared" ca="1" si="7"/>
        <v>0.30746337812452051</v>
      </c>
      <c r="L218" s="28"/>
    </row>
    <row r="219" spans="1:12" x14ac:dyDescent="0.2">
      <c r="A219" s="27">
        <v>21</v>
      </c>
      <c r="B219" s="27">
        <v>1</v>
      </c>
      <c r="C219" s="27">
        <f ca="1"/>
        <v>29</v>
      </c>
      <c r="D219" s="28">
        <f ca="1"/>
        <v>20.657555830168075</v>
      </c>
      <c r="E219" s="28">
        <f t="shared" ca="1" si="6"/>
        <v>-0.34244416983192494</v>
      </c>
      <c r="G219" s="28">
        <f t="shared" ca="1" si="7"/>
        <v>0.30746337812452051</v>
      </c>
      <c r="L219" s="28"/>
    </row>
    <row r="220" spans="1:12" x14ac:dyDescent="0.2">
      <c r="A220" s="27">
        <v>21</v>
      </c>
      <c r="B220" s="27">
        <v>1</v>
      </c>
      <c r="C220" s="27">
        <f ca="1"/>
        <v>29</v>
      </c>
      <c r="D220" s="28">
        <f ca="1"/>
        <v>20.657555830168075</v>
      </c>
      <c r="E220" s="28">
        <f t="shared" ca="1" si="6"/>
        <v>-0.34244416983192494</v>
      </c>
      <c r="G220" s="28">
        <f t="shared" ca="1" si="7"/>
        <v>0.30746337812452051</v>
      </c>
      <c r="L220" s="28"/>
    </row>
    <row r="221" spans="1:12" x14ac:dyDescent="0.2">
      <c r="A221" s="27">
        <v>16</v>
      </c>
      <c r="B221" s="27">
        <v>1</v>
      </c>
      <c r="C221" s="27">
        <f ca="1"/>
        <v>23</v>
      </c>
      <c r="D221" s="28">
        <f ca="1"/>
        <v>16.558241160255715</v>
      </c>
      <c r="E221" s="28">
        <f t="shared" ca="1" si="6"/>
        <v>0.55824116025571513</v>
      </c>
      <c r="G221" s="28">
        <f t="shared" ca="1" si="7"/>
        <v>0.28891457937292003</v>
      </c>
      <c r="L221" s="28"/>
    </row>
    <row r="222" spans="1:12" x14ac:dyDescent="0.2">
      <c r="A222" s="27">
        <v>17</v>
      </c>
      <c r="B222" s="27">
        <v>1</v>
      </c>
      <c r="C222" s="27">
        <f ca="1"/>
        <v>24</v>
      </c>
      <c r="D222" s="28">
        <f ca="1"/>
        <v>17.241460271907776</v>
      </c>
      <c r="E222" s="28">
        <f t="shared" ca="1" si="6"/>
        <v>0.2414602719077763</v>
      </c>
      <c r="G222" s="28">
        <f t="shared" ca="1" si="7"/>
        <v>0.31332258364370175</v>
      </c>
      <c r="L222" s="28"/>
    </row>
    <row r="223" spans="1:12" x14ac:dyDescent="0.2">
      <c r="A223" s="27">
        <v>35</v>
      </c>
      <c r="B223" s="27">
        <v>1</v>
      </c>
      <c r="C223" s="27">
        <f ca="1"/>
        <v>44</v>
      </c>
      <c r="D223" s="28">
        <f ca="1"/>
        <v>30.905842504948971</v>
      </c>
      <c r="E223" s="28">
        <f t="shared" ca="1" si="6"/>
        <v>-4.0941574950510287</v>
      </c>
      <c r="G223" s="28">
        <f t="shared" ca="1" si="7"/>
        <v>1.4912266665311721E-3</v>
      </c>
      <c r="L223" s="28"/>
    </row>
    <row r="224" spans="1:12" x14ac:dyDescent="0.2">
      <c r="A224" s="27">
        <v>29</v>
      </c>
      <c r="B224" s="27">
        <v>1</v>
      </c>
      <c r="C224" s="27">
        <f ca="1"/>
        <v>41</v>
      </c>
      <c r="D224" s="28">
        <f ca="1"/>
        <v>28.856185169992791</v>
      </c>
      <c r="E224" s="28">
        <f t="shared" ca="1" si="6"/>
        <v>-0.14381483000720863</v>
      </c>
      <c r="G224" s="28">
        <f t="shared" ca="1" si="7"/>
        <v>0.31711903972216288</v>
      </c>
      <c r="L224" s="28"/>
    </row>
    <row r="225" spans="1:12" x14ac:dyDescent="0.2">
      <c r="A225" s="27">
        <v>21</v>
      </c>
      <c r="B225" s="27">
        <v>1</v>
      </c>
      <c r="C225" s="27">
        <f ca="1"/>
        <v>29</v>
      </c>
      <c r="D225" s="28">
        <f ca="1"/>
        <v>20.657555830168075</v>
      </c>
      <c r="E225" s="28">
        <f t="shared" ca="1" si="6"/>
        <v>-0.34244416983192494</v>
      </c>
      <c r="G225" s="28">
        <f t="shared" ca="1" si="7"/>
        <v>0.30746337812452051</v>
      </c>
      <c r="L225" s="28"/>
    </row>
    <row r="226" spans="1:12" x14ac:dyDescent="0.2">
      <c r="A226" s="27">
        <v>19</v>
      </c>
      <c r="B226" s="27">
        <v>1</v>
      </c>
      <c r="C226" s="27">
        <f ca="1"/>
        <v>26</v>
      </c>
      <c r="D226" s="28">
        <f ca="1"/>
        <v>18.607898495211895</v>
      </c>
      <c r="E226" s="28">
        <f t="shared" ca="1" si="6"/>
        <v>-0.3921015047881049</v>
      </c>
      <c r="G226" s="28">
        <f t="shared" ca="1" si="7"/>
        <v>0.30389387162696274</v>
      </c>
      <c r="L226" s="28"/>
    </row>
    <row r="227" spans="1:12" x14ac:dyDescent="0.2">
      <c r="A227" s="27">
        <v>20</v>
      </c>
      <c r="B227" s="27">
        <v>1</v>
      </c>
      <c r="C227" s="27">
        <f ca="1"/>
        <v>28</v>
      </c>
      <c r="D227" s="28">
        <f ca="1"/>
        <v>19.974336718516017</v>
      </c>
      <c r="E227" s="28">
        <f t="shared" ca="1" si="6"/>
        <v>-2.5663281483982558E-2</v>
      </c>
      <c r="G227" s="28">
        <f t="shared" ca="1" si="7"/>
        <v>0.31915849397187074</v>
      </c>
      <c r="L227" s="28"/>
    </row>
    <row r="228" spans="1:12" x14ac:dyDescent="0.2">
      <c r="A228" s="27">
        <v>20</v>
      </c>
      <c r="B228" s="27">
        <v>1</v>
      </c>
      <c r="C228" s="27">
        <f ca="1"/>
        <v>29</v>
      </c>
      <c r="D228" s="28">
        <f ca="1"/>
        <v>20.657555830168075</v>
      </c>
      <c r="E228" s="28">
        <f t="shared" ca="1" si="6"/>
        <v>0.65755583016807506</v>
      </c>
      <c r="G228" s="28">
        <f t="shared" ca="1" si="7"/>
        <v>0.2779593195039412</v>
      </c>
      <c r="L228" s="28"/>
    </row>
    <row r="229" spans="1:12" x14ac:dyDescent="0.2">
      <c r="A229" s="27">
        <v>21</v>
      </c>
      <c r="B229" s="27">
        <v>1</v>
      </c>
      <c r="C229" s="27">
        <f ca="1"/>
        <v>29</v>
      </c>
      <c r="D229" s="28">
        <f ca="1"/>
        <v>20.657555830168075</v>
      </c>
      <c r="E229" s="28">
        <f t="shared" ca="1" si="6"/>
        <v>-0.34244416983192494</v>
      </c>
      <c r="G229" s="28">
        <f t="shared" ca="1" si="7"/>
        <v>0.30746337812452051</v>
      </c>
      <c r="L229" s="28"/>
    </row>
    <row r="230" spans="1:12" x14ac:dyDescent="0.2">
      <c r="A230" s="27">
        <v>18</v>
      </c>
      <c r="B230" s="27">
        <v>1</v>
      </c>
      <c r="C230" s="27">
        <f ca="1"/>
        <v>29</v>
      </c>
      <c r="D230" s="28">
        <f ca="1"/>
        <v>20.657555830168075</v>
      </c>
      <c r="E230" s="28">
        <f t="shared" ca="1" si="6"/>
        <v>2.6575558301680751</v>
      </c>
      <c r="G230" s="28">
        <f t="shared" ca="1" si="7"/>
        <v>3.327632904268165E-2</v>
      </c>
      <c r="L230" s="28"/>
    </row>
    <row r="231" spans="1:12" x14ac:dyDescent="0.2">
      <c r="A231" s="27">
        <v>19</v>
      </c>
      <c r="B231" s="27">
        <v>1</v>
      </c>
      <c r="C231" s="27">
        <f ca="1"/>
        <v>28</v>
      </c>
      <c r="D231" s="28">
        <f ca="1"/>
        <v>19.974336718516017</v>
      </c>
      <c r="E231" s="28">
        <f t="shared" ca="1" si="6"/>
        <v>0.97433671851601744</v>
      </c>
      <c r="G231" s="28">
        <f t="shared" ca="1" si="7"/>
        <v>0.23556229359930655</v>
      </c>
      <c r="L231" s="28"/>
    </row>
    <row r="232" spans="1:12" x14ac:dyDescent="0.2">
      <c r="A232" s="27">
        <v>21</v>
      </c>
      <c r="B232" s="27">
        <v>1</v>
      </c>
      <c r="C232" s="27">
        <f ca="1"/>
        <v>29</v>
      </c>
      <c r="D232" s="28">
        <f ca="1"/>
        <v>20.657555830168075</v>
      </c>
      <c r="E232" s="28">
        <f t="shared" ca="1" si="6"/>
        <v>-0.34244416983192494</v>
      </c>
      <c r="G232" s="28">
        <f t="shared" ca="1" si="7"/>
        <v>0.30746337812452051</v>
      </c>
      <c r="L232" s="28"/>
    </row>
    <row r="233" spans="1:12" x14ac:dyDescent="0.2">
      <c r="A233" s="27">
        <v>16</v>
      </c>
      <c r="B233" s="27">
        <v>1</v>
      </c>
      <c r="C233" s="27">
        <f ca="1"/>
        <v>26</v>
      </c>
      <c r="D233" s="28">
        <f ca="1"/>
        <v>18.607898495211895</v>
      </c>
      <c r="E233" s="28">
        <f t="shared" ca="1" si="6"/>
        <v>2.6078984952118951</v>
      </c>
      <c r="G233" s="28">
        <f t="shared" ca="1" si="7"/>
        <v>3.6181717224349638E-2</v>
      </c>
      <c r="L233" s="28"/>
    </row>
    <row r="234" spans="1:12" x14ac:dyDescent="0.2">
      <c r="A234" s="27">
        <v>18</v>
      </c>
      <c r="B234" s="27">
        <v>1</v>
      </c>
      <c r="C234" s="27">
        <f ca="1"/>
        <v>26</v>
      </c>
      <c r="D234" s="28">
        <f ca="1"/>
        <v>18.607898495211895</v>
      </c>
      <c r="E234" s="28">
        <f t="shared" ca="1" si="6"/>
        <v>0.6078984952118951</v>
      </c>
      <c r="G234" s="28">
        <f t="shared" ca="1" si="7"/>
        <v>0.28360781451993688</v>
      </c>
      <c r="L234" s="28"/>
    </row>
    <row r="235" spans="1:12" x14ac:dyDescent="0.2">
      <c r="A235" s="27">
        <v>17</v>
      </c>
      <c r="B235" s="27">
        <v>1</v>
      </c>
      <c r="C235" s="27">
        <f ca="1"/>
        <v>26</v>
      </c>
      <c r="D235" s="28">
        <f ca="1"/>
        <v>18.607898495211895</v>
      </c>
      <c r="E235" s="28">
        <f t="shared" ca="1" si="6"/>
        <v>1.6078984952118951</v>
      </c>
      <c r="G235" s="28">
        <f t="shared" ca="1" si="7"/>
        <v>0.13952132892333158</v>
      </c>
      <c r="L235" s="28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202</v>
      </c>
    </row>
    <row r="4" spans="2:4" x14ac:dyDescent="0.3">
      <c r="B4" s="1" t="s">
        <v>203</v>
      </c>
    </row>
    <row r="5" spans="2:4" x14ac:dyDescent="0.3">
      <c r="B5" s="9" t="s">
        <v>210</v>
      </c>
    </row>
    <row r="6" spans="2:4" x14ac:dyDescent="0.3">
      <c r="B6" s="9"/>
    </row>
    <row r="7" spans="2:4" x14ac:dyDescent="0.3">
      <c r="C7" s="1" t="s">
        <v>208</v>
      </c>
    </row>
    <row r="8" spans="2:4" x14ac:dyDescent="0.3">
      <c r="C8" s="1">
        <v>2.2999999999999998</v>
      </c>
      <c r="D8" s="1" t="s">
        <v>204</v>
      </c>
    </row>
    <row r="9" spans="2:4" x14ac:dyDescent="0.3">
      <c r="C9" s="1">
        <v>3.1</v>
      </c>
      <c r="D9" s="1" t="s">
        <v>205</v>
      </c>
    </row>
    <row r="10" spans="2:4" x14ac:dyDescent="0.3">
      <c r="C10" s="1">
        <v>3.2</v>
      </c>
      <c r="D10" s="1" t="s">
        <v>206</v>
      </c>
    </row>
    <row r="12" spans="2:4" x14ac:dyDescent="0.3">
      <c r="C12" s="1" t="s">
        <v>209</v>
      </c>
    </row>
    <row r="13" spans="2:4" x14ac:dyDescent="0.3">
      <c r="C13" s="1">
        <v>3.5</v>
      </c>
      <c r="D13" s="1" t="s">
        <v>16</v>
      </c>
    </row>
    <row r="14" spans="2:4" x14ac:dyDescent="0.3">
      <c r="C14" s="1">
        <v>2.2000000000000002</v>
      </c>
      <c r="D14" s="1" t="s">
        <v>207</v>
      </c>
    </row>
    <row r="16" spans="2:4" x14ac:dyDescent="0.3">
      <c r="B16" s="1" t="s">
        <v>211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B11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</v>
      </c>
    </row>
    <row r="4" spans="2:2" x14ac:dyDescent="0.3">
      <c r="B4" s="1" t="s">
        <v>15</v>
      </c>
    </row>
    <row r="6" spans="2:2" x14ac:dyDescent="0.3">
      <c r="B6" s="1" t="s">
        <v>19</v>
      </c>
    </row>
    <row r="8" spans="2:2" x14ac:dyDescent="0.3">
      <c r="B8" s="1" t="s">
        <v>20</v>
      </c>
    </row>
    <row r="9" spans="2:2" x14ac:dyDescent="0.3">
      <c r="B9" s="1" t="s">
        <v>21</v>
      </c>
    </row>
    <row r="10" spans="2:2" x14ac:dyDescent="0.3">
      <c r="B10" s="1" t="s">
        <v>22</v>
      </c>
    </row>
    <row r="11" spans="2:2" x14ac:dyDescent="0.3">
      <c r="B11" s="1" t="s">
        <v>23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10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12</v>
      </c>
    </row>
    <row r="3" spans="1:2" x14ac:dyDescent="0.3">
      <c r="B3" s="1" t="s">
        <v>195</v>
      </c>
    </row>
    <row r="4" spans="1:2" x14ac:dyDescent="0.3">
      <c r="B4" s="1" t="s">
        <v>7</v>
      </c>
    </row>
    <row r="5" spans="1:2" x14ac:dyDescent="0.3">
      <c r="B5" s="1" t="s">
        <v>8</v>
      </c>
    </row>
    <row r="6" spans="1:2" x14ac:dyDescent="0.3">
      <c r="B6" s="1" t="s">
        <v>9</v>
      </c>
    </row>
    <row r="7" spans="1:2" x14ac:dyDescent="0.3">
      <c r="B7" s="1" t="s">
        <v>10</v>
      </c>
    </row>
    <row r="8" spans="1:2" x14ac:dyDescent="0.3">
      <c r="A8" s="1">
        <v>1</v>
      </c>
      <c r="B8" s="1" t="s">
        <v>13</v>
      </c>
    </row>
    <row r="9" spans="1:2" x14ac:dyDescent="0.3">
      <c r="A9" s="1">
        <v>2</v>
      </c>
      <c r="B9" s="1" t="s">
        <v>11</v>
      </c>
    </row>
    <row r="10" spans="1:2" x14ac:dyDescent="0.3">
      <c r="A10" s="1">
        <v>3</v>
      </c>
      <c r="B10" s="1" t="s">
        <v>14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B5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12</v>
      </c>
    </row>
    <row r="3" spans="1:2" x14ac:dyDescent="0.3">
      <c r="B3" s="1" t="s">
        <v>42</v>
      </c>
    </row>
    <row r="4" spans="1:2" x14ac:dyDescent="0.3">
      <c r="A4" s="1">
        <v>1</v>
      </c>
      <c r="B4" s="1" t="s">
        <v>13</v>
      </c>
    </row>
    <row r="5" spans="1:2" x14ac:dyDescent="0.3">
      <c r="A5" s="1">
        <v>2</v>
      </c>
      <c r="B5" s="1" t="s">
        <v>43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33</v>
      </c>
    </row>
    <row r="3" spans="2:5" x14ac:dyDescent="0.25">
      <c r="B3" s="9" t="s">
        <v>37</v>
      </c>
      <c r="C3" s="9"/>
    </row>
    <row r="4" spans="2:5" x14ac:dyDescent="0.25">
      <c r="B4" s="8" t="s">
        <v>34</v>
      </c>
    </row>
    <row r="5" spans="2:5" x14ac:dyDescent="0.25">
      <c r="B5" s="8" t="s">
        <v>38</v>
      </c>
    </row>
    <row r="7" spans="2:5" x14ac:dyDescent="0.25">
      <c r="B7" s="11" t="s">
        <v>29</v>
      </c>
      <c r="C7" s="11" t="s">
        <v>30</v>
      </c>
      <c r="E7" s="11" t="s">
        <v>33</v>
      </c>
    </row>
    <row r="8" spans="2:5" x14ac:dyDescent="0.25">
      <c r="B8" s="8" t="s">
        <v>39</v>
      </c>
      <c r="C8" s="8" t="s">
        <v>40</v>
      </c>
      <c r="E8" s="12"/>
    </row>
    <row r="9" spans="2:5" x14ac:dyDescent="0.25">
      <c r="B9" s="8" t="s">
        <v>40</v>
      </c>
      <c r="C9" s="8" t="s">
        <v>39</v>
      </c>
    </row>
    <row r="10" spans="2:5" x14ac:dyDescent="0.25">
      <c r="B10" s="8" t="s">
        <v>39</v>
      </c>
      <c r="C10" s="8" t="s">
        <v>40</v>
      </c>
    </row>
    <row r="11" spans="2:5" x14ac:dyDescent="0.25">
      <c r="B11" s="8" t="s">
        <v>39</v>
      </c>
      <c r="C11" s="8" t="s">
        <v>39</v>
      </c>
    </row>
    <row r="12" spans="2:5" x14ac:dyDescent="0.25">
      <c r="B12" s="8" t="s">
        <v>40</v>
      </c>
      <c r="C12" s="8" t="s">
        <v>40</v>
      </c>
    </row>
    <row r="13" spans="2:5" x14ac:dyDescent="0.25">
      <c r="B13" s="8" t="s">
        <v>40</v>
      </c>
      <c r="C13" s="8" t="s">
        <v>39</v>
      </c>
    </row>
    <row r="14" spans="2:5" x14ac:dyDescent="0.25">
      <c r="B14" s="8" t="s">
        <v>39</v>
      </c>
      <c r="C14" s="8" t="s">
        <v>39</v>
      </c>
    </row>
    <row r="15" spans="2:5" x14ac:dyDescent="0.25">
      <c r="B15" s="8" t="s">
        <v>40</v>
      </c>
      <c r="C15" s="8" t="s">
        <v>39</v>
      </c>
    </row>
    <row r="16" spans="2:5" x14ac:dyDescent="0.25">
      <c r="B16" s="8" t="s">
        <v>39</v>
      </c>
      <c r="C16" s="8" t="s">
        <v>40</v>
      </c>
    </row>
    <row r="17" spans="2:4" x14ac:dyDescent="0.25">
      <c r="B17" s="8" t="s">
        <v>40</v>
      </c>
      <c r="C17" s="8" t="s">
        <v>40</v>
      </c>
    </row>
    <row r="18" spans="2:4" x14ac:dyDescent="0.25">
      <c r="B18" s="8" t="s">
        <v>39</v>
      </c>
      <c r="C18" s="8" t="s">
        <v>39</v>
      </c>
      <c r="D18" s="8" t="s">
        <v>41</v>
      </c>
    </row>
    <row r="19" spans="2:4" x14ac:dyDescent="0.25">
      <c r="B19" s="8" t="s">
        <v>40</v>
      </c>
      <c r="C19" s="8" t="s">
        <v>40</v>
      </c>
    </row>
    <row r="20" spans="2:4" x14ac:dyDescent="0.25">
      <c r="B20" s="8" t="s">
        <v>39</v>
      </c>
      <c r="C20" s="8" t="s">
        <v>39</v>
      </c>
    </row>
    <row r="21" spans="2:4" x14ac:dyDescent="0.25">
      <c r="B21" s="8" t="s">
        <v>40</v>
      </c>
      <c r="C21" s="8" t="s">
        <v>40</v>
      </c>
    </row>
    <row r="22" spans="2:4" x14ac:dyDescent="0.25">
      <c r="B22" s="8" t="s">
        <v>40</v>
      </c>
      <c r="C22" s="8" t="s">
        <v>39</v>
      </c>
    </row>
    <row r="23" spans="2:4" x14ac:dyDescent="0.25">
      <c r="B23" s="8" t="s">
        <v>40</v>
      </c>
      <c r="C23" s="8" t="s">
        <v>39</v>
      </c>
    </row>
    <row r="24" spans="2:4" x14ac:dyDescent="0.25">
      <c r="B24" s="8" t="s">
        <v>39</v>
      </c>
      <c r="C24" s="8" t="s">
        <v>40</v>
      </c>
    </row>
    <row r="25" spans="2:4" x14ac:dyDescent="0.25">
      <c r="B25" s="8" t="s">
        <v>40</v>
      </c>
      <c r="C25" s="8" t="s">
        <v>40</v>
      </c>
    </row>
    <row r="26" spans="2:4" x14ac:dyDescent="0.25">
      <c r="B26" s="8" t="s">
        <v>39</v>
      </c>
      <c r="C26" s="8" t="s">
        <v>39</v>
      </c>
    </row>
    <row r="27" spans="2:4" x14ac:dyDescent="0.25">
      <c r="B27" s="8" t="s">
        <v>40</v>
      </c>
      <c r="C27" s="8" t="s">
        <v>40</v>
      </c>
    </row>
  </sheetData>
  <hyperlinks>
    <hyperlink ref="B3" r:id="rId1" xr:uid="{7E55F508-4CAC-0845-9710-604F49ED57FC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12</v>
      </c>
    </row>
    <row r="3" spans="1:2" x14ac:dyDescent="0.3">
      <c r="B3" s="1" t="s">
        <v>196</v>
      </c>
    </row>
    <row r="4" spans="1:2" x14ac:dyDescent="0.3">
      <c r="B4" s="1" t="s">
        <v>197</v>
      </c>
    </row>
    <row r="5" spans="1:2" x14ac:dyDescent="0.3">
      <c r="B5" s="1" t="s">
        <v>198</v>
      </c>
    </row>
    <row r="6" spans="1:2" x14ac:dyDescent="0.3">
      <c r="A6" s="31">
        <v>1</v>
      </c>
      <c r="B6" s="31" t="s">
        <v>13</v>
      </c>
    </row>
    <row r="7" spans="1:2" x14ac:dyDescent="0.3">
      <c r="A7" s="31">
        <v>2</v>
      </c>
      <c r="B7" s="31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14</vt:i4>
      </vt:variant>
    </vt:vector>
  </HeadingPairs>
  <TitlesOfParts>
    <vt:vector size="28" baseType="lpstr">
      <vt:lpstr>Today</vt:lpstr>
      <vt:lpstr>Themes</vt:lpstr>
      <vt:lpstr>Regression</vt:lpstr>
      <vt:lpstr>Assumptions</vt:lpstr>
      <vt:lpstr>KNN</vt:lpstr>
      <vt:lpstr>OutOfSampleTesting</vt:lpstr>
      <vt:lpstr>Diagnostics</vt:lpstr>
      <vt:lpstr>AIC</vt:lpstr>
      <vt:lpstr>PreWork4NextClass</vt:lpstr>
      <vt:lpstr>InClassProjects</vt:lpstr>
      <vt:lpstr>Q_KNN</vt:lpstr>
      <vt:lpstr>Q_Regression</vt:lpstr>
      <vt:lpstr>Q_Diagnostics</vt:lpstr>
      <vt:lpstr>Q_AIC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2021-03-06T03:52:09Z</dcterms:created>
  <dcterms:modified xsi:type="dcterms:W3CDTF">2022-01-21T00:52:37Z</dcterms:modified>
</cp:coreProperties>
</file>