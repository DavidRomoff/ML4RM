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ML4RM/Classes/"/>
    </mc:Choice>
  </mc:AlternateContent>
  <xr:revisionPtr revIDLastSave="0" documentId="13_ncr:1_{DAB1AB6F-20A9-A647-88E1-644457B71FB2}" xr6:coauthVersionLast="47" xr6:coauthVersionMax="47" xr10:uidLastSave="{00000000-0000-0000-0000-000000000000}"/>
  <bookViews>
    <workbookView xWindow="0" yWindow="0" windowWidth="28800" windowHeight="16620" activeTab="1" xr2:uid="{2528C2F6-2D91-5941-BA0A-8E362C5A735B}"/>
  </bookViews>
  <sheets>
    <sheet name="Today" sheetId="94" r:id="rId1"/>
    <sheet name="Themes" sheetId="13" r:id="rId2"/>
    <sheet name="Diagnostics" sheetId="81" r:id="rId3"/>
    <sheet name="Sensitivity" sheetId="82" state="veryHidden" r:id="rId4"/>
    <sheet name="Specificity" sheetId="32" state="veryHidden" r:id="rId5"/>
    <sheet name="PPF_0" sheetId="86" state="veryHidden" r:id="rId6"/>
    <sheet name="PPF_1" sheetId="83" state="veryHidden" r:id="rId7"/>
    <sheet name="ConfusionMatrix" sheetId="133" state="veryHidden" r:id="rId8"/>
    <sheet name="ROC_Curve" sheetId="85" state="veryHidden" r:id="rId9"/>
    <sheet name="HarmonicMean" sheetId="84" state="veryHidden" r:id="rId10"/>
    <sheet name="Precision" sheetId="135" state="veryHidden" r:id="rId11"/>
    <sheet name="F1Score" sheetId="138" state="veryHidden" r:id="rId12"/>
    <sheet name="Bernoulli" sheetId="139" state="veryHidden" r:id="rId13"/>
    <sheet name="LogisticRegression" sheetId="87" r:id="rId14"/>
    <sheet name="Concept" sheetId="88" state="veryHidden" r:id="rId15"/>
    <sheet name="Iris_Data" sheetId="90" state="veryHidden" r:id="rId16"/>
    <sheet name="Iris_Fit" sheetId="91" state="veryHidden" r:id="rId17"/>
    <sheet name="Iris_Forecast_OOS" sheetId="92" state="veryHidden" r:id="rId18"/>
    <sheet name="R_Code" sheetId="93" state="veryHidden" r:id="rId19"/>
    <sheet name="MultiClass" sheetId="112" r:id="rId20"/>
    <sheet name="Each_vs_Each" sheetId="113" state="veryHidden" r:id="rId21"/>
    <sheet name="Each_vs_All" sheetId="114" state="veryHidden" r:id="rId22"/>
    <sheet name="ClusterAnalysis" sheetId="119" r:id="rId23"/>
    <sheet name="Cluster" sheetId="122" state="veryHidden" r:id="rId24"/>
    <sheet name="Excel_Demo" sheetId="123" state="veryHidden" r:id="rId25"/>
    <sheet name="R_Demo" sheetId="124" state="veryHidden" r:id="rId26"/>
    <sheet name="PieceWiseModels" sheetId="157" r:id="rId27"/>
    <sheet name="Data" sheetId="140" state="veryHidden" r:id="rId28"/>
    <sheet name="Fit_O3" sheetId="141" state="veryHidden" r:id="rId29"/>
    <sheet name="Fit_3Piece_O0" sheetId="142" state="veryHidden" r:id="rId30"/>
    <sheet name="Fit_3Piece_O1" sheetId="143" state="veryHidden" r:id="rId31"/>
    <sheet name="Fit_3Piece_O1_v2" sheetId="144" state="veryHidden" r:id="rId32"/>
    <sheet name="Fit_6Piece_O1" sheetId="145" state="veryHidden" r:id="rId33"/>
    <sheet name="Fit_2Piece_O2" sheetId="146" state="veryHidden" r:id="rId34"/>
    <sheet name="Splines" sheetId="156" r:id="rId35"/>
    <sheet name="NoSpline1" sheetId="147" state="veryHidden" r:id="rId36"/>
    <sheet name="NoSpline2" sheetId="148" state="veryHidden" r:id="rId37"/>
    <sheet name="NoSpline3" sheetId="149" state="veryHidden" r:id="rId38"/>
    <sheet name="CubicSpline1" sheetId="150" state="veryHidden" r:id="rId39"/>
    <sheet name="CubicSpline2" sheetId="151" state="veryHidden" r:id="rId40"/>
    <sheet name="CubicSpline3" sheetId="152" state="veryHidden" r:id="rId41"/>
    <sheet name="CubicSpline_YC" sheetId="153" state="veryHidden" r:id="rId42"/>
    <sheet name="CubicSpline_YC_Optim" sheetId="154" state="veryHidden" r:id="rId43"/>
    <sheet name="CubicSpline_YC_Optim_Penalized" sheetId="155" state="veryHidden" r:id="rId44"/>
    <sheet name="PreWork4NextClass" sheetId="27" r:id="rId45"/>
    <sheet name="InClassProjects" sheetId="26" r:id="rId46"/>
    <sheet name="Q_Diagnostics1" sheetId="31" r:id="rId47"/>
    <sheet name="Q_Diagnostics2" sheetId="137" r:id="rId48"/>
    <sheet name="Q_Splines" sheetId="136" r:id="rId49"/>
  </sheets>
  <externalReferences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</externalReferences>
  <definedNames>
    <definedName name="_c1" localSheetId="41">CubicSpline_YC!$T$30</definedName>
    <definedName name="_c1" localSheetId="42">CubicSpline_YC_Optim!$T$30</definedName>
    <definedName name="_c1" localSheetId="43">CubicSpline_YC_Optim_Penalized!$T$30</definedName>
    <definedName name="_c1">CubicSpline3!$T$27</definedName>
    <definedName name="_c2" localSheetId="41">CubicSpline_YC!$T$34</definedName>
    <definedName name="_c2" localSheetId="42">CubicSpline_YC_Optim!$T$34</definedName>
    <definedName name="_c2" localSheetId="43">CubicSpline_YC_Optim_Penalized!$T$34</definedName>
    <definedName name="_c2">CubicSpline3!$T$31</definedName>
    <definedName name="_c3" localSheetId="41">CubicSpline_YC!$T$38</definedName>
    <definedName name="_c3" localSheetId="42">CubicSpline_YC_Optim!$T$38</definedName>
    <definedName name="_c3" localSheetId="43">CubicSpline_YC_Optim_Penalized!$T$38</definedName>
    <definedName name="_c3">CubicSpline3!$T$35</definedName>
    <definedName name="_r2" localSheetId="2">#REF!</definedName>
    <definedName name="_r2" localSheetId="3">#REF!</definedName>
    <definedName name="_r2">#REF!</definedName>
    <definedName name="_R2_orig">[1]RSquareAdj!$C$6</definedName>
    <definedName name="A">[2]NextClass1_MeanVar!#REF!</definedName>
    <definedName name="a_0" localSheetId="41">CubicSpline_YC!#REF!</definedName>
    <definedName name="a_0" localSheetId="42">CubicSpline_YC_Optim!#REF!</definedName>
    <definedName name="a_0" localSheetId="43">CubicSpline_YC_Optim_Penalized!#REF!</definedName>
    <definedName name="a_0">#REF!</definedName>
    <definedName name="a_1" localSheetId="41">CubicSpline_YC!$AN$28</definedName>
    <definedName name="a_1" localSheetId="42">CubicSpline_YC_Optim!$AN$28</definedName>
    <definedName name="a_1" localSheetId="43">CubicSpline_YC_Optim_Penalized!$AN$28</definedName>
    <definedName name="a_1">#REF!</definedName>
    <definedName name="a_10" localSheetId="41">CubicSpline_YC!$AN$52</definedName>
    <definedName name="a_10" localSheetId="42">CubicSpline_YC_Optim!$AN$52</definedName>
    <definedName name="a_10" localSheetId="43">CubicSpline_YC_Optim_Penalized!$AN$52</definedName>
    <definedName name="a_10">#REF!</definedName>
    <definedName name="a_2" localSheetId="41">CubicSpline_YC!$AN$32</definedName>
    <definedName name="a_2" localSheetId="42">CubicSpline_YC_Optim!$AN$32</definedName>
    <definedName name="a_2" localSheetId="43">CubicSpline_YC_Optim_Penalized!$AN$32</definedName>
    <definedName name="a_2">#REF!</definedName>
    <definedName name="a_3" localSheetId="41">CubicSpline_YC!$AN$36</definedName>
    <definedName name="a_3" localSheetId="42">CubicSpline_YC_Optim!$AN$36</definedName>
    <definedName name="a_3" localSheetId="43">CubicSpline_YC_Optim_Penalized!$AN$36</definedName>
    <definedName name="a_3">#REF!</definedName>
    <definedName name="a_30" localSheetId="41">CubicSpline_YC!$AN$56</definedName>
    <definedName name="a_30" localSheetId="42">CubicSpline_YC_Optim!$AN$56</definedName>
    <definedName name="a_30" localSheetId="43">CubicSpline_YC_Optim_Penalized!$AN$56</definedName>
    <definedName name="a_30">#REF!</definedName>
    <definedName name="a_4" localSheetId="41">CubicSpline_YC!$AN$40</definedName>
    <definedName name="a_4" localSheetId="42">CubicSpline_YC_Optim!$AN$40</definedName>
    <definedName name="a_4" localSheetId="43">CubicSpline_YC_Optim_Penalized!$AN$40</definedName>
    <definedName name="a_4">#REF!</definedName>
    <definedName name="a_5" localSheetId="41">CubicSpline_YC!$AN$44</definedName>
    <definedName name="a_5" localSheetId="42">CubicSpline_YC_Optim!$AN$44</definedName>
    <definedName name="a_5" localSheetId="43">CubicSpline_YC_Optim_Penalized!$AN$44</definedName>
    <definedName name="a_5">#REF!</definedName>
    <definedName name="a_7" localSheetId="41">CubicSpline_YC!$AN$48</definedName>
    <definedName name="a_7" localSheetId="42">CubicSpline_YC_Optim!$AN$48</definedName>
    <definedName name="a_7" localSheetId="43">CubicSpline_YC_Optim_Penalized!$AN$48</definedName>
    <definedName name="a_7">#REF!</definedName>
    <definedName name="A_x">[3]ProductRule!$C$14</definedName>
    <definedName name="A_x_h">[3]ProductRule!$C$16</definedName>
    <definedName name="a1_" localSheetId="41">CubicSpline_YC!$T$28</definedName>
    <definedName name="a1_" localSheetId="42">CubicSpline_YC_Optim!$T$28</definedName>
    <definedName name="a1_" localSheetId="43">CubicSpline_YC_Optim_Penalized!$T$28</definedName>
    <definedName name="a1_">CubicSpline3!$T$25</definedName>
    <definedName name="a2_" localSheetId="41">CubicSpline_YC!$T$32</definedName>
    <definedName name="a2_" localSheetId="42">CubicSpline_YC_Optim!$T$32</definedName>
    <definedName name="a2_" localSheetId="43">CubicSpline_YC_Optim_Penalized!$T$32</definedName>
    <definedName name="a2_">CubicSpline3!$T$29</definedName>
    <definedName name="a3_" localSheetId="41">CubicSpline_YC!$T$36</definedName>
    <definedName name="a3_" localSheetId="42">CubicSpline_YC_Optim!$T$36</definedName>
    <definedName name="a3_" localSheetId="43">CubicSpline_YC_Optim_Penalized!$T$36</definedName>
    <definedName name="a3_">CubicSpline3!$T$33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_0" localSheetId="41">CubicSpline_YC!#REF!</definedName>
    <definedName name="b_0" localSheetId="42">CubicSpline_YC_Optim!#REF!</definedName>
    <definedName name="b_0" localSheetId="43">CubicSpline_YC_Optim_Penalized!#REF!</definedName>
    <definedName name="b_0">#REF!</definedName>
    <definedName name="b_1" localSheetId="41">CubicSpline_YC!$AN$29</definedName>
    <definedName name="b_1" localSheetId="42">CubicSpline_YC_Optim!$AN$29</definedName>
    <definedName name="b_1" localSheetId="43">CubicSpline_YC_Optim_Penalized!$AN$29</definedName>
    <definedName name="b_1">#REF!</definedName>
    <definedName name="b_10" localSheetId="41">CubicSpline_YC!$AN$53</definedName>
    <definedName name="b_10" localSheetId="42">CubicSpline_YC_Optim!$AN$53</definedName>
    <definedName name="b_10" localSheetId="43">CubicSpline_YC_Optim_Penalized!$AN$53</definedName>
    <definedName name="b_10">#REF!</definedName>
    <definedName name="b_2" localSheetId="41">CubicSpline_YC!$AN$33</definedName>
    <definedName name="b_2" localSheetId="42">CubicSpline_YC_Optim!$AN$33</definedName>
    <definedName name="b_2" localSheetId="43">CubicSpline_YC_Optim_Penalized!$AN$33</definedName>
    <definedName name="b_2">#REF!</definedName>
    <definedName name="b_3" localSheetId="41">CubicSpline_YC!$AN$37</definedName>
    <definedName name="b_3" localSheetId="42">CubicSpline_YC_Optim!$AN$37</definedName>
    <definedName name="b_3" localSheetId="43">CubicSpline_YC_Optim_Penalized!$AN$37</definedName>
    <definedName name="b_3">#REF!</definedName>
    <definedName name="b_30" localSheetId="41">CubicSpline_YC!$AN$57</definedName>
    <definedName name="b_30" localSheetId="42">CubicSpline_YC_Optim!$AN$57</definedName>
    <definedName name="b_30" localSheetId="43">CubicSpline_YC_Optim_Penalized!$AN$57</definedName>
    <definedName name="b_30">#REF!</definedName>
    <definedName name="b_4" localSheetId="41">CubicSpline_YC!$AN$41</definedName>
    <definedName name="b_4" localSheetId="42">CubicSpline_YC_Optim!$AN$41</definedName>
    <definedName name="b_4" localSheetId="43">CubicSpline_YC_Optim_Penalized!$AN$41</definedName>
    <definedName name="b_4">#REF!</definedName>
    <definedName name="b_5" localSheetId="41">CubicSpline_YC!$AN$45</definedName>
    <definedName name="b_5" localSheetId="42">CubicSpline_YC_Optim!$AN$45</definedName>
    <definedName name="b_5" localSheetId="43">CubicSpline_YC_Optim_Penalized!$AN$45</definedName>
    <definedName name="b_5">#REF!</definedName>
    <definedName name="b_7" localSheetId="41">CubicSpline_YC!$AN$49</definedName>
    <definedName name="b_7" localSheetId="42">CubicSpline_YC_Optim!$AN$49</definedName>
    <definedName name="b_7" localSheetId="43">CubicSpline_YC_Optim_Penalized!$AN$49</definedName>
    <definedName name="b_7">#REF!</definedName>
    <definedName name="b0">#REF!</definedName>
    <definedName name="b1_" localSheetId="41">CubicSpline_YC!$T$29</definedName>
    <definedName name="b1_" localSheetId="42">CubicSpline_YC_Optim!$T$29</definedName>
    <definedName name="b1_" localSheetId="43">CubicSpline_YC_Optim_Penalized!$T$29</definedName>
    <definedName name="b1_">CubicSpline3!$T$26</definedName>
    <definedName name="b2_" localSheetId="41">CubicSpline_YC!$T$33</definedName>
    <definedName name="b2_" localSheetId="42">CubicSpline_YC_Optim!$T$33</definedName>
    <definedName name="b2_" localSheetId="43">CubicSpline_YC_Optim_Penalized!$T$33</definedName>
    <definedName name="b2_">CubicSpline3!$T$30</definedName>
    <definedName name="b3_" localSheetId="41">CubicSpline_YC!$T$37</definedName>
    <definedName name="b3_" localSheetId="42">CubicSpline_YC_Optim!$T$37</definedName>
    <definedName name="b3_" localSheetId="43">CubicSpline_YC_Optim_Penalized!$T$37</definedName>
    <definedName name="b3_">CubicSpline3!$T$34</definedName>
    <definedName name="beta" localSheetId="2">#REF!</definedName>
    <definedName name="beta" localSheetId="3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Bonds">#REF!</definedName>
    <definedName name="C_">[7]OptionsHW!$C$20:$E$20</definedName>
    <definedName name="c_0" localSheetId="41">CubicSpline_YC!$AN$60</definedName>
    <definedName name="c_0" localSheetId="42">CubicSpline_YC_Optim!$AN$60</definedName>
    <definedName name="c_0" localSheetId="43">CubicSpline_YC_Optim_Penalized!$AN$60</definedName>
    <definedName name="c_0">#REF!</definedName>
    <definedName name="c_1" localSheetId="41">CubicSpline_YC!$AN$30</definedName>
    <definedName name="c_1" localSheetId="42">CubicSpline_YC_Optim!$AN$30</definedName>
    <definedName name="c_1" localSheetId="43">CubicSpline_YC_Optim_Penalized!$AN$30</definedName>
    <definedName name="c_1">#REF!</definedName>
    <definedName name="c_10" localSheetId="41">CubicSpline_YC!$AN$54</definedName>
    <definedName name="c_10" localSheetId="42">CubicSpline_YC_Optim!$AN$54</definedName>
    <definedName name="c_10" localSheetId="43">CubicSpline_YC_Optim_Penalized!$AN$54</definedName>
    <definedName name="c_10">#REF!</definedName>
    <definedName name="c_2" localSheetId="41">CubicSpline_YC!$AN$34</definedName>
    <definedName name="c_2" localSheetId="42">CubicSpline_YC_Optim!$AN$34</definedName>
    <definedName name="c_2" localSheetId="43">CubicSpline_YC_Optim_Penalized!$AN$34</definedName>
    <definedName name="c_2">#REF!</definedName>
    <definedName name="c_3" localSheetId="41">CubicSpline_YC!$AN$38</definedName>
    <definedName name="c_3" localSheetId="42">CubicSpline_YC_Optim!$AN$38</definedName>
    <definedName name="c_3" localSheetId="43">CubicSpline_YC_Optim_Penalized!$AN$38</definedName>
    <definedName name="c_3">#REF!</definedName>
    <definedName name="c_30" localSheetId="41">CubicSpline_YC!$AN$58</definedName>
    <definedName name="c_30" localSheetId="42">CubicSpline_YC_Optim!$AN$58</definedName>
    <definedName name="c_30" localSheetId="43">CubicSpline_YC_Optim_Penalized!$AN$58</definedName>
    <definedName name="c_30">#REF!</definedName>
    <definedName name="c_4" localSheetId="41">CubicSpline_YC!$AN$42</definedName>
    <definedName name="c_4" localSheetId="42">CubicSpline_YC_Optim!$AN$42</definedName>
    <definedName name="c_4" localSheetId="43">CubicSpline_YC_Optim_Penalized!$AN$42</definedName>
    <definedName name="c_4">#REF!</definedName>
    <definedName name="c_5" localSheetId="41">CubicSpline_YC!$AN$46</definedName>
    <definedName name="c_5" localSheetId="42">CubicSpline_YC_Optim!$AN$46</definedName>
    <definedName name="c_5" localSheetId="43">CubicSpline_YC_Optim_Penalized!$AN$46</definedName>
    <definedName name="c_5">#REF!</definedName>
    <definedName name="c_7" localSheetId="41">CubicSpline_YC!$AN$50</definedName>
    <definedName name="c_7" localSheetId="42">CubicSpline_YC_Optim!$AN$50</definedName>
    <definedName name="c_7" localSheetId="43">CubicSpline_YC_Optim_Penalized!$AN$50</definedName>
    <definedName name="c_7">#REF!</definedName>
    <definedName name="Cake">#REF!</definedName>
    <definedName name="Cd" localSheetId="2">[8]Options2!#REF!</definedName>
    <definedName name="Cd" localSheetId="3">[8]Options2!#REF!</definedName>
    <definedName name="Cd">[8]Options2!#REF!</definedName>
    <definedName name="Change" localSheetId="2">[5]VaR0!#REF!</definedName>
    <definedName name="Change" localSheetId="3">[5]VaR0!#REF!</definedName>
    <definedName name="Change">[5]VaR0!#REF!</definedName>
    <definedName name="change1" localSheetId="2">#REF!</definedName>
    <definedName name="change1" localSheetId="3">#REF!</definedName>
    <definedName name="change1">#REF!</definedName>
    <definedName name="change2" localSheetId="2">#REF!</definedName>
    <definedName name="change2" localSheetId="3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#REF!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#REF!</definedName>
    <definedName name="Cu">[8]Options2!#REF!</definedName>
    <definedName name="cyl">#REF!</definedName>
    <definedName name="cyl_Permute">#REF!</definedName>
    <definedName name="cyl_RandPermute">#REF!</definedName>
    <definedName name="d">[8]Options2!$C$7</definedName>
    <definedName name="d_0" localSheetId="41">CubicSpline_YC!$AN$61</definedName>
    <definedName name="d_0" localSheetId="42">CubicSpline_YC_Optim!$AN$61</definedName>
    <definedName name="d_0" localSheetId="43">CubicSpline_YC_Optim_Penalized!$AN$61</definedName>
    <definedName name="d_0">#REF!</definedName>
    <definedName name="d_1" localSheetId="41">CubicSpline_YC!$AN$31</definedName>
    <definedName name="d_1" localSheetId="42">CubicSpline_YC_Optim!$AN$31</definedName>
    <definedName name="d_1" localSheetId="43">CubicSpline_YC_Optim_Penalized!$AN$31</definedName>
    <definedName name="d_1">#REF!</definedName>
    <definedName name="d_10" localSheetId="41">CubicSpline_YC!$AN$55</definedName>
    <definedName name="d_10" localSheetId="42">CubicSpline_YC_Optim!$AN$55</definedName>
    <definedName name="d_10" localSheetId="43">CubicSpline_YC_Optim_Penalized!$AN$55</definedName>
    <definedName name="d_10">#REF!</definedName>
    <definedName name="d_2" localSheetId="41">CubicSpline_YC!$AN$35</definedName>
    <definedName name="d_2" localSheetId="42">CubicSpline_YC_Optim!$AN$35</definedName>
    <definedName name="d_2" localSheetId="43">CubicSpline_YC_Optim_Penalized!$AN$35</definedName>
    <definedName name="d_2">#REF!</definedName>
    <definedName name="d_3" localSheetId="41">CubicSpline_YC!$AN$39</definedName>
    <definedName name="d_3" localSheetId="42">CubicSpline_YC_Optim!$AN$39</definedName>
    <definedName name="d_3" localSheetId="43">CubicSpline_YC_Optim_Penalized!$AN$39</definedName>
    <definedName name="d_3">#REF!</definedName>
    <definedName name="d_30" localSheetId="41">CubicSpline_YC!$AN$59</definedName>
    <definedName name="d_30" localSheetId="42">CubicSpline_YC_Optim!$AN$59</definedName>
    <definedName name="d_30" localSheetId="43">CubicSpline_YC_Optim_Penalized!$AN$59</definedName>
    <definedName name="d_30">#REF!</definedName>
    <definedName name="d_4" localSheetId="41">CubicSpline_YC!$AN$43</definedName>
    <definedName name="d_4" localSheetId="42">CubicSpline_YC_Optim!$AN$43</definedName>
    <definedName name="d_4" localSheetId="43">CubicSpline_YC_Optim_Penalized!$AN$43</definedName>
    <definedName name="d_4">#REF!</definedName>
    <definedName name="d_5" localSheetId="41">CubicSpline_YC!$AN$47</definedName>
    <definedName name="d_5" localSheetId="42">CubicSpline_YC_Optim!$AN$47</definedName>
    <definedName name="d_5" localSheetId="43">CubicSpline_YC_Optim_Penalized!$AN$47</definedName>
    <definedName name="d_5">#REF!</definedName>
    <definedName name="d_7" localSheetId="41">CubicSpline_YC!$AN$51</definedName>
    <definedName name="d_7" localSheetId="42">CubicSpline_YC_Optim!$AN$51</definedName>
    <definedName name="d_7" localSheetId="43">CubicSpline_YC_Optim_Penalized!$AN$51</definedName>
    <definedName name="d_7">#REF!</definedName>
    <definedName name="d1_" localSheetId="41">CubicSpline_YC!$T$31</definedName>
    <definedName name="d1_" localSheetId="42">CubicSpline_YC_Optim!$T$31</definedName>
    <definedName name="d1_" localSheetId="43">CubicSpline_YC_Optim_Penalized!$T$31</definedName>
    <definedName name="d1_">CubicSpline3!$T$28</definedName>
    <definedName name="d2_" localSheetId="41">CubicSpline_YC!$T$35</definedName>
    <definedName name="d2_" localSheetId="42">CubicSpline_YC_Optim!$T$35</definedName>
    <definedName name="d2_" localSheetId="43">CubicSpline_YC_Optim_Penalized!$T$35</definedName>
    <definedName name="d2_">CubicSpline3!$T$32</definedName>
    <definedName name="d3_" localSheetId="41">CubicSpline_YC!$T$39</definedName>
    <definedName name="d3_" localSheetId="42">CubicSpline_YC_Optim!$T$39</definedName>
    <definedName name="d3_" localSheetId="43">CubicSpline_YC_Optim_Penalized!$T$39</definedName>
    <definedName name="d3_">CubicSpline3!$T$36</definedName>
    <definedName name="data">#REF!</definedName>
    <definedName name="df">#REF!</definedName>
    <definedName name="displ">#REF!</definedName>
    <definedName name="displ_Permute">#REF!</definedName>
    <definedName name="displ_RandPermute">#REF!</definedName>
    <definedName name="dmat" localSheetId="41">CubicSpline_YC!$F$65:$AK$96</definedName>
    <definedName name="dmat" localSheetId="42">CubicSpline_YC_Optim!$F$65:$AK$96</definedName>
    <definedName name="dmat" localSheetId="43">CubicSpline_YC_Optim_Penalized!$F$65:$AK$96</definedName>
    <definedName name="dmat">#REF!</definedName>
    <definedName name="dollar_rate">[12]FX_Intro!$C$67</definedName>
    <definedName name="drv">#REF!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#REF!</definedName>
    <definedName name="forward_rate">[12]FX_Intro!$C$68</definedName>
    <definedName name="Frequency" localSheetId="2">#REF!</definedName>
    <definedName name="Frequency" localSheetId="3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#REF!</definedName>
    <definedName name="hwy_Permute">#REF!</definedName>
    <definedName name="hwy_RandPermute">#REF!</definedName>
    <definedName name="i" localSheetId="41">CubicSpline_YC!$C$100:$C$400</definedName>
    <definedName name="i" localSheetId="42">CubicSpline_YC_Optim!$C$100:$C$400</definedName>
    <definedName name="i" localSheetId="43">CubicSpline_YC_Optim_Penalized!$C$100:$C$400</definedName>
    <definedName name="i">CubicSpline3!$AA$8:$AA$38</definedName>
    <definedName name="i_1" localSheetId="43">CubicSpline_YC_Optim_Penalized!$B$100:$B$400</definedName>
    <definedName name="i_1">CubicSpline_YC_Optim!$B$100:$B$400</definedName>
    <definedName name="idx" localSheetId="2">#REF!</definedName>
    <definedName name="idx" localSheetId="3">#REF!</definedName>
    <definedName name="idx">#REF!</definedName>
    <definedName name="Inflator">[1]RSquareAdj!$C$10</definedName>
    <definedName name="k" localSheetId="2">[15]KNN_Vote!$AA$3</definedName>
    <definedName name="k" localSheetId="3">[15]KNN_Vote!$AA$3</definedName>
    <definedName name="k">#REF!</definedName>
    <definedName name="L">#REF!</definedName>
    <definedName name="label" localSheetId="41">CubicSpline_YC!$B$28:$B$59</definedName>
    <definedName name="label" localSheetId="42">CubicSpline_YC_Optim!$B$28:$B$59</definedName>
    <definedName name="label" localSheetId="43">CubicSpline_YC_Optim_Penalized!$B$28:$B$59</definedName>
    <definedName name="label" localSheetId="40">CubicSpline3!$B$25:$B$36</definedName>
    <definedName name="label">#REF!</definedName>
    <definedName name="LL">#REF!</definedName>
    <definedName name="LN_Sim" localSheetId="2">#REF!</definedName>
    <definedName name="LN_Sim" localSheetId="3">#REF!</definedName>
    <definedName name="LN_Sim">#REF!</definedName>
    <definedName name="loss" localSheetId="2">#REF!</definedName>
    <definedName name="loss" localSheetId="3">#REF!</definedName>
    <definedName name="loss">#REF!</definedName>
    <definedName name="loss_30" localSheetId="2">#REF!</definedName>
    <definedName name="loss_30" localSheetId="3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#REF!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#REF!</definedName>
    <definedName name="mu">[14]Calcs_Mean2!$O$23</definedName>
    <definedName name="MyBank">[16]Cor_N_Cov!$G$14:$G$35</definedName>
    <definedName name="MyBankDeposits">[16]Cor_N_Cov!$D$14:$D$35</definedName>
    <definedName name="MyFriendsBank">[16]Cor_N_Cov!$H$14:$H$35</definedName>
    <definedName name="MyFriendsDeposits">[16]Cor_N_Cov!$E$14:$E$35</definedName>
    <definedName name="n">[2]Binomial!$C$12</definedName>
    <definedName name="n_" localSheetId="2">#REF!</definedName>
    <definedName name="n_" localSheetId="3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2">[15]DurbinWatson!$B$3</definedName>
    <definedName name="p" localSheetId="3">[15]DurbinWatson!$B$3</definedName>
    <definedName name="p">#REF!</definedName>
    <definedName name="PD">[4]CDS!$C$21:$C$25</definedName>
    <definedName name="PDF">[14]Calcs_Mean2!$K$10:$K$30</definedName>
    <definedName name="Period" localSheetId="2">#REF!</definedName>
    <definedName name="Period" localSheetId="3">#REF!</definedName>
    <definedName name="Period">#REF!</definedName>
    <definedName name="peso_rate">[12]FX_Intro!$C$66</definedName>
    <definedName name="Pij" localSheetId="2">#REF!</definedName>
    <definedName name="Pij" localSheetId="3">#REF!</definedName>
    <definedName name="Pij">#REF!</definedName>
    <definedName name="pmt" localSheetId="2">#REF!</definedName>
    <definedName name="pmt" localSheetId="3">#REF!</definedName>
    <definedName name="pmt">#REF!</definedName>
    <definedName name="pmt_" localSheetId="2">#REF!</definedName>
    <definedName name="pmt_" localSheetId="3">#REF!</definedName>
    <definedName name="pmt_">#REF!</definedName>
    <definedName name="pmtperyear">[17]Bond!$C$6</definedName>
    <definedName name="pmts">[17]Bond!$E$12:$E$25</definedName>
    <definedName name="price1" localSheetId="2">#REF!</definedName>
    <definedName name="price1" localSheetId="3">#REF!</definedName>
    <definedName name="price1">#REF!</definedName>
    <definedName name="price2" localSheetId="2">#REF!</definedName>
    <definedName name="price2" localSheetId="3">#REF!</definedName>
    <definedName name="price2">#REF!</definedName>
    <definedName name="price3" localSheetId="2">#REF!</definedName>
    <definedName name="price3" localSheetId="3">#REF!</definedName>
    <definedName name="price3">#REF!</definedName>
    <definedName name="price4">#REF!</definedName>
    <definedName name="price5">#REF!</definedName>
    <definedName name="Probability1">[16]Copula3!$E$13:$E$62</definedName>
    <definedName name="Probability2">[16]Copula3!$F$13:$F$62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[17]Dur2!$G$12:$G$25</definedName>
    <definedName name="PVA">[17]InstallmentLoan!$F$3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[18]CreditMatrix!$D$10:$D$109</definedName>
    <definedName name="RatingNow">[18]CreditMatrix!$E$10:$E$109</definedName>
    <definedName name="ratingsTbl">[18]CreditMatrix!$B$2:$C$7</definedName>
    <definedName name="Ratio">[14]Calcs_VarianceDiff!$E$17</definedName>
    <definedName name="Recovery">[4]Spread2PD!$D$40:$D$44</definedName>
    <definedName name="risk1" localSheetId="2">#REF!</definedName>
    <definedName name="risk1" localSheetId="3">#REF!</definedName>
    <definedName name="risk1">#REF!</definedName>
    <definedName name="risk2" localSheetId="2">#REF!</definedName>
    <definedName name="risk2" localSheetId="3">#REF!</definedName>
    <definedName name="risk2">#REF!</definedName>
    <definedName name="risk3" localSheetId="2">#REF!</definedName>
    <definedName name="risk3" localSheetId="3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2">#REF!</definedName>
    <definedName name="SD" localSheetId="3">#REF!</definedName>
    <definedName name="SD">#REF!</definedName>
    <definedName name="sd_x">[1]MaximumLikelihood!$C$3</definedName>
    <definedName name="SD_xbar">[14]Calcs_Mean2!$O$28</definedName>
    <definedName name="SE0" localSheetId="2">#REF!</definedName>
    <definedName name="SE0" localSheetId="3">#REF!</definedName>
    <definedName name="SE0">#REF!</definedName>
    <definedName name="SE1_" localSheetId="2">#REF!</definedName>
    <definedName name="SE1_" localSheetId="3">#REF!</definedName>
    <definedName name="SE1_">#REF!</definedName>
    <definedName name="SE2_" localSheetId="2">#REF!</definedName>
    <definedName name="SE2_" localSheetId="3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olver_adj" localSheetId="42" hidden="1">CubicSpline_YC_Optim!$AN$28:$AN$59</definedName>
    <definedName name="solver_adj" localSheetId="43" hidden="1">CubicSpline_YC_Optim_Penalized!$AN$28:$AN$59</definedName>
    <definedName name="solver_adj" localSheetId="16" hidden="1">Iris_Fit!$H$4:$H$8</definedName>
    <definedName name="solver_adj" localSheetId="17" hidden="1">Iris_Forecast_OOS!$H$4:$H$8</definedName>
    <definedName name="solver_cvg" localSheetId="42" hidden="1">0.0001</definedName>
    <definedName name="solver_cvg" localSheetId="43" hidden="1">0.0001</definedName>
    <definedName name="solver_cvg" localSheetId="16" hidden="1">0.0001</definedName>
    <definedName name="solver_cvg" localSheetId="17" hidden="1">0.0001</definedName>
    <definedName name="solver_drv" localSheetId="42" hidden="1">1</definedName>
    <definedName name="solver_drv" localSheetId="43" hidden="1">1</definedName>
    <definedName name="solver_drv" localSheetId="16" hidden="1">1</definedName>
    <definedName name="solver_drv" localSheetId="17" hidden="1">1</definedName>
    <definedName name="solver_eng" localSheetId="42" hidden="1">1</definedName>
    <definedName name="solver_eng" localSheetId="43" hidden="1">1</definedName>
    <definedName name="solver_eng" localSheetId="16" hidden="1">1</definedName>
    <definedName name="solver_eng" localSheetId="17" hidden="1">1</definedName>
    <definedName name="solver_itr" localSheetId="42" hidden="1">2147483647</definedName>
    <definedName name="solver_itr" localSheetId="43" hidden="1">2147483647</definedName>
    <definedName name="solver_itr" localSheetId="16" hidden="1">2147483647</definedName>
    <definedName name="solver_itr" localSheetId="17" hidden="1">2147483647</definedName>
    <definedName name="solver_lin" localSheetId="42" hidden="1">2</definedName>
    <definedName name="solver_lin" localSheetId="43" hidden="1">2</definedName>
    <definedName name="solver_lin" localSheetId="16" hidden="1">2</definedName>
    <definedName name="solver_lin" localSheetId="17" hidden="1">2</definedName>
    <definedName name="solver_mip" localSheetId="42" hidden="1">2147483647</definedName>
    <definedName name="solver_mip" localSheetId="43" hidden="1">2147483647</definedName>
    <definedName name="solver_mip" localSheetId="16" hidden="1">2147483647</definedName>
    <definedName name="solver_mip" localSheetId="17" hidden="1">2147483647</definedName>
    <definedName name="solver_mni" localSheetId="42" hidden="1">30</definedName>
    <definedName name="solver_mni" localSheetId="43" hidden="1">30</definedName>
    <definedName name="solver_mni" localSheetId="16" hidden="1">30</definedName>
    <definedName name="solver_mni" localSheetId="17" hidden="1">30</definedName>
    <definedName name="solver_mrt" localSheetId="42" hidden="1">0.075</definedName>
    <definedName name="solver_mrt" localSheetId="43" hidden="1">0.075</definedName>
    <definedName name="solver_mrt" localSheetId="16" hidden="1">0.075</definedName>
    <definedName name="solver_mrt" localSheetId="17" hidden="1">0.075</definedName>
    <definedName name="solver_msl" localSheetId="42" hidden="1">2</definedName>
    <definedName name="solver_msl" localSheetId="43" hidden="1">2</definedName>
    <definedName name="solver_msl" localSheetId="16" hidden="1">2</definedName>
    <definedName name="solver_msl" localSheetId="17" hidden="1">2</definedName>
    <definedName name="solver_neg" localSheetId="42" hidden="1">2</definedName>
    <definedName name="solver_neg" localSheetId="43" hidden="1">2</definedName>
    <definedName name="solver_neg" localSheetId="16" hidden="1">1</definedName>
    <definedName name="solver_neg" localSheetId="17" hidden="1">1</definedName>
    <definedName name="solver_nod" localSheetId="42" hidden="1">2147483647</definedName>
    <definedName name="solver_nod" localSheetId="43" hidden="1">2147483647</definedName>
    <definedName name="solver_nod" localSheetId="16" hidden="1">2147483647</definedName>
    <definedName name="solver_nod" localSheetId="17" hidden="1">2147483647</definedName>
    <definedName name="solver_num" localSheetId="42" hidden="1">0</definedName>
    <definedName name="solver_num" localSheetId="43" hidden="1">0</definedName>
    <definedName name="solver_num" localSheetId="16" hidden="1">0</definedName>
    <definedName name="solver_num" localSheetId="17" hidden="1">0</definedName>
    <definedName name="solver_opt" localSheetId="42" hidden="1">CubicSpline_YC_Optim!$O$101</definedName>
    <definedName name="solver_opt" localSheetId="43" hidden="1">CubicSpline_YC_Optim_Penalized!$AF$101</definedName>
    <definedName name="solver_opt" localSheetId="16" hidden="1">Iris_Fit!$K$4</definedName>
    <definedName name="solver_opt" localSheetId="17" hidden="1">Iris_Forecast_OOS!$K$4</definedName>
    <definedName name="solver_pre" localSheetId="42" hidden="1">0.000001</definedName>
    <definedName name="solver_pre" localSheetId="43" hidden="1">0.000001</definedName>
    <definedName name="solver_pre" localSheetId="16" hidden="1">0.000001</definedName>
    <definedName name="solver_pre" localSheetId="17" hidden="1">0.000001</definedName>
    <definedName name="solver_rbv" localSheetId="42" hidden="1">1</definedName>
    <definedName name="solver_rbv" localSheetId="43" hidden="1">1</definedName>
    <definedName name="solver_rbv" localSheetId="16" hidden="1">1</definedName>
    <definedName name="solver_rbv" localSheetId="17" hidden="1">1</definedName>
    <definedName name="solver_rlx" localSheetId="42" hidden="1">1</definedName>
    <definedName name="solver_rlx" localSheetId="43" hidden="1">1</definedName>
    <definedName name="solver_rlx" localSheetId="16" hidden="1">2</definedName>
    <definedName name="solver_rlx" localSheetId="17" hidden="1">2</definedName>
    <definedName name="solver_rsd" localSheetId="42" hidden="1">0</definedName>
    <definedName name="solver_rsd" localSheetId="43" hidden="1">0</definedName>
    <definedName name="solver_rsd" localSheetId="16" hidden="1">0</definedName>
    <definedName name="solver_rsd" localSheetId="17" hidden="1">0</definedName>
    <definedName name="solver_scl" localSheetId="42" hidden="1">2</definedName>
    <definedName name="solver_scl" localSheetId="43" hidden="1">2</definedName>
    <definedName name="solver_scl" localSheetId="16" hidden="1">1</definedName>
    <definedName name="solver_scl" localSheetId="17" hidden="1">1</definedName>
    <definedName name="solver_sho" localSheetId="42" hidden="1">2</definedName>
    <definedName name="solver_sho" localSheetId="43" hidden="1">2</definedName>
    <definedName name="solver_sho" localSheetId="16" hidden="1">2</definedName>
    <definedName name="solver_sho" localSheetId="17" hidden="1">2</definedName>
    <definedName name="solver_ssz" localSheetId="42" hidden="1">100</definedName>
    <definedName name="solver_ssz" localSheetId="43" hidden="1">100</definedName>
    <definedName name="solver_ssz" localSheetId="16" hidden="1">100</definedName>
    <definedName name="solver_ssz" localSheetId="17" hidden="1">100</definedName>
    <definedName name="solver_tim" localSheetId="42" hidden="1">2147483647</definedName>
    <definedName name="solver_tim" localSheetId="43" hidden="1">2147483647</definedName>
    <definedName name="solver_tim" localSheetId="16" hidden="1">2147483647</definedName>
    <definedName name="solver_tim" localSheetId="17" hidden="1">2147483647</definedName>
    <definedName name="solver_tol" localSheetId="42" hidden="1">0.01</definedName>
    <definedName name="solver_tol" localSheetId="43" hidden="1">0.01</definedName>
    <definedName name="solver_tol" localSheetId="16" hidden="1">0.01</definedName>
    <definedName name="solver_tol" localSheetId="17" hidden="1">0.01</definedName>
    <definedName name="solver_typ" localSheetId="42" hidden="1">2</definedName>
    <definedName name="solver_typ" localSheetId="43" hidden="1">2</definedName>
    <definedName name="solver_typ" localSheetId="16" hidden="1">1</definedName>
    <definedName name="solver_typ" localSheetId="17" hidden="1">1</definedName>
    <definedName name="solver_val" localSheetId="42" hidden="1">0</definedName>
    <definedName name="solver_val" localSheetId="43" hidden="1">0</definedName>
    <definedName name="solver_val" localSheetId="16" hidden="1">0</definedName>
    <definedName name="solver_val" localSheetId="17" hidden="1">0</definedName>
    <definedName name="solver_ver" localSheetId="42" hidden="1">2</definedName>
    <definedName name="solver_ver" localSheetId="43" hidden="1">2</definedName>
    <definedName name="solver_ver" localSheetId="16" hidden="1">2</definedName>
    <definedName name="solver_ver" localSheetId="17" hidden="1">2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2">#REF!</definedName>
    <definedName name="stdev" localSheetId="3">#REF!</definedName>
    <definedName name="stdev">#REF!</definedName>
    <definedName name="Sum">[13]CentralLimitTheorem!$C$7:$C$106</definedName>
    <definedName name="t" localSheetId="41">CubicSpline_YC!$D$100:$D$400</definedName>
    <definedName name="t" localSheetId="42">CubicSpline_YC_Optim!$D$100:$D$400</definedName>
    <definedName name="t" localSheetId="43">CubicSpline_YC_Optim_Penalized!$D$100:$D$400</definedName>
    <definedName name="t" localSheetId="2">#REF!</definedName>
    <definedName name="t" localSheetId="3">#REF!</definedName>
    <definedName name="t">CubicSpline3!$AB$8:$AB$38</definedName>
    <definedName name="t_">[4]CDS!$B$21:$B$25</definedName>
    <definedName name="table_asf">[19]ASF!$C$31:$D$34</definedName>
    <definedName name="time" localSheetId="41">CubicSpline_YC!$D$28:$D$59</definedName>
    <definedName name="time" localSheetId="42">CubicSpline_YC_Optim!$D$28:$D$59</definedName>
    <definedName name="time" localSheetId="43">CubicSpline_YC_Optim_Penalized!$D$28:$D$59</definedName>
    <definedName name="time" localSheetId="39">CubicSpline2!$D$25:$D$36</definedName>
    <definedName name="time" localSheetId="40">CubicSpline3!$D$25:$D$36</definedName>
    <definedName name="Time" localSheetId="2">#REF!</definedName>
    <definedName name="Time" localSheetId="3">#REF!</definedName>
    <definedName name="Time">#REF!</definedName>
    <definedName name="Time_" localSheetId="41">CubicSpline_YC!$F$37:$F$66</definedName>
    <definedName name="Time_" localSheetId="42">CubicSpline_YC_Optim!$F$37:$F$66</definedName>
    <definedName name="Time_" localSheetId="43">CubicSpline_YC_Optim_Penalized!$F$37:$F$66</definedName>
    <definedName name="Time_">[4]Spread2PD!$B$40:$B$44</definedName>
    <definedName name="tmat">[4]ExporeInf!$C$3:$H$8</definedName>
    <definedName name="tmat12" localSheetId="2">#REF!</definedName>
    <definedName name="tmat12" localSheetId="3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#REF!</definedName>
    <definedName name="TSS">[1]RSquareAdj!#REF!</definedName>
    <definedName name="u">[9]MatrixMult_Credit!#REF!</definedName>
    <definedName name="usd_peso">[12]FX_Intro!$C$65</definedName>
    <definedName name="v">'[20]2_PMT'!$C$13</definedName>
    <definedName name="value" localSheetId="41">CubicSpline_YC!$C$28:$C$59</definedName>
    <definedName name="value" localSheetId="42">CubicSpline_YC_Optim!$C$28:$C$59</definedName>
    <definedName name="value" localSheetId="43">CubicSpline_YC_Optim_Penalized!$C$28:$C$59</definedName>
    <definedName name="value" localSheetId="40">CubicSpline3!$C$25:$C$36</definedName>
    <definedName name="Value">[11]VaR3!$D$50:$H$50</definedName>
    <definedName name="value_01">[17]Dur2!$I$12</definedName>
    <definedName name="value_lo" localSheetId="2">#REF!</definedName>
    <definedName name="value_lo" localSheetId="3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[18]CreditMatrix_Weighted!$F$10:$F$109</definedName>
    <definedName name="weights">[11]VaR3!$C$55:$C$59</definedName>
    <definedName name="Withdrawl">[21]InvestmentReturns!$B$12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[17]Bond!$C$8</definedName>
    <definedName name="y_draw" localSheetId="2">#REF!</definedName>
    <definedName name="y_draw" localSheetId="3">#REF!</definedName>
    <definedName name="y_draw">#REF!</definedName>
    <definedName name="ybar" localSheetId="2">#REF!</definedName>
    <definedName name="ybar" localSheetId="3">#REF!</definedName>
    <definedName name="ybar">#REF!</definedName>
    <definedName name="year">#REF!</definedName>
    <definedName name="year_Permute">#REF!</definedName>
    <definedName name="year_RandPermute">#REF!</definedName>
    <definedName name="years">[17]Bond!$C$7</definedName>
    <definedName name="yhat" localSheetId="2">#REF!</definedName>
    <definedName name="yhat" localSheetId="3">#REF!</definedName>
    <definedName name="yhat">#REF!</definedName>
    <definedName name="YieldSims">#REF!</definedName>
    <definedName name="ytm">[10]qFunctions!$C$7</definedName>
    <definedName name="YTM_rf">#REF!</definedName>
    <definedName name="σ">#REF!</definedName>
  </definedNames>
  <calcPr calcId="191029" calcMode="autoNoTable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96" i="155" l="1"/>
  <c r="AJ96" i="155"/>
  <c r="AG96" i="155"/>
  <c r="AF96" i="155"/>
  <c r="AE96" i="155"/>
  <c r="AD96" i="155"/>
  <c r="AC96" i="155"/>
  <c r="AB96" i="155"/>
  <c r="AA96" i="155"/>
  <c r="Z96" i="155"/>
  <c r="Y96" i="155"/>
  <c r="X96" i="155"/>
  <c r="W96" i="155"/>
  <c r="V96" i="155"/>
  <c r="U96" i="155"/>
  <c r="T96" i="155"/>
  <c r="S96" i="155"/>
  <c r="R96" i="155"/>
  <c r="Q96" i="155"/>
  <c r="P96" i="155"/>
  <c r="O96" i="155"/>
  <c r="N96" i="155"/>
  <c r="M96" i="155"/>
  <c r="L96" i="155"/>
  <c r="K96" i="155"/>
  <c r="J96" i="155"/>
  <c r="I96" i="155"/>
  <c r="H96" i="155"/>
  <c r="G96" i="155"/>
  <c r="F96" i="155"/>
  <c r="AG95" i="155"/>
  <c r="AF95" i="155"/>
  <c r="AE95" i="155"/>
  <c r="AD95" i="155"/>
  <c r="AC95" i="155"/>
  <c r="AB95" i="155"/>
  <c r="AA95" i="155"/>
  <c r="Z95" i="155"/>
  <c r="Y95" i="155"/>
  <c r="X95" i="155"/>
  <c r="W95" i="155"/>
  <c r="V95" i="155"/>
  <c r="U95" i="155"/>
  <c r="T95" i="155"/>
  <c r="S95" i="155"/>
  <c r="R95" i="155"/>
  <c r="Q95" i="155"/>
  <c r="P95" i="155"/>
  <c r="O95" i="155"/>
  <c r="N95" i="155"/>
  <c r="M95" i="155"/>
  <c r="L95" i="155"/>
  <c r="K95" i="155"/>
  <c r="J95" i="155"/>
  <c r="I95" i="155"/>
  <c r="H95" i="155"/>
  <c r="G95" i="155"/>
  <c r="F95" i="155"/>
  <c r="AK94" i="155"/>
  <c r="AJ94" i="155"/>
  <c r="AI94" i="155"/>
  <c r="AH94" i="155"/>
  <c r="AG94" i="155"/>
  <c r="AF94" i="155"/>
  <c r="AE94" i="155"/>
  <c r="AD94" i="155"/>
  <c r="AC94" i="155"/>
  <c r="AB94" i="155"/>
  <c r="AA94" i="155"/>
  <c r="Z94" i="155"/>
  <c r="Y94" i="155"/>
  <c r="X94" i="155"/>
  <c r="W94" i="155"/>
  <c r="V94" i="155"/>
  <c r="U94" i="155"/>
  <c r="T94" i="155"/>
  <c r="S94" i="155"/>
  <c r="R94" i="155"/>
  <c r="Q94" i="155"/>
  <c r="P94" i="155"/>
  <c r="O94" i="155"/>
  <c r="N94" i="155"/>
  <c r="M94" i="155"/>
  <c r="L94" i="155"/>
  <c r="K94" i="155"/>
  <c r="J94" i="155"/>
  <c r="I94" i="155"/>
  <c r="H94" i="155"/>
  <c r="AK93" i="155"/>
  <c r="AJ93" i="155"/>
  <c r="AI93" i="155"/>
  <c r="AH93" i="155"/>
  <c r="AG93" i="155"/>
  <c r="AF93" i="155"/>
  <c r="AE93" i="155"/>
  <c r="AD93" i="155"/>
  <c r="AC93" i="155"/>
  <c r="AB93" i="155"/>
  <c r="AA93" i="155"/>
  <c r="Z93" i="155"/>
  <c r="Y93" i="155"/>
  <c r="X93" i="155"/>
  <c r="W93" i="155"/>
  <c r="V93" i="155"/>
  <c r="U93" i="155"/>
  <c r="T93" i="155"/>
  <c r="S93" i="155"/>
  <c r="R93" i="155"/>
  <c r="Q93" i="155"/>
  <c r="P93" i="155"/>
  <c r="O93" i="155"/>
  <c r="N93" i="155"/>
  <c r="M93" i="155"/>
  <c r="L93" i="155"/>
  <c r="K93" i="155"/>
  <c r="J93" i="155"/>
  <c r="I93" i="155"/>
  <c r="AK92" i="155"/>
  <c r="AJ92" i="155"/>
  <c r="AG92" i="155"/>
  <c r="AF92" i="155"/>
  <c r="AC92" i="155"/>
  <c r="AB92" i="155"/>
  <c r="AA92" i="155"/>
  <c r="Z92" i="155"/>
  <c r="Y92" i="155"/>
  <c r="X92" i="155"/>
  <c r="W92" i="155"/>
  <c r="V92" i="155"/>
  <c r="U92" i="155"/>
  <c r="T92" i="155"/>
  <c r="S92" i="155"/>
  <c r="R92" i="155"/>
  <c r="Q92" i="155"/>
  <c r="P92" i="155"/>
  <c r="O92" i="155"/>
  <c r="N92" i="155"/>
  <c r="M92" i="155"/>
  <c r="L92" i="155"/>
  <c r="K92" i="155"/>
  <c r="J92" i="155"/>
  <c r="I92" i="155"/>
  <c r="H92" i="155"/>
  <c r="G92" i="155"/>
  <c r="F92" i="155"/>
  <c r="AK91" i="155"/>
  <c r="AH91" i="155"/>
  <c r="AG91" i="155"/>
  <c r="AC91" i="155"/>
  <c r="AB91" i="155"/>
  <c r="AA91" i="155"/>
  <c r="Z91" i="155"/>
  <c r="Y91" i="155"/>
  <c r="X91" i="155"/>
  <c r="W91" i="155"/>
  <c r="V91" i="155"/>
  <c r="U91" i="155"/>
  <c r="T91" i="155"/>
  <c r="S91" i="155"/>
  <c r="R91" i="155"/>
  <c r="Q91" i="155"/>
  <c r="P91" i="155"/>
  <c r="O91" i="155"/>
  <c r="N91" i="155"/>
  <c r="M91" i="155"/>
  <c r="L91" i="155"/>
  <c r="K91" i="155"/>
  <c r="J91" i="155"/>
  <c r="I91" i="155"/>
  <c r="H91" i="155"/>
  <c r="G91" i="155"/>
  <c r="F91" i="155"/>
  <c r="AG90" i="155"/>
  <c r="AF90" i="155"/>
  <c r="AE90" i="155"/>
  <c r="AD90" i="155"/>
  <c r="AC90" i="155"/>
  <c r="AB90" i="155"/>
  <c r="AA90" i="155"/>
  <c r="Z90" i="155"/>
  <c r="Y90" i="155"/>
  <c r="X90" i="155"/>
  <c r="W90" i="155"/>
  <c r="V90" i="155"/>
  <c r="U90" i="155"/>
  <c r="T90" i="155"/>
  <c r="S90" i="155"/>
  <c r="R90" i="155"/>
  <c r="Q90" i="155"/>
  <c r="P90" i="155"/>
  <c r="O90" i="155"/>
  <c r="N90" i="155"/>
  <c r="M90" i="155"/>
  <c r="L90" i="155"/>
  <c r="K90" i="155"/>
  <c r="J90" i="155"/>
  <c r="I90" i="155"/>
  <c r="H90" i="155"/>
  <c r="G90" i="155"/>
  <c r="F90" i="155"/>
  <c r="AK89" i="155"/>
  <c r="AJ89" i="155"/>
  <c r="AI89" i="155"/>
  <c r="AH89" i="155"/>
  <c r="AC89" i="155"/>
  <c r="AB89" i="155"/>
  <c r="AA89" i="155"/>
  <c r="Z89" i="155"/>
  <c r="Y89" i="155"/>
  <c r="X89" i="155"/>
  <c r="W89" i="155"/>
  <c r="V89" i="155"/>
  <c r="U89" i="155"/>
  <c r="T89" i="155"/>
  <c r="S89" i="155"/>
  <c r="R89" i="155"/>
  <c r="Q89" i="155"/>
  <c r="P89" i="155"/>
  <c r="O89" i="155"/>
  <c r="N89" i="155"/>
  <c r="M89" i="155"/>
  <c r="L89" i="155"/>
  <c r="K89" i="155"/>
  <c r="J89" i="155"/>
  <c r="I89" i="155"/>
  <c r="H89" i="155"/>
  <c r="G89" i="155"/>
  <c r="F89" i="155"/>
  <c r="AK88" i="155"/>
  <c r="AJ88" i="155"/>
  <c r="AI88" i="155"/>
  <c r="AH88" i="155"/>
  <c r="AG88" i="155"/>
  <c r="AF88" i="155"/>
  <c r="AC88" i="155"/>
  <c r="AB88" i="155"/>
  <c r="Z88" i="155"/>
  <c r="Y88" i="155"/>
  <c r="X88" i="155"/>
  <c r="W88" i="155"/>
  <c r="V88" i="155"/>
  <c r="U88" i="155"/>
  <c r="T88" i="155"/>
  <c r="S88" i="155"/>
  <c r="R88" i="155"/>
  <c r="Q88" i="155"/>
  <c r="P88" i="155"/>
  <c r="O88" i="155"/>
  <c r="N88" i="155"/>
  <c r="M88" i="155"/>
  <c r="L88" i="155"/>
  <c r="K88" i="155"/>
  <c r="J88" i="155"/>
  <c r="I88" i="155"/>
  <c r="H88" i="155"/>
  <c r="G88" i="155"/>
  <c r="F88" i="155"/>
  <c r="AK87" i="155"/>
  <c r="AJ87" i="155"/>
  <c r="AI87" i="155"/>
  <c r="AH87" i="155"/>
  <c r="AG87" i="155"/>
  <c r="AC87" i="155"/>
  <c r="Y87" i="155"/>
  <c r="X87" i="155"/>
  <c r="W87" i="155"/>
  <c r="V87" i="155"/>
  <c r="U87" i="155"/>
  <c r="T87" i="155"/>
  <c r="S87" i="155"/>
  <c r="R87" i="155"/>
  <c r="Q87" i="155"/>
  <c r="P87" i="155"/>
  <c r="O87" i="155"/>
  <c r="N87" i="155"/>
  <c r="M87" i="155"/>
  <c r="L87" i="155"/>
  <c r="K87" i="155"/>
  <c r="J87" i="155"/>
  <c r="I87" i="155"/>
  <c r="H87" i="155"/>
  <c r="G87" i="155"/>
  <c r="F87" i="155"/>
  <c r="AK86" i="155"/>
  <c r="AJ86" i="155"/>
  <c r="AI86" i="155"/>
  <c r="AH86" i="155"/>
  <c r="AC86" i="155"/>
  <c r="AB86" i="155"/>
  <c r="AA86" i="155"/>
  <c r="Z86" i="155"/>
  <c r="Y86" i="155"/>
  <c r="X86" i="155"/>
  <c r="W86" i="155"/>
  <c r="V86" i="155"/>
  <c r="U86" i="155"/>
  <c r="T86" i="155"/>
  <c r="S86" i="155"/>
  <c r="R86" i="155"/>
  <c r="Q86" i="155"/>
  <c r="P86" i="155"/>
  <c r="O86" i="155"/>
  <c r="N86" i="155"/>
  <c r="M86" i="155"/>
  <c r="L86" i="155"/>
  <c r="K86" i="155"/>
  <c r="J86" i="155"/>
  <c r="I86" i="155"/>
  <c r="H86" i="155"/>
  <c r="G86" i="155"/>
  <c r="F86" i="155"/>
  <c r="AK85" i="155"/>
  <c r="AJ85" i="155"/>
  <c r="AI85" i="155"/>
  <c r="AH85" i="155"/>
  <c r="AG85" i="155"/>
  <c r="AF85" i="155"/>
  <c r="AE85" i="155"/>
  <c r="AD85" i="155"/>
  <c r="Y85" i="155"/>
  <c r="X85" i="155"/>
  <c r="W85" i="155"/>
  <c r="V85" i="155"/>
  <c r="U85" i="155"/>
  <c r="T85" i="155"/>
  <c r="S85" i="155"/>
  <c r="R85" i="155"/>
  <c r="Q85" i="155"/>
  <c r="P85" i="155"/>
  <c r="O85" i="155"/>
  <c r="N85" i="155"/>
  <c r="M85" i="155"/>
  <c r="L85" i="155"/>
  <c r="K85" i="155"/>
  <c r="J85" i="155"/>
  <c r="I85" i="155"/>
  <c r="H85" i="155"/>
  <c r="G85" i="155"/>
  <c r="F85" i="155"/>
  <c r="AK84" i="155"/>
  <c r="AJ84" i="155"/>
  <c r="AI84" i="155"/>
  <c r="AH84" i="155"/>
  <c r="AG84" i="155"/>
  <c r="AF84" i="155"/>
  <c r="AE84" i="155"/>
  <c r="AD84" i="155"/>
  <c r="AC84" i="155"/>
  <c r="AB84" i="155"/>
  <c r="Y84" i="155"/>
  <c r="X84" i="155"/>
  <c r="U84" i="155"/>
  <c r="T84" i="155"/>
  <c r="S84" i="155"/>
  <c r="R84" i="155"/>
  <c r="Q84" i="155"/>
  <c r="P84" i="155"/>
  <c r="O84" i="155"/>
  <c r="N84" i="155"/>
  <c r="M84" i="155"/>
  <c r="L84" i="155"/>
  <c r="K84" i="155"/>
  <c r="J84" i="155"/>
  <c r="I84" i="155"/>
  <c r="H84" i="155"/>
  <c r="G84" i="155"/>
  <c r="F84" i="155"/>
  <c r="AK83" i="155"/>
  <c r="AJ83" i="155"/>
  <c r="AI83" i="155"/>
  <c r="AH83" i="155"/>
  <c r="AG83" i="155"/>
  <c r="AF83" i="155"/>
  <c r="AE83" i="155"/>
  <c r="AD83" i="155"/>
  <c r="AC83" i="155"/>
  <c r="Y83" i="155"/>
  <c r="U83" i="155"/>
  <c r="T83" i="155"/>
  <c r="S83" i="155"/>
  <c r="R83" i="155"/>
  <c r="Q83" i="155"/>
  <c r="P83" i="155"/>
  <c r="O83" i="155"/>
  <c r="N83" i="155"/>
  <c r="M83" i="155"/>
  <c r="L83" i="155"/>
  <c r="K83" i="155"/>
  <c r="J83" i="155"/>
  <c r="I83" i="155"/>
  <c r="H83" i="155"/>
  <c r="G83" i="155"/>
  <c r="F83" i="155"/>
  <c r="AK82" i="155"/>
  <c r="AJ82" i="155"/>
  <c r="AI82" i="155"/>
  <c r="AH82" i="155"/>
  <c r="AG82" i="155"/>
  <c r="AF82" i="155"/>
  <c r="AE82" i="155"/>
  <c r="AD82" i="155"/>
  <c r="Y82" i="155"/>
  <c r="X82" i="155"/>
  <c r="W82" i="155"/>
  <c r="V82" i="155"/>
  <c r="U82" i="155"/>
  <c r="T82" i="155"/>
  <c r="S82" i="155"/>
  <c r="R82" i="155"/>
  <c r="Q82" i="155"/>
  <c r="P82" i="155"/>
  <c r="O82" i="155"/>
  <c r="N82" i="155"/>
  <c r="M82" i="155"/>
  <c r="L82" i="155"/>
  <c r="K82" i="155"/>
  <c r="J82" i="155"/>
  <c r="I82" i="155"/>
  <c r="H82" i="155"/>
  <c r="G82" i="155"/>
  <c r="F82" i="155"/>
  <c r="AK81" i="155"/>
  <c r="AJ81" i="155"/>
  <c r="AI81" i="155"/>
  <c r="AH81" i="155"/>
  <c r="AG81" i="155"/>
  <c r="AF81" i="155"/>
  <c r="AE81" i="155"/>
  <c r="AD81" i="155"/>
  <c r="AC81" i="155"/>
  <c r="AB81" i="155"/>
  <c r="AA81" i="155"/>
  <c r="Z81" i="155"/>
  <c r="U81" i="155"/>
  <c r="T81" i="155"/>
  <c r="S81" i="155"/>
  <c r="R81" i="155"/>
  <c r="Q81" i="155"/>
  <c r="P81" i="155"/>
  <c r="O81" i="155"/>
  <c r="N81" i="155"/>
  <c r="M81" i="155"/>
  <c r="L81" i="155"/>
  <c r="K81" i="155"/>
  <c r="J81" i="155"/>
  <c r="I81" i="155"/>
  <c r="H81" i="155"/>
  <c r="G81" i="155"/>
  <c r="F81" i="155"/>
  <c r="AK80" i="155"/>
  <c r="AJ80" i="155"/>
  <c r="AI80" i="155"/>
  <c r="AH80" i="155"/>
  <c r="AG80" i="155"/>
  <c r="AF80" i="155"/>
  <c r="AE80" i="155"/>
  <c r="AD80" i="155"/>
  <c r="AC80" i="155"/>
  <c r="AB80" i="155"/>
  <c r="AA80" i="155"/>
  <c r="Z80" i="155"/>
  <c r="Y80" i="155"/>
  <c r="X80" i="155"/>
  <c r="U80" i="155"/>
  <c r="T80" i="155"/>
  <c r="Q80" i="155"/>
  <c r="P80" i="155"/>
  <c r="O80" i="155"/>
  <c r="N80" i="155"/>
  <c r="M80" i="155"/>
  <c r="L80" i="155"/>
  <c r="K80" i="155"/>
  <c r="J80" i="155"/>
  <c r="I80" i="155"/>
  <c r="H80" i="155"/>
  <c r="G80" i="155"/>
  <c r="F80" i="155"/>
  <c r="AK79" i="155"/>
  <c r="AJ79" i="155"/>
  <c r="AI79" i="155"/>
  <c r="AH79" i="155"/>
  <c r="AG79" i="155"/>
  <c r="AF79" i="155"/>
  <c r="AE79" i="155"/>
  <c r="AD79" i="155"/>
  <c r="AC79" i="155"/>
  <c r="AB79" i="155"/>
  <c r="AA79" i="155"/>
  <c r="Z79" i="155"/>
  <c r="Y79" i="155"/>
  <c r="U79" i="155"/>
  <c r="Q79" i="155"/>
  <c r="P79" i="155"/>
  <c r="O79" i="155"/>
  <c r="N79" i="155"/>
  <c r="M79" i="155"/>
  <c r="L79" i="155"/>
  <c r="K79" i="155"/>
  <c r="J79" i="155"/>
  <c r="I79" i="155"/>
  <c r="H79" i="155"/>
  <c r="G79" i="155"/>
  <c r="F79" i="155"/>
  <c r="AK78" i="155"/>
  <c r="AJ78" i="155"/>
  <c r="AI78" i="155"/>
  <c r="AH78" i="155"/>
  <c r="AG78" i="155"/>
  <c r="AF78" i="155"/>
  <c r="AE78" i="155"/>
  <c r="AD78" i="155"/>
  <c r="AC78" i="155"/>
  <c r="AB78" i="155"/>
  <c r="AA78" i="155"/>
  <c r="Z78" i="155"/>
  <c r="U78" i="155"/>
  <c r="T78" i="155"/>
  <c r="S78" i="155"/>
  <c r="R78" i="155"/>
  <c r="Q78" i="155"/>
  <c r="P78" i="155"/>
  <c r="O78" i="155"/>
  <c r="N78" i="155"/>
  <c r="M78" i="155"/>
  <c r="L78" i="155"/>
  <c r="K78" i="155"/>
  <c r="J78" i="155"/>
  <c r="I78" i="155"/>
  <c r="H78" i="155"/>
  <c r="G78" i="155"/>
  <c r="F78" i="155"/>
  <c r="AK77" i="155"/>
  <c r="AJ77" i="155"/>
  <c r="AI77" i="155"/>
  <c r="AH77" i="155"/>
  <c r="AG77" i="155"/>
  <c r="AF77" i="155"/>
  <c r="AE77" i="155"/>
  <c r="AD77" i="155"/>
  <c r="AC77" i="155"/>
  <c r="AB77" i="155"/>
  <c r="AA77" i="155"/>
  <c r="Z77" i="155"/>
  <c r="Y77" i="155"/>
  <c r="X77" i="155"/>
  <c r="W77" i="155"/>
  <c r="V77" i="155"/>
  <c r="Q77" i="155"/>
  <c r="P77" i="155"/>
  <c r="O77" i="155"/>
  <c r="N77" i="155"/>
  <c r="M77" i="155"/>
  <c r="L77" i="155"/>
  <c r="K77" i="155"/>
  <c r="J77" i="155"/>
  <c r="I77" i="155"/>
  <c r="H77" i="155"/>
  <c r="G77" i="155"/>
  <c r="F77" i="155"/>
  <c r="AK76" i="155"/>
  <c r="AJ76" i="155"/>
  <c r="AI76" i="155"/>
  <c r="AH76" i="155"/>
  <c r="AG76" i="155"/>
  <c r="AF76" i="155"/>
  <c r="AE76" i="155"/>
  <c r="AD76" i="155"/>
  <c r="AC76" i="155"/>
  <c r="AB76" i="155"/>
  <c r="AA76" i="155"/>
  <c r="Z76" i="155"/>
  <c r="Y76" i="155"/>
  <c r="X76" i="155"/>
  <c r="W76" i="155"/>
  <c r="V76" i="155"/>
  <c r="U76" i="155"/>
  <c r="T76" i="155"/>
  <c r="Q76" i="155"/>
  <c r="P76" i="155"/>
  <c r="M76" i="155"/>
  <c r="L76" i="155"/>
  <c r="K76" i="155"/>
  <c r="J76" i="155"/>
  <c r="I76" i="155"/>
  <c r="H76" i="155"/>
  <c r="G76" i="155"/>
  <c r="F76" i="155"/>
  <c r="AK75" i="155"/>
  <c r="AJ75" i="155"/>
  <c r="AI75" i="155"/>
  <c r="AH75" i="155"/>
  <c r="AG75" i="155"/>
  <c r="AF75" i="155"/>
  <c r="AE75" i="155"/>
  <c r="AD75" i="155"/>
  <c r="AC75" i="155"/>
  <c r="AB75" i="155"/>
  <c r="AA75" i="155"/>
  <c r="Z75" i="155"/>
  <c r="Y75" i="155"/>
  <c r="X75" i="155"/>
  <c r="W75" i="155"/>
  <c r="V75" i="155"/>
  <c r="U75" i="155"/>
  <c r="Q75" i="155"/>
  <c r="M75" i="155"/>
  <c r="L75" i="155"/>
  <c r="K75" i="155"/>
  <c r="J75" i="155"/>
  <c r="I75" i="155"/>
  <c r="H75" i="155"/>
  <c r="G75" i="155"/>
  <c r="F75" i="155"/>
  <c r="AK74" i="155"/>
  <c r="AJ74" i="155"/>
  <c r="AI74" i="155"/>
  <c r="AH74" i="155"/>
  <c r="AG74" i="155"/>
  <c r="AF74" i="155"/>
  <c r="AE74" i="155"/>
  <c r="AD74" i="155"/>
  <c r="AC74" i="155"/>
  <c r="AB74" i="155"/>
  <c r="AA74" i="155"/>
  <c r="Z74" i="155"/>
  <c r="Y74" i="155"/>
  <c r="X74" i="155"/>
  <c r="W74" i="155"/>
  <c r="V74" i="155"/>
  <c r="Q74" i="155"/>
  <c r="P74" i="155"/>
  <c r="O74" i="155"/>
  <c r="N74" i="155"/>
  <c r="M74" i="155"/>
  <c r="L74" i="155"/>
  <c r="K74" i="155"/>
  <c r="J74" i="155"/>
  <c r="I74" i="155"/>
  <c r="H74" i="155"/>
  <c r="G74" i="155"/>
  <c r="F74" i="155"/>
  <c r="AK73" i="155"/>
  <c r="AJ73" i="155"/>
  <c r="AI73" i="155"/>
  <c r="AH73" i="155"/>
  <c r="AG73" i="155"/>
  <c r="AF73" i="155"/>
  <c r="AE73" i="155"/>
  <c r="AD73" i="155"/>
  <c r="AC73" i="155"/>
  <c r="AB73" i="155"/>
  <c r="AA73" i="155"/>
  <c r="Z73" i="155"/>
  <c r="Y73" i="155"/>
  <c r="X73" i="155"/>
  <c r="W73" i="155"/>
  <c r="V73" i="155"/>
  <c r="U73" i="155"/>
  <c r="T73" i="155"/>
  <c r="S73" i="155"/>
  <c r="R73" i="155"/>
  <c r="M73" i="155"/>
  <c r="L73" i="155"/>
  <c r="K73" i="155"/>
  <c r="J73" i="155"/>
  <c r="I73" i="155"/>
  <c r="H73" i="155"/>
  <c r="G73" i="155"/>
  <c r="F73" i="155"/>
  <c r="AK72" i="155"/>
  <c r="AJ72" i="155"/>
  <c r="AI72" i="155"/>
  <c r="AH72" i="155"/>
  <c r="AG72" i="155"/>
  <c r="AF72" i="155"/>
  <c r="AE72" i="155"/>
  <c r="AD72" i="155"/>
  <c r="AC72" i="155"/>
  <c r="AB72" i="155"/>
  <c r="AA72" i="155"/>
  <c r="Z72" i="155"/>
  <c r="Y72" i="155"/>
  <c r="X72" i="155"/>
  <c r="W72" i="155"/>
  <c r="V72" i="155"/>
  <c r="U72" i="155"/>
  <c r="T72" i="155"/>
  <c r="S72" i="155"/>
  <c r="R72" i="155"/>
  <c r="Q72" i="155"/>
  <c r="P72" i="155"/>
  <c r="M72" i="155"/>
  <c r="L72" i="155"/>
  <c r="I72" i="155"/>
  <c r="H72" i="155"/>
  <c r="G72" i="155"/>
  <c r="F72" i="155"/>
  <c r="AK71" i="155"/>
  <c r="AJ71" i="155"/>
  <c r="AI71" i="155"/>
  <c r="AH71" i="155"/>
  <c r="AG71" i="155"/>
  <c r="AF71" i="155"/>
  <c r="AE71" i="155"/>
  <c r="AD71" i="155"/>
  <c r="AC71" i="155"/>
  <c r="AB71" i="155"/>
  <c r="AA71" i="155"/>
  <c r="Z71" i="155"/>
  <c r="Y71" i="155"/>
  <c r="X71" i="155"/>
  <c r="W71" i="155"/>
  <c r="V71" i="155"/>
  <c r="U71" i="155"/>
  <c r="T71" i="155"/>
  <c r="S71" i="155"/>
  <c r="R71" i="155"/>
  <c r="Q71" i="155"/>
  <c r="M71" i="155"/>
  <c r="I71" i="155"/>
  <c r="H71" i="155"/>
  <c r="G71" i="155"/>
  <c r="F71" i="155"/>
  <c r="AK70" i="155"/>
  <c r="AJ70" i="155"/>
  <c r="AI70" i="155"/>
  <c r="AH70" i="155"/>
  <c r="AG70" i="155"/>
  <c r="AF70" i="155"/>
  <c r="AE70" i="155"/>
  <c r="AD70" i="155"/>
  <c r="AC70" i="155"/>
  <c r="AB70" i="155"/>
  <c r="AA70" i="155"/>
  <c r="Z70" i="155"/>
  <c r="Y70" i="155"/>
  <c r="X70" i="155"/>
  <c r="W70" i="155"/>
  <c r="V70" i="155"/>
  <c r="U70" i="155"/>
  <c r="T70" i="155"/>
  <c r="S70" i="155"/>
  <c r="R70" i="155"/>
  <c r="M70" i="155"/>
  <c r="L70" i="155"/>
  <c r="K70" i="155"/>
  <c r="J70" i="155"/>
  <c r="I70" i="155"/>
  <c r="H70" i="155"/>
  <c r="G70" i="155"/>
  <c r="F70" i="155"/>
  <c r="AK69" i="155"/>
  <c r="AJ69" i="155"/>
  <c r="AI69" i="155"/>
  <c r="AH69" i="155"/>
  <c r="AG69" i="155"/>
  <c r="AF69" i="155"/>
  <c r="AE69" i="155"/>
  <c r="AD69" i="155"/>
  <c r="AC69" i="155"/>
  <c r="AB69" i="155"/>
  <c r="AA69" i="155"/>
  <c r="Z69" i="155"/>
  <c r="Y69" i="155"/>
  <c r="X69" i="155"/>
  <c r="W69" i="155"/>
  <c r="V69" i="155"/>
  <c r="U69" i="155"/>
  <c r="T69" i="155"/>
  <c r="S69" i="155"/>
  <c r="R69" i="155"/>
  <c r="Q69" i="155"/>
  <c r="P69" i="155"/>
  <c r="O69" i="155"/>
  <c r="N69" i="155"/>
  <c r="I69" i="155"/>
  <c r="H69" i="155"/>
  <c r="G69" i="155"/>
  <c r="F69" i="155"/>
  <c r="AK68" i="155"/>
  <c r="AJ68" i="155"/>
  <c r="AI68" i="155"/>
  <c r="AH68" i="155"/>
  <c r="AG68" i="155"/>
  <c r="AF68" i="155"/>
  <c r="AE68" i="155"/>
  <c r="AD68" i="155"/>
  <c r="AC68" i="155"/>
  <c r="AB68" i="155"/>
  <c r="AA68" i="155"/>
  <c r="Z68" i="155"/>
  <c r="Y68" i="155"/>
  <c r="X68" i="155"/>
  <c r="W68" i="155"/>
  <c r="V68" i="155"/>
  <c r="U68" i="155"/>
  <c r="T68" i="155"/>
  <c r="S68" i="155"/>
  <c r="R68" i="155"/>
  <c r="Q68" i="155"/>
  <c r="P68" i="155"/>
  <c r="O68" i="155"/>
  <c r="N68" i="155"/>
  <c r="M68" i="155"/>
  <c r="L68" i="155"/>
  <c r="I68" i="155"/>
  <c r="H68" i="155"/>
  <c r="AK67" i="155"/>
  <c r="AJ67" i="155"/>
  <c r="AI67" i="155"/>
  <c r="AH67" i="155"/>
  <c r="AG67" i="155"/>
  <c r="AF67" i="155"/>
  <c r="AE67" i="155"/>
  <c r="AD67" i="155"/>
  <c r="AC67" i="155"/>
  <c r="AB67" i="155"/>
  <c r="AA67" i="155"/>
  <c r="Z67" i="155"/>
  <c r="Y67" i="155"/>
  <c r="X67" i="155"/>
  <c r="W67" i="155"/>
  <c r="V67" i="155"/>
  <c r="U67" i="155"/>
  <c r="T67" i="155"/>
  <c r="S67" i="155"/>
  <c r="R67" i="155"/>
  <c r="Q67" i="155"/>
  <c r="P67" i="155"/>
  <c r="O67" i="155"/>
  <c r="N67" i="155"/>
  <c r="M67" i="155"/>
  <c r="I67" i="155"/>
  <c r="AK66" i="155"/>
  <c r="AJ66" i="155"/>
  <c r="AI66" i="155"/>
  <c r="AH66" i="155"/>
  <c r="AG66" i="155"/>
  <c r="AF66" i="155"/>
  <c r="AE66" i="155"/>
  <c r="AD66" i="155"/>
  <c r="AC66" i="155"/>
  <c r="AB66" i="155"/>
  <c r="AA66" i="155"/>
  <c r="Z66" i="155"/>
  <c r="Y66" i="155"/>
  <c r="X66" i="155"/>
  <c r="W66" i="155"/>
  <c r="V66" i="155"/>
  <c r="U66" i="155"/>
  <c r="T66" i="155"/>
  <c r="S66" i="155"/>
  <c r="R66" i="155"/>
  <c r="Q66" i="155"/>
  <c r="P66" i="155"/>
  <c r="O66" i="155"/>
  <c r="N66" i="155"/>
  <c r="I66" i="155"/>
  <c r="H66" i="155"/>
  <c r="G66" i="155"/>
  <c r="F66" i="155"/>
  <c r="AK65" i="155"/>
  <c r="AJ65" i="155"/>
  <c r="AI65" i="155"/>
  <c r="AH65" i="155"/>
  <c r="AG65" i="155"/>
  <c r="AF65" i="155"/>
  <c r="AE65" i="155"/>
  <c r="AD65" i="155"/>
  <c r="AC65" i="155"/>
  <c r="AB65" i="155"/>
  <c r="AA65" i="155"/>
  <c r="Z65" i="155"/>
  <c r="Y65" i="155"/>
  <c r="X65" i="155"/>
  <c r="W65" i="155"/>
  <c r="V65" i="155"/>
  <c r="U65" i="155"/>
  <c r="T65" i="155"/>
  <c r="S65" i="155"/>
  <c r="R65" i="155"/>
  <c r="Q65" i="155"/>
  <c r="P65" i="155"/>
  <c r="O65" i="155"/>
  <c r="N65" i="155"/>
  <c r="M65" i="155"/>
  <c r="L65" i="155"/>
  <c r="K65" i="155"/>
  <c r="J65" i="155"/>
  <c r="AM59" i="155"/>
  <c r="AI59" i="155"/>
  <c r="AI96" i="155" s="1"/>
  <c r="AH59" i="155"/>
  <c r="AH96" i="155" s="1"/>
  <c r="B59" i="155"/>
  <c r="AM58" i="155"/>
  <c r="AK58" i="155"/>
  <c r="AK95" i="155" s="1"/>
  <c r="AJ58" i="155"/>
  <c r="AJ95" i="155" s="1"/>
  <c r="AI58" i="155"/>
  <c r="AI95" i="155" s="1"/>
  <c r="AH58" i="155"/>
  <c r="AH95" i="155" s="1"/>
  <c r="C58" i="155"/>
  <c r="B58" i="155"/>
  <c r="G57" i="155"/>
  <c r="G94" i="155" s="1"/>
  <c r="F57" i="155"/>
  <c r="F94" i="155" s="1"/>
  <c r="B57" i="155"/>
  <c r="H56" i="155"/>
  <c r="H93" i="155" s="1"/>
  <c r="G56" i="155"/>
  <c r="G93" i="155" s="1"/>
  <c r="F56" i="155"/>
  <c r="F93" i="155" s="1"/>
  <c r="C56" i="155"/>
  <c r="B56" i="155"/>
  <c r="AM55" i="155"/>
  <c r="AI55" i="155"/>
  <c r="AI92" i="155" s="1"/>
  <c r="AH55" i="155"/>
  <c r="AH92" i="155" s="1"/>
  <c r="AE55" i="155"/>
  <c r="AE92" i="155" s="1"/>
  <c r="AD55" i="155"/>
  <c r="AD92" i="155" s="1"/>
  <c r="B55" i="155"/>
  <c r="AM54" i="155"/>
  <c r="AJ54" i="155"/>
  <c r="AJ91" i="155" s="1"/>
  <c r="AI54" i="155"/>
  <c r="AI91" i="155" s="1"/>
  <c r="AH54" i="155"/>
  <c r="AF54" i="155"/>
  <c r="AF91" i="155" s="1"/>
  <c r="AE54" i="155"/>
  <c r="AE91" i="155" s="1"/>
  <c r="AD54" i="155"/>
  <c r="AD91" i="155" s="1"/>
  <c r="B54" i="155"/>
  <c r="AM53" i="155"/>
  <c r="AK53" i="155"/>
  <c r="AK90" i="155" s="1"/>
  <c r="AJ53" i="155"/>
  <c r="AJ90" i="155" s="1"/>
  <c r="AI53" i="155"/>
  <c r="AI90" i="155" s="1"/>
  <c r="AH53" i="155"/>
  <c r="AH90" i="155" s="1"/>
  <c r="C53" i="155"/>
  <c r="B53" i="155"/>
  <c r="AM52" i="155"/>
  <c r="AG52" i="155"/>
  <c r="AG89" i="155" s="1"/>
  <c r="AF52" i="155"/>
  <c r="AF89" i="155" s="1"/>
  <c r="AE52" i="155"/>
  <c r="AE89" i="155" s="1"/>
  <c r="AD52" i="155"/>
  <c r="AD89" i="155" s="1"/>
  <c r="C52" i="155"/>
  <c r="B52" i="155"/>
  <c r="AM51" i="155"/>
  <c r="AE51" i="155"/>
  <c r="AE88" i="155" s="1"/>
  <c r="AD51" i="155"/>
  <c r="AD88" i="155" s="1"/>
  <c r="AA51" i="155"/>
  <c r="AA88" i="155" s="1"/>
  <c r="Z51" i="155"/>
  <c r="B51" i="155"/>
  <c r="AM50" i="155"/>
  <c r="AF50" i="155"/>
  <c r="AF87" i="155" s="1"/>
  <c r="AE50" i="155"/>
  <c r="AE87" i="155" s="1"/>
  <c r="AD50" i="155"/>
  <c r="AD87" i="155" s="1"/>
  <c r="AB50" i="155"/>
  <c r="AB87" i="155" s="1"/>
  <c r="AA50" i="155"/>
  <c r="AA87" i="155" s="1"/>
  <c r="Z50" i="155"/>
  <c r="Z87" i="155" s="1"/>
  <c r="B50" i="155"/>
  <c r="AM49" i="155"/>
  <c r="AG49" i="155"/>
  <c r="AG86" i="155" s="1"/>
  <c r="AF49" i="155"/>
  <c r="AF86" i="155" s="1"/>
  <c r="AE49" i="155"/>
  <c r="AE86" i="155" s="1"/>
  <c r="AD49" i="155"/>
  <c r="AD86" i="155" s="1"/>
  <c r="C49" i="155"/>
  <c r="B49" i="155"/>
  <c r="AM48" i="155"/>
  <c r="AC48" i="155"/>
  <c r="AC85" i="155" s="1"/>
  <c r="AB48" i="155"/>
  <c r="AB85" i="155" s="1"/>
  <c r="AA48" i="155"/>
  <c r="AA85" i="155" s="1"/>
  <c r="Z48" i="155"/>
  <c r="Z85" i="155" s="1"/>
  <c r="C48" i="155"/>
  <c r="B48" i="155"/>
  <c r="N35" i="155"/>
  <c r="N72" i="155" s="1"/>
  <c r="K35" i="155"/>
  <c r="K72" i="155" s="1"/>
  <c r="J35" i="155"/>
  <c r="J72" i="155" s="1"/>
  <c r="D35" i="155"/>
  <c r="O35" i="155" s="1"/>
  <c r="O72" i="155" s="1"/>
  <c r="B35" i="155"/>
  <c r="D34" i="155"/>
  <c r="P33" i="155"/>
  <c r="P70" i="155" s="1"/>
  <c r="O33" i="155"/>
  <c r="O70" i="155" s="1"/>
  <c r="N33" i="155"/>
  <c r="N70" i="155" s="1"/>
  <c r="D33" i="155"/>
  <c r="Q33" i="155" s="1"/>
  <c r="Q70" i="155" s="1"/>
  <c r="C33" i="155"/>
  <c r="B33" i="155"/>
  <c r="L32" i="155"/>
  <c r="L69" i="155" s="1"/>
  <c r="K32" i="155"/>
  <c r="K69" i="155" s="1"/>
  <c r="J32" i="155"/>
  <c r="J69" i="155" s="1"/>
  <c r="D32" i="155"/>
  <c r="M32" i="155" s="1"/>
  <c r="M69" i="155" s="1"/>
  <c r="C32" i="155"/>
  <c r="B32" i="155"/>
  <c r="AM31" i="155"/>
  <c r="K31" i="155"/>
  <c r="K68" i="155" s="1"/>
  <c r="J31" i="155"/>
  <c r="J68" i="155" s="1"/>
  <c r="G31" i="155"/>
  <c r="G68" i="155" s="1"/>
  <c r="F31" i="155"/>
  <c r="F68" i="155" s="1"/>
  <c r="B31" i="155"/>
  <c r="AM30" i="155"/>
  <c r="L30" i="155"/>
  <c r="L67" i="155" s="1"/>
  <c r="K30" i="155"/>
  <c r="K67" i="155" s="1"/>
  <c r="J30" i="155"/>
  <c r="J67" i="155" s="1"/>
  <c r="H30" i="155"/>
  <c r="H67" i="155" s="1"/>
  <c r="G30" i="155"/>
  <c r="G67" i="155" s="1"/>
  <c r="F30" i="155"/>
  <c r="F67" i="155" s="1"/>
  <c r="B30" i="155"/>
  <c r="AM29" i="155"/>
  <c r="M29" i="155"/>
  <c r="M66" i="155" s="1"/>
  <c r="L29" i="155"/>
  <c r="L66" i="155" s="1"/>
  <c r="K29" i="155"/>
  <c r="K66" i="155" s="1"/>
  <c r="J29" i="155"/>
  <c r="J66" i="155" s="1"/>
  <c r="C29" i="155"/>
  <c r="B29" i="155"/>
  <c r="AM28" i="155"/>
  <c r="I28" i="155"/>
  <c r="I65" i="155" s="1"/>
  <c r="H28" i="155"/>
  <c r="H65" i="155" s="1"/>
  <c r="G28" i="155"/>
  <c r="G65" i="155" s="1"/>
  <c r="F28" i="155"/>
  <c r="F65" i="155" s="1"/>
  <c r="C28" i="155"/>
  <c r="B28" i="155"/>
  <c r="AK96" i="154"/>
  <c r="AJ96" i="154"/>
  <c r="AG96" i="154"/>
  <c r="AF96" i="154"/>
  <c r="AE96" i="154"/>
  <c r="AD96" i="154"/>
  <c r="AC96" i="154"/>
  <c r="AB96" i="154"/>
  <c r="AA96" i="154"/>
  <c r="Z96" i="154"/>
  <c r="Y96" i="154"/>
  <c r="X96" i="154"/>
  <c r="W96" i="154"/>
  <c r="V96" i="154"/>
  <c r="U96" i="154"/>
  <c r="T96" i="154"/>
  <c r="S96" i="154"/>
  <c r="R96" i="154"/>
  <c r="Q96" i="154"/>
  <c r="P96" i="154"/>
  <c r="O96" i="154"/>
  <c r="N96" i="154"/>
  <c r="M96" i="154"/>
  <c r="L96" i="154"/>
  <c r="K96" i="154"/>
  <c r="J96" i="154"/>
  <c r="I96" i="154"/>
  <c r="H96" i="154"/>
  <c r="G96" i="154"/>
  <c r="F96" i="154"/>
  <c r="AK95" i="154"/>
  <c r="AG95" i="154"/>
  <c r="AF95" i="154"/>
  <c r="AE95" i="154"/>
  <c r="AD95" i="154"/>
  <c r="AC95" i="154"/>
  <c r="AB95" i="154"/>
  <c r="AA95" i="154"/>
  <c r="Z95" i="154"/>
  <c r="Y95" i="154"/>
  <c r="X95" i="154"/>
  <c r="W95" i="154"/>
  <c r="V95" i="154"/>
  <c r="U95" i="154"/>
  <c r="T95" i="154"/>
  <c r="S95" i="154"/>
  <c r="R95" i="154"/>
  <c r="Q95" i="154"/>
  <c r="P95" i="154"/>
  <c r="O95" i="154"/>
  <c r="N95" i="154"/>
  <c r="M95" i="154"/>
  <c r="L95" i="154"/>
  <c r="K95" i="154"/>
  <c r="J95" i="154"/>
  <c r="I95" i="154"/>
  <c r="H95" i="154"/>
  <c r="G95" i="154"/>
  <c r="F95" i="154"/>
  <c r="AK94" i="154"/>
  <c r="AJ94" i="154"/>
  <c r="AI94" i="154"/>
  <c r="AH94" i="154"/>
  <c r="AG94" i="154"/>
  <c r="AF94" i="154"/>
  <c r="AE94" i="154"/>
  <c r="AD94" i="154"/>
  <c r="AC94" i="154"/>
  <c r="AB94" i="154"/>
  <c r="AA94" i="154"/>
  <c r="Z94" i="154"/>
  <c r="Y94" i="154"/>
  <c r="X94" i="154"/>
  <c r="W94" i="154"/>
  <c r="V94" i="154"/>
  <c r="U94" i="154"/>
  <c r="T94" i="154"/>
  <c r="S94" i="154"/>
  <c r="R94" i="154"/>
  <c r="Q94" i="154"/>
  <c r="P94" i="154"/>
  <c r="O94" i="154"/>
  <c r="N94" i="154"/>
  <c r="M94" i="154"/>
  <c r="L94" i="154"/>
  <c r="K94" i="154"/>
  <c r="J94" i="154"/>
  <c r="I94" i="154"/>
  <c r="H94" i="154"/>
  <c r="AK93" i="154"/>
  <c r="AJ93" i="154"/>
  <c r="AI93" i="154"/>
  <c r="AH93" i="154"/>
  <c r="AG93" i="154"/>
  <c r="AF93" i="154"/>
  <c r="AE93" i="154"/>
  <c r="AD93" i="154"/>
  <c r="AC93" i="154"/>
  <c r="AB93" i="154"/>
  <c r="AA93" i="154"/>
  <c r="Z93" i="154"/>
  <c r="Y93" i="154"/>
  <c r="X93" i="154"/>
  <c r="W93" i="154"/>
  <c r="V93" i="154"/>
  <c r="U93" i="154"/>
  <c r="T93" i="154"/>
  <c r="S93" i="154"/>
  <c r="R93" i="154"/>
  <c r="Q93" i="154"/>
  <c r="P93" i="154"/>
  <c r="O93" i="154"/>
  <c r="N93" i="154"/>
  <c r="M93" i="154"/>
  <c r="L93" i="154"/>
  <c r="K93" i="154"/>
  <c r="J93" i="154"/>
  <c r="I93" i="154"/>
  <c r="AK92" i="154"/>
  <c r="AJ92" i="154"/>
  <c r="AH92" i="154"/>
  <c r="AG92" i="154"/>
  <c r="AF92" i="154"/>
  <c r="AC92" i="154"/>
  <c r="AB92" i="154"/>
  <c r="AA92" i="154"/>
  <c r="Z92" i="154"/>
  <c r="Y92" i="154"/>
  <c r="X92" i="154"/>
  <c r="W92" i="154"/>
  <c r="V92" i="154"/>
  <c r="U92" i="154"/>
  <c r="T92" i="154"/>
  <c r="S92" i="154"/>
  <c r="R92" i="154"/>
  <c r="Q92" i="154"/>
  <c r="P92" i="154"/>
  <c r="O92" i="154"/>
  <c r="N92" i="154"/>
  <c r="M92" i="154"/>
  <c r="L92" i="154"/>
  <c r="K92" i="154"/>
  <c r="J92" i="154"/>
  <c r="I92" i="154"/>
  <c r="H92" i="154"/>
  <c r="G92" i="154"/>
  <c r="F92" i="154"/>
  <c r="AK91" i="154"/>
  <c r="AH91" i="154"/>
  <c r="AG91" i="154"/>
  <c r="AC91" i="154"/>
  <c r="AB91" i="154"/>
  <c r="AA91" i="154"/>
  <c r="Z91" i="154"/>
  <c r="Y91" i="154"/>
  <c r="X91" i="154"/>
  <c r="W91" i="154"/>
  <c r="V91" i="154"/>
  <c r="U91" i="154"/>
  <c r="T91" i="154"/>
  <c r="S91" i="154"/>
  <c r="R91" i="154"/>
  <c r="Q91" i="154"/>
  <c r="P91" i="154"/>
  <c r="O91" i="154"/>
  <c r="N91" i="154"/>
  <c r="M91" i="154"/>
  <c r="L91" i="154"/>
  <c r="K91" i="154"/>
  <c r="J91" i="154"/>
  <c r="I91" i="154"/>
  <c r="H91" i="154"/>
  <c r="G91" i="154"/>
  <c r="F91" i="154"/>
  <c r="AH90" i="154"/>
  <c r="AG90" i="154"/>
  <c r="AF90" i="154"/>
  <c r="AE90" i="154"/>
  <c r="AD90" i="154"/>
  <c r="AC90" i="154"/>
  <c r="AB90" i="154"/>
  <c r="AA90" i="154"/>
  <c r="Z90" i="154"/>
  <c r="Y90" i="154"/>
  <c r="X90" i="154"/>
  <c r="W90" i="154"/>
  <c r="V90" i="154"/>
  <c r="U90" i="154"/>
  <c r="T90" i="154"/>
  <c r="S90" i="154"/>
  <c r="R90" i="154"/>
  <c r="Q90" i="154"/>
  <c r="P90" i="154"/>
  <c r="O90" i="154"/>
  <c r="N90" i="154"/>
  <c r="M90" i="154"/>
  <c r="L90" i="154"/>
  <c r="K90" i="154"/>
  <c r="J90" i="154"/>
  <c r="I90" i="154"/>
  <c r="H90" i="154"/>
  <c r="G90" i="154"/>
  <c r="F90" i="154"/>
  <c r="AK89" i="154"/>
  <c r="AJ89" i="154"/>
  <c r="AI89" i="154"/>
  <c r="AH89" i="154"/>
  <c r="AC89" i="154"/>
  <c r="AB89" i="154"/>
  <c r="AA89" i="154"/>
  <c r="Z89" i="154"/>
  <c r="Y89" i="154"/>
  <c r="X89" i="154"/>
  <c r="W89" i="154"/>
  <c r="V89" i="154"/>
  <c r="U89" i="154"/>
  <c r="T89" i="154"/>
  <c r="S89" i="154"/>
  <c r="R89" i="154"/>
  <c r="Q89" i="154"/>
  <c r="P89" i="154"/>
  <c r="O89" i="154"/>
  <c r="N89" i="154"/>
  <c r="M89" i="154"/>
  <c r="L89" i="154"/>
  <c r="K89" i="154"/>
  <c r="J89" i="154"/>
  <c r="I89" i="154"/>
  <c r="H89" i="154"/>
  <c r="G89" i="154"/>
  <c r="F89" i="154"/>
  <c r="AK88" i="154"/>
  <c r="AJ88" i="154"/>
  <c r="AI88" i="154"/>
  <c r="AH88" i="154"/>
  <c r="AG88" i="154"/>
  <c r="AF88" i="154"/>
  <c r="AC88" i="154"/>
  <c r="AB88" i="154"/>
  <c r="Y88" i="154"/>
  <c r="X88" i="154"/>
  <c r="W88" i="154"/>
  <c r="V88" i="154"/>
  <c r="U88" i="154"/>
  <c r="T88" i="154"/>
  <c r="S88" i="154"/>
  <c r="R88" i="154"/>
  <c r="Q88" i="154"/>
  <c r="P88" i="154"/>
  <c r="O88" i="154"/>
  <c r="N88" i="154"/>
  <c r="M88" i="154"/>
  <c r="L88" i="154"/>
  <c r="K88" i="154"/>
  <c r="J88" i="154"/>
  <c r="I88" i="154"/>
  <c r="H88" i="154"/>
  <c r="G88" i="154"/>
  <c r="F88" i="154"/>
  <c r="AK87" i="154"/>
  <c r="AJ87" i="154"/>
  <c r="AI87" i="154"/>
  <c r="AH87" i="154"/>
  <c r="AG87" i="154"/>
  <c r="AC87" i="154"/>
  <c r="Y87" i="154"/>
  <c r="X87" i="154"/>
  <c r="W87" i="154"/>
  <c r="V87" i="154"/>
  <c r="U87" i="154"/>
  <c r="T87" i="154"/>
  <c r="S87" i="154"/>
  <c r="R87" i="154"/>
  <c r="Q87" i="154"/>
  <c r="P87" i="154"/>
  <c r="O87" i="154"/>
  <c r="N87" i="154"/>
  <c r="M87" i="154"/>
  <c r="L87" i="154"/>
  <c r="K87" i="154"/>
  <c r="J87" i="154"/>
  <c r="I87" i="154"/>
  <c r="H87" i="154"/>
  <c r="G87" i="154"/>
  <c r="F87" i="154"/>
  <c r="AK86" i="154"/>
  <c r="AJ86" i="154"/>
  <c r="AI86" i="154"/>
  <c r="AH86" i="154"/>
  <c r="AG86" i="154"/>
  <c r="AC86" i="154"/>
  <c r="AB86" i="154"/>
  <c r="AA86" i="154"/>
  <c r="Z86" i="154"/>
  <c r="Y86" i="154"/>
  <c r="X86" i="154"/>
  <c r="W86" i="154"/>
  <c r="V86" i="154"/>
  <c r="U86" i="154"/>
  <c r="T86" i="154"/>
  <c r="S86" i="154"/>
  <c r="R86" i="154"/>
  <c r="Q86" i="154"/>
  <c r="P86" i="154"/>
  <c r="O86" i="154"/>
  <c r="N86" i="154"/>
  <c r="M86" i="154"/>
  <c r="L86" i="154"/>
  <c r="K86" i="154"/>
  <c r="J86" i="154"/>
  <c r="I86" i="154"/>
  <c r="H86" i="154"/>
  <c r="G86" i="154"/>
  <c r="F86" i="154"/>
  <c r="AK85" i="154"/>
  <c r="AJ85" i="154"/>
  <c r="AI85" i="154"/>
  <c r="AH85" i="154"/>
  <c r="AG85" i="154"/>
  <c r="AF85" i="154"/>
  <c r="AE85" i="154"/>
  <c r="AD85" i="154"/>
  <c r="Y85" i="154"/>
  <c r="X85" i="154"/>
  <c r="W85" i="154"/>
  <c r="V85" i="154"/>
  <c r="U85" i="154"/>
  <c r="T85" i="154"/>
  <c r="S85" i="154"/>
  <c r="R85" i="154"/>
  <c r="Q85" i="154"/>
  <c r="P85" i="154"/>
  <c r="O85" i="154"/>
  <c r="N85" i="154"/>
  <c r="M85" i="154"/>
  <c r="L85" i="154"/>
  <c r="K85" i="154"/>
  <c r="J85" i="154"/>
  <c r="I85" i="154"/>
  <c r="H85" i="154"/>
  <c r="G85" i="154"/>
  <c r="F85" i="154"/>
  <c r="AK84" i="154"/>
  <c r="AJ84" i="154"/>
  <c r="AI84" i="154"/>
  <c r="AH84" i="154"/>
  <c r="AG84" i="154"/>
  <c r="AF84" i="154"/>
  <c r="AE84" i="154"/>
  <c r="AD84" i="154"/>
  <c r="AC84" i="154"/>
  <c r="AB84" i="154"/>
  <c r="Y84" i="154"/>
  <c r="X84" i="154"/>
  <c r="U84" i="154"/>
  <c r="T84" i="154"/>
  <c r="S84" i="154"/>
  <c r="R84" i="154"/>
  <c r="Q84" i="154"/>
  <c r="P84" i="154"/>
  <c r="O84" i="154"/>
  <c r="N84" i="154"/>
  <c r="M84" i="154"/>
  <c r="L84" i="154"/>
  <c r="K84" i="154"/>
  <c r="J84" i="154"/>
  <c r="I84" i="154"/>
  <c r="H84" i="154"/>
  <c r="G84" i="154"/>
  <c r="F84" i="154"/>
  <c r="AK83" i="154"/>
  <c r="AJ83" i="154"/>
  <c r="AI83" i="154"/>
  <c r="AH83" i="154"/>
  <c r="AG83" i="154"/>
  <c r="AF83" i="154"/>
  <c r="AE83" i="154"/>
  <c r="AD83" i="154"/>
  <c r="AC83" i="154"/>
  <c r="Y83" i="154"/>
  <c r="U83" i="154"/>
  <c r="T83" i="154"/>
  <c r="S83" i="154"/>
  <c r="R83" i="154"/>
  <c r="Q83" i="154"/>
  <c r="P83" i="154"/>
  <c r="O83" i="154"/>
  <c r="N83" i="154"/>
  <c r="M83" i="154"/>
  <c r="L83" i="154"/>
  <c r="K83" i="154"/>
  <c r="J83" i="154"/>
  <c r="I83" i="154"/>
  <c r="H83" i="154"/>
  <c r="G83" i="154"/>
  <c r="F83" i="154"/>
  <c r="AK82" i="154"/>
  <c r="AJ82" i="154"/>
  <c r="AI82" i="154"/>
  <c r="AH82" i="154"/>
  <c r="AG82" i="154"/>
  <c r="AF82" i="154"/>
  <c r="AE82" i="154"/>
  <c r="AD82" i="154"/>
  <c r="Y82" i="154"/>
  <c r="X82" i="154"/>
  <c r="W82" i="154"/>
  <c r="V82" i="154"/>
  <c r="U82" i="154"/>
  <c r="T82" i="154"/>
  <c r="S82" i="154"/>
  <c r="R82" i="154"/>
  <c r="Q82" i="154"/>
  <c r="P82" i="154"/>
  <c r="O82" i="154"/>
  <c r="N82" i="154"/>
  <c r="M82" i="154"/>
  <c r="L82" i="154"/>
  <c r="K82" i="154"/>
  <c r="J82" i="154"/>
  <c r="I82" i="154"/>
  <c r="H82" i="154"/>
  <c r="G82" i="154"/>
  <c r="F82" i="154"/>
  <c r="AK81" i="154"/>
  <c r="AJ81" i="154"/>
  <c r="AI81" i="154"/>
  <c r="AH81" i="154"/>
  <c r="AG81" i="154"/>
  <c r="AF81" i="154"/>
  <c r="AE81" i="154"/>
  <c r="AD81" i="154"/>
  <c r="AC81" i="154"/>
  <c r="AB81" i="154"/>
  <c r="AA81" i="154"/>
  <c r="Z81" i="154"/>
  <c r="U81" i="154"/>
  <c r="T81" i="154"/>
  <c r="S81" i="154"/>
  <c r="R81" i="154"/>
  <c r="Q81" i="154"/>
  <c r="P81" i="154"/>
  <c r="O81" i="154"/>
  <c r="N81" i="154"/>
  <c r="M81" i="154"/>
  <c r="L81" i="154"/>
  <c r="K81" i="154"/>
  <c r="J81" i="154"/>
  <c r="I81" i="154"/>
  <c r="H81" i="154"/>
  <c r="G81" i="154"/>
  <c r="F81" i="154"/>
  <c r="AK80" i="154"/>
  <c r="AJ80" i="154"/>
  <c r="AI80" i="154"/>
  <c r="AH80" i="154"/>
  <c r="AG80" i="154"/>
  <c r="AF80" i="154"/>
  <c r="AE80" i="154"/>
  <c r="AD80" i="154"/>
  <c r="AC80" i="154"/>
  <c r="AB80" i="154"/>
  <c r="AA80" i="154"/>
  <c r="Z80" i="154"/>
  <c r="Y80" i="154"/>
  <c r="X80" i="154"/>
  <c r="U80" i="154"/>
  <c r="T80" i="154"/>
  <c r="Q80" i="154"/>
  <c r="P80" i="154"/>
  <c r="O80" i="154"/>
  <c r="N80" i="154"/>
  <c r="M80" i="154"/>
  <c r="L80" i="154"/>
  <c r="K80" i="154"/>
  <c r="J80" i="154"/>
  <c r="I80" i="154"/>
  <c r="H80" i="154"/>
  <c r="G80" i="154"/>
  <c r="F80" i="154"/>
  <c r="AK79" i="154"/>
  <c r="AJ79" i="154"/>
  <c r="AI79" i="154"/>
  <c r="AH79" i="154"/>
  <c r="AG79" i="154"/>
  <c r="AF79" i="154"/>
  <c r="AE79" i="154"/>
  <c r="AD79" i="154"/>
  <c r="AC79" i="154"/>
  <c r="AB79" i="154"/>
  <c r="AA79" i="154"/>
  <c r="Z79" i="154"/>
  <c r="Y79" i="154"/>
  <c r="U79" i="154"/>
  <c r="Q79" i="154"/>
  <c r="P79" i="154"/>
  <c r="O79" i="154"/>
  <c r="N79" i="154"/>
  <c r="M79" i="154"/>
  <c r="L79" i="154"/>
  <c r="K79" i="154"/>
  <c r="J79" i="154"/>
  <c r="I79" i="154"/>
  <c r="H79" i="154"/>
  <c r="G79" i="154"/>
  <c r="F79" i="154"/>
  <c r="AK78" i="154"/>
  <c r="AJ78" i="154"/>
  <c r="AI78" i="154"/>
  <c r="AH78" i="154"/>
  <c r="AG78" i="154"/>
  <c r="AF78" i="154"/>
  <c r="AE78" i="154"/>
  <c r="AD78" i="154"/>
  <c r="AC78" i="154"/>
  <c r="AB78" i="154"/>
  <c r="AA78" i="154"/>
  <c r="Z78" i="154"/>
  <c r="U78" i="154"/>
  <c r="T78" i="154"/>
  <c r="S78" i="154"/>
  <c r="R78" i="154"/>
  <c r="Q78" i="154"/>
  <c r="P78" i="154"/>
  <c r="O78" i="154"/>
  <c r="N78" i="154"/>
  <c r="M78" i="154"/>
  <c r="L78" i="154"/>
  <c r="K78" i="154"/>
  <c r="J78" i="154"/>
  <c r="I78" i="154"/>
  <c r="H78" i="154"/>
  <c r="G78" i="154"/>
  <c r="F78" i="154"/>
  <c r="AK77" i="154"/>
  <c r="AJ77" i="154"/>
  <c r="AI77" i="154"/>
  <c r="AH77" i="154"/>
  <c r="AG77" i="154"/>
  <c r="AF77" i="154"/>
  <c r="AE77" i="154"/>
  <c r="AD77" i="154"/>
  <c r="AC77" i="154"/>
  <c r="AB77" i="154"/>
  <c r="AA77" i="154"/>
  <c r="Z77" i="154"/>
  <c r="Y77" i="154"/>
  <c r="X77" i="154"/>
  <c r="W77" i="154"/>
  <c r="V77" i="154"/>
  <c r="Q77" i="154"/>
  <c r="P77" i="154"/>
  <c r="O77" i="154"/>
  <c r="N77" i="154"/>
  <c r="M77" i="154"/>
  <c r="L77" i="154"/>
  <c r="K77" i="154"/>
  <c r="J77" i="154"/>
  <c r="I77" i="154"/>
  <c r="H77" i="154"/>
  <c r="G77" i="154"/>
  <c r="F77" i="154"/>
  <c r="AK76" i="154"/>
  <c r="AJ76" i="154"/>
  <c r="AI76" i="154"/>
  <c r="AH76" i="154"/>
  <c r="AG76" i="154"/>
  <c r="AF76" i="154"/>
  <c r="AE76" i="154"/>
  <c r="AD76" i="154"/>
  <c r="AC76" i="154"/>
  <c r="AB76" i="154"/>
  <c r="AA76" i="154"/>
  <c r="Z76" i="154"/>
  <c r="Y76" i="154"/>
  <c r="X76" i="154"/>
  <c r="W76" i="154"/>
  <c r="V76" i="154"/>
  <c r="U76" i="154"/>
  <c r="T76" i="154"/>
  <c r="Q76" i="154"/>
  <c r="P76" i="154"/>
  <c r="M76" i="154"/>
  <c r="L76" i="154"/>
  <c r="K76" i="154"/>
  <c r="J76" i="154"/>
  <c r="I76" i="154"/>
  <c r="H76" i="154"/>
  <c r="G76" i="154"/>
  <c r="F76" i="154"/>
  <c r="AK75" i="154"/>
  <c r="AJ75" i="154"/>
  <c r="AI75" i="154"/>
  <c r="AH75" i="154"/>
  <c r="AG75" i="154"/>
  <c r="AF75" i="154"/>
  <c r="AE75" i="154"/>
  <c r="AD75" i="154"/>
  <c r="AC75" i="154"/>
  <c r="AB75" i="154"/>
  <c r="AA75" i="154"/>
  <c r="Z75" i="154"/>
  <c r="Y75" i="154"/>
  <c r="X75" i="154"/>
  <c r="W75" i="154"/>
  <c r="V75" i="154"/>
  <c r="U75" i="154"/>
  <c r="Q75" i="154"/>
  <c r="M75" i="154"/>
  <c r="L75" i="154"/>
  <c r="K75" i="154"/>
  <c r="J75" i="154"/>
  <c r="I75" i="154"/>
  <c r="H75" i="154"/>
  <c r="G75" i="154"/>
  <c r="F75" i="154"/>
  <c r="AK74" i="154"/>
  <c r="AJ74" i="154"/>
  <c r="AI74" i="154"/>
  <c r="AH74" i="154"/>
  <c r="AG74" i="154"/>
  <c r="AF74" i="154"/>
  <c r="AE74" i="154"/>
  <c r="AD74" i="154"/>
  <c r="AC74" i="154"/>
  <c r="AB74" i="154"/>
  <c r="AA74" i="154"/>
  <c r="Z74" i="154"/>
  <c r="Y74" i="154"/>
  <c r="X74" i="154"/>
  <c r="W74" i="154"/>
  <c r="V74" i="154"/>
  <c r="Q74" i="154"/>
  <c r="P74" i="154"/>
  <c r="O74" i="154"/>
  <c r="N74" i="154"/>
  <c r="M74" i="154"/>
  <c r="L74" i="154"/>
  <c r="K74" i="154"/>
  <c r="J74" i="154"/>
  <c r="I74" i="154"/>
  <c r="H74" i="154"/>
  <c r="G74" i="154"/>
  <c r="F74" i="154"/>
  <c r="AK73" i="154"/>
  <c r="AJ73" i="154"/>
  <c r="AI73" i="154"/>
  <c r="AH73" i="154"/>
  <c r="AG73" i="154"/>
  <c r="AF73" i="154"/>
  <c r="AE73" i="154"/>
  <c r="AD73" i="154"/>
  <c r="AC73" i="154"/>
  <c r="AB73" i="154"/>
  <c r="AA73" i="154"/>
  <c r="Z73" i="154"/>
  <c r="Y73" i="154"/>
  <c r="X73" i="154"/>
  <c r="W73" i="154"/>
  <c r="V73" i="154"/>
  <c r="U73" i="154"/>
  <c r="T73" i="154"/>
  <c r="S73" i="154"/>
  <c r="R73" i="154"/>
  <c r="M73" i="154"/>
  <c r="L73" i="154"/>
  <c r="K73" i="154"/>
  <c r="J73" i="154"/>
  <c r="I73" i="154"/>
  <c r="H73" i="154"/>
  <c r="G73" i="154"/>
  <c r="F73" i="154"/>
  <c r="AK72" i="154"/>
  <c r="AJ72" i="154"/>
  <c r="AI72" i="154"/>
  <c r="AH72" i="154"/>
  <c r="AG72" i="154"/>
  <c r="AF72" i="154"/>
  <c r="AE72" i="154"/>
  <c r="AD72" i="154"/>
  <c r="AC72" i="154"/>
  <c r="AB72" i="154"/>
  <c r="AA72" i="154"/>
  <c r="Z72" i="154"/>
  <c r="Y72" i="154"/>
  <c r="X72" i="154"/>
  <c r="W72" i="154"/>
  <c r="V72" i="154"/>
  <c r="U72" i="154"/>
  <c r="T72" i="154"/>
  <c r="S72" i="154"/>
  <c r="R72" i="154"/>
  <c r="Q72" i="154"/>
  <c r="P72" i="154"/>
  <c r="M72" i="154"/>
  <c r="L72" i="154"/>
  <c r="I72" i="154"/>
  <c r="H72" i="154"/>
  <c r="G72" i="154"/>
  <c r="F72" i="154"/>
  <c r="AK71" i="154"/>
  <c r="AJ71" i="154"/>
  <c r="AI71" i="154"/>
  <c r="AH71" i="154"/>
  <c r="AG71" i="154"/>
  <c r="AF71" i="154"/>
  <c r="AE71" i="154"/>
  <c r="AD71" i="154"/>
  <c r="AC71" i="154"/>
  <c r="AB71" i="154"/>
  <c r="AA71" i="154"/>
  <c r="Z71" i="154"/>
  <c r="Y71" i="154"/>
  <c r="X71" i="154"/>
  <c r="W71" i="154"/>
  <c r="V71" i="154"/>
  <c r="U71" i="154"/>
  <c r="T71" i="154"/>
  <c r="S71" i="154"/>
  <c r="R71" i="154"/>
  <c r="Q71" i="154"/>
  <c r="M71" i="154"/>
  <c r="I71" i="154"/>
  <c r="H71" i="154"/>
  <c r="G71" i="154"/>
  <c r="F71" i="154"/>
  <c r="AK70" i="154"/>
  <c r="AJ70" i="154"/>
  <c r="AI70" i="154"/>
  <c r="AH70" i="154"/>
  <c r="AG70" i="154"/>
  <c r="AF70" i="154"/>
  <c r="AE70" i="154"/>
  <c r="AD70" i="154"/>
  <c r="AC70" i="154"/>
  <c r="AB70" i="154"/>
  <c r="AA70" i="154"/>
  <c r="Z70" i="154"/>
  <c r="Y70" i="154"/>
  <c r="X70" i="154"/>
  <c r="W70" i="154"/>
  <c r="V70" i="154"/>
  <c r="U70" i="154"/>
  <c r="T70" i="154"/>
  <c r="S70" i="154"/>
  <c r="R70" i="154"/>
  <c r="M70" i="154"/>
  <c r="L70" i="154"/>
  <c r="K70" i="154"/>
  <c r="J70" i="154"/>
  <c r="I70" i="154"/>
  <c r="H70" i="154"/>
  <c r="G70" i="154"/>
  <c r="F70" i="154"/>
  <c r="AK69" i="154"/>
  <c r="AJ69" i="154"/>
  <c r="AI69" i="154"/>
  <c r="AH69" i="154"/>
  <c r="AG69" i="154"/>
  <c r="AF69" i="154"/>
  <c r="AE69" i="154"/>
  <c r="AD69" i="154"/>
  <c r="AC69" i="154"/>
  <c r="AB69" i="154"/>
  <c r="AA69" i="154"/>
  <c r="Z69" i="154"/>
  <c r="Y69" i="154"/>
  <c r="X69" i="154"/>
  <c r="W69" i="154"/>
  <c r="V69" i="154"/>
  <c r="U69" i="154"/>
  <c r="T69" i="154"/>
  <c r="S69" i="154"/>
  <c r="R69" i="154"/>
  <c r="Q69" i="154"/>
  <c r="P69" i="154"/>
  <c r="O69" i="154"/>
  <c r="N69" i="154"/>
  <c r="I69" i="154"/>
  <c r="H69" i="154"/>
  <c r="G69" i="154"/>
  <c r="F69" i="154"/>
  <c r="AK68" i="154"/>
  <c r="AJ68" i="154"/>
  <c r="AI68" i="154"/>
  <c r="AH68" i="154"/>
  <c r="AG68" i="154"/>
  <c r="AF68" i="154"/>
  <c r="AE68" i="154"/>
  <c r="AD68" i="154"/>
  <c r="AC68" i="154"/>
  <c r="AB68" i="154"/>
  <c r="AA68" i="154"/>
  <c r="Z68" i="154"/>
  <c r="Y68" i="154"/>
  <c r="X68" i="154"/>
  <c r="W68" i="154"/>
  <c r="V68" i="154"/>
  <c r="U68" i="154"/>
  <c r="T68" i="154"/>
  <c r="S68" i="154"/>
  <c r="R68" i="154"/>
  <c r="Q68" i="154"/>
  <c r="P68" i="154"/>
  <c r="O68" i="154"/>
  <c r="N68" i="154"/>
  <c r="M68" i="154"/>
  <c r="L68" i="154"/>
  <c r="I68" i="154"/>
  <c r="H68" i="154"/>
  <c r="AK67" i="154"/>
  <c r="AJ67" i="154"/>
  <c r="AI67" i="154"/>
  <c r="AH67" i="154"/>
  <c r="AG67" i="154"/>
  <c r="AF67" i="154"/>
  <c r="AE67" i="154"/>
  <c r="AD67" i="154"/>
  <c r="AC67" i="154"/>
  <c r="AB67" i="154"/>
  <c r="AA67" i="154"/>
  <c r="Z67" i="154"/>
  <c r="Y67" i="154"/>
  <c r="X67" i="154"/>
  <c r="W67" i="154"/>
  <c r="V67" i="154"/>
  <c r="U67" i="154"/>
  <c r="T67" i="154"/>
  <c r="S67" i="154"/>
  <c r="R67" i="154"/>
  <c r="Q67" i="154"/>
  <c r="P67" i="154"/>
  <c r="O67" i="154"/>
  <c r="N67" i="154"/>
  <c r="M67" i="154"/>
  <c r="I67" i="154"/>
  <c r="AK66" i="154"/>
  <c r="AJ66" i="154"/>
  <c r="AI66" i="154"/>
  <c r="AH66" i="154"/>
  <c r="AG66" i="154"/>
  <c r="AF66" i="154"/>
  <c r="AE66" i="154"/>
  <c r="AD66" i="154"/>
  <c r="AC66" i="154"/>
  <c r="AB66" i="154"/>
  <c r="AA66" i="154"/>
  <c r="Z66" i="154"/>
  <c r="Y66" i="154"/>
  <c r="X66" i="154"/>
  <c r="W66" i="154"/>
  <c r="V66" i="154"/>
  <c r="U66" i="154"/>
  <c r="T66" i="154"/>
  <c r="S66" i="154"/>
  <c r="R66" i="154"/>
  <c r="Q66" i="154"/>
  <c r="P66" i="154"/>
  <c r="O66" i="154"/>
  <c r="N66" i="154"/>
  <c r="I66" i="154"/>
  <c r="H66" i="154"/>
  <c r="G66" i="154"/>
  <c r="F66" i="154"/>
  <c r="AK65" i="154"/>
  <c r="AJ65" i="154"/>
  <c r="AI65" i="154"/>
  <c r="AH65" i="154"/>
  <c r="AG65" i="154"/>
  <c r="AF65" i="154"/>
  <c r="AE65" i="154"/>
  <c r="AD65" i="154"/>
  <c r="AC65" i="154"/>
  <c r="AB65" i="154"/>
  <c r="AA65" i="154"/>
  <c r="Z65" i="154"/>
  <c r="Y65" i="154"/>
  <c r="X65" i="154"/>
  <c r="W65" i="154"/>
  <c r="V65" i="154"/>
  <c r="U65" i="154"/>
  <c r="T65" i="154"/>
  <c r="S65" i="154"/>
  <c r="R65" i="154"/>
  <c r="Q65" i="154"/>
  <c r="P65" i="154"/>
  <c r="O65" i="154"/>
  <c r="N65" i="154"/>
  <c r="M65" i="154"/>
  <c r="L65" i="154"/>
  <c r="K65" i="154"/>
  <c r="J65" i="154"/>
  <c r="AM59" i="154"/>
  <c r="AI59" i="154"/>
  <c r="AI96" i="154" s="1"/>
  <c r="AH59" i="154"/>
  <c r="AH96" i="154" s="1"/>
  <c r="B59" i="154"/>
  <c r="AM58" i="154"/>
  <c r="AK58" i="154"/>
  <c r="AJ58" i="154"/>
  <c r="AJ95" i="154" s="1"/>
  <c r="AI58" i="154"/>
  <c r="AI95" i="154" s="1"/>
  <c r="AH58" i="154"/>
  <c r="AH95" i="154" s="1"/>
  <c r="C58" i="154"/>
  <c r="B58" i="154"/>
  <c r="G57" i="154"/>
  <c r="G94" i="154" s="1"/>
  <c r="F57" i="154"/>
  <c r="F94" i="154" s="1"/>
  <c r="B57" i="154"/>
  <c r="H56" i="154"/>
  <c r="H93" i="154" s="1"/>
  <c r="G56" i="154"/>
  <c r="G93" i="154" s="1"/>
  <c r="F56" i="154"/>
  <c r="F93" i="154" s="1"/>
  <c r="C56" i="154"/>
  <c r="B56" i="154"/>
  <c r="AM55" i="154"/>
  <c r="AI55" i="154"/>
  <c r="AI92" i="154" s="1"/>
  <c r="AH55" i="154"/>
  <c r="AE55" i="154"/>
  <c r="AE92" i="154" s="1"/>
  <c r="AD55" i="154"/>
  <c r="AD92" i="154" s="1"/>
  <c r="B55" i="154"/>
  <c r="AM54" i="154"/>
  <c r="AJ54" i="154"/>
  <c r="AJ91" i="154" s="1"/>
  <c r="AI54" i="154"/>
  <c r="AI91" i="154" s="1"/>
  <c r="AH54" i="154"/>
  <c r="AF54" i="154"/>
  <c r="AF91" i="154" s="1"/>
  <c r="AE54" i="154"/>
  <c r="AE91" i="154" s="1"/>
  <c r="AD54" i="154"/>
  <c r="AD91" i="154" s="1"/>
  <c r="B54" i="154"/>
  <c r="AM53" i="154"/>
  <c r="AK53" i="154"/>
  <c r="AK90" i="154" s="1"/>
  <c r="AJ53" i="154"/>
  <c r="AJ90" i="154" s="1"/>
  <c r="AI53" i="154"/>
  <c r="AI90" i="154" s="1"/>
  <c r="AH53" i="154"/>
  <c r="C53" i="154"/>
  <c r="B53" i="154"/>
  <c r="AM52" i="154"/>
  <c r="AG52" i="154"/>
  <c r="AG89" i="154" s="1"/>
  <c r="AF52" i="154"/>
  <c r="AF89" i="154" s="1"/>
  <c r="AE52" i="154"/>
  <c r="AE89" i="154" s="1"/>
  <c r="AD52" i="154"/>
  <c r="AD89" i="154" s="1"/>
  <c r="C52" i="154"/>
  <c r="B52" i="154"/>
  <c r="AM51" i="154"/>
  <c r="AE51" i="154"/>
  <c r="AE88" i="154" s="1"/>
  <c r="AD51" i="154"/>
  <c r="AD88" i="154" s="1"/>
  <c r="AA51" i="154"/>
  <c r="AA88" i="154" s="1"/>
  <c r="Z51" i="154"/>
  <c r="Z88" i="154" s="1"/>
  <c r="B51" i="154"/>
  <c r="AM50" i="154"/>
  <c r="AF50" i="154"/>
  <c r="AF87" i="154" s="1"/>
  <c r="AE50" i="154"/>
  <c r="AE87" i="154" s="1"/>
  <c r="AD50" i="154"/>
  <c r="AD87" i="154" s="1"/>
  <c r="AB50" i="154"/>
  <c r="AB87" i="154" s="1"/>
  <c r="AA50" i="154"/>
  <c r="AA87" i="154" s="1"/>
  <c r="Z50" i="154"/>
  <c r="Z87" i="154" s="1"/>
  <c r="B50" i="154"/>
  <c r="AM49" i="154"/>
  <c r="AG49" i="154"/>
  <c r="AF49" i="154"/>
  <c r="AF86" i="154" s="1"/>
  <c r="AE49" i="154"/>
  <c r="AE86" i="154" s="1"/>
  <c r="AD49" i="154"/>
  <c r="AD86" i="154" s="1"/>
  <c r="C49" i="154"/>
  <c r="B49" i="154"/>
  <c r="AM48" i="154"/>
  <c r="AC48" i="154"/>
  <c r="AC85" i="154" s="1"/>
  <c r="AB48" i="154"/>
  <c r="AB85" i="154" s="1"/>
  <c r="AA48" i="154"/>
  <c r="AA85" i="154" s="1"/>
  <c r="Z48" i="154"/>
  <c r="Z85" i="154" s="1"/>
  <c r="C48" i="154"/>
  <c r="B48" i="154"/>
  <c r="AM38" i="154"/>
  <c r="T38" i="154"/>
  <c r="T75" i="154" s="1"/>
  <c r="D38" i="154"/>
  <c r="B38" i="154" s="1"/>
  <c r="AM35" i="154"/>
  <c r="N35" i="154"/>
  <c r="N72" i="154" s="1"/>
  <c r="D35" i="154"/>
  <c r="K35" i="154" s="1"/>
  <c r="K72" i="154" s="1"/>
  <c r="B35" i="154"/>
  <c r="AM34" i="154"/>
  <c r="N34" i="154"/>
  <c r="N71" i="154" s="1"/>
  <c r="D34" i="154"/>
  <c r="B34" i="154"/>
  <c r="AM33" i="154"/>
  <c r="P33" i="154"/>
  <c r="P70" i="154" s="1"/>
  <c r="D33" i="154"/>
  <c r="O33" i="154" s="1"/>
  <c r="O70" i="154" s="1"/>
  <c r="C33" i="154"/>
  <c r="B33" i="154"/>
  <c r="D32" i="154"/>
  <c r="L32" i="154" s="1"/>
  <c r="L69" i="154" s="1"/>
  <c r="C32" i="154"/>
  <c r="B32" i="154"/>
  <c r="AM31" i="154"/>
  <c r="K31" i="154"/>
  <c r="K68" i="154" s="1"/>
  <c r="J31" i="154"/>
  <c r="J68" i="154" s="1"/>
  <c r="G31" i="154"/>
  <c r="G68" i="154" s="1"/>
  <c r="F31" i="154"/>
  <c r="F68" i="154" s="1"/>
  <c r="B31" i="154"/>
  <c r="AM30" i="154"/>
  <c r="L30" i="154"/>
  <c r="L67" i="154" s="1"/>
  <c r="K30" i="154"/>
  <c r="K67" i="154" s="1"/>
  <c r="J30" i="154"/>
  <c r="J67" i="154" s="1"/>
  <c r="H30" i="154"/>
  <c r="H67" i="154" s="1"/>
  <c r="G30" i="154"/>
  <c r="G67" i="154" s="1"/>
  <c r="F30" i="154"/>
  <c r="F67" i="154" s="1"/>
  <c r="B30" i="154"/>
  <c r="AM29" i="154"/>
  <c r="M29" i="154"/>
  <c r="M66" i="154" s="1"/>
  <c r="L29" i="154"/>
  <c r="L66" i="154" s="1"/>
  <c r="K29" i="154"/>
  <c r="K66" i="154" s="1"/>
  <c r="J29" i="154"/>
  <c r="J66" i="154" s="1"/>
  <c r="C29" i="154"/>
  <c r="B29" i="154"/>
  <c r="AM28" i="154"/>
  <c r="I28" i="154"/>
  <c r="I65" i="154" s="1"/>
  <c r="H28" i="154"/>
  <c r="H65" i="154" s="1"/>
  <c r="G28" i="154"/>
  <c r="G65" i="154" s="1"/>
  <c r="F28" i="154"/>
  <c r="F65" i="154" s="1"/>
  <c r="C28" i="154"/>
  <c r="B28" i="154"/>
  <c r="AK96" i="153"/>
  <c r="AJ96" i="153"/>
  <c r="AG96" i="153"/>
  <c r="AF96" i="153"/>
  <c r="AE96" i="153"/>
  <c r="AD96" i="153"/>
  <c r="AC96" i="153"/>
  <c r="AB96" i="153"/>
  <c r="AA96" i="153"/>
  <c r="Z96" i="153"/>
  <c r="Y96" i="153"/>
  <c r="X96" i="153"/>
  <c r="W96" i="153"/>
  <c r="V96" i="153"/>
  <c r="U96" i="153"/>
  <c r="T96" i="153"/>
  <c r="S96" i="153"/>
  <c r="R96" i="153"/>
  <c r="Q96" i="153"/>
  <c r="P96" i="153"/>
  <c r="O96" i="153"/>
  <c r="N96" i="153"/>
  <c r="M96" i="153"/>
  <c r="L96" i="153"/>
  <c r="K96" i="153"/>
  <c r="J96" i="153"/>
  <c r="I96" i="153"/>
  <c r="H96" i="153"/>
  <c r="G96" i="153"/>
  <c r="F96" i="153"/>
  <c r="AG95" i="153"/>
  <c r="AF95" i="153"/>
  <c r="AE95" i="153"/>
  <c r="AD95" i="153"/>
  <c r="AC95" i="153"/>
  <c r="AB95" i="153"/>
  <c r="AA95" i="153"/>
  <c r="Z95" i="153"/>
  <c r="Y95" i="153"/>
  <c r="X95" i="153"/>
  <c r="W95" i="153"/>
  <c r="V95" i="153"/>
  <c r="U95" i="153"/>
  <c r="T95" i="153"/>
  <c r="S95" i="153"/>
  <c r="R95" i="153"/>
  <c r="Q95" i="153"/>
  <c r="P95" i="153"/>
  <c r="O95" i="153"/>
  <c r="N95" i="153"/>
  <c r="M95" i="153"/>
  <c r="L95" i="153"/>
  <c r="K95" i="153"/>
  <c r="J95" i="153"/>
  <c r="I95" i="153"/>
  <c r="H95" i="153"/>
  <c r="G95" i="153"/>
  <c r="F95" i="153"/>
  <c r="AK94" i="153"/>
  <c r="AJ94" i="153"/>
  <c r="AI94" i="153"/>
  <c r="AH94" i="153"/>
  <c r="AG94" i="153"/>
  <c r="AF94" i="153"/>
  <c r="AE94" i="153"/>
  <c r="AD94" i="153"/>
  <c r="AC94" i="153"/>
  <c r="AB94" i="153"/>
  <c r="AA94" i="153"/>
  <c r="Z94" i="153"/>
  <c r="Y94" i="153"/>
  <c r="X94" i="153"/>
  <c r="W94" i="153"/>
  <c r="V94" i="153"/>
  <c r="U94" i="153"/>
  <c r="T94" i="153"/>
  <c r="S94" i="153"/>
  <c r="R94" i="153"/>
  <c r="Q94" i="153"/>
  <c r="P94" i="153"/>
  <c r="O94" i="153"/>
  <c r="N94" i="153"/>
  <c r="M94" i="153"/>
  <c r="L94" i="153"/>
  <c r="K94" i="153"/>
  <c r="J94" i="153"/>
  <c r="I94" i="153"/>
  <c r="H94" i="153"/>
  <c r="AK93" i="153"/>
  <c r="AJ93" i="153"/>
  <c r="AI93" i="153"/>
  <c r="AH93" i="153"/>
  <c r="AG93" i="153"/>
  <c r="AF93" i="153"/>
  <c r="AE93" i="153"/>
  <c r="AD93" i="153"/>
  <c r="AC93" i="153"/>
  <c r="AB93" i="153"/>
  <c r="AA93" i="153"/>
  <c r="Z93" i="153"/>
  <c r="Y93" i="153"/>
  <c r="X93" i="153"/>
  <c r="W93" i="153"/>
  <c r="V93" i="153"/>
  <c r="U93" i="153"/>
  <c r="T93" i="153"/>
  <c r="S93" i="153"/>
  <c r="R93" i="153"/>
  <c r="Q93" i="153"/>
  <c r="P93" i="153"/>
  <c r="O93" i="153"/>
  <c r="N93" i="153"/>
  <c r="M93" i="153"/>
  <c r="L93" i="153"/>
  <c r="K93" i="153"/>
  <c r="J93" i="153"/>
  <c r="I93" i="153"/>
  <c r="H93" i="153"/>
  <c r="G93" i="153"/>
  <c r="AK92" i="153"/>
  <c r="AJ92" i="153"/>
  <c r="AG92" i="153"/>
  <c r="AF92" i="153"/>
  <c r="AE92" i="153"/>
  <c r="AD92" i="153"/>
  <c r="AC92" i="153"/>
  <c r="AB92" i="153"/>
  <c r="AA92" i="153"/>
  <c r="Z92" i="153"/>
  <c r="Y92" i="153"/>
  <c r="X92" i="153"/>
  <c r="W92" i="153"/>
  <c r="V92" i="153"/>
  <c r="U92" i="153"/>
  <c r="T92" i="153"/>
  <c r="S92" i="153"/>
  <c r="R92" i="153"/>
  <c r="Q92" i="153"/>
  <c r="P92" i="153"/>
  <c r="O92" i="153"/>
  <c r="N92" i="153"/>
  <c r="M92" i="153"/>
  <c r="L92" i="153"/>
  <c r="K92" i="153"/>
  <c r="J92" i="153"/>
  <c r="I92" i="153"/>
  <c r="H92" i="153"/>
  <c r="G92" i="153"/>
  <c r="F92" i="153"/>
  <c r="AK91" i="153"/>
  <c r="AG91" i="153"/>
  <c r="AE91" i="153"/>
  <c r="AC91" i="153"/>
  <c r="AB91" i="153"/>
  <c r="AA91" i="153"/>
  <c r="Z91" i="153"/>
  <c r="Y91" i="153"/>
  <c r="X91" i="153"/>
  <c r="W91" i="153"/>
  <c r="V91" i="153"/>
  <c r="U91" i="153"/>
  <c r="T91" i="153"/>
  <c r="S91" i="153"/>
  <c r="R91" i="153"/>
  <c r="Q91" i="153"/>
  <c r="P91" i="153"/>
  <c r="O91" i="153"/>
  <c r="N91" i="153"/>
  <c r="M91" i="153"/>
  <c r="L91" i="153"/>
  <c r="K91" i="153"/>
  <c r="J91" i="153"/>
  <c r="I91" i="153"/>
  <c r="H91" i="153"/>
  <c r="G91" i="153"/>
  <c r="F91" i="153"/>
  <c r="AG90" i="153"/>
  <c r="AF90" i="153"/>
  <c r="AE90" i="153"/>
  <c r="AD90" i="153"/>
  <c r="AC90" i="153"/>
  <c r="AB90" i="153"/>
  <c r="AA90" i="153"/>
  <c r="Z90" i="153"/>
  <c r="Y90" i="153"/>
  <c r="X90" i="153"/>
  <c r="W90" i="153"/>
  <c r="V90" i="153"/>
  <c r="U90" i="153"/>
  <c r="T90" i="153"/>
  <c r="S90" i="153"/>
  <c r="R90" i="153"/>
  <c r="Q90" i="153"/>
  <c r="P90" i="153"/>
  <c r="O90" i="153"/>
  <c r="N90" i="153"/>
  <c r="M90" i="153"/>
  <c r="L90" i="153"/>
  <c r="K90" i="153"/>
  <c r="J90" i="153"/>
  <c r="I90" i="153"/>
  <c r="H90" i="153"/>
  <c r="G90" i="153"/>
  <c r="F90" i="153"/>
  <c r="AK89" i="153"/>
  <c r="AJ89" i="153"/>
  <c r="AI89" i="153"/>
  <c r="AH89" i="153"/>
  <c r="AD89" i="153"/>
  <c r="AC89" i="153"/>
  <c r="AB89" i="153"/>
  <c r="AA89" i="153"/>
  <c r="Z89" i="153"/>
  <c r="Y89" i="153"/>
  <c r="X89" i="153"/>
  <c r="W89" i="153"/>
  <c r="V89" i="153"/>
  <c r="U89" i="153"/>
  <c r="T89" i="153"/>
  <c r="S89" i="153"/>
  <c r="R89" i="153"/>
  <c r="Q89" i="153"/>
  <c r="P89" i="153"/>
  <c r="O89" i="153"/>
  <c r="N89" i="153"/>
  <c r="M89" i="153"/>
  <c r="L89" i="153"/>
  <c r="K89" i="153"/>
  <c r="J89" i="153"/>
  <c r="I89" i="153"/>
  <c r="H89" i="153"/>
  <c r="G89" i="153"/>
  <c r="F89" i="153"/>
  <c r="AK88" i="153"/>
  <c r="AJ88" i="153"/>
  <c r="AI88" i="153"/>
  <c r="AH88" i="153"/>
  <c r="AG88" i="153"/>
  <c r="AF88" i="153"/>
  <c r="AC88" i="153"/>
  <c r="AB88" i="153"/>
  <c r="Y88" i="153"/>
  <c r="X88" i="153"/>
  <c r="W88" i="153"/>
  <c r="V88" i="153"/>
  <c r="U88" i="153"/>
  <c r="T88" i="153"/>
  <c r="S88" i="153"/>
  <c r="R88" i="153"/>
  <c r="Q88" i="153"/>
  <c r="P88" i="153"/>
  <c r="O88" i="153"/>
  <c r="N88" i="153"/>
  <c r="M88" i="153"/>
  <c r="L88" i="153"/>
  <c r="K88" i="153"/>
  <c r="J88" i="153"/>
  <c r="I88" i="153"/>
  <c r="H88" i="153"/>
  <c r="G88" i="153"/>
  <c r="F88" i="153"/>
  <c r="AK87" i="153"/>
  <c r="AJ87" i="153"/>
  <c r="AI87" i="153"/>
  <c r="AH87" i="153"/>
  <c r="AG87" i="153"/>
  <c r="AC87" i="153"/>
  <c r="Y87" i="153"/>
  <c r="X87" i="153"/>
  <c r="W87" i="153"/>
  <c r="V87" i="153"/>
  <c r="U87" i="153"/>
  <c r="T87" i="153"/>
  <c r="S87" i="153"/>
  <c r="R87" i="153"/>
  <c r="Q87" i="153"/>
  <c r="P87" i="153"/>
  <c r="O87" i="153"/>
  <c r="N87" i="153"/>
  <c r="M87" i="153"/>
  <c r="L87" i="153"/>
  <c r="K87" i="153"/>
  <c r="J87" i="153"/>
  <c r="I87" i="153"/>
  <c r="H87" i="153"/>
  <c r="G87" i="153"/>
  <c r="F87" i="153"/>
  <c r="AK86" i="153"/>
  <c r="AJ86" i="153"/>
  <c r="AI86" i="153"/>
  <c r="AH86" i="153"/>
  <c r="AC86" i="153"/>
  <c r="AB86" i="153"/>
  <c r="AA86" i="153"/>
  <c r="Z86" i="153"/>
  <c r="Y86" i="153"/>
  <c r="X86" i="153"/>
  <c r="W86" i="153"/>
  <c r="V86" i="153"/>
  <c r="U86" i="153"/>
  <c r="T86" i="153"/>
  <c r="S86" i="153"/>
  <c r="R86" i="153"/>
  <c r="Q86" i="153"/>
  <c r="P86" i="153"/>
  <c r="O86" i="153"/>
  <c r="N86" i="153"/>
  <c r="M86" i="153"/>
  <c r="L86" i="153"/>
  <c r="K86" i="153"/>
  <c r="J86" i="153"/>
  <c r="I86" i="153"/>
  <c r="H86" i="153"/>
  <c r="G86" i="153"/>
  <c r="F86" i="153"/>
  <c r="AK85" i="153"/>
  <c r="AJ85" i="153"/>
  <c r="AI85" i="153"/>
  <c r="AH85" i="153"/>
  <c r="AG85" i="153"/>
  <c r="AF85" i="153"/>
  <c r="AE85" i="153"/>
  <c r="AD85" i="153"/>
  <c r="Y85" i="153"/>
  <c r="X85" i="153"/>
  <c r="W85" i="153"/>
  <c r="V85" i="153"/>
  <c r="U85" i="153"/>
  <c r="T85" i="153"/>
  <c r="S85" i="153"/>
  <c r="R85" i="153"/>
  <c r="Q85" i="153"/>
  <c r="P85" i="153"/>
  <c r="O85" i="153"/>
  <c r="N85" i="153"/>
  <c r="M85" i="153"/>
  <c r="L85" i="153"/>
  <c r="K85" i="153"/>
  <c r="J85" i="153"/>
  <c r="I85" i="153"/>
  <c r="H85" i="153"/>
  <c r="G85" i="153"/>
  <c r="F85" i="153"/>
  <c r="AK84" i="153"/>
  <c r="AJ84" i="153"/>
  <c r="AI84" i="153"/>
  <c r="AH84" i="153"/>
  <c r="AG84" i="153"/>
  <c r="AF84" i="153"/>
  <c r="AE84" i="153"/>
  <c r="AD84" i="153"/>
  <c r="AC84" i="153"/>
  <c r="AB84" i="153"/>
  <c r="Y84" i="153"/>
  <c r="X84" i="153"/>
  <c r="U84" i="153"/>
  <c r="T84" i="153"/>
  <c r="S84" i="153"/>
  <c r="R84" i="153"/>
  <c r="Q84" i="153"/>
  <c r="P84" i="153"/>
  <c r="O84" i="153"/>
  <c r="N84" i="153"/>
  <c r="M84" i="153"/>
  <c r="L84" i="153"/>
  <c r="K84" i="153"/>
  <c r="J84" i="153"/>
  <c r="I84" i="153"/>
  <c r="H84" i="153"/>
  <c r="G84" i="153"/>
  <c r="F84" i="153"/>
  <c r="AK83" i="153"/>
  <c r="AJ83" i="153"/>
  <c r="AI83" i="153"/>
  <c r="AH83" i="153"/>
  <c r="AG83" i="153"/>
  <c r="AF83" i="153"/>
  <c r="AE83" i="153"/>
  <c r="AD83" i="153"/>
  <c r="AC83" i="153"/>
  <c r="Y83" i="153"/>
  <c r="U83" i="153"/>
  <c r="T83" i="153"/>
  <c r="S83" i="153"/>
  <c r="R83" i="153"/>
  <c r="Q83" i="153"/>
  <c r="P83" i="153"/>
  <c r="O83" i="153"/>
  <c r="N83" i="153"/>
  <c r="M83" i="153"/>
  <c r="L83" i="153"/>
  <c r="K83" i="153"/>
  <c r="J83" i="153"/>
  <c r="I83" i="153"/>
  <c r="H83" i="153"/>
  <c r="G83" i="153"/>
  <c r="F83" i="153"/>
  <c r="AK82" i="153"/>
  <c r="AJ82" i="153"/>
  <c r="AI82" i="153"/>
  <c r="AH82" i="153"/>
  <c r="AG82" i="153"/>
  <c r="AF82" i="153"/>
  <c r="AE82" i="153"/>
  <c r="AD82" i="153"/>
  <c r="Y82" i="153"/>
  <c r="X82" i="153"/>
  <c r="W82" i="153"/>
  <c r="V82" i="153"/>
  <c r="U82" i="153"/>
  <c r="T82" i="153"/>
  <c r="S82" i="153"/>
  <c r="R82" i="153"/>
  <c r="Q82" i="153"/>
  <c r="P82" i="153"/>
  <c r="O82" i="153"/>
  <c r="N82" i="153"/>
  <c r="M82" i="153"/>
  <c r="L82" i="153"/>
  <c r="K82" i="153"/>
  <c r="J82" i="153"/>
  <c r="I82" i="153"/>
  <c r="H82" i="153"/>
  <c r="G82" i="153"/>
  <c r="F82" i="153"/>
  <c r="AK81" i="153"/>
  <c r="AJ81" i="153"/>
  <c r="AI81" i="153"/>
  <c r="AH81" i="153"/>
  <c r="AG81" i="153"/>
  <c r="AF81" i="153"/>
  <c r="AE81" i="153"/>
  <c r="AD81" i="153"/>
  <c r="AC81" i="153"/>
  <c r="AB81" i="153"/>
  <c r="AA81" i="153"/>
  <c r="Z81" i="153"/>
  <c r="U81" i="153"/>
  <c r="T81" i="153"/>
  <c r="S81" i="153"/>
  <c r="R81" i="153"/>
  <c r="Q81" i="153"/>
  <c r="P81" i="153"/>
  <c r="O81" i="153"/>
  <c r="N81" i="153"/>
  <c r="M81" i="153"/>
  <c r="L81" i="153"/>
  <c r="K81" i="153"/>
  <c r="J81" i="153"/>
  <c r="I81" i="153"/>
  <c r="H81" i="153"/>
  <c r="G81" i="153"/>
  <c r="F81" i="153"/>
  <c r="AK80" i="153"/>
  <c r="AJ80" i="153"/>
  <c r="AI80" i="153"/>
  <c r="AH80" i="153"/>
  <c r="AG80" i="153"/>
  <c r="AF80" i="153"/>
  <c r="AE80" i="153"/>
  <c r="AD80" i="153"/>
  <c r="AC80" i="153"/>
  <c r="AB80" i="153"/>
  <c r="AA80" i="153"/>
  <c r="Z80" i="153"/>
  <c r="Y80" i="153"/>
  <c r="X80" i="153"/>
  <c r="U80" i="153"/>
  <c r="T80" i="153"/>
  <c r="Q80" i="153"/>
  <c r="P80" i="153"/>
  <c r="O80" i="153"/>
  <c r="N80" i="153"/>
  <c r="M80" i="153"/>
  <c r="L80" i="153"/>
  <c r="K80" i="153"/>
  <c r="J80" i="153"/>
  <c r="I80" i="153"/>
  <c r="H80" i="153"/>
  <c r="G80" i="153"/>
  <c r="F80" i="153"/>
  <c r="AK79" i="153"/>
  <c r="AJ79" i="153"/>
  <c r="AI79" i="153"/>
  <c r="AH79" i="153"/>
  <c r="AG79" i="153"/>
  <c r="AF79" i="153"/>
  <c r="AE79" i="153"/>
  <c r="AD79" i="153"/>
  <c r="AC79" i="153"/>
  <c r="AB79" i="153"/>
  <c r="AA79" i="153"/>
  <c r="Z79" i="153"/>
  <c r="Y79" i="153"/>
  <c r="U79" i="153"/>
  <c r="Q79" i="153"/>
  <c r="P79" i="153"/>
  <c r="O79" i="153"/>
  <c r="N79" i="153"/>
  <c r="M79" i="153"/>
  <c r="L79" i="153"/>
  <c r="K79" i="153"/>
  <c r="J79" i="153"/>
  <c r="I79" i="153"/>
  <c r="H79" i="153"/>
  <c r="G79" i="153"/>
  <c r="F79" i="153"/>
  <c r="AK78" i="153"/>
  <c r="AJ78" i="153"/>
  <c r="AI78" i="153"/>
  <c r="AH78" i="153"/>
  <c r="AG78" i="153"/>
  <c r="AF78" i="153"/>
  <c r="AE78" i="153"/>
  <c r="AD78" i="153"/>
  <c r="AC78" i="153"/>
  <c r="AB78" i="153"/>
  <c r="AA78" i="153"/>
  <c r="Z78" i="153"/>
  <c r="U78" i="153"/>
  <c r="T78" i="153"/>
  <c r="S78" i="153"/>
  <c r="R78" i="153"/>
  <c r="Q78" i="153"/>
  <c r="P78" i="153"/>
  <c r="O78" i="153"/>
  <c r="N78" i="153"/>
  <c r="M78" i="153"/>
  <c r="L78" i="153"/>
  <c r="K78" i="153"/>
  <c r="J78" i="153"/>
  <c r="I78" i="153"/>
  <c r="H78" i="153"/>
  <c r="G78" i="153"/>
  <c r="F78" i="153"/>
  <c r="AK77" i="153"/>
  <c r="AJ77" i="153"/>
  <c r="AI77" i="153"/>
  <c r="AH77" i="153"/>
  <c r="AG77" i="153"/>
  <c r="AF77" i="153"/>
  <c r="AE77" i="153"/>
  <c r="AD77" i="153"/>
  <c r="AC77" i="153"/>
  <c r="AB77" i="153"/>
  <c r="AA77" i="153"/>
  <c r="Z77" i="153"/>
  <c r="Y77" i="153"/>
  <c r="X77" i="153"/>
  <c r="W77" i="153"/>
  <c r="V77" i="153"/>
  <c r="Q77" i="153"/>
  <c r="P77" i="153"/>
  <c r="O77" i="153"/>
  <c r="N77" i="153"/>
  <c r="M77" i="153"/>
  <c r="L77" i="153"/>
  <c r="K77" i="153"/>
  <c r="J77" i="153"/>
  <c r="I77" i="153"/>
  <c r="H77" i="153"/>
  <c r="G77" i="153"/>
  <c r="F77" i="153"/>
  <c r="AK76" i="153"/>
  <c r="AJ76" i="153"/>
  <c r="AI76" i="153"/>
  <c r="AH76" i="153"/>
  <c r="AG76" i="153"/>
  <c r="AF76" i="153"/>
  <c r="AE76" i="153"/>
  <c r="AD76" i="153"/>
  <c r="AC76" i="153"/>
  <c r="AB76" i="153"/>
  <c r="AA76" i="153"/>
  <c r="Z76" i="153"/>
  <c r="Y76" i="153"/>
  <c r="X76" i="153"/>
  <c r="W76" i="153"/>
  <c r="V76" i="153"/>
  <c r="U76" i="153"/>
  <c r="T76" i="153"/>
  <c r="Q76" i="153"/>
  <c r="P76" i="153"/>
  <c r="M76" i="153"/>
  <c r="L76" i="153"/>
  <c r="K76" i="153"/>
  <c r="J76" i="153"/>
  <c r="I76" i="153"/>
  <c r="H76" i="153"/>
  <c r="G76" i="153"/>
  <c r="F76" i="153"/>
  <c r="AK75" i="153"/>
  <c r="AJ75" i="153"/>
  <c r="AI75" i="153"/>
  <c r="AH75" i="153"/>
  <c r="AG75" i="153"/>
  <c r="AF75" i="153"/>
  <c r="AE75" i="153"/>
  <c r="AD75" i="153"/>
  <c r="AC75" i="153"/>
  <c r="AB75" i="153"/>
  <c r="AA75" i="153"/>
  <c r="Z75" i="153"/>
  <c r="Y75" i="153"/>
  <c r="X75" i="153"/>
  <c r="W75" i="153"/>
  <c r="V75" i="153"/>
  <c r="U75" i="153"/>
  <c r="Q75" i="153"/>
  <c r="M75" i="153"/>
  <c r="L75" i="153"/>
  <c r="K75" i="153"/>
  <c r="J75" i="153"/>
  <c r="I75" i="153"/>
  <c r="H75" i="153"/>
  <c r="G75" i="153"/>
  <c r="F75" i="153"/>
  <c r="AK74" i="153"/>
  <c r="AJ74" i="153"/>
  <c r="AI74" i="153"/>
  <c r="AH74" i="153"/>
  <c r="AG74" i="153"/>
  <c r="AF74" i="153"/>
  <c r="AE74" i="153"/>
  <c r="AD74" i="153"/>
  <c r="AC74" i="153"/>
  <c r="AB74" i="153"/>
  <c r="AA74" i="153"/>
  <c r="Z74" i="153"/>
  <c r="Y74" i="153"/>
  <c r="X74" i="153"/>
  <c r="W74" i="153"/>
  <c r="V74" i="153"/>
  <c r="Q74" i="153"/>
  <c r="P74" i="153"/>
  <c r="O74" i="153"/>
  <c r="N74" i="153"/>
  <c r="M74" i="153"/>
  <c r="L74" i="153"/>
  <c r="K74" i="153"/>
  <c r="J74" i="153"/>
  <c r="I74" i="153"/>
  <c r="H74" i="153"/>
  <c r="G74" i="153"/>
  <c r="F74" i="153"/>
  <c r="AK73" i="153"/>
  <c r="AJ73" i="153"/>
  <c r="AI73" i="153"/>
  <c r="AH73" i="153"/>
  <c r="AG73" i="153"/>
  <c r="AF73" i="153"/>
  <c r="AE73" i="153"/>
  <c r="AD73" i="153"/>
  <c r="AC73" i="153"/>
  <c r="AB73" i="153"/>
  <c r="AA73" i="153"/>
  <c r="Z73" i="153"/>
  <c r="Y73" i="153"/>
  <c r="X73" i="153"/>
  <c r="W73" i="153"/>
  <c r="V73" i="153"/>
  <c r="U73" i="153"/>
  <c r="T73" i="153"/>
  <c r="S73" i="153"/>
  <c r="R73" i="153"/>
  <c r="M73" i="153"/>
  <c r="L73" i="153"/>
  <c r="K73" i="153"/>
  <c r="J73" i="153"/>
  <c r="I73" i="153"/>
  <c r="H73" i="153"/>
  <c r="G73" i="153"/>
  <c r="F73" i="153"/>
  <c r="AK72" i="153"/>
  <c r="AJ72" i="153"/>
  <c r="AI72" i="153"/>
  <c r="AH72" i="153"/>
  <c r="AG72" i="153"/>
  <c r="AF72" i="153"/>
  <c r="AE72" i="153"/>
  <c r="AD72" i="153"/>
  <c r="AC72" i="153"/>
  <c r="AB72" i="153"/>
  <c r="AA72" i="153"/>
  <c r="Z72" i="153"/>
  <c r="Y72" i="153"/>
  <c r="X72" i="153"/>
  <c r="W72" i="153"/>
  <c r="V72" i="153"/>
  <c r="U72" i="153"/>
  <c r="T72" i="153"/>
  <c r="S72" i="153"/>
  <c r="R72" i="153"/>
  <c r="Q72" i="153"/>
  <c r="P72" i="153"/>
  <c r="N72" i="153"/>
  <c r="M72" i="153"/>
  <c r="L72" i="153"/>
  <c r="I72" i="153"/>
  <c r="H72" i="153"/>
  <c r="G72" i="153"/>
  <c r="F72" i="153"/>
  <c r="AK71" i="153"/>
  <c r="AJ71" i="153"/>
  <c r="AI71" i="153"/>
  <c r="AH71" i="153"/>
  <c r="AG71" i="153"/>
  <c r="AF71" i="153"/>
  <c r="AE71" i="153"/>
  <c r="AD71" i="153"/>
  <c r="AC71" i="153"/>
  <c r="AB71" i="153"/>
  <c r="AA71" i="153"/>
  <c r="Z71" i="153"/>
  <c r="Y71" i="153"/>
  <c r="X71" i="153"/>
  <c r="W71" i="153"/>
  <c r="V71" i="153"/>
  <c r="U71" i="153"/>
  <c r="T71" i="153"/>
  <c r="S71" i="153"/>
  <c r="R71" i="153"/>
  <c r="Q71" i="153"/>
  <c r="M71" i="153"/>
  <c r="I71" i="153"/>
  <c r="H71" i="153"/>
  <c r="G71" i="153"/>
  <c r="F71" i="153"/>
  <c r="AK70" i="153"/>
  <c r="AJ70" i="153"/>
  <c r="AI70" i="153"/>
  <c r="AH70" i="153"/>
  <c r="AG70" i="153"/>
  <c r="AF70" i="153"/>
  <c r="AE70" i="153"/>
  <c r="AD70" i="153"/>
  <c r="AC70" i="153"/>
  <c r="AB70" i="153"/>
  <c r="AA70" i="153"/>
  <c r="Z70" i="153"/>
  <c r="Y70" i="153"/>
  <c r="X70" i="153"/>
  <c r="W70" i="153"/>
  <c r="V70" i="153"/>
  <c r="U70" i="153"/>
  <c r="T70" i="153"/>
  <c r="S70" i="153"/>
  <c r="R70" i="153"/>
  <c r="M70" i="153"/>
  <c r="L70" i="153"/>
  <c r="K70" i="153"/>
  <c r="J70" i="153"/>
  <c r="I70" i="153"/>
  <c r="H70" i="153"/>
  <c r="G70" i="153"/>
  <c r="F70" i="153"/>
  <c r="AK69" i="153"/>
  <c r="AJ69" i="153"/>
  <c r="AI69" i="153"/>
  <c r="AH69" i="153"/>
  <c r="AG69" i="153"/>
  <c r="AF69" i="153"/>
  <c r="AE69" i="153"/>
  <c r="AD69" i="153"/>
  <c r="AC69" i="153"/>
  <c r="AB69" i="153"/>
  <c r="AA69" i="153"/>
  <c r="Z69" i="153"/>
  <c r="Y69" i="153"/>
  <c r="X69" i="153"/>
  <c r="W69" i="153"/>
  <c r="V69" i="153"/>
  <c r="U69" i="153"/>
  <c r="T69" i="153"/>
  <c r="S69" i="153"/>
  <c r="R69" i="153"/>
  <c r="Q69" i="153"/>
  <c r="P69" i="153"/>
  <c r="O69" i="153"/>
  <c r="N69" i="153"/>
  <c r="I69" i="153"/>
  <c r="H69" i="153"/>
  <c r="G69" i="153"/>
  <c r="F69" i="153"/>
  <c r="AK68" i="153"/>
  <c r="AJ68" i="153"/>
  <c r="AI68" i="153"/>
  <c r="AH68" i="153"/>
  <c r="AG68" i="153"/>
  <c r="AF68" i="153"/>
  <c r="AE68" i="153"/>
  <c r="AD68" i="153"/>
  <c r="AC68" i="153"/>
  <c r="AB68" i="153"/>
  <c r="AA68" i="153"/>
  <c r="Z68" i="153"/>
  <c r="Y68" i="153"/>
  <c r="X68" i="153"/>
  <c r="W68" i="153"/>
  <c r="V68" i="153"/>
  <c r="U68" i="153"/>
  <c r="T68" i="153"/>
  <c r="S68" i="153"/>
  <c r="R68" i="153"/>
  <c r="Q68" i="153"/>
  <c r="P68" i="153"/>
  <c r="O68" i="153"/>
  <c r="N68" i="153"/>
  <c r="M68" i="153"/>
  <c r="L68" i="153"/>
  <c r="I68" i="153"/>
  <c r="H68" i="153"/>
  <c r="AK67" i="153"/>
  <c r="AJ67" i="153"/>
  <c r="AI67" i="153"/>
  <c r="AH67" i="153"/>
  <c r="AG67" i="153"/>
  <c r="AF67" i="153"/>
  <c r="AE67" i="153"/>
  <c r="AD67" i="153"/>
  <c r="AC67" i="153"/>
  <c r="AB67" i="153"/>
  <c r="AA67" i="153"/>
  <c r="Z67" i="153"/>
  <c r="Y67" i="153"/>
  <c r="X67" i="153"/>
  <c r="W67" i="153"/>
  <c r="V67" i="153"/>
  <c r="U67" i="153"/>
  <c r="T67" i="153"/>
  <c r="S67" i="153"/>
  <c r="R67" i="153"/>
  <c r="Q67" i="153"/>
  <c r="P67" i="153"/>
  <c r="O67" i="153"/>
  <c r="N67" i="153"/>
  <c r="M67" i="153"/>
  <c r="I67" i="153"/>
  <c r="AK66" i="153"/>
  <c r="AJ66" i="153"/>
  <c r="AI66" i="153"/>
  <c r="AH66" i="153"/>
  <c r="AG66" i="153"/>
  <c r="AF66" i="153"/>
  <c r="AE66" i="153"/>
  <c r="AD66" i="153"/>
  <c r="AC66" i="153"/>
  <c r="AB66" i="153"/>
  <c r="AA66" i="153"/>
  <c r="Z66" i="153"/>
  <c r="Y66" i="153"/>
  <c r="X66" i="153"/>
  <c r="W66" i="153"/>
  <c r="V66" i="153"/>
  <c r="U66" i="153"/>
  <c r="T66" i="153"/>
  <c r="S66" i="153"/>
  <c r="R66" i="153"/>
  <c r="Q66" i="153"/>
  <c r="P66" i="153"/>
  <c r="O66" i="153"/>
  <c r="N66" i="153"/>
  <c r="I66" i="153"/>
  <c r="H66" i="153"/>
  <c r="G66" i="153"/>
  <c r="F66" i="153"/>
  <c r="AK65" i="153"/>
  <c r="AJ65" i="153"/>
  <c r="AI65" i="153"/>
  <c r="AH65" i="153"/>
  <c r="AG65" i="153"/>
  <c r="AF65" i="153"/>
  <c r="AE65" i="153"/>
  <c r="AD65" i="153"/>
  <c r="AC65" i="153"/>
  <c r="AB65" i="153"/>
  <c r="AA65" i="153"/>
  <c r="Z65" i="153"/>
  <c r="Y65" i="153"/>
  <c r="X65" i="153"/>
  <c r="W65" i="153"/>
  <c r="V65" i="153"/>
  <c r="U65" i="153"/>
  <c r="T65" i="153"/>
  <c r="S65" i="153"/>
  <c r="R65" i="153"/>
  <c r="Q65" i="153"/>
  <c r="P65" i="153"/>
  <c r="O65" i="153"/>
  <c r="N65" i="153"/>
  <c r="M65" i="153"/>
  <c r="L65" i="153"/>
  <c r="K65" i="153"/>
  <c r="J65" i="153"/>
  <c r="AM59" i="153"/>
  <c r="AI59" i="153"/>
  <c r="AI96" i="153" s="1"/>
  <c r="AH59" i="153"/>
  <c r="AH96" i="153" s="1"/>
  <c r="B59" i="153"/>
  <c r="AM58" i="153"/>
  <c r="AK58" i="153"/>
  <c r="AK95" i="153" s="1"/>
  <c r="AJ58" i="153"/>
  <c r="AJ95" i="153" s="1"/>
  <c r="AI58" i="153"/>
  <c r="AI95" i="153" s="1"/>
  <c r="AH58" i="153"/>
  <c r="AH95" i="153" s="1"/>
  <c r="C58" i="153"/>
  <c r="B58" i="153"/>
  <c r="G57" i="153"/>
  <c r="G94" i="153" s="1"/>
  <c r="F57" i="153"/>
  <c r="F94" i="153" s="1"/>
  <c r="B57" i="153"/>
  <c r="H56" i="153"/>
  <c r="G56" i="153"/>
  <c r="F56" i="153"/>
  <c r="F93" i="153" s="1"/>
  <c r="C56" i="153"/>
  <c r="B56" i="153"/>
  <c r="AM55" i="153"/>
  <c r="AI55" i="153"/>
  <c r="AI92" i="153" s="1"/>
  <c r="AH55" i="153"/>
  <c r="AH92" i="153" s="1"/>
  <c r="AE55" i="153"/>
  <c r="AD55" i="153"/>
  <c r="B55" i="153"/>
  <c r="AM54" i="153"/>
  <c r="AJ54" i="153"/>
  <c r="AJ91" i="153" s="1"/>
  <c r="AI54" i="153"/>
  <c r="AI91" i="153" s="1"/>
  <c r="AH54" i="153"/>
  <c r="AH91" i="153" s="1"/>
  <c r="AF54" i="153"/>
  <c r="AF91" i="153" s="1"/>
  <c r="AE54" i="153"/>
  <c r="AD54" i="153"/>
  <c r="AD91" i="153" s="1"/>
  <c r="B54" i="153"/>
  <c r="AM53" i="153"/>
  <c r="AK53" i="153"/>
  <c r="AK90" i="153" s="1"/>
  <c r="AJ53" i="153"/>
  <c r="AJ90" i="153" s="1"/>
  <c r="AI53" i="153"/>
  <c r="AI90" i="153" s="1"/>
  <c r="AH53" i="153"/>
  <c r="AH90" i="153" s="1"/>
  <c r="C53" i="153"/>
  <c r="B53" i="153"/>
  <c r="AM52" i="153"/>
  <c r="AG52" i="153"/>
  <c r="AG89" i="153" s="1"/>
  <c r="AF52" i="153"/>
  <c r="AF89" i="153" s="1"/>
  <c r="AE52" i="153"/>
  <c r="AE89" i="153" s="1"/>
  <c r="AD52" i="153"/>
  <c r="C52" i="153"/>
  <c r="B52" i="153"/>
  <c r="AM51" i="153"/>
  <c r="AE51" i="153"/>
  <c r="AE88" i="153" s="1"/>
  <c r="AD51" i="153"/>
  <c r="AD88" i="153" s="1"/>
  <c r="AA51" i="153"/>
  <c r="AA88" i="153" s="1"/>
  <c r="Z51" i="153"/>
  <c r="Z88" i="153" s="1"/>
  <c r="B51" i="153"/>
  <c r="AM50" i="153"/>
  <c r="AF50" i="153"/>
  <c r="AF87" i="153" s="1"/>
  <c r="AE50" i="153"/>
  <c r="AE87" i="153" s="1"/>
  <c r="AD50" i="153"/>
  <c r="AD87" i="153" s="1"/>
  <c r="AB50" i="153"/>
  <c r="AB87" i="153" s="1"/>
  <c r="AA50" i="153"/>
  <c r="AA87" i="153" s="1"/>
  <c r="Z50" i="153"/>
  <c r="Z87" i="153" s="1"/>
  <c r="B50" i="153"/>
  <c r="AM49" i="153"/>
  <c r="AG49" i="153"/>
  <c r="AG86" i="153" s="1"/>
  <c r="AF49" i="153"/>
  <c r="AF86" i="153" s="1"/>
  <c r="AE49" i="153"/>
  <c r="AE86" i="153" s="1"/>
  <c r="AD49" i="153"/>
  <c r="AD86" i="153" s="1"/>
  <c r="C49" i="153"/>
  <c r="B49" i="153"/>
  <c r="AM48" i="153"/>
  <c r="AC48" i="153"/>
  <c r="AC85" i="153" s="1"/>
  <c r="AB48" i="153"/>
  <c r="AB85" i="153" s="1"/>
  <c r="AA48" i="153"/>
  <c r="AA85" i="153" s="1"/>
  <c r="Z48" i="153"/>
  <c r="Z85" i="153" s="1"/>
  <c r="C48" i="153"/>
  <c r="B48" i="153"/>
  <c r="O36" i="153"/>
  <c r="O73" i="153" s="1"/>
  <c r="D36" i="153"/>
  <c r="B36" i="153" s="1"/>
  <c r="N35" i="153"/>
  <c r="K35" i="153"/>
  <c r="K72" i="153" s="1"/>
  <c r="J35" i="153"/>
  <c r="J72" i="153" s="1"/>
  <c r="D35" i="153"/>
  <c r="AM35" i="153" s="1"/>
  <c r="B35" i="153"/>
  <c r="L34" i="153"/>
  <c r="L71" i="153" s="1"/>
  <c r="K34" i="153"/>
  <c r="K71" i="153" s="1"/>
  <c r="J34" i="153"/>
  <c r="J71" i="153" s="1"/>
  <c r="D34" i="153"/>
  <c r="AM33" i="153"/>
  <c r="D33" i="153"/>
  <c r="B33" i="153" s="1"/>
  <c r="C33" i="153"/>
  <c r="M32" i="153"/>
  <c r="M69" i="153" s="1"/>
  <c r="D32" i="153"/>
  <c r="B32" i="153" s="1"/>
  <c r="C32" i="153"/>
  <c r="AM31" i="153"/>
  <c r="K31" i="153"/>
  <c r="K68" i="153" s="1"/>
  <c r="J31" i="153"/>
  <c r="J68" i="153" s="1"/>
  <c r="G31" i="153"/>
  <c r="G68" i="153" s="1"/>
  <c r="F31" i="153"/>
  <c r="F68" i="153" s="1"/>
  <c r="B31" i="153"/>
  <c r="AM30" i="153"/>
  <c r="L30" i="153"/>
  <c r="L67" i="153" s="1"/>
  <c r="K30" i="153"/>
  <c r="K67" i="153" s="1"/>
  <c r="J30" i="153"/>
  <c r="J67" i="153" s="1"/>
  <c r="H30" i="153"/>
  <c r="H67" i="153" s="1"/>
  <c r="G30" i="153"/>
  <c r="G67" i="153" s="1"/>
  <c r="F30" i="153"/>
  <c r="F67" i="153" s="1"/>
  <c r="B30" i="153"/>
  <c r="AM29" i="153"/>
  <c r="M29" i="153"/>
  <c r="M66" i="153" s="1"/>
  <c r="L29" i="153"/>
  <c r="L66" i="153" s="1"/>
  <c r="K29" i="153"/>
  <c r="K66" i="153" s="1"/>
  <c r="J29" i="153"/>
  <c r="J66" i="153" s="1"/>
  <c r="C29" i="153"/>
  <c r="B29" i="153"/>
  <c r="AM28" i="153"/>
  <c r="I28" i="153"/>
  <c r="I65" i="153" s="1"/>
  <c r="H28" i="153"/>
  <c r="H65" i="153" s="1"/>
  <c r="G28" i="153"/>
  <c r="G65" i="153" s="1"/>
  <c r="F28" i="153"/>
  <c r="F65" i="153" s="1"/>
  <c r="C28" i="153"/>
  <c r="B28" i="153"/>
  <c r="AA37" i="152"/>
  <c r="AA36" i="152"/>
  <c r="O36" i="152"/>
  <c r="N36" i="152"/>
  <c r="AA35" i="152"/>
  <c r="G35" i="152"/>
  <c r="F35" i="152"/>
  <c r="AA34" i="152"/>
  <c r="Q34" i="152"/>
  <c r="P34" i="152"/>
  <c r="O34" i="152"/>
  <c r="N34" i="152"/>
  <c r="AA33" i="152"/>
  <c r="I33" i="152"/>
  <c r="H33" i="152"/>
  <c r="G33" i="152"/>
  <c r="F33" i="152"/>
  <c r="AA32" i="152"/>
  <c r="AA31" i="152"/>
  <c r="AA30" i="152"/>
  <c r="AA29" i="152"/>
  <c r="D32" i="152"/>
  <c r="N32" i="152" s="1"/>
  <c r="D29" i="152" a="1"/>
  <c r="D31" i="152" s="1"/>
  <c r="AA28" i="152"/>
  <c r="K28" i="152"/>
  <c r="D28" i="152"/>
  <c r="J28" i="152" s="1"/>
  <c r="AA27" i="152"/>
  <c r="L27" i="152"/>
  <c r="K27" i="152"/>
  <c r="D27" i="152"/>
  <c r="J27" i="152" s="1"/>
  <c r="AA26" i="152"/>
  <c r="M26" i="152"/>
  <c r="D26" i="152"/>
  <c r="L26" i="152" s="1"/>
  <c r="C26" i="152"/>
  <c r="AA25" i="152"/>
  <c r="I25" i="152"/>
  <c r="H25" i="152"/>
  <c r="G25" i="152"/>
  <c r="F25" i="152"/>
  <c r="D25" i="152"/>
  <c r="C25" i="152"/>
  <c r="AA24" i="152"/>
  <c r="AA23" i="152"/>
  <c r="AA22" i="152"/>
  <c r="AA21" i="152"/>
  <c r="AA20" i="152"/>
  <c r="AA19" i="152"/>
  <c r="AA18" i="152"/>
  <c r="AA17" i="152"/>
  <c r="AA16" i="152"/>
  <c r="AA15" i="152"/>
  <c r="AA14" i="152"/>
  <c r="AA13" i="152"/>
  <c r="AA12" i="152"/>
  <c r="AA11" i="152"/>
  <c r="AA10" i="152"/>
  <c r="AA9" i="152"/>
  <c r="AA8" i="152"/>
  <c r="O36" i="151"/>
  <c r="N36" i="151"/>
  <c r="G35" i="151"/>
  <c r="F35" i="151"/>
  <c r="Q34" i="151"/>
  <c r="P34" i="151"/>
  <c r="O34" i="151"/>
  <c r="N34" i="151"/>
  <c r="I33" i="151"/>
  <c r="H33" i="151"/>
  <c r="G33" i="151"/>
  <c r="F33" i="151"/>
  <c r="O32" i="151"/>
  <c r="N32" i="151"/>
  <c r="K32" i="151"/>
  <c r="J32" i="151"/>
  <c r="P31" i="151"/>
  <c r="O31" i="151"/>
  <c r="N31" i="151"/>
  <c r="L31" i="151"/>
  <c r="K31" i="151"/>
  <c r="J31" i="151"/>
  <c r="Q30" i="151"/>
  <c r="P30" i="151"/>
  <c r="O30" i="151"/>
  <c r="N30" i="151"/>
  <c r="M29" i="151"/>
  <c r="L29" i="151"/>
  <c r="K29" i="151"/>
  <c r="J29" i="151"/>
  <c r="K28" i="151"/>
  <c r="J28" i="151"/>
  <c r="G28" i="151"/>
  <c r="F28" i="151"/>
  <c r="L27" i="151"/>
  <c r="K27" i="151"/>
  <c r="J27" i="151"/>
  <c r="H27" i="151"/>
  <c r="G27" i="151"/>
  <c r="F27" i="151"/>
  <c r="M26" i="151"/>
  <c r="L26" i="151"/>
  <c r="K26" i="151"/>
  <c r="J26" i="151"/>
  <c r="I25" i="151"/>
  <c r="H25" i="151"/>
  <c r="G25" i="151"/>
  <c r="F25" i="151"/>
  <c r="K27" i="150"/>
  <c r="J27" i="150"/>
  <c r="G27" i="150"/>
  <c r="F27" i="150"/>
  <c r="L26" i="150"/>
  <c r="K26" i="150"/>
  <c r="J26" i="150"/>
  <c r="H26" i="150"/>
  <c r="G26" i="150"/>
  <c r="F26" i="150"/>
  <c r="M25" i="150"/>
  <c r="L25" i="150"/>
  <c r="K25" i="150"/>
  <c r="J25" i="150"/>
  <c r="I24" i="150"/>
  <c r="H24" i="150"/>
  <c r="G24" i="150"/>
  <c r="F24" i="150"/>
  <c r="O40" i="149"/>
  <c r="O40" i="149" a="1"/>
  <c r="O43" i="149" s="1"/>
  <c r="I35" i="149"/>
  <c r="D35" i="149"/>
  <c r="D34" i="149"/>
  <c r="D33" i="149"/>
  <c r="G32" i="149"/>
  <c r="D32" i="149"/>
  <c r="O40" i="148"/>
  <c r="O40" i="148" a="1"/>
  <c r="O43" i="148" s="1"/>
  <c r="I35" i="148"/>
  <c r="D35" i="148"/>
  <c r="D34" i="148"/>
  <c r="D33" i="148"/>
  <c r="G32" i="148"/>
  <c r="D32" i="148"/>
  <c r="O40" i="147"/>
  <c r="O40" i="147" a="1"/>
  <c r="O43" i="147" s="1"/>
  <c r="I35" i="147"/>
  <c r="D35" i="147"/>
  <c r="I34" i="147"/>
  <c r="D34" i="147"/>
  <c r="G33" i="147"/>
  <c r="Q32" i="147" s="1" a="1"/>
  <c r="Q32" i="147" s="1"/>
  <c r="T32" i="147" s="1" a="1"/>
  <c r="T32" i="147" s="1"/>
  <c r="D33" i="147"/>
  <c r="G32" i="147"/>
  <c r="D32" i="147"/>
  <c r="T25" i="151" l="1" a="1"/>
  <c r="T28" i="151" s="1"/>
  <c r="D13" i="147"/>
  <c r="D15" i="149"/>
  <c r="T36" i="151"/>
  <c r="T25" i="151"/>
  <c r="T35" i="151"/>
  <c r="T27" i="151"/>
  <c r="T34" i="151"/>
  <c r="T26" i="151"/>
  <c r="T32" i="151"/>
  <c r="T31" i="151"/>
  <c r="T33" i="151"/>
  <c r="T29" i="151"/>
  <c r="K31" i="152"/>
  <c r="J31" i="152"/>
  <c r="P31" i="152"/>
  <c r="O31" i="152"/>
  <c r="N31" i="152"/>
  <c r="L31" i="152"/>
  <c r="D8" i="148"/>
  <c r="D8" i="149"/>
  <c r="O32" i="152"/>
  <c r="AM32" i="153"/>
  <c r="AM34" i="153"/>
  <c r="B34" i="153"/>
  <c r="N36" i="153"/>
  <c r="N73" i="153" s="1"/>
  <c r="O42" i="149"/>
  <c r="D10" i="148"/>
  <c r="P36" i="153"/>
  <c r="P73" i="153" s="1"/>
  <c r="D12" i="149"/>
  <c r="N33" i="153"/>
  <c r="N70" i="153" s="1"/>
  <c r="O41" i="149"/>
  <c r="D9" i="149" s="1"/>
  <c r="O42" i="147"/>
  <c r="O42" i="148"/>
  <c r="D10" i="147"/>
  <c r="Q36" i="153"/>
  <c r="Q73" i="153" s="1"/>
  <c r="D40" i="153"/>
  <c r="D5" i="149"/>
  <c r="D13" i="149"/>
  <c r="J26" i="152"/>
  <c r="G27" i="152"/>
  <c r="F28" i="152"/>
  <c r="D29" i="152"/>
  <c r="J32" i="153"/>
  <c r="J69" i="153" s="1"/>
  <c r="O33" i="153"/>
  <c r="O70" i="153" s="1"/>
  <c r="N34" i="153"/>
  <c r="N71" i="153" s="1"/>
  <c r="O35" i="153"/>
  <c r="O72" i="153" s="1"/>
  <c r="AM36" i="153"/>
  <c r="D38" i="153"/>
  <c r="D39" i="153"/>
  <c r="L34" i="154"/>
  <c r="L71" i="154" s="1"/>
  <c r="K34" i="154"/>
  <c r="K71" i="154" s="1"/>
  <c r="J34" i="154"/>
  <c r="J71" i="154" s="1"/>
  <c r="O34" i="154"/>
  <c r="O71" i="154" s="1"/>
  <c r="O34" i="155"/>
  <c r="O71" i="155" s="1"/>
  <c r="N34" i="155"/>
  <c r="N71" i="155" s="1"/>
  <c r="L34" i="155"/>
  <c r="L71" i="155" s="1"/>
  <c r="K34" i="155"/>
  <c r="K71" i="155" s="1"/>
  <c r="J34" i="155"/>
  <c r="J71" i="155" s="1"/>
  <c r="AM34" i="155"/>
  <c r="B34" i="155"/>
  <c r="P34" i="155"/>
  <c r="P71" i="155" s="1"/>
  <c r="D38" i="155"/>
  <c r="F27" i="152"/>
  <c r="K32" i="154"/>
  <c r="K69" i="154" s="1"/>
  <c r="J32" i="154"/>
  <c r="J69" i="154" s="1"/>
  <c r="D36" i="154"/>
  <c r="M32" i="154"/>
  <c r="M69" i="154" s="1"/>
  <c r="D14" i="148"/>
  <c r="D6" i="149"/>
  <c r="D14" i="149"/>
  <c r="K26" i="152"/>
  <c r="H27" i="152"/>
  <c r="G28" i="152"/>
  <c r="D30" i="152"/>
  <c r="J32" i="152"/>
  <c r="K32" i="153"/>
  <c r="K69" i="153" s="1"/>
  <c r="P33" i="153"/>
  <c r="P70" i="153" s="1"/>
  <c r="O34" i="153"/>
  <c r="O71" i="153" s="1"/>
  <c r="AM32" i="154"/>
  <c r="P38" i="154"/>
  <c r="P75" i="154" s="1"/>
  <c r="O38" i="154"/>
  <c r="O75" i="154" s="1"/>
  <c r="N38" i="154"/>
  <c r="N75" i="154" s="1"/>
  <c r="S38" i="154"/>
  <c r="S75" i="154" s="1"/>
  <c r="D42" i="154"/>
  <c r="D8" i="147"/>
  <c r="O41" i="147"/>
  <c r="O41" i="148"/>
  <c r="D9" i="148" s="1"/>
  <c r="D5" i="147"/>
  <c r="D7" i="148"/>
  <c r="D7" i="149"/>
  <c r="K32" i="152"/>
  <c r="L32" i="153"/>
  <c r="L69" i="153" s="1"/>
  <c r="Q33" i="153"/>
  <c r="Q70" i="153" s="1"/>
  <c r="P34" i="153"/>
  <c r="P71" i="153" s="1"/>
  <c r="C36" i="153"/>
  <c r="D37" i="153"/>
  <c r="P34" i="154"/>
  <c r="P71" i="154" s="1"/>
  <c r="R38" i="154"/>
  <c r="R75" i="154" s="1"/>
  <c r="AM32" i="155"/>
  <c r="AM33" i="155"/>
  <c r="AM35" i="155"/>
  <c r="Q33" i="154"/>
  <c r="Q70" i="154" s="1"/>
  <c r="O35" i="154"/>
  <c r="O72" i="154" s="1"/>
  <c r="D36" i="155"/>
  <c r="D37" i="155"/>
  <c r="D39" i="155"/>
  <c r="D37" i="154"/>
  <c r="D39" i="154"/>
  <c r="N33" i="154"/>
  <c r="N70" i="154" s="1"/>
  <c r="J35" i="154"/>
  <c r="J72" i="154" s="1"/>
  <c r="T30" i="151" l="1"/>
  <c r="O39" i="154"/>
  <c r="O76" i="154" s="1"/>
  <c r="N39" i="154"/>
  <c r="N76" i="154" s="1"/>
  <c r="D43" i="154"/>
  <c r="S39" i="154"/>
  <c r="S76" i="154" s="1"/>
  <c r="AM39" i="154"/>
  <c r="R39" i="154"/>
  <c r="R76" i="154" s="1"/>
  <c r="B39" i="154"/>
  <c r="O39" i="153"/>
  <c r="O76" i="153" s="1"/>
  <c r="B39" i="153"/>
  <c r="N39" i="153"/>
  <c r="N76" i="153" s="1"/>
  <c r="AM39" i="153"/>
  <c r="D43" i="153"/>
  <c r="S39" i="153"/>
  <c r="S76" i="153" s="1"/>
  <c r="R39" i="153"/>
  <c r="R76" i="153" s="1"/>
  <c r="B40" i="153"/>
  <c r="T40" i="153"/>
  <c r="T77" i="153" s="1"/>
  <c r="S40" i="153"/>
  <c r="S77" i="153" s="1"/>
  <c r="R40" i="153"/>
  <c r="R77" i="153" s="1"/>
  <c r="C40" i="153"/>
  <c r="AM40" i="153"/>
  <c r="D44" i="153"/>
  <c r="U40" i="153"/>
  <c r="U77" i="153" s="1"/>
  <c r="S37" i="154"/>
  <c r="S74" i="154" s="1"/>
  <c r="R37" i="154"/>
  <c r="R74" i="154" s="1"/>
  <c r="D41" i="154"/>
  <c r="U37" i="154"/>
  <c r="U74" i="154" s="1"/>
  <c r="AM37" i="154"/>
  <c r="T37" i="154"/>
  <c r="T74" i="154" s="1"/>
  <c r="C37" i="154"/>
  <c r="B37" i="154"/>
  <c r="D7" i="147"/>
  <c r="D15" i="147"/>
  <c r="D14" i="147"/>
  <c r="D6" i="147"/>
  <c r="AM38" i="153"/>
  <c r="B38" i="153"/>
  <c r="O38" i="153"/>
  <c r="O75" i="153" s="1"/>
  <c r="T38" i="153"/>
  <c r="T75" i="153" s="1"/>
  <c r="S38" i="153"/>
  <c r="S75" i="153" s="1"/>
  <c r="N38" i="153"/>
  <c r="N75" i="153" s="1"/>
  <c r="D42" i="153"/>
  <c r="R38" i="153"/>
  <c r="R75" i="153" s="1"/>
  <c r="P38" i="153"/>
  <c r="P75" i="153" s="1"/>
  <c r="D15" i="148"/>
  <c r="D12" i="147"/>
  <c r="U37" i="155"/>
  <c r="U74" i="155" s="1"/>
  <c r="T37" i="155"/>
  <c r="T74" i="155" s="1"/>
  <c r="S37" i="155"/>
  <c r="S74" i="155" s="1"/>
  <c r="R37" i="155"/>
  <c r="R74" i="155" s="1"/>
  <c r="D41" i="155"/>
  <c r="B37" i="155"/>
  <c r="AM37" i="155"/>
  <c r="C37" i="155"/>
  <c r="S38" i="155"/>
  <c r="S75" i="155" s="1"/>
  <c r="R38" i="155"/>
  <c r="R75" i="155" s="1"/>
  <c r="P38" i="155"/>
  <c r="P75" i="155" s="1"/>
  <c r="O38" i="155"/>
  <c r="O75" i="155" s="1"/>
  <c r="N38" i="155"/>
  <c r="N75" i="155" s="1"/>
  <c r="AM38" i="155"/>
  <c r="B38" i="155"/>
  <c r="T38" i="155"/>
  <c r="T75" i="155" s="1"/>
  <c r="D42" i="155"/>
  <c r="D23" i="148"/>
  <c r="D22" i="148"/>
  <c r="D17" i="148"/>
  <c r="D21" i="148"/>
  <c r="D20" i="148"/>
  <c r="D19" i="148"/>
  <c r="D18" i="148"/>
  <c r="D25" i="148"/>
  <c r="D24" i="148"/>
  <c r="D16" i="148"/>
  <c r="D23" i="149"/>
  <c r="D22" i="149"/>
  <c r="D20" i="149"/>
  <c r="D25" i="149"/>
  <c r="D21" i="149"/>
  <c r="D19" i="149"/>
  <c r="D18" i="149"/>
  <c r="D17" i="149"/>
  <c r="D24" i="149"/>
  <c r="D16" i="149"/>
  <c r="D6" i="148"/>
  <c r="D11" i="148"/>
  <c r="C30" i="152"/>
  <c r="Q30" i="152"/>
  <c r="P30" i="152"/>
  <c r="O30" i="152"/>
  <c r="N30" i="152"/>
  <c r="D13" i="148"/>
  <c r="D11" i="149"/>
  <c r="D5" i="148"/>
  <c r="D10" i="149"/>
  <c r="S39" i="155"/>
  <c r="S76" i="155" s="1"/>
  <c r="R39" i="155"/>
  <c r="R76" i="155" s="1"/>
  <c r="O39" i="155"/>
  <c r="O76" i="155" s="1"/>
  <c r="N39" i="155"/>
  <c r="N76" i="155" s="1"/>
  <c r="D43" i="155"/>
  <c r="AM39" i="155"/>
  <c r="B39" i="155"/>
  <c r="T42" i="154"/>
  <c r="T79" i="154" s="1"/>
  <c r="S42" i="154"/>
  <c r="S79" i="154" s="1"/>
  <c r="R42" i="154"/>
  <c r="R79" i="154" s="1"/>
  <c r="W42" i="154"/>
  <c r="W79" i="154" s="1"/>
  <c r="V42" i="154"/>
  <c r="V79" i="154" s="1"/>
  <c r="D46" i="154"/>
  <c r="B42" i="154"/>
  <c r="AM42" i="154"/>
  <c r="X42" i="154"/>
  <c r="X79" i="154" s="1"/>
  <c r="Q36" i="155"/>
  <c r="Q73" i="155" s="1"/>
  <c r="P36" i="155"/>
  <c r="P73" i="155" s="1"/>
  <c r="O36" i="155"/>
  <c r="O73" i="155" s="1"/>
  <c r="N36" i="155"/>
  <c r="N73" i="155" s="1"/>
  <c r="D40" i="155"/>
  <c r="B36" i="155"/>
  <c r="AM36" i="155"/>
  <c r="C36" i="155"/>
  <c r="B37" i="153"/>
  <c r="C37" i="153"/>
  <c r="AM37" i="153"/>
  <c r="D41" i="153"/>
  <c r="T37" i="153"/>
  <c r="T74" i="153" s="1"/>
  <c r="U37" i="153"/>
  <c r="U74" i="153" s="1"/>
  <c r="S37" i="153"/>
  <c r="S74" i="153" s="1"/>
  <c r="R37" i="153"/>
  <c r="R74" i="153" s="1"/>
  <c r="D21" i="147"/>
  <c r="D24" i="147"/>
  <c r="D20" i="147"/>
  <c r="D18" i="147"/>
  <c r="D19" i="147"/>
  <c r="D17" i="147"/>
  <c r="D16" i="147"/>
  <c r="D25" i="147"/>
  <c r="D23" i="147"/>
  <c r="D22" i="147"/>
  <c r="D12" i="148"/>
  <c r="D9" i="147"/>
  <c r="O36" i="154"/>
  <c r="O73" i="154" s="1"/>
  <c r="N36" i="154"/>
  <c r="N73" i="154" s="1"/>
  <c r="D40" i="154"/>
  <c r="Q36" i="154"/>
  <c r="Q73" i="154" s="1"/>
  <c r="P36" i="154"/>
  <c r="P73" i="154" s="1"/>
  <c r="C36" i="154"/>
  <c r="B36" i="154"/>
  <c r="AM36" i="154"/>
  <c r="M29" i="152"/>
  <c r="L29" i="152"/>
  <c r="K29" i="152"/>
  <c r="C29" i="152"/>
  <c r="J29" i="152"/>
  <c r="D11" i="147"/>
  <c r="E297" i="155"/>
  <c r="E230" i="154"/>
  <c r="E384" i="155"/>
  <c r="H170" i="154"/>
  <c r="E144" i="155"/>
  <c r="E373" i="154"/>
  <c r="E344" i="155"/>
  <c r="E351" i="155"/>
  <c r="E280" i="155"/>
  <c r="E208" i="155"/>
  <c r="E353" i="154"/>
  <c r="E128" i="155"/>
  <c r="E297" i="154"/>
  <c r="E328" i="154"/>
  <c r="E303" i="155"/>
  <c r="E348" i="155"/>
  <c r="E383" i="155"/>
  <c r="E238" i="154"/>
  <c r="E151" i="155"/>
  <c r="H120" i="155"/>
  <c r="E282" i="154"/>
  <c r="E192" i="154"/>
  <c r="E178" i="155"/>
  <c r="E129" i="155"/>
  <c r="E202" i="154"/>
  <c r="E187" i="154"/>
  <c r="E158" i="154"/>
  <c r="E177" i="155"/>
  <c r="E101" i="154"/>
  <c r="E189" i="155"/>
  <c r="H170" i="155"/>
  <c r="E379" i="154"/>
  <c r="E309" i="155"/>
  <c r="E117" i="154"/>
  <c r="E134" i="155"/>
  <c r="E366" i="155"/>
  <c r="E179" i="154"/>
  <c r="E368" i="155"/>
  <c r="E259" i="155"/>
  <c r="E213" i="154"/>
  <c r="E290" i="155"/>
  <c r="E333" i="154"/>
  <c r="E152" i="155"/>
  <c r="E177" i="154"/>
  <c r="E363" i="155"/>
  <c r="E328" i="155"/>
  <c r="E364" i="154"/>
  <c r="E231" i="154"/>
  <c r="E303" i="154"/>
  <c r="E185" i="155"/>
  <c r="E270" i="154"/>
  <c r="E340" i="154"/>
  <c r="E343" i="154"/>
  <c r="E321" i="155"/>
  <c r="E208" i="154"/>
  <c r="E295" i="154"/>
  <c r="E281" i="154"/>
  <c r="E221" i="155"/>
  <c r="E151" i="154"/>
  <c r="E299" i="154"/>
  <c r="E284" i="154"/>
  <c r="E205" i="154"/>
  <c r="E378" i="154"/>
  <c r="E285" i="154"/>
  <c r="E175" i="155"/>
  <c r="E350" i="154"/>
  <c r="E159" i="154"/>
  <c r="E395" i="154"/>
  <c r="E319" i="155"/>
  <c r="E384" i="154"/>
  <c r="E299" i="155"/>
  <c r="E305" i="154"/>
  <c r="E198" i="155"/>
  <c r="E325" i="154"/>
  <c r="E254" i="154"/>
  <c r="E224" i="155"/>
  <c r="E294" i="155"/>
  <c r="H110" i="155"/>
  <c r="E178" i="154"/>
  <c r="E356" i="154"/>
  <c r="E281" i="155"/>
  <c r="E398" i="154"/>
  <c r="E172" i="154"/>
  <c r="E153" i="155"/>
  <c r="E338" i="154"/>
  <c r="E307" i="154"/>
  <c r="E270" i="155"/>
  <c r="E337" i="154"/>
  <c r="E224" i="154"/>
  <c r="E243" i="155"/>
  <c r="E148" i="155"/>
  <c r="E375" i="154"/>
  <c r="E146" i="155"/>
  <c r="E203" i="155"/>
  <c r="E371" i="154"/>
  <c r="E360" i="154"/>
  <c r="E355" i="155"/>
  <c r="E380" i="155"/>
  <c r="E240" i="155"/>
  <c r="E127" i="155"/>
  <c r="E199" i="155"/>
  <c r="E267" i="155"/>
  <c r="E242" i="155"/>
  <c r="E108" i="154"/>
  <c r="E115" i="154"/>
  <c r="E205" i="155"/>
  <c r="E364" i="155"/>
  <c r="E268" i="154"/>
  <c r="E106" i="154"/>
  <c r="E130" i="155"/>
  <c r="E132" i="154"/>
  <c r="E315" i="155"/>
  <c r="E241" i="154"/>
  <c r="E347" i="154"/>
  <c r="E214" i="154"/>
  <c r="E105" i="154"/>
  <c r="E391" i="154"/>
  <c r="E210" i="154"/>
  <c r="H110" i="154"/>
  <c r="E173" i="155"/>
  <c r="E329" i="155"/>
  <c r="E341" i="154"/>
  <c r="E337" i="155"/>
  <c r="E157" i="155"/>
  <c r="E304" i="155"/>
  <c r="E330" i="155"/>
  <c r="E143" i="155"/>
  <c r="E359" i="154"/>
  <c r="E280" i="154"/>
  <c r="E349" i="154"/>
  <c r="E301" i="154"/>
  <c r="E276" i="154"/>
  <c r="E133" i="154"/>
  <c r="E234" i="154"/>
  <c r="E127" i="154"/>
  <c r="E156" i="155"/>
  <c r="E126" i="154"/>
  <c r="E169" i="154"/>
  <c r="E140" i="155"/>
  <c r="E118" i="155"/>
  <c r="E197" i="155"/>
  <c r="E236" i="155"/>
  <c r="E338" i="155"/>
  <c r="E355" i="154"/>
  <c r="E150" i="155"/>
  <c r="E372" i="155"/>
  <c r="E174" i="154"/>
  <c r="E305" i="155"/>
  <c r="E278" i="154"/>
  <c r="E310" i="155"/>
  <c r="E323" i="154"/>
  <c r="E317" i="154"/>
  <c r="E382" i="154"/>
  <c r="E155" i="154"/>
  <c r="E122" i="155"/>
  <c r="E111" i="155"/>
  <c r="E291" i="155"/>
  <c r="E146" i="154"/>
  <c r="E164" i="154"/>
  <c r="E352" i="155"/>
  <c r="E246" i="155"/>
  <c r="E240" i="154"/>
  <c r="E229" i="155"/>
  <c r="E290" i="154"/>
  <c r="E116" i="155"/>
  <c r="E331" i="154"/>
  <c r="E106" i="155"/>
  <c r="E192" i="155"/>
  <c r="E302" i="154"/>
  <c r="E361" i="155"/>
  <c r="E282" i="155"/>
  <c r="E193" i="155"/>
  <c r="E386" i="154"/>
  <c r="E385" i="155"/>
  <c r="E294" i="154"/>
  <c r="E180" i="154"/>
  <c r="E161" i="155"/>
  <c r="E211" i="154"/>
  <c r="E363" i="154"/>
  <c r="E123" i="155"/>
  <c r="E121" i="154"/>
  <c r="E212" i="155"/>
  <c r="E248" i="154"/>
  <c r="E341" i="155"/>
  <c r="E313" i="155"/>
  <c r="E262" i="155"/>
  <c r="E247" i="155"/>
  <c r="E180" i="155"/>
  <c r="E335" i="155"/>
  <c r="E269" i="154"/>
  <c r="E339" i="155"/>
  <c r="E361" i="154"/>
  <c r="E138" i="155"/>
  <c r="E260" i="155"/>
  <c r="E374" i="154"/>
  <c r="E379" i="155"/>
  <c r="E376" i="155"/>
  <c r="E234" i="155"/>
  <c r="E248" i="155"/>
  <c r="E330" i="154"/>
  <c r="E181" i="154"/>
  <c r="E329" i="154"/>
  <c r="E381" i="155"/>
  <c r="E304" i="154"/>
  <c r="E110" i="154"/>
  <c r="E157" i="154"/>
  <c r="E211" i="155"/>
  <c r="E266" i="154"/>
  <c r="E385" i="154"/>
  <c r="E314" i="154"/>
  <c r="E287" i="155"/>
  <c r="E163" i="155"/>
  <c r="H140" i="155"/>
  <c r="E160" i="155"/>
  <c r="E250" i="155"/>
  <c r="E250" i="154"/>
  <c r="E119" i="154"/>
  <c r="E121" i="155"/>
  <c r="E396" i="155"/>
  <c r="E291" i="154"/>
  <c r="E189" i="154"/>
  <c r="E195" i="155"/>
  <c r="E176" i="154"/>
  <c r="E104" i="155"/>
  <c r="E141" i="154"/>
  <c r="E306" i="155"/>
  <c r="E182" i="155"/>
  <c r="E167" i="155"/>
  <c r="E235" i="154"/>
  <c r="E108" i="155"/>
  <c r="E114" i="155"/>
  <c r="E242" i="154"/>
  <c r="E215" i="154"/>
  <c r="E322" i="154"/>
  <c r="H140" i="154"/>
  <c r="E342" i="154"/>
  <c r="E339" i="154"/>
  <c r="E139" i="154"/>
  <c r="E217" i="155"/>
  <c r="E383" i="154"/>
  <c r="E136" i="155"/>
  <c r="E272" i="155"/>
  <c r="E367" i="155"/>
  <c r="E141" i="155"/>
  <c r="E200" i="155"/>
  <c r="E179" i="155"/>
  <c r="E369" i="154"/>
  <c r="E277" i="154"/>
  <c r="E207" i="154"/>
  <c r="E102" i="154"/>
  <c r="E320" i="155"/>
  <c r="E293" i="155"/>
  <c r="E302" i="155"/>
  <c r="E345" i="154"/>
  <c r="E260" i="154"/>
  <c r="E229" i="154"/>
  <c r="E306" i="154"/>
  <c r="E137" i="154"/>
  <c r="E138" i="154"/>
  <c r="E369" i="155"/>
  <c r="E222" i="154"/>
  <c r="E207" i="155"/>
  <c r="E356" i="155"/>
  <c r="E120" i="154"/>
  <c r="E289" i="154"/>
  <c r="E195" i="154"/>
  <c r="E396" i="154"/>
  <c r="E308" i="154"/>
  <c r="E253" i="155"/>
  <c r="E109" i="155"/>
  <c r="E117" i="155"/>
  <c r="E264" i="154"/>
  <c r="E149" i="154"/>
  <c r="E269" i="155"/>
  <c r="E296" i="154"/>
  <c r="E398" i="155"/>
  <c r="E318" i="154"/>
  <c r="E140" i="154"/>
  <c r="E317" i="155"/>
  <c r="E274" i="155"/>
  <c r="E359" i="155"/>
  <c r="E312" i="155"/>
  <c r="H200" i="155"/>
  <c r="E213" i="155"/>
  <c r="E377" i="154"/>
  <c r="E292" i="154"/>
  <c r="E114" i="154"/>
  <c r="E358" i="154"/>
  <c r="E227" i="155"/>
  <c r="E217" i="154"/>
  <c r="E220" i="155"/>
  <c r="E393" i="155"/>
  <c r="E188" i="154"/>
  <c r="E279" i="155"/>
  <c r="E112" i="154"/>
  <c r="E256" i="155"/>
  <c r="E170" i="155"/>
  <c r="E223" i="155"/>
  <c r="E209" i="155"/>
  <c r="E191" i="154"/>
  <c r="E267" i="154"/>
  <c r="E165" i="154"/>
  <c r="E218" i="154"/>
  <c r="E318" i="155"/>
  <c r="E206" i="155"/>
  <c r="E388" i="155"/>
  <c r="E365" i="154"/>
  <c r="E247" i="154"/>
  <c r="E228" i="154"/>
  <c r="E194" i="155"/>
  <c r="E206" i="154"/>
  <c r="E245" i="154"/>
  <c r="E161" i="154"/>
  <c r="E367" i="154"/>
  <c r="E319" i="154"/>
  <c r="E261" i="155"/>
  <c r="E181" i="155"/>
  <c r="E258" i="154"/>
  <c r="E102" i="155"/>
  <c r="E323" i="155"/>
  <c r="E293" i="154"/>
  <c r="E104" i="154"/>
  <c r="E125" i="154"/>
  <c r="E333" i="155"/>
  <c r="E194" i="154"/>
  <c r="E351" i="154"/>
  <c r="E288" i="154"/>
  <c r="E160" i="154"/>
  <c r="E263" i="154"/>
  <c r="E276" i="155"/>
  <c r="E223" i="154"/>
  <c r="E397" i="155"/>
  <c r="E147" i="155"/>
  <c r="E126" i="155"/>
  <c r="E366" i="154"/>
  <c r="E120" i="155"/>
  <c r="E130" i="154"/>
  <c r="E353" i="155"/>
  <c r="E184" i="155"/>
  <c r="E335" i="154"/>
  <c r="E239" i="155"/>
  <c r="E212" i="154"/>
  <c r="E158" i="155"/>
  <c r="E116" i="154"/>
  <c r="E336" i="155"/>
  <c r="E201" i="155"/>
  <c r="E131" i="155"/>
  <c r="E255" i="155"/>
  <c r="E153" i="154"/>
  <c r="E175" i="154"/>
  <c r="E109" i="154"/>
  <c r="E390" i="155"/>
  <c r="E251" i="155"/>
  <c r="E399" i="155"/>
  <c r="E314" i="155"/>
  <c r="E365" i="155"/>
  <c r="E184" i="154"/>
  <c r="E292" i="155"/>
  <c r="E394" i="154"/>
  <c r="E123" i="154"/>
  <c r="E133" i="155"/>
  <c r="E134" i="154"/>
  <c r="E387" i="155"/>
  <c r="E354" i="154"/>
  <c r="E167" i="154"/>
  <c r="E275" i="155"/>
  <c r="E357" i="155"/>
  <c r="E395" i="155"/>
  <c r="E105" i="155"/>
  <c r="E357" i="154"/>
  <c r="E300" i="155"/>
  <c r="E300" i="154"/>
  <c r="E371" i="155"/>
  <c r="E216" i="155"/>
  <c r="E145" i="154"/>
  <c r="E238" i="155"/>
  <c r="E278" i="155"/>
  <c r="E239" i="154"/>
  <c r="E388" i="154"/>
  <c r="E164" i="155"/>
  <c r="E219" i="155"/>
  <c r="E137" i="155"/>
  <c r="E162" i="155"/>
  <c r="E370" i="154"/>
  <c r="E377" i="155"/>
  <c r="E100" i="155"/>
  <c r="E111" i="154"/>
  <c r="E268" i="155"/>
  <c r="E289" i="155"/>
  <c r="E237" i="154"/>
  <c r="E254" i="155"/>
  <c r="E390" i="154"/>
  <c r="E285" i="155"/>
  <c r="E259" i="154"/>
  <c r="E176" i="155"/>
  <c r="E313" i="154"/>
  <c r="E274" i="154"/>
  <c r="E301" i="155"/>
  <c r="E174" i="155"/>
  <c r="E263" i="155"/>
  <c r="E219" i="154"/>
  <c r="H150" i="155"/>
  <c r="E273" i="154"/>
  <c r="E233" i="154"/>
  <c r="E168" i="154"/>
  <c r="E129" i="154"/>
  <c r="E154" i="154"/>
  <c r="E171" i="154"/>
  <c r="E170" i="154"/>
  <c r="E200" i="154"/>
  <c r="E196" i="155"/>
  <c r="E124" i="155"/>
  <c r="E283" i="155"/>
  <c r="E334" i="155"/>
  <c r="E252" i="154"/>
  <c r="E214" i="155"/>
  <c r="E221" i="154"/>
  <c r="E165" i="155"/>
  <c r="E244" i="155"/>
  <c r="E119" i="155"/>
  <c r="E135" i="155"/>
  <c r="E326" i="155"/>
  <c r="E204" i="155"/>
  <c r="E327" i="155"/>
  <c r="E284" i="155"/>
  <c r="E368" i="154"/>
  <c r="E230" i="155"/>
  <c r="E144" i="154"/>
  <c r="E203" i="154"/>
  <c r="E324" i="154"/>
  <c r="E316" i="155"/>
  <c r="E142" i="154"/>
  <c r="E197" i="154"/>
  <c r="E186" i="154"/>
  <c r="E350" i="155"/>
  <c r="E218" i="155"/>
  <c r="E185" i="154"/>
  <c r="E204" i="154"/>
  <c r="E381" i="154"/>
  <c r="E168" i="155"/>
  <c r="E288" i="155"/>
  <c r="E143" i="154"/>
  <c r="E131" i="154"/>
  <c r="E182" i="154"/>
  <c r="E327" i="154"/>
  <c r="E103" i="155"/>
  <c r="E135" i="154"/>
  <c r="E346" i="154"/>
  <c r="E244" i="154"/>
  <c r="E393" i="154"/>
  <c r="E173" i="154"/>
  <c r="E295" i="155"/>
  <c r="E216" i="154"/>
  <c r="E187" i="155"/>
  <c r="E378" i="155"/>
  <c r="E124" i="154"/>
  <c r="E139" i="155"/>
  <c r="E191" i="155"/>
  <c r="E227" i="154"/>
  <c r="E310" i="154"/>
  <c r="E100" i="154"/>
  <c r="E115" i="155"/>
  <c r="E136" i="154"/>
  <c r="E283" i="154"/>
  <c r="E196" i="154"/>
  <c r="E325" i="155"/>
  <c r="E110" i="155"/>
  <c r="E344" i="154"/>
  <c r="E252" i="155"/>
  <c r="E311" i="155"/>
  <c r="E232" i="155"/>
  <c r="E354" i="155"/>
  <c r="E255" i="154"/>
  <c r="E125" i="155"/>
  <c r="E279" i="154"/>
  <c r="E245" i="155"/>
  <c r="E286" i="154"/>
  <c r="E235" i="155"/>
  <c r="E183" i="155"/>
  <c r="E343" i="155"/>
  <c r="E392" i="155"/>
  <c r="E215" i="155"/>
  <c r="E312" i="154"/>
  <c r="E334" i="154"/>
  <c r="E251" i="154"/>
  <c r="E150" i="154"/>
  <c r="E183" i="154"/>
  <c r="E298" i="154"/>
  <c r="E147" i="154"/>
  <c r="E225" i="154"/>
  <c r="E107" i="154"/>
  <c r="E400" i="155"/>
  <c r="E233" i="155"/>
  <c r="E257" i="154"/>
  <c r="E347" i="155"/>
  <c r="E257" i="155"/>
  <c r="E237" i="155"/>
  <c r="E273" i="155"/>
  <c r="E316" i="154"/>
  <c r="E246" i="154"/>
  <c r="E397" i="154"/>
  <c r="E220" i="154"/>
  <c r="E346" i="155"/>
  <c r="E103" i="154"/>
  <c r="E166" i="155"/>
  <c r="E222" i="155"/>
  <c r="E202" i="155"/>
  <c r="E236" i="154"/>
  <c r="E374" i="155"/>
  <c r="E287" i="154"/>
  <c r="E400" i="154"/>
  <c r="E166" i="154"/>
  <c r="E162" i="154"/>
  <c r="E345" i="155"/>
  <c r="E193" i="154"/>
  <c r="E101" i="155"/>
  <c r="E258" i="155"/>
  <c r="E386" i="155"/>
  <c r="E307" i="155"/>
  <c r="E261" i="154"/>
  <c r="E209" i="154"/>
  <c r="E389" i="155"/>
  <c r="E249" i="155"/>
  <c r="E315" i="154"/>
  <c r="E391" i="155"/>
  <c r="E262" i="154"/>
  <c r="E362" i="154"/>
  <c r="E324" i="155"/>
  <c r="E382" i="155"/>
  <c r="E265" i="154"/>
  <c r="E272" i="154"/>
  <c r="E332" i="154"/>
  <c r="E113" i="154"/>
  <c r="E376" i="154"/>
  <c r="E370" i="155"/>
  <c r="E362" i="155"/>
  <c r="E265" i="155"/>
  <c r="E380" i="154"/>
  <c r="E186" i="155"/>
  <c r="E152" i="154"/>
  <c r="E349" i="155"/>
  <c r="H130" i="155"/>
  <c r="E253" i="154"/>
  <c r="E348" i="154"/>
  <c r="E231" i="155"/>
  <c r="E331" i="155"/>
  <c r="E372" i="154"/>
  <c r="E322" i="155"/>
  <c r="H200" i="154"/>
  <c r="E148" i="154"/>
  <c r="E232" i="154"/>
  <c r="E296" i="155"/>
  <c r="E394" i="155"/>
  <c r="E271" i="154"/>
  <c r="E172" i="155"/>
  <c r="H120" i="154"/>
  <c r="E243" i="154"/>
  <c r="E132" i="155"/>
  <c r="E190" i="154"/>
  <c r="E171" i="155"/>
  <c r="E342" i="155"/>
  <c r="E154" i="155"/>
  <c r="E201" i="154"/>
  <c r="E298" i="155"/>
  <c r="E358" i="155"/>
  <c r="E113" i="155"/>
  <c r="E112" i="155"/>
  <c r="E142" i="155"/>
  <c r="E373" i="155"/>
  <c r="E320" i="154"/>
  <c r="E210" i="155"/>
  <c r="E308" i="155"/>
  <c r="E309" i="154"/>
  <c r="E156" i="154"/>
  <c r="H150" i="154"/>
  <c r="E389" i="154"/>
  <c r="E311" i="154"/>
  <c r="E399" i="154"/>
  <c r="E188" i="155"/>
  <c r="E387" i="154"/>
  <c r="E226" i="155"/>
  <c r="E375" i="155"/>
  <c r="E199" i="154"/>
  <c r="E249" i="154"/>
  <c r="E352" i="154"/>
  <c r="E169" i="155"/>
  <c r="E128" i="154"/>
  <c r="E271" i="155"/>
  <c r="H130" i="154"/>
  <c r="E321" i="154"/>
  <c r="E241" i="155"/>
  <c r="E326" i="154"/>
  <c r="E340" i="155"/>
  <c r="E392" i="154"/>
  <c r="E149" i="155"/>
  <c r="E266" i="155"/>
  <c r="E264" i="155"/>
  <c r="E360" i="155"/>
  <c r="E155" i="155"/>
  <c r="E145" i="155"/>
  <c r="E336" i="154"/>
  <c r="E118" i="154"/>
  <c r="E107" i="155"/>
  <c r="E226" i="154"/>
  <c r="E275" i="154"/>
  <c r="E286" i="155"/>
  <c r="E122" i="154"/>
  <c r="E163" i="154"/>
  <c r="E159" i="155"/>
  <c r="E277" i="155"/>
  <c r="E190" i="155"/>
  <c r="E256" i="154"/>
  <c r="E198" i="154"/>
  <c r="E332" i="155"/>
  <c r="E225" i="155"/>
  <c r="E228" i="155"/>
  <c r="R277" i="155" l="1" a="1"/>
  <c r="R277" i="155" s="1"/>
  <c r="R112" i="155" a="1"/>
  <c r="R112" i="155" s="1"/>
  <c r="R382" i="155" a="1"/>
  <c r="R382" i="155" s="1"/>
  <c r="R180" i="155" a="1"/>
  <c r="R180" i="155" s="1"/>
  <c r="R285" i="155" a="1"/>
  <c r="R285" i="155" s="1"/>
  <c r="R164" i="155" a="1"/>
  <c r="R164" i="155" s="1"/>
  <c r="R251" i="155" a="1"/>
  <c r="R251" i="155" s="1"/>
  <c r="R166" i="155" a="1"/>
  <c r="R166" i="155" s="1"/>
  <c r="R314" i="155" a="1"/>
  <c r="R314" i="155" s="1"/>
  <c r="G120" i="154"/>
  <c r="I130" i="155"/>
  <c r="R157" i="155" a="1"/>
  <c r="R157" i="155" s="1"/>
  <c r="R364" i="155" a="1"/>
  <c r="R364" i="155" s="1"/>
  <c r="R182" i="155" a="1"/>
  <c r="R182" i="155" s="1"/>
  <c r="R208" i="155" a="1"/>
  <c r="R208" i="155" s="1"/>
  <c r="R148" i="155" a="1"/>
  <c r="R148" i="155" s="1"/>
  <c r="R143" i="155" a="1"/>
  <c r="R143" i="155" s="1"/>
  <c r="R107" i="155" a="1"/>
  <c r="R107" i="155" s="1"/>
  <c r="R245" i="155" a="1"/>
  <c r="R245" i="155" s="1"/>
  <c r="R154" i="155" a="1"/>
  <c r="R154" i="155" s="1"/>
  <c r="R172" i="155" a="1"/>
  <c r="R172" i="155" s="1"/>
  <c r="R275" i="155" a="1"/>
  <c r="R275" i="155" s="1"/>
  <c r="R324" i="155" a="1"/>
  <c r="R324" i="155" s="1"/>
  <c r="R206" i="155" a="1"/>
  <c r="R206" i="155" s="1"/>
  <c r="R290" i="155" a="1"/>
  <c r="R290" i="155" s="1"/>
  <c r="R286" i="155" a="1"/>
  <c r="R286" i="155" s="1"/>
  <c r="R331" i="155" a="1"/>
  <c r="R331" i="155" s="1"/>
  <c r="I110" i="155"/>
  <c r="R160" i="155" a="1"/>
  <c r="R160" i="155" s="1"/>
  <c r="R217" i="155" a="1"/>
  <c r="R217" i="155" s="1"/>
  <c r="R281" i="155" a="1"/>
  <c r="R281" i="155" s="1"/>
  <c r="R247" i="155" a="1"/>
  <c r="R247" i="155" s="1"/>
  <c r="R178" i="155" a="1"/>
  <c r="R178" i="155" s="1"/>
  <c r="R390" i="155" a="1"/>
  <c r="R390" i="155" s="1"/>
  <c r="R198" i="155" a="1"/>
  <c r="R198" i="155" s="1"/>
  <c r="R263" i="155" a="1"/>
  <c r="R263" i="155" s="1"/>
  <c r="R213" i="155" a="1"/>
  <c r="R213" i="155" s="1"/>
  <c r="R259" i="155" a="1"/>
  <c r="R259" i="155" s="1"/>
  <c r="R356" i="155" a="1"/>
  <c r="R356" i="155" s="1"/>
  <c r="I130" i="154"/>
  <c r="G130" i="154"/>
  <c r="R105" i="155" a="1"/>
  <c r="R105" i="155" s="1"/>
  <c r="R395" i="155" a="1"/>
  <c r="R395" i="155" s="1"/>
  <c r="R310" i="155" a="1"/>
  <c r="R310" i="155" s="1"/>
  <c r="R349" i="155" a="1"/>
  <c r="R349" i="155" s="1"/>
  <c r="R337" i="155" a="1"/>
  <c r="R337" i="155" s="1"/>
  <c r="G120" i="155"/>
  <c r="R120" i="155" a="1"/>
  <c r="R120" i="155" s="1"/>
  <c r="R197" i="155" a="1"/>
  <c r="R197" i="155" s="1"/>
  <c r="R230" i="155" a="1"/>
  <c r="R230" i="155" s="1"/>
  <c r="R330" i="155" a="1"/>
  <c r="R330" i="155" s="1"/>
  <c r="R366" i="155" a="1"/>
  <c r="R366" i="155" s="1"/>
  <c r="R280" i="155" a="1"/>
  <c r="R280" i="155" s="1"/>
  <c r="I140" i="155"/>
  <c r="R318" i="155" a="1"/>
  <c r="R318" i="155" s="1"/>
  <c r="R188" i="155" a="1"/>
  <c r="R188" i="155" s="1"/>
  <c r="R354" i="155" a="1"/>
  <c r="R354" i="155" s="1"/>
  <c r="I150" i="154"/>
  <c r="R136" i="155" a="1"/>
  <c r="R136" i="155" s="1"/>
  <c r="G400" i="155"/>
  <c r="R400" i="155" a="1"/>
  <c r="R400" i="155" s="1"/>
  <c r="R132" i="155" a="1"/>
  <c r="R132" i="155" s="1"/>
  <c r="R218" i="155" a="1"/>
  <c r="R218" i="155" s="1"/>
  <c r="R222" i="155" a="1"/>
  <c r="R222" i="155" s="1"/>
  <c r="R162" i="155" a="1"/>
  <c r="R162" i="155" s="1"/>
  <c r="R302" i="155" a="1"/>
  <c r="R302" i="155" s="1"/>
  <c r="R293" i="155" a="1"/>
  <c r="R293" i="155" s="1"/>
  <c r="R345" i="155" a="1"/>
  <c r="R345" i="155" s="1"/>
  <c r="R209" i="155" a="1"/>
  <c r="R209" i="155" s="1"/>
  <c r="R165" i="155" a="1"/>
  <c r="R165" i="155" s="1"/>
  <c r="R156" i="155" a="1"/>
  <c r="R156" i="155" s="1"/>
  <c r="R191" i="155" a="1"/>
  <c r="R191" i="155" s="1"/>
  <c r="R262" i="155" a="1"/>
  <c r="R262" i="155" s="1"/>
  <c r="R327" i="155" a="1"/>
  <c r="R327" i="155" s="1"/>
  <c r="R339" i="155" a="1"/>
  <c r="R339" i="155" s="1"/>
  <c r="R128" i="155" a="1"/>
  <c r="R128" i="155" s="1"/>
  <c r="R323" i="155" a="1"/>
  <c r="R323" i="155" s="1"/>
  <c r="R140" i="155" a="1"/>
  <c r="R140" i="155" s="1"/>
  <c r="G140" i="155"/>
  <c r="R207" i="155" a="1"/>
  <c r="R207" i="155" s="1"/>
  <c r="R271" i="155" a="1"/>
  <c r="R271" i="155" s="1"/>
  <c r="I140" i="154"/>
  <c r="R306" i="155" a="1"/>
  <c r="R306" i="155" s="1"/>
  <c r="R102" i="155" a="1"/>
  <c r="R102" i="155" s="1"/>
  <c r="R340" i="155" a="1"/>
  <c r="R340" i="155" s="1"/>
  <c r="S340" i="155" s="1"/>
  <c r="R118" i="155" a="1"/>
  <c r="R118" i="155" s="1"/>
  <c r="R134" i="155" a="1"/>
  <c r="R134" i="155" s="1"/>
  <c r="R351" i="155" a="1"/>
  <c r="R351" i="155" s="1"/>
  <c r="R350" i="155" a="1"/>
  <c r="R350" i="155" s="1"/>
  <c r="R282" i="155" a="1"/>
  <c r="R282" i="155" s="1"/>
  <c r="R101" i="155" a="1"/>
  <c r="R101" i="155" s="1"/>
  <c r="R232" i="155" a="1"/>
  <c r="R232" i="155" s="1"/>
  <c r="R294" i="155" a="1"/>
  <c r="R294" i="155" s="1"/>
  <c r="S294" i="155" s="1"/>
  <c r="R379" i="155" a="1"/>
  <c r="R379" i="155" s="1"/>
  <c r="R388" i="155" a="1"/>
  <c r="R388" i="155" s="1"/>
  <c r="R394" i="155" a="1"/>
  <c r="R394" i="155" s="1"/>
  <c r="R334" i="155" a="1"/>
  <c r="R334" i="155" s="1"/>
  <c r="R220" i="155" a="1"/>
  <c r="R220" i="155" s="1"/>
  <c r="R365" i="155" a="1"/>
  <c r="R365" i="155" s="1"/>
  <c r="G150" i="154"/>
  <c r="R223" i="155" a="1"/>
  <c r="R223" i="155" s="1"/>
  <c r="R231" i="155" a="1"/>
  <c r="R231" i="155" s="1"/>
  <c r="S231" i="155" s="1"/>
  <c r="R139" i="155" a="1"/>
  <c r="R139" i="155" s="1"/>
  <c r="R313" i="155" a="1"/>
  <c r="R313" i="155" s="1"/>
  <c r="R278" i="155" a="1"/>
  <c r="R278" i="155" s="1"/>
  <c r="R299" i="155" a="1"/>
  <c r="R299" i="155" s="1"/>
  <c r="R228" i="155" a="1"/>
  <c r="R228" i="155" s="1"/>
  <c r="R137" i="155" a="1"/>
  <c r="R137" i="155" s="1"/>
  <c r="S137" i="155" s="1"/>
  <c r="R126" i="155" a="1"/>
  <c r="R126" i="155" s="1"/>
  <c r="R130" i="155" a="1"/>
  <c r="R130" i="155" s="1"/>
  <c r="G130" i="155"/>
  <c r="R185" i="155" a="1"/>
  <c r="R185" i="155" s="1"/>
  <c r="R241" i="155" a="1"/>
  <c r="R241" i="155" s="1"/>
  <c r="R305" i="155" a="1"/>
  <c r="R305" i="155" s="1"/>
  <c r="R186" i="155" a="1"/>
  <c r="R186" i="155" s="1"/>
  <c r="R329" i="155" a="1"/>
  <c r="R329" i="155" s="1"/>
  <c r="S330" i="155" s="1"/>
  <c r="R355" i="155" a="1"/>
  <c r="R355" i="155" s="1"/>
  <c r="S355" i="155" s="1"/>
  <c r="R344" i="155" a="1"/>
  <c r="R344" i="155" s="1"/>
  <c r="R240" i="155" a="1"/>
  <c r="R240" i="155" s="1"/>
  <c r="R261" i="155" a="1"/>
  <c r="R261" i="155" s="1"/>
  <c r="S262" i="155" s="1"/>
  <c r="R333" i="155" a="1"/>
  <c r="R333" i="155" s="1"/>
  <c r="R224" i="155" a="1"/>
  <c r="R224" i="155" s="1"/>
  <c r="R145" i="155" a="1"/>
  <c r="R145" i="155" s="1"/>
  <c r="R311" i="155" a="1"/>
  <c r="R311" i="155" s="1"/>
  <c r="R115" i="155" a="1"/>
  <c r="R115" i="155" s="1"/>
  <c r="R219" i="155" a="1"/>
  <c r="R219" i="155" s="1"/>
  <c r="S220" i="155" s="1"/>
  <c r="R296" i="155" a="1"/>
  <c r="R296" i="155" s="1"/>
  <c r="R387" i="155" a="1"/>
  <c r="R387" i="155" s="1"/>
  <c r="R391" i="155" a="1"/>
  <c r="R391" i="155" s="1"/>
  <c r="R283" i="155" a="1"/>
  <c r="R283" i="155" s="1"/>
  <c r="S283" i="155" s="1"/>
  <c r="R174" i="155" a="1"/>
  <c r="R174" i="155" s="1"/>
  <c r="R170" i="155" a="1"/>
  <c r="R170" i="155" s="1"/>
  <c r="G170" i="155"/>
  <c r="R161" i="155" a="1"/>
  <c r="R161" i="155" s="1"/>
  <c r="S162" i="155" s="1"/>
  <c r="I200" i="155"/>
  <c r="R267" i="155" a="1"/>
  <c r="R267" i="155" s="1"/>
  <c r="R335" i="155" a="1"/>
  <c r="R335" i="155" s="1"/>
  <c r="R260" i="155" a="1"/>
  <c r="R260" i="155" s="1"/>
  <c r="R341" i="155" a="1"/>
  <c r="R341" i="155" s="1"/>
  <c r="R361" i="155" a="1"/>
  <c r="R361" i="155" s="1"/>
  <c r="G100" i="154"/>
  <c r="R238" i="155" a="1"/>
  <c r="R238" i="155" s="1"/>
  <c r="I120" i="155"/>
  <c r="R234" i="155" a="1"/>
  <c r="R234" i="155" s="1"/>
  <c r="R346" i="155" a="1"/>
  <c r="R346" i="155" s="1"/>
  <c r="R369" i="155" a="1"/>
  <c r="R369" i="155" s="1"/>
  <c r="R169" i="155" a="1"/>
  <c r="R169" i="155" s="1"/>
  <c r="R288" i="155" a="1"/>
  <c r="R288" i="155" s="1"/>
  <c r="R173" i="155" a="1"/>
  <c r="R173" i="155" s="1"/>
  <c r="R358" i="155" a="1"/>
  <c r="R358" i="155" s="1"/>
  <c r="R386" i="155" a="1"/>
  <c r="R386" i="155" s="1"/>
  <c r="R397" i="155" a="1"/>
  <c r="R397" i="155" s="1"/>
  <c r="R398" i="155" a="1"/>
  <c r="R398" i="155" s="1"/>
  <c r="R309" i="155" a="1"/>
  <c r="R309" i="155" s="1"/>
  <c r="R273" i="155" a="1"/>
  <c r="R273" i="155" s="1"/>
  <c r="R229" i="155" a="1"/>
  <c r="R229" i="155" s="1"/>
  <c r="R125" i="155" a="1"/>
  <c r="R125" i="155" s="1"/>
  <c r="R155" i="155" a="1"/>
  <c r="R155" i="155" s="1"/>
  <c r="R252" i="155" a="1"/>
  <c r="R252" i="155" s="1"/>
  <c r="R308" i="155" a="1"/>
  <c r="R308" i="155" s="1"/>
  <c r="R381" i="155" a="1"/>
  <c r="R381" i="155" s="1"/>
  <c r="R326" i="155" a="1"/>
  <c r="R326" i="155" s="1"/>
  <c r="R124" i="155" a="1"/>
  <c r="R124" i="155" s="1"/>
  <c r="R227" i="155" a="1"/>
  <c r="R227" i="155" s="1"/>
  <c r="R301" i="155" a="1"/>
  <c r="R301" i="155" s="1"/>
  <c r="S302" i="155" s="1"/>
  <c r="R195" i="155" a="1"/>
  <c r="R195" i="155" s="1"/>
  <c r="R399" i="155" a="1"/>
  <c r="R399" i="155" s="1"/>
  <c r="S399" i="155" s="1"/>
  <c r="G400" i="154"/>
  <c r="R179" i="155" a="1"/>
  <c r="R179" i="155" s="1"/>
  <c r="R256" i="155" a="1"/>
  <c r="R256" i="155" s="1"/>
  <c r="R312" i="155" a="1"/>
  <c r="R312" i="155" s="1"/>
  <c r="R158" i="155" a="1"/>
  <c r="R158" i="155" s="1"/>
  <c r="S158" i="155" s="1"/>
  <c r="R378" i="155" a="1"/>
  <c r="R378" i="155" s="1"/>
  <c r="R357" i="155" a="1"/>
  <c r="R357" i="155" s="1"/>
  <c r="R151" i="155" a="1"/>
  <c r="R151" i="155" s="1"/>
  <c r="R255" i="155" a="1"/>
  <c r="R255" i="155" s="1"/>
  <c r="R319" i="155" a="1"/>
  <c r="R319" i="155" s="1"/>
  <c r="R239" i="155" a="1"/>
  <c r="R239" i="155" s="1"/>
  <c r="R153" i="155" a="1"/>
  <c r="R153" i="155" s="1"/>
  <c r="R121" i="155" a="1"/>
  <c r="R121" i="155" s="1"/>
  <c r="R184" i="155" a="1"/>
  <c r="R184" i="155" s="1"/>
  <c r="R254" i="155" a="1"/>
  <c r="R254" i="155" s="1"/>
  <c r="R368" i="155" a="1"/>
  <c r="R368" i="155" s="1"/>
  <c r="S369" i="155" s="1"/>
  <c r="R372" i="155" a="1"/>
  <c r="R372" i="155" s="1"/>
  <c r="R265" i="155" a="1"/>
  <c r="R265" i="155" s="1"/>
  <c r="I110" i="154"/>
  <c r="R205" i="155" a="1"/>
  <c r="R205" i="155" s="1"/>
  <c r="R237" i="155" a="1"/>
  <c r="R237" i="155" s="1"/>
  <c r="R144" i="155" a="1"/>
  <c r="R144" i="155" s="1"/>
  <c r="S144" i="155" s="1"/>
  <c r="R163" i="155" a="1"/>
  <c r="R163" i="155" s="1"/>
  <c r="S163" i="155" s="1"/>
  <c r="R270" i="155" a="1"/>
  <c r="R270" i="155" s="1"/>
  <c r="R316" i="155" a="1"/>
  <c r="R316" i="155" s="1"/>
  <c r="R235" i="155" a="1"/>
  <c r="R235" i="155" s="1"/>
  <c r="R360" i="155" a="1"/>
  <c r="R360" i="155" s="1"/>
  <c r="R210" i="155" a="1"/>
  <c r="R210" i="155" s="1"/>
  <c r="R284" i="155" a="1"/>
  <c r="R284" i="155" s="1"/>
  <c r="R248" i="155" a="1"/>
  <c r="R248" i="155" s="1"/>
  <c r="R320" i="155" a="1"/>
  <c r="R320" i="155" s="1"/>
  <c r="S320" i="155" s="1"/>
  <c r="R133" i="155" a="1"/>
  <c r="R133" i="155" s="1"/>
  <c r="R249" i="155" a="1"/>
  <c r="R249" i="155" s="1"/>
  <c r="R196" i="155" a="1"/>
  <c r="R196" i="155" s="1"/>
  <c r="R332" i="155" a="1"/>
  <c r="R332" i="155" s="1"/>
  <c r="R304" i="155" a="1"/>
  <c r="R304" i="155" s="1"/>
  <c r="G200" i="155"/>
  <c r="R200" i="155" a="1"/>
  <c r="R200" i="155" s="1"/>
  <c r="R359" i="155" a="1"/>
  <c r="R359" i="155" s="1"/>
  <c r="R250" i="155" a="1"/>
  <c r="R250" i="155" s="1"/>
  <c r="R187" i="155" a="1"/>
  <c r="R187" i="155" s="1"/>
  <c r="S187" i="155" s="1"/>
  <c r="R212" i="155" a="1"/>
  <c r="R212" i="155" s="1"/>
  <c r="R192" i="155" a="1"/>
  <c r="R192" i="155" s="1"/>
  <c r="R258" i="155" a="1"/>
  <c r="R258" i="155" s="1"/>
  <c r="R127" i="155" a="1"/>
  <c r="R127" i="155" s="1"/>
  <c r="R216" i="155" a="1"/>
  <c r="R216" i="155" s="1"/>
  <c r="R131" i="155" a="1"/>
  <c r="R131" i="155" s="1"/>
  <c r="S131" i="155" s="1"/>
  <c r="R321" i="155" a="1"/>
  <c r="R321" i="155" s="1"/>
  <c r="R119" i="155" a="1"/>
  <c r="R119" i="155" s="1"/>
  <c r="R114" i="155" a="1"/>
  <c r="R114" i="155" s="1"/>
  <c r="R315" i="155" a="1"/>
  <c r="R315" i="155" s="1"/>
  <c r="S315" i="155" s="1"/>
  <c r="R147" i="155" a="1"/>
  <c r="R147" i="155" s="1"/>
  <c r="R103" i="155" a="1"/>
  <c r="R103" i="155" s="1"/>
  <c r="R150" i="155" a="1"/>
  <c r="R150" i="155" s="1"/>
  <c r="G150" i="155"/>
  <c r="R362" i="155" a="1"/>
  <c r="R362" i="155" s="1"/>
  <c r="R287" i="155" a="1"/>
  <c r="R287" i="155" s="1"/>
  <c r="S287" i="155" s="1"/>
  <c r="R242" i="155" a="1"/>
  <c r="R242" i="155" s="1"/>
  <c r="R269" i="155" a="1"/>
  <c r="R269" i="155" s="1"/>
  <c r="I120" i="154"/>
  <c r="I170" i="155"/>
  <c r="R257" i="155" a="1"/>
  <c r="R257" i="155" s="1"/>
  <c r="S257" i="155" s="1"/>
  <c r="I170" i="154"/>
  <c r="R246" i="155" a="1"/>
  <c r="R246" i="155" s="1"/>
  <c r="R243" i="155" a="1"/>
  <c r="R243" i="155" s="1"/>
  <c r="S243" i="155" s="1"/>
  <c r="R264" i="155" a="1"/>
  <c r="R264" i="155" s="1"/>
  <c r="R110" i="155" a="1"/>
  <c r="R110" i="155" s="1"/>
  <c r="G110" i="155"/>
  <c r="R181" i="155" a="1"/>
  <c r="R181" i="155" s="1"/>
  <c r="G100" i="155"/>
  <c r="R100" i="155" a="1"/>
  <c r="R100" i="155" s="1"/>
  <c r="I200" i="154"/>
  <c r="R389" i="155" a="1"/>
  <c r="R389" i="155" s="1"/>
  <c r="G200" i="154"/>
  <c r="R109" i="155" a="1"/>
  <c r="R109" i="155" s="1"/>
  <c r="R374" i="155" a="1"/>
  <c r="R374" i="155" s="1"/>
  <c r="R141" i="155" a="1"/>
  <c r="R141" i="155" s="1"/>
  <c r="R215" i="155" a="1"/>
  <c r="R215" i="155" s="1"/>
  <c r="R279" i="155" a="1"/>
  <c r="R279" i="155" s="1"/>
  <c r="S279" i="155" s="1"/>
  <c r="R385" i="155" a="1"/>
  <c r="R385" i="155" s="1"/>
  <c r="R274" i="155" a="1"/>
  <c r="R274" i="155" s="1"/>
  <c r="S274" i="155" s="1"/>
  <c r="R214" i="155" a="1"/>
  <c r="R214" i="155" s="1"/>
  <c r="R106" i="155" a="1"/>
  <c r="R106" i="155" s="1"/>
  <c r="R211" i="155" a="1"/>
  <c r="R211" i="155" s="1"/>
  <c r="S211" i="155" s="1"/>
  <c r="R291" i="155" a="1"/>
  <c r="R291" i="155" s="1"/>
  <c r="S291" i="155" s="1"/>
  <c r="R371" i="155" a="1"/>
  <c r="R371" i="155" s="1"/>
  <c r="R383" i="155" a="1"/>
  <c r="R383" i="155" s="1"/>
  <c r="S383" i="155" s="1"/>
  <c r="R201" i="155" a="1"/>
  <c r="R201" i="155" s="1"/>
  <c r="R104" i="155" a="1"/>
  <c r="R104" i="155" s="1"/>
  <c r="G110" i="154"/>
  <c r="R108" i="155" a="1"/>
  <c r="R108" i="155" s="1"/>
  <c r="R113" i="155" a="1"/>
  <c r="R113" i="155" s="1"/>
  <c r="S114" i="155" s="1"/>
  <c r="R168" i="155" a="1"/>
  <c r="R168" i="155" s="1"/>
  <c r="R225" i="155" a="1"/>
  <c r="R225" i="155" s="1"/>
  <c r="S225" i="155" s="1"/>
  <c r="R289" i="155" a="1"/>
  <c r="R289" i="155" s="1"/>
  <c r="R370" i="155" a="1"/>
  <c r="R370" i="155" s="1"/>
  <c r="S370" i="155" s="1"/>
  <c r="R129" i="155" a="1"/>
  <c r="R129" i="155" s="1"/>
  <c r="R189" i="155" a="1"/>
  <c r="R189" i="155" s="1"/>
  <c r="R347" i="155" a="1"/>
  <c r="R347" i="155" s="1"/>
  <c r="S347" i="155" s="1"/>
  <c r="R384" i="155" a="1"/>
  <c r="R384" i="155" s="1"/>
  <c r="R380" i="155" a="1"/>
  <c r="R380" i="155" s="1"/>
  <c r="R204" i="155" a="1"/>
  <c r="R204" i="155" s="1"/>
  <c r="S205" i="155" s="1"/>
  <c r="R352" i="155" a="1"/>
  <c r="R352" i="155" s="1"/>
  <c r="R152" i="155" a="1"/>
  <c r="R152" i="155" s="1"/>
  <c r="S153" i="155" s="1"/>
  <c r="R266" i="155" a="1"/>
  <c r="R266" i="155" s="1"/>
  <c r="S266" i="155" s="1"/>
  <c r="R325" i="155" a="1"/>
  <c r="R325" i="155" s="1"/>
  <c r="R373" i="155" a="1"/>
  <c r="R373" i="155" s="1"/>
  <c r="I150" i="155"/>
  <c r="R328" i="155" a="1"/>
  <c r="R328" i="155" s="1"/>
  <c r="S328" i="155" s="1"/>
  <c r="R159" i="155" a="1"/>
  <c r="R159" i="155" s="1"/>
  <c r="R322" i="155" a="1"/>
  <c r="R322" i="155" s="1"/>
  <c r="G170" i="154"/>
  <c r="R176" i="155" a="1"/>
  <c r="R176" i="155" s="1"/>
  <c r="R342" i="155" a="1"/>
  <c r="R342" i="155" s="1"/>
  <c r="R367" i="155" a="1"/>
  <c r="R367" i="155" s="1"/>
  <c r="R392" i="155" a="1"/>
  <c r="R392" i="155" s="1"/>
  <c r="S392" i="155" s="1"/>
  <c r="R317" i="155" a="1"/>
  <c r="R317" i="155" s="1"/>
  <c r="R276" i="155" a="1"/>
  <c r="R276" i="155" s="1"/>
  <c r="R138" i="155" a="1"/>
  <c r="R138" i="155" s="1"/>
  <c r="R295" i="155" a="1"/>
  <c r="R295" i="155" s="1"/>
  <c r="R123" i="155" a="1"/>
  <c r="R123" i="155" s="1"/>
  <c r="R194" i="155" a="1"/>
  <c r="R194" i="155" s="1"/>
  <c r="R348" i="155" a="1"/>
  <c r="R348" i="155" s="1"/>
  <c r="R336" i="155" a="1"/>
  <c r="R336" i="155" s="1"/>
  <c r="R376" i="155" a="1"/>
  <c r="R376" i="155" s="1"/>
  <c r="R377" i="155" a="1"/>
  <c r="R377" i="155" s="1"/>
  <c r="R375" i="155" a="1"/>
  <c r="R375" i="155" s="1"/>
  <c r="R183" i="155" a="1"/>
  <c r="R183" i="155" s="1"/>
  <c r="R268" i="155" a="1"/>
  <c r="R268" i="155" s="1"/>
  <c r="S268" i="155" s="1"/>
  <c r="R253" i="155" a="1"/>
  <c r="R253" i="155" s="1"/>
  <c r="R338" i="155" a="1"/>
  <c r="R338" i="155" s="1"/>
  <c r="R396" i="155" a="1"/>
  <c r="R396" i="155" s="1"/>
  <c r="S396" i="155" s="1"/>
  <c r="R111" i="155" a="1"/>
  <c r="R111" i="155" s="1"/>
  <c r="S112" i="155" s="1"/>
  <c r="R203" i="155" a="1"/>
  <c r="R203" i="155" s="1"/>
  <c r="R149" i="155" a="1"/>
  <c r="R149" i="155" s="1"/>
  <c r="R142" i="155" a="1"/>
  <c r="R142" i="155" s="1"/>
  <c r="R135" i="155" a="1"/>
  <c r="R135" i="155" s="1"/>
  <c r="S136" i="155" s="1"/>
  <c r="R363" i="155" a="1"/>
  <c r="R363" i="155" s="1"/>
  <c r="R292" i="155" a="1"/>
  <c r="R292" i="155" s="1"/>
  <c r="R190" i="155" a="1"/>
  <c r="R190" i="155" s="1"/>
  <c r="S190" i="155" s="1"/>
  <c r="R171" i="155" a="1"/>
  <c r="R171" i="155" s="1"/>
  <c r="R202" i="155" a="1"/>
  <c r="R202" i="155" s="1"/>
  <c r="R272" i="155" a="1"/>
  <c r="R272" i="155" s="1"/>
  <c r="S272" i="155" s="1"/>
  <c r="R343" i="155" a="1"/>
  <c r="R343" i="155" s="1"/>
  <c r="S343" i="155" s="1"/>
  <c r="R393" i="155" a="1"/>
  <c r="R393" i="155" s="1"/>
  <c r="R193" i="155" a="1"/>
  <c r="R193" i="155" s="1"/>
  <c r="G140" i="154"/>
  <c r="R199" i="155" a="1"/>
  <c r="R199" i="155" s="1"/>
  <c r="S199" i="155" s="1"/>
  <c r="R221" i="155" a="1"/>
  <c r="R221" i="155" s="1"/>
  <c r="S221" i="155" s="1"/>
  <c r="R116" i="155" a="1"/>
  <c r="R116" i="155" s="1"/>
  <c r="R146" i="155" a="1"/>
  <c r="R146" i="155" s="1"/>
  <c r="R244" i="155" a="1"/>
  <c r="R244" i="155" s="1"/>
  <c r="R300" i="155" a="1"/>
  <c r="R300" i="155" s="1"/>
  <c r="S300" i="155" s="1"/>
  <c r="R303" i="155" a="1"/>
  <c r="R303" i="155" s="1"/>
  <c r="R175" i="155" a="1"/>
  <c r="R175" i="155" s="1"/>
  <c r="R226" i="155" a="1"/>
  <c r="R226" i="155" s="1"/>
  <c r="R167" i="155" a="1"/>
  <c r="R167" i="155" s="1"/>
  <c r="R307" i="155" a="1"/>
  <c r="R307" i="155" s="1"/>
  <c r="R298" i="155" a="1"/>
  <c r="R298" i="155" s="1"/>
  <c r="S299" i="155" s="1"/>
  <c r="R353" i="155" a="1"/>
  <c r="R353" i="155" s="1"/>
  <c r="R236" i="155" a="1"/>
  <c r="R236" i="155" s="1"/>
  <c r="R117" i="155" a="1"/>
  <c r="R117" i="155" s="1"/>
  <c r="R122" i="155" a="1"/>
  <c r="R122" i="155" s="1"/>
  <c r="R177" i="155" a="1"/>
  <c r="R177" i="155" s="1"/>
  <c r="S178" i="155" s="1"/>
  <c r="R233" i="155" a="1"/>
  <c r="R233" i="155" s="1"/>
  <c r="R297" i="155" a="1"/>
  <c r="R297" i="155" s="1"/>
  <c r="S108" i="155"/>
  <c r="S242" i="155"/>
  <c r="S333" i="155"/>
  <c r="S334" i="155"/>
  <c r="S303" i="155"/>
  <c r="S278" i="155"/>
  <c r="S327" i="155"/>
  <c r="S106" i="155"/>
  <c r="S293" i="155"/>
  <c r="S194" i="155"/>
  <c r="S335" i="155"/>
  <c r="S265" i="155"/>
  <c r="T25" i="152" a="1"/>
  <c r="T25" i="152" s="1"/>
  <c r="T35" i="152"/>
  <c r="T27" i="152"/>
  <c r="T29" i="152"/>
  <c r="T34" i="152"/>
  <c r="T26" i="152"/>
  <c r="T32" i="152"/>
  <c r="T33" i="152"/>
  <c r="T31" i="152"/>
  <c r="T30" i="152"/>
  <c r="T36" i="152"/>
  <c r="T28" i="152"/>
  <c r="S43" i="154"/>
  <c r="S80" i="154" s="1"/>
  <c r="R43" i="154"/>
  <c r="R80" i="154" s="1"/>
  <c r="D47" i="154"/>
  <c r="W43" i="154"/>
  <c r="W80" i="154" s="1"/>
  <c r="AM43" i="154"/>
  <c r="V43" i="154"/>
  <c r="V80" i="154" s="1"/>
  <c r="B43" i="154"/>
  <c r="W43" i="155"/>
  <c r="W80" i="155" s="1"/>
  <c r="V43" i="155"/>
  <c r="V80" i="155" s="1"/>
  <c r="S43" i="155"/>
  <c r="S80" i="155" s="1"/>
  <c r="R43" i="155"/>
  <c r="R80" i="155" s="1"/>
  <c r="D47" i="155"/>
  <c r="AM43" i="155"/>
  <c r="B43" i="155"/>
  <c r="U40" i="155"/>
  <c r="U77" i="155" s="1"/>
  <c r="T40" i="155"/>
  <c r="T77" i="155" s="1"/>
  <c r="S40" i="155"/>
  <c r="S77" i="155" s="1"/>
  <c r="R40" i="155"/>
  <c r="R77" i="155" s="1"/>
  <c r="D44" i="155"/>
  <c r="B40" i="155"/>
  <c r="AM40" i="155"/>
  <c r="C40" i="155"/>
  <c r="AM42" i="153"/>
  <c r="B42" i="153"/>
  <c r="X42" i="153"/>
  <c r="X79" i="153" s="1"/>
  <c r="T42" i="153"/>
  <c r="T79" i="153" s="1"/>
  <c r="W42" i="153"/>
  <c r="W79" i="153" s="1"/>
  <c r="D46" i="153"/>
  <c r="V42" i="153"/>
  <c r="V79" i="153" s="1"/>
  <c r="R42" i="153"/>
  <c r="R79" i="153" s="1"/>
  <c r="S42" i="153"/>
  <c r="S79" i="153" s="1"/>
  <c r="W41" i="154"/>
  <c r="W78" i="154" s="1"/>
  <c r="V41" i="154"/>
  <c r="V78" i="154" s="1"/>
  <c r="D45" i="154"/>
  <c r="Y41" i="154"/>
  <c r="Y78" i="154" s="1"/>
  <c r="AM41" i="154"/>
  <c r="X41" i="154"/>
  <c r="X78" i="154" s="1"/>
  <c r="C41" i="154"/>
  <c r="B41" i="154"/>
  <c r="B41" i="153"/>
  <c r="D45" i="153"/>
  <c r="Y41" i="153"/>
  <c r="Y78" i="153" s="1"/>
  <c r="X41" i="153"/>
  <c r="X78" i="153" s="1"/>
  <c r="V41" i="153"/>
  <c r="V78" i="153" s="1"/>
  <c r="C41" i="153"/>
  <c r="W41" i="153"/>
  <c r="W78" i="153" s="1"/>
  <c r="AM41" i="153"/>
  <c r="W42" i="155"/>
  <c r="W79" i="155" s="1"/>
  <c r="V42" i="155"/>
  <c r="V79" i="155" s="1"/>
  <c r="T42" i="155"/>
  <c r="T79" i="155" s="1"/>
  <c r="S42" i="155"/>
  <c r="S79" i="155" s="1"/>
  <c r="R42" i="155"/>
  <c r="R79" i="155" s="1"/>
  <c r="AM42" i="155"/>
  <c r="B42" i="155"/>
  <c r="X42" i="155"/>
  <c r="X79" i="155" s="1"/>
  <c r="D46" i="155"/>
  <c r="Y41" i="155"/>
  <c r="Y78" i="155" s="1"/>
  <c r="X41" i="155"/>
  <c r="X78" i="155" s="1"/>
  <c r="W41" i="155"/>
  <c r="W78" i="155" s="1"/>
  <c r="V41" i="155"/>
  <c r="V78" i="155" s="1"/>
  <c r="D45" i="155"/>
  <c r="B41" i="155"/>
  <c r="AM41" i="155"/>
  <c r="C41" i="155"/>
  <c r="S40" i="154"/>
  <c r="S77" i="154" s="1"/>
  <c r="R40" i="154"/>
  <c r="R77" i="154" s="1"/>
  <c r="D44" i="154"/>
  <c r="U40" i="154"/>
  <c r="U77" i="154" s="1"/>
  <c r="T40" i="154"/>
  <c r="T77" i="154" s="1"/>
  <c r="C40" i="154"/>
  <c r="B40" i="154"/>
  <c r="AM40" i="154"/>
  <c r="B44" i="153"/>
  <c r="C44" i="153"/>
  <c r="X44" i="153"/>
  <c r="X81" i="153" s="1"/>
  <c r="W44" i="153"/>
  <c r="W81" i="153" s="1"/>
  <c r="Y44" i="153"/>
  <c r="Y81" i="153" s="1"/>
  <c r="AM44" i="153"/>
  <c r="V44" i="153"/>
  <c r="V81" i="153" s="1"/>
  <c r="X46" i="154"/>
  <c r="X83" i="154" s="1"/>
  <c r="W46" i="154"/>
  <c r="W83" i="154" s="1"/>
  <c r="V46" i="154"/>
  <c r="V83" i="154" s="1"/>
  <c r="AA46" i="154"/>
  <c r="AA83" i="154" s="1"/>
  <c r="Z46" i="154"/>
  <c r="Z83" i="154" s="1"/>
  <c r="B46" i="154"/>
  <c r="AM46" i="154"/>
  <c r="AB46" i="154"/>
  <c r="AB83" i="154" s="1"/>
  <c r="R43" i="153"/>
  <c r="R80" i="153" s="1"/>
  <c r="AM43" i="153"/>
  <c r="D47" i="153"/>
  <c r="W43" i="153"/>
  <c r="W80" i="153" s="1"/>
  <c r="V43" i="153"/>
  <c r="V80" i="153" s="1"/>
  <c r="S43" i="153"/>
  <c r="S80" i="153" s="1"/>
  <c r="B43" i="153"/>
  <c r="AC9" i="152"/>
  <c r="AC17" i="152"/>
  <c r="AC16" i="152"/>
  <c r="AC35" i="152"/>
  <c r="AC11" i="152"/>
  <c r="AC18" i="152"/>
  <c r="AC19" i="152"/>
  <c r="AC30" i="152"/>
  <c r="AC27" i="152"/>
  <c r="AC14" i="152"/>
  <c r="AC12" i="152"/>
  <c r="AC36" i="152"/>
  <c r="AC29" i="152"/>
  <c r="AC31" i="152"/>
  <c r="AC21" i="152"/>
  <c r="AC15" i="152"/>
  <c r="AC20" i="152"/>
  <c r="AC28" i="152"/>
  <c r="AC33" i="152"/>
  <c r="AC32" i="152"/>
  <c r="AC34" i="152"/>
  <c r="AC25" i="152"/>
  <c r="AC13" i="152"/>
  <c r="AC22" i="152"/>
  <c r="AC8" i="152"/>
  <c r="AC24" i="152"/>
  <c r="AC38" i="152"/>
  <c r="AC26" i="152"/>
  <c r="AC23" i="152"/>
  <c r="AC37" i="152"/>
  <c r="AC10" i="152"/>
  <c r="S256" i="155" l="1"/>
  <c r="S348" i="155"/>
  <c r="T348" i="155" s="1"/>
  <c r="S309" i="155"/>
  <c r="S331" i="155"/>
  <c r="S110" i="155"/>
  <c r="S107" i="155"/>
  <c r="T107" i="155" s="1"/>
  <c r="S212" i="155"/>
  <c r="S332" i="155"/>
  <c r="S171" i="155"/>
  <c r="S351" i="155"/>
  <c r="S215" i="155"/>
  <c r="S147" i="155"/>
  <c r="S103" i="155"/>
  <c r="S359" i="155"/>
  <c r="S198" i="155"/>
  <c r="T199" i="155" s="1"/>
  <c r="S339" i="155"/>
  <c r="T340" i="155" s="1"/>
  <c r="S382" i="155"/>
  <c r="T383" i="155" s="1"/>
  <c r="S193" i="155"/>
  <c r="T194" i="155" s="1"/>
  <c r="S117" i="155"/>
  <c r="S229" i="155"/>
  <c r="S102" i="155"/>
  <c r="S366" i="155"/>
  <c r="S207" i="155"/>
  <c r="S353" i="155"/>
  <c r="S142" i="155"/>
  <c r="S183" i="155"/>
  <c r="S295" i="155"/>
  <c r="T295" i="155" s="1"/>
  <c r="S201" i="155"/>
  <c r="S385" i="155"/>
  <c r="S362" i="155"/>
  <c r="S321" i="155"/>
  <c r="T321" i="155" s="1"/>
  <c r="S133" i="155"/>
  <c r="S270" i="155"/>
  <c r="S253" i="155"/>
  <c r="S240" i="155"/>
  <c r="S157" i="155"/>
  <c r="T158" i="155" s="1"/>
  <c r="S181" i="155"/>
  <c r="S233" i="155"/>
  <c r="S138" i="155"/>
  <c r="T138" i="155" s="1"/>
  <c r="S173" i="155"/>
  <c r="S186" i="155"/>
  <c r="T187" i="155" s="1"/>
  <c r="T370" i="155"/>
  <c r="S189" i="155"/>
  <c r="T190" i="155" s="1"/>
  <c r="S206" i="155"/>
  <c r="T206" i="155" s="1"/>
  <c r="S218" i="155"/>
  <c r="S167" i="155"/>
  <c r="S325" i="155"/>
  <c r="S377" i="155"/>
  <c r="S159" i="155"/>
  <c r="T159" i="155" s="1"/>
  <c r="S200" i="155"/>
  <c r="T200" i="155" s="1"/>
  <c r="S125" i="155"/>
  <c r="S115" i="155"/>
  <c r="T115" i="155" s="1"/>
  <c r="S349" i="155"/>
  <c r="T349" i="155" s="1"/>
  <c r="S213" i="155"/>
  <c r="S364" i="155"/>
  <c r="S285" i="155"/>
  <c r="S151" i="155"/>
  <c r="S281" i="155"/>
  <c r="S254" i="155"/>
  <c r="S195" i="155"/>
  <c r="T195" i="155" s="1"/>
  <c r="S155" i="155"/>
  <c r="S239" i="155"/>
  <c r="S379" i="155"/>
  <c r="S338" i="155"/>
  <c r="S259" i="155"/>
  <c r="S247" i="155"/>
  <c r="S164" i="155"/>
  <c r="T164" i="155" s="1"/>
  <c r="S317" i="155"/>
  <c r="S127" i="155"/>
  <c r="S122" i="155"/>
  <c r="S227" i="155"/>
  <c r="S361" i="155"/>
  <c r="S170" i="155"/>
  <c r="T171" i="155" s="1"/>
  <c r="S312" i="155"/>
  <c r="S346" i="155"/>
  <c r="T347" i="155" s="1"/>
  <c r="S367" i="155"/>
  <c r="S310" i="155"/>
  <c r="T310" i="155" s="1"/>
  <c r="S263" i="155"/>
  <c r="T263" i="155" s="1"/>
  <c r="S180" i="155"/>
  <c r="S149" i="155"/>
  <c r="S223" i="155"/>
  <c r="S260" i="155"/>
  <c r="S311" i="155"/>
  <c r="S292" i="155"/>
  <c r="T293" i="155" s="1"/>
  <c r="T137" i="155"/>
  <c r="S123" i="155"/>
  <c r="S176" i="155"/>
  <c r="S104" i="155"/>
  <c r="S373" i="155"/>
  <c r="S397" i="155"/>
  <c r="T397" i="155" s="1"/>
  <c r="S235" i="155"/>
  <c r="S394" i="155"/>
  <c r="S191" i="155"/>
  <c r="T191" i="155" s="1"/>
  <c r="S188" i="155"/>
  <c r="T188" i="155" s="1"/>
  <c r="S209" i="155"/>
  <c r="S357" i="155"/>
  <c r="S165" i="155"/>
  <c r="S282" i="155"/>
  <c r="S324" i="155"/>
  <c r="S304" i="155"/>
  <c r="T304" i="155" s="1"/>
  <c r="S145" i="155"/>
  <c r="T145" i="155" s="1"/>
  <c r="S101" i="155"/>
  <c r="S306" i="155"/>
  <c r="S203" i="155"/>
  <c r="S228" i="155"/>
  <c r="S174" i="155"/>
  <c r="S139" i="155"/>
  <c r="S244" i="155"/>
  <c r="T244" i="155" s="1"/>
  <c r="S389" i="155"/>
  <c r="S156" i="155"/>
  <c r="S318" i="155"/>
  <c r="S208" i="155"/>
  <c r="S217" i="155"/>
  <c r="S276" i="155"/>
  <c r="S182" i="155"/>
  <c r="K101" i="154"/>
  <c r="S297" i="155"/>
  <c r="S202" i="155"/>
  <c r="S204" i="155"/>
  <c r="T205" i="155" s="1"/>
  <c r="K101" i="155"/>
  <c r="S216" i="155"/>
  <c r="S248" i="155"/>
  <c r="S185" i="155"/>
  <c r="S301" i="155"/>
  <c r="T302" i="155" s="1"/>
  <c r="S126" i="155"/>
  <c r="S400" i="155"/>
  <c r="T400" i="155" s="1"/>
  <c r="S160" i="155"/>
  <c r="S172" i="155"/>
  <c r="T173" i="155" s="1"/>
  <c r="S365" i="155"/>
  <c r="M101" i="155"/>
  <c r="S154" i="155"/>
  <c r="T154" i="155" s="1"/>
  <c r="S296" i="155"/>
  <c r="M101" i="154"/>
  <c r="S124" i="155"/>
  <c r="S121" i="155"/>
  <c r="S329" i="155"/>
  <c r="T330" i="155" s="1"/>
  <c r="S129" i="155"/>
  <c r="S238" i="155"/>
  <c r="S250" i="155"/>
  <c r="S395" i="155"/>
  <c r="T396" i="155" s="1"/>
  <c r="S352" i="155"/>
  <c r="S372" i="155"/>
  <c r="S358" i="155"/>
  <c r="S130" i="155"/>
  <c r="T131" i="155" s="1"/>
  <c r="S308" i="155"/>
  <c r="S237" i="155"/>
  <c r="S232" i="155"/>
  <c r="T232" i="155" s="1"/>
  <c r="S264" i="155"/>
  <c r="S261" i="155"/>
  <c r="T262" i="155" s="1"/>
  <c r="S313" i="155"/>
  <c r="S175" i="155"/>
  <c r="S374" i="155"/>
  <c r="S386" i="155"/>
  <c r="S322" i="155"/>
  <c r="S380" i="155"/>
  <c r="S177" i="155"/>
  <c r="T178" i="155" s="1"/>
  <c r="S381" i="155"/>
  <c r="S275" i="155"/>
  <c r="S398" i="155"/>
  <c r="S391" i="155"/>
  <c r="T392" i="155" s="1"/>
  <c r="S371" i="155"/>
  <c r="T371" i="155" s="1"/>
  <c r="S143" i="155"/>
  <c r="T144" i="155" s="1"/>
  <c r="S384" i="155"/>
  <c r="S298" i="155"/>
  <c r="T299" i="155" s="1"/>
  <c r="S150" i="155"/>
  <c r="S378" i="155"/>
  <c r="S152" i="155"/>
  <c r="T153" i="155" s="1"/>
  <c r="S252" i="155"/>
  <c r="S184" i="155"/>
  <c r="S341" i="155"/>
  <c r="T341" i="155" s="1"/>
  <c r="S234" i="155"/>
  <c r="S222" i="155"/>
  <c r="T279" i="155"/>
  <c r="S241" i="155"/>
  <c r="T242" i="155" s="1"/>
  <c r="S128" i="155"/>
  <c r="S214" i="155"/>
  <c r="S393" i="155"/>
  <c r="T393" i="155" s="1"/>
  <c r="S269" i="155"/>
  <c r="S316" i="155"/>
  <c r="T316" i="155" s="1"/>
  <c r="S267" i="155"/>
  <c r="T268" i="155" s="1"/>
  <c r="S387" i="155"/>
  <c r="S192" i="155"/>
  <c r="S120" i="155"/>
  <c r="S148" i="155"/>
  <c r="S134" i="155"/>
  <c r="S356" i="155"/>
  <c r="T356" i="155" s="1"/>
  <c r="S251" i="155"/>
  <c r="S376" i="155"/>
  <c r="S375" i="155"/>
  <c r="S344" i="155"/>
  <c r="T344" i="155" s="1"/>
  <c r="S140" i="155"/>
  <c r="S323" i="155"/>
  <c r="S161" i="155"/>
  <c r="T162" i="155" s="1"/>
  <c r="S245" i="155"/>
  <c r="S289" i="155"/>
  <c r="S288" i="155"/>
  <c r="T288" i="155" s="1"/>
  <c r="S219" i="155"/>
  <c r="S111" i="155"/>
  <c r="S166" i="155"/>
  <c r="S249" i="155"/>
  <c r="S246" i="155"/>
  <c r="S388" i="155"/>
  <c r="S226" i="155"/>
  <c r="S258" i="155"/>
  <c r="S210" i="155"/>
  <c r="S273" i="155"/>
  <c r="T273" i="155" s="1"/>
  <c r="S169" i="155"/>
  <c r="S342" i="155"/>
  <c r="T343" i="155" s="1"/>
  <c r="S307" i="155"/>
  <c r="S132" i="155"/>
  <c r="S368" i="155"/>
  <c r="S141" i="155"/>
  <c r="S255" i="155"/>
  <c r="S280" i="155"/>
  <c r="T280" i="155" s="1"/>
  <c r="S345" i="155"/>
  <c r="S354" i="155"/>
  <c r="S271" i="155"/>
  <c r="S116" i="155"/>
  <c r="S350" i="155"/>
  <c r="S109" i="155"/>
  <c r="T109" i="155" s="1"/>
  <c r="S360" i="155"/>
  <c r="S326" i="155"/>
  <c r="T327" i="155" s="1"/>
  <c r="S284" i="155"/>
  <c r="S224" i="155"/>
  <c r="T225" i="155" s="1"/>
  <c r="S305" i="155"/>
  <c r="S105" i="155"/>
  <c r="T106" i="155" s="1"/>
  <c r="S390" i="155"/>
  <c r="S286" i="155"/>
  <c r="T287" i="155" s="1"/>
  <c r="S113" i="155"/>
  <c r="T114" i="155" s="1"/>
  <c r="S119" i="155"/>
  <c r="S118" i="155"/>
  <c r="S319" i="155"/>
  <c r="T320" i="155" s="1"/>
  <c r="S168" i="155"/>
  <c r="S337" i="155"/>
  <c r="S146" i="155"/>
  <c r="S230" i="155"/>
  <c r="S135" i="155"/>
  <c r="S363" i="155"/>
  <c r="S196" i="155"/>
  <c r="S236" i="155"/>
  <c r="S336" i="155"/>
  <c r="T336" i="155" s="1"/>
  <c r="S197" i="155"/>
  <c r="S179" i="155"/>
  <c r="T179" i="155" s="1"/>
  <c r="S290" i="155"/>
  <c r="T291" i="155" s="1"/>
  <c r="S314" i="155"/>
  <c r="S277" i="155"/>
  <c r="T212" i="155"/>
  <c r="T163" i="155"/>
  <c r="T334" i="155"/>
  <c r="T243" i="155"/>
  <c r="T328" i="155"/>
  <c r="T303" i="155"/>
  <c r="T331" i="155"/>
  <c r="T221" i="155"/>
  <c r="T294" i="155"/>
  <c r="T266" i="155"/>
  <c r="T300" i="155"/>
  <c r="T257" i="155"/>
  <c r="T335" i="155"/>
  <c r="AA45" i="154"/>
  <c r="AA82" i="154" s="1"/>
  <c r="Z45" i="154"/>
  <c r="Z82" i="154" s="1"/>
  <c r="AC45" i="154"/>
  <c r="AC82" i="154" s="1"/>
  <c r="AM45" i="154"/>
  <c r="AB45" i="154"/>
  <c r="AB82" i="154" s="1"/>
  <c r="C45" i="154"/>
  <c r="B45" i="154"/>
  <c r="AA47" i="155"/>
  <c r="AA84" i="155" s="1"/>
  <c r="Z47" i="155"/>
  <c r="Z84" i="155" s="1"/>
  <c r="W47" i="155"/>
  <c r="W84" i="155" s="1"/>
  <c r="V47" i="155"/>
  <c r="V84" i="155" s="1"/>
  <c r="AM47" i="155"/>
  <c r="B47" i="155"/>
  <c r="AC45" i="155"/>
  <c r="AC82" i="155" s="1"/>
  <c r="AB45" i="155"/>
  <c r="AB82" i="155" s="1"/>
  <c r="AA45" i="155"/>
  <c r="AA82" i="155" s="1"/>
  <c r="Z45" i="155"/>
  <c r="Z82" i="155" s="1"/>
  <c r="B45" i="155"/>
  <c r="AM45" i="155"/>
  <c r="C45" i="155"/>
  <c r="AA46" i="155"/>
  <c r="AA83" i="155" s="1"/>
  <c r="Z46" i="155"/>
  <c r="Z83" i="155" s="1"/>
  <c r="X46" i="155"/>
  <c r="X83" i="155" s="1"/>
  <c r="W46" i="155"/>
  <c r="W83" i="155" s="1"/>
  <c r="V46" i="155"/>
  <c r="V83" i="155" s="1"/>
  <c r="AM46" i="155"/>
  <c r="B46" i="155"/>
  <c r="AB46" i="155"/>
  <c r="AB83" i="155" s="1"/>
  <c r="B45" i="153"/>
  <c r="AM45" i="153"/>
  <c r="C45" i="153"/>
  <c r="AC45" i="153"/>
  <c r="AC82" i="153" s="1"/>
  <c r="AB45" i="153"/>
  <c r="AB82" i="153" s="1"/>
  <c r="AA45" i="153"/>
  <c r="AA82" i="153" s="1"/>
  <c r="Z45" i="153"/>
  <c r="Z82" i="153" s="1"/>
  <c r="AM46" i="153"/>
  <c r="B46" i="153"/>
  <c r="W46" i="153"/>
  <c r="W83" i="153" s="1"/>
  <c r="AA46" i="153"/>
  <c r="AA83" i="153" s="1"/>
  <c r="V46" i="153"/>
  <c r="V83" i="153" s="1"/>
  <c r="AB46" i="153"/>
  <c r="AB83" i="153" s="1"/>
  <c r="Z46" i="153"/>
  <c r="Z83" i="153" s="1"/>
  <c r="X46" i="153"/>
  <c r="X83" i="153" s="1"/>
  <c r="W47" i="153"/>
  <c r="W84" i="153" s="1"/>
  <c r="V47" i="153"/>
  <c r="V84" i="153" s="1"/>
  <c r="B47" i="153"/>
  <c r="AM47" i="153"/>
  <c r="AA47" i="153"/>
  <c r="AA84" i="153" s="1"/>
  <c r="Z47" i="153"/>
  <c r="Z84" i="153" s="1"/>
  <c r="W44" i="154"/>
  <c r="W81" i="154" s="1"/>
  <c r="V44" i="154"/>
  <c r="V81" i="154" s="1"/>
  <c r="Y44" i="154"/>
  <c r="Y81" i="154" s="1"/>
  <c r="X44" i="154"/>
  <c r="X81" i="154" s="1"/>
  <c r="C44" i="154"/>
  <c r="B44" i="154"/>
  <c r="AM44" i="154"/>
  <c r="Y44" i="155"/>
  <c r="Y81" i="155" s="1"/>
  <c r="X44" i="155"/>
  <c r="X81" i="155" s="1"/>
  <c r="W44" i="155"/>
  <c r="W81" i="155" s="1"/>
  <c r="V44" i="155"/>
  <c r="V81" i="155" s="1"/>
  <c r="B44" i="155"/>
  <c r="AM44" i="155"/>
  <c r="C44" i="155"/>
  <c r="W47" i="154"/>
  <c r="W84" i="154" s="1"/>
  <c r="V47" i="154"/>
  <c r="V84" i="154" s="1"/>
  <c r="AA47" i="154"/>
  <c r="AA84" i="154" s="1"/>
  <c r="AM47" i="154"/>
  <c r="Z47" i="154"/>
  <c r="Z84" i="154" s="1"/>
  <c r="B47" i="154"/>
  <c r="T359" i="155" l="1"/>
  <c r="T309" i="155"/>
  <c r="T332" i="155"/>
  <c r="T111" i="155"/>
  <c r="T282" i="155"/>
  <c r="T108" i="155"/>
  <c r="T184" i="155"/>
  <c r="T213" i="155"/>
  <c r="T333" i="155"/>
  <c r="T216" i="155"/>
  <c r="T147" i="155"/>
  <c r="T148" i="155"/>
  <c r="T103" i="155"/>
  <c r="T104" i="155"/>
  <c r="T339" i="155"/>
  <c r="T271" i="155"/>
  <c r="T230" i="155"/>
  <c r="T202" i="155"/>
  <c r="T102" i="155"/>
  <c r="T118" i="155"/>
  <c r="T193" i="155"/>
  <c r="T181" i="155"/>
  <c r="T350" i="155"/>
  <c r="T385" i="155"/>
  <c r="T134" i="155"/>
  <c r="T229" i="155"/>
  <c r="T366" i="155"/>
  <c r="T133" i="155"/>
  <c r="T208" i="155"/>
  <c r="T142" i="155"/>
  <c r="T246" i="155"/>
  <c r="T270" i="155"/>
  <c r="T186" i="155"/>
  <c r="T254" i="155"/>
  <c r="T174" i="155"/>
  <c r="T354" i="155"/>
  <c r="T240" i="155"/>
  <c r="T353" i="155"/>
  <c r="T296" i="155"/>
  <c r="T367" i="155"/>
  <c r="T201" i="155"/>
  <c r="T322" i="155"/>
  <c r="T182" i="155"/>
  <c r="T168" i="155"/>
  <c r="T386" i="155"/>
  <c r="T139" i="155"/>
  <c r="T362" i="155"/>
  <c r="T248" i="155"/>
  <c r="T312" i="155"/>
  <c r="T207" i="155"/>
  <c r="T219" i="155"/>
  <c r="T261" i="155"/>
  <c r="T125" i="155"/>
  <c r="T365" i="155"/>
  <c r="T156" i="155"/>
  <c r="T218" i="155"/>
  <c r="T259" i="155"/>
  <c r="T223" i="155"/>
  <c r="T380" i="155"/>
  <c r="T373" i="155"/>
  <c r="T358" i="155"/>
  <c r="T214" i="155"/>
  <c r="T325" i="155"/>
  <c r="T165" i="155"/>
  <c r="T364" i="155"/>
  <c r="T314" i="155"/>
  <c r="T285" i="155"/>
  <c r="T167" i="155"/>
  <c r="T121" i="155"/>
  <c r="T128" i="155"/>
  <c r="T260" i="155"/>
  <c r="T150" i="155"/>
  <c r="T276" i="155"/>
  <c r="T313" i="155"/>
  <c r="T329" i="155"/>
  <c r="T116" i="155"/>
  <c r="T277" i="155"/>
  <c r="T126" i="155"/>
  <c r="T122" i="155"/>
  <c r="T283" i="155"/>
  <c r="T247" i="155"/>
  <c r="T196" i="155"/>
  <c r="T166" i="155"/>
  <c r="T255" i="155"/>
  <c r="T123" i="155"/>
  <c r="T269" i="155"/>
  <c r="T250" i="155"/>
  <c r="T389" i="155"/>
  <c r="T157" i="155"/>
  <c r="T210" i="155"/>
  <c r="T361" i="155"/>
  <c r="T357" i="155"/>
  <c r="T368" i="155"/>
  <c r="T298" i="155"/>
  <c r="T305" i="155"/>
  <c r="T317" i="155"/>
  <c r="T237" i="155"/>
  <c r="T391" i="155"/>
  <c r="T140" i="155"/>
  <c r="T129" i="155"/>
  <c r="T224" i="155"/>
  <c r="T395" i="155"/>
  <c r="T127" i="155"/>
  <c r="T227" i="155"/>
  <c r="T384" i="155"/>
  <c r="T245" i="155"/>
  <c r="T228" i="155"/>
  <c r="T146" i="155"/>
  <c r="T292" i="155"/>
  <c r="O101" i="155"/>
  <c r="O103" i="155" s="1"/>
  <c r="T203" i="155"/>
  <c r="T155" i="155"/>
  <c r="T249" i="155"/>
  <c r="T311" i="155"/>
  <c r="T264" i="155"/>
  <c r="T161" i="155"/>
  <c r="T204" i="155"/>
  <c r="T189" i="155"/>
  <c r="O101" i="154"/>
  <c r="T318" i="155"/>
  <c r="T209" i="155"/>
  <c r="T135" i="155"/>
  <c r="T265" i="155"/>
  <c r="T233" i="155"/>
  <c r="T381" i="155"/>
  <c r="T297" i="155"/>
  <c r="T394" i="155"/>
  <c r="T387" i="155"/>
  <c r="T185" i="155"/>
  <c r="T160" i="155"/>
  <c r="T352" i="155"/>
  <c r="T284" i="155"/>
  <c r="T176" i="155"/>
  <c r="T143" i="155"/>
  <c r="T274" i="155"/>
  <c r="T278" i="155"/>
  <c r="T124" i="155"/>
  <c r="T177" i="155"/>
  <c r="T337" i="155"/>
  <c r="T355" i="155"/>
  <c r="T369" i="155"/>
  <c r="T326" i="155"/>
  <c r="T382" i="155"/>
  <c r="T151" i="155"/>
  <c r="T301" i="155"/>
  <c r="T215" i="155"/>
  <c r="T235" i="155"/>
  <c r="T374" i="155"/>
  <c r="T238" i="155"/>
  <c r="T211" i="155"/>
  <c r="T113" i="155"/>
  <c r="T324" i="155"/>
  <c r="T398" i="155"/>
  <c r="T172" i="155"/>
  <c r="T112" i="155"/>
  <c r="T234" i="155"/>
  <c r="T183" i="155"/>
  <c r="T375" i="155"/>
  <c r="T308" i="155"/>
  <c r="T130" i="155"/>
  <c r="T251" i="155"/>
  <c r="T323" i="155"/>
  <c r="T217" i="155"/>
  <c r="T152" i="155"/>
  <c r="T319" i="155"/>
  <c r="T117" i="155"/>
  <c r="T399" i="155"/>
  <c r="T105" i="155"/>
  <c r="T239" i="155"/>
  <c r="T315" i="155"/>
  <c r="T256" i="155"/>
  <c r="T281" i="155"/>
  <c r="T175" i="155"/>
  <c r="T192" i="155"/>
  <c r="T231" i="155"/>
  <c r="T197" i="155"/>
  <c r="T390" i="155"/>
  <c r="T275" i="155"/>
  <c r="T363" i="155"/>
  <c r="T272" i="155"/>
  <c r="T136" i="155"/>
  <c r="T180" i="155"/>
  <c r="T345" i="155"/>
  <c r="T306" i="155"/>
  <c r="T252" i="155"/>
  <c r="T286" i="155"/>
  <c r="T289" i="155"/>
  <c r="T307" i="155"/>
  <c r="T110" i="155"/>
  <c r="T258" i="155"/>
  <c r="T198" i="155"/>
  <c r="T378" i="155"/>
  <c r="T379" i="155"/>
  <c r="T338" i="155"/>
  <c r="T253" i="155"/>
  <c r="T222" i="155"/>
  <c r="T376" i="155"/>
  <c r="T226" i="155"/>
  <c r="T119" i="155"/>
  <c r="T388" i="155"/>
  <c r="T220" i="155"/>
  <c r="T132" i="155"/>
  <c r="T241" i="155"/>
  <c r="T267" i="155"/>
  <c r="T169" i="155"/>
  <c r="T170" i="155"/>
  <c r="T360" i="155"/>
  <c r="T342" i="155"/>
  <c r="T346" i="155"/>
  <c r="T351" i="155"/>
  <c r="T372" i="155"/>
  <c r="T290" i="155"/>
  <c r="T236" i="155"/>
  <c r="T141" i="155"/>
  <c r="T149" i="155"/>
  <c r="T120" i="155"/>
  <c r="T377" i="155"/>
  <c r="AN28" i="153" a="1"/>
  <c r="X101" i="155" l="1"/>
  <c r="AA101" i="155" s="1"/>
  <c r="AN57" i="153"/>
  <c r="AN49" i="153"/>
  <c r="AN41" i="153"/>
  <c r="AN33" i="153"/>
  <c r="AN52" i="153"/>
  <c r="AN43" i="153"/>
  <c r="AN34" i="153"/>
  <c r="AN39" i="153"/>
  <c r="AN37" i="153"/>
  <c r="AN51" i="153"/>
  <c r="AN42" i="153"/>
  <c r="AN32" i="153"/>
  <c r="AN48" i="153"/>
  <c r="AN47" i="153"/>
  <c r="AN38" i="153"/>
  <c r="AN29" i="153"/>
  <c r="AN55" i="153"/>
  <c r="AN46" i="153"/>
  <c r="AN59" i="153"/>
  <c r="AN50" i="153"/>
  <c r="AN40" i="153"/>
  <c r="AN31" i="153"/>
  <c r="AN58" i="153"/>
  <c r="AN30" i="153"/>
  <c r="AN28" i="153"/>
  <c r="AN56" i="153"/>
  <c r="AN54" i="153"/>
  <c r="AN45" i="153"/>
  <c r="AN36" i="153"/>
  <c r="AN53" i="153"/>
  <c r="AN44" i="153"/>
  <c r="AN35" i="153"/>
  <c r="E398" i="153"/>
  <c r="E328" i="153"/>
  <c r="E194" i="153"/>
  <c r="E332" i="153"/>
  <c r="E380" i="153"/>
  <c r="E344" i="153"/>
  <c r="E301" i="153"/>
  <c r="E209" i="153"/>
  <c r="E384" i="153"/>
  <c r="E129" i="153"/>
  <c r="E125" i="153"/>
  <c r="E373" i="153"/>
  <c r="E146" i="153"/>
  <c r="E329" i="153"/>
  <c r="E246" i="153"/>
  <c r="E284" i="153"/>
  <c r="E399" i="153"/>
  <c r="E200" i="153"/>
  <c r="E278" i="153"/>
  <c r="E364" i="153"/>
  <c r="E127" i="153"/>
  <c r="E302" i="153"/>
  <c r="E341" i="153"/>
  <c r="E214" i="153"/>
  <c r="E245" i="153"/>
  <c r="E161" i="153"/>
  <c r="E397" i="153"/>
  <c r="E326" i="153"/>
  <c r="E149" i="153"/>
  <c r="E210" i="153"/>
  <c r="E295" i="153"/>
  <c r="E179" i="153"/>
  <c r="E386" i="153"/>
  <c r="E325" i="153"/>
  <c r="E254" i="153"/>
  <c r="E202" i="153"/>
  <c r="E178" i="153"/>
  <c r="E348" i="153"/>
  <c r="E201" i="153"/>
  <c r="E217" i="153"/>
  <c r="E170" i="153"/>
  <c r="E120" i="153"/>
  <c r="E152" i="153"/>
  <c r="E336" i="153"/>
  <c r="E267" i="153"/>
  <c r="E108" i="153"/>
  <c r="E207" i="153"/>
  <c r="E396" i="153"/>
  <c r="E383" i="153"/>
  <c r="E181" i="153"/>
  <c r="E222" i="153"/>
  <c r="E247" i="153"/>
  <c r="E239" i="153"/>
  <c r="E100" i="153"/>
  <c r="E305" i="153"/>
  <c r="E297" i="153"/>
  <c r="E253" i="153"/>
  <c r="E395" i="153"/>
  <c r="E257" i="153"/>
  <c r="E110" i="153"/>
  <c r="E242" i="153"/>
  <c r="E208" i="153"/>
  <c r="E213" i="153"/>
  <c r="E400" i="153"/>
  <c r="E233" i="153"/>
  <c r="E166" i="153"/>
  <c r="E177" i="153"/>
  <c r="E167" i="153"/>
  <c r="E142" i="153"/>
  <c r="E374" i="153"/>
  <c r="E114" i="153"/>
  <c r="E349" i="153"/>
  <c r="E317" i="153"/>
  <c r="E378" i="153"/>
  <c r="E223" i="153"/>
  <c r="E187" i="153"/>
  <c r="E151" i="153"/>
  <c r="E196" i="153"/>
  <c r="E236" i="153"/>
  <c r="E300" i="153"/>
  <c r="E337" i="153"/>
  <c r="E289" i="153"/>
  <c r="E335" i="153"/>
  <c r="E155" i="153"/>
  <c r="E101" i="153"/>
  <c r="E103" i="153"/>
  <c r="E360" i="153"/>
  <c r="E345" i="153"/>
  <c r="E275" i="153"/>
  <c r="E122" i="153"/>
  <c r="E269" i="153"/>
  <c r="E354" i="153"/>
  <c r="E137" i="153"/>
  <c r="E308" i="153"/>
  <c r="E327" i="153"/>
  <c r="E265" i="153"/>
  <c r="E252" i="153"/>
  <c r="E215" i="153"/>
  <c r="E231" i="153"/>
  <c r="E367" i="153"/>
  <c r="E381" i="153"/>
  <c r="E394" i="153"/>
  <c r="E342" i="153"/>
  <c r="E135" i="153"/>
  <c r="E128" i="153"/>
  <c r="E264" i="153"/>
  <c r="E334" i="153"/>
  <c r="E218" i="153"/>
  <c r="E243" i="153"/>
  <c r="E288" i="153"/>
  <c r="E339" i="153"/>
  <c r="E221" i="153"/>
  <c r="E319" i="153"/>
  <c r="E123" i="153"/>
  <c r="E357" i="153"/>
  <c r="E263" i="153"/>
  <c r="E389" i="153"/>
  <c r="E168" i="153"/>
  <c r="E299" i="153"/>
  <c r="E315" i="153"/>
  <c r="E138" i="153"/>
  <c r="E320" i="153"/>
  <c r="E117" i="153"/>
  <c r="E185" i="153"/>
  <c r="E309" i="153"/>
  <c r="E148" i="153"/>
  <c r="E304" i="153"/>
  <c r="E390" i="153"/>
  <c r="E211" i="153"/>
  <c r="E189" i="153"/>
  <c r="E285" i="153"/>
  <c r="E271" i="153"/>
  <c r="E366" i="153"/>
  <c r="E307" i="153"/>
  <c r="E382" i="153"/>
  <c r="E283" i="153"/>
  <c r="E347" i="153"/>
  <c r="E262" i="153"/>
  <c r="E379" i="153"/>
  <c r="E266" i="153"/>
  <c r="E333" i="153"/>
  <c r="E203" i="153"/>
  <c r="E273" i="153"/>
  <c r="E136" i="153"/>
  <c r="E351" i="153"/>
  <c r="E173" i="153"/>
  <c r="E165" i="153"/>
  <c r="E316" i="153"/>
  <c r="E154" i="153"/>
  <c r="E310" i="153"/>
  <c r="E365" i="153"/>
  <c r="E393" i="153"/>
  <c r="E147" i="153"/>
  <c r="E235" i="153"/>
  <c r="E259" i="153"/>
  <c r="E343" i="153"/>
  <c r="E144" i="153"/>
  <c r="E352" i="153"/>
  <c r="E250" i="153"/>
  <c r="E104" i="153"/>
  <c r="E220" i="153"/>
  <c r="E230" i="153"/>
  <c r="E150" i="153"/>
  <c r="E282" i="153"/>
  <c r="E192" i="153"/>
  <c r="E106" i="153"/>
  <c r="E318" i="153"/>
  <c r="E116" i="153"/>
  <c r="E191" i="153"/>
  <c r="E276" i="153"/>
  <c r="E237" i="153"/>
  <c r="E387" i="153"/>
  <c r="E227" i="153"/>
  <c r="E112" i="153"/>
  <c r="E184" i="153"/>
  <c r="E164" i="153"/>
  <c r="E392" i="153"/>
  <c r="E251" i="153"/>
  <c r="E292" i="153"/>
  <c r="E368" i="153"/>
  <c r="E277" i="153"/>
  <c r="E198" i="153"/>
  <c r="E372" i="153"/>
  <c r="E356" i="153"/>
  <c r="E353" i="153"/>
  <c r="E172" i="153"/>
  <c r="E134" i="153"/>
  <c r="E324" i="153"/>
  <c r="E359" i="153"/>
  <c r="E248" i="153"/>
  <c r="E126" i="153"/>
  <c r="E102" i="153"/>
  <c r="E260" i="153"/>
  <c r="E350" i="153"/>
  <c r="E225" i="153"/>
  <c r="E229" i="153"/>
  <c r="E171" i="153"/>
  <c r="E143" i="153"/>
  <c r="E195" i="153"/>
  <c r="E303" i="153"/>
  <c r="E205" i="153"/>
  <c r="E293" i="153"/>
  <c r="E256" i="153"/>
  <c r="E157" i="153"/>
  <c r="E369" i="153"/>
  <c r="E118" i="153"/>
  <c r="E121" i="153"/>
  <c r="E232" i="153"/>
  <c r="E219" i="153"/>
  <c r="E131" i="153"/>
  <c r="E362" i="153"/>
  <c r="E162" i="153"/>
  <c r="E234" i="153"/>
  <c r="E321" i="153"/>
  <c r="E358" i="153"/>
  <c r="E193" i="153"/>
  <c r="E361" i="153"/>
  <c r="E182" i="153"/>
  <c r="E140" i="153"/>
  <c r="E281" i="153"/>
  <c r="E216" i="153"/>
  <c r="E115" i="153"/>
  <c r="E238" i="153"/>
  <c r="E268" i="153"/>
  <c r="E371" i="153"/>
  <c r="E294" i="153"/>
  <c r="E338" i="153"/>
  <c r="E226" i="153"/>
  <c r="E141" i="153"/>
  <c r="E163" i="153"/>
  <c r="E306" i="153"/>
  <c r="E107" i="153"/>
  <c r="E377" i="153"/>
  <c r="E206" i="153"/>
  <c r="E375" i="153"/>
  <c r="E385" i="153"/>
  <c r="E370" i="153"/>
  <c r="E388" i="153"/>
  <c r="E176" i="153"/>
  <c r="E376" i="153"/>
  <c r="E240" i="153"/>
  <c r="E153" i="153"/>
  <c r="E261" i="153"/>
  <c r="E258" i="153"/>
  <c r="E274" i="153"/>
  <c r="E160" i="153"/>
  <c r="E188" i="153"/>
  <c r="E228" i="153"/>
  <c r="E330" i="153"/>
  <c r="E287" i="153"/>
  <c r="E119" i="153"/>
  <c r="E105" i="153"/>
  <c r="E346" i="153"/>
  <c r="E311" i="153"/>
  <c r="E186" i="153"/>
  <c r="E322" i="153"/>
  <c r="E145" i="153"/>
  <c r="E132" i="153"/>
  <c r="E156" i="153"/>
  <c r="E290" i="153"/>
  <c r="E139" i="153"/>
  <c r="E113" i="153"/>
  <c r="E314" i="153"/>
  <c r="E197" i="153"/>
  <c r="E180" i="153"/>
  <c r="E199" i="153"/>
  <c r="E363" i="153"/>
  <c r="E133" i="153"/>
  <c r="E355" i="153"/>
  <c r="E224" i="153"/>
  <c r="E391" i="153"/>
  <c r="E331" i="153"/>
  <c r="E340" i="153"/>
  <c r="E190" i="153"/>
  <c r="E249" i="153"/>
  <c r="E158" i="153"/>
  <c r="E313" i="153"/>
  <c r="E296" i="153"/>
  <c r="E174" i="153"/>
  <c r="E212" i="153"/>
  <c r="E124" i="153"/>
  <c r="E175" i="153"/>
  <c r="E286" i="153"/>
  <c r="E109" i="153"/>
  <c r="E111" i="153"/>
  <c r="E244" i="153"/>
  <c r="E130" i="153"/>
  <c r="E323" i="153"/>
  <c r="E279" i="153"/>
  <c r="E183" i="153"/>
  <c r="E255" i="153"/>
  <c r="E204" i="153"/>
  <c r="E312" i="153"/>
  <c r="E272" i="153"/>
  <c r="E280" i="153"/>
  <c r="E270" i="153"/>
  <c r="E241" i="153"/>
  <c r="E159" i="153"/>
  <c r="E291" i="153"/>
  <c r="E169" i="153"/>
  <c r="E298" i="153"/>
  <c r="AF101" i="155" l="1"/>
  <c r="E3" i="146"/>
  <c r="F3" i="146"/>
  <c r="G3" i="146"/>
  <c r="H3" i="146"/>
  <c r="E4" i="146"/>
  <c r="H4" i="146" s="1"/>
  <c r="F4" i="146"/>
  <c r="G4" i="146"/>
  <c r="E5" i="146"/>
  <c r="F5" i="146"/>
  <c r="G5" i="146"/>
  <c r="H5" i="146"/>
  <c r="E6" i="146"/>
  <c r="H6" i="146" s="1"/>
  <c r="F6" i="146"/>
  <c r="G6" i="146"/>
  <c r="E7" i="146"/>
  <c r="F7" i="146"/>
  <c r="G7" i="146"/>
  <c r="H7" i="146"/>
  <c r="E8" i="146"/>
  <c r="H8" i="146" s="1"/>
  <c r="F8" i="146"/>
  <c r="G8" i="146"/>
  <c r="E9" i="146"/>
  <c r="F9" i="146"/>
  <c r="G9" i="146"/>
  <c r="H9" i="146"/>
  <c r="E10" i="146"/>
  <c r="H10" i="146" s="1"/>
  <c r="F10" i="146"/>
  <c r="G10" i="146"/>
  <c r="E11" i="146"/>
  <c r="F11" i="146"/>
  <c r="G11" i="146"/>
  <c r="H11" i="146"/>
  <c r="E12" i="146"/>
  <c r="H12" i="146" s="1"/>
  <c r="F12" i="146"/>
  <c r="G12" i="146"/>
  <c r="E13" i="146"/>
  <c r="F13" i="146"/>
  <c r="G13" i="146"/>
  <c r="H13" i="146"/>
  <c r="E14" i="146"/>
  <c r="H14" i="146" s="1"/>
  <c r="F14" i="146"/>
  <c r="G14" i="146"/>
  <c r="E15" i="146"/>
  <c r="F15" i="146"/>
  <c r="G15" i="146"/>
  <c r="H15" i="146"/>
  <c r="E16" i="146"/>
  <c r="H16" i="146" s="1"/>
  <c r="F16" i="146"/>
  <c r="G16" i="146"/>
  <c r="E17" i="146"/>
  <c r="F17" i="146"/>
  <c r="G17" i="146"/>
  <c r="H17" i="146"/>
  <c r="E18" i="146"/>
  <c r="H18" i="146" s="1"/>
  <c r="F18" i="146"/>
  <c r="G18" i="146"/>
  <c r="E19" i="146"/>
  <c r="F19" i="146"/>
  <c r="G19" i="146"/>
  <c r="H19" i="146"/>
  <c r="E20" i="146"/>
  <c r="H20" i="146" s="1"/>
  <c r="F20" i="146"/>
  <c r="G20" i="146"/>
  <c r="E21" i="146"/>
  <c r="F21" i="146"/>
  <c r="G21" i="146"/>
  <c r="H21" i="146"/>
  <c r="E22" i="146"/>
  <c r="H22" i="146" s="1"/>
  <c r="F22" i="146"/>
  <c r="G22" i="146"/>
  <c r="E23" i="146"/>
  <c r="F23" i="146"/>
  <c r="G23" i="146"/>
  <c r="H23" i="146"/>
  <c r="E24" i="146"/>
  <c r="H24" i="146" s="1"/>
  <c r="F24" i="146"/>
  <c r="G24" i="146"/>
  <c r="E25" i="146"/>
  <c r="F25" i="146"/>
  <c r="G25" i="146"/>
  <c r="H25" i="146"/>
  <c r="E26" i="146"/>
  <c r="H26" i="146" s="1"/>
  <c r="F26" i="146"/>
  <c r="G26" i="146"/>
  <c r="E27" i="146"/>
  <c r="F27" i="146"/>
  <c r="G27" i="146"/>
  <c r="H27" i="146"/>
  <c r="E28" i="146"/>
  <c r="H28" i="146" s="1"/>
  <c r="F28" i="146"/>
  <c r="G28" i="146"/>
  <c r="E29" i="146"/>
  <c r="F29" i="146"/>
  <c r="G29" i="146"/>
  <c r="H29" i="146"/>
  <c r="E30" i="146"/>
  <c r="H30" i="146" s="1"/>
  <c r="F30" i="146"/>
  <c r="G30" i="146"/>
  <c r="E31" i="146"/>
  <c r="F31" i="146"/>
  <c r="G31" i="146"/>
  <c r="H31" i="146"/>
  <c r="E32" i="146"/>
  <c r="H32" i="146" s="1"/>
  <c r="F32" i="146"/>
  <c r="G32" i="146"/>
  <c r="I3" i="145"/>
  <c r="J3" i="145"/>
  <c r="K3" i="145"/>
  <c r="L3" i="145"/>
  <c r="M3" i="145"/>
  <c r="N3" i="145"/>
  <c r="I4" i="145"/>
  <c r="J4" i="145"/>
  <c r="K4" i="145"/>
  <c r="L4" i="145"/>
  <c r="M4" i="145"/>
  <c r="N4" i="145"/>
  <c r="I5" i="145"/>
  <c r="P3" i="145" s="1" a="1"/>
  <c r="P3" i="145" s="1"/>
  <c r="J5" i="145"/>
  <c r="K5" i="145"/>
  <c r="L5" i="145"/>
  <c r="M5" i="145"/>
  <c r="N5" i="145"/>
  <c r="I6" i="145"/>
  <c r="J6" i="145"/>
  <c r="K6" i="145"/>
  <c r="L6" i="145"/>
  <c r="M6" i="145"/>
  <c r="N6" i="145"/>
  <c r="I7" i="145"/>
  <c r="J7" i="145"/>
  <c r="K7" i="145"/>
  <c r="L7" i="145"/>
  <c r="M7" i="145"/>
  <c r="N7" i="145"/>
  <c r="I8" i="145"/>
  <c r="J8" i="145"/>
  <c r="K8" i="145"/>
  <c r="L8" i="145"/>
  <c r="M8" i="145"/>
  <c r="N8" i="145"/>
  <c r="I9" i="145"/>
  <c r="J9" i="145"/>
  <c r="K9" i="145"/>
  <c r="L9" i="145"/>
  <c r="M9" i="145"/>
  <c r="N9" i="145"/>
  <c r="I10" i="145"/>
  <c r="J10" i="145"/>
  <c r="K10" i="145"/>
  <c r="L10" i="145"/>
  <c r="M10" i="145"/>
  <c r="N10" i="145"/>
  <c r="I11" i="145"/>
  <c r="J11" i="145"/>
  <c r="K11" i="145"/>
  <c r="L11" i="145"/>
  <c r="M11" i="145"/>
  <c r="N11" i="145"/>
  <c r="I12" i="145"/>
  <c r="J12" i="145"/>
  <c r="K12" i="145"/>
  <c r="L12" i="145"/>
  <c r="M12" i="145"/>
  <c r="N12" i="145"/>
  <c r="I13" i="145"/>
  <c r="J13" i="145"/>
  <c r="K13" i="145"/>
  <c r="L13" i="145"/>
  <c r="M13" i="145"/>
  <c r="N13" i="145"/>
  <c r="I14" i="145"/>
  <c r="J14" i="145"/>
  <c r="K14" i="145"/>
  <c r="L14" i="145"/>
  <c r="M14" i="145"/>
  <c r="N14" i="145"/>
  <c r="I15" i="145"/>
  <c r="J15" i="145"/>
  <c r="K15" i="145"/>
  <c r="L15" i="145"/>
  <c r="M15" i="145"/>
  <c r="N15" i="145"/>
  <c r="I16" i="145"/>
  <c r="J16" i="145"/>
  <c r="K16" i="145"/>
  <c r="L16" i="145"/>
  <c r="M16" i="145"/>
  <c r="N16" i="145"/>
  <c r="I17" i="145"/>
  <c r="J17" i="145"/>
  <c r="K17" i="145"/>
  <c r="L17" i="145"/>
  <c r="M17" i="145"/>
  <c r="N17" i="145"/>
  <c r="I18" i="145"/>
  <c r="J18" i="145"/>
  <c r="K18" i="145"/>
  <c r="L18" i="145"/>
  <c r="M18" i="145"/>
  <c r="N18" i="145"/>
  <c r="I19" i="145"/>
  <c r="J19" i="145"/>
  <c r="K19" i="145"/>
  <c r="L19" i="145"/>
  <c r="M19" i="145"/>
  <c r="N19" i="145"/>
  <c r="I20" i="145"/>
  <c r="J20" i="145"/>
  <c r="K20" i="145"/>
  <c r="L20" i="145"/>
  <c r="M20" i="145"/>
  <c r="N20" i="145"/>
  <c r="I21" i="145"/>
  <c r="J21" i="145"/>
  <c r="K21" i="145"/>
  <c r="L21" i="145"/>
  <c r="M21" i="145"/>
  <c r="N21" i="145"/>
  <c r="I22" i="145"/>
  <c r="J22" i="145"/>
  <c r="K22" i="145"/>
  <c r="L22" i="145"/>
  <c r="M22" i="145"/>
  <c r="N22" i="145"/>
  <c r="I23" i="145"/>
  <c r="J23" i="145"/>
  <c r="K23" i="145"/>
  <c r="L23" i="145"/>
  <c r="M23" i="145"/>
  <c r="N23" i="145"/>
  <c r="I24" i="145"/>
  <c r="J24" i="145"/>
  <c r="K24" i="145"/>
  <c r="L24" i="145"/>
  <c r="M24" i="145"/>
  <c r="N24" i="145"/>
  <c r="I25" i="145"/>
  <c r="J25" i="145"/>
  <c r="K25" i="145"/>
  <c r="L25" i="145"/>
  <c r="M25" i="145"/>
  <c r="N25" i="145"/>
  <c r="I26" i="145"/>
  <c r="J26" i="145"/>
  <c r="K26" i="145"/>
  <c r="L26" i="145"/>
  <c r="M26" i="145"/>
  <c r="N26" i="145"/>
  <c r="I27" i="145"/>
  <c r="J27" i="145"/>
  <c r="K27" i="145"/>
  <c r="L27" i="145"/>
  <c r="M27" i="145"/>
  <c r="N27" i="145"/>
  <c r="I28" i="145"/>
  <c r="J28" i="145"/>
  <c r="K28" i="145"/>
  <c r="L28" i="145"/>
  <c r="M28" i="145"/>
  <c r="N28" i="145"/>
  <c r="I29" i="145"/>
  <c r="J29" i="145"/>
  <c r="K29" i="145"/>
  <c r="L29" i="145"/>
  <c r="M29" i="145"/>
  <c r="N29" i="145"/>
  <c r="I30" i="145"/>
  <c r="J30" i="145"/>
  <c r="K30" i="145"/>
  <c r="L30" i="145"/>
  <c r="M30" i="145"/>
  <c r="N30" i="145"/>
  <c r="I31" i="145"/>
  <c r="J31" i="145"/>
  <c r="K31" i="145"/>
  <c r="L31" i="145"/>
  <c r="M31" i="145"/>
  <c r="N31" i="145"/>
  <c r="I32" i="145"/>
  <c r="J32" i="145"/>
  <c r="K32" i="145"/>
  <c r="L32" i="145"/>
  <c r="M32" i="145"/>
  <c r="N32" i="145"/>
  <c r="F3" i="144"/>
  <c r="J3" i="144" s="1" a="1"/>
  <c r="J3" i="144" s="1"/>
  <c r="G3" i="144"/>
  <c r="H3" i="144"/>
  <c r="F4" i="144"/>
  <c r="G4" i="144"/>
  <c r="H4" i="144"/>
  <c r="F5" i="144"/>
  <c r="G5" i="144"/>
  <c r="H5" i="144"/>
  <c r="F6" i="144"/>
  <c r="G6" i="144"/>
  <c r="H6" i="144"/>
  <c r="F7" i="144"/>
  <c r="G7" i="144"/>
  <c r="H7" i="144"/>
  <c r="F8" i="144"/>
  <c r="G8" i="144"/>
  <c r="H8" i="144"/>
  <c r="F9" i="144"/>
  <c r="K3" i="144" s="1" a="1"/>
  <c r="K3" i="144" s="1"/>
  <c r="G9" i="144"/>
  <c r="H9" i="144"/>
  <c r="F10" i="144"/>
  <c r="G10" i="144"/>
  <c r="H10" i="144"/>
  <c r="F11" i="144"/>
  <c r="G11" i="144"/>
  <c r="H11" i="144"/>
  <c r="F12" i="144"/>
  <c r="G12" i="144"/>
  <c r="H12" i="144"/>
  <c r="F13" i="144"/>
  <c r="G13" i="144"/>
  <c r="H13" i="144"/>
  <c r="F14" i="144"/>
  <c r="G14" i="144"/>
  <c r="H14" i="144"/>
  <c r="F15" i="144"/>
  <c r="G15" i="144"/>
  <c r="H15" i="144"/>
  <c r="F16" i="144"/>
  <c r="G16" i="144"/>
  <c r="H16" i="144"/>
  <c r="F17" i="144"/>
  <c r="G17" i="144"/>
  <c r="H17" i="144"/>
  <c r="F18" i="144"/>
  <c r="G18" i="144"/>
  <c r="H18" i="144"/>
  <c r="F19" i="144"/>
  <c r="G19" i="144"/>
  <c r="H19" i="144"/>
  <c r="F20" i="144"/>
  <c r="G20" i="144"/>
  <c r="H20" i="144"/>
  <c r="F21" i="144"/>
  <c r="G21" i="144"/>
  <c r="H21" i="144"/>
  <c r="F22" i="144"/>
  <c r="G22" i="144"/>
  <c r="H22" i="144"/>
  <c r="F23" i="144"/>
  <c r="G23" i="144"/>
  <c r="H23" i="144"/>
  <c r="F24" i="144"/>
  <c r="G24" i="144"/>
  <c r="H24" i="144"/>
  <c r="F25" i="144"/>
  <c r="G25" i="144"/>
  <c r="H25" i="144"/>
  <c r="F26" i="144"/>
  <c r="G26" i="144"/>
  <c r="H26" i="144"/>
  <c r="F27" i="144"/>
  <c r="G27" i="144"/>
  <c r="H27" i="144"/>
  <c r="F28" i="144"/>
  <c r="G28" i="144"/>
  <c r="H28" i="144"/>
  <c r="F29" i="144"/>
  <c r="G29" i="144"/>
  <c r="H29" i="144"/>
  <c r="F30" i="144"/>
  <c r="G30" i="144"/>
  <c r="H30" i="144"/>
  <c r="F31" i="144"/>
  <c r="G31" i="144"/>
  <c r="H31" i="144"/>
  <c r="F32" i="144"/>
  <c r="G32" i="144"/>
  <c r="H32" i="144"/>
  <c r="F3" i="143"/>
  <c r="J3" i="143" s="1" a="1"/>
  <c r="J3" i="143" s="1"/>
  <c r="G3" i="143"/>
  <c r="H3" i="143"/>
  <c r="F4" i="143"/>
  <c r="G4" i="143"/>
  <c r="H4" i="143"/>
  <c r="F5" i="143"/>
  <c r="G5" i="143"/>
  <c r="H5" i="143"/>
  <c r="F6" i="143"/>
  <c r="G6" i="143"/>
  <c r="H6" i="143"/>
  <c r="F7" i="143"/>
  <c r="G7" i="143"/>
  <c r="H7" i="143"/>
  <c r="F8" i="143"/>
  <c r="G8" i="143"/>
  <c r="H8" i="143"/>
  <c r="F9" i="143"/>
  <c r="G9" i="143"/>
  <c r="H9" i="143"/>
  <c r="F10" i="143"/>
  <c r="G10" i="143"/>
  <c r="H10" i="143"/>
  <c r="F11" i="143"/>
  <c r="G11" i="143"/>
  <c r="H11" i="143"/>
  <c r="F12" i="143"/>
  <c r="G12" i="143"/>
  <c r="H12" i="143"/>
  <c r="F13" i="143"/>
  <c r="G13" i="143"/>
  <c r="H13" i="143"/>
  <c r="F14" i="143"/>
  <c r="G14" i="143"/>
  <c r="H14" i="143"/>
  <c r="F15" i="143"/>
  <c r="G15" i="143"/>
  <c r="H15" i="143"/>
  <c r="F16" i="143"/>
  <c r="G16" i="143"/>
  <c r="H16" i="143"/>
  <c r="F17" i="143"/>
  <c r="G17" i="143"/>
  <c r="H17" i="143"/>
  <c r="F18" i="143"/>
  <c r="G18" i="143"/>
  <c r="H18" i="143"/>
  <c r="F19" i="143"/>
  <c r="G19" i="143"/>
  <c r="H19" i="143"/>
  <c r="F20" i="143"/>
  <c r="G20" i="143"/>
  <c r="H20" i="143"/>
  <c r="F21" i="143"/>
  <c r="G21" i="143"/>
  <c r="H21" i="143"/>
  <c r="F22" i="143"/>
  <c r="G22" i="143"/>
  <c r="H22" i="143"/>
  <c r="F23" i="143"/>
  <c r="G23" i="143"/>
  <c r="H23" i="143"/>
  <c r="F24" i="143"/>
  <c r="G24" i="143"/>
  <c r="H24" i="143"/>
  <c r="F25" i="143"/>
  <c r="G25" i="143"/>
  <c r="H25" i="143"/>
  <c r="F26" i="143"/>
  <c r="G26" i="143"/>
  <c r="H26" i="143"/>
  <c r="F27" i="143"/>
  <c r="G27" i="143"/>
  <c r="H27" i="143"/>
  <c r="F28" i="143"/>
  <c r="G28" i="143"/>
  <c r="H28" i="143"/>
  <c r="F29" i="143"/>
  <c r="G29" i="143"/>
  <c r="H29" i="143"/>
  <c r="F30" i="143"/>
  <c r="G30" i="143"/>
  <c r="H30" i="143"/>
  <c r="F31" i="143"/>
  <c r="G31" i="143"/>
  <c r="H31" i="143"/>
  <c r="F32" i="143"/>
  <c r="G32" i="143"/>
  <c r="H32" i="143"/>
  <c r="G3" i="142" a="1"/>
  <c r="G3" i="142" s="1"/>
  <c r="C3" i="141"/>
  <c r="G3" i="141" s="1" a="1"/>
  <c r="G3" i="141" s="1"/>
  <c r="D3" i="141"/>
  <c r="F3" i="141" a="1"/>
  <c r="F3" i="141" s="1"/>
  <c r="C4" i="141"/>
  <c r="D4" i="141"/>
  <c r="C5" i="141"/>
  <c r="D5" i="141"/>
  <c r="C6" i="141"/>
  <c r="D6" i="141"/>
  <c r="C7" i="141"/>
  <c r="D7" i="141"/>
  <c r="C8" i="141"/>
  <c r="D8" i="141"/>
  <c r="C9" i="141"/>
  <c r="D9" i="141"/>
  <c r="C10" i="141"/>
  <c r="D10" i="141"/>
  <c r="C11" i="141"/>
  <c r="D11" i="141"/>
  <c r="C12" i="141"/>
  <c r="D12" i="141"/>
  <c r="C13" i="141"/>
  <c r="D13" i="141"/>
  <c r="C14" i="141"/>
  <c r="D14" i="141"/>
  <c r="C15" i="141"/>
  <c r="D15" i="141"/>
  <c r="C16" i="141"/>
  <c r="D16" i="141"/>
  <c r="C17" i="141"/>
  <c r="D17" i="141"/>
  <c r="C18" i="141"/>
  <c r="D18" i="141"/>
  <c r="C19" i="141"/>
  <c r="D19" i="141"/>
  <c r="C20" i="141"/>
  <c r="D20" i="141"/>
  <c r="C21" i="141"/>
  <c r="D21" i="141"/>
  <c r="C22" i="141"/>
  <c r="D22" i="141"/>
  <c r="C23" i="141"/>
  <c r="D23" i="141"/>
  <c r="C24" i="141"/>
  <c r="D24" i="141"/>
  <c r="C25" i="141"/>
  <c r="D25" i="141"/>
  <c r="C26" i="141"/>
  <c r="D26" i="141"/>
  <c r="C27" i="141"/>
  <c r="D27" i="141"/>
  <c r="C28" i="141"/>
  <c r="D28" i="141"/>
  <c r="C29" i="141"/>
  <c r="D29" i="141"/>
  <c r="C30" i="141"/>
  <c r="D30" i="141"/>
  <c r="C31" i="141"/>
  <c r="D31" i="141"/>
  <c r="C32" i="141"/>
  <c r="D32" i="141"/>
  <c r="J3" i="146" l="1" a="1"/>
  <c r="J3" i="146" s="1"/>
  <c r="E5" i="114"/>
  <c r="E6" i="114"/>
  <c r="E7" i="114"/>
  <c r="E8" i="114"/>
  <c r="E4" i="114"/>
  <c r="H4" i="113"/>
  <c r="E7" i="113" s="1"/>
  <c r="I4" i="113"/>
  <c r="E8" i="113" s="1"/>
  <c r="H5" i="113"/>
  <c r="F7" i="113" s="1"/>
  <c r="I5" i="113"/>
  <c r="F8" i="113" s="1"/>
  <c r="H6" i="113"/>
  <c r="G7" i="113" s="1"/>
  <c r="I6" i="113"/>
  <c r="G8" i="113" s="1"/>
  <c r="I7" i="113"/>
  <c r="H8" i="113" s="1"/>
  <c r="G5" i="113"/>
  <c r="F6" i="113" s="1"/>
  <c r="G4" i="113"/>
  <c r="E6" i="113" s="1"/>
  <c r="F4" i="113"/>
  <c r="E5" i="113" s="1"/>
  <c r="K15" i="82"/>
  <c r="K12" i="82"/>
  <c r="K9" i="82"/>
  <c r="J15" i="82"/>
  <c r="G9" i="82"/>
  <c r="G10" i="82"/>
  <c r="G11" i="82"/>
  <c r="J11" i="82" s="1"/>
  <c r="G12" i="82"/>
  <c r="G13" i="82"/>
  <c r="G14" i="82"/>
  <c r="G15" i="82"/>
  <c r="G16" i="82"/>
  <c r="G17" i="82"/>
  <c r="G18" i="82"/>
  <c r="G19" i="82"/>
  <c r="J19" i="82" s="1"/>
  <c r="G20" i="82"/>
  <c r="J20" i="82" s="1"/>
  <c r="G21" i="82"/>
  <c r="J21" i="82" s="1"/>
  <c r="G22" i="82"/>
  <c r="G23" i="82"/>
  <c r="J23" i="82" s="1"/>
  <c r="G24" i="82"/>
  <c r="G25" i="82"/>
  <c r="G26" i="82"/>
  <c r="I26" i="82" s="1"/>
  <c r="G27" i="82"/>
  <c r="I27" i="82" s="1"/>
  <c r="G8" i="82"/>
  <c r="I12" i="82"/>
  <c r="H9" i="82"/>
  <c r="J9" i="82" s="1"/>
  <c r="H10" i="82"/>
  <c r="H11" i="82"/>
  <c r="H12" i="82"/>
  <c r="J12" i="82" s="1"/>
  <c r="H13" i="82"/>
  <c r="J13" i="82" s="1"/>
  <c r="H14" i="82"/>
  <c r="J14" i="82" s="1"/>
  <c r="H15" i="82"/>
  <c r="H16" i="82"/>
  <c r="I16" i="82" s="1"/>
  <c r="H17" i="82"/>
  <c r="J17" i="82" s="1"/>
  <c r="H18" i="82"/>
  <c r="I18" i="82" s="1"/>
  <c r="H19" i="82"/>
  <c r="H20" i="82"/>
  <c r="H21" i="82"/>
  <c r="H22" i="82"/>
  <c r="J22" i="82" s="1"/>
  <c r="H23" i="82"/>
  <c r="H24" i="82"/>
  <c r="I24" i="82" s="1"/>
  <c r="H25" i="82"/>
  <c r="J25" i="82" s="1"/>
  <c r="H26" i="82"/>
  <c r="H27" i="82"/>
  <c r="H8" i="82"/>
  <c r="J8" i="82" s="1"/>
  <c r="D17" i="123"/>
  <c r="C17" i="123"/>
  <c r="D16" i="123"/>
  <c r="C16" i="123"/>
  <c r="D15" i="123"/>
  <c r="C15" i="123"/>
  <c r="D14" i="123"/>
  <c r="C14" i="123"/>
  <c r="D13" i="123"/>
  <c r="C13" i="123"/>
  <c r="D12" i="123"/>
  <c r="C12" i="123"/>
  <c r="D11" i="123"/>
  <c r="C11" i="123"/>
  <c r="D10" i="123"/>
  <c r="C10" i="123"/>
  <c r="D9" i="123"/>
  <c r="C9" i="123"/>
  <c r="H33" i="122"/>
  <c r="G33" i="122"/>
  <c r="H32" i="122"/>
  <c r="G32" i="122"/>
  <c r="H31" i="122"/>
  <c r="G31" i="122"/>
  <c r="H30" i="122"/>
  <c r="G30" i="122"/>
  <c r="H29" i="122"/>
  <c r="G29" i="122"/>
  <c r="H28" i="122"/>
  <c r="G28" i="122"/>
  <c r="H27" i="122"/>
  <c r="G27" i="122"/>
  <c r="H26" i="122"/>
  <c r="G26" i="122"/>
  <c r="H25" i="122"/>
  <c r="G25" i="122"/>
  <c r="H24" i="122"/>
  <c r="G24" i="122"/>
  <c r="H23" i="122"/>
  <c r="G23" i="122"/>
  <c r="H22" i="122"/>
  <c r="G22" i="122"/>
  <c r="H21" i="122"/>
  <c r="G21" i="122"/>
  <c r="H20" i="122"/>
  <c r="G20" i="122"/>
  <c r="H19" i="122"/>
  <c r="G19" i="122"/>
  <c r="H18" i="122"/>
  <c r="G18" i="122"/>
  <c r="H17" i="122"/>
  <c r="G17" i="122"/>
  <c r="H16" i="122"/>
  <c r="G16" i="122"/>
  <c r="H15" i="122"/>
  <c r="G15" i="122"/>
  <c r="H14" i="122"/>
  <c r="G14" i="122"/>
  <c r="H13" i="122"/>
  <c r="G13" i="122"/>
  <c r="H12" i="122"/>
  <c r="G12" i="122"/>
  <c r="H11" i="122"/>
  <c r="G11" i="122"/>
  <c r="H10" i="122"/>
  <c r="G10" i="122"/>
  <c r="H9" i="122"/>
  <c r="G9" i="122"/>
  <c r="H8" i="122"/>
  <c r="G8" i="122"/>
  <c r="H7" i="122"/>
  <c r="G7" i="122"/>
  <c r="H6" i="122"/>
  <c r="G6" i="122"/>
  <c r="H5" i="122"/>
  <c r="G5" i="122"/>
  <c r="H4" i="122"/>
  <c r="G4" i="122"/>
  <c r="K5" i="113" l="1"/>
  <c r="K8" i="113"/>
  <c r="K6" i="113"/>
  <c r="K7" i="113"/>
  <c r="K4" i="113"/>
  <c r="I8" i="82"/>
  <c r="J26" i="82"/>
  <c r="J18" i="82"/>
  <c r="J10" i="82"/>
  <c r="I20" i="82"/>
  <c r="I19" i="82"/>
  <c r="J24" i="82"/>
  <c r="J16" i="82"/>
  <c r="I25" i="82"/>
  <c r="I11" i="82"/>
  <c r="I23" i="82"/>
  <c r="I15" i="82"/>
  <c r="J27" i="82"/>
  <c r="I10" i="82"/>
  <c r="I22" i="82"/>
  <c r="I14" i="82"/>
  <c r="I17" i="82"/>
  <c r="I9" i="82"/>
  <c r="I21" i="82"/>
  <c r="I13" i="82"/>
  <c r="G17" i="123" a="1"/>
  <c r="G17" i="123" s="1"/>
  <c r="F11" i="123" a="1"/>
  <c r="F11" i="123" s="1"/>
  <c r="E15" i="123" a="1"/>
  <c r="E15" i="123" s="1"/>
  <c r="E12" i="123" a="1"/>
  <c r="E12" i="123" s="1"/>
  <c r="E17" i="123" a="1"/>
  <c r="E17" i="123" s="1"/>
  <c r="F15" i="123" a="1"/>
  <c r="F15" i="123" s="1"/>
  <c r="G15" i="123" a="1"/>
  <c r="G15" i="123" s="1"/>
  <c r="G9" i="123" a="1"/>
  <c r="G9" i="123" s="1"/>
  <c r="E13" i="123" a="1"/>
  <c r="E13" i="123" s="1"/>
  <c r="E16" i="123" a="1"/>
  <c r="E16" i="123" s="1"/>
  <c r="F10" i="123" a="1"/>
  <c r="F10" i="123" s="1"/>
  <c r="E14" i="123" a="1"/>
  <c r="E14" i="123" s="1"/>
  <c r="E9" i="123" a="1"/>
  <c r="E9" i="123" s="1"/>
  <c r="F16" i="123" a="1"/>
  <c r="F16" i="123" s="1"/>
  <c r="F14" i="123" a="1"/>
  <c r="F14" i="123" s="1"/>
  <c r="G14" i="123" a="1"/>
  <c r="G14" i="123" s="1"/>
  <c r="G16" i="123" a="1"/>
  <c r="G16" i="123" s="1"/>
  <c r="G12" i="123" a="1"/>
  <c r="G12" i="123" s="1"/>
  <c r="G13" i="123" a="1"/>
  <c r="G13" i="123" s="1"/>
  <c r="E11" i="123" a="1"/>
  <c r="E11" i="123" s="1"/>
  <c r="G10" i="123" a="1"/>
  <c r="G10" i="123" s="1"/>
  <c r="F12" i="123" a="1"/>
  <c r="F12" i="123" s="1"/>
  <c r="G11" i="123" a="1"/>
  <c r="G11" i="123" s="1"/>
  <c r="F13" i="123" a="1"/>
  <c r="F13" i="123" s="1"/>
  <c r="F9" i="123" a="1"/>
  <c r="F9" i="123" s="1"/>
  <c r="F17" i="123" a="1"/>
  <c r="F17" i="123" s="1"/>
  <c r="E10" i="123" a="1"/>
  <c r="E10" i="123" s="1"/>
  <c r="H17" i="123" l="1"/>
  <c r="H15" i="123"/>
  <c r="H9" i="123"/>
  <c r="H14" i="123"/>
  <c r="H16" i="123"/>
  <c r="H11" i="123"/>
  <c r="H12" i="123"/>
  <c r="H13" i="123"/>
  <c r="H10" i="123"/>
  <c r="D21" i="123" l="1"/>
  <c r="C19" i="123"/>
  <c r="C20" i="123"/>
  <c r="D19" i="123"/>
  <c r="D20" i="123"/>
  <c r="C21" i="123"/>
  <c r="B12" i="92" a="1"/>
  <c r="H12" i="92" s="1"/>
  <c r="H4" i="92"/>
  <c r="H4" i="92" a="1"/>
  <c r="B37" i="91" a="1"/>
  <c r="H61" i="91" s="1"/>
  <c r="B12" i="91" a="1"/>
  <c r="H36" i="91" s="1"/>
  <c r="B1002" i="86"/>
  <c r="B1001" i="86"/>
  <c r="B1000" i="86"/>
  <c r="B999" i="86"/>
  <c r="B998" i="86"/>
  <c r="B997" i="86"/>
  <c r="B996" i="86"/>
  <c r="B995" i="86"/>
  <c r="B994" i="86"/>
  <c r="B993" i="86"/>
  <c r="B992" i="86"/>
  <c r="B991" i="86"/>
  <c r="B990" i="86"/>
  <c r="B989" i="86"/>
  <c r="B988" i="86"/>
  <c r="B987" i="86"/>
  <c r="B986" i="86"/>
  <c r="B985" i="86"/>
  <c r="B984" i="86"/>
  <c r="B983" i="86"/>
  <c r="B982" i="86"/>
  <c r="B981" i="86"/>
  <c r="B980" i="86"/>
  <c r="B979" i="86"/>
  <c r="B978" i="86"/>
  <c r="B977" i="86"/>
  <c r="B976" i="86"/>
  <c r="B975" i="86"/>
  <c r="B974" i="86"/>
  <c r="B973" i="86"/>
  <c r="B972" i="86"/>
  <c r="B971" i="86"/>
  <c r="B970" i="86"/>
  <c r="B969" i="86"/>
  <c r="B968" i="86"/>
  <c r="B967" i="86"/>
  <c r="B966" i="86"/>
  <c r="B965" i="86"/>
  <c r="B964" i="86"/>
  <c r="B963" i="86"/>
  <c r="B962" i="86"/>
  <c r="B961" i="86"/>
  <c r="B960" i="86"/>
  <c r="B959" i="86"/>
  <c r="B958" i="86"/>
  <c r="B957" i="86"/>
  <c r="B956" i="86"/>
  <c r="B955" i="86"/>
  <c r="B954" i="86"/>
  <c r="B953" i="86"/>
  <c r="B952" i="86"/>
  <c r="B951" i="86"/>
  <c r="B950" i="86"/>
  <c r="B949" i="86"/>
  <c r="B948" i="86"/>
  <c r="B947" i="86"/>
  <c r="B946" i="86"/>
  <c r="B945" i="86"/>
  <c r="B944" i="86"/>
  <c r="B943" i="86"/>
  <c r="B942" i="86"/>
  <c r="B941" i="86"/>
  <c r="B940" i="86"/>
  <c r="B939" i="86"/>
  <c r="B938" i="86"/>
  <c r="B937" i="86"/>
  <c r="B936" i="86"/>
  <c r="B935" i="86"/>
  <c r="B934" i="86"/>
  <c r="B933" i="86"/>
  <c r="B932" i="86"/>
  <c r="B931" i="86"/>
  <c r="B930" i="86"/>
  <c r="B929" i="86"/>
  <c r="B928" i="86"/>
  <c r="B927" i="86"/>
  <c r="B926" i="86"/>
  <c r="B925" i="86"/>
  <c r="B924" i="86"/>
  <c r="B923" i="86"/>
  <c r="B922" i="86"/>
  <c r="B921" i="86"/>
  <c r="B920" i="86"/>
  <c r="B919" i="86"/>
  <c r="B918" i="86"/>
  <c r="B917" i="86"/>
  <c r="B916" i="86"/>
  <c r="B915" i="86"/>
  <c r="B914" i="86"/>
  <c r="B913" i="86"/>
  <c r="B912" i="86"/>
  <c r="B911" i="86"/>
  <c r="B910" i="86"/>
  <c r="B909" i="86"/>
  <c r="B908" i="86"/>
  <c r="B907" i="86"/>
  <c r="B906" i="86"/>
  <c r="B905" i="86"/>
  <c r="B904" i="86"/>
  <c r="B903" i="86"/>
  <c r="B902" i="86"/>
  <c r="B901" i="86"/>
  <c r="B900" i="86"/>
  <c r="B899" i="86"/>
  <c r="B898" i="86"/>
  <c r="B897" i="86"/>
  <c r="B896" i="86"/>
  <c r="B895" i="86"/>
  <c r="B894" i="86"/>
  <c r="B893" i="86"/>
  <c r="B892" i="86"/>
  <c r="B891" i="86"/>
  <c r="B890" i="86"/>
  <c r="B889" i="86"/>
  <c r="B888" i="86"/>
  <c r="B887" i="86"/>
  <c r="B886" i="86"/>
  <c r="B885" i="86"/>
  <c r="B884" i="86"/>
  <c r="B883" i="86"/>
  <c r="B882" i="86"/>
  <c r="B881" i="86"/>
  <c r="B880" i="86"/>
  <c r="B879" i="86"/>
  <c r="B878" i="86"/>
  <c r="B877" i="86"/>
  <c r="B876" i="86"/>
  <c r="B875" i="86"/>
  <c r="B874" i="86"/>
  <c r="B873" i="86"/>
  <c r="B872" i="86"/>
  <c r="B871" i="86"/>
  <c r="B870" i="86"/>
  <c r="B869" i="86"/>
  <c r="B868" i="86"/>
  <c r="B867" i="86"/>
  <c r="B866" i="86"/>
  <c r="B865" i="86"/>
  <c r="B864" i="86"/>
  <c r="B863" i="86"/>
  <c r="B862" i="86"/>
  <c r="B861" i="86"/>
  <c r="B860" i="86"/>
  <c r="B859" i="86"/>
  <c r="B858" i="86"/>
  <c r="B857" i="86"/>
  <c r="B856" i="86"/>
  <c r="B855" i="86"/>
  <c r="B854" i="86"/>
  <c r="B853" i="86"/>
  <c r="B852" i="86"/>
  <c r="B851" i="86"/>
  <c r="B850" i="86"/>
  <c r="B849" i="86"/>
  <c r="B848" i="86"/>
  <c r="B847" i="86"/>
  <c r="B846" i="86"/>
  <c r="B845" i="86"/>
  <c r="B844" i="86"/>
  <c r="B843" i="86"/>
  <c r="B842" i="86"/>
  <c r="B841" i="86"/>
  <c r="B840" i="86"/>
  <c r="B839" i="86"/>
  <c r="B838" i="86"/>
  <c r="B837" i="86"/>
  <c r="B836" i="86"/>
  <c r="B835" i="86"/>
  <c r="B834" i="86"/>
  <c r="B833" i="86"/>
  <c r="B832" i="86"/>
  <c r="B831" i="86"/>
  <c r="B830" i="86"/>
  <c r="B829" i="86"/>
  <c r="B828" i="86"/>
  <c r="B827" i="86"/>
  <c r="B826" i="86"/>
  <c r="B825" i="86"/>
  <c r="B824" i="86"/>
  <c r="B823" i="86"/>
  <c r="B822" i="86"/>
  <c r="B821" i="86"/>
  <c r="B820" i="86"/>
  <c r="B819" i="86"/>
  <c r="B818" i="86"/>
  <c r="B817" i="86"/>
  <c r="B816" i="86"/>
  <c r="B815" i="86"/>
  <c r="B814" i="86"/>
  <c r="B813" i="86"/>
  <c r="B812" i="86"/>
  <c r="B811" i="86"/>
  <c r="B810" i="86"/>
  <c r="B809" i="86"/>
  <c r="B808" i="86"/>
  <c r="B807" i="86"/>
  <c r="B806" i="86"/>
  <c r="B805" i="86"/>
  <c r="B804" i="86"/>
  <c r="B803" i="86"/>
  <c r="B802" i="86"/>
  <c r="B801" i="86"/>
  <c r="B800" i="86"/>
  <c r="B799" i="86"/>
  <c r="B798" i="86"/>
  <c r="B797" i="86"/>
  <c r="B796" i="86"/>
  <c r="B795" i="86"/>
  <c r="B794" i="86"/>
  <c r="B793" i="86"/>
  <c r="B792" i="86"/>
  <c r="B791" i="86"/>
  <c r="B790" i="86"/>
  <c r="B789" i="86"/>
  <c r="B788" i="86"/>
  <c r="B787" i="86"/>
  <c r="B786" i="86"/>
  <c r="B785" i="86"/>
  <c r="B784" i="86"/>
  <c r="B783" i="86"/>
  <c r="B782" i="86"/>
  <c r="B781" i="86"/>
  <c r="B780" i="86"/>
  <c r="B779" i="86"/>
  <c r="B778" i="86"/>
  <c r="B777" i="86"/>
  <c r="B776" i="86"/>
  <c r="B775" i="86"/>
  <c r="B774" i="86"/>
  <c r="B773" i="86"/>
  <c r="B772" i="86"/>
  <c r="B771" i="86"/>
  <c r="B770" i="86"/>
  <c r="B769" i="86"/>
  <c r="B768" i="86"/>
  <c r="B767" i="86"/>
  <c r="B766" i="86"/>
  <c r="B765" i="86"/>
  <c r="B764" i="86"/>
  <c r="B763" i="86"/>
  <c r="B762" i="86"/>
  <c r="B761" i="86"/>
  <c r="B760" i="86"/>
  <c r="B759" i="86"/>
  <c r="B758" i="86"/>
  <c r="B757" i="86"/>
  <c r="B756" i="86"/>
  <c r="B755" i="86"/>
  <c r="B754" i="86"/>
  <c r="B753" i="86"/>
  <c r="B752" i="86"/>
  <c r="B751" i="86"/>
  <c r="B750" i="86"/>
  <c r="B749" i="86"/>
  <c r="B748" i="86"/>
  <c r="B747" i="86"/>
  <c r="B746" i="86"/>
  <c r="B745" i="86"/>
  <c r="B744" i="86"/>
  <c r="B743" i="86"/>
  <c r="B742" i="86"/>
  <c r="B741" i="86"/>
  <c r="B740" i="86"/>
  <c r="B739" i="86"/>
  <c r="B738" i="86"/>
  <c r="B737" i="86"/>
  <c r="B736" i="86"/>
  <c r="B735" i="86"/>
  <c r="B734" i="86"/>
  <c r="B733" i="86"/>
  <c r="B732" i="86"/>
  <c r="B731" i="86"/>
  <c r="B730" i="86"/>
  <c r="B729" i="86"/>
  <c r="B728" i="86"/>
  <c r="B727" i="86"/>
  <c r="B726" i="86"/>
  <c r="B725" i="86"/>
  <c r="B724" i="86"/>
  <c r="B723" i="86"/>
  <c r="B722" i="86"/>
  <c r="B721" i="86"/>
  <c r="B720" i="86"/>
  <c r="B719" i="86"/>
  <c r="B718" i="86"/>
  <c r="B717" i="86"/>
  <c r="B716" i="86"/>
  <c r="B715" i="86"/>
  <c r="B714" i="86"/>
  <c r="B713" i="86"/>
  <c r="B712" i="86"/>
  <c r="B711" i="86"/>
  <c r="B710" i="86"/>
  <c r="B709" i="86"/>
  <c r="B708" i="86"/>
  <c r="B707" i="86"/>
  <c r="B706" i="86"/>
  <c r="B705" i="86"/>
  <c r="B704" i="86"/>
  <c r="B703" i="86"/>
  <c r="B702" i="86"/>
  <c r="B701" i="86"/>
  <c r="B700" i="86"/>
  <c r="B699" i="86"/>
  <c r="B698" i="86"/>
  <c r="B697" i="86"/>
  <c r="B696" i="86"/>
  <c r="B695" i="86"/>
  <c r="B694" i="86"/>
  <c r="B693" i="86"/>
  <c r="B692" i="86"/>
  <c r="B691" i="86"/>
  <c r="B690" i="86"/>
  <c r="B689" i="86"/>
  <c r="B688" i="86"/>
  <c r="B687" i="86"/>
  <c r="B686" i="86"/>
  <c r="B685" i="86"/>
  <c r="B684" i="86"/>
  <c r="B683" i="86"/>
  <c r="B682" i="86"/>
  <c r="B681" i="86"/>
  <c r="B680" i="86"/>
  <c r="B679" i="86"/>
  <c r="B678" i="86"/>
  <c r="B677" i="86"/>
  <c r="B676" i="86"/>
  <c r="B675" i="86"/>
  <c r="B674" i="86"/>
  <c r="B673" i="86"/>
  <c r="B672" i="86"/>
  <c r="B671" i="86"/>
  <c r="B670" i="86"/>
  <c r="B669" i="86"/>
  <c r="B668" i="86"/>
  <c r="B667" i="86"/>
  <c r="B666" i="86"/>
  <c r="B665" i="86"/>
  <c r="B664" i="86"/>
  <c r="B663" i="86"/>
  <c r="B662" i="86"/>
  <c r="B661" i="86"/>
  <c r="B660" i="86"/>
  <c r="B659" i="86"/>
  <c r="B658" i="86"/>
  <c r="B657" i="86"/>
  <c r="B656" i="86"/>
  <c r="B655" i="86"/>
  <c r="B654" i="86"/>
  <c r="B653" i="86"/>
  <c r="B652" i="86"/>
  <c r="B651" i="86"/>
  <c r="B650" i="86"/>
  <c r="B649" i="86"/>
  <c r="B648" i="86"/>
  <c r="B647" i="86"/>
  <c r="B646" i="86"/>
  <c r="B645" i="86"/>
  <c r="B644" i="86"/>
  <c r="B643" i="86"/>
  <c r="B642" i="86"/>
  <c r="B641" i="86"/>
  <c r="B640" i="86"/>
  <c r="B639" i="86"/>
  <c r="B638" i="86"/>
  <c r="B637" i="86"/>
  <c r="B636" i="86"/>
  <c r="B635" i="86"/>
  <c r="B634" i="86"/>
  <c r="B633" i="86"/>
  <c r="B632" i="86"/>
  <c r="B631" i="86"/>
  <c r="B630" i="86"/>
  <c r="B629" i="86"/>
  <c r="B628" i="86"/>
  <c r="B627" i="86"/>
  <c r="B626" i="86"/>
  <c r="B625" i="86"/>
  <c r="B624" i="86"/>
  <c r="B623" i="86"/>
  <c r="B622" i="86"/>
  <c r="B621" i="86"/>
  <c r="B620" i="86"/>
  <c r="B619" i="86"/>
  <c r="B618" i="86"/>
  <c r="B617" i="86"/>
  <c r="B616" i="86"/>
  <c r="B615" i="86"/>
  <c r="B614" i="86"/>
  <c r="B613" i="86"/>
  <c r="B612" i="86"/>
  <c r="B611" i="86"/>
  <c r="B610" i="86"/>
  <c r="B609" i="86"/>
  <c r="B608" i="86"/>
  <c r="B607" i="86"/>
  <c r="B606" i="86"/>
  <c r="B605" i="86"/>
  <c r="B604" i="86"/>
  <c r="B603" i="86"/>
  <c r="B602" i="86"/>
  <c r="B601" i="86"/>
  <c r="B600" i="86"/>
  <c r="B599" i="86"/>
  <c r="B598" i="86"/>
  <c r="B597" i="86"/>
  <c r="B596" i="86"/>
  <c r="B595" i="86"/>
  <c r="B594" i="86"/>
  <c r="B593" i="86"/>
  <c r="B592" i="86"/>
  <c r="B591" i="86"/>
  <c r="B590" i="86"/>
  <c r="B589" i="86"/>
  <c r="B588" i="86"/>
  <c r="B587" i="86"/>
  <c r="B586" i="86"/>
  <c r="B585" i="86"/>
  <c r="B584" i="86"/>
  <c r="B583" i="86"/>
  <c r="B582" i="86"/>
  <c r="B581" i="86"/>
  <c r="B580" i="86"/>
  <c r="B579" i="86"/>
  <c r="B578" i="86"/>
  <c r="B577" i="86"/>
  <c r="B576" i="86"/>
  <c r="B575" i="86"/>
  <c r="B574" i="86"/>
  <c r="B573" i="86"/>
  <c r="B572" i="86"/>
  <c r="B571" i="86"/>
  <c r="B570" i="86"/>
  <c r="B569" i="86"/>
  <c r="B568" i="86"/>
  <c r="B567" i="86"/>
  <c r="B566" i="86"/>
  <c r="B565" i="86"/>
  <c r="B564" i="86"/>
  <c r="B563" i="86"/>
  <c r="B562" i="86"/>
  <c r="B561" i="86"/>
  <c r="B560" i="86"/>
  <c r="B559" i="86"/>
  <c r="B558" i="86"/>
  <c r="B557" i="86"/>
  <c r="B556" i="86"/>
  <c r="B555" i="86"/>
  <c r="B554" i="86"/>
  <c r="B553" i="86"/>
  <c r="B552" i="86"/>
  <c r="B551" i="86"/>
  <c r="B550" i="86"/>
  <c r="B549" i="86"/>
  <c r="B548" i="86"/>
  <c r="B547" i="86"/>
  <c r="B546" i="86"/>
  <c r="B545" i="86"/>
  <c r="B544" i="86"/>
  <c r="B543" i="86"/>
  <c r="B542" i="86"/>
  <c r="B541" i="86"/>
  <c r="B540" i="86"/>
  <c r="B539" i="86"/>
  <c r="B538" i="86"/>
  <c r="B537" i="86"/>
  <c r="B536" i="86"/>
  <c r="B535" i="86"/>
  <c r="B534" i="86"/>
  <c r="B533" i="86"/>
  <c r="B532" i="86"/>
  <c r="B531" i="86"/>
  <c r="B530" i="86"/>
  <c r="B529" i="86"/>
  <c r="B528" i="86"/>
  <c r="B527" i="86"/>
  <c r="B526" i="86"/>
  <c r="B525" i="86"/>
  <c r="B524" i="86"/>
  <c r="B523" i="86"/>
  <c r="B522" i="86"/>
  <c r="B521" i="86"/>
  <c r="B520" i="86"/>
  <c r="B519" i="86"/>
  <c r="B518" i="86"/>
  <c r="B517" i="86"/>
  <c r="B516" i="86"/>
  <c r="B515" i="86"/>
  <c r="B514" i="86"/>
  <c r="B513" i="86"/>
  <c r="B512" i="86"/>
  <c r="B511" i="86"/>
  <c r="B510" i="86"/>
  <c r="B509" i="86"/>
  <c r="B508" i="86"/>
  <c r="B507" i="86"/>
  <c r="B506" i="86"/>
  <c r="B505" i="86"/>
  <c r="B504" i="86"/>
  <c r="B503" i="86"/>
  <c r="B502" i="86"/>
  <c r="B501" i="86"/>
  <c r="B500" i="86"/>
  <c r="B499" i="86"/>
  <c r="B498" i="86"/>
  <c r="B497" i="86"/>
  <c r="B496" i="86"/>
  <c r="B495" i="86"/>
  <c r="B494" i="86"/>
  <c r="B493" i="86"/>
  <c r="B492" i="86"/>
  <c r="B491" i="86"/>
  <c r="B490" i="86"/>
  <c r="B489" i="86"/>
  <c r="B488" i="86"/>
  <c r="B487" i="86"/>
  <c r="B486" i="86"/>
  <c r="B485" i="86"/>
  <c r="B484" i="86"/>
  <c r="B483" i="86"/>
  <c r="B482" i="86"/>
  <c r="B481" i="86"/>
  <c r="B480" i="86"/>
  <c r="B479" i="86"/>
  <c r="B478" i="86"/>
  <c r="B477" i="86"/>
  <c r="B476" i="86"/>
  <c r="B475" i="86"/>
  <c r="B474" i="86"/>
  <c r="B473" i="86"/>
  <c r="B472" i="86"/>
  <c r="B471" i="86"/>
  <c r="B470" i="86"/>
  <c r="B469" i="86"/>
  <c r="B468" i="86"/>
  <c r="B467" i="86"/>
  <c r="B466" i="86"/>
  <c r="B465" i="86"/>
  <c r="B464" i="86"/>
  <c r="B463" i="86"/>
  <c r="B462" i="86"/>
  <c r="B461" i="86"/>
  <c r="B460" i="86"/>
  <c r="B459" i="86"/>
  <c r="B458" i="86"/>
  <c r="B457" i="86"/>
  <c r="B456" i="86"/>
  <c r="B455" i="86"/>
  <c r="B454" i="86"/>
  <c r="B453" i="86"/>
  <c r="B452" i="86"/>
  <c r="B451" i="86"/>
  <c r="B450" i="86"/>
  <c r="B449" i="86"/>
  <c r="B448" i="86"/>
  <c r="B447" i="86"/>
  <c r="B446" i="86"/>
  <c r="B445" i="86"/>
  <c r="B444" i="86"/>
  <c r="B443" i="86"/>
  <c r="B442" i="86"/>
  <c r="B441" i="86"/>
  <c r="B440" i="86"/>
  <c r="B439" i="86"/>
  <c r="B438" i="86"/>
  <c r="B437" i="86"/>
  <c r="B436" i="86"/>
  <c r="B435" i="86"/>
  <c r="B434" i="86"/>
  <c r="B433" i="86"/>
  <c r="B432" i="86"/>
  <c r="B431" i="86"/>
  <c r="B430" i="86"/>
  <c r="B429" i="86"/>
  <c r="B428" i="86"/>
  <c r="B427" i="86"/>
  <c r="B426" i="86"/>
  <c r="B425" i="86"/>
  <c r="B424" i="86"/>
  <c r="B423" i="86"/>
  <c r="B422" i="86"/>
  <c r="B421" i="86"/>
  <c r="B420" i="86"/>
  <c r="B419" i="86"/>
  <c r="B418" i="86"/>
  <c r="B417" i="86"/>
  <c r="B416" i="86"/>
  <c r="B415" i="86"/>
  <c r="B414" i="86"/>
  <c r="B413" i="86"/>
  <c r="B412" i="86"/>
  <c r="B411" i="86"/>
  <c r="B410" i="86"/>
  <c r="B409" i="86"/>
  <c r="B408" i="86"/>
  <c r="B407" i="86"/>
  <c r="B406" i="86"/>
  <c r="B405" i="86"/>
  <c r="B404" i="86"/>
  <c r="B403" i="86"/>
  <c r="B402" i="86"/>
  <c r="B401" i="86"/>
  <c r="B400" i="86"/>
  <c r="B399" i="86"/>
  <c r="B398" i="86"/>
  <c r="B397" i="86"/>
  <c r="B396" i="86"/>
  <c r="B395" i="86"/>
  <c r="B394" i="86"/>
  <c r="B393" i="86"/>
  <c r="B392" i="86"/>
  <c r="B391" i="86"/>
  <c r="B390" i="86"/>
  <c r="B389" i="86"/>
  <c r="B388" i="86"/>
  <c r="B387" i="86"/>
  <c r="B386" i="86"/>
  <c r="B385" i="86"/>
  <c r="B384" i="86"/>
  <c r="B383" i="86"/>
  <c r="B382" i="86"/>
  <c r="B381" i="86"/>
  <c r="B380" i="86"/>
  <c r="B379" i="86"/>
  <c r="B378" i="86"/>
  <c r="B377" i="86"/>
  <c r="B376" i="86"/>
  <c r="B375" i="86"/>
  <c r="B374" i="86"/>
  <c r="B373" i="86"/>
  <c r="B372" i="86"/>
  <c r="B371" i="86"/>
  <c r="B370" i="86"/>
  <c r="B369" i="86"/>
  <c r="B368" i="86"/>
  <c r="B367" i="86"/>
  <c r="B366" i="86"/>
  <c r="B365" i="86"/>
  <c r="B364" i="86"/>
  <c r="B363" i="86"/>
  <c r="B362" i="86"/>
  <c r="B361" i="86"/>
  <c r="B360" i="86"/>
  <c r="B359" i="86"/>
  <c r="B358" i="86"/>
  <c r="B357" i="86"/>
  <c r="B356" i="86"/>
  <c r="B355" i="86"/>
  <c r="B354" i="86"/>
  <c r="B353" i="86"/>
  <c r="B352" i="86"/>
  <c r="B351" i="86"/>
  <c r="B350" i="86"/>
  <c r="B349" i="86"/>
  <c r="B348" i="86"/>
  <c r="B347" i="86"/>
  <c r="B346" i="86"/>
  <c r="B345" i="86"/>
  <c r="B344" i="86"/>
  <c r="B343" i="86"/>
  <c r="B342" i="86"/>
  <c r="B341" i="86"/>
  <c r="B340" i="86"/>
  <c r="B339" i="86"/>
  <c r="B338" i="86"/>
  <c r="B337" i="86"/>
  <c r="B336" i="86"/>
  <c r="B335" i="86"/>
  <c r="B334" i="86"/>
  <c r="B333" i="86"/>
  <c r="B332" i="86"/>
  <c r="B331" i="86"/>
  <c r="B330" i="86"/>
  <c r="B329" i="86"/>
  <c r="B328" i="86"/>
  <c r="B327" i="86"/>
  <c r="B326" i="86"/>
  <c r="B325" i="86"/>
  <c r="B324" i="86"/>
  <c r="B323" i="86"/>
  <c r="B322" i="86"/>
  <c r="B321" i="86"/>
  <c r="B320" i="86"/>
  <c r="B319" i="86"/>
  <c r="B318" i="86"/>
  <c r="B317" i="86"/>
  <c r="B316" i="86"/>
  <c r="B315" i="86"/>
  <c r="B314" i="86"/>
  <c r="B313" i="86"/>
  <c r="B312" i="86"/>
  <c r="B311" i="86"/>
  <c r="B310" i="86"/>
  <c r="B309" i="86"/>
  <c r="B308" i="86"/>
  <c r="B307" i="86"/>
  <c r="B306" i="86"/>
  <c r="B305" i="86"/>
  <c r="B304" i="86"/>
  <c r="B303" i="86"/>
  <c r="B302" i="86"/>
  <c r="B301" i="86"/>
  <c r="B300" i="86"/>
  <c r="B299" i="86"/>
  <c r="B298" i="86"/>
  <c r="B297" i="86"/>
  <c r="B296" i="86"/>
  <c r="B295" i="86"/>
  <c r="B294" i="86"/>
  <c r="B293" i="86"/>
  <c r="B292" i="86"/>
  <c r="B291" i="86"/>
  <c r="B290" i="86"/>
  <c r="B289" i="86"/>
  <c r="B288" i="86"/>
  <c r="B287" i="86"/>
  <c r="B286" i="86"/>
  <c r="B285" i="86"/>
  <c r="B284" i="86"/>
  <c r="B283" i="86"/>
  <c r="B282" i="86"/>
  <c r="B281" i="86"/>
  <c r="B280" i="86"/>
  <c r="B279" i="86"/>
  <c r="B278" i="86"/>
  <c r="B277" i="86"/>
  <c r="B276" i="86"/>
  <c r="B275" i="86"/>
  <c r="B274" i="86"/>
  <c r="B273" i="86"/>
  <c r="B272" i="86"/>
  <c r="B271" i="86"/>
  <c r="B270" i="86"/>
  <c r="B269" i="86"/>
  <c r="B268" i="86"/>
  <c r="B267" i="86"/>
  <c r="B266" i="86"/>
  <c r="B265" i="86"/>
  <c r="B264" i="86"/>
  <c r="B263" i="86"/>
  <c r="B262" i="86"/>
  <c r="B261" i="86"/>
  <c r="B260" i="86"/>
  <c r="B259" i="86"/>
  <c r="B258" i="86"/>
  <c r="B257" i="86"/>
  <c r="B256" i="86"/>
  <c r="B255" i="86"/>
  <c r="B254" i="86"/>
  <c r="B253" i="86"/>
  <c r="B252" i="86"/>
  <c r="B251" i="86"/>
  <c r="B250" i="86"/>
  <c r="B249" i="86"/>
  <c r="B248" i="86"/>
  <c r="B247" i="86"/>
  <c r="B246" i="86"/>
  <c r="B245" i="86"/>
  <c r="B244" i="86"/>
  <c r="B243" i="86"/>
  <c r="B242" i="86"/>
  <c r="B241" i="86"/>
  <c r="B240" i="86"/>
  <c r="B239" i="86"/>
  <c r="B238" i="86"/>
  <c r="B237" i="86"/>
  <c r="B236" i="86"/>
  <c r="B235" i="86"/>
  <c r="B234" i="86"/>
  <c r="B233" i="86"/>
  <c r="B232" i="86"/>
  <c r="B231" i="86"/>
  <c r="B230" i="86"/>
  <c r="B229" i="86"/>
  <c r="B228" i="86"/>
  <c r="B227" i="86"/>
  <c r="B226" i="86"/>
  <c r="B225" i="86"/>
  <c r="B224" i="86"/>
  <c r="B223" i="86"/>
  <c r="B222" i="86"/>
  <c r="B221" i="86"/>
  <c r="B220" i="86"/>
  <c r="B219" i="86"/>
  <c r="B218" i="86"/>
  <c r="B217" i="86"/>
  <c r="B216" i="86"/>
  <c r="B215" i="86"/>
  <c r="B214" i="86"/>
  <c r="B213" i="86"/>
  <c r="B212" i="86"/>
  <c r="B211" i="86"/>
  <c r="B210" i="86"/>
  <c r="B209" i="86"/>
  <c r="B208" i="86"/>
  <c r="B207" i="86"/>
  <c r="B206" i="86"/>
  <c r="B205" i="86"/>
  <c r="B204" i="86"/>
  <c r="B203" i="86"/>
  <c r="B202" i="86"/>
  <c r="B201" i="86"/>
  <c r="B200" i="86"/>
  <c r="B199" i="86"/>
  <c r="B198" i="86"/>
  <c r="B197" i="86"/>
  <c r="B196" i="86"/>
  <c r="B195" i="86"/>
  <c r="B194" i="86"/>
  <c r="B193" i="86"/>
  <c r="B192" i="86"/>
  <c r="B191" i="86"/>
  <c r="B190" i="86"/>
  <c r="B189" i="86"/>
  <c r="B188" i="86"/>
  <c r="B187" i="86"/>
  <c r="B186" i="86"/>
  <c r="B185" i="86"/>
  <c r="B184" i="86"/>
  <c r="B183" i="86"/>
  <c r="B182" i="86"/>
  <c r="B181" i="86"/>
  <c r="B180" i="86"/>
  <c r="B179" i="86"/>
  <c r="B178" i="86"/>
  <c r="B177" i="86"/>
  <c r="B176" i="86"/>
  <c r="B175" i="86"/>
  <c r="B174" i="86"/>
  <c r="B173" i="86"/>
  <c r="B172" i="86"/>
  <c r="B171" i="86"/>
  <c r="B170" i="86"/>
  <c r="B169" i="86"/>
  <c r="B168" i="86"/>
  <c r="B167" i="86"/>
  <c r="B166" i="86"/>
  <c r="B165" i="86"/>
  <c r="B164" i="86"/>
  <c r="B163" i="86"/>
  <c r="B162" i="86"/>
  <c r="B161" i="86"/>
  <c r="B160" i="86"/>
  <c r="B159" i="86"/>
  <c r="B158" i="86"/>
  <c r="B157" i="86"/>
  <c r="B156" i="86"/>
  <c r="B155" i="86"/>
  <c r="B154" i="86"/>
  <c r="B153" i="86"/>
  <c r="B152" i="86"/>
  <c r="B151" i="86"/>
  <c r="B150" i="86"/>
  <c r="B149" i="86"/>
  <c r="B148" i="86"/>
  <c r="B147" i="86"/>
  <c r="B146" i="86"/>
  <c r="B145" i="86"/>
  <c r="B144" i="86"/>
  <c r="B143" i="86"/>
  <c r="B142" i="86"/>
  <c r="B141" i="86"/>
  <c r="B140" i="86"/>
  <c r="B139" i="86"/>
  <c r="B138" i="86"/>
  <c r="B137" i="86"/>
  <c r="B136" i="86"/>
  <c r="B135" i="86"/>
  <c r="B134" i="86"/>
  <c r="B133" i="86"/>
  <c r="B132" i="86"/>
  <c r="B131" i="86"/>
  <c r="B130" i="86"/>
  <c r="B129" i="86"/>
  <c r="B128" i="86"/>
  <c r="B127" i="86"/>
  <c r="B126" i="86"/>
  <c r="B125" i="86"/>
  <c r="B124" i="86"/>
  <c r="B123" i="86"/>
  <c r="B122" i="86"/>
  <c r="B121" i="86"/>
  <c r="B120" i="86"/>
  <c r="B119" i="86"/>
  <c r="B118" i="86"/>
  <c r="B117" i="86"/>
  <c r="B116" i="86"/>
  <c r="B115" i="86"/>
  <c r="B114" i="86"/>
  <c r="B113" i="86"/>
  <c r="B112" i="86"/>
  <c r="B111" i="86"/>
  <c r="B110" i="86"/>
  <c r="B109" i="86"/>
  <c r="B108" i="86"/>
  <c r="B107" i="86"/>
  <c r="B106" i="86"/>
  <c r="B105" i="86"/>
  <c r="B104" i="86"/>
  <c r="B103" i="86"/>
  <c r="B102" i="86"/>
  <c r="B101" i="86"/>
  <c r="B100" i="86"/>
  <c r="B99" i="86"/>
  <c r="B98" i="86"/>
  <c r="B97" i="86"/>
  <c r="B96" i="86"/>
  <c r="B95" i="86"/>
  <c r="B94" i="86"/>
  <c r="B93" i="86"/>
  <c r="B92" i="86"/>
  <c r="B91" i="86"/>
  <c r="B90" i="86"/>
  <c r="B89" i="86"/>
  <c r="B88" i="86"/>
  <c r="B87" i="86"/>
  <c r="B86" i="86"/>
  <c r="B85" i="86"/>
  <c r="B84" i="86"/>
  <c r="B83" i="86"/>
  <c r="B82" i="86"/>
  <c r="B81" i="86"/>
  <c r="B80" i="86"/>
  <c r="B79" i="86"/>
  <c r="B78" i="86"/>
  <c r="B77" i="86"/>
  <c r="B76" i="86"/>
  <c r="B75" i="86"/>
  <c r="B74" i="86"/>
  <c r="B73" i="86"/>
  <c r="B72" i="86"/>
  <c r="B71" i="86"/>
  <c r="B70" i="86"/>
  <c r="B69" i="86"/>
  <c r="B68" i="86"/>
  <c r="B67" i="86"/>
  <c r="B66" i="86"/>
  <c r="B65" i="86"/>
  <c r="B64" i="86"/>
  <c r="B63" i="86"/>
  <c r="B62" i="86"/>
  <c r="B61" i="86"/>
  <c r="B60" i="86"/>
  <c r="B59" i="86"/>
  <c r="B58" i="86"/>
  <c r="B57" i="86"/>
  <c r="B56" i="86"/>
  <c r="B55" i="86"/>
  <c r="B54" i="86"/>
  <c r="B53" i="86"/>
  <c r="B52" i="86"/>
  <c r="B51" i="86"/>
  <c r="B50" i="86"/>
  <c r="B49" i="86"/>
  <c r="B48" i="86"/>
  <c r="B47" i="86"/>
  <c r="B46" i="86"/>
  <c r="B45" i="86"/>
  <c r="B44" i="86"/>
  <c r="B43" i="86"/>
  <c r="B42" i="86"/>
  <c r="B41" i="86"/>
  <c r="B40" i="86"/>
  <c r="B39" i="86"/>
  <c r="B38" i="86"/>
  <c r="B37" i="86"/>
  <c r="B36" i="86"/>
  <c r="B35" i="86"/>
  <c r="B34" i="86"/>
  <c r="B33" i="86"/>
  <c r="B32" i="86"/>
  <c r="B31" i="86"/>
  <c r="B30" i="86"/>
  <c r="B29" i="86"/>
  <c r="B28" i="86"/>
  <c r="B27" i="86"/>
  <c r="B26" i="86"/>
  <c r="B25" i="86"/>
  <c r="B24" i="86"/>
  <c r="B23" i="86"/>
  <c r="B22" i="86"/>
  <c r="B21" i="86"/>
  <c r="B20" i="86"/>
  <c r="B19" i="86"/>
  <c r="B18" i="86"/>
  <c r="B17" i="86"/>
  <c r="B16" i="86"/>
  <c r="B15" i="86"/>
  <c r="B14" i="86"/>
  <c r="B13" i="86"/>
  <c r="B12" i="86"/>
  <c r="B11" i="86"/>
  <c r="B10" i="86"/>
  <c r="B9" i="86"/>
  <c r="B8" i="86"/>
  <c r="B7" i="86"/>
  <c r="B6" i="86"/>
  <c r="B5" i="86"/>
  <c r="B4" i="86"/>
  <c r="C3" i="86"/>
  <c r="B3" i="86" s="1"/>
  <c r="B1002" i="85"/>
  <c r="B1001" i="85"/>
  <c r="B1000" i="85"/>
  <c r="B999" i="85"/>
  <c r="B998" i="85"/>
  <c r="B997" i="85"/>
  <c r="B996" i="85"/>
  <c r="B995" i="85"/>
  <c r="B994" i="85"/>
  <c r="B993" i="85"/>
  <c r="B992" i="85"/>
  <c r="B991" i="85"/>
  <c r="B990" i="85"/>
  <c r="B989" i="85"/>
  <c r="B988" i="85"/>
  <c r="B987" i="85"/>
  <c r="B986" i="85"/>
  <c r="B985" i="85"/>
  <c r="B984" i="85"/>
  <c r="B983" i="85"/>
  <c r="B982" i="85"/>
  <c r="B981" i="85"/>
  <c r="B980" i="85"/>
  <c r="B979" i="85"/>
  <c r="B978" i="85"/>
  <c r="B977" i="85"/>
  <c r="B976" i="85"/>
  <c r="B975" i="85"/>
  <c r="B974" i="85"/>
  <c r="B973" i="85"/>
  <c r="B972" i="85"/>
  <c r="B971" i="85"/>
  <c r="B970" i="85"/>
  <c r="B969" i="85"/>
  <c r="B968" i="85"/>
  <c r="B967" i="85"/>
  <c r="B966" i="85"/>
  <c r="B965" i="85"/>
  <c r="B964" i="85"/>
  <c r="B963" i="85"/>
  <c r="B962" i="85"/>
  <c r="B961" i="85"/>
  <c r="B960" i="85"/>
  <c r="B959" i="85"/>
  <c r="B958" i="85"/>
  <c r="B957" i="85"/>
  <c r="B956" i="85"/>
  <c r="B955" i="85"/>
  <c r="B954" i="85"/>
  <c r="B953" i="85"/>
  <c r="B952" i="85"/>
  <c r="B951" i="85"/>
  <c r="B950" i="85"/>
  <c r="B949" i="85"/>
  <c r="B948" i="85"/>
  <c r="B947" i="85"/>
  <c r="B946" i="85"/>
  <c r="B945" i="85"/>
  <c r="B944" i="85"/>
  <c r="B943" i="85"/>
  <c r="B942" i="85"/>
  <c r="B941" i="85"/>
  <c r="B940" i="85"/>
  <c r="B939" i="85"/>
  <c r="B938" i="85"/>
  <c r="B937" i="85"/>
  <c r="B936" i="85"/>
  <c r="B935" i="85"/>
  <c r="B934" i="85"/>
  <c r="B933" i="85"/>
  <c r="B932" i="85"/>
  <c r="B931" i="85"/>
  <c r="B930" i="85"/>
  <c r="B929" i="85"/>
  <c r="B928" i="85"/>
  <c r="B927" i="85"/>
  <c r="B926" i="85"/>
  <c r="B925" i="85"/>
  <c r="B924" i="85"/>
  <c r="B923" i="85"/>
  <c r="B922" i="85"/>
  <c r="B921" i="85"/>
  <c r="B920" i="85"/>
  <c r="B919" i="85"/>
  <c r="B918" i="85"/>
  <c r="B917" i="85"/>
  <c r="B916" i="85"/>
  <c r="B915" i="85"/>
  <c r="B914" i="85"/>
  <c r="B913" i="85"/>
  <c r="B912" i="85"/>
  <c r="B911" i="85"/>
  <c r="B910" i="85"/>
  <c r="B909" i="85"/>
  <c r="B908" i="85"/>
  <c r="B907" i="85"/>
  <c r="B906" i="85"/>
  <c r="B905" i="85"/>
  <c r="B904" i="85"/>
  <c r="B903" i="85"/>
  <c r="B902" i="85"/>
  <c r="B901" i="85"/>
  <c r="B900" i="85"/>
  <c r="B899" i="85"/>
  <c r="B898" i="85"/>
  <c r="B897" i="85"/>
  <c r="B896" i="85"/>
  <c r="B895" i="85"/>
  <c r="B894" i="85"/>
  <c r="B893" i="85"/>
  <c r="B892" i="85"/>
  <c r="B891" i="85"/>
  <c r="B890" i="85"/>
  <c r="B889" i="85"/>
  <c r="B888" i="85"/>
  <c r="B887" i="85"/>
  <c r="B886" i="85"/>
  <c r="B885" i="85"/>
  <c r="B884" i="85"/>
  <c r="B883" i="85"/>
  <c r="B882" i="85"/>
  <c r="B881" i="85"/>
  <c r="B880" i="85"/>
  <c r="B879" i="85"/>
  <c r="B878" i="85"/>
  <c r="B877" i="85"/>
  <c r="B876" i="85"/>
  <c r="B875" i="85"/>
  <c r="B874" i="85"/>
  <c r="B873" i="85"/>
  <c r="B872" i="85"/>
  <c r="B871" i="85"/>
  <c r="B870" i="85"/>
  <c r="B869" i="85"/>
  <c r="B868" i="85"/>
  <c r="B867" i="85"/>
  <c r="B866" i="85"/>
  <c r="B865" i="85"/>
  <c r="B864" i="85"/>
  <c r="B863" i="85"/>
  <c r="B862" i="85"/>
  <c r="B861" i="85"/>
  <c r="B860" i="85"/>
  <c r="B859" i="85"/>
  <c r="B858" i="85"/>
  <c r="B857" i="85"/>
  <c r="B856" i="85"/>
  <c r="B855" i="85"/>
  <c r="B854" i="85"/>
  <c r="B853" i="85"/>
  <c r="B852" i="85"/>
  <c r="B851" i="85"/>
  <c r="B850" i="85"/>
  <c r="B849" i="85"/>
  <c r="B848" i="85"/>
  <c r="B847" i="85"/>
  <c r="B846" i="85"/>
  <c r="B845" i="85"/>
  <c r="B844" i="85"/>
  <c r="B843" i="85"/>
  <c r="B842" i="85"/>
  <c r="B841" i="85"/>
  <c r="B840" i="85"/>
  <c r="B839" i="85"/>
  <c r="B838" i="85"/>
  <c r="B837" i="85"/>
  <c r="B836" i="85"/>
  <c r="B835" i="85"/>
  <c r="B834" i="85"/>
  <c r="B833" i="85"/>
  <c r="B832" i="85"/>
  <c r="B831" i="85"/>
  <c r="B830" i="85"/>
  <c r="B829" i="85"/>
  <c r="B828" i="85"/>
  <c r="B827" i="85"/>
  <c r="B826" i="85"/>
  <c r="B825" i="85"/>
  <c r="B824" i="85"/>
  <c r="B823" i="85"/>
  <c r="B822" i="85"/>
  <c r="B821" i="85"/>
  <c r="B820" i="85"/>
  <c r="B819" i="85"/>
  <c r="B818" i="85"/>
  <c r="B817" i="85"/>
  <c r="B816" i="85"/>
  <c r="B815" i="85"/>
  <c r="B814" i="85"/>
  <c r="B813" i="85"/>
  <c r="B812" i="85"/>
  <c r="B811" i="85"/>
  <c r="B810" i="85"/>
  <c r="B809" i="85"/>
  <c r="B808" i="85"/>
  <c r="B807" i="85"/>
  <c r="B806" i="85"/>
  <c r="B805" i="85"/>
  <c r="B804" i="85"/>
  <c r="B803" i="85"/>
  <c r="B802" i="85"/>
  <c r="B801" i="85"/>
  <c r="B800" i="85"/>
  <c r="B799" i="85"/>
  <c r="B798" i="85"/>
  <c r="B797" i="85"/>
  <c r="B796" i="85"/>
  <c r="B795" i="85"/>
  <c r="B794" i="85"/>
  <c r="B793" i="85"/>
  <c r="B792" i="85"/>
  <c r="B791" i="85"/>
  <c r="B790" i="85"/>
  <c r="B789" i="85"/>
  <c r="B788" i="85"/>
  <c r="B787" i="85"/>
  <c r="B786" i="85"/>
  <c r="B785" i="85"/>
  <c r="B784" i="85"/>
  <c r="B783" i="85"/>
  <c r="B782" i="85"/>
  <c r="B781" i="85"/>
  <c r="B780" i="85"/>
  <c r="B779" i="85"/>
  <c r="B778" i="85"/>
  <c r="B777" i="85"/>
  <c r="B776" i="85"/>
  <c r="B775" i="85"/>
  <c r="B774" i="85"/>
  <c r="B773" i="85"/>
  <c r="B772" i="85"/>
  <c r="B771" i="85"/>
  <c r="B770" i="85"/>
  <c r="B769" i="85"/>
  <c r="B768" i="85"/>
  <c r="B767" i="85"/>
  <c r="B766" i="85"/>
  <c r="B765" i="85"/>
  <c r="B764" i="85"/>
  <c r="B763" i="85"/>
  <c r="B762" i="85"/>
  <c r="B761" i="85"/>
  <c r="B760" i="85"/>
  <c r="B759" i="85"/>
  <c r="B758" i="85"/>
  <c r="B757" i="85"/>
  <c r="B756" i="85"/>
  <c r="B755" i="85"/>
  <c r="B754" i="85"/>
  <c r="B753" i="85"/>
  <c r="B752" i="85"/>
  <c r="B751" i="85"/>
  <c r="B750" i="85"/>
  <c r="B749" i="85"/>
  <c r="B748" i="85"/>
  <c r="B747" i="85"/>
  <c r="B746" i="85"/>
  <c r="B745" i="85"/>
  <c r="B744" i="85"/>
  <c r="B743" i="85"/>
  <c r="B742" i="85"/>
  <c r="B741" i="85"/>
  <c r="B740" i="85"/>
  <c r="B739" i="85"/>
  <c r="B738" i="85"/>
  <c r="B737" i="85"/>
  <c r="B736" i="85"/>
  <c r="B735" i="85"/>
  <c r="B734" i="85"/>
  <c r="B733" i="85"/>
  <c r="B732" i="85"/>
  <c r="B731" i="85"/>
  <c r="B730" i="85"/>
  <c r="B729" i="85"/>
  <c r="B728" i="85"/>
  <c r="B727" i="85"/>
  <c r="B726" i="85"/>
  <c r="B725" i="85"/>
  <c r="B724" i="85"/>
  <c r="B723" i="85"/>
  <c r="B722" i="85"/>
  <c r="B721" i="85"/>
  <c r="B720" i="85"/>
  <c r="B719" i="85"/>
  <c r="B718" i="85"/>
  <c r="B717" i="85"/>
  <c r="B716" i="85"/>
  <c r="B715" i="85"/>
  <c r="B714" i="85"/>
  <c r="B713" i="85"/>
  <c r="B712" i="85"/>
  <c r="B711" i="85"/>
  <c r="B710" i="85"/>
  <c r="B709" i="85"/>
  <c r="B708" i="85"/>
  <c r="B707" i="85"/>
  <c r="B706" i="85"/>
  <c r="B705" i="85"/>
  <c r="B704" i="85"/>
  <c r="B703" i="85"/>
  <c r="B702" i="85"/>
  <c r="B701" i="85"/>
  <c r="B700" i="85"/>
  <c r="B699" i="85"/>
  <c r="B698" i="85"/>
  <c r="B697" i="85"/>
  <c r="B696" i="85"/>
  <c r="B695" i="85"/>
  <c r="B694" i="85"/>
  <c r="B693" i="85"/>
  <c r="B692" i="85"/>
  <c r="B691" i="85"/>
  <c r="B690" i="85"/>
  <c r="B689" i="85"/>
  <c r="B688" i="85"/>
  <c r="B687" i="85"/>
  <c r="B686" i="85"/>
  <c r="B685" i="85"/>
  <c r="B684" i="85"/>
  <c r="B683" i="85"/>
  <c r="B682" i="85"/>
  <c r="B681" i="85"/>
  <c r="B680" i="85"/>
  <c r="B679" i="85"/>
  <c r="B678" i="85"/>
  <c r="B677" i="85"/>
  <c r="B676" i="85"/>
  <c r="B675" i="85"/>
  <c r="B674" i="85"/>
  <c r="B673" i="85"/>
  <c r="B672" i="85"/>
  <c r="B671" i="85"/>
  <c r="B670" i="85"/>
  <c r="B669" i="85"/>
  <c r="B668" i="85"/>
  <c r="B667" i="85"/>
  <c r="B666" i="85"/>
  <c r="B665" i="85"/>
  <c r="B664" i="85"/>
  <c r="B663" i="85"/>
  <c r="B662" i="85"/>
  <c r="B661" i="85"/>
  <c r="B660" i="85"/>
  <c r="B659" i="85"/>
  <c r="B658" i="85"/>
  <c r="B657" i="85"/>
  <c r="B656" i="85"/>
  <c r="B655" i="85"/>
  <c r="B654" i="85"/>
  <c r="B653" i="85"/>
  <c r="B652" i="85"/>
  <c r="B651" i="85"/>
  <c r="B650" i="85"/>
  <c r="B649" i="85"/>
  <c r="B648" i="85"/>
  <c r="B647" i="85"/>
  <c r="B646" i="85"/>
  <c r="B645" i="85"/>
  <c r="B644" i="85"/>
  <c r="B643" i="85"/>
  <c r="B642" i="85"/>
  <c r="B641" i="85"/>
  <c r="B640" i="85"/>
  <c r="B639" i="85"/>
  <c r="B638" i="85"/>
  <c r="B637" i="85"/>
  <c r="B636" i="85"/>
  <c r="B635" i="85"/>
  <c r="B634" i="85"/>
  <c r="B633" i="85"/>
  <c r="B632" i="85"/>
  <c r="B631" i="85"/>
  <c r="B630" i="85"/>
  <c r="B629" i="85"/>
  <c r="B628" i="85"/>
  <c r="B627" i="85"/>
  <c r="B626" i="85"/>
  <c r="B625" i="85"/>
  <c r="B624" i="85"/>
  <c r="B623" i="85"/>
  <c r="B622" i="85"/>
  <c r="B621" i="85"/>
  <c r="B620" i="85"/>
  <c r="B619" i="85"/>
  <c r="B618" i="85"/>
  <c r="B617" i="85"/>
  <c r="B616" i="85"/>
  <c r="B615" i="85"/>
  <c r="B614" i="85"/>
  <c r="B613" i="85"/>
  <c r="B612" i="85"/>
  <c r="B611" i="85"/>
  <c r="B610" i="85"/>
  <c r="B609" i="85"/>
  <c r="B608" i="85"/>
  <c r="B607" i="85"/>
  <c r="B606" i="85"/>
  <c r="B605" i="85"/>
  <c r="B604" i="85"/>
  <c r="B603" i="85"/>
  <c r="B602" i="85"/>
  <c r="B601" i="85"/>
  <c r="B600" i="85"/>
  <c r="B599" i="85"/>
  <c r="B598" i="85"/>
  <c r="B597" i="85"/>
  <c r="B596" i="85"/>
  <c r="B595" i="85"/>
  <c r="B594" i="85"/>
  <c r="B593" i="85"/>
  <c r="B592" i="85"/>
  <c r="B591" i="85"/>
  <c r="B590" i="85"/>
  <c r="B589" i="85"/>
  <c r="B588" i="85"/>
  <c r="B587" i="85"/>
  <c r="B586" i="85"/>
  <c r="B585" i="85"/>
  <c r="B584" i="85"/>
  <c r="B583" i="85"/>
  <c r="B582" i="85"/>
  <c r="B581" i="85"/>
  <c r="B580" i="85"/>
  <c r="B579" i="85"/>
  <c r="B578" i="85"/>
  <c r="B577" i="85"/>
  <c r="B576" i="85"/>
  <c r="B575" i="85"/>
  <c r="B574" i="85"/>
  <c r="B573" i="85"/>
  <c r="B572" i="85"/>
  <c r="B571" i="85"/>
  <c r="B570" i="85"/>
  <c r="B569" i="85"/>
  <c r="B568" i="85"/>
  <c r="B567" i="85"/>
  <c r="B566" i="85"/>
  <c r="B565" i="85"/>
  <c r="B564" i="85"/>
  <c r="B563" i="85"/>
  <c r="B562" i="85"/>
  <c r="B561" i="85"/>
  <c r="B560" i="85"/>
  <c r="B559" i="85"/>
  <c r="B558" i="85"/>
  <c r="B557" i="85"/>
  <c r="B556" i="85"/>
  <c r="B555" i="85"/>
  <c r="B554" i="85"/>
  <c r="B553" i="85"/>
  <c r="B552" i="85"/>
  <c r="B551" i="85"/>
  <c r="B550" i="85"/>
  <c r="B549" i="85"/>
  <c r="B548" i="85"/>
  <c r="B547" i="85"/>
  <c r="B546" i="85"/>
  <c r="B545" i="85"/>
  <c r="B544" i="85"/>
  <c r="B543" i="85"/>
  <c r="B542" i="85"/>
  <c r="B541" i="85"/>
  <c r="B540" i="85"/>
  <c r="B539" i="85"/>
  <c r="B538" i="85"/>
  <c r="B537" i="85"/>
  <c r="B536" i="85"/>
  <c r="B535" i="85"/>
  <c r="B534" i="85"/>
  <c r="B533" i="85"/>
  <c r="B532" i="85"/>
  <c r="B531" i="85"/>
  <c r="B530" i="85"/>
  <c r="B529" i="85"/>
  <c r="B528" i="85"/>
  <c r="B527" i="85"/>
  <c r="B526" i="85"/>
  <c r="B525" i="85"/>
  <c r="B524" i="85"/>
  <c r="B523" i="85"/>
  <c r="B522" i="85"/>
  <c r="B521" i="85"/>
  <c r="B520" i="85"/>
  <c r="B519" i="85"/>
  <c r="B518" i="85"/>
  <c r="B517" i="85"/>
  <c r="B516" i="85"/>
  <c r="B515" i="85"/>
  <c r="B514" i="85"/>
  <c r="B513" i="85"/>
  <c r="B512" i="85"/>
  <c r="B511" i="85"/>
  <c r="B510" i="85"/>
  <c r="B509" i="85"/>
  <c r="B508" i="85"/>
  <c r="B507" i="85"/>
  <c r="B506" i="85"/>
  <c r="B505" i="85"/>
  <c r="B504" i="85"/>
  <c r="B503" i="85"/>
  <c r="B502" i="85"/>
  <c r="B501" i="85"/>
  <c r="B500" i="85"/>
  <c r="B499" i="85"/>
  <c r="B498" i="85"/>
  <c r="B497" i="85"/>
  <c r="B496" i="85"/>
  <c r="B495" i="85"/>
  <c r="B494" i="85"/>
  <c r="B493" i="85"/>
  <c r="B492" i="85"/>
  <c r="B491" i="85"/>
  <c r="B490" i="85"/>
  <c r="B489" i="85"/>
  <c r="B488" i="85"/>
  <c r="B487" i="85"/>
  <c r="B486" i="85"/>
  <c r="B485" i="85"/>
  <c r="B484" i="85"/>
  <c r="B483" i="85"/>
  <c r="B482" i="85"/>
  <c r="B481" i="85"/>
  <c r="B480" i="85"/>
  <c r="B479" i="85"/>
  <c r="B478" i="85"/>
  <c r="B477" i="85"/>
  <c r="B476" i="85"/>
  <c r="B475" i="85"/>
  <c r="B474" i="85"/>
  <c r="B473" i="85"/>
  <c r="B472" i="85"/>
  <c r="B471" i="85"/>
  <c r="B470" i="85"/>
  <c r="B469" i="85"/>
  <c r="B468" i="85"/>
  <c r="B467" i="85"/>
  <c r="B466" i="85"/>
  <c r="B465" i="85"/>
  <c r="B464" i="85"/>
  <c r="B463" i="85"/>
  <c r="B462" i="85"/>
  <c r="B461" i="85"/>
  <c r="B460" i="85"/>
  <c r="B459" i="85"/>
  <c r="B458" i="85"/>
  <c r="B457" i="85"/>
  <c r="B456" i="85"/>
  <c r="B455" i="85"/>
  <c r="B454" i="85"/>
  <c r="B453" i="85"/>
  <c r="B452" i="85"/>
  <c r="B451" i="85"/>
  <c r="B450" i="85"/>
  <c r="B449" i="85"/>
  <c r="B448" i="85"/>
  <c r="B447" i="85"/>
  <c r="B446" i="85"/>
  <c r="B445" i="85"/>
  <c r="B444" i="85"/>
  <c r="B443" i="85"/>
  <c r="B442" i="85"/>
  <c r="B441" i="85"/>
  <c r="B440" i="85"/>
  <c r="B439" i="85"/>
  <c r="B438" i="85"/>
  <c r="B437" i="85"/>
  <c r="B436" i="85"/>
  <c r="B435" i="85"/>
  <c r="B434" i="85"/>
  <c r="B433" i="85"/>
  <c r="B432" i="85"/>
  <c r="B431" i="85"/>
  <c r="B430" i="85"/>
  <c r="B429" i="85"/>
  <c r="B428" i="85"/>
  <c r="B427" i="85"/>
  <c r="B426" i="85"/>
  <c r="B425" i="85"/>
  <c r="B424" i="85"/>
  <c r="B423" i="85"/>
  <c r="B422" i="85"/>
  <c r="B421" i="85"/>
  <c r="B420" i="85"/>
  <c r="B419" i="85"/>
  <c r="B418" i="85"/>
  <c r="B417" i="85"/>
  <c r="B416" i="85"/>
  <c r="B415" i="85"/>
  <c r="B414" i="85"/>
  <c r="B413" i="85"/>
  <c r="B412" i="85"/>
  <c r="B411" i="85"/>
  <c r="B410" i="85"/>
  <c r="B409" i="85"/>
  <c r="B408" i="85"/>
  <c r="B407" i="85"/>
  <c r="B406" i="85"/>
  <c r="B405" i="85"/>
  <c r="B404" i="85"/>
  <c r="B403" i="85"/>
  <c r="B402" i="85"/>
  <c r="B401" i="85"/>
  <c r="B400" i="85"/>
  <c r="B399" i="85"/>
  <c r="B398" i="85"/>
  <c r="B397" i="85"/>
  <c r="B396" i="85"/>
  <c r="B395" i="85"/>
  <c r="B394" i="85"/>
  <c r="B393" i="85"/>
  <c r="B392" i="85"/>
  <c r="B391" i="85"/>
  <c r="B390" i="85"/>
  <c r="B389" i="85"/>
  <c r="B388" i="85"/>
  <c r="B387" i="85"/>
  <c r="B386" i="85"/>
  <c r="B385" i="85"/>
  <c r="B384" i="85"/>
  <c r="B383" i="85"/>
  <c r="B382" i="85"/>
  <c r="B381" i="85"/>
  <c r="B380" i="85"/>
  <c r="B379" i="85"/>
  <c r="B378" i="85"/>
  <c r="B377" i="85"/>
  <c r="B376" i="85"/>
  <c r="B375" i="85"/>
  <c r="B374" i="85"/>
  <c r="B373" i="85"/>
  <c r="B372" i="85"/>
  <c r="B371" i="85"/>
  <c r="B370" i="85"/>
  <c r="B369" i="85"/>
  <c r="B368" i="85"/>
  <c r="B367" i="85"/>
  <c r="B366" i="85"/>
  <c r="B365" i="85"/>
  <c r="B364" i="85"/>
  <c r="B363" i="85"/>
  <c r="B362" i="85"/>
  <c r="B361" i="85"/>
  <c r="B360" i="85"/>
  <c r="B359" i="85"/>
  <c r="B358" i="85"/>
  <c r="B357" i="85"/>
  <c r="B356" i="85"/>
  <c r="B355" i="85"/>
  <c r="B354" i="85"/>
  <c r="B353" i="85"/>
  <c r="B352" i="85"/>
  <c r="B351" i="85"/>
  <c r="B350" i="85"/>
  <c r="B349" i="85"/>
  <c r="B348" i="85"/>
  <c r="B347" i="85"/>
  <c r="B346" i="85"/>
  <c r="B345" i="85"/>
  <c r="B344" i="85"/>
  <c r="B343" i="85"/>
  <c r="B342" i="85"/>
  <c r="B341" i="85"/>
  <c r="B340" i="85"/>
  <c r="B339" i="85"/>
  <c r="B338" i="85"/>
  <c r="B337" i="85"/>
  <c r="B336" i="85"/>
  <c r="B335" i="85"/>
  <c r="B334" i="85"/>
  <c r="B333" i="85"/>
  <c r="B332" i="85"/>
  <c r="B331" i="85"/>
  <c r="B330" i="85"/>
  <c r="B329" i="85"/>
  <c r="B328" i="85"/>
  <c r="B327" i="85"/>
  <c r="B326" i="85"/>
  <c r="B325" i="85"/>
  <c r="B324" i="85"/>
  <c r="B323" i="85"/>
  <c r="B322" i="85"/>
  <c r="B321" i="85"/>
  <c r="B320" i="85"/>
  <c r="B319" i="85"/>
  <c r="B318" i="85"/>
  <c r="B317" i="85"/>
  <c r="B316" i="85"/>
  <c r="B315" i="85"/>
  <c r="B314" i="85"/>
  <c r="B313" i="85"/>
  <c r="B312" i="85"/>
  <c r="B311" i="85"/>
  <c r="B310" i="85"/>
  <c r="B309" i="85"/>
  <c r="B308" i="85"/>
  <c r="B307" i="85"/>
  <c r="B306" i="85"/>
  <c r="B305" i="85"/>
  <c r="B304" i="85"/>
  <c r="B303" i="85"/>
  <c r="B302" i="85"/>
  <c r="B301" i="85"/>
  <c r="B300" i="85"/>
  <c r="B299" i="85"/>
  <c r="B298" i="85"/>
  <c r="B297" i="85"/>
  <c r="B296" i="85"/>
  <c r="B295" i="85"/>
  <c r="B294" i="85"/>
  <c r="B293" i="85"/>
  <c r="B292" i="85"/>
  <c r="B291" i="85"/>
  <c r="B290" i="85"/>
  <c r="B289" i="85"/>
  <c r="B288" i="85"/>
  <c r="B287" i="85"/>
  <c r="B286" i="85"/>
  <c r="B285" i="85"/>
  <c r="B284" i="85"/>
  <c r="B283" i="85"/>
  <c r="B282" i="85"/>
  <c r="B281" i="85"/>
  <c r="B280" i="85"/>
  <c r="B279" i="85"/>
  <c r="B278" i="85"/>
  <c r="B277" i="85"/>
  <c r="B276" i="85"/>
  <c r="B275" i="85"/>
  <c r="B274" i="85"/>
  <c r="B273" i="85"/>
  <c r="B272" i="85"/>
  <c r="B271" i="85"/>
  <c r="B270" i="85"/>
  <c r="B269" i="85"/>
  <c r="B268" i="85"/>
  <c r="B267" i="85"/>
  <c r="B266" i="85"/>
  <c r="B265" i="85"/>
  <c r="B264" i="85"/>
  <c r="B263" i="85"/>
  <c r="B262" i="85"/>
  <c r="B261" i="85"/>
  <c r="B260" i="85"/>
  <c r="B259" i="85"/>
  <c r="B258" i="85"/>
  <c r="B257" i="85"/>
  <c r="B256" i="85"/>
  <c r="B255" i="85"/>
  <c r="B254" i="85"/>
  <c r="B253" i="85"/>
  <c r="B252" i="85"/>
  <c r="B251" i="85"/>
  <c r="B250" i="85"/>
  <c r="B249" i="85"/>
  <c r="B248" i="85"/>
  <c r="B247" i="85"/>
  <c r="B246" i="85"/>
  <c r="B245" i="85"/>
  <c r="B244" i="85"/>
  <c r="B243" i="85"/>
  <c r="B242" i="85"/>
  <c r="B241" i="85"/>
  <c r="B240" i="85"/>
  <c r="B239" i="85"/>
  <c r="B238" i="85"/>
  <c r="B237" i="85"/>
  <c r="B236" i="85"/>
  <c r="B235" i="85"/>
  <c r="B234" i="85"/>
  <c r="B233" i="85"/>
  <c r="B232" i="85"/>
  <c r="B231" i="85"/>
  <c r="B230" i="85"/>
  <c r="B229" i="85"/>
  <c r="B228" i="85"/>
  <c r="B227" i="85"/>
  <c r="B226" i="85"/>
  <c r="B225" i="85"/>
  <c r="B224" i="85"/>
  <c r="B223" i="85"/>
  <c r="B222" i="85"/>
  <c r="B221" i="85"/>
  <c r="B220" i="85"/>
  <c r="B219" i="85"/>
  <c r="B218" i="85"/>
  <c r="B217" i="85"/>
  <c r="B216" i="85"/>
  <c r="B215" i="85"/>
  <c r="B214" i="85"/>
  <c r="B213" i="85"/>
  <c r="B212" i="85"/>
  <c r="B211" i="85"/>
  <c r="B210" i="85"/>
  <c r="B209" i="85"/>
  <c r="B208" i="85"/>
  <c r="B207" i="85"/>
  <c r="B206" i="85"/>
  <c r="B205" i="85"/>
  <c r="B204" i="85"/>
  <c r="B203" i="85"/>
  <c r="B202" i="85"/>
  <c r="B201" i="85"/>
  <c r="B200" i="85"/>
  <c r="B199" i="85"/>
  <c r="B198" i="85"/>
  <c r="B197" i="85"/>
  <c r="B196" i="85"/>
  <c r="B195" i="85"/>
  <c r="B194" i="85"/>
  <c r="B193" i="85"/>
  <c r="B192" i="85"/>
  <c r="B191" i="85"/>
  <c r="B190" i="85"/>
  <c r="B189" i="85"/>
  <c r="B188" i="85"/>
  <c r="B187" i="85"/>
  <c r="B186" i="85"/>
  <c r="B185" i="85"/>
  <c r="B184" i="85"/>
  <c r="B183" i="85"/>
  <c r="B182" i="85"/>
  <c r="B181" i="85"/>
  <c r="B180" i="85"/>
  <c r="B179" i="85"/>
  <c r="B178" i="85"/>
  <c r="B177" i="85"/>
  <c r="B176" i="85"/>
  <c r="B175" i="85"/>
  <c r="B174" i="85"/>
  <c r="B173" i="85"/>
  <c r="B172" i="85"/>
  <c r="B171" i="85"/>
  <c r="B170" i="85"/>
  <c r="B169" i="85"/>
  <c r="B168" i="85"/>
  <c r="B167" i="85"/>
  <c r="B166" i="85"/>
  <c r="B165" i="85"/>
  <c r="B164" i="85"/>
  <c r="B163" i="85"/>
  <c r="B162" i="85"/>
  <c r="B161" i="85"/>
  <c r="B160" i="85"/>
  <c r="B159" i="85"/>
  <c r="B158" i="85"/>
  <c r="B157" i="85"/>
  <c r="B156" i="85"/>
  <c r="B155" i="85"/>
  <c r="B154" i="85"/>
  <c r="B153" i="85"/>
  <c r="B152" i="85"/>
  <c r="B151" i="85"/>
  <c r="B150" i="85"/>
  <c r="B149" i="85"/>
  <c r="B148" i="85"/>
  <c r="B147" i="85"/>
  <c r="B146" i="85"/>
  <c r="B145" i="85"/>
  <c r="B144" i="85"/>
  <c r="B143" i="85"/>
  <c r="B142" i="85"/>
  <c r="B141" i="85"/>
  <c r="B140" i="85"/>
  <c r="B139" i="85"/>
  <c r="B138" i="85"/>
  <c r="B137" i="85"/>
  <c r="B136" i="85"/>
  <c r="B135" i="85"/>
  <c r="B134" i="85"/>
  <c r="B133" i="85"/>
  <c r="B132" i="85"/>
  <c r="B131" i="85"/>
  <c r="B130" i="85"/>
  <c r="B129" i="85"/>
  <c r="B128" i="85"/>
  <c r="B127" i="85"/>
  <c r="B126" i="85"/>
  <c r="B125" i="85"/>
  <c r="B124" i="85"/>
  <c r="B123" i="85"/>
  <c r="B122" i="85"/>
  <c r="B121" i="85"/>
  <c r="B120" i="85"/>
  <c r="B119" i="85"/>
  <c r="B118" i="85"/>
  <c r="B117" i="85"/>
  <c r="B116" i="85"/>
  <c r="B115" i="85"/>
  <c r="B114" i="85"/>
  <c r="B113" i="85"/>
  <c r="B112" i="85"/>
  <c r="B111" i="85"/>
  <c r="B110" i="85"/>
  <c r="B109" i="85"/>
  <c r="B108" i="85"/>
  <c r="B107" i="85"/>
  <c r="B106" i="85"/>
  <c r="B105" i="85"/>
  <c r="B104" i="85"/>
  <c r="B103" i="85"/>
  <c r="B102" i="85"/>
  <c r="B101" i="85"/>
  <c r="B100" i="85"/>
  <c r="B99" i="85"/>
  <c r="B98" i="85"/>
  <c r="B97" i="85"/>
  <c r="B96" i="85"/>
  <c r="B95" i="85"/>
  <c r="B94" i="85"/>
  <c r="B93" i="85"/>
  <c r="B92" i="85"/>
  <c r="B91" i="85"/>
  <c r="B90" i="85"/>
  <c r="B89" i="85"/>
  <c r="B88" i="85"/>
  <c r="B87" i="85"/>
  <c r="B86" i="85"/>
  <c r="B85" i="85"/>
  <c r="B84" i="85"/>
  <c r="B83" i="85"/>
  <c r="B82" i="85"/>
  <c r="B81" i="85"/>
  <c r="B80" i="85"/>
  <c r="B79" i="85"/>
  <c r="B78" i="85"/>
  <c r="B77" i="85"/>
  <c r="B76" i="85"/>
  <c r="B75" i="85"/>
  <c r="B74" i="85"/>
  <c r="B73" i="85"/>
  <c r="B72" i="85"/>
  <c r="B71" i="85"/>
  <c r="B70" i="85"/>
  <c r="B69" i="85"/>
  <c r="B68" i="85"/>
  <c r="B67" i="85"/>
  <c r="B66" i="85"/>
  <c r="B65" i="85"/>
  <c r="B64" i="85"/>
  <c r="B63" i="85"/>
  <c r="B62" i="85"/>
  <c r="B61" i="85"/>
  <c r="B60" i="85"/>
  <c r="B59" i="85"/>
  <c r="B58" i="85"/>
  <c r="B57" i="85"/>
  <c r="B56" i="85"/>
  <c r="B55" i="85"/>
  <c r="B54" i="85"/>
  <c r="B53" i="85"/>
  <c r="B52" i="85"/>
  <c r="B51" i="85"/>
  <c r="B50" i="85"/>
  <c r="B49" i="85"/>
  <c r="B48" i="85"/>
  <c r="B47" i="85"/>
  <c r="B46" i="85"/>
  <c r="B45" i="85"/>
  <c r="B44" i="85"/>
  <c r="B43" i="85"/>
  <c r="B42" i="85"/>
  <c r="B41" i="85"/>
  <c r="B40" i="85"/>
  <c r="B39" i="85"/>
  <c r="B38" i="85"/>
  <c r="B37" i="85"/>
  <c r="B36" i="85"/>
  <c r="B35" i="85"/>
  <c r="B34" i="85"/>
  <c r="B33" i="85"/>
  <c r="B32" i="85"/>
  <c r="B31" i="85"/>
  <c r="B30" i="85"/>
  <c r="B29" i="85"/>
  <c r="B28" i="85"/>
  <c r="B27" i="85"/>
  <c r="B26" i="85"/>
  <c r="B25" i="85"/>
  <c r="B24" i="85"/>
  <c r="B23" i="85"/>
  <c r="B22" i="85"/>
  <c r="B21" i="85"/>
  <c r="B20" i="85"/>
  <c r="B19" i="85"/>
  <c r="B18" i="85"/>
  <c r="B17" i="85"/>
  <c r="B16" i="85"/>
  <c r="B15" i="85"/>
  <c r="B14" i="85"/>
  <c r="B13" i="85"/>
  <c r="B12" i="85"/>
  <c r="B11" i="85"/>
  <c r="B10" i="85"/>
  <c r="B9" i="85"/>
  <c r="B8" i="85"/>
  <c r="B7" i="85"/>
  <c r="B6" i="85"/>
  <c r="B5" i="85"/>
  <c r="B4" i="85"/>
  <c r="C3" i="85"/>
  <c r="B3" i="85" s="1"/>
  <c r="B4" i="83"/>
  <c r="B5" i="83"/>
  <c r="B6" i="83"/>
  <c r="B7" i="83"/>
  <c r="B8" i="83"/>
  <c r="B9" i="83"/>
  <c r="B10" i="83"/>
  <c r="B11" i="83"/>
  <c r="B12" i="83"/>
  <c r="B13" i="83"/>
  <c r="B14" i="83"/>
  <c r="B15" i="83"/>
  <c r="B16" i="83"/>
  <c r="B17" i="83"/>
  <c r="B18" i="83"/>
  <c r="B19" i="83"/>
  <c r="B20" i="83"/>
  <c r="B21" i="83"/>
  <c r="B22" i="83"/>
  <c r="B23" i="83"/>
  <c r="B24" i="83"/>
  <c r="B25" i="83"/>
  <c r="B26" i="83"/>
  <c r="B27" i="83"/>
  <c r="B28" i="83"/>
  <c r="B29" i="83"/>
  <c r="B30" i="83"/>
  <c r="B31" i="83"/>
  <c r="B32" i="83"/>
  <c r="B33" i="83"/>
  <c r="B34" i="83"/>
  <c r="B35" i="83"/>
  <c r="B36" i="83"/>
  <c r="B37" i="83"/>
  <c r="B38" i="83"/>
  <c r="B39" i="83"/>
  <c r="B40" i="83"/>
  <c r="B41" i="83"/>
  <c r="B42" i="83"/>
  <c r="B43" i="83"/>
  <c r="B44" i="83"/>
  <c r="B45" i="83"/>
  <c r="B46" i="83"/>
  <c r="B47" i="83"/>
  <c r="B48" i="83"/>
  <c r="B49" i="83"/>
  <c r="B50" i="83"/>
  <c r="B51" i="83"/>
  <c r="B52" i="83"/>
  <c r="B53" i="83"/>
  <c r="B54" i="83"/>
  <c r="B55" i="83"/>
  <c r="B56" i="83"/>
  <c r="B57" i="83"/>
  <c r="B58" i="83"/>
  <c r="B59" i="83"/>
  <c r="B60" i="83"/>
  <c r="B61" i="83"/>
  <c r="B62" i="83"/>
  <c r="B63" i="83"/>
  <c r="B64" i="83"/>
  <c r="B65" i="83"/>
  <c r="B66" i="83"/>
  <c r="B67" i="83"/>
  <c r="B68" i="83"/>
  <c r="B69" i="83"/>
  <c r="B70" i="83"/>
  <c r="B71" i="83"/>
  <c r="B72" i="83"/>
  <c r="B73" i="83"/>
  <c r="B74" i="83"/>
  <c r="B75" i="83"/>
  <c r="B76" i="83"/>
  <c r="B77" i="83"/>
  <c r="B78" i="83"/>
  <c r="B79" i="83"/>
  <c r="B80" i="83"/>
  <c r="B81" i="83"/>
  <c r="B82" i="83"/>
  <c r="B83" i="83"/>
  <c r="B84" i="83"/>
  <c r="B85" i="83"/>
  <c r="B86" i="83"/>
  <c r="B87" i="83"/>
  <c r="B88" i="83"/>
  <c r="B89" i="83"/>
  <c r="B90" i="83"/>
  <c r="B91" i="83"/>
  <c r="B92" i="83"/>
  <c r="B93" i="83"/>
  <c r="B94" i="83"/>
  <c r="B95" i="83"/>
  <c r="B96" i="83"/>
  <c r="B97" i="83"/>
  <c r="B98" i="83"/>
  <c r="B99" i="83"/>
  <c r="B100" i="83"/>
  <c r="B101" i="83"/>
  <c r="B102" i="83"/>
  <c r="B103" i="83"/>
  <c r="B104" i="83"/>
  <c r="B105" i="83"/>
  <c r="B106" i="83"/>
  <c r="B107" i="83"/>
  <c r="B108" i="83"/>
  <c r="B109" i="83"/>
  <c r="B110" i="83"/>
  <c r="B111" i="83"/>
  <c r="B112" i="83"/>
  <c r="B113" i="83"/>
  <c r="B114" i="83"/>
  <c r="B115" i="83"/>
  <c r="B116" i="83"/>
  <c r="B117" i="83"/>
  <c r="B118" i="83"/>
  <c r="B119" i="83"/>
  <c r="B120" i="83"/>
  <c r="B121" i="83"/>
  <c r="B122" i="83"/>
  <c r="B123" i="83"/>
  <c r="B124" i="83"/>
  <c r="B125" i="83"/>
  <c r="B126" i="83"/>
  <c r="B127" i="83"/>
  <c r="B128" i="83"/>
  <c r="B129" i="83"/>
  <c r="B130" i="83"/>
  <c r="B131" i="83"/>
  <c r="B132" i="83"/>
  <c r="B133" i="83"/>
  <c r="B134" i="83"/>
  <c r="B135" i="83"/>
  <c r="B136" i="83"/>
  <c r="B137" i="83"/>
  <c r="B138" i="83"/>
  <c r="B139" i="83"/>
  <c r="B140" i="83"/>
  <c r="B141" i="83"/>
  <c r="B142" i="83"/>
  <c r="B143" i="83"/>
  <c r="B144" i="83"/>
  <c r="B145" i="83"/>
  <c r="B146" i="83"/>
  <c r="B147" i="83"/>
  <c r="B148" i="83"/>
  <c r="B149" i="83"/>
  <c r="B150" i="83"/>
  <c r="B151" i="83"/>
  <c r="B152" i="83"/>
  <c r="B153" i="83"/>
  <c r="B154" i="83"/>
  <c r="B155" i="83"/>
  <c r="B156" i="83"/>
  <c r="B157" i="83"/>
  <c r="B158" i="83"/>
  <c r="B159" i="83"/>
  <c r="B160" i="83"/>
  <c r="B161" i="83"/>
  <c r="B162" i="83"/>
  <c r="B163" i="83"/>
  <c r="B164" i="83"/>
  <c r="B165" i="83"/>
  <c r="B166" i="83"/>
  <c r="B167" i="83"/>
  <c r="B168" i="83"/>
  <c r="B169" i="83"/>
  <c r="B170" i="83"/>
  <c r="B171" i="83"/>
  <c r="B172" i="83"/>
  <c r="B173" i="83"/>
  <c r="B174" i="83"/>
  <c r="B175" i="83"/>
  <c r="B176" i="83"/>
  <c r="B177" i="83"/>
  <c r="B178" i="83"/>
  <c r="B179" i="83"/>
  <c r="B180" i="83"/>
  <c r="B181" i="83"/>
  <c r="B182" i="83"/>
  <c r="B183" i="83"/>
  <c r="B184" i="83"/>
  <c r="B185" i="83"/>
  <c r="B186" i="83"/>
  <c r="B187" i="83"/>
  <c r="B188" i="83"/>
  <c r="B189" i="83"/>
  <c r="B190" i="83"/>
  <c r="B191" i="83"/>
  <c r="B192" i="83"/>
  <c r="B193" i="83"/>
  <c r="B194" i="83"/>
  <c r="B195" i="83"/>
  <c r="B196" i="83"/>
  <c r="B197" i="83"/>
  <c r="B198" i="83"/>
  <c r="B199" i="83"/>
  <c r="B200" i="83"/>
  <c r="B201" i="83"/>
  <c r="B202" i="83"/>
  <c r="B203" i="83"/>
  <c r="B204" i="83"/>
  <c r="B205" i="83"/>
  <c r="B206" i="83"/>
  <c r="B207" i="83"/>
  <c r="B208" i="83"/>
  <c r="B209" i="83"/>
  <c r="B210" i="83"/>
  <c r="B211" i="83"/>
  <c r="B212" i="83"/>
  <c r="B213" i="83"/>
  <c r="B214" i="83"/>
  <c r="B215" i="83"/>
  <c r="B216" i="83"/>
  <c r="B217" i="83"/>
  <c r="B218" i="83"/>
  <c r="B219" i="83"/>
  <c r="B220" i="83"/>
  <c r="B221" i="83"/>
  <c r="B222" i="83"/>
  <c r="B223" i="83"/>
  <c r="B224" i="83"/>
  <c r="B225" i="83"/>
  <c r="B226" i="83"/>
  <c r="B227" i="83"/>
  <c r="B228" i="83"/>
  <c r="B229" i="83"/>
  <c r="B230" i="83"/>
  <c r="B231" i="83"/>
  <c r="B232" i="83"/>
  <c r="B233" i="83"/>
  <c r="B234" i="83"/>
  <c r="B235" i="83"/>
  <c r="B236" i="83"/>
  <c r="B237" i="83"/>
  <c r="B238" i="83"/>
  <c r="B239" i="83"/>
  <c r="B240" i="83"/>
  <c r="B241" i="83"/>
  <c r="B242" i="83"/>
  <c r="B243" i="83"/>
  <c r="B244" i="83"/>
  <c r="B245" i="83"/>
  <c r="B246" i="83"/>
  <c r="B247" i="83"/>
  <c r="B248" i="83"/>
  <c r="B249" i="83"/>
  <c r="B250" i="83"/>
  <c r="B251" i="83"/>
  <c r="B252" i="83"/>
  <c r="B253" i="83"/>
  <c r="B254" i="83"/>
  <c r="B255" i="83"/>
  <c r="B256" i="83"/>
  <c r="B257" i="83"/>
  <c r="B258" i="83"/>
  <c r="B259" i="83"/>
  <c r="B260" i="83"/>
  <c r="B261" i="83"/>
  <c r="B262" i="83"/>
  <c r="B263" i="83"/>
  <c r="B264" i="83"/>
  <c r="B265" i="83"/>
  <c r="B266" i="83"/>
  <c r="B267" i="83"/>
  <c r="B268" i="83"/>
  <c r="B269" i="83"/>
  <c r="B270" i="83"/>
  <c r="B271" i="83"/>
  <c r="B272" i="83"/>
  <c r="B273" i="83"/>
  <c r="B274" i="83"/>
  <c r="B275" i="83"/>
  <c r="B276" i="83"/>
  <c r="B277" i="83"/>
  <c r="B278" i="83"/>
  <c r="B279" i="83"/>
  <c r="B280" i="83"/>
  <c r="B281" i="83"/>
  <c r="B282" i="83"/>
  <c r="B283" i="83"/>
  <c r="B284" i="83"/>
  <c r="B285" i="83"/>
  <c r="B286" i="83"/>
  <c r="B287" i="83"/>
  <c r="B288" i="83"/>
  <c r="B289" i="83"/>
  <c r="B290" i="83"/>
  <c r="B291" i="83"/>
  <c r="B292" i="83"/>
  <c r="B293" i="83"/>
  <c r="B294" i="83"/>
  <c r="B295" i="83"/>
  <c r="B296" i="83"/>
  <c r="B297" i="83"/>
  <c r="B298" i="83"/>
  <c r="B299" i="83"/>
  <c r="B300" i="83"/>
  <c r="B301" i="83"/>
  <c r="B302" i="83"/>
  <c r="B303" i="83"/>
  <c r="B304" i="83"/>
  <c r="B305" i="83"/>
  <c r="B306" i="83"/>
  <c r="B307" i="83"/>
  <c r="B308" i="83"/>
  <c r="B309" i="83"/>
  <c r="B310" i="83"/>
  <c r="B311" i="83"/>
  <c r="B312" i="83"/>
  <c r="B313" i="83"/>
  <c r="B314" i="83"/>
  <c r="B315" i="83"/>
  <c r="B316" i="83"/>
  <c r="B317" i="83"/>
  <c r="B318" i="83"/>
  <c r="B319" i="83"/>
  <c r="B320" i="83"/>
  <c r="B321" i="83"/>
  <c r="B322" i="83"/>
  <c r="B323" i="83"/>
  <c r="B324" i="83"/>
  <c r="B325" i="83"/>
  <c r="B326" i="83"/>
  <c r="B327" i="83"/>
  <c r="B328" i="83"/>
  <c r="B329" i="83"/>
  <c r="B330" i="83"/>
  <c r="B331" i="83"/>
  <c r="B332" i="83"/>
  <c r="B333" i="83"/>
  <c r="B334" i="83"/>
  <c r="B335" i="83"/>
  <c r="B336" i="83"/>
  <c r="B337" i="83"/>
  <c r="B338" i="83"/>
  <c r="B339" i="83"/>
  <c r="B340" i="83"/>
  <c r="B341" i="83"/>
  <c r="B342" i="83"/>
  <c r="B343" i="83"/>
  <c r="B344" i="83"/>
  <c r="B345" i="83"/>
  <c r="B346" i="83"/>
  <c r="B347" i="83"/>
  <c r="B348" i="83"/>
  <c r="B349" i="83"/>
  <c r="B350" i="83"/>
  <c r="B351" i="83"/>
  <c r="B352" i="83"/>
  <c r="B353" i="83"/>
  <c r="B354" i="83"/>
  <c r="B355" i="83"/>
  <c r="B356" i="83"/>
  <c r="B357" i="83"/>
  <c r="B358" i="83"/>
  <c r="B359" i="83"/>
  <c r="B360" i="83"/>
  <c r="B361" i="83"/>
  <c r="B362" i="83"/>
  <c r="B363" i="83"/>
  <c r="B364" i="83"/>
  <c r="B365" i="83"/>
  <c r="B366" i="83"/>
  <c r="B367" i="83"/>
  <c r="B368" i="83"/>
  <c r="B369" i="83"/>
  <c r="B370" i="83"/>
  <c r="B371" i="83"/>
  <c r="B372" i="83"/>
  <c r="B373" i="83"/>
  <c r="B374" i="83"/>
  <c r="B375" i="83"/>
  <c r="B376" i="83"/>
  <c r="B377" i="83"/>
  <c r="B378" i="83"/>
  <c r="B379" i="83"/>
  <c r="B380" i="83"/>
  <c r="B381" i="83"/>
  <c r="B382" i="83"/>
  <c r="B383" i="83"/>
  <c r="B384" i="83"/>
  <c r="B385" i="83"/>
  <c r="B386" i="83"/>
  <c r="B387" i="83"/>
  <c r="B388" i="83"/>
  <c r="B389" i="83"/>
  <c r="B390" i="83"/>
  <c r="B391" i="83"/>
  <c r="B392" i="83"/>
  <c r="B393" i="83"/>
  <c r="B394" i="83"/>
  <c r="B395" i="83"/>
  <c r="B396" i="83"/>
  <c r="B397" i="83"/>
  <c r="B398" i="83"/>
  <c r="B399" i="83"/>
  <c r="B400" i="83"/>
  <c r="B401" i="83"/>
  <c r="B402" i="83"/>
  <c r="B403" i="83"/>
  <c r="B404" i="83"/>
  <c r="B405" i="83"/>
  <c r="B406" i="83"/>
  <c r="B407" i="83"/>
  <c r="B408" i="83"/>
  <c r="B409" i="83"/>
  <c r="B410" i="83"/>
  <c r="B411" i="83"/>
  <c r="B412" i="83"/>
  <c r="B413" i="83"/>
  <c r="B414" i="83"/>
  <c r="B415" i="83"/>
  <c r="B416" i="83"/>
  <c r="B417" i="83"/>
  <c r="B418" i="83"/>
  <c r="B419" i="83"/>
  <c r="B420" i="83"/>
  <c r="B421" i="83"/>
  <c r="B422" i="83"/>
  <c r="B423" i="83"/>
  <c r="B424" i="83"/>
  <c r="B425" i="83"/>
  <c r="B426" i="83"/>
  <c r="B427" i="83"/>
  <c r="B428" i="83"/>
  <c r="B429" i="83"/>
  <c r="B430" i="83"/>
  <c r="B431" i="83"/>
  <c r="B432" i="83"/>
  <c r="B433" i="83"/>
  <c r="B434" i="83"/>
  <c r="B435" i="83"/>
  <c r="B436" i="83"/>
  <c r="B437" i="83"/>
  <c r="B438" i="83"/>
  <c r="B439" i="83"/>
  <c r="B440" i="83"/>
  <c r="B441" i="83"/>
  <c r="B442" i="83"/>
  <c r="B443" i="83"/>
  <c r="B444" i="83"/>
  <c r="B445" i="83"/>
  <c r="B446" i="83"/>
  <c r="B447" i="83"/>
  <c r="B448" i="83"/>
  <c r="B449" i="83"/>
  <c r="B450" i="83"/>
  <c r="B451" i="83"/>
  <c r="B452" i="83"/>
  <c r="B453" i="83"/>
  <c r="B454" i="83"/>
  <c r="B455" i="83"/>
  <c r="B456" i="83"/>
  <c r="B457" i="83"/>
  <c r="B458" i="83"/>
  <c r="B459" i="83"/>
  <c r="B460" i="83"/>
  <c r="B461" i="83"/>
  <c r="B462" i="83"/>
  <c r="B463" i="83"/>
  <c r="B464" i="83"/>
  <c r="B465" i="83"/>
  <c r="B466" i="83"/>
  <c r="B467" i="83"/>
  <c r="B468" i="83"/>
  <c r="B469" i="83"/>
  <c r="B470" i="83"/>
  <c r="B471" i="83"/>
  <c r="B472" i="83"/>
  <c r="B473" i="83"/>
  <c r="B474" i="83"/>
  <c r="B475" i="83"/>
  <c r="B476" i="83"/>
  <c r="B477" i="83"/>
  <c r="B478" i="83"/>
  <c r="B479" i="83"/>
  <c r="B480" i="83"/>
  <c r="B481" i="83"/>
  <c r="B482" i="83"/>
  <c r="B483" i="83"/>
  <c r="B484" i="83"/>
  <c r="B485" i="83"/>
  <c r="B486" i="83"/>
  <c r="B487" i="83"/>
  <c r="B488" i="83"/>
  <c r="B489" i="83"/>
  <c r="B490" i="83"/>
  <c r="B491" i="83"/>
  <c r="B492" i="83"/>
  <c r="B493" i="83"/>
  <c r="B494" i="83"/>
  <c r="B495" i="83"/>
  <c r="B496" i="83"/>
  <c r="B497" i="83"/>
  <c r="B498" i="83"/>
  <c r="B499" i="83"/>
  <c r="B500" i="83"/>
  <c r="B501" i="83"/>
  <c r="B502" i="83"/>
  <c r="B503" i="83"/>
  <c r="B504" i="83"/>
  <c r="B505" i="83"/>
  <c r="B506" i="83"/>
  <c r="B507" i="83"/>
  <c r="B508" i="83"/>
  <c r="B509" i="83"/>
  <c r="B510" i="83"/>
  <c r="B511" i="83"/>
  <c r="B512" i="83"/>
  <c r="B513" i="83"/>
  <c r="B514" i="83"/>
  <c r="B515" i="83"/>
  <c r="B516" i="83"/>
  <c r="B517" i="83"/>
  <c r="B518" i="83"/>
  <c r="B519" i="83"/>
  <c r="B520" i="83"/>
  <c r="B521" i="83"/>
  <c r="B522" i="83"/>
  <c r="B523" i="83"/>
  <c r="B524" i="83"/>
  <c r="B525" i="83"/>
  <c r="B526" i="83"/>
  <c r="B527" i="83"/>
  <c r="B528" i="83"/>
  <c r="B529" i="83"/>
  <c r="B530" i="83"/>
  <c r="B531" i="83"/>
  <c r="B532" i="83"/>
  <c r="B533" i="83"/>
  <c r="B534" i="83"/>
  <c r="B535" i="83"/>
  <c r="B536" i="83"/>
  <c r="B537" i="83"/>
  <c r="B538" i="83"/>
  <c r="B539" i="83"/>
  <c r="B540" i="83"/>
  <c r="B541" i="83"/>
  <c r="B542" i="83"/>
  <c r="B543" i="83"/>
  <c r="B544" i="83"/>
  <c r="B545" i="83"/>
  <c r="B546" i="83"/>
  <c r="B547" i="83"/>
  <c r="B548" i="83"/>
  <c r="B549" i="83"/>
  <c r="B550" i="83"/>
  <c r="B551" i="83"/>
  <c r="B552" i="83"/>
  <c r="B553" i="83"/>
  <c r="B554" i="83"/>
  <c r="B555" i="83"/>
  <c r="B556" i="83"/>
  <c r="B557" i="83"/>
  <c r="B558" i="83"/>
  <c r="B559" i="83"/>
  <c r="B560" i="83"/>
  <c r="B561" i="83"/>
  <c r="B562" i="83"/>
  <c r="B563" i="83"/>
  <c r="B564" i="83"/>
  <c r="B565" i="83"/>
  <c r="B566" i="83"/>
  <c r="B567" i="83"/>
  <c r="B568" i="83"/>
  <c r="B569" i="83"/>
  <c r="B570" i="83"/>
  <c r="B571" i="83"/>
  <c r="B572" i="83"/>
  <c r="B573" i="83"/>
  <c r="B574" i="83"/>
  <c r="B575" i="83"/>
  <c r="B576" i="83"/>
  <c r="B577" i="83"/>
  <c r="B578" i="83"/>
  <c r="B579" i="83"/>
  <c r="B580" i="83"/>
  <c r="B581" i="83"/>
  <c r="B582" i="83"/>
  <c r="B583" i="83"/>
  <c r="B584" i="83"/>
  <c r="B585" i="83"/>
  <c r="B586" i="83"/>
  <c r="B587" i="83"/>
  <c r="B588" i="83"/>
  <c r="B589" i="83"/>
  <c r="B590" i="83"/>
  <c r="B591" i="83"/>
  <c r="B592" i="83"/>
  <c r="B593" i="83"/>
  <c r="B594" i="83"/>
  <c r="B595" i="83"/>
  <c r="B596" i="83"/>
  <c r="B597" i="83"/>
  <c r="B598" i="83"/>
  <c r="B599" i="83"/>
  <c r="B600" i="83"/>
  <c r="B601" i="83"/>
  <c r="B602" i="83"/>
  <c r="B603" i="83"/>
  <c r="B604" i="83"/>
  <c r="B605" i="83"/>
  <c r="B606" i="83"/>
  <c r="B607" i="83"/>
  <c r="B608" i="83"/>
  <c r="B609" i="83"/>
  <c r="B610" i="83"/>
  <c r="B611" i="83"/>
  <c r="B612" i="83"/>
  <c r="B613" i="83"/>
  <c r="B614" i="83"/>
  <c r="B615" i="83"/>
  <c r="B616" i="83"/>
  <c r="B617" i="83"/>
  <c r="B618" i="83"/>
  <c r="B619" i="83"/>
  <c r="B620" i="83"/>
  <c r="B621" i="83"/>
  <c r="B622" i="83"/>
  <c r="B623" i="83"/>
  <c r="B624" i="83"/>
  <c r="B625" i="83"/>
  <c r="B626" i="83"/>
  <c r="B627" i="83"/>
  <c r="B628" i="83"/>
  <c r="B629" i="83"/>
  <c r="B630" i="83"/>
  <c r="B631" i="83"/>
  <c r="B632" i="83"/>
  <c r="B633" i="83"/>
  <c r="B634" i="83"/>
  <c r="B635" i="83"/>
  <c r="B636" i="83"/>
  <c r="B637" i="83"/>
  <c r="B638" i="83"/>
  <c r="B639" i="83"/>
  <c r="B640" i="83"/>
  <c r="B641" i="83"/>
  <c r="B642" i="83"/>
  <c r="B643" i="83"/>
  <c r="B644" i="83"/>
  <c r="B645" i="83"/>
  <c r="B646" i="83"/>
  <c r="B647" i="83"/>
  <c r="B648" i="83"/>
  <c r="B649" i="83"/>
  <c r="B650" i="83"/>
  <c r="B651" i="83"/>
  <c r="B652" i="83"/>
  <c r="B653" i="83"/>
  <c r="B654" i="83"/>
  <c r="B655" i="83"/>
  <c r="B656" i="83"/>
  <c r="B657" i="83"/>
  <c r="B658" i="83"/>
  <c r="B659" i="83"/>
  <c r="B660" i="83"/>
  <c r="B661" i="83"/>
  <c r="B662" i="83"/>
  <c r="B663" i="83"/>
  <c r="B664" i="83"/>
  <c r="B665" i="83"/>
  <c r="B666" i="83"/>
  <c r="B667" i="83"/>
  <c r="B668" i="83"/>
  <c r="B669" i="83"/>
  <c r="B670" i="83"/>
  <c r="B671" i="83"/>
  <c r="B672" i="83"/>
  <c r="B673" i="83"/>
  <c r="B674" i="83"/>
  <c r="B675" i="83"/>
  <c r="B676" i="83"/>
  <c r="B677" i="83"/>
  <c r="B678" i="83"/>
  <c r="B679" i="83"/>
  <c r="B680" i="83"/>
  <c r="B681" i="83"/>
  <c r="B682" i="83"/>
  <c r="B683" i="83"/>
  <c r="B684" i="83"/>
  <c r="B685" i="83"/>
  <c r="B686" i="83"/>
  <c r="B687" i="83"/>
  <c r="B688" i="83"/>
  <c r="B689" i="83"/>
  <c r="B690" i="83"/>
  <c r="B691" i="83"/>
  <c r="B692" i="83"/>
  <c r="B693" i="83"/>
  <c r="B694" i="83"/>
  <c r="B695" i="83"/>
  <c r="B696" i="83"/>
  <c r="B697" i="83"/>
  <c r="B698" i="83"/>
  <c r="B699" i="83"/>
  <c r="B700" i="83"/>
  <c r="B701" i="83"/>
  <c r="B702" i="83"/>
  <c r="B703" i="83"/>
  <c r="B704" i="83"/>
  <c r="B705" i="83"/>
  <c r="B706" i="83"/>
  <c r="B707" i="83"/>
  <c r="B708" i="83"/>
  <c r="B709" i="83"/>
  <c r="B710" i="83"/>
  <c r="B711" i="83"/>
  <c r="B712" i="83"/>
  <c r="B713" i="83"/>
  <c r="B714" i="83"/>
  <c r="B715" i="83"/>
  <c r="B716" i="83"/>
  <c r="B717" i="83"/>
  <c r="B718" i="83"/>
  <c r="B719" i="83"/>
  <c r="B720" i="83"/>
  <c r="B721" i="83"/>
  <c r="B722" i="83"/>
  <c r="B723" i="83"/>
  <c r="B724" i="83"/>
  <c r="B725" i="83"/>
  <c r="B726" i="83"/>
  <c r="B727" i="83"/>
  <c r="B728" i="83"/>
  <c r="B729" i="83"/>
  <c r="B730" i="83"/>
  <c r="B731" i="83"/>
  <c r="B732" i="83"/>
  <c r="B733" i="83"/>
  <c r="B734" i="83"/>
  <c r="B735" i="83"/>
  <c r="B736" i="83"/>
  <c r="B737" i="83"/>
  <c r="B738" i="83"/>
  <c r="B739" i="83"/>
  <c r="B740" i="83"/>
  <c r="B741" i="83"/>
  <c r="B742" i="83"/>
  <c r="B743" i="83"/>
  <c r="B744" i="83"/>
  <c r="B745" i="83"/>
  <c r="B746" i="83"/>
  <c r="B747" i="83"/>
  <c r="B748" i="83"/>
  <c r="B749" i="83"/>
  <c r="B750" i="83"/>
  <c r="B751" i="83"/>
  <c r="B752" i="83"/>
  <c r="B753" i="83"/>
  <c r="B754" i="83"/>
  <c r="B755" i="83"/>
  <c r="B756" i="83"/>
  <c r="B757" i="83"/>
  <c r="B758" i="83"/>
  <c r="B759" i="83"/>
  <c r="B760" i="83"/>
  <c r="B761" i="83"/>
  <c r="B762" i="83"/>
  <c r="B763" i="83"/>
  <c r="B764" i="83"/>
  <c r="B765" i="83"/>
  <c r="B766" i="83"/>
  <c r="B767" i="83"/>
  <c r="B768" i="83"/>
  <c r="B769" i="83"/>
  <c r="B770" i="83"/>
  <c r="B771" i="83"/>
  <c r="B772" i="83"/>
  <c r="B773" i="83"/>
  <c r="B774" i="83"/>
  <c r="B775" i="83"/>
  <c r="B776" i="83"/>
  <c r="B777" i="83"/>
  <c r="B778" i="83"/>
  <c r="B779" i="83"/>
  <c r="B780" i="83"/>
  <c r="B781" i="83"/>
  <c r="B782" i="83"/>
  <c r="B783" i="83"/>
  <c r="B784" i="83"/>
  <c r="B785" i="83"/>
  <c r="B786" i="83"/>
  <c r="B787" i="83"/>
  <c r="B788" i="83"/>
  <c r="B789" i="83"/>
  <c r="B790" i="83"/>
  <c r="B791" i="83"/>
  <c r="B792" i="83"/>
  <c r="B793" i="83"/>
  <c r="B794" i="83"/>
  <c r="B795" i="83"/>
  <c r="B796" i="83"/>
  <c r="B797" i="83"/>
  <c r="B798" i="83"/>
  <c r="B799" i="83"/>
  <c r="B800" i="83"/>
  <c r="B801" i="83"/>
  <c r="B802" i="83"/>
  <c r="B803" i="83"/>
  <c r="B804" i="83"/>
  <c r="B805" i="83"/>
  <c r="B806" i="83"/>
  <c r="B807" i="83"/>
  <c r="B808" i="83"/>
  <c r="B809" i="83"/>
  <c r="B810" i="83"/>
  <c r="B811" i="83"/>
  <c r="B812" i="83"/>
  <c r="B813" i="83"/>
  <c r="B814" i="83"/>
  <c r="B815" i="83"/>
  <c r="B816" i="83"/>
  <c r="B817" i="83"/>
  <c r="B818" i="83"/>
  <c r="B819" i="83"/>
  <c r="B820" i="83"/>
  <c r="B821" i="83"/>
  <c r="B822" i="83"/>
  <c r="B823" i="83"/>
  <c r="B824" i="83"/>
  <c r="B825" i="83"/>
  <c r="B826" i="83"/>
  <c r="B827" i="83"/>
  <c r="B828" i="83"/>
  <c r="B829" i="83"/>
  <c r="B830" i="83"/>
  <c r="B831" i="83"/>
  <c r="B832" i="83"/>
  <c r="B833" i="83"/>
  <c r="B834" i="83"/>
  <c r="B835" i="83"/>
  <c r="B836" i="83"/>
  <c r="B837" i="83"/>
  <c r="B838" i="83"/>
  <c r="B839" i="83"/>
  <c r="B840" i="83"/>
  <c r="B841" i="83"/>
  <c r="B842" i="83"/>
  <c r="B843" i="83"/>
  <c r="B844" i="83"/>
  <c r="B845" i="83"/>
  <c r="B846" i="83"/>
  <c r="B847" i="83"/>
  <c r="B848" i="83"/>
  <c r="B849" i="83"/>
  <c r="B850" i="83"/>
  <c r="B851" i="83"/>
  <c r="B852" i="83"/>
  <c r="B853" i="83"/>
  <c r="B854" i="83"/>
  <c r="B855" i="83"/>
  <c r="B856" i="83"/>
  <c r="B857" i="83"/>
  <c r="B858" i="83"/>
  <c r="B859" i="83"/>
  <c r="B860" i="83"/>
  <c r="B861" i="83"/>
  <c r="B862" i="83"/>
  <c r="B863" i="83"/>
  <c r="B864" i="83"/>
  <c r="B865" i="83"/>
  <c r="B866" i="83"/>
  <c r="B867" i="83"/>
  <c r="B868" i="83"/>
  <c r="B869" i="83"/>
  <c r="B870" i="83"/>
  <c r="B871" i="83"/>
  <c r="B872" i="83"/>
  <c r="B873" i="83"/>
  <c r="B874" i="83"/>
  <c r="B875" i="83"/>
  <c r="B876" i="83"/>
  <c r="B877" i="83"/>
  <c r="B878" i="83"/>
  <c r="B879" i="83"/>
  <c r="B880" i="83"/>
  <c r="B881" i="83"/>
  <c r="B882" i="83"/>
  <c r="B883" i="83"/>
  <c r="B884" i="83"/>
  <c r="B885" i="83"/>
  <c r="B886" i="83"/>
  <c r="B887" i="83"/>
  <c r="B888" i="83"/>
  <c r="B889" i="83"/>
  <c r="B890" i="83"/>
  <c r="B891" i="83"/>
  <c r="B892" i="83"/>
  <c r="B893" i="83"/>
  <c r="B894" i="83"/>
  <c r="B895" i="83"/>
  <c r="B896" i="83"/>
  <c r="B897" i="83"/>
  <c r="B898" i="83"/>
  <c r="B899" i="83"/>
  <c r="B900" i="83"/>
  <c r="B901" i="83"/>
  <c r="B902" i="83"/>
  <c r="B903" i="83"/>
  <c r="B904" i="83"/>
  <c r="B905" i="83"/>
  <c r="B906" i="83"/>
  <c r="B907" i="83"/>
  <c r="B908" i="83"/>
  <c r="B909" i="83"/>
  <c r="B910" i="83"/>
  <c r="B911" i="83"/>
  <c r="B912" i="83"/>
  <c r="B913" i="83"/>
  <c r="B914" i="83"/>
  <c r="B915" i="83"/>
  <c r="B916" i="83"/>
  <c r="B917" i="83"/>
  <c r="B918" i="83"/>
  <c r="B919" i="83"/>
  <c r="B920" i="83"/>
  <c r="B921" i="83"/>
  <c r="B922" i="83"/>
  <c r="B923" i="83"/>
  <c r="B924" i="83"/>
  <c r="B925" i="83"/>
  <c r="B926" i="83"/>
  <c r="B927" i="83"/>
  <c r="B928" i="83"/>
  <c r="B929" i="83"/>
  <c r="B930" i="83"/>
  <c r="B931" i="83"/>
  <c r="B932" i="83"/>
  <c r="B933" i="83"/>
  <c r="B934" i="83"/>
  <c r="B935" i="83"/>
  <c r="B936" i="83"/>
  <c r="B937" i="83"/>
  <c r="B938" i="83"/>
  <c r="B939" i="83"/>
  <c r="B940" i="83"/>
  <c r="B941" i="83"/>
  <c r="B942" i="83"/>
  <c r="B943" i="83"/>
  <c r="B944" i="83"/>
  <c r="B945" i="83"/>
  <c r="B946" i="83"/>
  <c r="B947" i="83"/>
  <c r="B948" i="83"/>
  <c r="B949" i="83"/>
  <c r="B950" i="83"/>
  <c r="B951" i="83"/>
  <c r="B952" i="83"/>
  <c r="B953" i="83"/>
  <c r="B954" i="83"/>
  <c r="B955" i="83"/>
  <c r="B956" i="83"/>
  <c r="B957" i="83"/>
  <c r="B958" i="83"/>
  <c r="B959" i="83"/>
  <c r="B960" i="83"/>
  <c r="B961" i="83"/>
  <c r="B962" i="83"/>
  <c r="B963" i="83"/>
  <c r="B964" i="83"/>
  <c r="B965" i="83"/>
  <c r="B966" i="83"/>
  <c r="B967" i="83"/>
  <c r="B968" i="83"/>
  <c r="B969" i="83"/>
  <c r="B970" i="83"/>
  <c r="B971" i="83"/>
  <c r="B972" i="83"/>
  <c r="B973" i="83"/>
  <c r="B974" i="83"/>
  <c r="B975" i="83"/>
  <c r="B976" i="83"/>
  <c r="B977" i="83"/>
  <c r="B978" i="83"/>
  <c r="B979" i="83"/>
  <c r="B980" i="83"/>
  <c r="B981" i="83"/>
  <c r="B982" i="83"/>
  <c r="B983" i="83"/>
  <c r="B984" i="83"/>
  <c r="B985" i="83"/>
  <c r="B986" i="83"/>
  <c r="B987" i="83"/>
  <c r="B988" i="83"/>
  <c r="B989" i="83"/>
  <c r="B990" i="83"/>
  <c r="B991" i="83"/>
  <c r="B992" i="83"/>
  <c r="B993" i="83"/>
  <c r="B994" i="83"/>
  <c r="B995" i="83"/>
  <c r="B996" i="83"/>
  <c r="B997" i="83"/>
  <c r="B998" i="83"/>
  <c r="B999" i="83"/>
  <c r="B1000" i="83"/>
  <c r="B1001" i="83"/>
  <c r="B1002" i="83"/>
  <c r="C3" i="83"/>
  <c r="B3" i="83" s="1"/>
  <c r="E8" i="82" a="1"/>
  <c r="E8" i="82" s="1"/>
  <c r="H13" i="91" l="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E7" i="86"/>
  <c r="K3" i="86" s="1"/>
  <c r="F7" i="86"/>
  <c r="J3" i="86" s="1"/>
  <c r="E7" i="85"/>
  <c r="F7" i="85"/>
  <c r="E7" i="83"/>
  <c r="K3" i="83" s="1"/>
  <c r="F7" i="83"/>
  <c r="J3" i="83" s="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F10" i="85"/>
  <c r="J3" i="85" s="1"/>
  <c r="E10" i="85"/>
  <c r="K3" i="85" s="1"/>
  <c r="E8" i="32" a="1"/>
  <c r="E8" i="32" s="1"/>
  <c r="K4" i="91" l="1" a="1"/>
  <c r="K4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<sst xmlns="http://schemas.openxmlformats.org/spreadsheetml/2006/main" count="4501" uniqueCount="362">
  <si>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</si>
  <si>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</si>
  <si>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</si>
  <si>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</si>
  <si>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</si>
  <si>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</si>
  <si>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</si>
  <si>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</si>
  <si>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</si>
  <si>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Diagnostics</t>
  </si>
  <si>
    <t>Specificity</t>
  </si>
  <si>
    <t>https://en.wikipedia.org/wiki/Sensitivity_and_specificity</t>
  </si>
  <si>
    <t>Can you detect non-cases?</t>
  </si>
  <si>
    <t>You are looking for negative cases.</t>
  </si>
  <si>
    <t>How Specific can you be?</t>
  </si>
  <si>
    <t>Logistic Regression</t>
  </si>
  <si>
    <t>yhat</t>
  </si>
  <si>
    <t>x2</t>
  </si>
  <si>
    <t>y</t>
  </si>
  <si>
    <t>x3</t>
  </si>
  <si>
    <t>You are looking for cases of sickness.</t>
  </si>
  <si>
    <t>Can you detect what you are looking for?</t>
  </si>
  <si>
    <t>https://en.wikipedia.org/wiki/Precision_and_recall</t>
  </si>
  <si>
    <t>Bomb</t>
  </si>
  <si>
    <t>Bird</t>
  </si>
  <si>
    <t>P</t>
  </si>
  <si>
    <t>TPR</t>
  </si>
  <si>
    <t>Critical Value</t>
  </si>
  <si>
    <t>TNR</t>
  </si>
  <si>
    <t>FNR</t>
  </si>
  <si>
    <t>ROC_Curve</t>
  </si>
  <si>
    <t>PPF_0</t>
  </si>
  <si>
    <t>PPF_1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</si>
  <si>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</si>
  <si>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</si>
  <si>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</si>
  <si>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</si>
  <si>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</si>
  <si>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</si>
  <si>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</si>
  <si>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</si>
  <si>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</si>
  <si>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</si>
  <si>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</si>
  <si>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</si>
  <si>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</si>
  <si>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</si>
  <si>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</si>
  <si>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</si>
  <si>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</si>
  <si>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</si>
  <si>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</si>
  <si>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</si>
  <si>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</si>
  <si>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</si>
  <si>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</si>
  <si>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</si>
  <si>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</si>
  <si>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</si>
  <si>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</si>
  <si>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</si>
  <si>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</si>
  <si>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</si>
  <si>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</si>
  <si>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</si>
  <si>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</si>
  <si>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</si>
  <si>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</si>
  <si>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Power up</t>
  </si>
  <si>
    <t>Each_vs_Each</t>
  </si>
  <si>
    <t>Each_vs_All</t>
  </si>
  <si>
    <t>Everyone needs a tool box:</t>
  </si>
  <si>
    <t>Categorical Variables</t>
  </si>
  <si>
    <t>Missing Data</t>
  </si>
  <si>
    <t>Correlated Predictors</t>
  </si>
  <si>
    <t>Multiple Categories</t>
  </si>
  <si>
    <t>Categorical Targets</t>
  </si>
  <si>
    <t>Question</t>
  </si>
  <si>
    <t>Points</t>
  </si>
  <si>
    <t>Cluster Analysis video</t>
  </si>
  <si>
    <t>mu_1</t>
  </si>
  <si>
    <t>sigma1</t>
  </si>
  <si>
    <t>mu_2</t>
  </si>
  <si>
    <t>sigma2</t>
  </si>
  <si>
    <t>dim1</t>
  </si>
  <si>
    <t>dim2</t>
  </si>
  <si>
    <t>This is a display of 1 iteration.</t>
  </si>
  <si>
    <t>X_1</t>
  </si>
  <si>
    <t>X_2</t>
  </si>
  <si>
    <t>X_3</t>
  </si>
  <si>
    <t>p_1</t>
  </si>
  <si>
    <t>p_2</t>
  </si>
  <si>
    <t>p_3</t>
  </si>
  <si>
    <t>p_4</t>
  </si>
  <si>
    <t>p_5</t>
  </si>
  <si>
    <t>p_6</t>
  </si>
  <si>
    <t>p_7</t>
  </si>
  <si>
    <t>p_8</t>
  </si>
  <si>
    <t>p_9</t>
  </si>
  <si>
    <t>Recall</t>
  </si>
  <si>
    <t>MultiClass Classification</t>
  </si>
  <si>
    <t>Cluster Analysis</t>
  </si>
  <si>
    <t>Cluster</t>
  </si>
  <si>
    <t>Excel_Demo</t>
  </si>
  <si>
    <t>R_Demo</t>
  </si>
  <si>
    <t>TP</t>
  </si>
  <si>
    <t>Pos/Neg</t>
  </si>
  <si>
    <t>T/F</t>
  </si>
  <si>
    <t>FN</t>
  </si>
  <si>
    <t>TP/(TP+FN)</t>
  </si>
  <si>
    <t>Sensitvity</t>
  </si>
  <si>
    <t>Sensitivity is Recall</t>
  </si>
  <si>
    <t>Are you senstivity enough to find what you are trying to recall?</t>
  </si>
  <si>
    <t>Can you find the memory you are looking for and call it back?</t>
  </si>
  <si>
    <t>Can you recall?</t>
  </si>
  <si>
    <t>Recall is Sensitivity</t>
  </si>
  <si>
    <t>Specificity is the True Negative Rate.</t>
  </si>
  <si>
    <t>TN</t>
  </si>
  <si>
    <t>FP</t>
  </si>
  <si>
    <t>Estimate</t>
  </si>
  <si>
    <t>Machine1 bakes 2 cakes per hour.</t>
  </si>
  <si>
    <t>Machine2 bakes 4 cakes per hour.</t>
  </si>
  <si>
    <t>On average how many cakes do they make per hour?</t>
  </si>
  <si>
    <t>Machine1 bakes a cake in .5 hours.</t>
  </si>
  <si>
    <t>Machine2 bakes a cake in .25 hours.</t>
  </si>
  <si>
    <t>On average how long does it take to bake a cake?</t>
  </si>
  <si>
    <t>(1/.5 + 1/.25) / 2</t>
  </si>
  <si>
    <t>(1/.5 + 1/.25)</t>
  </si>
  <si>
    <r>
      <t>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</si>
  <si>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(r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</si>
  <si>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2 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 r</t>
    </r>
    <r>
      <rPr>
        <vertAlign val="subscript"/>
        <sz val="20"/>
        <color theme="1"/>
        <rFont val="Calibri (Body)"/>
      </rPr>
      <t>2</t>
    </r>
  </si>
  <si>
    <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</si>
  <si>
    <r>
      <t>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2</t>
    </r>
  </si>
  <si>
    <r>
      <t>Average(1/r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  <r>
      <rPr>
        <vertAlign val="superscript"/>
        <sz val="20"/>
        <color theme="1"/>
        <rFont val="Calibri (Body)"/>
      </rPr>
      <t>-1</t>
    </r>
  </si>
  <si>
    <t>Average(1/.5 , 1/.25)</t>
  </si>
  <si>
    <t>HarmonicMean</t>
  </si>
  <si>
    <t>ConfusionMatrix</t>
  </si>
  <si>
    <t>A</t>
  </si>
  <si>
    <t>B</t>
  </si>
  <si>
    <t>C</t>
  </si>
  <si>
    <t>D</t>
  </si>
  <si>
    <t>E</t>
  </si>
  <si>
    <t>Pre = before</t>
  </si>
  <si>
    <t>cise = cut</t>
  </si>
  <si>
    <t>Can you make the same cut every time?</t>
  </si>
  <si>
    <t>Will you reliably get the same result?</t>
  </si>
  <si>
    <t>Before you make cut, will it be the cut that want?</t>
  </si>
  <si>
    <t>Precision</t>
  </si>
  <si>
    <t>Diagnostics 1</t>
  </si>
  <si>
    <t>Diagnostics 2</t>
  </si>
  <si>
    <t>Diagnostics are important.  We need to know how well we're doing.</t>
  </si>
  <si>
    <t>∀</t>
  </si>
  <si>
    <t>Interpretability is important.</t>
  </si>
  <si>
    <t>F1 Score</t>
  </si>
  <si>
    <t>https://en.wikipedia.org/wiki/F-score</t>
  </si>
  <si>
    <t>The F1 score is a harmonic mean of precision and recall.</t>
  </si>
  <si>
    <t>It is a metric that measures both</t>
  </si>
  <si>
    <t>how well you find what you are looking for, tp/(tp+fn), and</t>
  </si>
  <si>
    <t>do you find what you say you are going to find, tp/(tp+fp)</t>
  </si>
  <si>
    <t>Bernoulli Random Variable</t>
  </si>
  <si>
    <t>X ~ Bernoulli</t>
  </si>
  <si>
    <t>X</t>
  </si>
  <si>
    <t>P(X)</t>
  </si>
  <si>
    <t>p</t>
  </si>
  <si>
    <t>1-p</t>
  </si>
  <si>
    <t>E(X)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</si>
  <si>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X P(X)</t>
    </r>
  </si>
  <si>
    <t>V(X)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</si>
  <si>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(X-E(X))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P(X)</t>
    </r>
  </si>
  <si>
    <t>x</t>
  </si>
  <si>
    <t>xp3</t>
  </si>
  <si>
    <t>xp2</t>
  </si>
  <si>
    <t>xp1</t>
  </si>
  <si>
    <t>x_xp3</t>
  </si>
  <si>
    <t>x_xp2</t>
  </si>
  <si>
    <t>x_xp1</t>
  </si>
  <si>
    <t>x_xp6</t>
  </si>
  <si>
    <t>x_xp5</t>
  </si>
  <si>
    <t>x_xp4</t>
  </si>
  <si>
    <t>xp6</t>
  </si>
  <si>
    <t>xp5</t>
  </si>
  <si>
    <t>xp4</t>
  </si>
  <si>
    <t>xo2_xp2</t>
  </si>
  <si>
    <t>xo2_xp1</t>
  </si>
  <si>
    <t>Time</t>
  </si>
  <si>
    <t>Yield</t>
  </si>
  <si>
    <t>Label1</t>
  </si>
  <si>
    <t>Label2</t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</si>
  <si>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(2)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</si>
  <si>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</si>
  <si>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2</t>
    </r>
  </si>
  <si>
    <t>Label</t>
  </si>
  <si>
    <t>time</t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</si>
  <si>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</si>
  <si>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</si>
  <si>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</si>
  <si>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2</t>
    </r>
  </si>
  <si>
    <t>Coefficients</t>
  </si>
  <si>
    <t>Value</t>
  </si>
  <si>
    <t>line1</t>
  </si>
  <si>
    <r>
      <t>c</t>
    </r>
    <r>
      <rPr>
        <vertAlign val="subscript"/>
        <sz val="12"/>
        <color theme="1"/>
        <rFont val="Calibri (Body)"/>
      </rPr>
      <t>1</t>
    </r>
  </si>
  <si>
    <r>
      <t>d</t>
    </r>
    <r>
      <rPr>
        <vertAlign val="subscript"/>
        <sz val="12"/>
        <color theme="1"/>
        <rFont val="Calibri (Body)"/>
      </rPr>
      <t>1</t>
    </r>
  </si>
  <si>
    <t>=</t>
  </si>
  <si>
    <t>line2</t>
  </si>
  <si>
    <r>
      <t>c</t>
    </r>
    <r>
      <rPr>
        <vertAlign val="subscript"/>
        <sz val="12"/>
        <color theme="1"/>
        <rFont val="Calibri (Body)"/>
      </rPr>
      <t>2</t>
    </r>
  </si>
  <si>
    <r>
      <t>d</t>
    </r>
    <r>
      <rPr>
        <vertAlign val="subscript"/>
        <sz val="12"/>
        <color theme="1"/>
        <rFont val="Calibri (Body)"/>
      </rPr>
      <t>2</t>
    </r>
  </si>
  <si>
    <r>
      <t>y(t) =  at</t>
    </r>
    <r>
      <rPr>
        <vertAlign val="superscript"/>
        <sz val="20"/>
        <rFont val="Calibri (Body)"/>
      </rPr>
      <t>3</t>
    </r>
    <r>
      <rPr>
        <sz val="20"/>
        <rFont val="Calibri"/>
        <family val="2"/>
        <scheme val="minor"/>
      </rPr>
      <t xml:space="preserve"> + bt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ct + d</t>
    </r>
  </si>
  <si>
    <r>
      <t>y'(t) = 3at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+ 2bt + c + 1</t>
    </r>
    <r>
      <rPr>
        <sz val="12"/>
        <color theme="1"/>
        <rFont val="Calibri"/>
        <family val="2"/>
        <scheme val="minor"/>
      </rPr>
      <t/>
    </r>
  </si>
  <si>
    <t>y''(t) = 6at + 2b + 0 + 0</t>
  </si>
  <si>
    <t>label</t>
  </si>
  <si>
    <t>value</t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</si>
  <si>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</si>
  <si>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</si>
  <si>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</si>
  <si>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</si>
  <si>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</si>
  <si>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</si>
  <si>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</si>
  <si>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</si>
  <si>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</si>
  <si>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</si>
  <si>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</si>
  <si>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</si>
  <si>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</si>
  <si>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</si>
  <si>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</si>
  <si>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5</t>
    </r>
  </si>
  <si>
    <t>y(3)</t>
  </si>
  <si>
    <t>y'(3)</t>
  </si>
  <si>
    <t>y''(3)</t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</si>
  <si>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</si>
  <si>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</si>
  <si>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</si>
  <si>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</si>
  <si>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</si>
  <si>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</si>
  <si>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</si>
  <si>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</si>
  <si>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</si>
  <si>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</si>
  <si>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</si>
  <si>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3</t>
    </r>
  </si>
  <si>
    <r>
      <t>a</t>
    </r>
    <r>
      <rPr>
        <vertAlign val="subscript"/>
        <sz val="12"/>
        <color theme="1"/>
        <rFont val="Calibri (Body)"/>
      </rPr>
      <t>1</t>
    </r>
  </si>
  <si>
    <r>
      <t>b</t>
    </r>
    <r>
      <rPr>
        <vertAlign val="subscript"/>
        <sz val="12"/>
        <color theme="1"/>
        <rFont val="Calibri (Body)"/>
      </rPr>
      <t>1</t>
    </r>
  </si>
  <si>
    <t>y(4)</t>
  </si>
  <si>
    <r>
      <t>a</t>
    </r>
    <r>
      <rPr>
        <vertAlign val="subscript"/>
        <sz val="12"/>
        <color theme="1"/>
        <rFont val="Calibri (Body)"/>
      </rPr>
      <t>2</t>
    </r>
  </si>
  <si>
    <r>
      <t>b</t>
    </r>
    <r>
      <rPr>
        <vertAlign val="subscript"/>
        <sz val="12"/>
        <color theme="1"/>
        <rFont val="Calibri (Body)"/>
      </rPr>
      <t>2</t>
    </r>
  </si>
  <si>
    <t>y'(4)</t>
  </si>
  <si>
    <t>y''(4)</t>
  </si>
  <si>
    <t>y(2)</t>
  </si>
  <si>
    <r>
      <t>a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</si>
  <si>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y(5)</t>
  </si>
  <si>
    <r>
      <t>b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</si>
  <si>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y''(2)</t>
  </si>
  <si>
    <r>
      <t>c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</si>
  <si>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y''(5)</t>
  </si>
  <si>
    <r>
      <t>d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</si>
  <si>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 xml:space="preserve">   </t>
  </si>
  <si>
    <t>Index</t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</si>
  <si>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</si>
  <si>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</si>
  <si>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</si>
  <si>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</si>
  <si>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</si>
  <si>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</si>
  <si>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</si>
  <si>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</si>
  <si>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</si>
  <si>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</si>
  <si>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</si>
  <si>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</si>
  <si>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</si>
  <si>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</si>
  <si>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</si>
  <si>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</si>
  <si>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</si>
  <si>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</si>
  <si>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</si>
  <si>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</si>
  <si>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</si>
  <si>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</si>
  <si>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</si>
  <si>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</si>
  <si>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</si>
  <si>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</si>
  <si>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</si>
  <si>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</si>
  <si>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</si>
  <si>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</si>
  <si>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</si>
  <si>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8</t>
    </r>
  </si>
  <si>
    <t>Coeffs</t>
  </si>
  <si>
    <t>a_30</t>
  </si>
  <si>
    <t>b_30</t>
  </si>
  <si>
    <t>t</t>
  </si>
  <si>
    <t>Spline</t>
  </si>
  <si>
    <t>a_1</t>
  </si>
  <si>
    <t>b_1</t>
  </si>
  <si>
    <t>c_1</t>
  </si>
  <si>
    <t>d_1</t>
  </si>
  <si>
    <t>a_2</t>
  </si>
  <si>
    <t>b_2</t>
  </si>
  <si>
    <t>c_2</t>
  </si>
  <si>
    <t>d_2</t>
  </si>
  <si>
    <t>a_3</t>
  </si>
  <si>
    <t>b_3</t>
  </si>
  <si>
    <t>c_3</t>
  </si>
  <si>
    <t>d_3</t>
  </si>
  <si>
    <t>a_4</t>
  </si>
  <si>
    <t>b_4</t>
  </si>
  <si>
    <t>c_4</t>
  </si>
  <si>
    <t>d_4</t>
  </si>
  <si>
    <t>a_5</t>
  </si>
  <si>
    <t>b_5</t>
  </si>
  <si>
    <t>c_5</t>
  </si>
  <si>
    <t>d_5</t>
  </si>
  <si>
    <t>a_7</t>
  </si>
  <si>
    <t>b_7</t>
  </si>
  <si>
    <t>c_7</t>
  </si>
  <si>
    <t>d_7</t>
  </si>
  <si>
    <t>a_10</t>
  </si>
  <si>
    <t>b_10</t>
  </si>
  <si>
    <t>c_10</t>
  </si>
  <si>
    <t>d_10</t>
  </si>
  <si>
    <t>c_30</t>
  </si>
  <si>
    <t>d_30</t>
  </si>
  <si>
    <t>i_1</t>
  </si>
  <si>
    <t>sumsq</t>
  </si>
  <si>
    <t/>
  </si>
  <si>
    <t>f'</t>
  </si>
  <si>
    <t>f''</t>
  </si>
  <si>
    <t>Penalty</t>
  </si>
  <si>
    <t>lambda</t>
  </si>
  <si>
    <t>obj</t>
  </si>
  <si>
    <t>Data</t>
  </si>
  <si>
    <t>Fit_O3</t>
  </si>
  <si>
    <t>Fit_3Piece_O0</t>
  </si>
  <si>
    <t>Fit_3Piece_O1</t>
  </si>
  <si>
    <t>Fit_3Piece_O1_v2</t>
  </si>
  <si>
    <t>Fit_6Piece_O1</t>
  </si>
  <si>
    <t>Fit_2Piece_O2</t>
  </si>
  <si>
    <t>NoSpline1</t>
  </si>
  <si>
    <t>NoSpline2</t>
  </si>
  <si>
    <t>NoSpline3</t>
  </si>
  <si>
    <t>CubicSpline1</t>
  </si>
  <si>
    <t>CubicSpline2</t>
  </si>
  <si>
    <t>CubicSpline3</t>
  </si>
  <si>
    <t>CubicSpline_YC</t>
  </si>
  <si>
    <t>CubicSpline_YC_Optim</t>
  </si>
  <si>
    <t>CubicSpline_YC_Optim_Penalized</t>
  </si>
  <si>
    <t>F1Score</t>
  </si>
  <si>
    <t>Bernoulli</t>
  </si>
  <si>
    <t>Solve for E(X) and V(X)</t>
  </si>
  <si>
    <t>Write out the the equation for a harmonic mean of recall and precision</t>
  </si>
  <si>
    <t>Splines</t>
  </si>
  <si>
    <t>Type out your work here or insert an image of handwritten work.</t>
  </si>
  <si>
    <t>Write out the the equation for a harmonic mean of recall and precision.</t>
  </si>
  <si>
    <t>Plot the points below</t>
  </si>
  <si>
    <t>Interpret them as 2 line segments.</t>
  </si>
  <si>
    <t>Solve for the slope and intercepts of both lines at the same time as part of a system of equations.</t>
  </si>
  <si>
    <t>Repeat the above and change the equation so that system constrains the lines to having the same slope.</t>
  </si>
  <si>
    <t>Piecewise Models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</si>
</sst>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00000000000000000%"/>
    <numFmt numFmtId="166" formatCode="0.000"/>
    <numFmt numFmtId="167" formatCode="0.00000000000000%"/>
  </numFmts>
  <fonts count="34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5"/>
      <name val="Calibri"/>
      <family val="2"/>
      <scheme val="minor"/>
    </font>
    <font>
      <vertAlign val="subscript"/>
      <sz val="20"/>
      <color theme="1"/>
      <name val="Calibri (Body)"/>
    </font>
    <font>
      <vertAlign val="superscript"/>
      <sz val="20"/>
      <color theme="1"/>
      <name val="Calibri (Body)"/>
    </font>
    <font>
      <sz val="36"/>
      <color theme="1"/>
      <name val="Calibri"/>
      <family val="2"/>
      <scheme val="minor"/>
    </font>
    <font>
      <sz val="36"/>
      <color theme="0" tint="-0.499984740745262"/>
      <name val="Calibri"/>
      <family val="2"/>
      <scheme val="minor"/>
    </font>
    <font>
      <sz val="7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14"/>
      <color theme="1"/>
      <name val="Calibri"/>
      <family val="2"/>
      <scheme val="minor"/>
    </font>
    <font>
      <vertAlign val="subscript"/>
      <sz val="12"/>
      <color theme="1"/>
      <name val="Calibri (Body)"/>
    </font>
    <font>
      <sz val="12"/>
      <color theme="0" tint="-0.249977111117893"/>
      <name val="Calibri"/>
      <family val="2"/>
      <scheme val="minor"/>
    </font>
    <font>
      <vertAlign val="superscript"/>
      <sz val="12"/>
      <color theme="1"/>
      <name val="Calibri (Body)"/>
    </font>
    <font>
      <sz val="12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name val="Calibri (Body)"/>
    </font>
    <font>
      <b/>
      <sz val="12"/>
      <name val="Calibri"/>
      <family val="2"/>
      <scheme val="minor"/>
    </font>
    <font>
      <b/>
      <vertAlign val="superscript"/>
      <sz val="12"/>
      <color theme="1"/>
      <name val="Calibri (Body)"/>
    </font>
    <font>
      <b/>
      <vertAlign val="subscript"/>
      <sz val="12"/>
      <color theme="1"/>
      <name val="Calibri (Body)"/>
    </font>
    <font>
      <sz val="8"/>
      <color theme="1"/>
      <name val="Calibri"/>
      <family val="2"/>
      <scheme val="minor"/>
    </font>
    <font>
      <vertAlign val="superscript"/>
      <sz val="8"/>
      <color theme="1"/>
      <name val="Calibri (Body)"/>
    </font>
    <font>
      <vertAlign val="subscript"/>
      <sz val="8"/>
      <color theme="1"/>
      <name val="Calibri (Body)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125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0" fillId="2" borderId="0" xfId="0" applyFont="1" applyFill="1"/>
    <xf numFmtId="9" fontId="0" fillId="2" borderId="0" xfId="5" applyFont="1" applyFill="1"/>
    <xf numFmtId="9" fontId="0" fillId="2" borderId="0" xfId="0" applyNumberFormat="1" applyFont="1" applyFill="1"/>
    <xf numFmtId="0" fontId="0" fillId="2" borderId="0" xfId="0" applyFont="1" applyFill="1" applyAlignment="1">
      <alignment horizontal="right"/>
    </xf>
    <xf numFmtId="0" fontId="7" fillId="2" borderId="0" xfId="0" applyFont="1" applyFill="1"/>
    <xf numFmtId="0" fontId="7" fillId="2" borderId="0" xfId="0" applyFont="1" applyFill="1" applyAlignment="1">
      <alignment horizontal="right"/>
    </xf>
    <xf numFmtId="9" fontId="7" fillId="2" borderId="0" xfId="0" applyNumberFormat="1" applyFont="1" applyFill="1"/>
    <xf numFmtId="9" fontId="7" fillId="2" borderId="0" xfId="5" applyFont="1" applyFill="1"/>
    <xf numFmtId="0" fontId="1" fillId="2" borderId="0" xfId="2" applyFont="1" applyFill="1"/>
    <xf numFmtId="0" fontId="9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0" fontId="0" fillId="4" borderId="0" xfId="0" applyFont="1" applyFill="1"/>
    <xf numFmtId="9" fontId="0" fillId="4" borderId="0" xfId="0" applyNumberFormat="1" applyFont="1" applyFill="1"/>
    <xf numFmtId="9" fontId="0" fillId="5" borderId="0" xfId="5" applyFont="1" applyFill="1"/>
    <xf numFmtId="0" fontId="1" fillId="3" borderId="0" xfId="4" applyFont="1" applyFill="1"/>
    <xf numFmtId="0" fontId="10" fillId="2" borderId="0" xfId="0" applyFont="1" applyFill="1"/>
    <xf numFmtId="0" fontId="9" fillId="2" borderId="0" xfId="1" applyFont="1" applyFill="1"/>
    <xf numFmtId="0" fontId="1" fillId="2" borderId="0" xfId="0" applyFont="1" applyFill="1" applyAlignment="1">
      <alignment horizontal="right"/>
    </xf>
    <xf numFmtId="0" fontId="10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6" borderId="0" xfId="0" applyFont="1" applyFill="1" applyAlignment="1">
      <alignment horizontal="left"/>
    </xf>
    <xf numFmtId="0" fontId="2" fillId="6" borderId="0" xfId="0" applyFont="1" applyFill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5" fillId="2" borderId="0" xfId="0" applyFont="1" applyFill="1" applyAlignment="1">
      <alignment horizontal="center"/>
    </xf>
    <xf numFmtId="2" fontId="15" fillId="4" borderId="0" xfId="0" applyNumberFormat="1" applyFont="1" applyFill="1" applyAlignment="1">
      <alignment horizontal="center"/>
    </xf>
    <xf numFmtId="2" fontId="16" fillId="4" borderId="0" xfId="0" applyNumberFormat="1" applyFont="1" applyFill="1" applyAlignment="1">
      <alignment horizontal="center"/>
    </xf>
    <xf numFmtId="2" fontId="15" fillId="2" borderId="0" xfId="0" applyNumberFormat="1" applyFont="1" applyFill="1" applyAlignment="1">
      <alignment horizontal="center"/>
    </xf>
    <xf numFmtId="0" fontId="17" fillId="2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20" fillId="2" borderId="0" xfId="0" applyFont="1" applyFill="1"/>
    <xf numFmtId="0" fontId="21" fillId="2" borderId="0" xfId="0" applyFont="1" applyFill="1"/>
    <xf numFmtId="0" fontId="21" fillId="2" borderId="0" xfId="0" applyFont="1" applyFill="1" applyAlignment="1">
      <alignment horizontal="right"/>
    </xf>
    <xf numFmtId="0" fontId="0" fillId="7" borderId="0" xfId="0" applyFill="1" applyAlignment="1">
      <alignment horizontal="right"/>
    </xf>
    <xf numFmtId="0" fontId="0" fillId="7" borderId="0" xfId="0" applyFill="1"/>
    <xf numFmtId="0" fontId="23" fillId="7" borderId="0" xfId="0" applyFont="1" applyFill="1"/>
    <xf numFmtId="0" fontId="25" fillId="7" borderId="0" xfId="0" applyFont="1" applyFill="1" applyAlignment="1">
      <alignment horizontal="right"/>
    </xf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13" xfId="0" applyFill="1" applyBorder="1" applyAlignment="1">
      <alignment horizontal="right"/>
    </xf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 applyAlignment="1">
      <alignment horizontal="right"/>
    </xf>
    <xf numFmtId="0" fontId="0" fillId="7" borderId="16" xfId="0" applyFill="1" applyBorder="1"/>
    <xf numFmtId="0" fontId="0" fillId="7" borderId="17" xfId="0" applyFill="1" applyBorder="1"/>
    <xf numFmtId="0" fontId="0" fillId="7" borderId="9" xfId="0" applyFill="1" applyBorder="1"/>
    <xf numFmtId="0" fontId="0" fillId="7" borderId="18" xfId="0" applyFill="1" applyBorder="1"/>
    <xf numFmtId="0" fontId="0" fillId="7" borderId="19" xfId="0" applyFill="1" applyBorder="1" applyAlignment="1">
      <alignment horizontal="right"/>
    </xf>
    <xf numFmtId="0" fontId="0" fillId="7" borderId="19" xfId="0" applyFill="1" applyBorder="1"/>
    <xf numFmtId="0" fontId="25" fillId="2" borderId="0" xfId="0" applyFont="1" applyFill="1" applyAlignment="1">
      <alignment horizontal="right"/>
    </xf>
    <xf numFmtId="0" fontId="0" fillId="2" borderId="14" xfId="0" applyFill="1" applyBorder="1"/>
    <xf numFmtId="0" fontId="0" fillId="2" borderId="15" xfId="0" applyFill="1" applyBorder="1"/>
    <xf numFmtId="0" fontId="26" fillId="7" borderId="0" xfId="0" applyFont="1" applyFill="1"/>
    <xf numFmtId="0" fontId="25" fillId="7" borderId="0" xfId="0" applyFont="1" applyFill="1"/>
    <xf numFmtId="0" fontId="25" fillId="7" borderId="10" xfId="0" applyFont="1" applyFill="1" applyBorder="1"/>
    <xf numFmtId="0" fontId="25" fillId="7" borderId="11" xfId="0" applyFont="1" applyFill="1" applyBorder="1"/>
    <xf numFmtId="0" fontId="25" fillId="7" borderId="12" xfId="0" applyFont="1" applyFill="1" applyBorder="1"/>
    <xf numFmtId="0" fontId="25" fillId="7" borderId="14" xfId="0" applyFont="1" applyFill="1" applyBorder="1"/>
    <xf numFmtId="0" fontId="25" fillId="7" borderId="15" xfId="0" applyFont="1" applyFill="1" applyBorder="1"/>
    <xf numFmtId="0" fontId="25" fillId="7" borderId="17" xfId="0" applyFont="1" applyFill="1" applyBorder="1"/>
    <xf numFmtId="0" fontId="25" fillId="7" borderId="9" xfId="0" applyFont="1" applyFill="1" applyBorder="1"/>
    <xf numFmtId="0" fontId="25" fillId="7" borderId="18" xfId="0" applyFont="1" applyFill="1" applyBorder="1"/>
    <xf numFmtId="0" fontId="28" fillId="7" borderId="0" xfId="0" applyFont="1" applyFill="1" applyAlignment="1">
      <alignment horizontal="right"/>
    </xf>
    <xf numFmtId="0" fontId="18" fillId="7" borderId="0" xfId="0" applyFont="1" applyFill="1" applyAlignment="1">
      <alignment horizontal="right"/>
    </xf>
    <xf numFmtId="0" fontId="28" fillId="7" borderId="0" xfId="0" applyFont="1" applyFill="1"/>
    <xf numFmtId="0" fontId="25" fillId="7" borderId="20" xfId="0" applyFont="1" applyFill="1" applyBorder="1"/>
    <xf numFmtId="0" fontId="25" fillId="7" borderId="21" xfId="0" applyFont="1" applyFill="1" applyBorder="1"/>
    <xf numFmtId="0" fontId="25" fillId="7" borderId="22" xfId="0" applyFont="1" applyFill="1" applyBorder="1"/>
    <xf numFmtId="0" fontId="25" fillId="7" borderId="0" xfId="5" applyNumberFormat="1" applyFont="1" applyFill="1"/>
    <xf numFmtId="164" fontId="25" fillId="7" borderId="0" xfId="5" applyNumberFormat="1" applyFont="1" applyFill="1"/>
    <xf numFmtId="165" fontId="25" fillId="7" borderId="0" xfId="0" applyNumberFormat="1" applyFont="1" applyFill="1"/>
    <xf numFmtId="0" fontId="31" fillId="7" borderId="0" xfId="0" applyFont="1" applyFill="1" applyAlignment="1">
      <alignment horizontal="right"/>
    </xf>
    <xf numFmtId="0" fontId="8" fillId="7" borderId="0" xfId="0" applyFont="1" applyFill="1" applyAlignment="1">
      <alignment horizontal="center"/>
    </xf>
    <xf numFmtId="0" fontId="8" fillId="7" borderId="10" xfId="0" applyFont="1" applyFill="1" applyBorder="1"/>
    <xf numFmtId="0" fontId="8" fillId="7" borderId="11" xfId="0" applyFont="1" applyFill="1" applyBorder="1"/>
    <xf numFmtId="0" fontId="8" fillId="7" borderId="12" xfId="0" applyFont="1" applyFill="1" applyBorder="1"/>
    <xf numFmtId="0" fontId="31" fillId="7" borderId="11" xfId="0" applyFont="1" applyFill="1" applyBorder="1" applyAlignment="1">
      <alignment horizontal="right"/>
    </xf>
    <xf numFmtId="166" fontId="25" fillId="7" borderId="0" xfId="0" applyNumberFormat="1" applyFont="1" applyFill="1"/>
    <xf numFmtId="0" fontId="8" fillId="7" borderId="14" xfId="0" applyFont="1" applyFill="1" applyBorder="1"/>
    <xf numFmtId="0" fontId="8" fillId="7" borderId="0" xfId="0" applyFont="1" applyFill="1"/>
    <xf numFmtId="0" fontId="8" fillId="7" borderId="15" xfId="0" applyFont="1" applyFill="1" applyBorder="1"/>
    <xf numFmtId="0" fontId="8" fillId="7" borderId="17" xfId="0" applyFont="1" applyFill="1" applyBorder="1"/>
    <xf numFmtId="0" fontId="8" fillId="7" borderId="9" xfId="0" applyFont="1" applyFill="1" applyBorder="1"/>
    <xf numFmtId="0" fontId="8" fillId="7" borderId="18" xfId="0" applyFont="1" applyFill="1" applyBorder="1"/>
    <xf numFmtId="0" fontId="8" fillId="7" borderId="14" xfId="0" applyFont="1" applyFill="1" applyBorder="1" applyAlignment="1">
      <alignment horizontal="right"/>
    </xf>
    <xf numFmtId="0" fontId="8" fillId="7" borderId="0" xfId="0" applyFont="1" applyFill="1" applyAlignment="1">
      <alignment horizontal="right"/>
    </xf>
    <xf numFmtId="9" fontId="8" fillId="7" borderId="0" xfId="5" applyFont="1" applyFill="1" applyBorder="1"/>
    <xf numFmtId="0" fontId="8" fillId="7" borderId="15" xfId="0" applyFont="1" applyFill="1" applyBorder="1" applyAlignment="1">
      <alignment horizontal="right"/>
    </xf>
    <xf numFmtId="0" fontId="8" fillId="7" borderId="20" xfId="0" applyFont="1" applyFill="1" applyBorder="1"/>
    <xf numFmtId="0" fontId="8" fillId="7" borderId="21" xfId="0" applyFont="1" applyFill="1" applyBorder="1"/>
    <xf numFmtId="0" fontId="8" fillId="7" borderId="22" xfId="0" applyFont="1" applyFill="1" applyBorder="1"/>
    <xf numFmtId="9" fontId="8" fillId="7" borderId="9" xfId="5" applyFont="1" applyFill="1" applyBorder="1"/>
    <xf numFmtId="9" fontId="25" fillId="7" borderId="0" xfId="5" applyFont="1" applyFill="1"/>
    <xf numFmtId="10" fontId="25" fillId="7" borderId="0" xfId="5" applyNumberFormat="1" applyFont="1" applyFill="1"/>
    <xf numFmtId="167" fontId="25" fillId="7" borderId="0" xfId="0" applyNumberFormat="1" applyFont="1" applyFill="1"/>
    <xf numFmtId="0" fontId="31" fillId="7" borderId="0" xfId="0" applyFont="1" applyFill="1" applyAlignment="1">
      <alignment horizontal="center"/>
    </xf>
    <xf numFmtId="164" fontId="8" fillId="7" borderId="0" xfId="0" applyNumberFormat="1" applyFont="1" applyFill="1"/>
    <xf numFmtId="10" fontId="25" fillId="7" borderId="0" xfId="0" applyNumberFormat="1" applyFont="1" applyFill="1"/>
    <xf numFmtId="10" fontId="8" fillId="7" borderId="0" xfId="0" applyNumberFormat="1" applyFont="1" applyFill="1"/>
    <xf numFmtId="10" fontId="8" fillId="7" borderId="0" xfId="5" applyNumberFormat="1" applyFont="1" applyFill="1"/>
    <xf numFmtId="164" fontId="8" fillId="7" borderId="0" xfId="5" applyNumberFormat="1" applyFont="1" applyFill="1"/>
    <xf numFmtId="2" fontId="8" fillId="7" borderId="0" xfId="0" applyNumberFormat="1" applyFont="1" applyFill="1"/>
    <xf numFmtId="164" fontId="8" fillId="7" borderId="0" xfId="0" applyNumberFormat="1" applyFont="1" applyFill="1" applyAlignment="1">
      <alignment shrinkToFit="1"/>
    </xf>
    <xf numFmtId="0" fontId="1" fillId="4" borderId="0" xfId="0" applyFont="1" applyFill="1"/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14.xml"/><Relationship Id="rId68" Type="http://schemas.openxmlformats.org/officeDocument/2006/relationships/externalLink" Target="externalLinks/externalLink1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4.xml"/><Relationship Id="rId58" Type="http://schemas.openxmlformats.org/officeDocument/2006/relationships/externalLink" Target="externalLinks/externalLink9.xml"/><Relationship Id="rId66" Type="http://schemas.openxmlformats.org/officeDocument/2006/relationships/externalLink" Target="externalLinks/externalLink17.xml"/><Relationship Id="rId74" Type="http://schemas.openxmlformats.org/officeDocument/2006/relationships/sheetMetadata" Target="metadata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7.xml"/><Relationship Id="rId64" Type="http://schemas.openxmlformats.org/officeDocument/2006/relationships/externalLink" Target="externalLinks/externalLink15.xml"/><Relationship Id="rId69" Type="http://schemas.openxmlformats.org/officeDocument/2006/relationships/externalLink" Target="externalLinks/externalLink20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0.xml"/><Relationship Id="rId67" Type="http://schemas.openxmlformats.org/officeDocument/2006/relationships/externalLink" Target="externalLinks/externalLink1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5.xml"/><Relationship Id="rId62" Type="http://schemas.openxmlformats.org/officeDocument/2006/relationships/externalLink" Target="externalLinks/externalLink13.xml"/><Relationship Id="rId70" Type="http://schemas.openxmlformats.org/officeDocument/2006/relationships/externalLink" Target="externalLinks/externalLink21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8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3.xml"/><Relationship Id="rId60" Type="http://schemas.openxmlformats.org/officeDocument/2006/relationships/externalLink" Target="externalLinks/externalLink11.xml"/><Relationship Id="rId65" Type="http://schemas.openxmlformats.org/officeDocument/2006/relationships/externalLink" Target="externalLinks/externalLink16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1.xml"/><Relationship Id="rId55" Type="http://schemas.openxmlformats.org/officeDocument/2006/relationships/externalLink" Target="externalLinks/externalLink6.xml"/><Relationship Id="rId7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3.8910505836575876E-3</c:v>
                </c:pt>
                <c:pt idx="6">
                  <c:v>0</c:v>
                </c:pt>
                <c:pt idx="7">
                  <c:v>7.7821011673151752E-3</c:v>
                </c:pt>
                <c:pt idx="8">
                  <c:v>5.8365758754863814E-3</c:v>
                </c:pt>
                <c:pt idx="9">
                  <c:v>2.7290448343079921E-2</c:v>
                </c:pt>
                <c:pt idx="10">
                  <c:v>3.3073929961089495E-2</c:v>
                </c:pt>
                <c:pt idx="11">
                  <c:v>4.4747081712062257E-2</c:v>
                </c:pt>
                <c:pt idx="12">
                  <c:v>7.7821011673151752E-2</c:v>
                </c:pt>
                <c:pt idx="13">
                  <c:v>0.10721247563352826</c:v>
                </c:pt>
                <c:pt idx="14">
                  <c:v>0.14619883040935672</c:v>
                </c:pt>
                <c:pt idx="15">
                  <c:v>0.21011673151750973</c:v>
                </c:pt>
                <c:pt idx="16">
                  <c:v>0.28015564202334631</c:v>
                </c:pt>
                <c:pt idx="17">
                  <c:v>0.34241245136186771</c:v>
                </c:pt>
                <c:pt idx="18">
                  <c:v>0.40856031128404668</c:v>
                </c:pt>
                <c:pt idx="19">
                  <c:v>0.48148148148148145</c:v>
                </c:pt>
                <c:pt idx="20">
                  <c:v>0.58479532163742687</c:v>
                </c:pt>
                <c:pt idx="21">
                  <c:v>0.64785992217898836</c:v>
                </c:pt>
                <c:pt idx="22">
                  <c:v>0.71011673151750976</c:v>
                </c:pt>
                <c:pt idx="23">
                  <c:v>0.81676413255360625</c:v>
                </c:pt>
                <c:pt idx="24">
                  <c:v>0.84241245136186771</c:v>
                </c:pt>
                <c:pt idx="25">
                  <c:v>0.88715953307392992</c:v>
                </c:pt>
                <c:pt idx="26">
                  <c:v>0.93372319688109162</c:v>
                </c:pt>
                <c:pt idx="27">
                  <c:v>0.94346978557504868</c:v>
                </c:pt>
                <c:pt idx="28">
                  <c:v>0.95525291828793779</c:v>
                </c:pt>
                <c:pt idx="29">
                  <c:v>0.97470817120622566</c:v>
                </c:pt>
                <c:pt idx="30">
                  <c:v>0.99220272904483431</c:v>
                </c:pt>
                <c:pt idx="31">
                  <c:v>0.99415204678362568</c:v>
                </c:pt>
                <c:pt idx="32">
                  <c:v>0.99027237354085607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0.99794661190965095</c:v>
                </c:pt>
                <c:pt idx="14">
                  <c:v>0.9958932238193019</c:v>
                </c:pt>
                <c:pt idx="15">
                  <c:v>0.97942386831275718</c:v>
                </c:pt>
                <c:pt idx="16">
                  <c:v>0.9711934156378601</c:v>
                </c:pt>
                <c:pt idx="17">
                  <c:v>0.9238683127572016</c:v>
                </c:pt>
                <c:pt idx="18">
                  <c:v>0.89711934156378603</c:v>
                </c:pt>
                <c:pt idx="19">
                  <c:v>0.82751540041067762</c:v>
                </c:pt>
                <c:pt idx="20">
                  <c:v>0.74948665297741268</c:v>
                </c:pt>
                <c:pt idx="21">
                  <c:v>0.63580246913580252</c:v>
                </c:pt>
                <c:pt idx="22">
                  <c:v>0.58436213991769548</c:v>
                </c:pt>
                <c:pt idx="23">
                  <c:v>0.4209445585215606</c:v>
                </c:pt>
                <c:pt idx="24">
                  <c:v>0.30041152263374488</c:v>
                </c:pt>
                <c:pt idx="25">
                  <c:v>0.21604938271604937</c:v>
                </c:pt>
                <c:pt idx="26">
                  <c:v>0.12936344969199179</c:v>
                </c:pt>
                <c:pt idx="27">
                  <c:v>9.4455852156057493E-2</c:v>
                </c:pt>
                <c:pt idx="28">
                  <c:v>4.5267489711934158E-2</c:v>
                </c:pt>
                <c:pt idx="29">
                  <c:v>1.646090534979424E-2</c:v>
                </c:pt>
                <c:pt idx="30">
                  <c:v>8.2135523613963042E-3</c:v>
                </c:pt>
                <c:pt idx="31">
                  <c:v>4.1067761806981521E-3</c:v>
                </c:pt>
                <c:pt idx="32">
                  <c:v>2.05761316872428E-3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FDE-EC4D-86DD-C9C4DAEAA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B88DE3-B0B3-9241-9715-E27C9EF02C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B54-8944-838A-424936AC77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CC4790-3C34-CE47-BACF-419575AD63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B54-8944-838A-424936AC77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D61C58-EC91-D54B-BF1E-1159002549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B54-8944-838A-424936AC77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05B3EB-E723-6B4C-8382-83E1ECBFA4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B54-8944-838A-424936AC772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ACC0017-8AD2-5A45-A9A9-1976611B48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B54-8944-838A-424936AC77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0A1C6CA-3941-E049-A6DA-83986A9A67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B54-8944-838A-424936AC77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4DDEEFF-D076-DC47-814D-8B3D36314A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B54-8944-838A-424936AC77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21A8A9D-4863-5848-B4A7-AC7ECAAD81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B54-8944-838A-424936AC77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19010DD-862A-A241-BF89-B940A30BAE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B54-8944-838A-424936AC77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A3790DA-D3A6-3940-9034-BCC679DCE4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B54-8944-838A-424936AC77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575B0C5-8865-6746-AA00-E2D022E637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B54-8944-838A-424936AC77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F370D8A-61F8-5348-ACA0-F017A22ACF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B54-8944-838A-424936AC77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BC44DDC-7803-EC49-85B0-A4B4724842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B54-8944-838A-424936AC77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771F965-3D94-934C-B1E5-9ED8C70AB7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B54-8944-838A-424936AC77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38A1F22-4F58-CB40-8541-BB16274FF8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B54-8944-838A-424936AC77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CB5EDB4-2212-F243-BD80-0C0054CC57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B54-8944-838A-424936AC77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678C0DC-FE8B-5342-9BF2-FA7C6ACF1F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B54-8944-838A-424936AC77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76CFDFE-FF94-E540-A728-5720BCF11F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B54-8944-838A-424936AC77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88FBF98-1007-7A49-ADF5-64833703B4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B54-8944-838A-424936AC77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41D0653-5F25-F242-8166-B5C50B51A2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B54-8944-838A-424936AC772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B96F000-0E26-C941-B382-46A8D744BE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B54-8944-838A-424936AC772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9CF5315-4DEF-1147-85EA-CD0EC909D8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B54-8944-838A-424936AC772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0855B55-35E2-EC4D-B619-6F28CB8ECA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B54-8944-838A-424936AC772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6DB3846-3744-9E4B-893A-1D137A89E3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B54-8944-838A-424936AC772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467BEC3-1A19-484B-B12E-16E971A399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B54-8944-838A-424936AC772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395C24A-12E2-434A-A497-E87CE8B127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B54-8944-838A-424936AC772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A516B20-D9D3-8044-8CD0-8A58B0A302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B54-8944-838A-424936AC772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CB867F0-FFD6-4247-A2A3-C69DFAD3DF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B54-8944-838A-424936AC772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0F2F5EE-82E7-F940-BB11-F6D5D7831A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B54-8944-838A-424936AC772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073D0C7-830D-904F-9707-EE3A535CCC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B54-8944-838A-424936AC772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A1C7066-D1CF-6744-942C-AC43FE5E75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B54-8944-838A-424936AC772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AC778FE-7139-7A44-B129-85FBF0E2E6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B54-8944-838A-424936AC772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405B68E-8D64-4E42-8DCD-7E96A40ABC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B54-8944-838A-424936AC7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1.9493177387914229E-3</c:v>
                </c:pt>
                <c:pt idx="4">
                  <c:v>0</c:v>
                </c:pt>
                <c:pt idx="5">
                  <c:v>0</c:v>
                </c:pt>
                <c:pt idx="6">
                  <c:v>7.7821011673151752E-3</c:v>
                </c:pt>
                <c:pt idx="7">
                  <c:v>5.8479532163742687E-3</c:v>
                </c:pt>
                <c:pt idx="8">
                  <c:v>1.9493177387914229E-2</c:v>
                </c:pt>
                <c:pt idx="9">
                  <c:v>2.5291828793774319E-2</c:v>
                </c:pt>
                <c:pt idx="10">
                  <c:v>2.3391812865497075E-2</c:v>
                </c:pt>
                <c:pt idx="11">
                  <c:v>5.642023346303502E-2</c:v>
                </c:pt>
                <c:pt idx="12">
                  <c:v>7.0175438596491224E-2</c:v>
                </c:pt>
                <c:pt idx="13">
                  <c:v>0.1245136186770428</c:v>
                </c:pt>
                <c:pt idx="14">
                  <c:v>0.1556420233463035</c:v>
                </c:pt>
                <c:pt idx="15">
                  <c:v>0.14591439688715954</c:v>
                </c:pt>
                <c:pt idx="16">
                  <c:v>0.27290448343079921</c:v>
                </c:pt>
                <c:pt idx="17">
                  <c:v>0.34113060428849901</c:v>
                </c:pt>
                <c:pt idx="18">
                  <c:v>0.42495126705653019</c:v>
                </c:pt>
                <c:pt idx="19">
                  <c:v>0.49317738791422999</c:v>
                </c:pt>
                <c:pt idx="20">
                  <c:v>0.58560311284046696</c:v>
                </c:pt>
                <c:pt idx="21">
                  <c:v>0.6471734892787524</c:v>
                </c:pt>
                <c:pt idx="22">
                  <c:v>0.70955165692007793</c:v>
                </c:pt>
                <c:pt idx="23">
                  <c:v>0.78599221789883267</c:v>
                </c:pt>
                <c:pt idx="24">
                  <c:v>0.86964980544747084</c:v>
                </c:pt>
                <c:pt idx="25">
                  <c:v>0.88304093567251463</c:v>
                </c:pt>
                <c:pt idx="26">
                  <c:v>0.93190661478599224</c:v>
                </c:pt>
                <c:pt idx="27">
                  <c:v>0.9571150097465887</c:v>
                </c:pt>
                <c:pt idx="28">
                  <c:v>0.96108949416342415</c:v>
                </c:pt>
                <c:pt idx="29">
                  <c:v>0.98440545808966862</c:v>
                </c:pt>
                <c:pt idx="30">
                  <c:v>0.98830409356725146</c:v>
                </c:pt>
                <c:pt idx="31">
                  <c:v>0.99025341130604283</c:v>
                </c:pt>
                <c:pt idx="32">
                  <c:v>0.99221789883268485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0.99794238683127567</c:v>
                </c:pt>
                <c:pt idx="15">
                  <c:v>0.98353909465020573</c:v>
                </c:pt>
                <c:pt idx="16">
                  <c:v>0.97330595482546201</c:v>
                </c:pt>
                <c:pt idx="17">
                  <c:v>0.94455852156057496</c:v>
                </c:pt>
                <c:pt idx="18">
                  <c:v>0.88911704312114992</c:v>
                </c:pt>
                <c:pt idx="19">
                  <c:v>0.85215605749486656</c:v>
                </c:pt>
                <c:pt idx="20">
                  <c:v>0.75514403292181065</c:v>
                </c:pt>
                <c:pt idx="21">
                  <c:v>0.64476386036960986</c:v>
                </c:pt>
                <c:pt idx="22">
                  <c:v>0.56468172484599588</c:v>
                </c:pt>
                <c:pt idx="23">
                  <c:v>0.40946502057613171</c:v>
                </c:pt>
                <c:pt idx="24">
                  <c:v>0.31481481481481483</c:v>
                </c:pt>
                <c:pt idx="25">
                  <c:v>0.18685831622176591</c:v>
                </c:pt>
                <c:pt idx="26">
                  <c:v>0.16255144032921812</c:v>
                </c:pt>
                <c:pt idx="27">
                  <c:v>9.2402464065708415E-2</c:v>
                </c:pt>
                <c:pt idx="28">
                  <c:v>3.9094650205761319E-2</c:v>
                </c:pt>
                <c:pt idx="29">
                  <c:v>1.4373716632443531E-2</c:v>
                </c:pt>
                <c:pt idx="30">
                  <c:v>1.4373716632443531E-2</c:v>
                </c:pt>
                <c:pt idx="31">
                  <c:v>6.1601642710472282E-3</c:v>
                </c:pt>
                <c:pt idx="32">
                  <c:v>4.11522633744856E-3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B54-8944-838A-424936AC7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4DD566-2C04-6C43-B2B4-497230AB2C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5B-924D-BAA7-1C46911D0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369F6BD-A2AE-5241-87DB-FC10FC7A36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5B-924D-BAA7-1C46911D0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6FF912-B3C0-5E46-BCF9-825262EB0D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5B-924D-BAA7-1C46911D0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9622989-3267-1340-B58D-FCCC896506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5B-924D-BAA7-1C46911D0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C38BF01-CC68-6F4D-BF2C-6AFC64C93A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5B-924D-BAA7-1C46911D0F5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DDF2337-7D68-5B43-92BE-8C44217C4D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5B-924D-BAA7-1C46911D0F5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BB3CCE-DFDC-7A48-B1A9-85BFACD89E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5B-924D-BAA7-1C46911D0F5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CC95C0A-825A-FF40-B98F-99AD498985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5B-924D-BAA7-1C46911D0F5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BA49D73-1CF7-8041-8A48-3FF4D87F79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C5B-924D-BAA7-1C46911D0F5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2E52877-AF5E-4C46-857F-4A38AFF5EF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5B-924D-BAA7-1C46911D0F5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734D19B-3C0D-B547-8DDD-8114746CCD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5B-924D-BAA7-1C46911D0F5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A0214FF-F8EF-7F41-A332-79E2753C74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5B-924D-BAA7-1C46911D0F5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5E7B6CC-CC1D-F740-8B77-FE22DF1D3D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5B-924D-BAA7-1C46911D0F5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5CE152F-BD0E-3340-B073-4E87FECD25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5B-924D-BAA7-1C46911D0F5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15D7532-BB4F-364E-89E6-8E49C47048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5B-924D-BAA7-1C46911D0F5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DB4F216-337F-3347-A6E4-076BBC4675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5B-924D-BAA7-1C46911D0F5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A92E0F0-FF0A-3647-A3CD-EB691EDFC2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C5B-924D-BAA7-1C46911D0F5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A5D7A45-4086-FA48-8170-4EC8BF2621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C5B-924D-BAA7-1C46911D0F5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209AC12-E6C0-544E-85CD-F208A66551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C5B-924D-BAA7-1C46911D0F5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2FEA284-4380-824C-A6C5-2B202E7D42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C5B-924D-BAA7-1C46911D0F5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77F9FA4-9E76-D44B-AD16-0B6289109F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C5B-924D-BAA7-1C46911D0F5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BE7F5A9-B30E-6F4B-B055-8217040FA9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C5B-924D-BAA7-1C46911D0F5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C36463E-1369-3D44-8DEF-33F668F65F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C5B-924D-BAA7-1C46911D0F5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5CE05CB-9C5A-3C4C-8E18-CC92BF8BB0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C5B-924D-BAA7-1C46911D0F5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42F3D1A-E5EC-414D-BF63-1401F4515A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C5B-924D-BAA7-1C46911D0F5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13B7E8E-B551-2E4F-8F1D-1F2F761541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C5B-924D-BAA7-1C46911D0F5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6EA084E-E30E-344E-8097-798659824C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C5B-924D-BAA7-1C46911D0F5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09E25E3-AE48-4A4B-AEED-D1AA36DB06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C5B-924D-BAA7-1C46911D0F5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B0194AC-62C6-194E-A298-FB1D18DF28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C5B-924D-BAA7-1C46911D0F5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A1586EF-F4FB-0548-ACFA-BE47917D2A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C5B-924D-BAA7-1C46911D0F5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D8802C2-41AA-AE45-AEA8-812A587E19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C5B-924D-BAA7-1C46911D0F5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A33A604-82EC-A946-96B0-AFC11A02AB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C5B-924D-BAA7-1C46911D0F5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426DD6F-C1BF-304C-91F0-0ABF23C005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C5B-924D-BAA7-1C46911D0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0.99805447470817121</c:v>
                </c:pt>
                <c:pt idx="4">
                  <c:v>1</c:v>
                </c:pt>
                <c:pt idx="5">
                  <c:v>0.99221789883268485</c:v>
                </c:pt>
                <c:pt idx="6">
                  <c:v>1</c:v>
                </c:pt>
                <c:pt idx="7">
                  <c:v>0.99221789883268485</c:v>
                </c:pt>
                <c:pt idx="8">
                  <c:v>0.98830409356725146</c:v>
                </c:pt>
                <c:pt idx="9">
                  <c:v>0.99221789883268485</c:v>
                </c:pt>
                <c:pt idx="10">
                  <c:v>0.97081712062256809</c:v>
                </c:pt>
                <c:pt idx="11">
                  <c:v>0.92397660818713456</c:v>
                </c:pt>
                <c:pt idx="12">
                  <c:v>0.90838206627680318</c:v>
                </c:pt>
                <c:pt idx="13">
                  <c:v>0.87159533073929962</c:v>
                </c:pt>
                <c:pt idx="14">
                  <c:v>0.83625730994152048</c:v>
                </c:pt>
                <c:pt idx="15">
                  <c:v>0.78015564202334631</c:v>
                </c:pt>
                <c:pt idx="16">
                  <c:v>0.75291828793774318</c:v>
                </c:pt>
                <c:pt idx="17">
                  <c:v>0.63229571984435795</c:v>
                </c:pt>
                <c:pt idx="18">
                  <c:v>0.53216374269005851</c:v>
                </c:pt>
                <c:pt idx="19">
                  <c:v>0.49317738791423005</c:v>
                </c:pt>
                <c:pt idx="20">
                  <c:v>0.40856031128404668</c:v>
                </c:pt>
                <c:pt idx="21">
                  <c:v>0.33723196881091622</c:v>
                </c:pt>
                <c:pt idx="22">
                  <c:v>0.26264591439688711</c:v>
                </c:pt>
                <c:pt idx="23">
                  <c:v>0.17738791423001954</c:v>
                </c:pt>
                <c:pt idx="24">
                  <c:v>0.13229571984435795</c:v>
                </c:pt>
                <c:pt idx="25">
                  <c:v>9.7276264591439676E-2</c:v>
                </c:pt>
                <c:pt idx="26">
                  <c:v>5.6530214424951319E-2</c:v>
                </c:pt>
                <c:pt idx="27">
                  <c:v>6.2256809338521402E-2</c:v>
                </c:pt>
                <c:pt idx="28">
                  <c:v>4.2801556420233422E-2</c:v>
                </c:pt>
                <c:pt idx="29">
                  <c:v>1.7509727626459193E-2</c:v>
                </c:pt>
                <c:pt idx="30">
                  <c:v>1.5564202334630295E-2</c:v>
                </c:pt>
                <c:pt idx="31">
                  <c:v>1.9493177387914784E-3</c:v>
                </c:pt>
                <c:pt idx="32">
                  <c:v>1.9455252918287869E-3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0.99794238683127567</c:v>
                </c:pt>
                <c:pt idx="14">
                  <c:v>0.99383983572895274</c:v>
                </c:pt>
                <c:pt idx="15">
                  <c:v>0.98765432098765427</c:v>
                </c:pt>
                <c:pt idx="16">
                  <c:v>0.96913580246913578</c:v>
                </c:pt>
                <c:pt idx="17">
                  <c:v>0.93621399176954734</c:v>
                </c:pt>
                <c:pt idx="18">
                  <c:v>0.88501026694045171</c:v>
                </c:pt>
                <c:pt idx="19">
                  <c:v>0.85831622176591371</c:v>
                </c:pt>
                <c:pt idx="20">
                  <c:v>0.7880658436213992</c:v>
                </c:pt>
                <c:pt idx="21">
                  <c:v>0.65092402464065713</c:v>
                </c:pt>
                <c:pt idx="22">
                  <c:v>0.5864197530864198</c:v>
                </c:pt>
                <c:pt idx="23">
                  <c:v>0.41683778234086244</c:v>
                </c:pt>
                <c:pt idx="24">
                  <c:v>0.33127572016460904</c:v>
                </c:pt>
                <c:pt idx="25">
                  <c:v>0.22839506172839505</c:v>
                </c:pt>
                <c:pt idx="26">
                  <c:v>0.11088295687885011</c:v>
                </c:pt>
                <c:pt idx="27">
                  <c:v>7.407407407407407E-2</c:v>
                </c:pt>
                <c:pt idx="28">
                  <c:v>3.4979423868312758E-2</c:v>
                </c:pt>
                <c:pt idx="29">
                  <c:v>2.4691358024691357E-2</c:v>
                </c:pt>
                <c:pt idx="30">
                  <c:v>1.2345679012345678E-2</c:v>
                </c:pt>
                <c:pt idx="31">
                  <c:v>0</c:v>
                </c:pt>
                <c:pt idx="32">
                  <c:v>2.05761316872428E-3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5B-924D-BAA7-1C46911D0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3.6326748112324045</c:v>
                </c:pt>
                <c:pt idx="1">
                  <c:v>3.1041767745190176</c:v>
                </c:pt>
                <c:pt idx="2">
                  <c:v>4.2508483906288381</c:v>
                </c:pt>
                <c:pt idx="3">
                  <c:v>3.8898933629168937</c:v>
                </c:pt>
                <c:pt idx="4">
                  <c:v>3.5110876966285254</c:v>
                </c:pt>
                <c:pt idx="5">
                  <c:v>3.3808470899598841</c:v>
                </c:pt>
                <c:pt idx="6">
                  <c:v>4.3190117594065844</c:v>
                </c:pt>
                <c:pt idx="7">
                  <c:v>3.6109822544034564</c:v>
                </c:pt>
                <c:pt idx="8">
                  <c:v>4.0360511988676544</c:v>
                </c:pt>
                <c:pt idx="9">
                  <c:v>4.3914411625469922</c:v>
                </c:pt>
                <c:pt idx="10">
                  <c:v>2.1459181787911614</c:v>
                </c:pt>
                <c:pt idx="11">
                  <c:v>1.7123957841529696</c:v>
                </c:pt>
                <c:pt idx="12">
                  <c:v>2.4043585163981307</c:v>
                </c:pt>
                <c:pt idx="13">
                  <c:v>1.9790836141318138</c:v>
                </c:pt>
                <c:pt idx="14">
                  <c:v>2.1174825350456263</c:v>
                </c:pt>
                <c:pt idx="15">
                  <c:v>1.8637011066445102</c:v>
                </c:pt>
                <c:pt idx="16">
                  <c:v>2.1170998494950348</c:v>
                </c:pt>
                <c:pt idx="17">
                  <c:v>1.8171560573342562</c:v>
                </c:pt>
                <c:pt idx="18">
                  <c:v>2.0877681824521646</c:v>
                </c:pt>
                <c:pt idx="19">
                  <c:v>2.2762577983401844</c:v>
                </c:pt>
                <c:pt idx="20">
                  <c:v>1.8979982637865778</c:v>
                </c:pt>
                <c:pt idx="21">
                  <c:v>2.4185713348107001</c:v>
                </c:pt>
                <c:pt idx="22">
                  <c:v>2.0779367436836247</c:v>
                </c:pt>
                <c:pt idx="23">
                  <c:v>1.8532670375904543</c:v>
                </c:pt>
                <c:pt idx="24">
                  <c:v>2.2180576895532007</c:v>
                </c:pt>
                <c:pt idx="25">
                  <c:v>1.9985756717837468</c:v>
                </c:pt>
                <c:pt idx="26">
                  <c:v>1.7801404951276378</c:v>
                </c:pt>
                <c:pt idx="27">
                  <c:v>1.173286096335771</c:v>
                </c:pt>
                <c:pt idx="28">
                  <c:v>1.9095491116256693</c:v>
                </c:pt>
                <c:pt idx="29">
                  <c:v>2.3706655613433552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6.0634376866183857</c:v>
                </c:pt>
                <c:pt idx="1">
                  <c:v>5.7583043625687731</c:v>
                </c:pt>
                <c:pt idx="2">
                  <c:v>5.996800894782087</c:v>
                </c:pt>
                <c:pt idx="3">
                  <c:v>6.3511411801370175</c:v>
                </c:pt>
                <c:pt idx="4">
                  <c:v>5.8142829157199802</c:v>
                </c:pt>
                <c:pt idx="5">
                  <c:v>5.6364193598635808</c:v>
                </c:pt>
                <c:pt idx="6">
                  <c:v>6.005186994263414</c:v>
                </c:pt>
                <c:pt idx="7">
                  <c:v>6.134640674625059</c:v>
                </c:pt>
                <c:pt idx="8">
                  <c:v>6.2684861875254505</c:v>
                </c:pt>
                <c:pt idx="9">
                  <c:v>6.2181845314261821</c:v>
                </c:pt>
                <c:pt idx="10">
                  <c:v>2.1520132003543373</c:v>
                </c:pt>
                <c:pt idx="11">
                  <c:v>1.8568842717874643</c:v>
                </c:pt>
                <c:pt idx="12">
                  <c:v>1.8376965073028468</c:v>
                </c:pt>
                <c:pt idx="13">
                  <c:v>1.825490056161621</c:v>
                </c:pt>
                <c:pt idx="14">
                  <c:v>1.9978948173032594</c:v>
                </c:pt>
                <c:pt idx="15">
                  <c:v>1.5494480701258735</c:v>
                </c:pt>
                <c:pt idx="16">
                  <c:v>1.6775886601048557</c:v>
                </c:pt>
                <c:pt idx="17">
                  <c:v>1.642119758485413</c:v>
                </c:pt>
                <c:pt idx="18">
                  <c:v>2.4967120399118627</c:v>
                </c:pt>
                <c:pt idx="19">
                  <c:v>1.9491011019982571</c:v>
                </c:pt>
                <c:pt idx="20">
                  <c:v>7.2526751935663851</c:v>
                </c:pt>
                <c:pt idx="21">
                  <c:v>7.2554759138068423</c:v>
                </c:pt>
                <c:pt idx="22">
                  <c:v>6.0978885027585807</c:v>
                </c:pt>
                <c:pt idx="23">
                  <c:v>7.153881794670915</c:v>
                </c:pt>
                <c:pt idx="24">
                  <c:v>7.6525079612091877</c:v>
                </c:pt>
                <c:pt idx="25">
                  <c:v>6.6111143896908153</c:v>
                </c:pt>
                <c:pt idx="26">
                  <c:v>6.9432717905317363</c:v>
                </c:pt>
                <c:pt idx="27">
                  <c:v>6.6295775544275477</c:v>
                </c:pt>
                <c:pt idx="28">
                  <c:v>5.6900615608901584</c:v>
                </c:pt>
                <c:pt idx="29">
                  <c:v>7.6117597884679249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3-074E-B56E-02CCA0220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3.6326748112324045</c:v>
                </c:pt>
                <c:pt idx="1">
                  <c:v>3.1041767745190176</c:v>
                </c:pt>
                <c:pt idx="2">
                  <c:v>4.2508483906288381</c:v>
                </c:pt>
                <c:pt idx="3">
                  <c:v>3.8898933629168937</c:v>
                </c:pt>
                <c:pt idx="4">
                  <c:v>3.5110876966285254</c:v>
                </c:pt>
                <c:pt idx="5">
                  <c:v>3.3808470899598841</c:v>
                </c:pt>
                <c:pt idx="6">
                  <c:v>4.3190117594065844</c:v>
                </c:pt>
                <c:pt idx="7">
                  <c:v>3.6109822544034564</c:v>
                </c:pt>
                <c:pt idx="8">
                  <c:v>4.0360511988676544</c:v>
                </c:pt>
                <c:pt idx="9">
                  <c:v>4.3914411625469922</c:v>
                </c:pt>
                <c:pt idx="10">
                  <c:v>2.1459181787911614</c:v>
                </c:pt>
                <c:pt idx="11">
                  <c:v>1.7123957841529696</c:v>
                </c:pt>
                <c:pt idx="12">
                  <c:v>2.4043585163981307</c:v>
                </c:pt>
                <c:pt idx="13">
                  <c:v>1.9790836141318138</c:v>
                </c:pt>
                <c:pt idx="14">
                  <c:v>2.1174825350456263</c:v>
                </c:pt>
                <c:pt idx="15">
                  <c:v>1.8637011066445102</c:v>
                </c:pt>
                <c:pt idx="16">
                  <c:v>2.1170998494950348</c:v>
                </c:pt>
                <c:pt idx="17">
                  <c:v>1.8171560573342562</c:v>
                </c:pt>
                <c:pt idx="18">
                  <c:v>2.0877681824521646</c:v>
                </c:pt>
                <c:pt idx="19">
                  <c:v>2.2762577983401844</c:v>
                </c:pt>
                <c:pt idx="20">
                  <c:v>1.8979982637865778</c:v>
                </c:pt>
                <c:pt idx="21">
                  <c:v>2.4185713348107001</c:v>
                </c:pt>
                <c:pt idx="22">
                  <c:v>2.0779367436836247</c:v>
                </c:pt>
                <c:pt idx="23">
                  <c:v>1.8532670375904543</c:v>
                </c:pt>
                <c:pt idx="24">
                  <c:v>2.2180576895532007</c:v>
                </c:pt>
                <c:pt idx="25">
                  <c:v>1.9985756717837468</c:v>
                </c:pt>
                <c:pt idx="26">
                  <c:v>1.7801404951276378</c:v>
                </c:pt>
                <c:pt idx="27">
                  <c:v>1.173286096335771</c:v>
                </c:pt>
                <c:pt idx="28">
                  <c:v>1.9095491116256693</c:v>
                </c:pt>
                <c:pt idx="29">
                  <c:v>2.3706655613433552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6.0634376866183857</c:v>
                </c:pt>
                <c:pt idx="1">
                  <c:v>5.7583043625687731</c:v>
                </c:pt>
                <c:pt idx="2">
                  <c:v>5.996800894782087</c:v>
                </c:pt>
                <c:pt idx="3">
                  <c:v>6.3511411801370175</c:v>
                </c:pt>
                <c:pt idx="4">
                  <c:v>5.8142829157199802</c:v>
                </c:pt>
                <c:pt idx="5">
                  <c:v>5.6364193598635808</c:v>
                </c:pt>
                <c:pt idx="6">
                  <c:v>6.005186994263414</c:v>
                </c:pt>
                <c:pt idx="7">
                  <c:v>6.134640674625059</c:v>
                </c:pt>
                <c:pt idx="8">
                  <c:v>6.2684861875254505</c:v>
                </c:pt>
                <c:pt idx="9">
                  <c:v>6.2181845314261821</c:v>
                </c:pt>
                <c:pt idx="10">
                  <c:v>2.1520132003543373</c:v>
                </c:pt>
                <c:pt idx="11">
                  <c:v>1.8568842717874643</c:v>
                </c:pt>
                <c:pt idx="12">
                  <c:v>1.8376965073028468</c:v>
                </c:pt>
                <c:pt idx="13">
                  <c:v>1.825490056161621</c:v>
                </c:pt>
                <c:pt idx="14">
                  <c:v>1.9978948173032594</c:v>
                </c:pt>
                <c:pt idx="15">
                  <c:v>1.5494480701258735</c:v>
                </c:pt>
                <c:pt idx="16">
                  <c:v>1.6775886601048557</c:v>
                </c:pt>
                <c:pt idx="17">
                  <c:v>1.642119758485413</c:v>
                </c:pt>
                <c:pt idx="18">
                  <c:v>2.4967120399118627</c:v>
                </c:pt>
                <c:pt idx="19">
                  <c:v>1.9491011019982571</c:v>
                </c:pt>
                <c:pt idx="20">
                  <c:v>7.2526751935663851</c:v>
                </c:pt>
                <c:pt idx="21">
                  <c:v>7.2554759138068423</c:v>
                </c:pt>
                <c:pt idx="22">
                  <c:v>6.0978885027585807</c:v>
                </c:pt>
                <c:pt idx="23">
                  <c:v>7.153881794670915</c:v>
                </c:pt>
                <c:pt idx="24">
                  <c:v>7.6525079612091877</c:v>
                </c:pt>
                <c:pt idx="25">
                  <c:v>6.6111143896908153</c:v>
                </c:pt>
                <c:pt idx="26">
                  <c:v>6.9432717905317363</c:v>
                </c:pt>
                <c:pt idx="27">
                  <c:v>6.6295775544275477</c:v>
                </c:pt>
                <c:pt idx="28">
                  <c:v>5.6900615608901584</c:v>
                </c:pt>
                <c:pt idx="29">
                  <c:v>7.6117597884679249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8-F648-843B-0D17D73B3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3.6326748112324045</c:v>
                </c:pt>
                <c:pt idx="1">
                  <c:v>3.1041767745190176</c:v>
                </c:pt>
                <c:pt idx="2">
                  <c:v>4.2508483906288381</c:v>
                </c:pt>
                <c:pt idx="3">
                  <c:v>3.8898933629168937</c:v>
                </c:pt>
                <c:pt idx="4">
                  <c:v>3.5110876966285254</c:v>
                </c:pt>
                <c:pt idx="5">
                  <c:v>3.3808470899598841</c:v>
                </c:pt>
                <c:pt idx="6">
                  <c:v>4.3190117594065844</c:v>
                </c:pt>
                <c:pt idx="7">
                  <c:v>3.6109822544034564</c:v>
                </c:pt>
                <c:pt idx="8">
                  <c:v>4.0360511988676544</c:v>
                </c:pt>
                <c:pt idx="9">
                  <c:v>4.3914411625469922</c:v>
                </c:pt>
                <c:pt idx="10">
                  <c:v>2.1459181787911614</c:v>
                </c:pt>
                <c:pt idx="11">
                  <c:v>1.7123957841529696</c:v>
                </c:pt>
                <c:pt idx="12">
                  <c:v>2.4043585163981307</c:v>
                </c:pt>
                <c:pt idx="13">
                  <c:v>1.9790836141318138</c:v>
                </c:pt>
                <c:pt idx="14">
                  <c:v>2.1174825350456263</c:v>
                </c:pt>
                <c:pt idx="15">
                  <c:v>1.8637011066445102</c:v>
                </c:pt>
                <c:pt idx="16">
                  <c:v>2.1170998494950348</c:v>
                </c:pt>
                <c:pt idx="17">
                  <c:v>1.8171560573342562</c:v>
                </c:pt>
                <c:pt idx="18">
                  <c:v>2.0877681824521646</c:v>
                </c:pt>
                <c:pt idx="19">
                  <c:v>2.2762577983401844</c:v>
                </c:pt>
                <c:pt idx="20">
                  <c:v>1.8979982637865778</c:v>
                </c:pt>
                <c:pt idx="21">
                  <c:v>2.4185713348107001</c:v>
                </c:pt>
                <c:pt idx="22">
                  <c:v>2.0779367436836247</c:v>
                </c:pt>
                <c:pt idx="23">
                  <c:v>1.8532670375904543</c:v>
                </c:pt>
                <c:pt idx="24">
                  <c:v>2.2180576895532007</c:v>
                </c:pt>
                <c:pt idx="25">
                  <c:v>1.9985756717837468</c:v>
                </c:pt>
                <c:pt idx="26">
                  <c:v>1.7801404951276378</c:v>
                </c:pt>
                <c:pt idx="27">
                  <c:v>1.173286096335771</c:v>
                </c:pt>
                <c:pt idx="28">
                  <c:v>1.9095491116256693</c:v>
                </c:pt>
                <c:pt idx="29">
                  <c:v>2.3706655613433552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6.0634376866183857</c:v>
                </c:pt>
                <c:pt idx="1">
                  <c:v>5.7583043625687731</c:v>
                </c:pt>
                <c:pt idx="2">
                  <c:v>5.996800894782087</c:v>
                </c:pt>
                <c:pt idx="3">
                  <c:v>6.3511411801370175</c:v>
                </c:pt>
                <c:pt idx="4">
                  <c:v>5.8142829157199802</c:v>
                </c:pt>
                <c:pt idx="5">
                  <c:v>5.6364193598635808</c:v>
                </c:pt>
                <c:pt idx="6">
                  <c:v>6.005186994263414</c:v>
                </c:pt>
                <c:pt idx="7">
                  <c:v>6.134640674625059</c:v>
                </c:pt>
                <c:pt idx="8">
                  <c:v>6.2684861875254505</c:v>
                </c:pt>
                <c:pt idx="9">
                  <c:v>6.2181845314261821</c:v>
                </c:pt>
                <c:pt idx="10">
                  <c:v>2.1520132003543373</c:v>
                </c:pt>
                <c:pt idx="11">
                  <c:v>1.8568842717874643</c:v>
                </c:pt>
                <c:pt idx="12">
                  <c:v>1.8376965073028468</c:v>
                </c:pt>
                <c:pt idx="13">
                  <c:v>1.825490056161621</c:v>
                </c:pt>
                <c:pt idx="14">
                  <c:v>1.9978948173032594</c:v>
                </c:pt>
                <c:pt idx="15">
                  <c:v>1.5494480701258735</c:v>
                </c:pt>
                <c:pt idx="16">
                  <c:v>1.6775886601048557</c:v>
                </c:pt>
                <c:pt idx="17">
                  <c:v>1.642119758485413</c:v>
                </c:pt>
                <c:pt idx="18">
                  <c:v>2.4967120399118627</c:v>
                </c:pt>
                <c:pt idx="19">
                  <c:v>1.9491011019982571</c:v>
                </c:pt>
                <c:pt idx="20">
                  <c:v>7.2526751935663851</c:v>
                </c:pt>
                <c:pt idx="21">
                  <c:v>7.2554759138068423</c:v>
                </c:pt>
                <c:pt idx="22">
                  <c:v>6.0978885027585807</c:v>
                </c:pt>
                <c:pt idx="23">
                  <c:v>7.153881794670915</c:v>
                </c:pt>
                <c:pt idx="24">
                  <c:v>7.6525079612091877</c:v>
                </c:pt>
                <c:pt idx="25">
                  <c:v>6.6111143896908153</c:v>
                </c:pt>
                <c:pt idx="26">
                  <c:v>6.9432717905317363</c:v>
                </c:pt>
                <c:pt idx="27">
                  <c:v>6.6295775544275477</c:v>
                </c:pt>
                <c:pt idx="28">
                  <c:v>5.6900615608901584</c:v>
                </c:pt>
                <c:pt idx="29">
                  <c:v>7.6117597884679249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3-BB42-AF20-C10527318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3.6326748112324045</c:v>
                </c:pt>
                <c:pt idx="1">
                  <c:v>3.1041767745190176</c:v>
                </c:pt>
                <c:pt idx="2">
                  <c:v>4.2508483906288381</c:v>
                </c:pt>
                <c:pt idx="3">
                  <c:v>3.8898933629168937</c:v>
                </c:pt>
                <c:pt idx="4">
                  <c:v>3.5110876966285254</c:v>
                </c:pt>
                <c:pt idx="5">
                  <c:v>3.3808470899598841</c:v>
                </c:pt>
                <c:pt idx="6">
                  <c:v>4.3190117594065844</c:v>
                </c:pt>
                <c:pt idx="7">
                  <c:v>3.6109822544034564</c:v>
                </c:pt>
                <c:pt idx="8">
                  <c:v>4.0360511988676544</c:v>
                </c:pt>
                <c:pt idx="9">
                  <c:v>4.3914411625469922</c:v>
                </c:pt>
                <c:pt idx="10">
                  <c:v>2.1459181787911614</c:v>
                </c:pt>
                <c:pt idx="11">
                  <c:v>1.7123957841529696</c:v>
                </c:pt>
                <c:pt idx="12">
                  <c:v>2.4043585163981307</c:v>
                </c:pt>
                <c:pt idx="13">
                  <c:v>1.9790836141318138</c:v>
                </c:pt>
                <c:pt idx="14">
                  <c:v>2.1174825350456263</c:v>
                </c:pt>
                <c:pt idx="15">
                  <c:v>1.8637011066445102</c:v>
                </c:pt>
                <c:pt idx="16">
                  <c:v>2.1170998494950348</c:v>
                </c:pt>
                <c:pt idx="17">
                  <c:v>1.8171560573342562</c:v>
                </c:pt>
                <c:pt idx="18">
                  <c:v>2.0877681824521646</c:v>
                </c:pt>
                <c:pt idx="19">
                  <c:v>2.2762577983401844</c:v>
                </c:pt>
                <c:pt idx="20">
                  <c:v>1.8979982637865778</c:v>
                </c:pt>
                <c:pt idx="21">
                  <c:v>2.4185713348107001</c:v>
                </c:pt>
                <c:pt idx="22">
                  <c:v>2.0779367436836247</c:v>
                </c:pt>
                <c:pt idx="23">
                  <c:v>1.8532670375904543</c:v>
                </c:pt>
                <c:pt idx="24">
                  <c:v>2.2180576895532007</c:v>
                </c:pt>
                <c:pt idx="25">
                  <c:v>1.9985756717837468</c:v>
                </c:pt>
                <c:pt idx="26">
                  <c:v>1.7801404951276378</c:v>
                </c:pt>
                <c:pt idx="27">
                  <c:v>1.173286096335771</c:v>
                </c:pt>
                <c:pt idx="28">
                  <c:v>1.9095491116256693</c:v>
                </c:pt>
                <c:pt idx="29">
                  <c:v>2.3706655613433552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6.0634376866183857</c:v>
                </c:pt>
                <c:pt idx="1">
                  <c:v>5.7583043625687731</c:v>
                </c:pt>
                <c:pt idx="2">
                  <c:v>5.996800894782087</c:v>
                </c:pt>
                <c:pt idx="3">
                  <c:v>6.3511411801370175</c:v>
                </c:pt>
                <c:pt idx="4">
                  <c:v>5.8142829157199802</c:v>
                </c:pt>
                <c:pt idx="5">
                  <c:v>5.6364193598635808</c:v>
                </c:pt>
                <c:pt idx="6">
                  <c:v>6.005186994263414</c:v>
                </c:pt>
                <c:pt idx="7">
                  <c:v>6.134640674625059</c:v>
                </c:pt>
                <c:pt idx="8">
                  <c:v>6.2684861875254505</c:v>
                </c:pt>
                <c:pt idx="9">
                  <c:v>6.2181845314261821</c:v>
                </c:pt>
                <c:pt idx="10">
                  <c:v>2.1520132003543373</c:v>
                </c:pt>
                <c:pt idx="11">
                  <c:v>1.8568842717874643</c:v>
                </c:pt>
                <c:pt idx="12">
                  <c:v>1.8376965073028468</c:v>
                </c:pt>
                <c:pt idx="13">
                  <c:v>1.825490056161621</c:v>
                </c:pt>
                <c:pt idx="14">
                  <c:v>1.9978948173032594</c:v>
                </c:pt>
                <c:pt idx="15">
                  <c:v>1.5494480701258735</c:v>
                </c:pt>
                <c:pt idx="16">
                  <c:v>1.6775886601048557</c:v>
                </c:pt>
                <c:pt idx="17">
                  <c:v>1.642119758485413</c:v>
                </c:pt>
                <c:pt idx="18">
                  <c:v>2.4967120399118627</c:v>
                </c:pt>
                <c:pt idx="19">
                  <c:v>1.9491011019982571</c:v>
                </c:pt>
                <c:pt idx="20">
                  <c:v>7.2526751935663851</c:v>
                </c:pt>
                <c:pt idx="21">
                  <c:v>7.2554759138068423</c:v>
                </c:pt>
                <c:pt idx="22">
                  <c:v>6.0978885027585807</c:v>
                </c:pt>
                <c:pt idx="23">
                  <c:v>7.153881794670915</c:v>
                </c:pt>
                <c:pt idx="24">
                  <c:v>7.6525079612091877</c:v>
                </c:pt>
                <c:pt idx="25">
                  <c:v>6.6111143896908153</c:v>
                </c:pt>
                <c:pt idx="26">
                  <c:v>6.9432717905317363</c:v>
                </c:pt>
                <c:pt idx="27">
                  <c:v>6.6295775544275477</c:v>
                </c:pt>
                <c:pt idx="28">
                  <c:v>5.6900615608901584</c:v>
                </c:pt>
                <c:pt idx="29">
                  <c:v>7.6117597884679249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5-4947-AD3B-D3C80C7E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3.6326748112324045</c:v>
                </c:pt>
                <c:pt idx="1">
                  <c:v>3.1041767745190176</c:v>
                </c:pt>
                <c:pt idx="2">
                  <c:v>4.2508483906288381</c:v>
                </c:pt>
                <c:pt idx="3">
                  <c:v>3.8898933629168937</c:v>
                </c:pt>
                <c:pt idx="4">
                  <c:v>3.5110876966285254</c:v>
                </c:pt>
                <c:pt idx="5">
                  <c:v>3.3808470899598841</c:v>
                </c:pt>
                <c:pt idx="6">
                  <c:v>4.3190117594065844</c:v>
                </c:pt>
                <c:pt idx="7">
                  <c:v>3.6109822544034564</c:v>
                </c:pt>
                <c:pt idx="8">
                  <c:v>4.0360511988676544</c:v>
                </c:pt>
                <c:pt idx="9">
                  <c:v>4.3914411625469922</c:v>
                </c:pt>
                <c:pt idx="10">
                  <c:v>2.1459181787911614</c:v>
                </c:pt>
                <c:pt idx="11">
                  <c:v>1.7123957841529696</c:v>
                </c:pt>
                <c:pt idx="12">
                  <c:v>2.4043585163981307</c:v>
                </c:pt>
                <c:pt idx="13">
                  <c:v>1.9790836141318138</c:v>
                </c:pt>
                <c:pt idx="14">
                  <c:v>2.1174825350456263</c:v>
                </c:pt>
                <c:pt idx="15">
                  <c:v>1.8637011066445102</c:v>
                </c:pt>
                <c:pt idx="16">
                  <c:v>2.1170998494950348</c:v>
                </c:pt>
                <c:pt idx="17">
                  <c:v>1.8171560573342562</c:v>
                </c:pt>
                <c:pt idx="18">
                  <c:v>2.0877681824521646</c:v>
                </c:pt>
                <c:pt idx="19">
                  <c:v>2.2762577983401844</c:v>
                </c:pt>
                <c:pt idx="20">
                  <c:v>1.8979982637865778</c:v>
                </c:pt>
                <c:pt idx="21">
                  <c:v>2.4185713348107001</c:v>
                </c:pt>
                <c:pt idx="22">
                  <c:v>2.0779367436836247</c:v>
                </c:pt>
                <c:pt idx="23">
                  <c:v>1.8532670375904543</c:v>
                </c:pt>
                <c:pt idx="24">
                  <c:v>2.2180576895532007</c:v>
                </c:pt>
                <c:pt idx="25">
                  <c:v>1.9985756717837468</c:v>
                </c:pt>
                <c:pt idx="26">
                  <c:v>1.7801404951276378</c:v>
                </c:pt>
                <c:pt idx="27">
                  <c:v>1.173286096335771</c:v>
                </c:pt>
                <c:pt idx="28">
                  <c:v>1.9095491116256693</c:v>
                </c:pt>
                <c:pt idx="29">
                  <c:v>2.3706655613433552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6.0634376866183857</c:v>
                </c:pt>
                <c:pt idx="1">
                  <c:v>5.7583043625687731</c:v>
                </c:pt>
                <c:pt idx="2">
                  <c:v>5.996800894782087</c:v>
                </c:pt>
                <c:pt idx="3">
                  <c:v>6.3511411801370175</c:v>
                </c:pt>
                <c:pt idx="4">
                  <c:v>5.8142829157199802</c:v>
                </c:pt>
                <c:pt idx="5">
                  <c:v>5.6364193598635808</c:v>
                </c:pt>
                <c:pt idx="6">
                  <c:v>6.005186994263414</c:v>
                </c:pt>
                <c:pt idx="7">
                  <c:v>6.134640674625059</c:v>
                </c:pt>
                <c:pt idx="8">
                  <c:v>6.2684861875254505</c:v>
                </c:pt>
                <c:pt idx="9">
                  <c:v>6.2181845314261821</c:v>
                </c:pt>
                <c:pt idx="10">
                  <c:v>2.1520132003543373</c:v>
                </c:pt>
                <c:pt idx="11">
                  <c:v>1.8568842717874643</c:v>
                </c:pt>
                <c:pt idx="12">
                  <c:v>1.8376965073028468</c:v>
                </c:pt>
                <c:pt idx="13">
                  <c:v>1.825490056161621</c:v>
                </c:pt>
                <c:pt idx="14">
                  <c:v>1.9978948173032594</c:v>
                </c:pt>
                <c:pt idx="15">
                  <c:v>1.5494480701258735</c:v>
                </c:pt>
                <c:pt idx="16">
                  <c:v>1.6775886601048557</c:v>
                </c:pt>
                <c:pt idx="17">
                  <c:v>1.642119758485413</c:v>
                </c:pt>
                <c:pt idx="18">
                  <c:v>2.4967120399118627</c:v>
                </c:pt>
                <c:pt idx="19">
                  <c:v>1.9491011019982571</c:v>
                </c:pt>
                <c:pt idx="20">
                  <c:v>7.2526751935663851</c:v>
                </c:pt>
                <c:pt idx="21">
                  <c:v>7.2554759138068423</c:v>
                </c:pt>
                <c:pt idx="22">
                  <c:v>6.0978885027585807</c:v>
                </c:pt>
                <c:pt idx="23">
                  <c:v>7.153881794670915</c:v>
                </c:pt>
                <c:pt idx="24">
                  <c:v>7.6525079612091877</c:v>
                </c:pt>
                <c:pt idx="25">
                  <c:v>6.6111143896908153</c:v>
                </c:pt>
                <c:pt idx="26">
                  <c:v>6.9432717905317363</c:v>
                </c:pt>
                <c:pt idx="27">
                  <c:v>6.6295775544275477</c:v>
                </c:pt>
                <c:pt idx="28">
                  <c:v>5.6900615608901584</c:v>
                </c:pt>
                <c:pt idx="29">
                  <c:v>7.6117597884679249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3-6344-A8B7-076B52431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Excel_Demo!$C$9:$C$17</c:f>
              <c:numCache>
                <c:formatCode>General</c:formatCode>
                <c:ptCount val="9"/>
                <c:pt idx="0">
                  <c:v>2.4228165775517971</c:v>
                </c:pt>
                <c:pt idx="1">
                  <c:v>0.27572409058781444</c:v>
                </c:pt>
                <c:pt idx="2">
                  <c:v>2.265077190704345</c:v>
                </c:pt>
                <c:pt idx="3">
                  <c:v>3.145363032231745</c:v>
                </c:pt>
                <c:pt idx="4">
                  <c:v>4.9702568122453137</c:v>
                </c:pt>
                <c:pt idx="5">
                  <c:v>4.654151500012401</c:v>
                </c:pt>
                <c:pt idx="6">
                  <c:v>8.7684073497419028</c:v>
                </c:pt>
                <c:pt idx="7">
                  <c:v>7.6351766084476775</c:v>
                </c:pt>
                <c:pt idx="8">
                  <c:v>8.2641100134683985</c:v>
                </c:pt>
              </c:numCache>
            </c:numRef>
          </c:xVal>
          <c:yVal>
            <c:numRef>
              <c:f>Excel_Demo!$D$9:$D$17</c:f>
              <c:numCache>
                <c:formatCode>General</c:formatCode>
                <c:ptCount val="9"/>
                <c:pt idx="0">
                  <c:v>3.0952571413383119</c:v>
                </c:pt>
                <c:pt idx="1">
                  <c:v>2.7973534986207982</c:v>
                </c:pt>
                <c:pt idx="2">
                  <c:v>0.83528805995209399</c:v>
                </c:pt>
                <c:pt idx="3">
                  <c:v>4.6472413678923639</c:v>
                </c:pt>
                <c:pt idx="4">
                  <c:v>3.7207256111809808</c:v>
                </c:pt>
                <c:pt idx="5">
                  <c:v>3.9475191897996664</c:v>
                </c:pt>
                <c:pt idx="6">
                  <c:v>7.9847310819756858</c:v>
                </c:pt>
                <c:pt idx="7">
                  <c:v>9.568369121106775</c:v>
                </c:pt>
                <c:pt idx="8">
                  <c:v>8.5318846665545109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D-2048-9F4A-623132313EFA}"/>
            </c:ext>
          </c:extLst>
        </c:ser>
        <c:ser>
          <c:idx val="1"/>
          <c:order val="1"/>
          <c:tx>
            <c:v>Centroids0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Excel_Demo!$C$5:$C$7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Excel_Demo!$D$5:$D$7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1D-2048-9F4A-623132313EFA}"/>
            </c:ext>
          </c:extLst>
        </c:ser>
        <c:ser>
          <c:idx val="2"/>
          <c:order val="2"/>
          <c:tx>
            <c:v>Centroids1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C0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Excel_Demo!$C$19:$C$21</c:f>
              <c:numCache>
                <c:formatCode>General</c:formatCode>
                <c:ptCount val="3"/>
                <c:pt idx="0">
                  <c:v>1.6545392862813191</c:v>
                </c:pt>
                <c:pt idx="1">
                  <c:v>4.2565904481631529</c:v>
                </c:pt>
                <c:pt idx="2">
                  <c:v>8.2225646572193245</c:v>
                </c:pt>
              </c:numCache>
            </c:numRef>
          </c:xVal>
          <c:yVal>
            <c:numRef>
              <c:f>Excel_Demo!$D$19:$D$21</c:f>
              <c:numCache>
                <c:formatCode>General</c:formatCode>
                <c:ptCount val="3"/>
                <c:pt idx="0">
                  <c:v>2.2426328999704013</c:v>
                </c:pt>
                <c:pt idx="1">
                  <c:v>4.1051620562910038</c:v>
                </c:pt>
                <c:pt idx="2">
                  <c:v>8.6949949565456581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1D-2048-9F4A-623132313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721040"/>
        <c:axId val="1546231584"/>
      </c:scatterChart>
      <c:valAx>
        <c:axId val="154572104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231584"/>
        <c:crosses val="autoZero"/>
        <c:crossBetween val="midCat"/>
      </c:valAx>
      <c:valAx>
        <c:axId val="154623158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72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Data!$C$3:$C$92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2D-9642-944B-F006685E5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Fit_O3!$E$2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Fit_O3!$B$3:$B$92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Fit_O3!$E$3:$E$92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E1-E545-8C31-97342118AC85}"/>
            </c:ext>
          </c:extLst>
        </c:ser>
        <c:ser>
          <c:idx val="1"/>
          <c:order val="1"/>
          <c:tx>
            <c:strRef>
              <c:f>Fit_O3!$F$2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Fit_O3!$B$3:$B$32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Fit_O3!$F$3:$F$32</c:f>
              <c:numCache>
                <c:formatCode>General</c:formatCode>
                <c:ptCount val="30"/>
                <c:pt idx="0">
                  <c:v>-1.2888007502634404</c:v>
                </c:pt>
                <c:pt idx="1">
                  <c:v>-0.77641715278641943</c:v>
                </c:pt>
                <c:pt idx="2">
                  <c:v>-0.35772455206706644</c:v>
                </c:pt>
                <c:pt idx="3">
                  <c:v>-2.5516989726627637E-2</c:v>
                </c:pt>
                <c:pt idx="4">
                  <c:v>0.22741149261365079</c:v>
                </c:pt>
                <c:pt idx="5">
                  <c:v>0.40826685333252311</c:v>
                </c:pt>
                <c:pt idx="6">
                  <c:v>0.52425505080874224</c:v>
                </c:pt>
                <c:pt idx="7">
                  <c:v>0.58258204342106357</c:v>
                </c:pt>
                <c:pt idx="8">
                  <c:v>0.59045378954824024</c:v>
                </c:pt>
                <c:pt idx="9">
                  <c:v>0.5550762475690254</c:v>
                </c:pt>
                <c:pt idx="10">
                  <c:v>0.48365537586217577</c:v>
                </c:pt>
                <c:pt idx="11">
                  <c:v>0.38339713280644183</c:v>
                </c:pt>
                <c:pt idx="12">
                  <c:v>0.26150747678057851</c:v>
                </c:pt>
                <c:pt idx="13">
                  <c:v>0.12519236616333984</c:v>
                </c:pt>
                <c:pt idx="14">
                  <c:v>-1.8342240666517462E-2</c:v>
                </c:pt>
                <c:pt idx="15">
                  <c:v>-0.16189038533024558</c:v>
                </c:pt>
                <c:pt idx="16">
                  <c:v>-0.29824610944908514</c:v>
                </c:pt>
                <c:pt idx="17">
                  <c:v>-0.4202034546442821</c:v>
                </c:pt>
                <c:pt idx="18">
                  <c:v>-0.52055646253708687</c:v>
                </c:pt>
                <c:pt idx="19">
                  <c:v>-0.59209917474874629</c:v>
                </c:pt>
                <c:pt idx="20">
                  <c:v>-0.62762563290049656</c:v>
                </c:pt>
                <c:pt idx="21">
                  <c:v>-0.61992987861359516</c:v>
                </c:pt>
                <c:pt idx="22">
                  <c:v>-0.56180595350928364</c:v>
                </c:pt>
                <c:pt idx="23">
                  <c:v>-0.4460478992088035</c:v>
                </c:pt>
                <c:pt idx="24">
                  <c:v>-0.26544975733341403</c:v>
                </c:pt>
                <c:pt idx="25">
                  <c:v>-1.2805569504340752E-2</c:v>
                </c:pt>
                <c:pt idx="26">
                  <c:v>0.31909062265715349</c:v>
                </c:pt>
                <c:pt idx="27">
                  <c:v>0.73744477752982007</c:v>
                </c:pt>
                <c:pt idx="28">
                  <c:v>1.2494628534924281</c:v>
                </c:pt>
                <c:pt idx="29">
                  <c:v>1.8623508089237184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E1-E545-8C31-97342118A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Fit_3Piece_O0!$F$2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Fit_3Piece_O0!$B$3:$B$92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Fit_3Piece_O0!$F$3:$F$92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6-6342-A603-76F9EAF55FD8}"/>
            </c:ext>
          </c:extLst>
        </c:ser>
        <c:ser>
          <c:idx val="1"/>
          <c:order val="1"/>
          <c:tx>
            <c:strRef>
              <c:f>Fit_3Piece_O0!$G$2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Fit_3Piece_O0!$B$3:$B$32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Fit_3Piece_O0!$G$3:$G$32</c:f>
              <c:numCache>
                <c:formatCode>General</c:formatCode>
                <c:ptCount val="30"/>
                <c:pt idx="0">
                  <c:v>0.10299523902023984</c:v>
                </c:pt>
                <c:pt idx="1">
                  <c:v>0.10299523902023984</c:v>
                </c:pt>
                <c:pt idx="2">
                  <c:v>0.10299523902023984</c:v>
                </c:pt>
                <c:pt idx="3">
                  <c:v>0.10299523902023984</c:v>
                </c:pt>
                <c:pt idx="4">
                  <c:v>0.10299523902023984</c:v>
                </c:pt>
                <c:pt idx="5">
                  <c:v>0.10299523902023984</c:v>
                </c:pt>
                <c:pt idx="6">
                  <c:v>0.10299523902023984</c:v>
                </c:pt>
                <c:pt idx="7">
                  <c:v>0.10299523902023984</c:v>
                </c:pt>
                <c:pt idx="8">
                  <c:v>0.10299523902023984</c:v>
                </c:pt>
                <c:pt idx="9">
                  <c:v>0.10299523902023984</c:v>
                </c:pt>
                <c:pt idx="10">
                  <c:v>-0.11631460411492099</c:v>
                </c:pt>
                <c:pt idx="11">
                  <c:v>-0.11631460411492099</c:v>
                </c:pt>
                <c:pt idx="12">
                  <c:v>-0.11631460411492099</c:v>
                </c:pt>
                <c:pt idx="13">
                  <c:v>-0.11631460411492099</c:v>
                </c:pt>
                <c:pt idx="14">
                  <c:v>-0.11631460411492099</c:v>
                </c:pt>
                <c:pt idx="15">
                  <c:v>-0.11631460411492099</c:v>
                </c:pt>
                <c:pt idx="16">
                  <c:v>-0.11631460411492099</c:v>
                </c:pt>
                <c:pt idx="17">
                  <c:v>-0.11631460411492099</c:v>
                </c:pt>
                <c:pt idx="18">
                  <c:v>-0.11631460411492099</c:v>
                </c:pt>
                <c:pt idx="19">
                  <c:v>-0.11631460411492099</c:v>
                </c:pt>
                <c:pt idx="20">
                  <c:v>0.14498785791662738</c:v>
                </c:pt>
                <c:pt idx="21">
                  <c:v>0.14498785791662738</c:v>
                </c:pt>
                <c:pt idx="22">
                  <c:v>0.14498785791662738</c:v>
                </c:pt>
                <c:pt idx="23">
                  <c:v>0.14498785791662738</c:v>
                </c:pt>
                <c:pt idx="24">
                  <c:v>0.14498785791662738</c:v>
                </c:pt>
                <c:pt idx="25">
                  <c:v>0.14498785791662738</c:v>
                </c:pt>
                <c:pt idx="26">
                  <c:v>0.14498785791662738</c:v>
                </c:pt>
                <c:pt idx="27">
                  <c:v>0.14498785791662738</c:v>
                </c:pt>
                <c:pt idx="28">
                  <c:v>0.14498785791662738</c:v>
                </c:pt>
                <c:pt idx="29">
                  <c:v>0.14498785791662738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6-6342-A603-76F9EAF55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Fit_3Piece_O1!$I$2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Fit_3Piece_O1!$B$3:$B$92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2-B140-814B-93DCBC4B999A}"/>
            </c:ext>
          </c:extLst>
        </c:ser>
        <c:ser>
          <c:idx val="1"/>
          <c:order val="1"/>
          <c:tx>
            <c:strRef>
              <c:f>Fit_3Piece_O1!$J$2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Fit_3Piece_O1!$J$3:$J$32</c:f>
              <c:numCache>
                <c:formatCode>General</c:formatCode>
                <c:ptCount val="30"/>
                <c:pt idx="0">
                  <c:v>-0.94946760961501697</c:v>
                </c:pt>
                <c:pt idx="1">
                  <c:v>-0.71558697658496018</c:v>
                </c:pt>
                <c:pt idx="2">
                  <c:v>-0.48170634355490327</c:v>
                </c:pt>
                <c:pt idx="3">
                  <c:v>-0.24782571052484648</c:v>
                </c:pt>
                <c:pt idx="4">
                  <c:v>-1.3945077494789571E-2</c:v>
                </c:pt>
                <c:pt idx="5">
                  <c:v>0.21993555553526734</c:v>
                </c:pt>
                <c:pt idx="6">
                  <c:v>0.45381618856532424</c:v>
                </c:pt>
                <c:pt idx="7">
                  <c:v>0.68769682159538092</c:v>
                </c:pt>
                <c:pt idx="8">
                  <c:v>0.92157745462543783</c:v>
                </c:pt>
                <c:pt idx="9">
                  <c:v>1.1554580876554947</c:v>
                </c:pt>
                <c:pt idx="10">
                  <c:v>0.2772519263294112</c:v>
                </c:pt>
                <c:pt idx="11">
                  <c:v>0.18979269734178184</c:v>
                </c:pt>
                <c:pt idx="12">
                  <c:v>0.10233346835415236</c:v>
                </c:pt>
                <c:pt idx="13">
                  <c:v>1.4874239366523101E-2</c:v>
                </c:pt>
                <c:pt idx="14">
                  <c:v>-7.2584989621106155E-2</c:v>
                </c:pt>
                <c:pt idx="15">
                  <c:v>-0.16004421860873541</c:v>
                </c:pt>
                <c:pt idx="16">
                  <c:v>-0.24750344759636489</c:v>
                </c:pt>
                <c:pt idx="17">
                  <c:v>-0.33496267658399415</c:v>
                </c:pt>
                <c:pt idx="18">
                  <c:v>-0.4224219055716234</c:v>
                </c:pt>
                <c:pt idx="19">
                  <c:v>-0.50988113455925266</c:v>
                </c:pt>
                <c:pt idx="20">
                  <c:v>-1.1571913656355504</c:v>
                </c:pt>
                <c:pt idx="21">
                  <c:v>-0.867818204846178</c:v>
                </c:pt>
                <c:pt idx="22">
                  <c:v>-0.57844504405680475</c:v>
                </c:pt>
                <c:pt idx="23">
                  <c:v>-0.2890718832674315</c:v>
                </c:pt>
                <c:pt idx="24">
                  <c:v>3.0127752194175628E-4</c:v>
                </c:pt>
                <c:pt idx="25">
                  <c:v>0.28967443831131501</c:v>
                </c:pt>
                <c:pt idx="26">
                  <c:v>0.57904759910068648</c:v>
                </c:pt>
                <c:pt idx="27">
                  <c:v>0.86842075989006062</c:v>
                </c:pt>
                <c:pt idx="28">
                  <c:v>1.157793920679433</c:v>
                </c:pt>
                <c:pt idx="29">
                  <c:v>1.4471670814688036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C2-B140-814B-93DCBC4B9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Fit_6Piece_O1!$O$2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Fit_6Piece_O1!$B$3:$B$91</c:f>
              <c:numCache>
                <c:formatCode>General</c:formatCode>
                <c:ptCount val="89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Fit_6Piece_O1!$O$3:$O$91</c:f>
              <c:numCache>
                <c:formatCode>General</c:formatCode>
                <c:ptCount val="89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57-1A47-8D08-F2C03E22C85F}"/>
            </c:ext>
          </c:extLst>
        </c:ser>
        <c:ser>
          <c:idx val="1"/>
          <c:order val="1"/>
          <c:tx>
            <c:strRef>
              <c:f>Fit_6Piece_O1!$P$2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Fit_6Piece_O1!$B$3:$B$32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Fit_6Piece_O1!$P$3:$P$32</c:f>
              <c:numCache>
                <c:formatCode>General</c:formatCode>
                <c:ptCount val="30"/>
                <c:pt idx="0">
                  <c:v>-1.2125948508733759</c:v>
                </c:pt>
                <c:pt idx="1">
                  <c:v>-0.86888243162333156</c:v>
                </c:pt>
                <c:pt idx="2">
                  <c:v>-0.5251700123732872</c:v>
                </c:pt>
                <c:pt idx="3">
                  <c:v>-0.18145759312324294</c:v>
                </c:pt>
                <c:pt idx="4">
                  <c:v>0.16225482612680131</c:v>
                </c:pt>
                <c:pt idx="5">
                  <c:v>0.70038114088554237</c:v>
                </c:pt>
                <c:pt idx="6">
                  <c:v>0.71577081564965417</c:v>
                </c:pt>
                <c:pt idx="7">
                  <c:v>0.73116049041376596</c:v>
                </c:pt>
                <c:pt idx="8">
                  <c:v>0.74655016517787776</c:v>
                </c:pt>
                <c:pt idx="9">
                  <c:v>0.76193983994198955</c:v>
                </c:pt>
                <c:pt idx="10">
                  <c:v>0.27655816127728228</c:v>
                </c:pt>
                <c:pt idx="11">
                  <c:v>0.16850558316432962</c:v>
                </c:pt>
                <c:pt idx="12">
                  <c:v>6.0453005051376962E-2</c:v>
                </c:pt>
                <c:pt idx="13">
                  <c:v>-4.7599573061575473E-2</c:v>
                </c:pt>
                <c:pt idx="14">
                  <c:v>-0.15565215117452746</c:v>
                </c:pt>
                <c:pt idx="15">
                  <c:v>5.00518629572686E-2</c:v>
                </c:pt>
                <c:pt idx="16">
                  <c:v>-0.12151517516197519</c:v>
                </c:pt>
                <c:pt idx="17">
                  <c:v>-0.29308221328121853</c:v>
                </c:pt>
                <c:pt idx="18">
                  <c:v>-0.46464925140046232</c:v>
                </c:pt>
                <c:pt idx="19">
                  <c:v>-0.63621628951970566</c:v>
                </c:pt>
                <c:pt idx="20">
                  <c:v>-1.0117773438347601</c:v>
                </c:pt>
                <c:pt idx="21">
                  <c:v>-0.79737812857391965</c:v>
                </c:pt>
                <c:pt idx="22">
                  <c:v>-0.58297891331307827</c:v>
                </c:pt>
                <c:pt idx="23">
                  <c:v>-0.368579698052236</c:v>
                </c:pt>
                <c:pt idx="24">
                  <c:v>-0.15418048279139462</c:v>
                </c:pt>
                <c:pt idx="25">
                  <c:v>0.16692976279188443</c:v>
                </c:pt>
                <c:pt idx="26">
                  <c:v>0.51994219596910796</c:v>
                </c:pt>
                <c:pt idx="27">
                  <c:v>0.87295462914633326</c:v>
                </c:pt>
                <c:pt idx="28">
                  <c:v>1.2259670623235568</c:v>
                </c:pt>
                <c:pt idx="29">
                  <c:v>1.5789794955007785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57-1A47-8D08-F2C03E22C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Fit_2Piece_O2!$I$2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Fit_2Piece_O2!$B$3:$B$92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99-D04C-9443-EF31AFFF18B1}"/>
            </c:ext>
          </c:extLst>
        </c:ser>
        <c:ser>
          <c:idx val="1"/>
          <c:order val="1"/>
          <c:tx>
            <c:strRef>
              <c:f>Fit_2Piece_O2!$J$2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Fit_2Piece_O2!$B$3:$B$32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Fit_2Piece_O2!$J$3:$J$32</c:f>
              <c:numCache>
                <c:formatCode>General</c:formatCode>
                <c:ptCount val="30"/>
                <c:pt idx="0">
                  <c:v>-1.0760110124151598</c:v>
                </c:pt>
                <c:pt idx="1">
                  <c:v>-0.75497527995230318</c:v>
                </c:pt>
                <c:pt idx="2">
                  <c:v>-0.44821327874827138</c:v>
                </c:pt>
                <c:pt idx="3">
                  <c:v>-0.16286187443247691</c:v>
                </c:pt>
                <c:pt idx="4">
                  <c:v>9.394206736566782E-2</c:v>
                </c:pt>
                <c:pt idx="5">
                  <c:v>0.31506168101675086</c:v>
                </c:pt>
                <c:pt idx="6">
                  <c:v>0.49336010089135923</c:v>
                </c:pt>
                <c:pt idx="7">
                  <c:v>0.6217004613600805</c:v>
                </c:pt>
                <c:pt idx="8">
                  <c:v>0.69294589679350282</c:v>
                </c:pt>
                <c:pt idx="9">
                  <c:v>0.69995954156221285</c:v>
                </c:pt>
                <c:pt idx="10">
                  <c:v>0.6356045300367994</c:v>
                </c:pt>
                <c:pt idx="11">
                  <c:v>0.49274399658784906</c:v>
                </c:pt>
                <c:pt idx="12">
                  <c:v>0.26424107558594923</c:v>
                </c:pt>
                <c:pt idx="13">
                  <c:v>-5.7041098598310747E-2</c:v>
                </c:pt>
                <c:pt idx="14">
                  <c:v>-0.47823939159434437</c:v>
                </c:pt>
                <c:pt idx="15">
                  <c:v>9.3338481297851494E-2</c:v>
                </c:pt>
                <c:pt idx="16">
                  <c:v>-0.18360299006434566</c:v>
                </c:pt>
                <c:pt idx="17">
                  <c:v>-0.39974612123682185</c:v>
                </c:pt>
                <c:pt idx="18">
                  <c:v>-0.55509091221957618</c:v>
                </c:pt>
                <c:pt idx="19">
                  <c:v>-0.64963736301261044</c:v>
                </c:pt>
                <c:pt idx="20">
                  <c:v>-0.68338547361592639</c:v>
                </c:pt>
                <c:pt idx="21">
                  <c:v>-0.65633524402951693</c:v>
                </c:pt>
                <c:pt idx="22">
                  <c:v>-0.56848667425338562</c:v>
                </c:pt>
                <c:pt idx="23">
                  <c:v>-0.41983976428753422</c:v>
                </c:pt>
                <c:pt idx="24">
                  <c:v>-0.21039451413196275</c:v>
                </c:pt>
                <c:pt idx="25">
                  <c:v>5.98490762133288E-2</c:v>
                </c:pt>
                <c:pt idx="26">
                  <c:v>0.39089100674834043</c:v>
                </c:pt>
                <c:pt idx="27">
                  <c:v>0.78273127747307214</c:v>
                </c:pt>
                <c:pt idx="28">
                  <c:v>1.235369888387531</c:v>
                </c:pt>
                <c:pt idx="29">
                  <c:v>1.7488068394917029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99-D04C-9443-EF31AFFF1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NoSpline1!$E$5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{1561B1D1-1113-D247-8B7E-D4FAB5C01895}</c15:txfldGUID>
                      <c15:f>NoSpline1!$E$5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CFD-7045-A9C6-4D5173CFA48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CFD-7045-A9C6-4D5173CFA48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FD-7045-A9C6-4D5173CFA48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FD-7045-A9C6-4D5173CFA48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FD-7045-A9C6-4D5173CFA48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CFD-7045-A9C6-4D5173CFA48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FD-7045-A9C6-4D5173CFA48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FD-7045-A9C6-4D5173CFA48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FD-7045-A9C6-4D5173CFA48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CFD-7045-A9C6-4D5173CFA48D}"/>
                </c:ext>
              </c:extLst>
            </c:dLbl>
            <c:dLbl>
              <c:idx val="10"/>
              <c:tx>
                <c:strRef>
                  <c:f>NoSpline1!$E$15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7702089009990904E-2"/>
                      <c:h val="5.3162544169611303E-2"/>
                    </c:manualLayout>
                  </c15:layout>
                  <c15:dlblFieldTable>
                    <c15:dlblFTEntry>
                      <c15:txfldGUID>{B1A88621-7895-E542-A57A-AA043D1480B6}</c15:txfldGUID>
                      <c15:f>NoSpline1!$E$15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CFD-7045-A9C6-4D5173CFA48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FD-7045-A9C6-4D5173CFA48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FD-7045-A9C6-4D5173CFA48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CFD-7045-A9C6-4D5173CFA48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CFD-7045-A9C6-4D5173CFA48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CFD-7045-A9C6-4D5173CFA48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CFD-7045-A9C6-4D5173CFA48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CFD-7045-A9C6-4D5173CFA48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CFD-7045-A9C6-4D5173CFA48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CFD-7045-A9C6-4D5173CFA48D}"/>
                </c:ext>
              </c:extLst>
            </c:dLbl>
            <c:dLbl>
              <c:idx val="20"/>
              <c:tx>
                <c:strRef>
                  <c:f>NoSpline1!$E$25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{9A2B4212-47C3-464C-8B4D-C2F0F56DE014}</c15:txfldGUID>
                      <c15:f>NoSpline1!$E$25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3CFD-7045-A9C6-4D5173CFA4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NoSpline1!$C$5:$C$25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NoSpline1!$D$5:$D$25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6.3000000000000007</c:v>
                </c:pt>
                <c:pt idx="12">
                  <c:v>6.6000000000000014</c:v>
                </c:pt>
                <c:pt idx="13">
                  <c:v>6.8999999999999986</c:v>
                </c:pt>
                <c:pt idx="14">
                  <c:v>7.1999999999999993</c:v>
                </c:pt>
                <c:pt idx="15">
                  <c:v>7.5</c:v>
                </c:pt>
                <c:pt idx="16">
                  <c:v>7.8000000000000007</c:v>
                </c:pt>
                <c:pt idx="17">
                  <c:v>8.1000000000000014</c:v>
                </c:pt>
                <c:pt idx="18">
                  <c:v>8.3999999999999986</c:v>
                </c:pt>
                <c:pt idx="19">
                  <c:v>8.6999999999999993</c:v>
                </c:pt>
                <c:pt idx="2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CFD-7045-A9C6-4D5173CFA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191920"/>
        <c:axId val="2134194240"/>
      </c:scatterChart>
      <c:valAx>
        <c:axId val="213419192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4240"/>
        <c:crosses val="autoZero"/>
        <c:crossBetween val="midCat"/>
        <c:majorUnit val="1"/>
      </c:valAx>
      <c:valAx>
        <c:axId val="213419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NoSpline2!$E$5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{2C2501EE-A22D-774E-A160-347A2CC8ED7B}</c15:txfldGUID>
                      <c15:f>NoSpline2!$E$5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F972-7541-B1E6-32DF7D4A1ED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972-7541-B1E6-32DF7D4A1ED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972-7541-B1E6-32DF7D4A1ED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72-7541-B1E6-32DF7D4A1ED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72-7541-B1E6-32DF7D4A1ED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972-7541-B1E6-32DF7D4A1ED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972-7541-B1E6-32DF7D4A1ED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72-7541-B1E6-32DF7D4A1ED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972-7541-B1E6-32DF7D4A1ED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972-7541-B1E6-32DF7D4A1EDD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NoSpline2!$E$15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>
                    <c15:dlblFTEntry>
                      <c15:txfldGUID>{4327C99A-CBFF-E749-ACDD-37D96FC969EB}</c15:txfldGUID>
                      <c15:f>NoSpline2!$E$15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F972-7541-B1E6-32DF7D4A1ED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972-7541-B1E6-32DF7D4A1ED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972-7541-B1E6-32DF7D4A1ED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972-7541-B1E6-32DF7D4A1ED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972-7541-B1E6-32DF7D4A1ED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972-7541-B1E6-32DF7D4A1ED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972-7541-B1E6-32DF7D4A1ED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972-7541-B1E6-32DF7D4A1ED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972-7541-B1E6-32DF7D4A1ED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972-7541-B1E6-32DF7D4A1EDD}"/>
                </c:ext>
              </c:extLst>
            </c:dLbl>
            <c:dLbl>
              <c:idx val="20"/>
              <c:tx>
                <c:strRef>
                  <c:f>NoSpline2!$E$25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{8C853404-FF2A-3241-A68C-A67E720C5A0A}</c15:txfldGUID>
                      <c15:f>NoSpline2!$E$25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F972-7541-B1E6-32DF7D4A1E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NoSpline2!$C$5:$C$25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NoSpline2!$D$5:$D$25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972-7541-B1E6-32DF7D4A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56080"/>
        <c:axId val="2134058400"/>
      </c:scatterChart>
      <c:valAx>
        <c:axId val="213405608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8400"/>
        <c:crosses val="autoZero"/>
        <c:crossBetween val="midCat"/>
        <c:majorUnit val="1"/>
      </c:valAx>
      <c:valAx>
        <c:axId val="213405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NoSpline3!$E$5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{F276A0B3-B04D-DE43-ABD6-AF91B8AC3EDF}</c15:txfldGUID>
                      <c15:f>NoSpline3!$E$5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7A44-A949-A42D-A331FE17F0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44-A949-A42D-A331FE17F0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44-A949-A42D-A331FE17F05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44-A949-A42D-A331FE17F05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44-A949-A42D-A331FE17F05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44-A949-A42D-A331FE17F05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44-A949-A42D-A331FE17F05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44-A949-A42D-A331FE17F055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A44-A949-A42D-A331FE17F05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A44-A949-A42D-A331FE17F055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NoSpline3!$E$15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>
                    <c15:dlblFTEntry>
                      <c15:txfldGUID>{189EBA35-342B-D647-AA8A-8EE774C34ED2}</c15:txfldGUID>
                      <c15:f>NoSpline3!$E$15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7A44-A949-A42D-A331FE17F05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A44-A949-A42D-A331FE17F05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A44-A949-A42D-A331FE17F05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A44-A949-A42D-A331FE17F05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A44-A949-A42D-A331FE17F05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A44-A949-A42D-A331FE17F05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A44-A949-A42D-A331FE17F05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A44-A949-A42D-A331FE17F05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A44-A949-A42D-A331FE17F05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A44-A949-A42D-A331FE17F055}"/>
                </c:ext>
              </c:extLst>
            </c:dLbl>
            <c:dLbl>
              <c:idx val="20"/>
              <c:tx>
                <c:strRef>
                  <c:f>NoSpline3!$E$25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{148465C7-937E-0340-8C78-508182868F33}</c15:txfldGUID>
                      <c15:f>NoSpline3!$E$25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7A44-A949-A42D-A331FE17F0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NoSpline3!$C$5:$C$25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NoSpline3!$D$5:$D$25</c:f>
              <c:numCache>
                <c:formatCode>General</c:formatCode>
                <c:ptCount val="21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A44-A949-A42D-A331FE17F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17296"/>
        <c:axId val="2134019616"/>
      </c:scatterChart>
      <c:valAx>
        <c:axId val="213401729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9616"/>
        <c:crosses val="autoZero"/>
        <c:crossBetween val="midCat"/>
        <c:majorUnit val="1"/>
      </c:valAx>
      <c:valAx>
        <c:axId val="21340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7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CubicSpline1!$D$12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{163E55F7-D36E-704F-B93D-D5CEB8FE0991}</c15:txfldGUID>
                      <c15:f>CubicSpline1!$D$12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8FDA-6046-A727-2EE150EF1D5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DA-6046-A727-2EE150EF1D5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DA-6046-A727-2EE150EF1D5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DA-6046-A727-2EE150EF1D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CubicSpline1!$B$12:$B$15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CubicSpline1!$C$12:$C$15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DA-6046-A727-2EE150EF1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71184"/>
        <c:axId val="2133973232"/>
      </c:scatterChart>
      <c:valAx>
        <c:axId val="213397118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3232"/>
        <c:crosses val="autoZero"/>
        <c:crossBetween val="midCat"/>
        <c:majorUnit val="1"/>
      </c:valAx>
      <c:valAx>
        <c:axId val="213397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CubicSpline2!$D$12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{CCAB2333-258B-6643-9308-A5A2EF549006}</c15:txfldGUID>
                      <c15:f>CubicSpline2!$D$12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ACE-2F4C-89DA-59705C2C623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CE-2F4C-89DA-59705C2C623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CE-2F4C-89DA-59705C2C623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CE-2F4C-89DA-59705C2C62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CubicSpline2!$B$12:$B$15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CubicSpline2!$C$12:$C$15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CE-2F4C-89DA-59705C2C6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32528"/>
        <c:axId val="2133934848"/>
      </c:scatterChart>
      <c:valAx>
        <c:axId val="2133932528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4848"/>
        <c:crosses val="autoZero"/>
        <c:crossBetween val="midCat"/>
        <c:majorUnit val="1"/>
      </c:valAx>
      <c:valAx>
        <c:axId val="213393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CubicSpline3!$D$12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{9BCF6F0E-14E6-6749-BBD3-D7115D919B84}</c15:txfldGUID>
                      <c15:f>CubicSpline3!$D$12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5B1-3A42-82FE-1743177B9A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B1-3A42-82FE-1743177B9AB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B1-3A42-82FE-1743177B9AB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B1-3A42-82FE-1743177B9A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CubicSpline3!$B$12:$B$15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CubicSpline3!$C$12:$C$15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5B1-3A42-82FE-1743177B9AB1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CubicSpline3!$AB$8:$AB$38</c:f>
              <c:numCache>
                <c:formatCode>General</c:formatCode>
                <c:ptCount val="3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  <c:pt idx="21">
                  <c:v>4.0999999999999996</c:v>
                </c:pt>
                <c:pt idx="22">
                  <c:v>4.2</c:v>
                </c:pt>
                <c:pt idx="23">
                  <c:v>4.3</c:v>
                </c:pt>
                <c:pt idx="24">
                  <c:v>4.4000000000000004</c:v>
                </c:pt>
                <c:pt idx="25">
                  <c:v>4.5</c:v>
                </c:pt>
                <c:pt idx="26">
                  <c:v>4.5999999999999996</c:v>
                </c:pt>
                <c:pt idx="27">
                  <c:v>4.7</c:v>
                </c:pt>
                <c:pt idx="28">
                  <c:v>4.8</c:v>
                </c:pt>
                <c:pt idx="29">
                  <c:v>4.9000000000000004</c:v>
                </c:pt>
                <c:pt idx="30">
                  <c:v>5</c:v>
                </c:pt>
              </c:numCache>
            </c:numRef>
          </c:xVal>
          <c:yVal>
            <c:numRef>
              <c:f>CubicSpline3!$AC$8:$AC$38</c:f>
              <c:numCache>
                <c:formatCode>General</c:formatCode>
                <c:ptCount val="31"/>
                <c:pt idx="0">
                  <c:v>1.0000000000000129</c:v>
                </c:pt>
                <c:pt idx="1">
                  <c:v>1.9706000000000174</c:v>
                </c:pt>
                <c:pt idx="2">
                  <c:v>2.9248000000000105</c:v>
                </c:pt>
                <c:pt idx="3">
                  <c:v>3.8462000000000161</c:v>
                </c:pt>
                <c:pt idx="4">
                  <c:v>4.718400000000015</c:v>
                </c:pt>
                <c:pt idx="5">
                  <c:v>5.5250000000000181</c:v>
                </c:pt>
                <c:pt idx="6">
                  <c:v>6.2496000000000063</c:v>
                </c:pt>
                <c:pt idx="7">
                  <c:v>6.8758000000000177</c:v>
                </c:pt>
                <c:pt idx="8">
                  <c:v>7.3871999999999982</c:v>
                </c:pt>
                <c:pt idx="9">
                  <c:v>7.7674000000000145</c:v>
                </c:pt>
                <c:pt idx="10">
                  <c:v>8.0000000000001137</c:v>
                </c:pt>
                <c:pt idx="11">
                  <c:v>8.075999999999965</c:v>
                </c:pt>
                <c:pt idx="12">
                  <c:v>8.0160000000000196</c:v>
                </c:pt>
                <c:pt idx="13">
                  <c:v>7.84800000000007</c:v>
                </c:pt>
                <c:pt idx="14">
                  <c:v>7.5999999999999659</c:v>
                </c:pt>
                <c:pt idx="15">
                  <c:v>7.3000000000000682</c:v>
                </c:pt>
                <c:pt idx="16">
                  <c:v>6.9759999999999991</c:v>
                </c:pt>
                <c:pt idx="17">
                  <c:v>6.6560000000001196</c:v>
                </c:pt>
                <c:pt idx="18">
                  <c:v>6.367999999999995</c:v>
                </c:pt>
                <c:pt idx="19">
                  <c:v>6.1399999999999864</c:v>
                </c:pt>
                <c:pt idx="20">
                  <c:v>5.9999999999999716</c:v>
                </c:pt>
                <c:pt idx="21">
                  <c:v>5.9694000000000926</c:v>
                </c:pt>
                <c:pt idx="22">
                  <c:v>6.0431999999999277</c:v>
                </c:pt>
                <c:pt idx="23">
                  <c:v>6.2098000000000013</c:v>
                </c:pt>
                <c:pt idx="24">
                  <c:v>6.4575999999999851</c:v>
                </c:pt>
                <c:pt idx="25">
                  <c:v>6.774999999999892</c:v>
                </c:pt>
                <c:pt idx="26">
                  <c:v>7.1503999999999053</c:v>
                </c:pt>
                <c:pt idx="27">
                  <c:v>7.5721999999998673</c:v>
                </c:pt>
                <c:pt idx="28">
                  <c:v>8.0287999999999045</c:v>
                </c:pt>
                <c:pt idx="29">
                  <c:v>8.5085999999998592</c:v>
                </c:pt>
                <c:pt idx="30">
                  <c:v>8.999999999999801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5B1-3A42-82FE-1743177B9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65216"/>
        <c:axId val="2133867536"/>
      </c:scatterChart>
      <c:valAx>
        <c:axId val="213386521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7536"/>
        <c:crosses val="autoZero"/>
        <c:crossBetween val="midCat"/>
        <c:majorUnit val="1"/>
      </c:valAx>
      <c:valAx>
        <c:axId val="21338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2C-BD4A-9113-16494D2FC425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CubicSpline_YC!$E$100:$E$400</c:f>
              <c:numCache>
                <c:formatCode>0.00%</c:formatCode>
                <c:ptCount val="301"/>
                <c:pt idx="0">
                  <c:v>-7.839151029209042E-17</c:v>
                </c:pt>
                <c:pt idx="1">
                  <c:v>1.9782185860547689E-3</c:v>
                </c:pt>
                <c:pt idx="2">
                  <c:v>3.9577572578032632E-3</c:v>
                </c:pt>
                <c:pt idx="3">
                  <c:v>5.9399361009390495E-3</c:v>
                </c:pt>
                <c:pt idx="4">
                  <c:v>7.926075201155772E-3</c:v>
                </c:pt>
                <c:pt idx="5">
                  <c:v>9.9174946441470818E-3</c:v>
                </c:pt>
                <c:pt idx="6">
                  <c:v>1.191551451560662E-2</c:v>
                </c:pt>
                <c:pt idx="7">
                  <c:v>1.3921454901228035E-2</c:v>
                </c:pt>
                <c:pt idx="8">
                  <c:v>1.5936635886704971E-2</c:v>
                </c:pt>
                <c:pt idx="9">
                  <c:v>1.7962377557731078E-2</c:v>
                </c:pt>
                <c:pt idx="10">
                  <c:v>1.9999999999999959E-2</c:v>
                </c:pt>
                <c:pt idx="11">
                  <c:v>2.2047372509591698E-2</c:v>
                </c:pt>
                <c:pt idx="12">
                  <c:v>2.4088561224131659E-2</c:v>
                </c:pt>
                <c:pt idx="13">
                  <c:v>2.6104181491631628E-2</c:v>
                </c:pt>
                <c:pt idx="14">
                  <c:v>2.807484866010336E-2</c:v>
                </c:pt>
                <c:pt idx="15">
                  <c:v>2.9981178077558637E-2</c:v>
                </c:pt>
                <c:pt idx="16">
                  <c:v>3.1803785092009228E-2</c:v>
                </c:pt>
                <c:pt idx="17">
                  <c:v>3.3523285051466879E-2</c:v>
                </c:pt>
                <c:pt idx="18">
                  <c:v>3.5120293303943388E-2</c:v>
                </c:pt>
                <c:pt idx="19">
                  <c:v>3.6575425197450516E-2</c:v>
                </c:pt>
                <c:pt idx="20">
                  <c:v>3.7869296079999969E-2</c:v>
                </c:pt>
                <c:pt idx="21">
                  <c:v>3.8989532279398241E-2</c:v>
                </c:pt>
                <c:pt idx="22">
                  <c:v>3.9951804042629969E-2</c:v>
                </c:pt>
                <c:pt idx="23">
                  <c:v>4.0778792596474399E-2</c:v>
                </c:pt>
                <c:pt idx="24">
                  <c:v>4.1493179167710774E-2</c:v>
                </c:pt>
                <c:pt idx="25">
                  <c:v>4.2117644983118423E-2</c:v>
                </c:pt>
                <c:pt idx="26">
                  <c:v>4.2674871269476632E-2</c:v>
                </c:pt>
                <c:pt idx="27">
                  <c:v>4.3187539253564604E-2</c:v>
                </c:pt>
                <c:pt idx="28">
                  <c:v>4.3678330162161737E-2</c:v>
                </c:pt>
                <c:pt idx="29">
                  <c:v>4.4169925222047123E-2</c:v>
                </c:pt>
                <c:pt idx="30">
                  <c:v>4.4685005660000235E-2</c:v>
                </c:pt>
                <c:pt idx="31">
                  <c:v>4.5241636042315486E-2</c:v>
                </c:pt>
                <c:pt idx="32">
                  <c:v>4.5839414293348757E-2</c:v>
                </c:pt>
                <c:pt idx="33">
                  <c:v>4.6473321676971199E-2</c:v>
                </c:pt>
                <c:pt idx="34">
                  <c:v>4.7138339457053938E-2</c:v>
                </c:pt>
                <c:pt idx="35">
                  <c:v>4.7829448897468096E-2</c:v>
                </c:pt>
                <c:pt idx="36">
                  <c:v>4.8541631262084828E-2</c:v>
                </c:pt>
                <c:pt idx="37">
                  <c:v>4.9269867814775201E-2</c:v>
                </c:pt>
                <c:pt idx="38">
                  <c:v>5.0009139819410409E-2</c:v>
                </c:pt>
                <c:pt idx="39">
                  <c:v>5.0754428539861535E-2</c:v>
                </c:pt>
                <c:pt idx="40">
                  <c:v>5.1500715239999349E-2</c:v>
                </c:pt>
                <c:pt idx="41">
                  <c:v>5.2243383259339998E-2</c:v>
                </c:pt>
                <c:pt idx="42">
                  <c:v>5.2979424239975044E-2</c:v>
                </c:pt>
                <c:pt idx="43">
                  <c:v>5.370623189964073E-2</c:v>
                </c:pt>
                <c:pt idx="44">
                  <c:v>5.4421199956073252E-2</c:v>
                </c:pt>
                <c:pt idx="45">
                  <c:v>5.5121722127008832E-2</c:v>
                </c:pt>
                <c:pt idx="46">
                  <c:v>5.580519213018368E-2</c:v>
                </c:pt>
                <c:pt idx="47">
                  <c:v>5.6469003683334011E-2</c:v>
                </c:pt>
                <c:pt idx="48">
                  <c:v>5.7110550504196007E-2</c:v>
                </c:pt>
                <c:pt idx="49">
                  <c:v>5.7727226310505947E-2</c:v>
                </c:pt>
                <c:pt idx="50">
                  <c:v>5.8316424820001503E-2</c:v>
                </c:pt>
                <c:pt idx="51">
                  <c:v>5.88761417062168E-2</c:v>
                </c:pt>
                <c:pt idx="52">
                  <c:v>5.9406780465894385E-2</c:v>
                </c:pt>
                <c:pt idx="53">
                  <c:v>5.9909346551576231E-2</c:v>
                </c:pt>
                <c:pt idx="54">
                  <c:v>6.0384845415804397E-2</c:v>
                </c:pt>
                <c:pt idx="55">
                  <c:v>6.0834282511120788E-2</c:v>
                </c:pt>
                <c:pt idx="56">
                  <c:v>6.1258663290067378E-2</c:v>
                </c:pt>
                <c:pt idx="57">
                  <c:v>6.1658993205186183E-2</c:v>
                </c:pt>
                <c:pt idx="58">
                  <c:v>6.2036277709019177E-2</c:v>
                </c:pt>
                <c:pt idx="59">
                  <c:v>6.2391522254108378E-2</c:v>
                </c:pt>
                <c:pt idx="60">
                  <c:v>6.2725732292995676E-2</c:v>
                </c:pt>
                <c:pt idx="61">
                  <c:v>6.3039913278223128E-2</c:v>
                </c:pt>
                <c:pt idx="62">
                  <c:v>6.3335070662332696E-2</c:v>
                </c:pt>
                <c:pt idx="63">
                  <c:v>6.361220989786634E-2</c:v>
                </c:pt>
                <c:pt idx="64">
                  <c:v>6.3872336437366062E-2</c:v>
                </c:pt>
                <c:pt idx="65">
                  <c:v>6.4116455733373809E-2</c:v>
                </c:pt>
                <c:pt idx="66">
                  <c:v>6.4345573238431611E-2</c:v>
                </c:pt>
                <c:pt idx="67">
                  <c:v>6.4560694405081456E-2</c:v>
                </c:pt>
                <c:pt idx="68">
                  <c:v>6.4762824685865264E-2</c:v>
                </c:pt>
                <c:pt idx="69">
                  <c:v>6.4952969533325008E-2</c:v>
                </c:pt>
                <c:pt idx="70">
                  <c:v>6.5132134399999694E-2</c:v>
                </c:pt>
                <c:pt idx="71">
                  <c:v>6.5301215193002277E-2</c:v>
                </c:pt>
                <c:pt idx="72">
                  <c:v>6.5460669637696811E-2</c:v>
                </c:pt>
                <c:pt idx="73">
                  <c:v>6.5610845914015281E-2</c:v>
                </c:pt>
                <c:pt idx="74">
                  <c:v>6.5752092201889684E-2</c:v>
                </c:pt>
                <c:pt idx="75">
                  <c:v>6.5884756681252016E-2</c:v>
                </c:pt>
                <c:pt idx="76">
                  <c:v>6.6009187532034302E-2</c:v>
                </c:pt>
                <c:pt idx="77">
                  <c:v>6.6125732934168541E-2</c:v>
                </c:pt>
                <c:pt idx="78">
                  <c:v>6.6234741067586742E-2</c:v>
                </c:pt>
                <c:pt idx="79">
                  <c:v>6.6336560112220874E-2</c:v>
                </c:pt>
                <c:pt idx="80">
                  <c:v>6.6431538248002978E-2</c:v>
                </c:pt>
                <c:pt idx="81">
                  <c:v>6.6520023654865035E-2</c:v>
                </c:pt>
                <c:pt idx="82">
                  <c:v>6.6602364512739043E-2</c:v>
                </c:pt>
                <c:pt idx="83">
                  <c:v>6.6678909001557013E-2</c:v>
                </c:pt>
                <c:pt idx="84">
                  <c:v>6.675000530125097E-2</c:v>
                </c:pt>
                <c:pt idx="85">
                  <c:v>6.6816001591752883E-2</c:v>
                </c:pt>
                <c:pt idx="86">
                  <c:v>6.6877246052994735E-2</c:v>
                </c:pt>
                <c:pt idx="87">
                  <c:v>6.6934086864908579E-2</c:v>
                </c:pt>
                <c:pt idx="88">
                  <c:v>6.6986872207426412E-2</c:v>
                </c:pt>
                <c:pt idx="89">
                  <c:v>6.7035950260480176E-2</c:v>
                </c:pt>
                <c:pt idx="90">
                  <c:v>6.7081669204001965E-2</c:v>
                </c:pt>
                <c:pt idx="91">
                  <c:v>6.712437721792372E-2</c:v>
                </c:pt>
                <c:pt idx="92">
                  <c:v>6.7164422482177466E-2</c:v>
                </c:pt>
                <c:pt idx="93">
                  <c:v>6.7202153176695145E-2</c:v>
                </c:pt>
                <c:pt idx="94">
                  <c:v>6.7237917481408851E-2</c:v>
                </c:pt>
                <c:pt idx="95">
                  <c:v>6.727206357625054E-2</c:v>
                </c:pt>
                <c:pt idx="96">
                  <c:v>6.7304939641152223E-2</c:v>
                </c:pt>
                <c:pt idx="97">
                  <c:v>6.733689385604591E-2</c:v>
                </c:pt>
                <c:pt idx="98">
                  <c:v>6.7368274400863584E-2</c:v>
                </c:pt>
                <c:pt idx="99">
                  <c:v>6.7399429455537285E-2</c:v>
                </c:pt>
                <c:pt idx="100">
                  <c:v>6.743070719999894E-2</c:v>
                </c:pt>
                <c:pt idx="101">
                  <c:v>6.7462397391801696E-2</c:v>
                </c:pt>
                <c:pt idx="102">
                  <c:v>6.7494556098974728E-2</c:v>
                </c:pt>
                <c:pt idx="103">
                  <c:v>6.7527180967170544E-2</c:v>
                </c:pt>
                <c:pt idx="104">
                  <c:v>6.756026964204058E-2</c:v>
                </c:pt>
                <c:pt idx="105">
                  <c:v>6.7593819769236202E-2</c:v>
                </c:pt>
                <c:pt idx="106">
                  <c:v>6.7627828994408848E-2</c:v>
                </c:pt>
                <c:pt idx="107">
                  <c:v>6.7662294963209885E-2</c:v>
                </c:pt>
                <c:pt idx="108">
                  <c:v>6.7697215321290735E-2</c:v>
                </c:pt>
                <c:pt idx="109">
                  <c:v>6.773258771430278E-2</c:v>
                </c:pt>
                <c:pt idx="110">
                  <c:v>6.776840978789743E-2</c:v>
                </c:pt>
                <c:pt idx="111">
                  <c:v>6.7804679187726091E-2</c:v>
                </c:pt>
                <c:pt idx="112">
                  <c:v>6.7841393559440161E-2</c:v>
                </c:pt>
                <c:pt idx="113">
                  <c:v>6.7878550548691019E-2</c:v>
                </c:pt>
                <c:pt idx="114">
                  <c:v>6.7916147801130089E-2</c:v>
                </c:pt>
                <c:pt idx="115">
                  <c:v>6.7954182962408766E-2</c:v>
                </c:pt>
                <c:pt idx="116">
                  <c:v>6.7992653678178444E-2</c:v>
                </c:pt>
                <c:pt idx="117">
                  <c:v>6.8031557594090533E-2</c:v>
                </c:pt>
                <c:pt idx="118">
                  <c:v>6.8070892355796414E-2</c:v>
                </c:pt>
                <c:pt idx="119">
                  <c:v>6.811065560894751E-2</c:v>
                </c:pt>
                <c:pt idx="120">
                  <c:v>6.8150844999195201E-2</c:v>
                </c:pt>
                <c:pt idx="121">
                  <c:v>6.8191458172190897E-2</c:v>
                </c:pt>
                <c:pt idx="122">
                  <c:v>6.8232492773585993E-2</c:v>
                </c:pt>
                <c:pt idx="123">
                  <c:v>6.8273946449031897E-2</c:v>
                </c:pt>
                <c:pt idx="124">
                  <c:v>6.8315816844180005E-2</c:v>
                </c:pt>
                <c:pt idx="125">
                  <c:v>6.8358101604681726E-2</c:v>
                </c:pt>
                <c:pt idx="126">
                  <c:v>6.840079837618844E-2</c:v>
                </c:pt>
                <c:pt idx="127">
                  <c:v>6.8443904804351557E-2</c:v>
                </c:pt>
                <c:pt idx="128">
                  <c:v>6.8487418534822486E-2</c:v>
                </c:pt>
                <c:pt idx="129">
                  <c:v>6.8531337213252622E-2</c:v>
                </c:pt>
                <c:pt idx="130">
                  <c:v>6.8575658485293345E-2</c:v>
                </c:pt>
                <c:pt idx="131">
                  <c:v>6.8620379996596079E-2</c:v>
                </c:pt>
                <c:pt idx="132">
                  <c:v>6.8665499392812218E-2</c:v>
                </c:pt>
                <c:pt idx="133">
                  <c:v>6.8711014319593172E-2</c:v>
                </c:pt>
                <c:pt idx="134">
                  <c:v>6.8756922422590308E-2</c:v>
                </c:pt>
                <c:pt idx="135">
                  <c:v>6.8803221347455062E-2</c:v>
                </c:pt>
                <c:pt idx="136">
                  <c:v>6.8849908739838817E-2</c:v>
                </c:pt>
                <c:pt idx="137">
                  <c:v>6.8896982245392965E-2</c:v>
                </c:pt>
                <c:pt idx="138">
                  <c:v>6.8944439509768932E-2</c:v>
                </c:pt>
                <c:pt idx="139">
                  <c:v>6.8992278178618097E-2</c:v>
                </c:pt>
                <c:pt idx="140">
                  <c:v>6.9040495897591869E-2</c:v>
                </c:pt>
                <c:pt idx="141">
                  <c:v>6.9089090312341631E-2</c:v>
                </c:pt>
                <c:pt idx="142">
                  <c:v>6.9138059068518817E-2</c:v>
                </c:pt>
                <c:pt idx="143">
                  <c:v>6.9187399811774783E-2</c:v>
                </c:pt>
                <c:pt idx="144">
                  <c:v>6.9237110187760964E-2</c:v>
                </c:pt>
                <c:pt idx="145">
                  <c:v>6.9287187842128756E-2</c:v>
                </c:pt>
                <c:pt idx="146">
                  <c:v>6.9337630420529539E-2</c:v>
                </c:pt>
                <c:pt idx="147">
                  <c:v>6.9388435568614737E-2</c:v>
                </c:pt>
                <c:pt idx="148">
                  <c:v>6.943960093203573E-2</c:v>
                </c:pt>
                <c:pt idx="149">
                  <c:v>6.9491124156443929E-2</c:v>
                </c:pt>
                <c:pt idx="150">
                  <c:v>6.9543002887490726E-2</c:v>
                </c:pt>
                <c:pt idx="151">
                  <c:v>6.9595234770827533E-2</c:v>
                </c:pt>
                <c:pt idx="152">
                  <c:v>6.9647817452105742E-2</c:v>
                </c:pt>
                <c:pt idx="153">
                  <c:v>6.9700748576976751E-2</c:v>
                </c:pt>
                <c:pt idx="154">
                  <c:v>6.9754025791091967E-2</c:v>
                </c:pt>
                <c:pt idx="155">
                  <c:v>6.9807646740102786E-2</c:v>
                </c:pt>
                <c:pt idx="156">
                  <c:v>6.9861609069660602E-2</c:v>
                </c:pt>
                <c:pt idx="157">
                  <c:v>6.9915910425416838E-2</c:v>
                </c:pt>
                <c:pt idx="158">
                  <c:v>6.9970548453022863E-2</c:v>
                </c:pt>
                <c:pt idx="159">
                  <c:v>7.0025520798130084E-2</c:v>
                </c:pt>
                <c:pt idx="160">
                  <c:v>7.0080825106389924E-2</c:v>
                </c:pt>
                <c:pt idx="161">
                  <c:v>7.0136459023453751E-2</c:v>
                </c:pt>
                <c:pt idx="162">
                  <c:v>7.0192420194973001E-2</c:v>
                </c:pt>
                <c:pt idx="163">
                  <c:v>7.0248706266599042E-2</c:v>
                </c:pt>
                <c:pt idx="164">
                  <c:v>7.0305314883983283E-2</c:v>
                </c:pt>
                <c:pt idx="165">
                  <c:v>7.0362243692777132E-2</c:v>
                </c:pt>
                <c:pt idx="166">
                  <c:v>7.0419490338631985E-2</c:v>
                </c:pt>
                <c:pt idx="167">
                  <c:v>7.0477052467199236E-2</c:v>
                </c:pt>
                <c:pt idx="168">
                  <c:v>7.0534927724130295E-2</c:v>
                </c:pt>
                <c:pt idx="169">
                  <c:v>7.0593113755076556E-2</c:v>
                </c:pt>
                <c:pt idx="170">
                  <c:v>7.0651608205689415E-2</c:v>
                </c:pt>
                <c:pt idx="171">
                  <c:v>7.071040872162028E-2</c:v>
                </c:pt>
                <c:pt idx="172">
                  <c:v>7.0769512948520547E-2</c:v>
                </c:pt>
                <c:pt idx="173">
                  <c:v>7.0828918532041624E-2</c:v>
                </c:pt>
                <c:pt idx="174">
                  <c:v>7.0888623117834892E-2</c:v>
                </c:pt>
                <c:pt idx="175">
                  <c:v>7.0948624351551776E-2</c:v>
                </c:pt>
                <c:pt idx="176">
                  <c:v>7.100891987884364E-2</c:v>
                </c:pt>
                <c:pt idx="177">
                  <c:v>7.1069507345361924E-2</c:v>
                </c:pt>
                <c:pt idx="178">
                  <c:v>7.113038439675802E-2</c:v>
                </c:pt>
                <c:pt idx="179">
                  <c:v>7.1191548678683297E-2</c:v>
                </c:pt>
                <c:pt idx="180">
                  <c:v>7.1252997836789192E-2</c:v>
                </c:pt>
                <c:pt idx="181">
                  <c:v>7.1314729516727085E-2</c:v>
                </c:pt>
                <c:pt idx="182">
                  <c:v>7.1376741364148372E-2</c:v>
                </c:pt>
                <c:pt idx="183">
                  <c:v>7.1439031024704475E-2</c:v>
                </c:pt>
                <c:pt idx="184">
                  <c:v>7.1501596144046775E-2</c:v>
                </c:pt>
                <c:pt idx="185">
                  <c:v>7.1564434367826682E-2</c:v>
                </c:pt>
                <c:pt idx="186">
                  <c:v>7.162754334169559E-2</c:v>
                </c:pt>
                <c:pt idx="187">
                  <c:v>7.1690920711304895E-2</c:v>
                </c:pt>
                <c:pt idx="188">
                  <c:v>7.1754564122306005E-2</c:v>
                </c:pt>
                <c:pt idx="189">
                  <c:v>7.1818471220350316E-2</c:v>
                </c:pt>
                <c:pt idx="190">
                  <c:v>7.1882639651089222E-2</c:v>
                </c:pt>
                <c:pt idx="191">
                  <c:v>7.1947067060174147E-2</c:v>
                </c:pt>
                <c:pt idx="192">
                  <c:v>7.2011751093256471E-2</c:v>
                </c:pt>
                <c:pt idx="193">
                  <c:v>7.2076689395987589E-2</c:v>
                </c:pt>
                <c:pt idx="194">
                  <c:v>7.2141879614018911E-2</c:v>
                </c:pt>
                <c:pt idx="195">
                  <c:v>7.2207319393001845E-2</c:v>
                </c:pt>
                <c:pt idx="196">
                  <c:v>7.2273006378587773E-2</c:v>
                </c:pt>
                <c:pt idx="197">
                  <c:v>7.2338938216428103E-2</c:v>
                </c:pt>
                <c:pt idx="198">
                  <c:v>7.2405112552174231E-2</c:v>
                </c:pt>
                <c:pt idx="199">
                  <c:v>7.2471527031477564E-2</c:v>
                </c:pt>
                <c:pt idx="200">
                  <c:v>7.25381792999895E-2</c:v>
                </c:pt>
                <c:pt idx="201">
                  <c:v>7.2605067003361445E-2</c:v>
                </c:pt>
                <c:pt idx="202">
                  <c:v>7.2672187787244782E-2</c:v>
                </c:pt>
                <c:pt idx="203">
                  <c:v>7.2739539297290934E-2</c:v>
                </c:pt>
                <c:pt idx="204">
                  <c:v>7.2807119179151281E-2</c:v>
                </c:pt>
                <c:pt idx="205">
                  <c:v>7.2874925078477232E-2</c:v>
                </c:pt>
                <c:pt idx="206">
                  <c:v>7.2942954640920182E-2</c:v>
                </c:pt>
                <c:pt idx="207">
                  <c:v>7.3011205512131527E-2</c:v>
                </c:pt>
                <c:pt idx="208">
                  <c:v>7.307967533776269E-2</c:v>
                </c:pt>
                <c:pt idx="209">
                  <c:v>7.3148361763465036E-2</c:v>
                </c:pt>
                <c:pt idx="210">
                  <c:v>7.3217262434890004E-2</c:v>
                </c:pt>
                <c:pt idx="211">
                  <c:v>7.3286374997688961E-2</c:v>
                </c:pt>
                <c:pt idx="212">
                  <c:v>7.3355697097513328E-2</c:v>
                </c:pt>
                <c:pt idx="213">
                  <c:v>7.3425226380014488E-2</c:v>
                </c:pt>
                <c:pt idx="214">
                  <c:v>7.349496049084385E-2</c:v>
                </c:pt>
                <c:pt idx="215">
                  <c:v>7.3564897075652821E-2</c:v>
                </c:pt>
                <c:pt idx="216">
                  <c:v>7.3635033780092798E-2</c:v>
                </c:pt>
                <c:pt idx="217">
                  <c:v>7.3705368249815162E-2</c:v>
                </c:pt>
                <c:pt idx="218">
                  <c:v>7.3775898130471335E-2</c:v>
                </c:pt>
                <c:pt idx="219">
                  <c:v>7.3846621067712712E-2</c:v>
                </c:pt>
                <c:pt idx="220">
                  <c:v>7.3917534707190688E-2</c:v>
                </c:pt>
                <c:pt idx="221">
                  <c:v>7.3988636694556673E-2</c:v>
                </c:pt>
                <c:pt idx="222">
                  <c:v>7.4059924675462047E-2</c:v>
                </c:pt>
                <c:pt idx="223">
                  <c:v>7.4131396295558233E-2</c:v>
                </c:pt>
                <c:pt idx="224">
                  <c:v>7.4203049200496626E-2</c:v>
                </c:pt>
                <c:pt idx="225">
                  <c:v>7.4274881035928608E-2</c:v>
                </c:pt>
                <c:pt idx="226">
                  <c:v>7.4346889447505601E-2</c:v>
                </c:pt>
                <c:pt idx="227">
                  <c:v>7.4419072080878987E-2</c:v>
                </c:pt>
                <c:pt idx="228">
                  <c:v>7.4491426581700174E-2</c:v>
                </c:pt>
                <c:pt idx="229">
                  <c:v>7.4563950595620571E-2</c:v>
                </c:pt>
                <c:pt idx="230">
                  <c:v>7.4636641768291559E-2</c:v>
                </c:pt>
                <c:pt idx="231">
                  <c:v>7.4709497745364561E-2</c:v>
                </c:pt>
                <c:pt idx="232">
                  <c:v>7.4782516172490959E-2</c:v>
                </c:pt>
                <c:pt idx="233">
                  <c:v>7.4855694695322147E-2</c:v>
                </c:pt>
                <c:pt idx="234">
                  <c:v>7.4929030959509549E-2</c:v>
                </c:pt>
                <c:pt idx="235">
                  <c:v>7.5002522610704558E-2</c:v>
                </c:pt>
                <c:pt idx="236">
                  <c:v>7.5076167294558557E-2</c:v>
                </c:pt>
                <c:pt idx="237">
                  <c:v>7.5149962656722955E-2</c:v>
                </c:pt>
                <c:pt idx="238">
                  <c:v>7.5223906342849173E-2</c:v>
                </c:pt>
                <c:pt idx="239">
                  <c:v>7.5297995998588579E-2</c:v>
                </c:pt>
                <c:pt idx="240">
                  <c:v>7.5372229269592583E-2</c:v>
                </c:pt>
                <c:pt idx="241">
                  <c:v>7.5446603801512593E-2</c:v>
                </c:pt>
                <c:pt idx="242">
                  <c:v>7.5521117240000005E-2</c:v>
                </c:pt>
                <c:pt idx="243">
                  <c:v>7.5595767230706212E-2</c:v>
                </c:pt>
                <c:pt idx="244">
                  <c:v>7.5670551419282625E-2</c:v>
                </c:pt>
                <c:pt idx="245">
                  <c:v>7.5745467451380652E-2</c:v>
                </c:pt>
                <c:pt idx="246">
                  <c:v>7.582051297265166E-2</c:v>
                </c:pt>
                <c:pt idx="247">
                  <c:v>7.5895685628747073E-2</c:v>
                </c:pt>
                <c:pt idx="248">
                  <c:v>7.5970983065318298E-2</c:v>
                </c:pt>
                <c:pt idx="249">
                  <c:v>7.6046402928016718E-2</c:v>
                </c:pt>
                <c:pt idx="250">
                  <c:v>7.6121942862493741E-2</c:v>
                </c:pt>
                <c:pt idx="251">
                  <c:v>7.6197600514400762E-2</c:v>
                </c:pt>
                <c:pt idx="252">
                  <c:v>7.6273373529389177E-2</c:v>
                </c:pt>
                <c:pt idx="253">
                  <c:v>7.6349259553110407E-2</c:v>
                </c:pt>
                <c:pt idx="254">
                  <c:v>7.6425256231215835E-2</c:v>
                </c:pt>
                <c:pt idx="255">
                  <c:v>7.6501361209356855E-2</c:v>
                </c:pt>
                <c:pt idx="256">
                  <c:v>7.657757213318489E-2</c:v>
                </c:pt>
                <c:pt idx="257">
                  <c:v>7.6653886648351321E-2</c:v>
                </c:pt>
                <c:pt idx="258">
                  <c:v>7.6730302400507544E-2</c:v>
                </c:pt>
                <c:pt idx="259">
                  <c:v>7.6806817035304981E-2</c:v>
                </c:pt>
                <c:pt idx="260">
                  <c:v>7.6883428198394999E-2</c:v>
                </c:pt>
                <c:pt idx="261">
                  <c:v>7.6960133535429034E-2</c:v>
                </c:pt>
                <c:pt idx="262">
                  <c:v>7.703693069205847E-2</c:v>
                </c:pt>
                <c:pt idx="263">
                  <c:v>7.7113817313934713E-2</c:v>
                </c:pt>
                <c:pt idx="264">
                  <c:v>7.7190791046709131E-2</c:v>
                </c:pt>
                <c:pt idx="265">
                  <c:v>7.7267849536033176E-2</c:v>
                </c:pt>
                <c:pt idx="266">
                  <c:v>7.7344990427558213E-2</c:v>
                </c:pt>
                <c:pt idx="267">
                  <c:v>7.7422211366935639E-2</c:v>
                </c:pt>
                <c:pt idx="268">
                  <c:v>7.749950999981689E-2</c:v>
                </c:pt>
                <c:pt idx="269">
                  <c:v>7.7576883971853319E-2</c:v>
                </c:pt>
                <c:pt idx="270">
                  <c:v>7.7654330928696363E-2</c:v>
                </c:pt>
                <c:pt idx="271">
                  <c:v>7.7731848515997404E-2</c:v>
                </c:pt>
                <c:pt idx="272">
                  <c:v>7.7809434379407835E-2</c:v>
                </c:pt>
                <c:pt idx="273">
                  <c:v>7.7887086164579081E-2</c:v>
                </c:pt>
                <c:pt idx="274">
                  <c:v>7.7964801517162521E-2</c:v>
                </c:pt>
                <c:pt idx="275">
                  <c:v>7.8042578082809566E-2</c:v>
                </c:pt>
                <c:pt idx="276">
                  <c:v>7.812041350717161E-2</c:v>
                </c:pt>
                <c:pt idx="277">
                  <c:v>7.8198305435900048E-2</c:v>
                </c:pt>
                <c:pt idx="278">
                  <c:v>7.8276251514646303E-2</c:v>
                </c:pt>
                <c:pt idx="279">
                  <c:v>7.8354249389061742E-2</c:v>
                </c:pt>
                <c:pt idx="280">
                  <c:v>7.8432296704797788E-2</c:v>
                </c:pt>
                <c:pt idx="281">
                  <c:v>7.8510391107505836E-2</c:v>
                </c:pt>
                <c:pt idx="282">
                  <c:v>7.8588530242837268E-2</c:v>
                </c:pt>
                <c:pt idx="283">
                  <c:v>7.8666711756443519E-2</c:v>
                </c:pt>
                <c:pt idx="284">
                  <c:v>7.8744933293975972E-2</c:v>
                </c:pt>
                <c:pt idx="285">
                  <c:v>7.882319250108602E-2</c:v>
                </c:pt>
                <c:pt idx="286">
                  <c:v>7.890148702342506E-2</c:v>
                </c:pt>
                <c:pt idx="287">
                  <c:v>7.8979814506644513E-2</c:v>
                </c:pt>
                <c:pt idx="288">
                  <c:v>7.9058172596395762E-2</c:v>
                </c:pt>
                <c:pt idx="289">
                  <c:v>7.9136558938330215E-2</c:v>
                </c:pt>
                <c:pt idx="290">
                  <c:v>7.9214971178099253E-2</c:v>
                </c:pt>
                <c:pt idx="291">
                  <c:v>7.9293406961354312E-2</c:v>
                </c:pt>
                <c:pt idx="292">
                  <c:v>7.9371863933746761E-2</c:v>
                </c:pt>
                <c:pt idx="293">
                  <c:v>7.9450339740928008E-2</c:v>
                </c:pt>
                <c:pt idx="294">
                  <c:v>7.9528832028549448E-2</c:v>
                </c:pt>
                <c:pt idx="295">
                  <c:v>7.9607338442262504E-2</c:v>
                </c:pt>
                <c:pt idx="296">
                  <c:v>7.9685856627718557E-2</c:v>
                </c:pt>
                <c:pt idx="297">
                  <c:v>7.9764384230569002E-2</c:v>
                </c:pt>
                <c:pt idx="298">
                  <c:v>7.9842918896465262E-2</c:v>
                </c:pt>
                <c:pt idx="299">
                  <c:v>7.9921458271058704E-2</c:v>
                </c:pt>
                <c:pt idx="300">
                  <c:v>8.0000000000000751E-2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2C-BD4A-9113-16494D2F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4C-2F4A-8A4D-D0A54EC182E9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CubicSpline_YC_Optim!$E$100:$E$400</c:f>
              <c:numCache>
                <c:formatCode>0.00%</c:formatCode>
                <c:ptCount val="301"/>
                <c:pt idx="0">
                  <c:v>-5.8829694944846243E-7</c:v>
                </c:pt>
                <c:pt idx="1">
                  <c:v>1.0694010842698678E-3</c:v>
                </c:pt>
                <c:pt idx="2">
                  <c:v>2.3900186088378528E-3</c:v>
                </c:pt>
                <c:pt idx="3">
                  <c:v>4.0191015406041983E-3</c:v>
                </c:pt>
                <c:pt idx="4">
                  <c:v>6.0144871434185988E-3</c:v>
                </c:pt>
                <c:pt idx="5">
                  <c:v>8.434012681130745E-3</c:v>
                </c:pt>
                <c:pt idx="6">
                  <c:v>1.1335515417590333E-2</c:v>
                </c:pt>
                <c:pt idx="7">
                  <c:v>1.4776832616647051E-2</c:v>
                </c:pt>
                <c:pt idx="8">
                  <c:v>1.8815801542150602E-2</c:v>
                </c:pt>
                <c:pt idx="9">
                  <c:v>2.3510259457950662E-2</c:v>
                </c:pt>
                <c:pt idx="10">
                  <c:v>1.4171324913022434E-2</c:v>
                </c:pt>
                <c:pt idx="11">
                  <c:v>1.5814821678283405E-2</c:v>
                </c:pt>
                <c:pt idx="12">
                  <c:v>1.7623509777488552E-2</c:v>
                </c:pt>
                <c:pt idx="13">
                  <c:v>1.9606186988430925E-2</c:v>
                </c:pt>
                <c:pt idx="14">
                  <c:v>2.1771651088903568E-2</c:v>
                </c:pt>
                <c:pt idx="15">
                  <c:v>2.4128699856699538E-2</c:v>
                </c:pt>
                <c:pt idx="16">
                  <c:v>2.6686131069611881E-2</c:v>
                </c:pt>
                <c:pt idx="17">
                  <c:v>2.9452742505433626E-2</c:v>
                </c:pt>
                <c:pt idx="18">
                  <c:v>3.2437331941957845E-2</c:v>
                </c:pt>
                <c:pt idx="19">
                  <c:v>3.5648697156977577E-2</c:v>
                </c:pt>
                <c:pt idx="20">
                  <c:v>3.5138657720086279E-2</c:v>
                </c:pt>
                <c:pt idx="21">
                  <c:v>3.7131580235566147E-2</c:v>
                </c:pt>
                <c:pt idx="22">
                  <c:v>3.9186392923636744E-2</c:v>
                </c:pt>
                <c:pt idx="23">
                  <c:v>4.1302992030313568E-2</c:v>
                </c:pt>
                <c:pt idx="24">
                  <c:v>4.3481273801612139E-2</c:v>
                </c:pt>
                <c:pt idx="25">
                  <c:v>4.5721134483547948E-2</c:v>
                </c:pt>
                <c:pt idx="26">
                  <c:v>4.8022470322136496E-2</c:v>
                </c:pt>
                <c:pt idx="27">
                  <c:v>5.0385177563393307E-2</c:v>
                </c:pt>
                <c:pt idx="28">
                  <c:v>5.2809152453333848E-2</c:v>
                </c:pt>
                <c:pt idx="29">
                  <c:v>5.5294291237973664E-2</c:v>
                </c:pt>
                <c:pt idx="30">
                  <c:v>4.0606542525608039E-2</c:v>
                </c:pt>
                <c:pt idx="31">
                  <c:v>4.2150106003778026E-2</c:v>
                </c:pt>
                <c:pt idx="32">
                  <c:v>4.3734737110745082E-2</c:v>
                </c:pt>
                <c:pt idx="33">
                  <c:v>4.5361301271642354E-2</c:v>
                </c:pt>
                <c:pt idx="34">
                  <c:v>4.7030663911603002E-2</c:v>
                </c:pt>
                <c:pt idx="35">
                  <c:v>4.8743690455760158E-2</c:v>
                </c:pt>
                <c:pt idx="36">
                  <c:v>5.0501246329246977E-2</c:v>
                </c:pt>
                <c:pt idx="37">
                  <c:v>5.2304196957196597E-2</c:v>
                </c:pt>
                <c:pt idx="38">
                  <c:v>5.4153407764742159E-2</c:v>
                </c:pt>
                <c:pt idx="39">
                  <c:v>5.6049744177016823E-2</c:v>
                </c:pt>
                <c:pt idx="40">
                  <c:v>4.7605921251351442E-2</c:v>
                </c:pt>
                <c:pt idx="41">
                  <c:v>4.8608583561805502E-2</c:v>
                </c:pt>
                <c:pt idx="42">
                  <c:v>4.9606813951797224E-2</c:v>
                </c:pt>
                <c:pt idx="43">
                  <c:v>5.0600127595653695E-2</c:v>
                </c:pt>
                <c:pt idx="44">
                  <c:v>5.1588039667702014E-2</c:v>
                </c:pt>
                <c:pt idx="45">
                  <c:v>5.2570065342269261E-2</c:v>
                </c:pt>
                <c:pt idx="46">
                  <c:v>5.3545719793682535E-2</c:v>
                </c:pt>
                <c:pt idx="47">
                  <c:v>5.451451819626893E-2</c:v>
                </c:pt>
                <c:pt idx="48">
                  <c:v>5.5475975724355524E-2</c:v>
                </c:pt>
                <c:pt idx="49">
                  <c:v>5.642960755226941E-2</c:v>
                </c:pt>
                <c:pt idx="50">
                  <c:v>4.938641839179482E-2</c:v>
                </c:pt>
                <c:pt idx="51">
                  <c:v>5.0119371280569744E-2</c:v>
                </c:pt>
                <c:pt idx="52">
                  <c:v>5.0847414841411316E-2</c:v>
                </c:pt>
                <c:pt idx="53">
                  <c:v>5.1570411652793351E-2</c:v>
                </c:pt>
                <c:pt idx="54">
                  <c:v>5.228822429318971E-2</c:v>
                </c:pt>
                <c:pt idx="55">
                  <c:v>5.3000715341074207E-2</c:v>
                </c:pt>
                <c:pt idx="56">
                  <c:v>5.3707747374920699E-2</c:v>
                </c:pt>
                <c:pt idx="57">
                  <c:v>5.4409182973203012E-2</c:v>
                </c:pt>
                <c:pt idx="58">
                  <c:v>5.5104884714394987E-2</c:v>
                </c:pt>
                <c:pt idx="59">
                  <c:v>5.5794715176970468E-2</c:v>
                </c:pt>
                <c:pt idx="60">
                  <c:v>5.6478536939403287E-2</c:v>
                </c:pt>
                <c:pt idx="61">
                  <c:v>5.7156212580167273E-2</c:v>
                </c:pt>
                <c:pt idx="62">
                  <c:v>5.7827604677736288E-2</c:v>
                </c:pt>
                <c:pt idx="63">
                  <c:v>5.849257581058414E-2</c:v>
                </c:pt>
                <c:pt idx="64">
                  <c:v>5.9150988557184682E-2</c:v>
                </c:pt>
                <c:pt idx="65">
                  <c:v>5.980270549601175E-2</c:v>
                </c:pt>
                <c:pt idx="66">
                  <c:v>6.0447589205539179E-2</c:v>
                </c:pt>
                <c:pt idx="67">
                  <c:v>6.1085502264240817E-2</c:v>
                </c:pt>
                <c:pt idx="68">
                  <c:v>6.1716307250590491E-2</c:v>
                </c:pt>
                <c:pt idx="69">
                  <c:v>6.2339866743062043E-2</c:v>
                </c:pt>
                <c:pt idx="70">
                  <c:v>5.6733211202020149E-2</c:v>
                </c:pt>
                <c:pt idx="71">
                  <c:v>5.7427542188259392E-2</c:v>
                </c:pt>
                <c:pt idx="72">
                  <c:v>5.8122843963081053E-2</c:v>
                </c:pt>
                <c:pt idx="73">
                  <c:v>5.8819124605721342E-2</c:v>
                </c:pt>
                <c:pt idx="74">
                  <c:v>5.9516392195416469E-2</c:v>
                </c:pt>
                <c:pt idx="75">
                  <c:v>6.0214654811402667E-2</c:v>
                </c:pt>
                <c:pt idx="76">
                  <c:v>6.0913920532916138E-2</c:v>
                </c:pt>
                <c:pt idx="77">
                  <c:v>6.1614197439193108E-2</c:v>
                </c:pt>
                <c:pt idx="78">
                  <c:v>6.231549360946978E-2</c:v>
                </c:pt>
                <c:pt idx="79">
                  <c:v>6.3017817122982378E-2</c:v>
                </c:pt>
                <c:pt idx="80">
                  <c:v>6.3721176058967127E-2</c:v>
                </c:pt>
                <c:pt idx="81">
                  <c:v>6.442557849666021E-2</c:v>
                </c:pt>
                <c:pt idx="82">
                  <c:v>6.5131032515297879E-2</c:v>
                </c:pt>
                <c:pt idx="83">
                  <c:v>6.5837546194116331E-2</c:v>
                </c:pt>
                <c:pt idx="84">
                  <c:v>6.654512761235179E-2</c:v>
                </c:pt>
                <c:pt idx="85">
                  <c:v>6.7253784849240453E-2</c:v>
                </c:pt>
                <c:pt idx="86">
                  <c:v>6.7963525984018558E-2</c:v>
                </c:pt>
                <c:pt idx="87">
                  <c:v>6.8674359095922288E-2</c:v>
                </c:pt>
                <c:pt idx="88">
                  <c:v>6.9386292264187924E-2</c:v>
                </c:pt>
                <c:pt idx="89">
                  <c:v>7.0099333568051606E-2</c:v>
                </c:pt>
                <c:pt idx="90">
                  <c:v>7.08134910867496E-2</c:v>
                </c:pt>
                <c:pt idx="91">
                  <c:v>7.1528772899518089E-2</c:v>
                </c:pt>
                <c:pt idx="92">
                  <c:v>7.2245187085593313E-2</c:v>
                </c:pt>
                <c:pt idx="93">
                  <c:v>7.296274172421148E-2</c:v>
                </c:pt>
                <c:pt idx="94">
                  <c:v>7.3681444894608802E-2</c:v>
                </c:pt>
                <c:pt idx="95">
                  <c:v>7.440130467602149E-2</c:v>
                </c:pt>
                <c:pt idx="96">
                  <c:v>7.5122329147685768E-2</c:v>
                </c:pt>
                <c:pt idx="97">
                  <c:v>7.584452638883786E-2</c:v>
                </c:pt>
                <c:pt idx="98">
                  <c:v>7.656790447871395E-2</c:v>
                </c:pt>
                <c:pt idx="99">
                  <c:v>7.7292471496550288E-2</c:v>
                </c:pt>
                <c:pt idx="100">
                  <c:v>7.2977427273393639E-2</c:v>
                </c:pt>
                <c:pt idx="101">
                  <c:v>7.3789944503083627E-2</c:v>
                </c:pt>
                <c:pt idx="102">
                  <c:v>7.4602217691051312E-2</c:v>
                </c:pt>
                <c:pt idx="103">
                  <c:v>7.5414132139774756E-2</c:v>
                </c:pt>
                <c:pt idx="104">
                  <c:v>7.6225573151732048E-2</c:v>
                </c:pt>
                <c:pt idx="105">
                  <c:v>7.7036426029401278E-2</c:v>
                </c:pt>
                <c:pt idx="106">
                  <c:v>7.7846576075260535E-2</c:v>
                </c:pt>
                <c:pt idx="107">
                  <c:v>7.8655908591787865E-2</c:v>
                </c:pt>
                <c:pt idx="108">
                  <c:v>7.9464308881461415E-2</c:v>
                </c:pt>
                <c:pt idx="109">
                  <c:v>8.0271662246759204E-2</c:v>
                </c:pt>
                <c:pt idx="110">
                  <c:v>8.1077853990159363E-2</c:v>
                </c:pt>
                <c:pt idx="111">
                  <c:v>8.1882769414139939E-2</c:v>
                </c:pt>
                <c:pt idx="112">
                  <c:v>8.2686293821179035E-2</c:v>
                </c:pt>
                <c:pt idx="113">
                  <c:v>8.3488312513754714E-2</c:v>
                </c:pt>
                <c:pt idx="114">
                  <c:v>8.4288710794345093E-2</c:v>
                </c:pt>
                <c:pt idx="115">
                  <c:v>8.5087373965428217E-2</c:v>
                </c:pt>
                <c:pt idx="116">
                  <c:v>8.5884187329482192E-2</c:v>
                </c:pt>
                <c:pt idx="117">
                  <c:v>8.6679036188985106E-2</c:v>
                </c:pt>
                <c:pt idx="118">
                  <c:v>8.7471805846415035E-2</c:v>
                </c:pt>
                <c:pt idx="119">
                  <c:v>8.826238160425004E-2</c:v>
                </c:pt>
                <c:pt idx="120">
                  <c:v>8.9050648764968238E-2</c:v>
                </c:pt>
                <c:pt idx="121">
                  <c:v>8.983649263104769E-2</c:v>
                </c:pt>
                <c:pt idx="122">
                  <c:v>9.0619798504966487E-2</c:v>
                </c:pt>
                <c:pt idx="123">
                  <c:v>9.1400451689202716E-2</c:v>
                </c:pt>
                <c:pt idx="124">
                  <c:v>9.2178337486234441E-2</c:v>
                </c:pt>
                <c:pt idx="125">
                  <c:v>9.2953341198539763E-2</c:v>
                </c:pt>
                <c:pt idx="126">
                  <c:v>9.3725348128596758E-2</c:v>
                </c:pt>
                <c:pt idx="127">
                  <c:v>9.4494243578883502E-2</c:v>
                </c:pt>
                <c:pt idx="128">
                  <c:v>9.5259912851878126E-2</c:v>
                </c:pt>
                <c:pt idx="129">
                  <c:v>9.6022241250058621E-2</c:v>
                </c:pt>
                <c:pt idx="130">
                  <c:v>9.6781114075903146E-2</c:v>
                </c:pt>
                <c:pt idx="131">
                  <c:v>9.753641663188975E-2</c:v>
                </c:pt>
                <c:pt idx="132">
                  <c:v>9.8288034220496534E-2</c:v>
                </c:pt>
                <c:pt idx="133">
                  <c:v>9.9035852144201575E-2</c:v>
                </c:pt>
                <c:pt idx="134">
                  <c:v>9.9779755705482948E-2</c:v>
                </c:pt>
                <c:pt idx="135">
                  <c:v>0.10051963020681876</c:v>
                </c:pt>
                <c:pt idx="136">
                  <c:v>0.10125536095068705</c:v>
                </c:pt>
                <c:pt idx="137">
                  <c:v>0.10198683323956592</c:v>
                </c:pt>
                <c:pt idx="138">
                  <c:v>0.1027139323759335</c:v>
                </c:pt>
                <c:pt idx="139">
                  <c:v>0.1034365436622678</c:v>
                </c:pt>
                <c:pt idx="140">
                  <c:v>0.10415455240104693</c:v>
                </c:pt>
                <c:pt idx="141">
                  <c:v>0.10486784389474899</c:v>
                </c:pt>
                <c:pt idx="142">
                  <c:v>0.10557630344585203</c:v>
                </c:pt>
                <c:pt idx="143">
                  <c:v>0.1062798163568342</c:v>
                </c:pt>
                <c:pt idx="144">
                  <c:v>0.1069782679301735</c:v>
                </c:pt>
                <c:pt idx="145">
                  <c:v>0.10767154346834806</c:v>
                </c:pt>
                <c:pt idx="146">
                  <c:v>0.10835952827383594</c:v>
                </c:pt>
                <c:pt idx="147">
                  <c:v>0.10904210764911523</c:v>
                </c:pt>
                <c:pt idx="148">
                  <c:v>0.10971916689666406</c:v>
                </c:pt>
                <c:pt idx="149">
                  <c:v>0.11039059131896042</c:v>
                </c:pt>
                <c:pt idx="150">
                  <c:v>0.11105626621848246</c:v>
                </c:pt>
                <c:pt idx="151">
                  <c:v>0.11171607689770825</c:v>
                </c:pt>
                <c:pt idx="152">
                  <c:v>0.11236990865911584</c:v>
                </c:pt>
                <c:pt idx="153">
                  <c:v>0.11301764680518339</c:v>
                </c:pt>
                <c:pt idx="154">
                  <c:v>0.11365917663838893</c:v>
                </c:pt>
                <c:pt idx="155">
                  <c:v>0.1142943834612105</c:v>
                </c:pt>
                <c:pt idx="156">
                  <c:v>0.11492315257612626</c:v>
                </c:pt>
                <c:pt idx="157">
                  <c:v>0.11554536928561428</c:v>
                </c:pt>
                <c:pt idx="158">
                  <c:v>0.1161609188921526</c:v>
                </c:pt>
                <c:pt idx="159">
                  <c:v>0.11676968669821933</c:v>
                </c:pt>
                <c:pt idx="160">
                  <c:v>0.11737155800629256</c:v>
                </c:pt>
                <c:pt idx="161">
                  <c:v>0.11796641811885036</c:v>
                </c:pt>
                <c:pt idx="162">
                  <c:v>0.11855415233837081</c:v>
                </c:pt>
                <c:pt idx="163">
                  <c:v>0.11913464596733202</c:v>
                </c:pt>
                <c:pt idx="164">
                  <c:v>0.11970778430821202</c:v>
                </c:pt>
                <c:pt idx="165">
                  <c:v>0.12027345266348898</c:v>
                </c:pt>
                <c:pt idx="166">
                  <c:v>0.12083153633564091</c:v>
                </c:pt>
                <c:pt idx="167">
                  <c:v>0.12138192062714587</c:v>
                </c:pt>
                <c:pt idx="168">
                  <c:v>0.12192449084048201</c:v>
                </c:pt>
                <c:pt idx="169">
                  <c:v>0.12245913227812737</c:v>
                </c:pt>
                <c:pt idx="170">
                  <c:v>0.1229857302425601</c:v>
                </c:pt>
                <c:pt idx="171">
                  <c:v>0.12350417003625819</c:v>
                </c:pt>
                <c:pt idx="172">
                  <c:v>0.12401433696169978</c:v>
                </c:pt>
                <c:pt idx="173">
                  <c:v>0.12451611632136295</c:v>
                </c:pt>
                <c:pt idx="174">
                  <c:v>0.12500939341772571</c:v>
                </c:pt>
                <c:pt idx="175">
                  <c:v>0.12549405355326629</c:v>
                </c:pt>
                <c:pt idx="176">
                  <c:v>0.12596998203046264</c:v>
                </c:pt>
                <c:pt idx="177">
                  <c:v>0.1264370641517929</c:v>
                </c:pt>
                <c:pt idx="178">
                  <c:v>0.12689518521973514</c:v>
                </c:pt>
                <c:pt idx="179">
                  <c:v>0.12734423053676747</c:v>
                </c:pt>
                <c:pt idx="180">
                  <c:v>0.12778408540536793</c:v>
                </c:pt>
                <c:pt idx="181">
                  <c:v>0.12821463512801462</c:v>
                </c:pt>
                <c:pt idx="182">
                  <c:v>0.1286357650071856</c:v>
                </c:pt>
                <c:pt idx="183">
                  <c:v>0.12904736034535902</c:v>
                </c:pt>
                <c:pt idx="184">
                  <c:v>0.12944930644501287</c:v>
                </c:pt>
                <c:pt idx="185">
                  <c:v>0.12984148860862532</c:v>
                </c:pt>
                <c:pt idx="186">
                  <c:v>0.13022379213867441</c:v>
                </c:pt>
                <c:pt idx="187">
                  <c:v>0.13059610233763824</c:v>
                </c:pt>
                <c:pt idx="188">
                  <c:v>0.13095830450799487</c:v>
                </c:pt>
                <c:pt idx="189">
                  <c:v>0.13131028395222236</c:v>
                </c:pt>
                <c:pt idx="190">
                  <c:v>0.13165192597279887</c:v>
                </c:pt>
                <c:pt idx="191">
                  <c:v>0.13198311587220243</c:v>
                </c:pt>
                <c:pt idx="192">
                  <c:v>0.13230373895291112</c:v>
                </c:pt>
                <c:pt idx="193">
                  <c:v>0.13261368051740305</c:v>
                </c:pt>
                <c:pt idx="194">
                  <c:v>0.13291282586815628</c:v>
                </c:pt>
                <c:pt idx="195">
                  <c:v>0.13320106030764892</c:v>
                </c:pt>
                <c:pt idx="196">
                  <c:v>0.13347826913835906</c:v>
                </c:pt>
                <c:pt idx="197">
                  <c:v>0.13374433766276467</c:v>
                </c:pt>
                <c:pt idx="198">
                  <c:v>0.13399915118334396</c:v>
                </c:pt>
                <c:pt idx="199">
                  <c:v>0.13424259500257499</c:v>
                </c:pt>
                <c:pt idx="200">
                  <c:v>0.13447455442293582</c:v>
                </c:pt>
                <c:pt idx="201">
                  <c:v>0.13469491474690454</c:v>
                </c:pt>
                <c:pt idx="202">
                  <c:v>0.13490356127695921</c:v>
                </c:pt>
                <c:pt idx="203">
                  <c:v>0.13510037931557795</c:v>
                </c:pt>
                <c:pt idx="204">
                  <c:v>0.13528525416523884</c:v>
                </c:pt>
                <c:pt idx="205">
                  <c:v>0.13545807112841995</c:v>
                </c:pt>
                <c:pt idx="206">
                  <c:v>0.13561871550759932</c:v>
                </c:pt>
                <c:pt idx="207">
                  <c:v>0.13576707260525511</c:v>
                </c:pt>
                <c:pt idx="208">
                  <c:v>0.13590302772386537</c:v>
                </c:pt>
                <c:pt idx="209">
                  <c:v>0.13602646616590822</c:v>
                </c:pt>
                <c:pt idx="210">
                  <c:v>0.13613727323386163</c:v>
                </c:pt>
                <c:pt idx="211">
                  <c:v>0.13623533423020381</c:v>
                </c:pt>
                <c:pt idx="212">
                  <c:v>0.13632053445741274</c:v>
                </c:pt>
                <c:pt idx="213">
                  <c:v>0.13639275921796654</c:v>
                </c:pt>
                <c:pt idx="214">
                  <c:v>0.13645189381434336</c:v>
                </c:pt>
                <c:pt idx="215">
                  <c:v>0.13649782354902121</c:v>
                </c:pt>
                <c:pt idx="216">
                  <c:v>0.13653043372447821</c:v>
                </c:pt>
                <c:pt idx="217">
                  <c:v>0.13654960964319238</c:v>
                </c:pt>
                <c:pt idx="218">
                  <c:v>0.13655523660764188</c:v>
                </c:pt>
                <c:pt idx="219">
                  <c:v>0.13654719992030476</c:v>
                </c:pt>
                <c:pt idx="220">
                  <c:v>0.13652538488365912</c:v>
                </c:pt>
                <c:pt idx="221">
                  <c:v>0.13648967680018298</c:v>
                </c:pt>
                <c:pt idx="222">
                  <c:v>0.13643996097235453</c:v>
                </c:pt>
                <c:pt idx="223">
                  <c:v>0.13637612270265173</c:v>
                </c:pt>
                <c:pt idx="224">
                  <c:v>0.13629804729355274</c:v>
                </c:pt>
                <c:pt idx="225">
                  <c:v>0.13620562004753564</c:v>
                </c:pt>
                <c:pt idx="226">
                  <c:v>0.1360987262670785</c:v>
                </c:pt>
                <c:pt idx="227">
                  <c:v>0.13597725125465934</c:v>
                </c:pt>
                <c:pt idx="228">
                  <c:v>0.13584108031275638</c:v>
                </c:pt>
                <c:pt idx="229">
                  <c:v>0.13569009874384766</c:v>
                </c:pt>
                <c:pt idx="230">
                  <c:v>0.13552419185041112</c:v>
                </c:pt>
                <c:pt idx="231">
                  <c:v>0.13534324493492503</c:v>
                </c:pt>
                <c:pt idx="232">
                  <c:v>0.13514714329986738</c:v>
                </c:pt>
                <c:pt idx="233">
                  <c:v>0.13493577224771625</c:v>
                </c:pt>
                <c:pt idx="234">
                  <c:v>0.13470901708094976</c:v>
                </c:pt>
                <c:pt idx="235">
                  <c:v>0.13446676310204603</c:v>
                </c:pt>
                <c:pt idx="236">
                  <c:v>0.13420889561348304</c:v>
                </c:pt>
                <c:pt idx="237">
                  <c:v>0.13393529991773884</c:v>
                </c:pt>
                <c:pt idx="238">
                  <c:v>0.1336458613172917</c:v>
                </c:pt>
                <c:pt idx="239">
                  <c:v>0.13334046511461956</c:v>
                </c:pt>
                <c:pt idx="240">
                  <c:v>0.13301899661220054</c:v>
                </c:pt>
                <c:pt idx="241">
                  <c:v>0.13268134111251273</c:v>
                </c:pt>
                <c:pt idx="242">
                  <c:v>0.1323273839180342</c:v>
                </c:pt>
                <c:pt idx="243">
                  <c:v>0.13195701033124307</c:v>
                </c:pt>
                <c:pt idx="244">
                  <c:v>0.13157010565461738</c:v>
                </c:pt>
                <c:pt idx="245">
                  <c:v>0.13116655519063519</c:v>
                </c:pt>
                <c:pt idx="246">
                  <c:v>0.13074624424177464</c:v>
                </c:pt>
                <c:pt idx="247">
                  <c:v>0.1303090581105138</c:v>
                </c:pt>
                <c:pt idx="248">
                  <c:v>0.12985488209933069</c:v>
                </c:pt>
                <c:pt idx="249">
                  <c:v>0.12938360151070347</c:v>
                </c:pt>
                <c:pt idx="250">
                  <c:v>0.12889510164711021</c:v>
                </c:pt>
                <c:pt idx="251">
                  <c:v>0.12838926781102897</c:v>
                </c:pt>
                <c:pt idx="252">
                  <c:v>0.12786598530493787</c:v>
                </c:pt>
                <c:pt idx="253">
                  <c:v>0.12732513943131493</c:v>
                </c:pt>
                <c:pt idx="254">
                  <c:v>0.12676661549263835</c:v>
                </c:pt>
                <c:pt idx="255">
                  <c:v>0.12619029879138602</c:v>
                </c:pt>
                <c:pt idx="256">
                  <c:v>0.12559607463003625</c:v>
                </c:pt>
                <c:pt idx="257">
                  <c:v>0.12498382831106689</c:v>
                </c:pt>
                <c:pt idx="258">
                  <c:v>0.12435344513695623</c:v>
                </c:pt>
                <c:pt idx="259">
                  <c:v>0.12370481041018219</c:v>
                </c:pt>
                <c:pt idx="260">
                  <c:v>0.12303780943322296</c:v>
                </c:pt>
                <c:pt idx="261">
                  <c:v>0.1223523275085566</c:v>
                </c:pt>
                <c:pt idx="262">
                  <c:v>0.12164824993866123</c:v>
                </c:pt>
                <c:pt idx="263">
                  <c:v>0.12092546202601487</c:v>
                </c:pt>
                <c:pt idx="264">
                  <c:v>0.12018384907309553</c:v>
                </c:pt>
                <c:pt idx="265">
                  <c:v>0.11942329638238143</c:v>
                </c:pt>
                <c:pt idx="266">
                  <c:v>0.11864368925635059</c:v>
                </c:pt>
                <c:pt idx="267">
                  <c:v>0.11784491299748114</c:v>
                </c:pt>
                <c:pt idx="268">
                  <c:v>0.11702685290825109</c:v>
                </c:pt>
                <c:pt idx="269">
                  <c:v>0.11618939429113861</c:v>
                </c:pt>
                <c:pt idx="270">
                  <c:v>0.11533242244862171</c:v>
                </c:pt>
                <c:pt idx="271">
                  <c:v>0.1144558226831785</c:v>
                </c:pt>
                <c:pt idx="272">
                  <c:v>0.1135594802972871</c:v>
                </c:pt>
                <c:pt idx="273">
                  <c:v>0.11264328059342549</c:v>
                </c:pt>
                <c:pt idx="274">
                  <c:v>0.11170710887407177</c:v>
                </c:pt>
                <c:pt idx="275">
                  <c:v>0.11075085044170419</c:v>
                </c:pt>
                <c:pt idx="276">
                  <c:v>0.10977439059880065</c:v>
                </c:pt>
                <c:pt idx="277">
                  <c:v>0.10877761464783935</c:v>
                </c:pt>
                <c:pt idx="278">
                  <c:v>0.10776040789129827</c:v>
                </c:pt>
                <c:pt idx="279">
                  <c:v>0.10672265563165549</c:v>
                </c:pt>
                <c:pt idx="280">
                  <c:v>0.10566424317138924</c:v>
                </c:pt>
                <c:pt idx="281">
                  <c:v>0.10458505581297743</c:v>
                </c:pt>
                <c:pt idx="282">
                  <c:v>0.10348497885889829</c:v>
                </c:pt>
                <c:pt idx="283">
                  <c:v>0.10236389761162977</c:v>
                </c:pt>
                <c:pt idx="284">
                  <c:v>0.10122169737365005</c:v>
                </c:pt>
                <c:pt idx="285">
                  <c:v>0.10005826344743721</c:v>
                </c:pt>
                <c:pt idx="286">
                  <c:v>9.8873481135469232E-2</c:v>
                </c:pt>
                <c:pt idx="287">
                  <c:v>9.7667235740224317E-2</c:v>
                </c:pt>
                <c:pt idx="288">
                  <c:v>9.6439412564180427E-2</c:v>
                </c:pt>
                <c:pt idx="289">
                  <c:v>9.5189896909815788E-2</c:v>
                </c:pt>
                <c:pt idx="290">
                  <c:v>9.391857407960845E-2</c:v>
                </c:pt>
                <c:pt idx="291">
                  <c:v>9.2625329376036375E-2</c:v>
                </c:pt>
                <c:pt idx="292">
                  <c:v>9.1310048101577709E-2</c:v>
                </c:pt>
                <c:pt idx="293">
                  <c:v>8.997261555871057E-2</c:v>
                </c:pt>
                <c:pt idx="294">
                  <c:v>8.8612917049913073E-2</c:v>
                </c:pt>
                <c:pt idx="295">
                  <c:v>8.7230837877663239E-2</c:v>
                </c:pt>
                <c:pt idx="296">
                  <c:v>8.5826263344439199E-2</c:v>
                </c:pt>
                <c:pt idx="297">
                  <c:v>8.4399078752718959E-2</c:v>
                </c:pt>
                <c:pt idx="298">
                  <c:v>8.2949169404980622E-2</c:v>
                </c:pt>
                <c:pt idx="299">
                  <c:v>8.1476420603702415E-2</c:v>
                </c:pt>
                <c:pt idx="300">
                  <c:v>7.9980717651362082E-2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4C-2F4A-8A4D-D0A54EC1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CubicSpline_YC_Optim_Penalized!$C$11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CubicSpline_YC_Optim_Penalized!$B$12:$B$20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CubicSpline_YC_Optim_Penalized!$C$12:$C$20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1-AA45-96A9-543B5256330C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CubicSpline_YC_Optim_Penalized!$D$100:$D$400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CubicSpline_YC_Optim_Penalized!$E$100:$E$400</c:f>
              <c:numCache>
                <c:formatCode>0.00%</c:formatCode>
                <c:ptCount val="301"/>
                <c:pt idx="0">
                  <c:v>9.0339808310368851E-5</c:v>
                </c:pt>
                <c:pt idx="1">
                  <c:v>9.9889815989002203E-5</c:v>
                </c:pt>
                <c:pt idx="2">
                  <c:v>1.1154595122730811E-4</c:v>
                </c:pt>
                <c:pt idx="3">
                  <c:v>1.2577234069893495E-4</c:v>
                </c:pt>
                <c:pt idx="4">
                  <c:v>1.4303311107753111E-4</c:v>
                </c:pt>
                <c:pt idx="5">
                  <c:v>1.6379238903674494E-4</c:v>
                </c:pt>
                <c:pt idx="6">
                  <c:v>1.8851430125022488E-4</c:v>
                </c:pt>
                <c:pt idx="7">
                  <c:v>2.1766297439161926E-4</c:v>
                </c:pt>
                <c:pt idx="8">
                  <c:v>2.5170253513457654E-4</c:v>
                </c:pt>
                <c:pt idx="9">
                  <c:v>2.9109711015274503E-4</c:v>
                </c:pt>
                <c:pt idx="10">
                  <c:v>2.2321793959202609E-3</c:v>
                </c:pt>
                <c:pt idx="11">
                  <c:v>2.6512360360174815E-3</c:v>
                </c:pt>
                <c:pt idx="12">
                  <c:v>3.1320206866302081E-3</c:v>
                </c:pt>
                <c:pt idx="13">
                  <c:v>3.6791149726074532E-3</c:v>
                </c:pt>
                <c:pt idx="14">
                  <c:v>4.2971005187982282E-3</c:v>
                </c:pt>
                <c:pt idx="15">
                  <c:v>4.9905589500515478E-3</c:v>
                </c:pt>
                <c:pt idx="16">
                  <c:v>5.7640718912164218E-3</c:v>
                </c:pt>
                <c:pt idx="17">
                  <c:v>6.6222209671418604E-3</c:v>
                </c:pt>
                <c:pt idx="18">
                  <c:v>7.5695878026768824E-3</c:v>
                </c:pt>
                <c:pt idx="19">
                  <c:v>8.6107540226704939E-3</c:v>
                </c:pt>
                <c:pt idx="20">
                  <c:v>9.9653807571155051E-3</c:v>
                </c:pt>
                <c:pt idx="21">
                  <c:v>1.1040437143893793E-2</c:v>
                </c:pt>
                <c:pt idx="22">
                  <c:v>1.2192083517249463E-2</c:v>
                </c:pt>
                <c:pt idx="23">
                  <c:v>1.3422941702643286E-2</c:v>
                </c:pt>
                <c:pt idx="24">
                  <c:v>1.4735633525536068E-2</c:v>
                </c:pt>
                <c:pt idx="25">
                  <c:v>1.6132780811388584E-2</c:v>
                </c:pt>
                <c:pt idx="26">
                  <c:v>1.7617005385661622E-2</c:v>
                </c:pt>
                <c:pt idx="27">
                  <c:v>1.9190929073815966E-2</c:v>
                </c:pt>
                <c:pt idx="28">
                  <c:v>2.0857173701312397E-2</c:v>
                </c:pt>
                <c:pt idx="29">
                  <c:v>2.2618361093611716E-2</c:v>
                </c:pt>
                <c:pt idx="30">
                  <c:v>2.4408119503578071E-2</c:v>
                </c:pt>
                <c:pt idx="31">
                  <c:v>2.60393401890586E-2</c:v>
                </c:pt>
                <c:pt idx="32">
                  <c:v>2.7732531686749582E-2</c:v>
                </c:pt>
                <c:pt idx="33">
                  <c:v>2.9488461498573884E-2</c:v>
                </c:pt>
                <c:pt idx="34">
                  <c:v>3.130789712645439E-2</c:v>
                </c:pt>
                <c:pt idx="35">
                  <c:v>3.3191606072313959E-2</c:v>
                </c:pt>
                <c:pt idx="36">
                  <c:v>3.5140355838075468E-2</c:v>
                </c:pt>
                <c:pt idx="37">
                  <c:v>3.7154913925661781E-2</c:v>
                </c:pt>
                <c:pt idx="38">
                  <c:v>3.923604783699576E-2</c:v>
                </c:pt>
                <c:pt idx="39">
                  <c:v>4.1384525074000283E-2</c:v>
                </c:pt>
                <c:pt idx="40">
                  <c:v>4.3422870167228809E-2</c:v>
                </c:pt>
                <c:pt idx="41">
                  <c:v>4.5264915783906345E-2</c:v>
                </c:pt>
                <c:pt idx="42">
                  <c:v>4.7134188939616045E-2</c:v>
                </c:pt>
                <c:pt idx="43">
                  <c:v>4.9029961276608872E-2</c:v>
                </c:pt>
                <c:pt idx="44">
                  <c:v>5.0951504437135808E-2</c:v>
                </c:pt>
                <c:pt idx="45">
                  <c:v>5.289809006344779E-2</c:v>
                </c:pt>
                <c:pt idx="46">
                  <c:v>5.4868989797795815E-2</c:v>
                </c:pt>
                <c:pt idx="47">
                  <c:v>5.6863475282430853E-2</c:v>
                </c:pt>
                <c:pt idx="48">
                  <c:v>5.8880818159603825E-2</c:v>
                </c:pt>
                <c:pt idx="49">
                  <c:v>6.0920290071565762E-2</c:v>
                </c:pt>
                <c:pt idx="50">
                  <c:v>6.1870647806183662E-2</c:v>
                </c:pt>
                <c:pt idx="51">
                  <c:v>6.162909402331495E-2</c:v>
                </c:pt>
                <c:pt idx="52">
                  <c:v>6.1230604196407218E-2</c:v>
                </c:pt>
                <c:pt idx="53">
                  <c:v>6.066944399525788E-2</c:v>
                </c:pt>
                <c:pt idx="54">
                  <c:v>5.9939879089664187E-2</c:v>
                </c:pt>
                <c:pt idx="55">
                  <c:v>5.9036175149423553E-2</c:v>
                </c:pt>
                <c:pt idx="56">
                  <c:v>5.7952597844333278E-2</c:v>
                </c:pt>
                <c:pt idx="57">
                  <c:v>5.6683412844190782E-2</c:v>
                </c:pt>
                <c:pt idx="58">
                  <c:v>5.5222885818793366E-2</c:v>
                </c:pt>
                <c:pt idx="59">
                  <c:v>5.3565282437938386E-2</c:v>
                </c:pt>
                <c:pt idx="60">
                  <c:v>5.1704868371423178E-2</c:v>
                </c:pt>
                <c:pt idx="61">
                  <c:v>4.9635909289045183E-2</c:v>
                </c:pt>
                <c:pt idx="62">
                  <c:v>4.7352670860601589E-2</c:v>
                </c:pt>
                <c:pt idx="63">
                  <c:v>4.4849418755889901E-2</c:v>
                </c:pt>
                <c:pt idx="64">
                  <c:v>4.2120418644707364E-2</c:v>
                </c:pt>
                <c:pt idx="65">
                  <c:v>3.9159936196851382E-2</c:v>
                </c:pt>
                <c:pt idx="66">
                  <c:v>3.596223708211925E-2</c:v>
                </c:pt>
                <c:pt idx="67">
                  <c:v>3.2521586970308408E-2</c:v>
                </c:pt>
                <c:pt idx="68">
                  <c:v>2.8832251531216165E-2</c:v>
                </c:pt>
                <c:pt idx="69">
                  <c:v>2.4888496434639796E-2</c:v>
                </c:pt>
                <c:pt idx="70">
                  <c:v>2.3085336908491388E-2</c:v>
                </c:pt>
                <c:pt idx="71">
                  <c:v>2.3502569016597696E-2</c:v>
                </c:pt>
                <c:pt idx="72">
                  <c:v>2.3914680443427698E-2</c:v>
                </c:pt>
                <c:pt idx="73">
                  <c:v>2.4321356116057149E-2</c:v>
                </c:pt>
                <c:pt idx="74">
                  <c:v>2.4722280961561809E-2</c:v>
                </c:pt>
                <c:pt idx="75">
                  <c:v>2.5117139907017437E-2</c:v>
                </c:pt>
                <c:pt idx="76">
                  <c:v>2.5505617879499797E-2</c:v>
                </c:pt>
                <c:pt idx="77">
                  <c:v>2.5887399806084638E-2</c:v>
                </c:pt>
                <c:pt idx="78">
                  <c:v>2.6262170613847721E-2</c:v>
                </c:pt>
                <c:pt idx="79">
                  <c:v>2.6629615229864814E-2</c:v>
                </c:pt>
                <c:pt idx="80">
                  <c:v>2.698941858121166E-2</c:v>
                </c:pt>
                <c:pt idx="81">
                  <c:v>2.7341265594964033E-2</c:v>
                </c:pt>
                <c:pt idx="82">
                  <c:v>2.7684841198197672E-2</c:v>
                </c:pt>
                <c:pt idx="83">
                  <c:v>2.8019830317988357E-2</c:v>
                </c:pt>
                <c:pt idx="84">
                  <c:v>2.8345917881411827E-2</c:v>
                </c:pt>
                <c:pt idx="85">
                  <c:v>2.8662788815543856E-2</c:v>
                </c:pt>
                <c:pt idx="86">
                  <c:v>2.89701280474602E-2</c:v>
                </c:pt>
                <c:pt idx="87">
                  <c:v>2.9267620504236602E-2</c:v>
                </c:pt>
                <c:pt idx="88">
                  <c:v>2.9554951112948841E-2</c:v>
                </c:pt>
                <c:pt idx="89">
                  <c:v>2.9831804800672674E-2</c:v>
                </c:pt>
                <c:pt idx="90">
                  <c:v>3.009786649448384E-2</c:v>
                </c:pt>
                <c:pt idx="91">
                  <c:v>3.035282112145811E-2</c:v>
                </c:pt>
                <c:pt idx="92">
                  <c:v>3.0596353608671242E-2</c:v>
                </c:pt>
                <c:pt idx="93">
                  <c:v>3.0828148883198993E-2</c:v>
                </c:pt>
                <c:pt idx="94">
                  <c:v>3.104789187211713E-2</c:v>
                </c:pt>
                <c:pt idx="95">
                  <c:v>3.1255267502501405E-2</c:v>
                </c:pt>
                <c:pt idx="96">
                  <c:v>3.1449960701427568E-2</c:v>
                </c:pt>
                <c:pt idx="97">
                  <c:v>3.1631656395971389E-2</c:v>
                </c:pt>
                <c:pt idx="98">
                  <c:v>3.1800039513208617E-2</c:v>
                </c:pt>
                <c:pt idx="99">
                  <c:v>3.1954794980215015E-2</c:v>
                </c:pt>
                <c:pt idx="100">
                  <c:v>3.3252768995313382E-2</c:v>
                </c:pt>
                <c:pt idx="101">
                  <c:v>3.5723712483732635E-2</c:v>
                </c:pt>
                <c:pt idx="102">
                  <c:v>3.8214451788676336E-2</c:v>
                </c:pt>
                <c:pt idx="103">
                  <c:v>4.0724345634054922E-2</c:v>
                </c:pt>
                <c:pt idx="104">
                  <c:v>4.3252752743779162E-2</c:v>
                </c:pt>
                <c:pt idx="105">
                  <c:v>4.5799031841759603E-2</c:v>
                </c:pt>
                <c:pt idx="106">
                  <c:v>4.8362541651906961E-2</c:v>
                </c:pt>
                <c:pt idx="107">
                  <c:v>5.0942640898131726E-2</c:v>
                </c:pt>
                <c:pt idx="108">
                  <c:v>5.3538688304344724E-2</c:v>
                </c:pt>
                <c:pt idx="109">
                  <c:v>5.6150042594456447E-2</c:v>
                </c:pt>
                <c:pt idx="110">
                  <c:v>5.8776062492377441E-2</c:v>
                </c:pt>
                <c:pt idx="111">
                  <c:v>6.1416106722018589E-2</c:v>
                </c:pt>
                <c:pt idx="112">
                  <c:v>6.4069534007290374E-2</c:v>
                </c:pt>
                <c:pt idx="113">
                  <c:v>6.6735703072103414E-2</c:v>
                </c:pt>
                <c:pt idx="114">
                  <c:v>6.9413972640368415E-2</c:v>
                </c:pt>
                <c:pt idx="115">
                  <c:v>7.2103701435995926E-2</c:v>
                </c:pt>
                <c:pt idx="116">
                  <c:v>7.480424818289666E-2</c:v>
                </c:pt>
                <c:pt idx="117">
                  <c:v>7.7514971604981109E-2</c:v>
                </c:pt>
                <c:pt idx="118">
                  <c:v>8.0235230426160042E-2</c:v>
                </c:pt>
                <c:pt idx="119">
                  <c:v>8.2964383370344064E-2</c:v>
                </c:pt>
                <c:pt idx="120">
                  <c:v>8.570178916144372E-2</c:v>
                </c:pt>
                <c:pt idx="121">
                  <c:v>8.844680652336967E-2</c:v>
                </c:pt>
                <c:pt idx="122">
                  <c:v>9.1198794180032572E-2</c:v>
                </c:pt>
                <c:pt idx="123">
                  <c:v>9.3957110855343251E-2</c:v>
                </c:pt>
                <c:pt idx="124">
                  <c:v>9.6721115273211866E-2</c:v>
                </c:pt>
                <c:pt idx="125">
                  <c:v>9.9490166157549353E-2</c:v>
                </c:pt>
                <c:pt idx="126">
                  <c:v>0.10226362223226654</c:v>
                </c:pt>
                <c:pt idx="127">
                  <c:v>0.10504084222127374</c:v>
                </c:pt>
                <c:pt idx="128">
                  <c:v>0.10782118484848158</c:v>
                </c:pt>
                <c:pt idx="129">
                  <c:v>0.11060400883780086</c:v>
                </c:pt>
                <c:pt idx="130">
                  <c:v>0.11338867291314214</c:v>
                </c:pt>
                <c:pt idx="131">
                  <c:v>0.11617453579841602</c:v>
                </c:pt>
                <c:pt idx="132">
                  <c:v>0.11896095621753316</c:v>
                </c:pt>
                <c:pt idx="133">
                  <c:v>0.12174729289440428</c:v>
                </c:pt>
                <c:pt idx="134">
                  <c:v>0.12453290455293969</c:v>
                </c:pt>
                <c:pt idx="135">
                  <c:v>0.12731714991705045</c:v>
                </c:pt>
                <c:pt idx="136">
                  <c:v>0.13009938771064694</c:v>
                </c:pt>
                <c:pt idx="137">
                  <c:v>0.13287897665763981</c:v>
                </c:pt>
                <c:pt idx="138">
                  <c:v>0.1356552754819399</c:v>
                </c:pt>
                <c:pt idx="139">
                  <c:v>0.13842764290745746</c:v>
                </c:pt>
                <c:pt idx="140">
                  <c:v>0.14119543765810333</c:v>
                </c:pt>
                <c:pt idx="141">
                  <c:v>0.14395801845778811</c:v>
                </c:pt>
                <c:pt idx="142">
                  <c:v>0.14671474403042245</c:v>
                </c:pt>
                <c:pt idx="143">
                  <c:v>0.14946497309991708</c:v>
                </c:pt>
                <c:pt idx="144">
                  <c:v>0.15220806439018253</c:v>
                </c:pt>
                <c:pt idx="145">
                  <c:v>0.1549433766251293</c:v>
                </c:pt>
                <c:pt idx="146">
                  <c:v>0.15767026852866839</c:v>
                </c:pt>
                <c:pt idx="147">
                  <c:v>0.16038809882470989</c:v>
                </c:pt>
                <c:pt idx="148">
                  <c:v>0.16309622623716497</c:v>
                </c:pt>
                <c:pt idx="149">
                  <c:v>0.16579400948994405</c:v>
                </c:pt>
                <c:pt idx="150">
                  <c:v>0.16848080730695741</c:v>
                </c:pt>
                <c:pt idx="151">
                  <c:v>0.17115597841211627</c:v>
                </c:pt>
                <c:pt idx="152">
                  <c:v>0.17381888152933095</c:v>
                </c:pt>
                <c:pt idx="153">
                  <c:v>0.17646887538251216</c:v>
                </c:pt>
                <c:pt idx="154">
                  <c:v>0.17910531869557028</c:v>
                </c:pt>
                <c:pt idx="155">
                  <c:v>0.18172757019241637</c:v>
                </c:pt>
                <c:pt idx="156">
                  <c:v>0.18433498859696068</c:v>
                </c:pt>
                <c:pt idx="157">
                  <c:v>0.18692693263311422</c:v>
                </c:pt>
                <c:pt idx="158">
                  <c:v>0.18950276102478725</c:v>
                </c:pt>
                <c:pt idx="159">
                  <c:v>0.19206183249589076</c:v>
                </c:pt>
                <c:pt idx="160">
                  <c:v>0.19460350577033492</c:v>
                </c:pt>
                <c:pt idx="161">
                  <c:v>0.19712713957203076</c:v>
                </c:pt>
                <c:pt idx="162">
                  <c:v>0.19963209262488879</c:v>
                </c:pt>
                <c:pt idx="163">
                  <c:v>0.20211772365281933</c:v>
                </c:pt>
                <c:pt idx="164">
                  <c:v>0.2045833913797338</c:v>
                </c:pt>
                <c:pt idx="165">
                  <c:v>0.20702845452954199</c:v>
                </c:pt>
                <c:pt idx="166">
                  <c:v>0.209452271826155</c:v>
                </c:pt>
                <c:pt idx="167">
                  <c:v>0.2118542019934832</c:v>
                </c:pt>
                <c:pt idx="168">
                  <c:v>0.21423360375543726</c:v>
                </c:pt>
                <c:pt idx="169">
                  <c:v>0.216589835835928</c:v>
                </c:pt>
                <c:pt idx="170">
                  <c:v>0.21892225695886619</c:v>
                </c:pt>
                <c:pt idx="171">
                  <c:v>0.22123022584816182</c:v>
                </c:pt>
                <c:pt idx="172">
                  <c:v>0.22351310122772633</c:v>
                </c:pt>
                <c:pt idx="173">
                  <c:v>0.2257702418214696</c:v>
                </c:pt>
                <c:pt idx="174">
                  <c:v>0.22800100635330273</c:v>
                </c:pt>
                <c:pt idx="175">
                  <c:v>0.23020475354713638</c:v>
                </c:pt>
                <c:pt idx="176">
                  <c:v>0.23238084212688065</c:v>
                </c:pt>
                <c:pt idx="177">
                  <c:v>0.23452863081644687</c:v>
                </c:pt>
                <c:pt idx="178">
                  <c:v>0.23664747833974537</c:v>
                </c:pt>
                <c:pt idx="179">
                  <c:v>0.23873674342068646</c:v>
                </c:pt>
                <c:pt idx="180">
                  <c:v>0.24079578478318125</c:v>
                </c:pt>
                <c:pt idx="181">
                  <c:v>0.24282396115114019</c:v>
                </c:pt>
                <c:pt idx="182">
                  <c:v>0.2448206312484737</c:v>
                </c:pt>
                <c:pt idx="183">
                  <c:v>0.24678515379909299</c:v>
                </c:pt>
                <c:pt idx="184">
                  <c:v>0.24871688752690807</c:v>
                </c:pt>
                <c:pt idx="185">
                  <c:v>0.25061519115582981</c:v>
                </c:pt>
                <c:pt idx="186">
                  <c:v>0.25247942340976887</c:v>
                </c:pt>
                <c:pt idx="187">
                  <c:v>0.2543089430126359</c:v>
                </c:pt>
                <c:pt idx="188">
                  <c:v>0.25610310868834146</c:v>
                </c:pt>
                <c:pt idx="189">
                  <c:v>0.25786127916079588</c:v>
                </c:pt>
                <c:pt idx="190">
                  <c:v>0.25958281315391069</c:v>
                </c:pt>
                <c:pt idx="191">
                  <c:v>0.26126706939159566</c:v>
                </c:pt>
                <c:pt idx="192">
                  <c:v>0.26291340659776169</c:v>
                </c:pt>
                <c:pt idx="193">
                  <c:v>0.26452118349631953</c:v>
                </c:pt>
                <c:pt idx="194">
                  <c:v>0.26608975881117974</c:v>
                </c:pt>
                <c:pt idx="195">
                  <c:v>0.26761849126625264</c:v>
                </c:pt>
                <c:pt idx="196">
                  <c:v>0.26910673958544956</c:v>
                </c:pt>
                <c:pt idx="197">
                  <c:v>0.27055386249268026</c:v>
                </c:pt>
                <c:pt idx="198">
                  <c:v>0.27195921871185619</c:v>
                </c:pt>
                <c:pt idx="199">
                  <c:v>0.27332216696688733</c:v>
                </c:pt>
                <c:pt idx="200">
                  <c:v>0.27464206598168478</c:v>
                </c:pt>
                <c:pt idx="201">
                  <c:v>0.27591827448015899</c:v>
                </c:pt>
                <c:pt idx="202">
                  <c:v>0.27715015118622038</c:v>
                </c:pt>
                <c:pt idx="203">
                  <c:v>0.27833705482377996</c:v>
                </c:pt>
                <c:pt idx="204">
                  <c:v>0.27947834411674827</c:v>
                </c:pt>
                <c:pt idx="205">
                  <c:v>0.28057337778903552</c:v>
                </c:pt>
                <c:pt idx="206">
                  <c:v>0.28162151456455281</c:v>
                </c:pt>
                <c:pt idx="207">
                  <c:v>0.2826221131672107</c:v>
                </c:pt>
                <c:pt idx="208">
                  <c:v>0.28357453232091973</c:v>
                </c:pt>
                <c:pt idx="209">
                  <c:v>0.28447813074959066</c:v>
                </c:pt>
                <c:pt idx="210">
                  <c:v>0.28533226717713395</c:v>
                </c:pt>
                <c:pt idx="211">
                  <c:v>0.28613630032746035</c:v>
                </c:pt>
                <c:pt idx="212">
                  <c:v>0.2868895889244803</c:v>
                </c:pt>
                <c:pt idx="213">
                  <c:v>0.28759149169210457</c:v>
                </c:pt>
                <c:pt idx="214">
                  <c:v>0.28824136735424361</c:v>
                </c:pt>
                <c:pt idx="215">
                  <c:v>0.2888385746348085</c:v>
                </c:pt>
                <c:pt idx="216">
                  <c:v>0.28938247225770958</c:v>
                </c:pt>
                <c:pt idx="217">
                  <c:v>0.28987241894685739</c:v>
                </c:pt>
                <c:pt idx="218">
                  <c:v>0.29030777342616282</c:v>
                </c:pt>
                <c:pt idx="219">
                  <c:v>0.29068789441953619</c:v>
                </c:pt>
                <c:pt idx="220">
                  <c:v>0.29101214065088793</c:v>
                </c:pt>
                <c:pt idx="221">
                  <c:v>0.29127987084412982</c:v>
                </c:pt>
                <c:pt idx="222">
                  <c:v>0.29149044372317107</c:v>
                </c:pt>
                <c:pt idx="223">
                  <c:v>0.29164321801192344</c:v>
                </c:pt>
                <c:pt idx="224">
                  <c:v>0.29173755243429672</c:v>
                </c:pt>
                <c:pt idx="225">
                  <c:v>0.291772805714202</c:v>
                </c:pt>
                <c:pt idx="226">
                  <c:v>0.29174833657554938</c:v>
                </c:pt>
                <c:pt idx="227">
                  <c:v>0.29166350374225031</c:v>
                </c:pt>
                <c:pt idx="228">
                  <c:v>0.29151766593821499</c:v>
                </c:pt>
                <c:pt idx="229">
                  <c:v>0.2913101818873543</c:v>
                </c:pt>
                <c:pt idx="230">
                  <c:v>0.29104041031357802</c:v>
                </c:pt>
                <c:pt idx="231">
                  <c:v>0.29070770994079803</c:v>
                </c:pt>
                <c:pt idx="232">
                  <c:v>0.29031143949292398</c:v>
                </c:pt>
                <c:pt idx="233">
                  <c:v>0.28985095769386676</c:v>
                </c:pt>
                <c:pt idx="234">
                  <c:v>0.28932562326753747</c:v>
                </c:pt>
                <c:pt idx="235">
                  <c:v>0.28873479493784587</c:v>
                </c:pt>
                <c:pt idx="236">
                  <c:v>0.28807783142870363</c:v>
                </c:pt>
                <c:pt idx="237">
                  <c:v>0.28735409146402041</c:v>
                </c:pt>
                <c:pt idx="238">
                  <c:v>0.28656293376770775</c:v>
                </c:pt>
                <c:pt idx="239">
                  <c:v>0.28570371706367498</c:v>
                </c:pt>
                <c:pt idx="240">
                  <c:v>0.28477580007583431</c:v>
                </c:pt>
                <c:pt idx="241">
                  <c:v>0.28377854152809495</c:v>
                </c:pt>
                <c:pt idx="242">
                  <c:v>0.28271130014436879</c:v>
                </c:pt>
                <c:pt idx="243">
                  <c:v>0.2815734346485656</c:v>
                </c:pt>
                <c:pt idx="244">
                  <c:v>0.28036430376459626</c:v>
                </c:pt>
                <c:pt idx="245">
                  <c:v>0.27908326621637142</c:v>
                </c:pt>
                <c:pt idx="246">
                  <c:v>0.27772968072780185</c:v>
                </c:pt>
                <c:pt idx="247">
                  <c:v>0.27630290602279733</c:v>
                </c:pt>
                <c:pt idx="248">
                  <c:v>0.27480230082527007</c:v>
                </c:pt>
                <c:pt idx="249">
                  <c:v>0.27322722385912951</c:v>
                </c:pt>
                <c:pt idx="250">
                  <c:v>0.27157703384828608</c:v>
                </c:pt>
                <c:pt idx="251">
                  <c:v>0.26985108951665143</c:v>
                </c:pt>
                <c:pt idx="252">
                  <c:v>0.2680487495881359</c:v>
                </c:pt>
                <c:pt idx="253">
                  <c:v>0.26616937278664948</c:v>
                </c:pt>
                <c:pt idx="254">
                  <c:v>0.26421231783610372</c:v>
                </c:pt>
                <c:pt idx="255">
                  <c:v>0.26217694346040793</c:v>
                </c:pt>
                <c:pt idx="256">
                  <c:v>0.260062608383474</c:v>
                </c:pt>
                <c:pt idx="257">
                  <c:v>0.25786867132921204</c:v>
                </c:pt>
                <c:pt idx="258">
                  <c:v>0.25559449102153314</c:v>
                </c:pt>
                <c:pt idx="259">
                  <c:v>0.25323942618434708</c:v>
                </c:pt>
                <c:pt idx="260">
                  <c:v>0.25080283554156518</c:v>
                </c:pt>
                <c:pt idx="261">
                  <c:v>0.24828407781709777</c:v>
                </c:pt>
                <c:pt idx="262">
                  <c:v>0.24568251173485561</c:v>
                </c:pt>
                <c:pt idx="263">
                  <c:v>0.24299749601874959</c:v>
                </c:pt>
                <c:pt idx="264">
                  <c:v>0.24022838939268926</c:v>
                </c:pt>
                <c:pt idx="265">
                  <c:v>0.2373745505805866</c:v>
                </c:pt>
                <c:pt idx="266">
                  <c:v>0.23443533830635171</c:v>
                </c:pt>
                <c:pt idx="267">
                  <c:v>0.23141011129389449</c:v>
                </c:pt>
                <c:pt idx="268">
                  <c:v>0.2282982282671267</c:v>
                </c:pt>
                <c:pt idx="269">
                  <c:v>0.225099047949959</c:v>
                </c:pt>
                <c:pt idx="270">
                  <c:v>0.22181192906630071</c:v>
                </c:pt>
                <c:pt idx="271">
                  <c:v>0.21843623034006415</c:v>
                </c:pt>
                <c:pt idx="272">
                  <c:v>0.21497131049515855</c:v>
                </c:pt>
                <c:pt idx="273">
                  <c:v>0.21141652825549545</c:v>
                </c:pt>
                <c:pt idx="274">
                  <c:v>0.20777124234498417</c:v>
                </c:pt>
                <c:pt idx="275">
                  <c:v>0.20403481148753716</c:v>
                </c:pt>
                <c:pt idx="276">
                  <c:v>0.20020659440706406</c:v>
                </c:pt>
                <c:pt idx="277">
                  <c:v>0.19628594982747577</c:v>
                </c:pt>
                <c:pt idx="278">
                  <c:v>0.19227223647268227</c:v>
                </c:pt>
                <c:pt idx="279">
                  <c:v>0.18816481306659455</c:v>
                </c:pt>
                <c:pt idx="280">
                  <c:v>0.18396303833312416</c:v>
                </c:pt>
                <c:pt idx="281">
                  <c:v>0.17966627099618032</c:v>
                </c:pt>
                <c:pt idx="282">
                  <c:v>0.17527386977967446</c:v>
                </c:pt>
                <c:pt idx="283">
                  <c:v>0.1707851934075168</c:v>
                </c:pt>
                <c:pt idx="284">
                  <c:v>0.16619960060361888</c:v>
                </c:pt>
                <c:pt idx="285">
                  <c:v>0.16151645009189047</c:v>
                </c:pt>
                <c:pt idx="286">
                  <c:v>0.15673510059624168</c:v>
                </c:pt>
                <c:pt idx="287">
                  <c:v>0.15185491084058439</c:v>
                </c:pt>
                <c:pt idx="288">
                  <c:v>0.14687523954882881</c:v>
                </c:pt>
                <c:pt idx="289">
                  <c:v>0.14179544544488515</c:v>
                </c:pt>
                <c:pt idx="290">
                  <c:v>0.13661488725266452</c:v>
                </c:pt>
                <c:pt idx="291">
                  <c:v>0.13133292369607746</c:v>
                </c:pt>
                <c:pt idx="292">
                  <c:v>0.12594891349903453</c:v>
                </c:pt>
                <c:pt idx="293">
                  <c:v>0.12046221538544594</c:v>
                </c:pt>
                <c:pt idx="294">
                  <c:v>0.11487218807922278</c:v>
                </c:pt>
                <c:pt idx="295">
                  <c:v>0.10917819030427617</c:v>
                </c:pt>
                <c:pt idx="296">
                  <c:v>0.10337958078451531</c:v>
                </c:pt>
                <c:pt idx="297">
                  <c:v>9.7475718243852538E-2</c:v>
                </c:pt>
                <c:pt idx="298">
                  <c:v>9.1465961406197616E-2</c:v>
                </c:pt>
                <c:pt idx="299">
                  <c:v>8.5349668995460759E-2</c:v>
                </c:pt>
                <c:pt idx="300">
                  <c:v>7.9126199735553071E-2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11-AA45-96A9-543B52563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2.jpe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10</xdr:row>
      <xdr:rowOff>0</xdr:rowOff>
    </xdr:from>
    <xdr:to>
      <xdr:col>2</xdr:col>
      <xdr:colOff>368300</xdr:colOff>
      <xdr:row>11</xdr:row>
      <xdr:rowOff>298450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42A1C1-6908-0442-936D-3B4784AF5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3302000"/>
          <a:ext cx="111760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127000</xdr:colOff>
      <xdr:row>9</xdr:row>
      <xdr:rowOff>152400</xdr:rowOff>
    </xdr:from>
    <xdr:ext cx="4216400" cy="4495800"/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AF412697-18EC-1240-9D24-96195FDDF1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8400" y="2552700"/>
          <a:ext cx="42164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15</xdr:col>
      <xdr:colOff>584200</xdr:colOff>
      <xdr:row>9</xdr:row>
      <xdr:rowOff>152399</xdr:rowOff>
    </xdr:from>
    <xdr:to>
      <xdr:col>19</xdr:col>
      <xdr:colOff>800100</xdr:colOff>
      <xdr:row>26</xdr:row>
      <xdr:rowOff>172126</xdr:rowOff>
    </xdr:to>
    <xdr:pic>
      <xdr:nvPicPr>
        <xdr:cNvPr id="3" name="Picture 2" descr="Clip art remember jpeg - Clipartix">
          <a:extLst>
            <a:ext uri="{FF2B5EF4-FFF2-40B4-BE49-F238E27FC236}">
              <a16:creationId xmlns:a16="http://schemas.microsoft.com/office/drawing/2014/main" id="{970623F2-86AB-E049-BA5B-3FA4D19218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0" y="2552699"/>
          <a:ext cx="3517900" cy="4553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6" name="Picture 5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DEFEC979-5BEB-674D-8278-7399E32BA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056DEF-78A7-7947-91D4-AC713FEFD3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52455662-D1C9-724D-85BF-444F6E4E0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8</xdr:col>
      <xdr:colOff>692264</xdr:colOff>
      <xdr:row>30</xdr:row>
      <xdr:rowOff>25400</xdr:rowOff>
    </xdr:from>
    <xdr:to>
      <xdr:col>10</xdr:col>
      <xdr:colOff>266699</xdr:colOff>
      <xdr:row>39</xdr:row>
      <xdr:rowOff>38100</xdr:rowOff>
    </xdr:to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7CC92C04-E461-F244-8409-3CE0638D7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22B6EF-7D4C-8F42-ADF9-3DAB014E81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47FD2F-615A-C041-BA0C-29BBC5843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19</xdr:col>
      <xdr:colOff>781050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0B0B55-9921-E94E-AC7A-6CD705590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19</xdr:col>
      <xdr:colOff>781050</xdr:colOff>
      <xdr:row>42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20582C-5F4C-C243-9E52-85C3F3C6E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43</xdr:row>
      <xdr:rowOff>0</xdr:rowOff>
    </xdr:from>
    <xdr:to>
      <xdr:col>19</xdr:col>
      <xdr:colOff>781050</xdr:colOff>
      <xdr:row>62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639B5F-D808-B945-9A1C-5A369EDB5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19</xdr:col>
      <xdr:colOff>781050</xdr:colOff>
      <xdr:row>82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9AF43D8-9C53-0A4F-9E2D-50989E0AB4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83</xdr:row>
      <xdr:rowOff>0</xdr:rowOff>
    </xdr:from>
    <xdr:to>
      <xdr:col>19</xdr:col>
      <xdr:colOff>781050</xdr:colOff>
      <xdr:row>102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B497B7-1DEF-EA4B-82CF-DC8180A94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3</xdr:row>
      <xdr:rowOff>279400</xdr:rowOff>
    </xdr:from>
    <xdr:to>
      <xdr:col>16</xdr:col>
      <xdr:colOff>139700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B5DCD8-BA6E-B14E-BBCB-C8E8435DB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19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9DA448-C6FF-A543-8F04-655D678F9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292100</xdr:colOff>
      <xdr:row>2</xdr:row>
      <xdr:rowOff>0</xdr:rowOff>
    </xdr:from>
    <xdr:to>
      <xdr:col>21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42784A-93E3-3140-9877-029B2941D1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2</xdr:row>
      <xdr:rowOff>0</xdr:rowOff>
    </xdr:from>
    <xdr:to>
      <xdr:col>17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8E3C4D-2FE5-A54A-941F-A2BC2C94DB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FE531-E79F-024E-9C00-E7840D0C85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381000</xdr:colOff>
      <xdr:row>2</xdr:row>
      <xdr:rowOff>0</xdr:rowOff>
    </xdr:from>
    <xdr:to>
      <xdr:col>26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4A2A25-09AB-7540-AE4B-22AD6D17B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18FB40-CBDB-3D43-B98C-69AB3E0B8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967F5F-D3C9-8D4D-B2A3-430B4C511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3BB311-975C-E349-AEFC-781C4FB78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D84CBF-77E3-EF4E-9E5B-3474ED29AC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177800</xdr:rowOff>
    </xdr:from>
    <xdr:to>
      <xdr:col>23</xdr:col>
      <xdr:colOff>25400</xdr:colOff>
      <xdr:row>18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3D8D94-1054-AE4A-BC75-0B85F9684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DDB834-AFEC-AF4F-81E1-712F373CC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DB859A-80AC-A74A-899E-02869B7561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9AB79B-B6DD-944F-ABD6-9041DC661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279BC0-CCA0-BC41-AC4C-B11DF59CE1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861A9D-59A6-0145-968A-CBEAB523BE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en.wikipedia.org/wiki/Precision_and_recall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en.wikipedia.org/wiki/Sensitivity_and_specificity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F-score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file/d/1C7BdJB7j0bcYuz1IwC5BCR2_GZp96dmO/view?usp=sharing" TargetMode="Externa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B1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9</v>
      </c>
    </row>
    <row r="4" spans="2:2" x14ac:dyDescent="0.3">
      <c r="B4" s="1" t="s">
        <v>15</v>
      </c>
    </row>
    <row r="6" spans="2:2" x14ac:dyDescent="0.3">
      <c r="B6" s="1" t="s">
        <v>100</v>
      </c>
    </row>
    <row r="8" spans="2:2" x14ac:dyDescent="0.3">
      <c r="B8" s="1" t="s">
        <v>101</v>
      </c>
    </row>
    <row r="10" spans="2:2" x14ac:dyDescent="0.3">
      <c r="B10" s="1" t="s">
        <v>361</v>
      </c>
    </row>
    <row r="12" spans="2:2" x14ac:dyDescent="0.3">
      <c r="B12" s="1" t="s">
        <v>354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C22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0</v>
      </c>
    </row>
    <row r="4" spans="2:3" x14ac:dyDescent="0.3">
      <c r="B4" s="1" t="s">
        <v>1</v>
      </c>
    </row>
    <row r="6" spans="2:3" x14ac:dyDescent="0.3">
      <c r="B6" s="1" t="s">
        <v>2</v>
      </c>
    </row>
    <row r="8" spans="2:3" x14ac:dyDescent="0.3">
      <c r="B8" s="1" t="s">
        <v>3</v>
      </c>
    </row>
    <row r="10" spans="2:3" x14ac:dyDescent="0.3">
      <c r="B10" s="1" t="s">
        <v>68</v>
      </c>
    </row>
    <row r="13" spans="2:3" x14ac:dyDescent="0.3">
      <c r="C13" s="22" t="s">
        <v>71</v>
      </c>
    </row>
    <row r="14" spans="2:3" x14ac:dyDescent="0.3">
      <c r="C14" s="1" t="s">
        <v>72</v>
      </c>
    </row>
    <row r="15" spans="2:3" x14ac:dyDescent="0.3">
      <c r="C15" s="1" t="s">
        <v>73</v>
      </c>
    </row>
    <row r="16" spans="2:3" x14ac:dyDescent="0.3">
      <c r="C16" s="1" t="s">
        <v>74</v>
      </c>
    </row>
    <row r="17" spans="2:3" x14ac:dyDescent="0.3">
      <c r="C17" s="1" t="s">
        <v>75</v>
      </c>
    </row>
    <row r="18" spans="2:3" x14ac:dyDescent="0.3">
      <c r="C18" s="1" t="s">
        <v>76</v>
      </c>
    </row>
    <row r="20" spans="2:3" x14ac:dyDescent="0.3">
      <c r="B20" s="1" t="s">
        <v>150</v>
      </c>
    </row>
    <row r="22" spans="2:3" x14ac:dyDescent="0.3">
      <c r="B22" s="1" t="s">
        <v>152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F263-70EC-2447-8BC4-F5F0BFDAEE77}">
  <sheetPr codeName="Sheet24">
    <tabColor rgb="FF002060"/>
  </sheetPr>
  <dimension ref="A1:A10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8</v>
      </c>
    </row>
    <row r="2" spans="1:1" x14ac:dyDescent="0.25">
      <c r="A2" s="2" t="s">
        <v>10</v>
      </c>
    </row>
    <row r="3" spans="1:1" x14ac:dyDescent="0.25">
      <c r="A3" s="2" t="s">
        <v>31</v>
      </c>
    </row>
    <row r="4" spans="1:1" x14ac:dyDescent="0.25">
      <c r="A4" s="2" t="s">
        <v>32</v>
      </c>
    </row>
    <row r="5" spans="1:1" x14ac:dyDescent="0.25">
      <c r="A5" s="2" t="s">
        <v>136</v>
      </c>
    </row>
    <row r="6" spans="1:1" x14ac:dyDescent="0.25">
      <c r="A6" s="2" t="s">
        <v>30</v>
      </c>
    </row>
    <row r="7" spans="1:1" x14ac:dyDescent="0.25">
      <c r="A7" s="2" t="s">
        <v>135</v>
      </c>
    </row>
    <row r="8" spans="1:1" x14ac:dyDescent="0.25">
      <c r="A8" s="2" t="s">
        <v>147</v>
      </c>
    </row>
    <row r="9" spans="1:1" x14ac:dyDescent="0.25">
      <c r="A9" s="2" t="s">
        <v>350</v>
      </c>
    </row>
    <row r="10" spans="1:1" x14ac:dyDescent="0.25">
      <c r="A10" s="2" t="s">
        <v>351</v>
      </c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04638-007F-2844-8E32-1CA8110890F7}">
  <sheetPr codeName="Sheet30">
    <tabColor rgb="FFC00000"/>
  </sheetPr>
  <dimension ref="B2:T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6" width="10.83203125" style="2"/>
    <col min="7" max="10" width="10.83203125" style="29"/>
    <col min="11" max="11" width="15.83203125" style="29" bestFit="1" customWidth="1"/>
    <col min="12" max="12" width="10.83203125" style="29"/>
    <col min="13" max="13" width="15.6640625" style="2" bestFit="1" customWidth="1"/>
    <col min="14" max="14" width="12.1640625" style="2" bestFit="1" customWidth="1"/>
    <col min="15" max="16384" width="10.83203125" style="2"/>
  </cols>
  <sheetData>
    <row r="2" spans="2:20" x14ac:dyDescent="0.25">
      <c r="B2" s="2" t="s">
        <v>8</v>
      </c>
      <c r="L2" s="30" t="s">
        <v>115</v>
      </c>
      <c r="M2" s="31"/>
      <c r="N2" s="31"/>
      <c r="O2" s="31"/>
      <c r="P2" s="31"/>
      <c r="Q2" s="31"/>
      <c r="R2" s="31"/>
      <c r="S2" s="31"/>
      <c r="T2" s="31"/>
    </row>
    <row r="3" spans="2:20" x14ac:dyDescent="0.25">
      <c r="B3" s="3" t="s">
        <v>22</v>
      </c>
      <c r="C3" s="3"/>
      <c r="L3" s="30" t="s">
        <v>111</v>
      </c>
      <c r="M3" s="31"/>
      <c r="N3" s="31"/>
      <c r="O3" s="31"/>
      <c r="P3" s="31"/>
      <c r="Q3" s="31"/>
      <c r="R3" s="31"/>
      <c r="S3" s="31"/>
      <c r="T3" s="31"/>
    </row>
    <row r="4" spans="2:20" x14ac:dyDescent="0.25">
      <c r="B4" s="2" t="s">
        <v>21</v>
      </c>
      <c r="L4" s="30" t="s">
        <v>112</v>
      </c>
      <c r="M4" s="31"/>
      <c r="N4" s="31"/>
      <c r="O4" s="31"/>
      <c r="P4" s="31"/>
      <c r="Q4" s="31"/>
      <c r="R4" s="31"/>
      <c r="S4" s="31"/>
      <c r="T4" s="31"/>
    </row>
    <row r="5" spans="2:20" x14ac:dyDescent="0.25">
      <c r="B5" s="2" t="s">
        <v>20</v>
      </c>
      <c r="L5" s="30" t="s">
        <v>113</v>
      </c>
      <c r="M5" s="31"/>
      <c r="N5" s="31"/>
      <c r="O5" s="31"/>
      <c r="P5" s="31"/>
      <c r="Q5" s="31"/>
      <c r="R5" s="31"/>
      <c r="S5" s="31"/>
      <c r="T5" s="31"/>
    </row>
    <row r="6" spans="2:20" x14ac:dyDescent="0.25">
      <c r="L6" s="30" t="s">
        <v>114</v>
      </c>
      <c r="M6" s="31"/>
      <c r="N6" s="31"/>
      <c r="O6" s="31"/>
      <c r="P6" s="31"/>
      <c r="Q6" s="31"/>
      <c r="R6" s="31"/>
      <c r="S6" s="31"/>
      <c r="T6" s="31"/>
    </row>
    <row r="7" spans="2:20" x14ac:dyDescent="0.25">
      <c r="B7" s="4" t="s">
        <v>4</v>
      </c>
      <c r="C7" s="4" t="s">
        <v>5</v>
      </c>
      <c r="E7" s="4" t="s">
        <v>8</v>
      </c>
      <c r="G7" s="29" t="s">
        <v>106</v>
      </c>
      <c r="H7" s="29" t="s">
        <v>107</v>
      </c>
      <c r="I7" s="29" t="s">
        <v>105</v>
      </c>
      <c r="J7" s="29" t="s">
        <v>108</v>
      </c>
    </row>
    <row r="8" spans="2:20" x14ac:dyDescent="0.25">
      <c r="B8" s="2" t="s">
        <v>6</v>
      </c>
      <c r="C8" s="2" t="s">
        <v>6</v>
      </c>
      <c r="E8" s="2" cm="1">
        <f t="array" ref="E8">SUM((B8:B27=C8:C27)*(C8:C27="Sick"))/SUM((C8:C27="Sick")*1)</f>
        <v>0.66666666666666663</v>
      </c>
      <c r="G8" s="29" t="str">
        <f>IF(B8="Sick","Positive","Negative")</f>
        <v>Positive</v>
      </c>
      <c r="H8" s="29" t="str">
        <f>IF(B8=C8,"True","False")</f>
        <v>True</v>
      </c>
      <c r="I8" s="29">
        <f>(H8="TRUE") * (G8="Positive")</f>
        <v>1</v>
      </c>
      <c r="J8" s="29">
        <f>(H8="False") * (G8="Negative")</f>
        <v>0</v>
      </c>
      <c r="K8" s="29" t="s">
        <v>105</v>
      </c>
    </row>
    <row r="9" spans="2:20" x14ac:dyDescent="0.25">
      <c r="B9" s="2" t="s">
        <v>7</v>
      </c>
      <c r="C9" s="2" t="s">
        <v>6</v>
      </c>
      <c r="G9" s="29" t="str">
        <f t="shared" ref="G9:G27" si="0">IF(B9="Sick","Positive","Negative")</f>
        <v>Negative</v>
      </c>
      <c r="H9" s="29" t="str">
        <f t="shared" ref="H9:H27" si="1">IF(B9=C9,"True","False")</f>
        <v>False</v>
      </c>
      <c r="I9" s="29">
        <f t="shared" ref="I9:I27" si="2">(H9="TRUE") * (G9="Positive")</f>
        <v>0</v>
      </c>
      <c r="J9" s="29">
        <f t="shared" ref="J9:J27" si="3">(H9="False") * (G9="Negative")</f>
        <v>1</v>
      </c>
      <c r="K9" s="29">
        <f>SUM(I8:I27)</f>
        <v>8</v>
      </c>
      <c r="M9" s="2" t="s">
        <v>110</v>
      </c>
      <c r="R9" s="2" t="s">
        <v>99</v>
      </c>
    </row>
    <row r="10" spans="2:20" x14ac:dyDescent="0.25">
      <c r="B10" s="2" t="s">
        <v>7</v>
      </c>
      <c r="C10" s="2" t="s">
        <v>6</v>
      </c>
      <c r="G10" s="29" t="str">
        <f t="shared" si="0"/>
        <v>Negative</v>
      </c>
      <c r="H10" s="29" t="str">
        <f t="shared" si="1"/>
        <v>False</v>
      </c>
      <c r="I10" s="29">
        <f t="shared" si="2"/>
        <v>0</v>
      </c>
      <c r="J10" s="29">
        <f t="shared" si="3"/>
        <v>1</v>
      </c>
    </row>
    <row r="11" spans="2:20" x14ac:dyDescent="0.25">
      <c r="B11" s="2" t="s">
        <v>7</v>
      </c>
      <c r="C11" s="2" t="s">
        <v>7</v>
      </c>
      <c r="G11" s="29" t="str">
        <f t="shared" si="0"/>
        <v>Negative</v>
      </c>
      <c r="H11" s="29" t="str">
        <f t="shared" si="1"/>
        <v>True</v>
      </c>
      <c r="I11" s="29">
        <f t="shared" si="2"/>
        <v>0</v>
      </c>
      <c r="J11" s="29">
        <f t="shared" si="3"/>
        <v>0</v>
      </c>
      <c r="K11" s="29" t="s">
        <v>108</v>
      </c>
      <c r="S11"/>
    </row>
    <row r="12" spans="2:20" x14ac:dyDescent="0.25">
      <c r="B12" s="2" t="s">
        <v>6</v>
      </c>
      <c r="C12" s="2" t="s">
        <v>7</v>
      </c>
      <c r="G12" s="29" t="str">
        <f t="shared" si="0"/>
        <v>Positive</v>
      </c>
      <c r="H12" s="29" t="str">
        <f t="shared" si="1"/>
        <v>False</v>
      </c>
      <c r="I12" s="29">
        <f t="shared" si="2"/>
        <v>0</v>
      </c>
      <c r="J12" s="29">
        <f t="shared" si="3"/>
        <v>0</v>
      </c>
      <c r="K12" s="29">
        <f>SUM(J8:J27)</f>
        <v>4</v>
      </c>
    </row>
    <row r="13" spans="2:20" x14ac:dyDescent="0.25">
      <c r="B13" s="2" t="s">
        <v>7</v>
      </c>
      <c r="C13" s="2" t="s">
        <v>7</v>
      </c>
      <c r="G13" s="29" t="str">
        <f t="shared" si="0"/>
        <v>Negative</v>
      </c>
      <c r="H13" s="29" t="str">
        <f t="shared" si="1"/>
        <v>True</v>
      </c>
      <c r="I13" s="29">
        <f t="shared" si="2"/>
        <v>0</v>
      </c>
      <c r="J13" s="29">
        <f t="shared" si="3"/>
        <v>0</v>
      </c>
    </row>
    <row r="14" spans="2:20" x14ac:dyDescent="0.25">
      <c r="B14" s="2" t="s">
        <v>6</v>
      </c>
      <c r="C14" s="2" t="s">
        <v>6</v>
      </c>
      <c r="G14" s="29" t="str">
        <f t="shared" si="0"/>
        <v>Positive</v>
      </c>
      <c r="H14" s="29" t="str">
        <f t="shared" si="1"/>
        <v>True</v>
      </c>
      <c r="I14" s="29">
        <f t="shared" si="2"/>
        <v>1</v>
      </c>
      <c r="J14" s="29">
        <f t="shared" si="3"/>
        <v>0</v>
      </c>
      <c r="K14" s="29" t="s">
        <v>109</v>
      </c>
    </row>
    <row r="15" spans="2:20" x14ac:dyDescent="0.25">
      <c r="B15" s="2" t="s">
        <v>7</v>
      </c>
      <c r="C15" s="2" t="s">
        <v>7</v>
      </c>
      <c r="G15" s="29" t="str">
        <f t="shared" si="0"/>
        <v>Negative</v>
      </c>
      <c r="H15" s="29" t="str">
        <f t="shared" si="1"/>
        <v>True</v>
      </c>
      <c r="I15" s="29">
        <f t="shared" si="2"/>
        <v>0</v>
      </c>
      <c r="J15" s="29">
        <f t="shared" si="3"/>
        <v>0</v>
      </c>
      <c r="K15" s="29">
        <f>K9/(K9+K12)</f>
        <v>0.66666666666666663</v>
      </c>
    </row>
    <row r="16" spans="2:20" x14ac:dyDescent="0.25">
      <c r="B16" s="2" t="s">
        <v>6</v>
      </c>
      <c r="C16" s="2" t="s">
        <v>6</v>
      </c>
      <c r="G16" s="29" t="str">
        <f t="shared" si="0"/>
        <v>Positive</v>
      </c>
      <c r="H16" s="29" t="str">
        <f t="shared" si="1"/>
        <v>True</v>
      </c>
      <c r="I16" s="29">
        <f t="shared" si="2"/>
        <v>1</v>
      </c>
      <c r="J16" s="29">
        <f t="shared" si="3"/>
        <v>0</v>
      </c>
    </row>
    <row r="17" spans="2:10" x14ac:dyDescent="0.25">
      <c r="B17" s="2" t="s">
        <v>7</v>
      </c>
      <c r="C17" s="2" t="s">
        <v>6</v>
      </c>
      <c r="G17" s="29" t="str">
        <f t="shared" si="0"/>
        <v>Negative</v>
      </c>
      <c r="H17" s="29" t="str">
        <f t="shared" si="1"/>
        <v>False</v>
      </c>
      <c r="I17" s="29">
        <f t="shared" si="2"/>
        <v>0</v>
      </c>
      <c r="J17" s="29">
        <f t="shared" si="3"/>
        <v>1</v>
      </c>
    </row>
    <row r="18" spans="2:10" x14ac:dyDescent="0.25">
      <c r="B18" s="2" t="s">
        <v>6</v>
      </c>
      <c r="C18" s="2" t="s">
        <v>6</v>
      </c>
      <c r="G18" s="29" t="str">
        <f t="shared" si="0"/>
        <v>Positive</v>
      </c>
      <c r="H18" s="29" t="str">
        <f t="shared" si="1"/>
        <v>True</v>
      </c>
      <c r="I18" s="29">
        <f t="shared" si="2"/>
        <v>1</v>
      </c>
      <c r="J18" s="29">
        <f t="shared" si="3"/>
        <v>0</v>
      </c>
    </row>
    <row r="19" spans="2:10" x14ac:dyDescent="0.25">
      <c r="B19" s="2" t="s">
        <v>6</v>
      </c>
      <c r="C19" s="2" t="s">
        <v>6</v>
      </c>
      <c r="G19" s="29" t="str">
        <f t="shared" si="0"/>
        <v>Positive</v>
      </c>
      <c r="H19" s="29" t="str">
        <f t="shared" si="1"/>
        <v>True</v>
      </c>
      <c r="I19" s="29">
        <f t="shared" si="2"/>
        <v>1</v>
      </c>
      <c r="J19" s="29">
        <f t="shared" si="3"/>
        <v>0</v>
      </c>
    </row>
    <row r="20" spans="2:10" x14ac:dyDescent="0.25">
      <c r="B20" s="2" t="s">
        <v>6</v>
      </c>
      <c r="C20" s="2" t="s">
        <v>7</v>
      </c>
      <c r="G20" s="29" t="str">
        <f t="shared" si="0"/>
        <v>Positive</v>
      </c>
      <c r="H20" s="29" t="str">
        <f t="shared" si="1"/>
        <v>False</v>
      </c>
      <c r="I20" s="29">
        <f t="shared" si="2"/>
        <v>0</v>
      </c>
      <c r="J20" s="29">
        <f t="shared" si="3"/>
        <v>0</v>
      </c>
    </row>
    <row r="21" spans="2:10" x14ac:dyDescent="0.25">
      <c r="B21" s="2" t="s">
        <v>7</v>
      </c>
      <c r="C21" s="2" t="s">
        <v>7</v>
      </c>
      <c r="G21" s="29" t="str">
        <f t="shared" si="0"/>
        <v>Negative</v>
      </c>
      <c r="H21" s="29" t="str">
        <f t="shared" si="1"/>
        <v>True</v>
      </c>
      <c r="I21" s="29">
        <f t="shared" si="2"/>
        <v>0</v>
      </c>
      <c r="J21" s="29">
        <f t="shared" si="3"/>
        <v>0</v>
      </c>
    </row>
    <row r="22" spans="2:10" x14ac:dyDescent="0.25">
      <c r="B22" s="2" t="s">
        <v>7</v>
      </c>
      <c r="C22" s="2" t="s">
        <v>6</v>
      </c>
      <c r="G22" s="29" t="str">
        <f t="shared" si="0"/>
        <v>Negative</v>
      </c>
      <c r="H22" s="29" t="str">
        <f t="shared" si="1"/>
        <v>False</v>
      </c>
      <c r="I22" s="29">
        <f t="shared" si="2"/>
        <v>0</v>
      </c>
      <c r="J22" s="29">
        <f t="shared" si="3"/>
        <v>1</v>
      </c>
    </row>
    <row r="23" spans="2:10" x14ac:dyDescent="0.25">
      <c r="B23" s="2" t="s">
        <v>6</v>
      </c>
      <c r="C23" s="2" t="s">
        <v>6</v>
      </c>
      <c r="G23" s="29" t="str">
        <f t="shared" si="0"/>
        <v>Positive</v>
      </c>
      <c r="H23" s="29" t="str">
        <f t="shared" si="1"/>
        <v>True</v>
      </c>
      <c r="I23" s="29">
        <f t="shared" si="2"/>
        <v>1</v>
      </c>
      <c r="J23" s="29">
        <f t="shared" si="3"/>
        <v>0</v>
      </c>
    </row>
    <row r="24" spans="2:10" x14ac:dyDescent="0.25">
      <c r="B24" s="2" t="s">
        <v>7</v>
      </c>
      <c r="C24" s="2" t="s">
        <v>7</v>
      </c>
      <c r="G24" s="29" t="str">
        <f t="shared" si="0"/>
        <v>Negative</v>
      </c>
      <c r="H24" s="29" t="str">
        <f t="shared" si="1"/>
        <v>True</v>
      </c>
      <c r="I24" s="29">
        <f t="shared" si="2"/>
        <v>0</v>
      </c>
      <c r="J24" s="29">
        <f t="shared" si="3"/>
        <v>0</v>
      </c>
    </row>
    <row r="25" spans="2:10" x14ac:dyDescent="0.25">
      <c r="B25" s="2" t="s">
        <v>7</v>
      </c>
      <c r="C25" s="2" t="s">
        <v>7</v>
      </c>
      <c r="G25" s="29" t="str">
        <f t="shared" si="0"/>
        <v>Negative</v>
      </c>
      <c r="H25" s="29" t="str">
        <f t="shared" si="1"/>
        <v>True</v>
      </c>
      <c r="I25" s="29">
        <f t="shared" si="2"/>
        <v>0</v>
      </c>
      <c r="J25" s="29">
        <f t="shared" si="3"/>
        <v>0</v>
      </c>
    </row>
    <row r="26" spans="2:10" x14ac:dyDescent="0.25">
      <c r="B26" s="2" t="s">
        <v>6</v>
      </c>
      <c r="C26" s="2" t="s">
        <v>6</v>
      </c>
      <c r="G26" s="29" t="str">
        <f t="shared" si="0"/>
        <v>Positive</v>
      </c>
      <c r="H26" s="29" t="str">
        <f t="shared" si="1"/>
        <v>True</v>
      </c>
      <c r="I26" s="29">
        <f t="shared" si="2"/>
        <v>1</v>
      </c>
      <c r="J26" s="29">
        <f t="shared" si="3"/>
        <v>0</v>
      </c>
    </row>
    <row r="27" spans="2:10" x14ac:dyDescent="0.25">
      <c r="B27" s="2" t="s">
        <v>6</v>
      </c>
      <c r="C27" s="2" t="s">
        <v>6</v>
      </c>
      <c r="G27" s="29" t="str">
        <f t="shared" si="0"/>
        <v>Positive</v>
      </c>
      <c r="H27" s="29" t="str">
        <f t="shared" si="1"/>
        <v>True</v>
      </c>
      <c r="I27" s="29">
        <f t="shared" si="2"/>
        <v>1</v>
      </c>
      <c r="J27" s="29">
        <f t="shared" si="3"/>
        <v>0</v>
      </c>
    </row>
  </sheetData>
  <hyperlinks>
    <hyperlink ref="B3" r:id="rId1" xr:uid="{CB564CAE-93C3-4D4F-BFB8-9F4E3524E4FC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5D65-AF58-AA4D-BC79-B7F80B0E1ED7}">
  <sheetPr codeName="Sheet23">
    <tabColor rgb="FFC00000"/>
  </sheetPr>
  <dimension ref="B2:M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7" width="10.83203125" style="2"/>
    <col min="8" max="8" width="15.6640625" style="2" bestFit="1" customWidth="1"/>
    <col min="9" max="9" width="12.1640625" style="2" bestFit="1" customWidth="1"/>
    <col min="10" max="16384" width="10.83203125" style="2"/>
  </cols>
  <sheetData>
    <row r="2" spans="2:13" x14ac:dyDescent="0.25">
      <c r="B2" s="2" t="s">
        <v>10</v>
      </c>
      <c r="H2" s="31"/>
      <c r="I2" s="31"/>
      <c r="J2" s="31"/>
      <c r="K2" s="31"/>
      <c r="L2" s="31"/>
      <c r="M2" s="31"/>
    </row>
    <row r="3" spans="2:13" x14ac:dyDescent="0.25">
      <c r="B3" s="3" t="s">
        <v>11</v>
      </c>
      <c r="C3" s="3"/>
      <c r="H3" s="31"/>
      <c r="I3" s="31" t="s">
        <v>116</v>
      </c>
      <c r="J3" s="31"/>
      <c r="K3" s="31"/>
      <c r="L3" s="31"/>
      <c r="M3" s="31"/>
    </row>
    <row r="4" spans="2:13" x14ac:dyDescent="0.25">
      <c r="B4" s="2" t="s">
        <v>12</v>
      </c>
      <c r="H4" s="31"/>
      <c r="I4" s="31"/>
      <c r="J4" s="31"/>
      <c r="K4" s="31"/>
      <c r="L4" s="31"/>
      <c r="M4" s="31"/>
    </row>
    <row r="5" spans="2:13" x14ac:dyDescent="0.25">
      <c r="B5" s="2" t="s">
        <v>13</v>
      </c>
    </row>
    <row r="7" spans="2:13" x14ac:dyDescent="0.25">
      <c r="B7" s="4" t="s">
        <v>4</v>
      </c>
      <c r="C7" s="4" t="s">
        <v>5</v>
      </c>
      <c r="E7" s="4" t="s">
        <v>10</v>
      </c>
    </row>
    <row r="8" spans="2:13" x14ac:dyDescent="0.25">
      <c r="B8" s="2" t="s">
        <v>6</v>
      </c>
      <c r="C8" s="2" t="s">
        <v>6</v>
      </c>
      <c r="E8" s="2" cm="1">
        <f t="array" ref="E8">SUM((B8:B27=C8:C27)*(C8:C27="Healthy"))/SUM((C8:C27="Healthy")*1)</f>
        <v>0.77777777777777779</v>
      </c>
    </row>
    <row r="9" spans="2:13" x14ac:dyDescent="0.25">
      <c r="B9" s="2" t="s">
        <v>7</v>
      </c>
      <c r="C9" s="2" t="s">
        <v>6</v>
      </c>
    </row>
    <row r="10" spans="2:13" x14ac:dyDescent="0.25">
      <c r="B10" s="2" t="s">
        <v>6</v>
      </c>
      <c r="C10" s="2" t="s">
        <v>6</v>
      </c>
    </row>
    <row r="11" spans="2:13" x14ac:dyDescent="0.25">
      <c r="B11" s="2" t="s">
        <v>7</v>
      </c>
      <c r="C11" s="2" t="s">
        <v>7</v>
      </c>
      <c r="K11" s="2" t="s">
        <v>14</v>
      </c>
    </row>
    <row r="12" spans="2:13" x14ac:dyDescent="0.25">
      <c r="B12" s="2" t="s">
        <v>6</v>
      </c>
      <c r="C12" s="2" t="s">
        <v>7</v>
      </c>
    </row>
    <row r="13" spans="2:13" x14ac:dyDescent="0.25">
      <c r="B13" s="2" t="s">
        <v>7</v>
      </c>
      <c r="C13" s="2" t="s">
        <v>7</v>
      </c>
    </row>
    <row r="14" spans="2:13" x14ac:dyDescent="0.25">
      <c r="B14" s="2" t="s">
        <v>6</v>
      </c>
      <c r="C14" s="2" t="s">
        <v>6</v>
      </c>
    </row>
    <row r="15" spans="2:13" x14ac:dyDescent="0.25">
      <c r="B15" s="2" t="s">
        <v>7</v>
      </c>
      <c r="C15" s="2" t="s">
        <v>7</v>
      </c>
    </row>
    <row r="16" spans="2:13" x14ac:dyDescent="0.25">
      <c r="B16" s="2" t="s">
        <v>6</v>
      </c>
      <c r="C16" s="2" t="s">
        <v>6</v>
      </c>
    </row>
    <row r="17" spans="2:3" x14ac:dyDescent="0.25">
      <c r="B17" s="2" t="s">
        <v>7</v>
      </c>
      <c r="C17" s="2" t="s">
        <v>6</v>
      </c>
    </row>
    <row r="18" spans="2:3" x14ac:dyDescent="0.25">
      <c r="B18" s="2" t="s">
        <v>6</v>
      </c>
      <c r="C18" s="2" t="s">
        <v>6</v>
      </c>
    </row>
    <row r="19" spans="2:3" x14ac:dyDescent="0.25">
      <c r="B19" s="2" t="s">
        <v>6</v>
      </c>
      <c r="C19" s="2" t="s">
        <v>6</v>
      </c>
    </row>
    <row r="20" spans="2:3" x14ac:dyDescent="0.25">
      <c r="B20" s="2" t="s">
        <v>6</v>
      </c>
      <c r="C20" s="2" t="s">
        <v>7</v>
      </c>
    </row>
    <row r="21" spans="2:3" x14ac:dyDescent="0.25">
      <c r="B21" s="2" t="s">
        <v>7</v>
      </c>
      <c r="C21" s="2" t="s">
        <v>7</v>
      </c>
    </row>
    <row r="22" spans="2:3" x14ac:dyDescent="0.25">
      <c r="B22" s="2" t="s">
        <v>7</v>
      </c>
      <c r="C22" s="2" t="s">
        <v>6</v>
      </c>
    </row>
    <row r="23" spans="2:3" x14ac:dyDescent="0.25">
      <c r="B23" s="2" t="s">
        <v>6</v>
      </c>
      <c r="C23" s="2" t="s">
        <v>6</v>
      </c>
    </row>
    <row r="24" spans="2:3" x14ac:dyDescent="0.25">
      <c r="B24" s="2" t="s">
        <v>7</v>
      </c>
      <c r="C24" s="2" t="s">
        <v>7</v>
      </c>
    </row>
    <row r="25" spans="2:3" x14ac:dyDescent="0.25">
      <c r="B25" s="2" t="s">
        <v>7</v>
      </c>
      <c r="C25" s="2" t="s">
        <v>7</v>
      </c>
    </row>
    <row r="26" spans="2:3" x14ac:dyDescent="0.25">
      <c r="B26" s="2" t="s">
        <v>6</v>
      </c>
      <c r="C26" s="2" t="s">
        <v>6</v>
      </c>
    </row>
    <row r="27" spans="2:3" x14ac:dyDescent="0.25">
      <c r="B27" s="2" t="s">
        <v>7</v>
      </c>
      <c r="C27" s="2" t="s">
        <v>7</v>
      </c>
    </row>
  </sheetData>
  <hyperlinks>
    <hyperlink ref="B3" r:id="rId1" xr:uid="{5EC57EAE-C63B-0E4D-9644-B954C32F4918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C06C3-22B0-9643-8EA0-DB45A9675704}">
  <sheetPr codeName="Sheet15">
    <tabColor rgb="FFC00000"/>
  </sheetPr>
  <dimension ref="A2:K1002"/>
  <sheetViews>
    <sheetView workbookViewId="0"/>
  </sheetViews>
  <sheetFormatPr baseColWidth="10" defaultRowHeight="16" x14ac:dyDescent="0.2"/>
  <cols>
    <col min="1" max="11" width="10.83203125" style="9"/>
    <col min="12" max="16384" width="10.83203125" style="5"/>
  </cols>
  <sheetData>
    <row r="2" spans="1:11" x14ac:dyDescent="0.2">
      <c r="B2" s="9" t="s">
        <v>25</v>
      </c>
      <c r="C2" s="9" t="s">
        <v>5</v>
      </c>
      <c r="J2" s="10" t="s">
        <v>28</v>
      </c>
      <c r="K2" s="10" t="s">
        <v>26</v>
      </c>
    </row>
    <row r="3" spans="1:11" x14ac:dyDescent="0.2">
      <c r="A3" s="9">
        <v>1</v>
      </c>
      <c r="B3" s="9">
        <f ca="1">IF(C3="Bomb",_xlfn.NORM.INV(RAND(),0.7,0.1),_xlfn.NORM.INV(RAND(),0.6,0.15))</f>
        <v>0.60270888809434342</v>
      </c>
      <c r="C3" s="9" t="str">
        <f ca="1">IF(RAND()&lt;0.5,"Bomb","Bird")</f>
        <v>Bomb</v>
      </c>
      <c r="E3" s="9" t="s">
        <v>27</v>
      </c>
      <c r="J3" s="11">
        <f ca="1">F7</f>
        <v>0</v>
      </c>
      <c r="K3" s="11">
        <f ca="1">E7</f>
        <v>1</v>
      </c>
    </row>
    <row r="4" spans="1:11" x14ac:dyDescent="0.2">
      <c r="A4" s="9">
        <v>2</v>
      </c>
      <c r="B4" s="9">
        <f t="shared" ref="B4:B67" ca="1" si="0">IF(C4="Bomb",_xlfn.NORM.INV(RAND(),0.7,0.1),_xlfn.NORM.INV(RAND(),0.6,0.15))</f>
        <v>0.67080111334465031</v>
      </c>
      <c r="C4" s="9" t="s">
        <v>23</v>
      </c>
      <c r="E4" s="11">
        <v>0.03</v>
      </c>
      <c r="I4" s="11">
        <v>0.03</v>
      </c>
      <c r="J4" s="12">
        <f t="dataTable" ref="J4:K36" dt2D="0" dtr="0" r1="E4" ca="1"/>
        <v>0</v>
      </c>
      <c r="K4" s="12">
        <v>1</v>
      </c>
    </row>
    <row r="5" spans="1:11" x14ac:dyDescent="0.2">
      <c r="A5" s="9">
        <v>3</v>
      </c>
      <c r="B5" s="9">
        <f t="shared" ca="1" si="0"/>
        <v>0.53065533544235155</v>
      </c>
      <c r="C5" s="9" t="s">
        <v>24</v>
      </c>
      <c r="I5" s="11">
        <v>0.06</v>
      </c>
      <c r="J5" s="12">
        <v>0</v>
      </c>
      <c r="K5" s="12">
        <v>1</v>
      </c>
    </row>
    <row r="6" spans="1:11" x14ac:dyDescent="0.2">
      <c r="A6" s="9">
        <v>4</v>
      </c>
      <c r="B6" s="9">
        <f t="shared" ca="1" si="0"/>
        <v>0.66758735327439012</v>
      </c>
      <c r="C6" s="9" t="s">
        <v>23</v>
      </c>
      <c r="E6" s="10" t="s">
        <v>26</v>
      </c>
      <c r="F6" s="10" t="s">
        <v>28</v>
      </c>
      <c r="I6" s="11">
        <v>0.09</v>
      </c>
      <c r="J6" s="12">
        <v>0</v>
      </c>
      <c r="K6" s="12">
        <v>1</v>
      </c>
    </row>
    <row r="7" spans="1:11" x14ac:dyDescent="0.2">
      <c r="A7" s="9">
        <v>5</v>
      </c>
      <c r="B7" s="9">
        <f t="shared" ca="1" si="0"/>
        <v>0.76099667998475362</v>
      </c>
      <c r="C7" s="9" t="s">
        <v>23</v>
      </c>
      <c r="E7" s="12">
        <f ca="1">COUNTIFS(B:B,"&gt;" &amp;E4,C:C,"="&amp;"Bomb")/COUNTIFS(C:C,"="&amp;"Bomb")</f>
        <v>1</v>
      </c>
      <c r="F7" s="12">
        <f ca="1">COUNTIFS(B:B,"&lt;" &amp;E4,C:C,"="&amp;"Bird")/COUNTIFS(C:C,"="&amp;"Bird")</f>
        <v>0</v>
      </c>
      <c r="I7" s="11">
        <v>0.12</v>
      </c>
      <c r="J7" s="12">
        <v>0</v>
      </c>
      <c r="K7" s="12">
        <v>1</v>
      </c>
    </row>
    <row r="8" spans="1:11" x14ac:dyDescent="0.2">
      <c r="A8" s="9">
        <v>6</v>
      </c>
      <c r="B8" s="9">
        <f t="shared" ca="1" si="0"/>
        <v>0.74840418386071239</v>
      </c>
      <c r="C8" s="9" t="s">
        <v>23</v>
      </c>
      <c r="I8" s="11">
        <v>0.15</v>
      </c>
      <c r="J8" s="12">
        <v>0</v>
      </c>
      <c r="K8" s="12">
        <v>1</v>
      </c>
    </row>
    <row r="9" spans="1:11" x14ac:dyDescent="0.2">
      <c r="A9" s="9">
        <v>7</v>
      </c>
      <c r="B9" s="9">
        <f t="shared" ca="1" si="0"/>
        <v>0.72867454640958951</v>
      </c>
      <c r="C9" s="9" t="s">
        <v>23</v>
      </c>
      <c r="I9" s="11">
        <v>0.18</v>
      </c>
      <c r="J9" s="12">
        <v>3.8910505836575876E-3</v>
      </c>
      <c r="K9" s="12">
        <v>1</v>
      </c>
    </row>
    <row r="10" spans="1:11" x14ac:dyDescent="0.2">
      <c r="A10" s="9">
        <v>8</v>
      </c>
      <c r="B10" s="9">
        <f t="shared" ca="1" si="0"/>
        <v>0.69781400096836699</v>
      </c>
      <c r="C10" s="9" t="s">
        <v>24</v>
      </c>
      <c r="I10" s="11">
        <v>0.21</v>
      </c>
      <c r="J10" s="12">
        <v>0</v>
      </c>
      <c r="K10" s="12">
        <v>1</v>
      </c>
    </row>
    <row r="11" spans="1:11" x14ac:dyDescent="0.2">
      <c r="A11" s="9">
        <v>9</v>
      </c>
      <c r="B11" s="9">
        <f t="shared" ca="1" si="0"/>
        <v>0.74165941232401844</v>
      </c>
      <c r="C11" s="9" t="s">
        <v>24</v>
      </c>
      <c r="I11" s="11">
        <v>0.24</v>
      </c>
      <c r="J11" s="12">
        <v>7.7821011673151752E-3</v>
      </c>
      <c r="K11" s="12">
        <v>1</v>
      </c>
    </row>
    <row r="12" spans="1:11" x14ac:dyDescent="0.2">
      <c r="A12" s="9">
        <v>10</v>
      </c>
      <c r="B12" s="9">
        <f t="shared" ca="1" si="0"/>
        <v>0.99579179612289526</v>
      </c>
      <c r="C12" s="9" t="s">
        <v>24</v>
      </c>
      <c r="I12" s="11">
        <v>0.27</v>
      </c>
      <c r="J12" s="12">
        <v>5.8365758754863814E-3</v>
      </c>
      <c r="K12" s="12">
        <v>1</v>
      </c>
    </row>
    <row r="13" spans="1:11" x14ac:dyDescent="0.2">
      <c r="A13" s="9">
        <v>11</v>
      </c>
      <c r="B13" s="9">
        <f t="shared" ca="1" si="0"/>
        <v>0.49790958165175114</v>
      </c>
      <c r="C13" s="9" t="s">
        <v>24</v>
      </c>
      <c r="I13" s="11">
        <v>0.3</v>
      </c>
      <c r="J13" s="12">
        <v>2.7290448343079921E-2</v>
      </c>
      <c r="K13" s="12">
        <v>1</v>
      </c>
    </row>
    <row r="14" spans="1:11" x14ac:dyDescent="0.2">
      <c r="A14" s="9">
        <v>12</v>
      </c>
      <c r="B14" s="9">
        <f t="shared" ca="1" si="0"/>
        <v>0.76537090726562007</v>
      </c>
      <c r="C14" s="9" t="s">
        <v>24</v>
      </c>
      <c r="I14" s="11">
        <v>0.33</v>
      </c>
      <c r="J14" s="12">
        <v>3.3073929961089495E-2</v>
      </c>
      <c r="K14" s="12">
        <v>1</v>
      </c>
    </row>
    <row r="15" spans="1:11" x14ac:dyDescent="0.2">
      <c r="A15" s="9">
        <v>13</v>
      </c>
      <c r="B15" s="9">
        <f t="shared" ca="1" si="0"/>
        <v>0.56550290551681914</v>
      </c>
      <c r="C15" s="9" t="s">
        <v>23</v>
      </c>
      <c r="I15" s="11">
        <v>0.36</v>
      </c>
      <c r="J15" s="12">
        <v>4.4747081712062257E-2</v>
      </c>
      <c r="K15" s="12">
        <v>1</v>
      </c>
    </row>
    <row r="16" spans="1:11" x14ac:dyDescent="0.2">
      <c r="A16" s="9">
        <v>14</v>
      </c>
      <c r="B16" s="9">
        <f t="shared" ca="1" si="0"/>
        <v>0.71002795298040422</v>
      </c>
      <c r="C16" s="9" t="s">
        <v>23</v>
      </c>
      <c r="I16" s="11">
        <v>0.39</v>
      </c>
      <c r="J16" s="12">
        <v>7.7821011673151752E-2</v>
      </c>
      <c r="K16" s="12">
        <v>1</v>
      </c>
    </row>
    <row r="17" spans="1:11" x14ac:dyDescent="0.2">
      <c r="A17" s="9">
        <v>15</v>
      </c>
      <c r="B17" s="9">
        <f t="shared" ca="1" si="0"/>
        <v>0.7060689684273993</v>
      </c>
      <c r="C17" s="9" t="s">
        <v>23</v>
      </c>
      <c r="I17" s="11">
        <v>0.42</v>
      </c>
      <c r="J17" s="12">
        <v>0.10721247563352826</v>
      </c>
      <c r="K17" s="12">
        <v>0.99794661190965095</v>
      </c>
    </row>
    <row r="18" spans="1:11" x14ac:dyDescent="0.2">
      <c r="A18" s="9">
        <v>16</v>
      </c>
      <c r="B18" s="9">
        <f t="shared" ca="1" si="0"/>
        <v>0.57563623931967056</v>
      </c>
      <c r="C18" s="9" t="s">
        <v>24</v>
      </c>
      <c r="I18" s="11">
        <v>0.45</v>
      </c>
      <c r="J18" s="12">
        <v>0.14619883040935672</v>
      </c>
      <c r="K18" s="12">
        <v>0.9958932238193019</v>
      </c>
    </row>
    <row r="19" spans="1:11" x14ac:dyDescent="0.2">
      <c r="A19" s="9">
        <v>17</v>
      </c>
      <c r="B19" s="9">
        <f t="shared" ca="1" si="0"/>
        <v>0.78399961976621302</v>
      </c>
      <c r="C19" s="9" t="s">
        <v>23</v>
      </c>
      <c r="I19" s="11">
        <v>0.48</v>
      </c>
      <c r="J19" s="12">
        <v>0.21011673151750973</v>
      </c>
      <c r="K19" s="12">
        <v>0.97942386831275718</v>
      </c>
    </row>
    <row r="20" spans="1:11" x14ac:dyDescent="0.2">
      <c r="A20" s="9">
        <v>18</v>
      </c>
      <c r="B20" s="9">
        <f t="shared" ca="1" si="0"/>
        <v>0.70061880567147161</v>
      </c>
      <c r="C20" s="9" t="s">
        <v>24</v>
      </c>
      <c r="I20" s="11">
        <v>0.51</v>
      </c>
      <c r="J20" s="12">
        <v>0.28015564202334631</v>
      </c>
      <c r="K20" s="12">
        <v>0.9711934156378601</v>
      </c>
    </row>
    <row r="21" spans="1:11" x14ac:dyDescent="0.2">
      <c r="A21" s="9">
        <v>19</v>
      </c>
      <c r="B21" s="9">
        <f t="shared" ca="1" si="0"/>
        <v>0.57313899374098232</v>
      </c>
      <c r="C21" s="9" t="s">
        <v>23</v>
      </c>
      <c r="I21" s="11">
        <v>0.54</v>
      </c>
      <c r="J21" s="12">
        <v>0.34241245136186771</v>
      </c>
      <c r="K21" s="12">
        <v>0.9238683127572016</v>
      </c>
    </row>
    <row r="22" spans="1:11" x14ac:dyDescent="0.2">
      <c r="A22" s="9">
        <v>20</v>
      </c>
      <c r="B22" s="9">
        <f t="shared" ca="1" si="0"/>
        <v>0.58288439963778904</v>
      </c>
      <c r="C22" s="9" t="s">
        <v>23</v>
      </c>
      <c r="I22" s="11">
        <v>0.56999999999999995</v>
      </c>
      <c r="J22" s="12">
        <v>0.40856031128404668</v>
      </c>
      <c r="K22" s="12">
        <v>0.89711934156378603</v>
      </c>
    </row>
    <row r="23" spans="1:11" x14ac:dyDescent="0.2">
      <c r="A23" s="9">
        <v>21</v>
      </c>
      <c r="B23" s="9">
        <f t="shared" ca="1" si="0"/>
        <v>0.71348957859650253</v>
      </c>
      <c r="C23" s="9" t="s">
        <v>23</v>
      </c>
      <c r="I23" s="11">
        <v>0.6</v>
      </c>
      <c r="J23" s="12">
        <v>0.48148148148148145</v>
      </c>
      <c r="K23" s="12">
        <v>0.82751540041067762</v>
      </c>
    </row>
    <row r="24" spans="1:11" x14ac:dyDescent="0.2">
      <c r="A24" s="9">
        <v>22</v>
      </c>
      <c r="B24" s="9">
        <f t="shared" ca="1" si="0"/>
        <v>0.71931278666967491</v>
      </c>
      <c r="C24" s="9" t="s">
        <v>24</v>
      </c>
      <c r="I24" s="11">
        <v>0.63</v>
      </c>
      <c r="J24" s="12">
        <v>0.58479532163742687</v>
      </c>
      <c r="K24" s="12">
        <v>0.74948665297741268</v>
      </c>
    </row>
    <row r="25" spans="1:11" x14ac:dyDescent="0.2">
      <c r="A25" s="9">
        <v>23</v>
      </c>
      <c r="B25" s="9">
        <f t="shared" ca="1" si="0"/>
        <v>0.71473340631670046</v>
      </c>
      <c r="C25" s="9" t="s">
        <v>23</v>
      </c>
      <c r="I25" s="11">
        <v>0.66</v>
      </c>
      <c r="J25" s="12">
        <v>0.64785992217898836</v>
      </c>
      <c r="K25" s="12">
        <v>0.63580246913580252</v>
      </c>
    </row>
    <row r="26" spans="1:11" x14ac:dyDescent="0.2">
      <c r="A26" s="9">
        <v>24</v>
      </c>
      <c r="B26" s="9">
        <f t="shared" ca="1" si="0"/>
        <v>0.53954512226376306</v>
      </c>
      <c r="C26" s="9" t="s">
        <v>23</v>
      </c>
      <c r="I26" s="11">
        <v>0.69</v>
      </c>
      <c r="J26" s="12">
        <v>0.71011673151750976</v>
      </c>
      <c r="K26" s="12">
        <v>0.58436213991769548</v>
      </c>
    </row>
    <row r="27" spans="1:11" x14ac:dyDescent="0.2">
      <c r="A27" s="9">
        <v>25</v>
      </c>
      <c r="B27" s="9">
        <f t="shared" ca="1" si="0"/>
        <v>0.74644495132580257</v>
      </c>
      <c r="C27" s="9" t="s">
        <v>23</v>
      </c>
      <c r="I27" s="11">
        <v>0.72</v>
      </c>
      <c r="J27" s="12">
        <v>0.81676413255360625</v>
      </c>
      <c r="K27" s="12">
        <v>0.4209445585215606</v>
      </c>
    </row>
    <row r="28" spans="1:11" x14ac:dyDescent="0.2">
      <c r="A28" s="9">
        <v>26</v>
      </c>
      <c r="B28" s="9">
        <f t="shared" ca="1" si="0"/>
        <v>0.75659317735351028</v>
      </c>
      <c r="C28" s="9" t="s">
        <v>23</v>
      </c>
      <c r="I28" s="11">
        <v>0.75</v>
      </c>
      <c r="J28" s="12">
        <v>0.84241245136186771</v>
      </c>
      <c r="K28" s="12">
        <v>0.30041152263374488</v>
      </c>
    </row>
    <row r="29" spans="1:11" x14ac:dyDescent="0.2">
      <c r="A29" s="9">
        <v>27</v>
      </c>
      <c r="B29" s="9">
        <f t="shared" ca="1" si="0"/>
        <v>0.59062676999725694</v>
      </c>
      <c r="C29" s="9" t="s">
        <v>24</v>
      </c>
      <c r="I29" s="11">
        <v>0.78</v>
      </c>
      <c r="J29" s="12">
        <v>0.88715953307392992</v>
      </c>
      <c r="K29" s="12">
        <v>0.21604938271604937</v>
      </c>
    </row>
    <row r="30" spans="1:11" x14ac:dyDescent="0.2">
      <c r="A30" s="9">
        <v>28</v>
      </c>
      <c r="B30" s="9">
        <f t="shared" ca="1" si="0"/>
        <v>0.80536614132211293</v>
      </c>
      <c r="C30" s="9" t="s">
        <v>23</v>
      </c>
      <c r="I30" s="11">
        <v>0.81</v>
      </c>
      <c r="J30" s="12">
        <v>0.93372319688109162</v>
      </c>
      <c r="K30" s="12">
        <v>0.12936344969199179</v>
      </c>
    </row>
    <row r="31" spans="1:11" x14ac:dyDescent="0.2">
      <c r="A31" s="9">
        <v>29</v>
      </c>
      <c r="B31" s="9">
        <f t="shared" ca="1" si="0"/>
        <v>0.80400817368942012</v>
      </c>
      <c r="C31" s="9" t="s">
        <v>24</v>
      </c>
      <c r="I31" s="11">
        <v>0.84</v>
      </c>
      <c r="J31" s="12">
        <v>0.94346978557504868</v>
      </c>
      <c r="K31" s="12">
        <v>9.4455852156057493E-2</v>
      </c>
    </row>
    <row r="32" spans="1:11" x14ac:dyDescent="0.2">
      <c r="A32" s="9">
        <v>30</v>
      </c>
      <c r="B32" s="9">
        <f t="shared" ca="1" si="0"/>
        <v>0.79715401346852488</v>
      </c>
      <c r="C32" s="9" t="s">
        <v>23</v>
      </c>
      <c r="I32" s="11">
        <v>0.87</v>
      </c>
      <c r="J32" s="12">
        <v>0.95525291828793779</v>
      </c>
      <c r="K32" s="12">
        <v>4.5267489711934158E-2</v>
      </c>
    </row>
    <row r="33" spans="1:11" x14ac:dyDescent="0.2">
      <c r="A33" s="9">
        <v>31</v>
      </c>
      <c r="B33" s="9">
        <f t="shared" ca="1" si="0"/>
        <v>0.59712502094799691</v>
      </c>
      <c r="C33" s="9" t="s">
        <v>23</v>
      </c>
      <c r="I33" s="11">
        <v>0.9</v>
      </c>
      <c r="J33" s="12">
        <v>0.97470817120622566</v>
      </c>
      <c r="K33" s="12">
        <v>1.646090534979424E-2</v>
      </c>
    </row>
    <row r="34" spans="1:11" x14ac:dyDescent="0.2">
      <c r="A34" s="9">
        <v>32</v>
      </c>
      <c r="B34" s="9">
        <f t="shared" ca="1" si="0"/>
        <v>0.66884936982047982</v>
      </c>
      <c r="C34" s="9" t="s">
        <v>24</v>
      </c>
      <c r="I34" s="11">
        <v>0.93</v>
      </c>
      <c r="J34" s="12">
        <v>0.99220272904483431</v>
      </c>
      <c r="K34" s="12">
        <v>8.2135523613963042E-3</v>
      </c>
    </row>
    <row r="35" spans="1:11" x14ac:dyDescent="0.2">
      <c r="A35" s="9">
        <v>33</v>
      </c>
      <c r="B35" s="9">
        <f t="shared" ca="1" si="0"/>
        <v>0.51846445545602238</v>
      </c>
      <c r="C35" s="9" t="s">
        <v>24</v>
      </c>
      <c r="I35" s="11">
        <v>0.96</v>
      </c>
      <c r="J35" s="12">
        <v>0.99415204678362568</v>
      </c>
      <c r="K35" s="12">
        <v>4.1067761806981521E-3</v>
      </c>
    </row>
    <row r="36" spans="1:11" x14ac:dyDescent="0.2">
      <c r="A36" s="9">
        <v>34</v>
      </c>
      <c r="B36" s="9">
        <f t="shared" ca="1" si="0"/>
        <v>0.52424327627382561</v>
      </c>
      <c r="C36" s="9" t="s">
        <v>24</v>
      </c>
      <c r="I36" s="11">
        <v>0.99</v>
      </c>
      <c r="J36" s="12">
        <v>0.99027237354085607</v>
      </c>
      <c r="K36" s="12">
        <v>2.05761316872428E-3</v>
      </c>
    </row>
    <row r="37" spans="1:11" x14ac:dyDescent="0.2">
      <c r="A37" s="9">
        <v>35</v>
      </c>
      <c r="B37" s="9">
        <f t="shared" ca="1" si="0"/>
        <v>0.89717109054112298</v>
      </c>
      <c r="C37" s="9" t="s">
        <v>23</v>
      </c>
      <c r="I37" s="11"/>
    </row>
    <row r="38" spans="1:11" x14ac:dyDescent="0.2">
      <c r="A38" s="9">
        <v>36</v>
      </c>
      <c r="B38" s="9">
        <f t="shared" ca="1" si="0"/>
        <v>0.82066054262405863</v>
      </c>
      <c r="C38" s="9" t="s">
        <v>24</v>
      </c>
    </row>
    <row r="39" spans="1:11" x14ac:dyDescent="0.2">
      <c r="A39" s="9">
        <v>37</v>
      </c>
      <c r="B39" s="9">
        <f t="shared" ca="1" si="0"/>
        <v>0.35285143286397891</v>
      </c>
      <c r="C39" s="9" t="s">
        <v>24</v>
      </c>
    </row>
    <row r="40" spans="1:11" x14ac:dyDescent="0.2">
      <c r="A40" s="9">
        <v>38</v>
      </c>
      <c r="B40" s="9">
        <f t="shared" ca="1" si="0"/>
        <v>0.648444512056087</v>
      </c>
      <c r="C40" s="9" t="s">
        <v>23</v>
      </c>
    </row>
    <row r="41" spans="1:11" x14ac:dyDescent="0.2">
      <c r="A41" s="9">
        <v>39</v>
      </c>
      <c r="B41" s="9">
        <f t="shared" ca="1" si="0"/>
        <v>0.54331234401599049</v>
      </c>
      <c r="C41" s="9" t="s">
        <v>24</v>
      </c>
    </row>
    <row r="42" spans="1:11" x14ac:dyDescent="0.2">
      <c r="A42" s="9">
        <v>40</v>
      </c>
      <c r="B42" s="9">
        <f t="shared" ca="1" si="0"/>
        <v>0.71600801875761411</v>
      </c>
      <c r="C42" s="9" t="s">
        <v>23</v>
      </c>
    </row>
    <row r="43" spans="1:11" x14ac:dyDescent="0.2">
      <c r="A43" s="9">
        <v>41</v>
      </c>
      <c r="B43" s="9">
        <f t="shared" ca="1" si="0"/>
        <v>0.59909759105091931</v>
      </c>
      <c r="C43" s="9" t="s">
        <v>24</v>
      </c>
    </row>
    <row r="44" spans="1:11" x14ac:dyDescent="0.2">
      <c r="A44" s="9">
        <v>42</v>
      </c>
      <c r="B44" s="9">
        <f t="shared" ca="1" si="0"/>
        <v>0.48372505798898802</v>
      </c>
      <c r="C44" s="9" t="s">
        <v>24</v>
      </c>
    </row>
    <row r="45" spans="1:11" x14ac:dyDescent="0.2">
      <c r="A45" s="9">
        <v>43</v>
      </c>
      <c r="B45" s="9">
        <f t="shared" ca="1" si="0"/>
        <v>0.5039304401065221</v>
      </c>
      <c r="C45" s="9" t="s">
        <v>24</v>
      </c>
    </row>
    <row r="46" spans="1:11" x14ac:dyDescent="0.2">
      <c r="A46" s="9">
        <v>44</v>
      </c>
      <c r="B46" s="9">
        <f t="shared" ca="1" si="0"/>
        <v>0.57514954834484422</v>
      </c>
      <c r="C46" s="9" t="s">
        <v>24</v>
      </c>
    </row>
    <row r="47" spans="1:11" x14ac:dyDescent="0.2">
      <c r="A47" s="9">
        <v>45</v>
      </c>
      <c r="B47" s="9">
        <f t="shared" ca="1" si="0"/>
        <v>0.45823043826195431</v>
      </c>
      <c r="C47" s="9" t="s">
        <v>24</v>
      </c>
    </row>
    <row r="48" spans="1:11" x14ac:dyDescent="0.2">
      <c r="A48" s="9">
        <v>46</v>
      </c>
      <c r="B48" s="9">
        <f t="shared" ca="1" si="0"/>
        <v>0.74331648240684889</v>
      </c>
      <c r="C48" s="9" t="s">
        <v>23</v>
      </c>
    </row>
    <row r="49" spans="1:3" x14ac:dyDescent="0.2">
      <c r="A49" s="9">
        <v>47</v>
      </c>
      <c r="B49" s="9">
        <f t="shared" ca="1" si="0"/>
        <v>0.61749522018871206</v>
      </c>
      <c r="C49" s="9" t="s">
        <v>23</v>
      </c>
    </row>
    <row r="50" spans="1:3" x14ac:dyDescent="0.2">
      <c r="A50" s="9">
        <v>48</v>
      </c>
      <c r="B50" s="9">
        <f t="shared" ca="1" si="0"/>
        <v>0.53441510417340687</v>
      </c>
      <c r="C50" s="9" t="s">
        <v>24</v>
      </c>
    </row>
    <row r="51" spans="1:3" x14ac:dyDescent="0.2">
      <c r="A51" s="9">
        <v>49</v>
      </c>
      <c r="B51" s="9">
        <f t="shared" ca="1" si="0"/>
        <v>0.64028596663999715</v>
      </c>
      <c r="C51" s="9" t="s">
        <v>23</v>
      </c>
    </row>
    <row r="52" spans="1:3" x14ac:dyDescent="0.2">
      <c r="A52" s="9">
        <v>50</v>
      </c>
      <c r="B52" s="9">
        <f t="shared" ca="1" si="0"/>
        <v>0.7645312978692973</v>
      </c>
      <c r="C52" s="9" t="s">
        <v>23</v>
      </c>
    </row>
    <row r="53" spans="1:3" x14ac:dyDescent="0.2">
      <c r="A53" s="9">
        <v>51</v>
      </c>
      <c r="B53" s="9">
        <f t="shared" ca="1" si="0"/>
        <v>0.73888176698671348</v>
      </c>
      <c r="C53" s="9" t="s">
        <v>23</v>
      </c>
    </row>
    <row r="54" spans="1:3" x14ac:dyDescent="0.2">
      <c r="A54" s="9">
        <v>52</v>
      </c>
      <c r="B54" s="9">
        <f t="shared" ca="1" si="0"/>
        <v>0.77446855408491344</v>
      </c>
      <c r="C54" s="9" t="s">
        <v>24</v>
      </c>
    </row>
    <row r="55" spans="1:3" x14ac:dyDescent="0.2">
      <c r="A55" s="9">
        <v>53</v>
      </c>
      <c r="B55" s="9">
        <f t="shared" ca="1" si="0"/>
        <v>0.45110799484597458</v>
      </c>
      <c r="C55" s="9" t="s">
        <v>24</v>
      </c>
    </row>
    <row r="56" spans="1:3" x14ac:dyDescent="0.2">
      <c r="A56" s="9">
        <v>54</v>
      </c>
      <c r="B56" s="9">
        <f t="shared" ca="1" si="0"/>
        <v>0.68569253771959515</v>
      </c>
      <c r="C56" s="9" t="s">
        <v>23</v>
      </c>
    </row>
    <row r="57" spans="1:3" x14ac:dyDescent="0.2">
      <c r="A57" s="9">
        <v>55</v>
      </c>
      <c r="B57" s="9">
        <f t="shared" ca="1" si="0"/>
        <v>0.64816069862065373</v>
      </c>
      <c r="C57" s="9" t="s">
        <v>23</v>
      </c>
    </row>
    <row r="58" spans="1:3" x14ac:dyDescent="0.2">
      <c r="A58" s="9">
        <v>56</v>
      </c>
      <c r="B58" s="9">
        <f t="shared" ca="1" si="0"/>
        <v>0.6349281715303392</v>
      </c>
      <c r="C58" s="9" t="s">
        <v>23</v>
      </c>
    </row>
    <row r="59" spans="1:3" x14ac:dyDescent="0.2">
      <c r="A59" s="9">
        <v>57</v>
      </c>
      <c r="B59" s="9">
        <f t="shared" ca="1" si="0"/>
        <v>0.46776921045253667</v>
      </c>
      <c r="C59" s="9" t="s">
        <v>24</v>
      </c>
    </row>
    <row r="60" spans="1:3" x14ac:dyDescent="0.2">
      <c r="A60" s="9">
        <v>58</v>
      </c>
      <c r="B60" s="9">
        <f t="shared" ca="1" si="0"/>
        <v>0.70488595916002783</v>
      </c>
      <c r="C60" s="9" t="s">
        <v>23</v>
      </c>
    </row>
    <row r="61" spans="1:3" x14ac:dyDescent="0.2">
      <c r="A61" s="9">
        <v>59</v>
      </c>
      <c r="B61" s="9">
        <f t="shared" ca="1" si="0"/>
        <v>0.50702388444038815</v>
      </c>
      <c r="C61" s="9" t="s">
        <v>23</v>
      </c>
    </row>
    <row r="62" spans="1:3" x14ac:dyDescent="0.2">
      <c r="A62" s="9">
        <v>60</v>
      </c>
      <c r="B62" s="9">
        <f t="shared" ca="1" si="0"/>
        <v>0.51181444435677859</v>
      </c>
      <c r="C62" s="9" t="s">
        <v>24</v>
      </c>
    </row>
    <row r="63" spans="1:3" x14ac:dyDescent="0.2">
      <c r="A63" s="9">
        <v>61</v>
      </c>
      <c r="B63" s="9">
        <f t="shared" ca="1" si="0"/>
        <v>0.67626245960961195</v>
      </c>
      <c r="C63" s="9" t="s">
        <v>24</v>
      </c>
    </row>
    <row r="64" spans="1:3" x14ac:dyDescent="0.2">
      <c r="A64" s="9">
        <v>62</v>
      </c>
      <c r="B64" s="9">
        <f t="shared" ca="1" si="0"/>
        <v>0.6114237379227766</v>
      </c>
      <c r="C64" s="9" t="s">
        <v>24</v>
      </c>
    </row>
    <row r="65" spans="1:3" x14ac:dyDescent="0.2">
      <c r="A65" s="9">
        <v>63</v>
      </c>
      <c r="B65" s="9">
        <f t="shared" ca="1" si="0"/>
        <v>0.82417680755294875</v>
      </c>
      <c r="C65" s="9" t="s">
        <v>23</v>
      </c>
    </row>
    <row r="66" spans="1:3" x14ac:dyDescent="0.2">
      <c r="A66" s="9">
        <v>64</v>
      </c>
      <c r="B66" s="9">
        <f t="shared" ca="1" si="0"/>
        <v>0.69914056000328706</v>
      </c>
      <c r="C66" s="9" t="s">
        <v>23</v>
      </c>
    </row>
    <row r="67" spans="1:3" x14ac:dyDescent="0.2">
      <c r="A67" s="9">
        <v>65</v>
      </c>
      <c r="B67" s="9">
        <f t="shared" ca="1" si="0"/>
        <v>0.79383126208099508</v>
      </c>
      <c r="C67" s="9" t="s">
        <v>23</v>
      </c>
    </row>
    <row r="68" spans="1:3" x14ac:dyDescent="0.2">
      <c r="A68" s="9">
        <v>66</v>
      </c>
      <c r="B68" s="9">
        <f t="shared" ref="B68:B131" ca="1" si="1">IF(C68="Bomb",_xlfn.NORM.INV(RAND(),0.7,0.1),_xlfn.NORM.INV(RAND(),0.6,0.15))</f>
        <v>0.60136620266666463</v>
      </c>
      <c r="C68" s="9" t="s">
        <v>23</v>
      </c>
    </row>
    <row r="69" spans="1:3" x14ac:dyDescent="0.2">
      <c r="A69" s="9">
        <v>67</v>
      </c>
      <c r="B69" s="9">
        <f t="shared" ca="1" si="1"/>
        <v>0.72924807890382481</v>
      </c>
      <c r="C69" s="9" t="s">
        <v>23</v>
      </c>
    </row>
    <row r="70" spans="1:3" x14ac:dyDescent="0.2">
      <c r="A70" s="9">
        <v>68</v>
      </c>
      <c r="B70" s="9">
        <f t="shared" ca="1" si="1"/>
        <v>0.45741951778075618</v>
      </c>
      <c r="C70" s="9" t="s">
        <v>24</v>
      </c>
    </row>
    <row r="71" spans="1:3" x14ac:dyDescent="0.2">
      <c r="A71" s="9">
        <v>69</v>
      </c>
      <c r="B71" s="9">
        <f t="shared" ca="1" si="1"/>
        <v>0.87695260846012135</v>
      </c>
      <c r="C71" s="9" t="s">
        <v>24</v>
      </c>
    </row>
    <row r="72" spans="1:3" x14ac:dyDescent="0.2">
      <c r="A72" s="9">
        <v>70</v>
      </c>
      <c r="B72" s="9">
        <f t="shared" ca="1" si="1"/>
        <v>0.48886028956255279</v>
      </c>
      <c r="C72" s="9" t="s">
        <v>24</v>
      </c>
    </row>
    <row r="73" spans="1:3" x14ac:dyDescent="0.2">
      <c r="A73" s="9">
        <v>71</v>
      </c>
      <c r="B73" s="9">
        <f t="shared" ca="1" si="1"/>
        <v>0.50362115637530158</v>
      </c>
      <c r="C73" s="9" t="s">
        <v>24</v>
      </c>
    </row>
    <row r="74" spans="1:3" x14ac:dyDescent="0.2">
      <c r="A74" s="9">
        <v>72</v>
      </c>
      <c r="B74" s="9">
        <f t="shared" ca="1" si="1"/>
        <v>0.63062005798819865</v>
      </c>
      <c r="C74" s="9" t="s">
        <v>24</v>
      </c>
    </row>
    <row r="75" spans="1:3" x14ac:dyDescent="0.2">
      <c r="A75" s="9">
        <v>73</v>
      </c>
      <c r="B75" s="9">
        <f t="shared" ca="1" si="1"/>
        <v>0.75716008950302804</v>
      </c>
      <c r="C75" s="9" t="s">
        <v>23</v>
      </c>
    </row>
    <row r="76" spans="1:3" x14ac:dyDescent="0.2">
      <c r="A76" s="9">
        <v>74</v>
      </c>
      <c r="B76" s="9">
        <f t="shared" ca="1" si="1"/>
        <v>0.81675769103871754</v>
      </c>
      <c r="C76" s="9" t="s">
        <v>23</v>
      </c>
    </row>
    <row r="77" spans="1:3" x14ac:dyDescent="0.2">
      <c r="A77" s="9">
        <v>75</v>
      </c>
      <c r="B77" s="9">
        <f t="shared" ca="1" si="1"/>
        <v>0.81745152494644413</v>
      </c>
      <c r="C77" s="9" t="s">
        <v>23</v>
      </c>
    </row>
    <row r="78" spans="1:3" x14ac:dyDescent="0.2">
      <c r="A78" s="9">
        <v>76</v>
      </c>
      <c r="B78" s="9">
        <f t="shared" ca="1" si="1"/>
        <v>0.78852141913482232</v>
      </c>
      <c r="C78" s="9" t="s">
        <v>23</v>
      </c>
    </row>
    <row r="79" spans="1:3" x14ac:dyDescent="0.2">
      <c r="A79" s="9">
        <v>77</v>
      </c>
      <c r="B79" s="9">
        <f t="shared" ca="1" si="1"/>
        <v>0.74106960403750444</v>
      </c>
      <c r="C79" s="9" t="s">
        <v>24</v>
      </c>
    </row>
    <row r="80" spans="1:3" x14ac:dyDescent="0.2">
      <c r="A80" s="9">
        <v>78</v>
      </c>
      <c r="B80" s="9">
        <f t="shared" ca="1" si="1"/>
        <v>0.54184234095028339</v>
      </c>
      <c r="C80" s="9" t="s">
        <v>23</v>
      </c>
    </row>
    <row r="81" spans="1:3" x14ac:dyDescent="0.2">
      <c r="A81" s="9">
        <v>79</v>
      </c>
      <c r="B81" s="9">
        <f t="shared" ca="1" si="1"/>
        <v>0.59044365829584744</v>
      </c>
      <c r="C81" s="9" t="s">
        <v>24</v>
      </c>
    </row>
    <row r="82" spans="1:3" x14ac:dyDescent="0.2">
      <c r="A82" s="9">
        <v>80</v>
      </c>
      <c r="B82" s="9">
        <f t="shared" ca="1" si="1"/>
        <v>0.78627938780434981</v>
      </c>
      <c r="C82" s="9" t="s">
        <v>23</v>
      </c>
    </row>
    <row r="83" spans="1:3" x14ac:dyDescent="0.2">
      <c r="A83" s="9">
        <v>81</v>
      </c>
      <c r="B83" s="9">
        <f t="shared" ca="1" si="1"/>
        <v>0.60967511958248866</v>
      </c>
      <c r="C83" s="9" t="s">
        <v>23</v>
      </c>
    </row>
    <row r="84" spans="1:3" x14ac:dyDescent="0.2">
      <c r="A84" s="9">
        <v>82</v>
      </c>
      <c r="B84" s="9">
        <f t="shared" ca="1" si="1"/>
        <v>0.53076356854484785</v>
      </c>
      <c r="C84" s="9" t="s">
        <v>24</v>
      </c>
    </row>
    <row r="85" spans="1:3" x14ac:dyDescent="0.2">
      <c r="A85" s="9">
        <v>83</v>
      </c>
      <c r="B85" s="9">
        <f t="shared" ca="1" si="1"/>
        <v>0.72981795171497665</v>
      </c>
      <c r="C85" s="9" t="s">
        <v>23</v>
      </c>
    </row>
    <row r="86" spans="1:3" x14ac:dyDescent="0.2">
      <c r="A86" s="9">
        <v>84</v>
      </c>
      <c r="B86" s="9">
        <f t="shared" ca="1" si="1"/>
        <v>0.6459911407919986</v>
      </c>
      <c r="C86" s="9" t="s">
        <v>23</v>
      </c>
    </row>
    <row r="87" spans="1:3" x14ac:dyDescent="0.2">
      <c r="A87" s="9">
        <v>85</v>
      </c>
      <c r="B87" s="9">
        <f t="shared" ca="1" si="1"/>
        <v>0.74513322920262415</v>
      </c>
      <c r="C87" s="9" t="s">
        <v>24</v>
      </c>
    </row>
    <row r="88" spans="1:3" x14ac:dyDescent="0.2">
      <c r="A88" s="9">
        <v>86</v>
      </c>
      <c r="B88" s="9">
        <f t="shared" ca="1" si="1"/>
        <v>0.24569205750056172</v>
      </c>
      <c r="C88" s="9" t="s">
        <v>24</v>
      </c>
    </row>
    <row r="89" spans="1:3" x14ac:dyDescent="0.2">
      <c r="A89" s="9">
        <v>87</v>
      </c>
      <c r="B89" s="9">
        <f t="shared" ca="1" si="1"/>
        <v>0.61733934647739985</v>
      </c>
      <c r="C89" s="9" t="s">
        <v>24</v>
      </c>
    </row>
    <row r="90" spans="1:3" x14ac:dyDescent="0.2">
      <c r="A90" s="9">
        <v>88</v>
      </c>
      <c r="B90" s="9">
        <f t="shared" ca="1" si="1"/>
        <v>0.52993599555830795</v>
      </c>
      <c r="C90" s="9" t="s">
        <v>24</v>
      </c>
    </row>
    <row r="91" spans="1:3" x14ac:dyDescent="0.2">
      <c r="A91" s="9">
        <v>89</v>
      </c>
      <c r="B91" s="9">
        <f t="shared" ca="1" si="1"/>
        <v>0.46423623514992179</v>
      </c>
      <c r="C91" s="9" t="s">
        <v>24</v>
      </c>
    </row>
    <row r="92" spans="1:3" x14ac:dyDescent="0.2">
      <c r="A92" s="9">
        <v>90</v>
      </c>
      <c r="B92" s="9">
        <f t="shared" ca="1" si="1"/>
        <v>0.7812656108734316</v>
      </c>
      <c r="C92" s="9" t="s">
        <v>23</v>
      </c>
    </row>
    <row r="93" spans="1:3" x14ac:dyDescent="0.2">
      <c r="A93" s="9">
        <v>91</v>
      </c>
      <c r="B93" s="9">
        <f t="shared" ca="1" si="1"/>
        <v>0.86769551723410765</v>
      </c>
      <c r="C93" s="9" t="s">
        <v>23</v>
      </c>
    </row>
    <row r="94" spans="1:3" x14ac:dyDescent="0.2">
      <c r="A94" s="9">
        <v>92</v>
      </c>
      <c r="B94" s="9">
        <f t="shared" ca="1" si="1"/>
        <v>0.52618002943219899</v>
      </c>
      <c r="C94" s="9" t="s">
        <v>24</v>
      </c>
    </row>
    <row r="95" spans="1:3" x14ac:dyDescent="0.2">
      <c r="A95" s="9">
        <v>93</v>
      </c>
      <c r="B95" s="9">
        <f t="shared" ca="1" si="1"/>
        <v>0.63310581290200041</v>
      </c>
      <c r="C95" s="9" t="s">
        <v>23</v>
      </c>
    </row>
    <row r="96" spans="1:3" x14ac:dyDescent="0.2">
      <c r="A96" s="9">
        <v>94</v>
      </c>
      <c r="B96" s="9">
        <f t="shared" ca="1" si="1"/>
        <v>0.51644982173421161</v>
      </c>
      <c r="C96" s="9" t="s">
        <v>23</v>
      </c>
    </row>
    <row r="97" spans="1:3" x14ac:dyDescent="0.2">
      <c r="A97" s="9">
        <v>95</v>
      </c>
      <c r="B97" s="9">
        <f t="shared" ca="1" si="1"/>
        <v>0.39392058237908856</v>
      </c>
      <c r="C97" s="9" t="s">
        <v>24</v>
      </c>
    </row>
    <row r="98" spans="1:3" x14ac:dyDescent="0.2">
      <c r="A98" s="9">
        <v>96</v>
      </c>
      <c r="B98" s="9">
        <f t="shared" ca="1" si="1"/>
        <v>0.69126587372338999</v>
      </c>
      <c r="C98" s="9" t="s">
        <v>24</v>
      </c>
    </row>
    <row r="99" spans="1:3" x14ac:dyDescent="0.2">
      <c r="A99" s="9">
        <v>97</v>
      </c>
      <c r="B99" s="9">
        <f t="shared" ca="1" si="1"/>
        <v>0.85270446552813539</v>
      </c>
      <c r="C99" s="9" t="s">
        <v>23</v>
      </c>
    </row>
    <row r="100" spans="1:3" x14ac:dyDescent="0.2">
      <c r="A100" s="9">
        <v>98</v>
      </c>
      <c r="B100" s="9">
        <f t="shared" ca="1" si="1"/>
        <v>0.89181159966144241</v>
      </c>
      <c r="C100" s="9" t="s">
        <v>23</v>
      </c>
    </row>
    <row r="101" spans="1:3" x14ac:dyDescent="0.2">
      <c r="A101" s="9">
        <v>99</v>
      </c>
      <c r="B101" s="9">
        <f t="shared" ca="1" si="1"/>
        <v>0.50350395388211278</v>
      </c>
      <c r="C101" s="9" t="s">
        <v>23</v>
      </c>
    </row>
    <row r="102" spans="1:3" x14ac:dyDescent="0.2">
      <c r="A102" s="9">
        <v>100</v>
      </c>
      <c r="B102" s="9">
        <f t="shared" ca="1" si="1"/>
        <v>0.4690710362546644</v>
      </c>
      <c r="C102" s="9" t="s">
        <v>24</v>
      </c>
    </row>
    <row r="103" spans="1:3" x14ac:dyDescent="0.2">
      <c r="A103" s="9">
        <v>101</v>
      </c>
      <c r="B103" s="9">
        <f t="shared" ca="1" si="1"/>
        <v>0.73901406903955391</v>
      </c>
      <c r="C103" s="9" t="s">
        <v>23</v>
      </c>
    </row>
    <row r="104" spans="1:3" x14ac:dyDescent="0.2">
      <c r="A104" s="9">
        <v>102</v>
      </c>
      <c r="B104" s="9">
        <f t="shared" ca="1" si="1"/>
        <v>0.46300678995799416</v>
      </c>
      <c r="C104" s="9" t="s">
        <v>24</v>
      </c>
    </row>
    <row r="105" spans="1:3" x14ac:dyDescent="0.2">
      <c r="A105" s="9">
        <v>103</v>
      </c>
      <c r="B105" s="9">
        <f t="shared" ca="1" si="1"/>
        <v>0.71856513059159777</v>
      </c>
      <c r="C105" s="9" t="s">
        <v>24</v>
      </c>
    </row>
    <row r="106" spans="1:3" x14ac:dyDescent="0.2">
      <c r="A106" s="9">
        <v>104</v>
      </c>
      <c r="B106" s="9">
        <f t="shared" ca="1" si="1"/>
        <v>0.68528345512756628</v>
      </c>
      <c r="C106" s="9" t="s">
        <v>24</v>
      </c>
    </row>
    <row r="107" spans="1:3" x14ac:dyDescent="0.2">
      <c r="A107" s="9">
        <v>105</v>
      </c>
      <c r="B107" s="9">
        <f t="shared" ca="1" si="1"/>
        <v>0.49121195227062053</v>
      </c>
      <c r="C107" s="9" t="s">
        <v>23</v>
      </c>
    </row>
    <row r="108" spans="1:3" x14ac:dyDescent="0.2">
      <c r="A108" s="9">
        <v>106</v>
      </c>
      <c r="B108" s="9">
        <f t="shared" ca="1" si="1"/>
        <v>0.37723025223281204</v>
      </c>
      <c r="C108" s="9" t="s">
        <v>24</v>
      </c>
    </row>
    <row r="109" spans="1:3" x14ac:dyDescent="0.2">
      <c r="A109" s="9">
        <v>107</v>
      </c>
      <c r="B109" s="9">
        <f t="shared" ca="1" si="1"/>
        <v>0.60583809202753003</v>
      </c>
      <c r="C109" s="9" t="s">
        <v>24</v>
      </c>
    </row>
    <row r="110" spans="1:3" x14ac:dyDescent="0.2">
      <c r="A110" s="9">
        <v>108</v>
      </c>
      <c r="B110" s="9">
        <f t="shared" ca="1" si="1"/>
        <v>0.61219893710527185</v>
      </c>
      <c r="C110" s="9" t="s">
        <v>24</v>
      </c>
    </row>
    <row r="111" spans="1:3" x14ac:dyDescent="0.2">
      <c r="A111" s="9">
        <v>109</v>
      </c>
      <c r="B111" s="9">
        <f t="shared" ca="1" si="1"/>
        <v>0.71177999909659584</v>
      </c>
      <c r="C111" s="9" t="s">
        <v>24</v>
      </c>
    </row>
    <row r="112" spans="1:3" x14ac:dyDescent="0.2">
      <c r="A112" s="9">
        <v>110</v>
      </c>
      <c r="B112" s="9">
        <f t="shared" ca="1" si="1"/>
        <v>0.52498742613280913</v>
      </c>
      <c r="C112" s="9" t="s">
        <v>24</v>
      </c>
    </row>
    <row r="113" spans="1:3" x14ac:dyDescent="0.2">
      <c r="A113" s="9">
        <v>111</v>
      </c>
      <c r="B113" s="9">
        <f t="shared" ca="1" si="1"/>
        <v>0.63949069170020634</v>
      </c>
      <c r="C113" s="9" t="s">
        <v>23</v>
      </c>
    </row>
    <row r="114" spans="1:3" x14ac:dyDescent="0.2">
      <c r="A114" s="9">
        <v>112</v>
      </c>
      <c r="B114" s="9">
        <f t="shared" ca="1" si="1"/>
        <v>0.35904316998668145</v>
      </c>
      <c r="C114" s="9" t="s">
        <v>24</v>
      </c>
    </row>
    <row r="115" spans="1:3" x14ac:dyDescent="0.2">
      <c r="A115" s="9">
        <v>113</v>
      </c>
      <c r="B115" s="9">
        <f t="shared" ca="1" si="1"/>
        <v>0.66218799114272631</v>
      </c>
      <c r="C115" s="9" t="s">
        <v>24</v>
      </c>
    </row>
    <row r="116" spans="1:3" x14ac:dyDescent="0.2">
      <c r="A116" s="9">
        <v>114</v>
      </c>
      <c r="B116" s="9">
        <f t="shared" ca="1" si="1"/>
        <v>0.71347253234192975</v>
      </c>
      <c r="C116" s="9" t="s">
        <v>24</v>
      </c>
    </row>
    <row r="117" spans="1:3" x14ac:dyDescent="0.2">
      <c r="A117" s="9">
        <v>115</v>
      </c>
      <c r="B117" s="9">
        <f t="shared" ca="1" si="1"/>
        <v>0.55319125527486213</v>
      </c>
      <c r="C117" s="9" t="s">
        <v>24</v>
      </c>
    </row>
    <row r="118" spans="1:3" x14ac:dyDescent="0.2">
      <c r="A118" s="9">
        <v>116</v>
      </c>
      <c r="B118" s="9">
        <f t="shared" ca="1" si="1"/>
        <v>0.62100862067233276</v>
      </c>
      <c r="C118" s="9" t="s">
        <v>24</v>
      </c>
    </row>
    <row r="119" spans="1:3" x14ac:dyDescent="0.2">
      <c r="A119" s="9">
        <v>117</v>
      </c>
      <c r="B119" s="9">
        <f t="shared" ca="1" si="1"/>
        <v>0.44626263709331482</v>
      </c>
      <c r="C119" s="9" t="s">
        <v>24</v>
      </c>
    </row>
    <row r="120" spans="1:3" x14ac:dyDescent="0.2">
      <c r="A120" s="9">
        <v>118</v>
      </c>
      <c r="B120" s="9">
        <f t="shared" ca="1" si="1"/>
        <v>0.59351556710494513</v>
      </c>
      <c r="C120" s="9" t="s">
        <v>24</v>
      </c>
    </row>
    <row r="121" spans="1:3" x14ac:dyDescent="0.2">
      <c r="A121" s="9">
        <v>119</v>
      </c>
      <c r="B121" s="9">
        <f t="shared" ca="1" si="1"/>
        <v>0.24040703121219964</v>
      </c>
      <c r="C121" s="9" t="s">
        <v>24</v>
      </c>
    </row>
    <row r="122" spans="1:3" x14ac:dyDescent="0.2">
      <c r="A122" s="9">
        <v>120</v>
      </c>
      <c r="B122" s="9">
        <f t="shared" ca="1" si="1"/>
        <v>0.64677486067474099</v>
      </c>
      <c r="C122" s="9" t="s">
        <v>23</v>
      </c>
    </row>
    <row r="123" spans="1:3" x14ac:dyDescent="0.2">
      <c r="A123" s="9">
        <v>121</v>
      </c>
      <c r="B123" s="9">
        <f t="shared" ca="1" si="1"/>
        <v>0.67202215683727951</v>
      </c>
      <c r="C123" s="9" t="s">
        <v>23</v>
      </c>
    </row>
    <row r="124" spans="1:3" x14ac:dyDescent="0.2">
      <c r="A124" s="9">
        <v>122</v>
      </c>
      <c r="B124" s="9">
        <f t="shared" ca="1" si="1"/>
        <v>0.29793320953501246</v>
      </c>
      <c r="C124" s="9" t="s">
        <v>24</v>
      </c>
    </row>
    <row r="125" spans="1:3" x14ac:dyDescent="0.2">
      <c r="A125" s="9">
        <v>123</v>
      </c>
      <c r="B125" s="9">
        <f t="shared" ca="1" si="1"/>
        <v>0.77409035099095669</v>
      </c>
      <c r="C125" s="9" t="s">
        <v>23</v>
      </c>
    </row>
    <row r="126" spans="1:3" x14ac:dyDescent="0.2">
      <c r="A126" s="9">
        <v>124</v>
      </c>
      <c r="B126" s="9">
        <f t="shared" ca="1" si="1"/>
        <v>0.61642824865706847</v>
      </c>
      <c r="C126" s="9" t="s">
        <v>23</v>
      </c>
    </row>
    <row r="127" spans="1:3" x14ac:dyDescent="0.2">
      <c r="A127" s="9">
        <v>125</v>
      </c>
      <c r="B127" s="9">
        <f t="shared" ca="1" si="1"/>
        <v>0.37936066790659284</v>
      </c>
      <c r="C127" s="9" t="s">
        <v>24</v>
      </c>
    </row>
    <row r="128" spans="1:3" x14ac:dyDescent="0.2">
      <c r="A128" s="9">
        <v>126</v>
      </c>
      <c r="B128" s="9">
        <f t="shared" ca="1" si="1"/>
        <v>0.50369645885663306</v>
      </c>
      <c r="C128" s="9" t="s">
        <v>24</v>
      </c>
    </row>
    <row r="129" spans="1:3" x14ac:dyDescent="0.2">
      <c r="A129" s="9">
        <v>127</v>
      </c>
      <c r="B129" s="9">
        <f t="shared" ca="1" si="1"/>
        <v>0.6079338718575753</v>
      </c>
      <c r="C129" s="9" t="s">
        <v>24</v>
      </c>
    </row>
    <row r="130" spans="1:3" x14ac:dyDescent="0.2">
      <c r="A130" s="9">
        <v>128</v>
      </c>
      <c r="B130" s="9">
        <f t="shared" ca="1" si="1"/>
        <v>0.52428440460453318</v>
      </c>
      <c r="C130" s="9" t="s">
        <v>24</v>
      </c>
    </row>
    <row r="131" spans="1:3" x14ac:dyDescent="0.2">
      <c r="A131" s="9">
        <v>129</v>
      </c>
      <c r="B131" s="9">
        <f t="shared" ca="1" si="1"/>
        <v>0.61762202442251057</v>
      </c>
      <c r="C131" s="9" t="s">
        <v>24</v>
      </c>
    </row>
    <row r="132" spans="1:3" x14ac:dyDescent="0.2">
      <c r="A132" s="9">
        <v>130</v>
      </c>
      <c r="B132" s="9">
        <f t="shared" ref="B132:B195" ca="1" si="2">IF(C132="Bomb",_xlfn.NORM.INV(RAND(),0.7,0.1),_xlfn.NORM.INV(RAND(),0.6,0.15))</f>
        <v>0.6632699328241235</v>
      </c>
      <c r="C132" s="9" t="s">
        <v>23</v>
      </c>
    </row>
    <row r="133" spans="1:3" x14ac:dyDescent="0.2">
      <c r="A133" s="9">
        <v>131</v>
      </c>
      <c r="B133" s="9">
        <f t="shared" ca="1" si="2"/>
        <v>0.69565410253236482</v>
      </c>
      <c r="C133" s="9" t="s">
        <v>23</v>
      </c>
    </row>
    <row r="134" spans="1:3" x14ac:dyDescent="0.2">
      <c r="A134" s="9">
        <v>132</v>
      </c>
      <c r="B134" s="9">
        <f t="shared" ca="1" si="2"/>
        <v>0.52957673429521246</v>
      </c>
      <c r="C134" s="9" t="s">
        <v>23</v>
      </c>
    </row>
    <row r="135" spans="1:3" x14ac:dyDescent="0.2">
      <c r="A135" s="9">
        <v>133</v>
      </c>
      <c r="B135" s="9">
        <f t="shared" ca="1" si="2"/>
        <v>0.79152053822997348</v>
      </c>
      <c r="C135" s="9" t="s">
        <v>23</v>
      </c>
    </row>
    <row r="136" spans="1:3" x14ac:dyDescent="0.2">
      <c r="A136" s="9">
        <v>134</v>
      </c>
      <c r="B136" s="9">
        <f t="shared" ca="1" si="2"/>
        <v>0.39298556702564624</v>
      </c>
      <c r="C136" s="9" t="s">
        <v>24</v>
      </c>
    </row>
    <row r="137" spans="1:3" x14ac:dyDescent="0.2">
      <c r="A137" s="9">
        <v>135</v>
      </c>
      <c r="B137" s="9">
        <f t="shared" ca="1" si="2"/>
        <v>0.7333973526448847</v>
      </c>
      <c r="C137" s="9" t="s">
        <v>23</v>
      </c>
    </row>
    <row r="138" spans="1:3" x14ac:dyDescent="0.2">
      <c r="A138" s="9">
        <v>136</v>
      </c>
      <c r="B138" s="9">
        <f t="shared" ca="1" si="2"/>
        <v>0.62861506641318743</v>
      </c>
      <c r="C138" s="9" t="s">
        <v>23</v>
      </c>
    </row>
    <row r="139" spans="1:3" x14ac:dyDescent="0.2">
      <c r="A139" s="9">
        <v>137</v>
      </c>
      <c r="B139" s="9">
        <f t="shared" ca="1" si="2"/>
        <v>0.55983060755971503</v>
      </c>
      <c r="C139" s="9" t="s">
        <v>24</v>
      </c>
    </row>
    <row r="140" spans="1:3" x14ac:dyDescent="0.2">
      <c r="A140" s="9">
        <v>138</v>
      </c>
      <c r="B140" s="9">
        <f t="shared" ca="1" si="2"/>
        <v>0.64991408055604305</v>
      </c>
      <c r="C140" s="9" t="s">
        <v>23</v>
      </c>
    </row>
    <row r="141" spans="1:3" x14ac:dyDescent="0.2">
      <c r="A141" s="9">
        <v>139</v>
      </c>
      <c r="B141" s="9">
        <f t="shared" ca="1" si="2"/>
        <v>0.61357972352998436</v>
      </c>
      <c r="C141" s="9" t="s">
        <v>24</v>
      </c>
    </row>
    <row r="142" spans="1:3" x14ac:dyDescent="0.2">
      <c r="A142" s="9">
        <v>140</v>
      </c>
      <c r="B142" s="9">
        <f t="shared" ca="1" si="2"/>
        <v>0.60333409509973512</v>
      </c>
      <c r="C142" s="9" t="s">
        <v>24</v>
      </c>
    </row>
    <row r="143" spans="1:3" x14ac:dyDescent="0.2">
      <c r="A143" s="9">
        <v>141</v>
      </c>
      <c r="B143" s="9">
        <f t="shared" ca="1" si="2"/>
        <v>0.77058541810330861</v>
      </c>
      <c r="C143" s="9" t="s">
        <v>24</v>
      </c>
    </row>
    <row r="144" spans="1:3" x14ac:dyDescent="0.2">
      <c r="A144" s="9">
        <v>142</v>
      </c>
      <c r="B144" s="9">
        <f t="shared" ca="1" si="2"/>
        <v>0.72421503272959498</v>
      </c>
      <c r="C144" s="9" t="s">
        <v>23</v>
      </c>
    </row>
    <row r="145" spans="1:3" x14ac:dyDescent="0.2">
      <c r="A145" s="9">
        <v>143</v>
      </c>
      <c r="B145" s="9">
        <f t="shared" ca="1" si="2"/>
        <v>0.69046834597977336</v>
      </c>
      <c r="C145" s="9" t="s">
        <v>24</v>
      </c>
    </row>
    <row r="146" spans="1:3" x14ac:dyDescent="0.2">
      <c r="A146" s="9">
        <v>144</v>
      </c>
      <c r="B146" s="9">
        <f t="shared" ca="1" si="2"/>
        <v>0.79711098294064564</v>
      </c>
      <c r="C146" s="9" t="s">
        <v>23</v>
      </c>
    </row>
    <row r="147" spans="1:3" x14ac:dyDescent="0.2">
      <c r="A147" s="9">
        <v>145</v>
      </c>
      <c r="B147" s="9">
        <f t="shared" ca="1" si="2"/>
        <v>0.92368884882966862</v>
      </c>
      <c r="C147" s="9" t="s">
        <v>24</v>
      </c>
    </row>
    <row r="148" spans="1:3" x14ac:dyDescent="0.2">
      <c r="A148" s="9">
        <v>146</v>
      </c>
      <c r="B148" s="9">
        <f t="shared" ca="1" si="2"/>
        <v>0.56165095307778434</v>
      </c>
      <c r="C148" s="9" t="s">
        <v>24</v>
      </c>
    </row>
    <row r="149" spans="1:3" x14ac:dyDescent="0.2">
      <c r="A149" s="9">
        <v>147</v>
      </c>
      <c r="B149" s="9">
        <f t="shared" ca="1" si="2"/>
        <v>0.68563452762278709</v>
      </c>
      <c r="C149" s="9" t="s">
        <v>23</v>
      </c>
    </row>
    <row r="150" spans="1:3" x14ac:dyDescent="0.2">
      <c r="A150" s="9">
        <v>148</v>
      </c>
      <c r="B150" s="9">
        <f t="shared" ca="1" si="2"/>
        <v>0.83554201387528471</v>
      </c>
      <c r="C150" s="9" t="s">
        <v>24</v>
      </c>
    </row>
    <row r="151" spans="1:3" x14ac:dyDescent="0.2">
      <c r="A151" s="9">
        <v>149</v>
      </c>
      <c r="B151" s="9">
        <f t="shared" ca="1" si="2"/>
        <v>0.67505840580638365</v>
      </c>
      <c r="C151" s="9" t="s">
        <v>24</v>
      </c>
    </row>
    <row r="152" spans="1:3" x14ac:dyDescent="0.2">
      <c r="A152" s="9">
        <v>150</v>
      </c>
      <c r="B152" s="9">
        <f t="shared" ca="1" si="2"/>
        <v>0.69943175488999532</v>
      </c>
      <c r="C152" s="9" t="s">
        <v>24</v>
      </c>
    </row>
    <row r="153" spans="1:3" x14ac:dyDescent="0.2">
      <c r="A153" s="9">
        <v>151</v>
      </c>
      <c r="B153" s="9">
        <f t="shared" ca="1" si="2"/>
        <v>0.82035126060648922</v>
      </c>
      <c r="C153" s="9" t="s">
        <v>23</v>
      </c>
    </row>
    <row r="154" spans="1:3" x14ac:dyDescent="0.2">
      <c r="A154" s="9">
        <v>152</v>
      </c>
      <c r="B154" s="9">
        <f t="shared" ca="1" si="2"/>
        <v>0.91097554988173657</v>
      </c>
      <c r="C154" s="9" t="s">
        <v>23</v>
      </c>
    </row>
    <row r="155" spans="1:3" x14ac:dyDescent="0.2">
      <c r="A155" s="9">
        <v>153</v>
      </c>
      <c r="B155" s="9">
        <f t="shared" ca="1" si="2"/>
        <v>0.85017957134647082</v>
      </c>
      <c r="C155" s="9" t="s">
        <v>23</v>
      </c>
    </row>
    <row r="156" spans="1:3" x14ac:dyDescent="0.2">
      <c r="A156" s="9">
        <v>154</v>
      </c>
      <c r="B156" s="9">
        <f t="shared" ca="1" si="2"/>
        <v>0.91649928131124425</v>
      </c>
      <c r="C156" s="9" t="s">
        <v>24</v>
      </c>
    </row>
    <row r="157" spans="1:3" x14ac:dyDescent="0.2">
      <c r="A157" s="9">
        <v>155</v>
      </c>
      <c r="B157" s="9">
        <f t="shared" ca="1" si="2"/>
        <v>0.86203781606870933</v>
      </c>
      <c r="C157" s="9" t="s">
        <v>23</v>
      </c>
    </row>
    <row r="158" spans="1:3" x14ac:dyDescent="0.2">
      <c r="A158" s="9">
        <v>156</v>
      </c>
      <c r="B158" s="9">
        <f t="shared" ca="1" si="2"/>
        <v>0.68639267808241644</v>
      </c>
      <c r="C158" s="9" t="s">
        <v>23</v>
      </c>
    </row>
    <row r="159" spans="1:3" x14ac:dyDescent="0.2">
      <c r="A159" s="9">
        <v>157</v>
      </c>
      <c r="B159" s="9">
        <f t="shared" ca="1" si="2"/>
        <v>0.63858693422035151</v>
      </c>
      <c r="C159" s="9" t="s">
        <v>24</v>
      </c>
    </row>
    <row r="160" spans="1:3" x14ac:dyDescent="0.2">
      <c r="A160" s="9">
        <v>158</v>
      </c>
      <c r="B160" s="9">
        <f t="shared" ca="1" si="2"/>
        <v>0.5097792889974585</v>
      </c>
      <c r="C160" s="9" t="s">
        <v>24</v>
      </c>
    </row>
    <row r="161" spans="1:3" x14ac:dyDescent="0.2">
      <c r="A161" s="9">
        <v>159</v>
      </c>
      <c r="B161" s="9">
        <f t="shared" ca="1" si="2"/>
        <v>0.52501367013315892</v>
      </c>
      <c r="C161" s="9" t="s">
        <v>23</v>
      </c>
    </row>
    <row r="162" spans="1:3" x14ac:dyDescent="0.2">
      <c r="A162" s="9">
        <v>160</v>
      </c>
      <c r="B162" s="9">
        <f t="shared" ca="1" si="2"/>
        <v>0.74469846209634938</v>
      </c>
      <c r="C162" s="9" t="s">
        <v>23</v>
      </c>
    </row>
    <row r="163" spans="1:3" x14ac:dyDescent="0.2">
      <c r="A163" s="9">
        <v>161</v>
      </c>
      <c r="B163" s="9">
        <f t="shared" ca="1" si="2"/>
        <v>0.72972817138529811</v>
      </c>
      <c r="C163" s="9" t="s">
        <v>23</v>
      </c>
    </row>
    <row r="164" spans="1:3" x14ac:dyDescent="0.2">
      <c r="A164" s="9">
        <v>162</v>
      </c>
      <c r="B164" s="9">
        <f t="shared" ca="1" si="2"/>
        <v>0.69882928551692358</v>
      </c>
      <c r="C164" s="9" t="s">
        <v>24</v>
      </c>
    </row>
    <row r="165" spans="1:3" x14ac:dyDescent="0.2">
      <c r="A165" s="9">
        <v>163</v>
      </c>
      <c r="B165" s="9">
        <f t="shared" ca="1" si="2"/>
        <v>0.67848359921336143</v>
      </c>
      <c r="C165" s="9" t="s">
        <v>24</v>
      </c>
    </row>
    <row r="166" spans="1:3" x14ac:dyDescent="0.2">
      <c r="A166" s="9">
        <v>164</v>
      </c>
      <c r="B166" s="9">
        <f t="shared" ca="1" si="2"/>
        <v>0.66175299560916867</v>
      </c>
      <c r="C166" s="9" t="s">
        <v>24</v>
      </c>
    </row>
    <row r="167" spans="1:3" x14ac:dyDescent="0.2">
      <c r="A167" s="9">
        <v>165</v>
      </c>
      <c r="B167" s="9">
        <f t="shared" ca="1" si="2"/>
        <v>0.59548675492676661</v>
      </c>
      <c r="C167" s="9" t="s">
        <v>24</v>
      </c>
    </row>
    <row r="168" spans="1:3" x14ac:dyDescent="0.2">
      <c r="A168" s="9">
        <v>166</v>
      </c>
      <c r="B168" s="9">
        <f t="shared" ca="1" si="2"/>
        <v>0.63702668012407315</v>
      </c>
      <c r="C168" s="9" t="s">
        <v>23</v>
      </c>
    </row>
    <row r="169" spans="1:3" x14ac:dyDescent="0.2">
      <c r="A169" s="9">
        <v>167</v>
      </c>
      <c r="B169" s="9">
        <f t="shared" ca="1" si="2"/>
        <v>0.60819183909494268</v>
      </c>
      <c r="C169" s="9" t="s">
        <v>23</v>
      </c>
    </row>
    <row r="170" spans="1:3" x14ac:dyDescent="0.2">
      <c r="A170" s="9">
        <v>168</v>
      </c>
      <c r="B170" s="9">
        <f t="shared" ca="1" si="2"/>
        <v>0.80277931016890192</v>
      </c>
      <c r="C170" s="9" t="s">
        <v>23</v>
      </c>
    </row>
    <row r="171" spans="1:3" x14ac:dyDescent="0.2">
      <c r="A171" s="9">
        <v>169</v>
      </c>
      <c r="B171" s="9">
        <f t="shared" ca="1" si="2"/>
        <v>0.7980049368344807</v>
      </c>
      <c r="C171" s="9" t="s">
        <v>24</v>
      </c>
    </row>
    <row r="172" spans="1:3" x14ac:dyDescent="0.2">
      <c r="A172" s="9">
        <v>170</v>
      </c>
      <c r="B172" s="9">
        <f t="shared" ca="1" si="2"/>
        <v>0.55118353220190863</v>
      </c>
      <c r="C172" s="9" t="s">
        <v>24</v>
      </c>
    </row>
    <row r="173" spans="1:3" x14ac:dyDescent="0.2">
      <c r="A173" s="9">
        <v>171</v>
      </c>
      <c r="B173" s="9">
        <f t="shared" ca="1" si="2"/>
        <v>0.5993294687429378</v>
      </c>
      <c r="C173" s="9" t="s">
        <v>23</v>
      </c>
    </row>
    <row r="174" spans="1:3" x14ac:dyDescent="0.2">
      <c r="A174" s="9">
        <v>172</v>
      </c>
      <c r="B174" s="9">
        <f t="shared" ca="1" si="2"/>
        <v>0.65583891610076728</v>
      </c>
      <c r="C174" s="9" t="s">
        <v>23</v>
      </c>
    </row>
    <row r="175" spans="1:3" x14ac:dyDescent="0.2">
      <c r="A175" s="9">
        <v>173</v>
      </c>
      <c r="B175" s="9">
        <f t="shared" ca="1" si="2"/>
        <v>0.41293650887949884</v>
      </c>
      <c r="C175" s="9" t="s">
        <v>23</v>
      </c>
    </row>
    <row r="176" spans="1:3" x14ac:dyDescent="0.2">
      <c r="A176" s="9">
        <v>174</v>
      </c>
      <c r="B176" s="9">
        <f t="shared" ca="1" si="2"/>
        <v>0.71552862504900772</v>
      </c>
      <c r="C176" s="9" t="s">
        <v>24</v>
      </c>
    </row>
    <row r="177" spans="1:3" x14ac:dyDescent="0.2">
      <c r="A177" s="9">
        <v>175</v>
      </c>
      <c r="B177" s="9">
        <f t="shared" ca="1" si="2"/>
        <v>0.62085922222836964</v>
      </c>
      <c r="C177" s="9" t="s">
        <v>23</v>
      </c>
    </row>
    <row r="178" spans="1:3" x14ac:dyDescent="0.2">
      <c r="A178" s="9">
        <v>176</v>
      </c>
      <c r="B178" s="9">
        <f t="shared" ca="1" si="2"/>
        <v>0.55615095724258201</v>
      </c>
      <c r="C178" s="9" t="s">
        <v>23</v>
      </c>
    </row>
    <row r="179" spans="1:3" x14ac:dyDescent="0.2">
      <c r="A179" s="9">
        <v>177</v>
      </c>
      <c r="B179" s="9">
        <f t="shared" ca="1" si="2"/>
        <v>0.69330683438164331</v>
      </c>
      <c r="C179" s="9" t="s">
        <v>24</v>
      </c>
    </row>
    <row r="180" spans="1:3" x14ac:dyDescent="0.2">
      <c r="A180" s="9">
        <v>178</v>
      </c>
      <c r="B180" s="9">
        <f t="shared" ca="1" si="2"/>
        <v>0.44674434729950463</v>
      </c>
      <c r="C180" s="9" t="s">
        <v>24</v>
      </c>
    </row>
    <row r="181" spans="1:3" x14ac:dyDescent="0.2">
      <c r="A181" s="9">
        <v>179</v>
      </c>
      <c r="B181" s="9">
        <f t="shared" ca="1" si="2"/>
        <v>0.70605729011851637</v>
      </c>
      <c r="C181" s="9" t="s">
        <v>23</v>
      </c>
    </row>
    <row r="182" spans="1:3" x14ac:dyDescent="0.2">
      <c r="A182" s="9">
        <v>180</v>
      </c>
      <c r="B182" s="9">
        <f t="shared" ca="1" si="2"/>
        <v>0.77670425091466577</v>
      </c>
      <c r="C182" s="9" t="s">
        <v>23</v>
      </c>
    </row>
    <row r="183" spans="1:3" x14ac:dyDescent="0.2">
      <c r="A183" s="9">
        <v>181</v>
      </c>
      <c r="B183" s="9">
        <f t="shared" ca="1" si="2"/>
        <v>0.7020713867062276</v>
      </c>
      <c r="C183" s="9" t="s">
        <v>23</v>
      </c>
    </row>
    <row r="184" spans="1:3" x14ac:dyDescent="0.2">
      <c r="A184" s="9">
        <v>182</v>
      </c>
      <c r="B184" s="9">
        <f t="shared" ca="1" si="2"/>
        <v>0.78151240806853295</v>
      </c>
      <c r="C184" s="9" t="s">
        <v>23</v>
      </c>
    </row>
    <row r="185" spans="1:3" x14ac:dyDescent="0.2">
      <c r="A185" s="9">
        <v>183</v>
      </c>
      <c r="B185" s="9">
        <f t="shared" ca="1" si="2"/>
        <v>0.40172227504067182</v>
      </c>
      <c r="C185" s="9" t="s">
        <v>24</v>
      </c>
    </row>
    <row r="186" spans="1:3" x14ac:dyDescent="0.2">
      <c r="A186" s="9">
        <v>184</v>
      </c>
      <c r="B186" s="9">
        <f t="shared" ca="1" si="2"/>
        <v>0.55413927835608412</v>
      </c>
      <c r="C186" s="9" t="s">
        <v>23</v>
      </c>
    </row>
    <row r="187" spans="1:3" x14ac:dyDescent="0.2">
      <c r="A187" s="9">
        <v>185</v>
      </c>
      <c r="B187" s="9">
        <f t="shared" ca="1" si="2"/>
        <v>0.67198785584398479</v>
      </c>
      <c r="C187" s="9" t="s">
        <v>24</v>
      </c>
    </row>
    <row r="188" spans="1:3" x14ac:dyDescent="0.2">
      <c r="A188" s="9">
        <v>186</v>
      </c>
      <c r="B188" s="9">
        <f t="shared" ca="1" si="2"/>
        <v>0.66788589003086052</v>
      </c>
      <c r="C188" s="9" t="s">
        <v>23</v>
      </c>
    </row>
    <row r="189" spans="1:3" x14ac:dyDescent="0.2">
      <c r="A189" s="9">
        <v>187</v>
      </c>
      <c r="B189" s="9">
        <f t="shared" ca="1" si="2"/>
        <v>0.61931414652153727</v>
      </c>
      <c r="C189" s="9" t="s">
        <v>24</v>
      </c>
    </row>
    <row r="190" spans="1:3" x14ac:dyDescent="0.2">
      <c r="A190" s="9">
        <v>188</v>
      </c>
      <c r="B190" s="9">
        <f t="shared" ca="1" si="2"/>
        <v>0.61803513831156698</v>
      </c>
      <c r="C190" s="9" t="s">
        <v>23</v>
      </c>
    </row>
    <row r="191" spans="1:3" x14ac:dyDescent="0.2">
      <c r="A191" s="9">
        <v>189</v>
      </c>
      <c r="B191" s="9">
        <f t="shared" ca="1" si="2"/>
        <v>0.66808120587163722</v>
      </c>
      <c r="C191" s="9" t="s">
        <v>23</v>
      </c>
    </row>
    <row r="192" spans="1:3" x14ac:dyDescent="0.2">
      <c r="A192" s="9">
        <v>190</v>
      </c>
      <c r="B192" s="9">
        <f t="shared" ca="1" si="2"/>
        <v>0.46212171936582869</v>
      </c>
      <c r="C192" s="9" t="s">
        <v>24</v>
      </c>
    </row>
    <row r="193" spans="1:3" x14ac:dyDescent="0.2">
      <c r="A193" s="9">
        <v>191</v>
      </c>
      <c r="B193" s="9">
        <f t="shared" ca="1" si="2"/>
        <v>0.68163631312433315</v>
      </c>
      <c r="C193" s="9" t="s">
        <v>23</v>
      </c>
    </row>
    <row r="194" spans="1:3" x14ac:dyDescent="0.2">
      <c r="A194" s="9">
        <v>192</v>
      </c>
      <c r="B194" s="9">
        <f t="shared" ca="1" si="2"/>
        <v>0.57306771349752483</v>
      </c>
      <c r="C194" s="9" t="s">
        <v>24</v>
      </c>
    </row>
    <row r="195" spans="1:3" x14ac:dyDescent="0.2">
      <c r="A195" s="9">
        <v>193</v>
      </c>
      <c r="B195" s="9">
        <f t="shared" ca="1" si="2"/>
        <v>0.81507764793581472</v>
      </c>
      <c r="C195" s="9" t="s">
        <v>23</v>
      </c>
    </row>
    <row r="196" spans="1:3" x14ac:dyDescent="0.2">
      <c r="A196" s="9">
        <v>194</v>
      </c>
      <c r="B196" s="9">
        <f t="shared" ref="B196:B259" ca="1" si="3">IF(C196="Bomb",_xlfn.NORM.INV(RAND(),0.7,0.1),_xlfn.NORM.INV(RAND(),0.6,0.15))</f>
        <v>0.45571313380738832</v>
      </c>
      <c r="C196" s="9" t="s">
        <v>24</v>
      </c>
    </row>
    <row r="197" spans="1:3" x14ac:dyDescent="0.2">
      <c r="A197" s="9">
        <v>195</v>
      </c>
      <c r="B197" s="9">
        <f t="shared" ca="1" si="3"/>
        <v>0.57649734263920549</v>
      </c>
      <c r="C197" s="9" t="s">
        <v>24</v>
      </c>
    </row>
    <row r="198" spans="1:3" x14ac:dyDescent="0.2">
      <c r="A198" s="9">
        <v>196</v>
      </c>
      <c r="B198" s="9">
        <f t="shared" ca="1" si="3"/>
        <v>0.79053933665267428</v>
      </c>
      <c r="C198" s="9" t="s">
        <v>23</v>
      </c>
    </row>
    <row r="199" spans="1:3" x14ac:dyDescent="0.2">
      <c r="A199" s="9">
        <v>197</v>
      </c>
      <c r="B199" s="9">
        <f t="shared" ca="1" si="3"/>
        <v>0.48735208589953416</v>
      </c>
      <c r="C199" s="9" t="s">
        <v>24</v>
      </c>
    </row>
    <row r="200" spans="1:3" x14ac:dyDescent="0.2">
      <c r="A200" s="9">
        <v>198</v>
      </c>
      <c r="B200" s="9">
        <f t="shared" ca="1" si="3"/>
        <v>0.83186051610032796</v>
      </c>
      <c r="C200" s="9" t="s">
        <v>23</v>
      </c>
    </row>
    <row r="201" spans="1:3" x14ac:dyDescent="0.2">
      <c r="A201" s="9">
        <v>199</v>
      </c>
      <c r="B201" s="9">
        <f t="shared" ca="1" si="3"/>
        <v>0.51085471233450663</v>
      </c>
      <c r="C201" s="9" t="s">
        <v>24</v>
      </c>
    </row>
    <row r="202" spans="1:3" x14ac:dyDescent="0.2">
      <c r="A202" s="9">
        <v>200</v>
      </c>
      <c r="B202" s="9">
        <f t="shared" ca="1" si="3"/>
        <v>0.71056588899312145</v>
      </c>
      <c r="C202" s="9" t="s">
        <v>23</v>
      </c>
    </row>
    <row r="203" spans="1:3" x14ac:dyDescent="0.2">
      <c r="A203" s="9">
        <v>201</v>
      </c>
      <c r="B203" s="9">
        <f t="shared" ca="1" si="3"/>
        <v>0.59325801496855834</v>
      </c>
      <c r="C203" s="9" t="s">
        <v>24</v>
      </c>
    </row>
    <row r="204" spans="1:3" x14ac:dyDescent="0.2">
      <c r="A204" s="9">
        <v>202</v>
      </c>
      <c r="B204" s="9">
        <f t="shared" ca="1" si="3"/>
        <v>0.75194719999952087</v>
      </c>
      <c r="C204" s="9" t="s">
        <v>23</v>
      </c>
    </row>
    <row r="205" spans="1:3" x14ac:dyDescent="0.2">
      <c r="A205" s="9">
        <v>203</v>
      </c>
      <c r="B205" s="9">
        <f t="shared" ca="1" si="3"/>
        <v>0.54894934105354121</v>
      </c>
      <c r="C205" s="9" t="s">
        <v>24</v>
      </c>
    </row>
    <row r="206" spans="1:3" x14ac:dyDescent="0.2">
      <c r="A206" s="9">
        <v>204</v>
      </c>
      <c r="B206" s="9">
        <f t="shared" ca="1" si="3"/>
        <v>0.55518579381969824</v>
      </c>
      <c r="C206" s="9" t="s">
        <v>24</v>
      </c>
    </row>
    <row r="207" spans="1:3" x14ac:dyDescent="0.2">
      <c r="A207" s="9">
        <v>205</v>
      </c>
      <c r="B207" s="9">
        <f t="shared" ca="1" si="3"/>
        <v>0.36930268663528543</v>
      </c>
      <c r="C207" s="9" t="s">
        <v>24</v>
      </c>
    </row>
    <row r="208" spans="1:3" x14ac:dyDescent="0.2">
      <c r="A208" s="9">
        <v>206</v>
      </c>
      <c r="B208" s="9">
        <f t="shared" ca="1" si="3"/>
        <v>0.70057240671257859</v>
      </c>
      <c r="C208" s="9" t="s">
        <v>23</v>
      </c>
    </row>
    <row r="209" spans="1:3" x14ac:dyDescent="0.2">
      <c r="A209" s="9">
        <v>207</v>
      </c>
      <c r="B209" s="9">
        <f t="shared" ca="1" si="3"/>
        <v>0.81310833277839967</v>
      </c>
      <c r="C209" s="9" t="s">
        <v>23</v>
      </c>
    </row>
    <row r="210" spans="1:3" x14ac:dyDescent="0.2">
      <c r="A210" s="9">
        <v>208</v>
      </c>
      <c r="B210" s="9">
        <f t="shared" ca="1" si="3"/>
        <v>0.64231931763607464</v>
      </c>
      <c r="C210" s="9" t="s">
        <v>23</v>
      </c>
    </row>
    <row r="211" spans="1:3" x14ac:dyDescent="0.2">
      <c r="A211" s="9">
        <v>209</v>
      </c>
      <c r="B211" s="9">
        <f t="shared" ca="1" si="3"/>
        <v>0.52763612181497344</v>
      </c>
      <c r="C211" s="9" t="s">
        <v>24</v>
      </c>
    </row>
    <row r="212" spans="1:3" x14ac:dyDescent="0.2">
      <c r="A212" s="9">
        <v>210</v>
      </c>
      <c r="B212" s="9">
        <f t="shared" ca="1" si="3"/>
        <v>0.49366582286107058</v>
      </c>
      <c r="C212" s="9" t="s">
        <v>24</v>
      </c>
    </row>
    <row r="213" spans="1:3" x14ac:dyDescent="0.2">
      <c r="A213" s="9">
        <v>211</v>
      </c>
      <c r="B213" s="9">
        <f t="shared" ca="1" si="3"/>
        <v>0.56914782388665119</v>
      </c>
      <c r="C213" s="9" t="s">
        <v>24</v>
      </c>
    </row>
    <row r="214" spans="1:3" x14ac:dyDescent="0.2">
      <c r="A214" s="9">
        <v>212</v>
      </c>
      <c r="B214" s="9">
        <f t="shared" ca="1" si="3"/>
        <v>0.60763417327361258</v>
      </c>
      <c r="C214" s="9" t="s">
        <v>24</v>
      </c>
    </row>
    <row r="215" spans="1:3" x14ac:dyDescent="0.2">
      <c r="A215" s="9">
        <v>213</v>
      </c>
      <c r="B215" s="9">
        <f t="shared" ca="1" si="3"/>
        <v>0.62780396188799559</v>
      </c>
      <c r="C215" s="9" t="s">
        <v>24</v>
      </c>
    </row>
    <row r="216" spans="1:3" x14ac:dyDescent="0.2">
      <c r="A216" s="9">
        <v>214</v>
      </c>
      <c r="B216" s="9">
        <f t="shared" ca="1" si="3"/>
        <v>0.80408345402466253</v>
      </c>
      <c r="C216" s="9" t="s">
        <v>24</v>
      </c>
    </row>
    <row r="217" spans="1:3" x14ac:dyDescent="0.2">
      <c r="A217" s="9">
        <v>215</v>
      </c>
      <c r="B217" s="9">
        <f t="shared" ca="1" si="3"/>
        <v>0.66005294198103193</v>
      </c>
      <c r="C217" s="9" t="s">
        <v>23</v>
      </c>
    </row>
    <row r="218" spans="1:3" x14ac:dyDescent="0.2">
      <c r="A218" s="9">
        <v>216</v>
      </c>
      <c r="B218" s="9">
        <f t="shared" ca="1" si="3"/>
        <v>0.87299629181065097</v>
      </c>
      <c r="C218" s="9" t="s">
        <v>23</v>
      </c>
    </row>
    <row r="219" spans="1:3" x14ac:dyDescent="0.2">
      <c r="A219" s="9">
        <v>217</v>
      </c>
      <c r="B219" s="9">
        <f t="shared" ca="1" si="3"/>
        <v>0.71811880705916964</v>
      </c>
      <c r="C219" s="9" t="s">
        <v>23</v>
      </c>
    </row>
    <row r="220" spans="1:3" x14ac:dyDescent="0.2">
      <c r="A220" s="9">
        <v>218</v>
      </c>
      <c r="B220" s="9">
        <f t="shared" ca="1" si="3"/>
        <v>0.5975353961303681</v>
      </c>
      <c r="C220" s="9" t="s">
        <v>24</v>
      </c>
    </row>
    <row r="221" spans="1:3" x14ac:dyDescent="0.2">
      <c r="A221" s="9">
        <v>219</v>
      </c>
      <c r="B221" s="9">
        <f t="shared" ca="1" si="3"/>
        <v>0.65461287206182828</v>
      </c>
      <c r="C221" s="9" t="s">
        <v>23</v>
      </c>
    </row>
    <row r="222" spans="1:3" x14ac:dyDescent="0.2">
      <c r="A222" s="9">
        <v>220</v>
      </c>
      <c r="B222" s="9">
        <f t="shared" ca="1" si="3"/>
        <v>0.46379093011259442</v>
      </c>
      <c r="C222" s="9" t="s">
        <v>24</v>
      </c>
    </row>
    <row r="223" spans="1:3" x14ac:dyDescent="0.2">
      <c r="A223" s="9">
        <v>221</v>
      </c>
      <c r="B223" s="9">
        <f t="shared" ca="1" si="3"/>
        <v>0.72325216703046669</v>
      </c>
      <c r="C223" s="9" t="s">
        <v>23</v>
      </c>
    </row>
    <row r="224" spans="1:3" x14ac:dyDescent="0.2">
      <c r="A224" s="9">
        <v>222</v>
      </c>
      <c r="B224" s="9">
        <f t="shared" ca="1" si="3"/>
        <v>0.72036044779395914</v>
      </c>
      <c r="C224" s="9" t="s">
        <v>23</v>
      </c>
    </row>
    <row r="225" spans="1:3" x14ac:dyDescent="0.2">
      <c r="A225" s="9">
        <v>223</v>
      </c>
      <c r="B225" s="9">
        <f t="shared" ca="1" si="3"/>
        <v>0.54153846514197768</v>
      </c>
      <c r="C225" s="9" t="s">
        <v>24</v>
      </c>
    </row>
    <row r="226" spans="1:3" x14ac:dyDescent="0.2">
      <c r="A226" s="9">
        <v>224</v>
      </c>
      <c r="B226" s="9">
        <f t="shared" ca="1" si="3"/>
        <v>0.6234472447865631</v>
      </c>
      <c r="C226" s="9" t="s">
        <v>24</v>
      </c>
    </row>
    <row r="227" spans="1:3" x14ac:dyDescent="0.2">
      <c r="A227" s="9">
        <v>225</v>
      </c>
      <c r="B227" s="9">
        <f t="shared" ca="1" si="3"/>
        <v>0.62162586525458741</v>
      </c>
      <c r="C227" s="9" t="s">
        <v>23</v>
      </c>
    </row>
    <row r="228" spans="1:3" x14ac:dyDescent="0.2">
      <c r="A228" s="9">
        <v>226</v>
      </c>
      <c r="B228" s="9">
        <f t="shared" ca="1" si="3"/>
        <v>0.5556122471769982</v>
      </c>
      <c r="C228" s="9" t="s">
        <v>24</v>
      </c>
    </row>
    <row r="229" spans="1:3" x14ac:dyDescent="0.2">
      <c r="A229" s="9">
        <v>227</v>
      </c>
      <c r="B229" s="9">
        <f t="shared" ca="1" si="3"/>
        <v>0.59328391028433047</v>
      </c>
      <c r="C229" s="9" t="s">
        <v>24</v>
      </c>
    </row>
    <row r="230" spans="1:3" x14ac:dyDescent="0.2">
      <c r="A230" s="9">
        <v>228</v>
      </c>
      <c r="B230" s="9">
        <f t="shared" ca="1" si="3"/>
        <v>0.71834518773008793</v>
      </c>
      <c r="C230" s="9" t="s">
        <v>24</v>
      </c>
    </row>
    <row r="231" spans="1:3" x14ac:dyDescent="0.2">
      <c r="A231" s="9">
        <v>229</v>
      </c>
      <c r="B231" s="9">
        <f t="shared" ca="1" si="3"/>
        <v>0.6146157803021074</v>
      </c>
      <c r="C231" s="9" t="s">
        <v>24</v>
      </c>
    </row>
    <row r="232" spans="1:3" x14ac:dyDescent="0.2">
      <c r="A232" s="9">
        <v>230</v>
      </c>
      <c r="B232" s="9">
        <f t="shared" ca="1" si="3"/>
        <v>0.7097223855350272</v>
      </c>
      <c r="C232" s="9" t="s">
        <v>23</v>
      </c>
    </row>
    <row r="233" spans="1:3" x14ac:dyDescent="0.2">
      <c r="A233" s="9">
        <v>231</v>
      </c>
      <c r="B233" s="9">
        <f t="shared" ca="1" si="3"/>
        <v>0.56057831836755068</v>
      </c>
      <c r="C233" s="9" t="s">
        <v>23</v>
      </c>
    </row>
    <row r="234" spans="1:3" x14ac:dyDescent="0.2">
      <c r="A234" s="9">
        <v>232</v>
      </c>
      <c r="B234" s="9">
        <f t="shared" ca="1" si="3"/>
        <v>0.59293273904194543</v>
      </c>
      <c r="C234" s="9" t="s">
        <v>24</v>
      </c>
    </row>
    <row r="235" spans="1:3" x14ac:dyDescent="0.2">
      <c r="A235" s="9">
        <v>233</v>
      </c>
      <c r="B235" s="9">
        <f t="shared" ca="1" si="3"/>
        <v>0.58839939313889611</v>
      </c>
      <c r="C235" s="9" t="s">
        <v>24</v>
      </c>
    </row>
    <row r="236" spans="1:3" x14ac:dyDescent="0.2">
      <c r="A236" s="9">
        <v>234</v>
      </c>
      <c r="B236" s="9">
        <f t="shared" ca="1" si="3"/>
        <v>0.7457555949975202</v>
      </c>
      <c r="C236" s="9" t="s">
        <v>23</v>
      </c>
    </row>
    <row r="237" spans="1:3" x14ac:dyDescent="0.2">
      <c r="A237" s="9">
        <v>235</v>
      </c>
      <c r="B237" s="9">
        <f t="shared" ca="1" si="3"/>
        <v>0.60762559376893366</v>
      </c>
      <c r="C237" s="9" t="s">
        <v>24</v>
      </c>
    </row>
    <row r="238" spans="1:3" x14ac:dyDescent="0.2">
      <c r="A238" s="9">
        <v>236</v>
      </c>
      <c r="B238" s="9">
        <f t="shared" ca="1" si="3"/>
        <v>0.74274358227398962</v>
      </c>
      <c r="C238" s="9" t="s">
        <v>23</v>
      </c>
    </row>
    <row r="239" spans="1:3" x14ac:dyDescent="0.2">
      <c r="A239" s="9">
        <v>237</v>
      </c>
      <c r="B239" s="9">
        <f t="shared" ca="1" si="3"/>
        <v>0.6113334006697615</v>
      </c>
      <c r="C239" s="9" t="s">
        <v>24</v>
      </c>
    </row>
    <row r="240" spans="1:3" x14ac:dyDescent="0.2">
      <c r="A240" s="9">
        <v>238</v>
      </c>
      <c r="B240" s="9">
        <f t="shared" ca="1" si="3"/>
        <v>0.82258326620019606</v>
      </c>
      <c r="C240" s="9" t="s">
        <v>23</v>
      </c>
    </row>
    <row r="241" spans="1:3" x14ac:dyDescent="0.2">
      <c r="A241" s="9">
        <v>239</v>
      </c>
      <c r="B241" s="9">
        <f t="shared" ca="1" si="3"/>
        <v>0.71652973042381407</v>
      </c>
      <c r="C241" s="9" t="s">
        <v>24</v>
      </c>
    </row>
    <row r="242" spans="1:3" x14ac:dyDescent="0.2">
      <c r="A242" s="9">
        <v>240</v>
      </c>
      <c r="B242" s="9">
        <f t="shared" ca="1" si="3"/>
        <v>0.58820400844486309</v>
      </c>
      <c r="C242" s="9" t="s">
        <v>24</v>
      </c>
    </row>
    <row r="243" spans="1:3" x14ac:dyDescent="0.2">
      <c r="A243" s="9">
        <v>241</v>
      </c>
      <c r="B243" s="9">
        <f t="shared" ca="1" si="3"/>
        <v>0.73793368935796477</v>
      </c>
      <c r="C243" s="9" t="s">
        <v>23</v>
      </c>
    </row>
    <row r="244" spans="1:3" x14ac:dyDescent="0.2">
      <c r="A244" s="9">
        <v>242</v>
      </c>
      <c r="B244" s="9">
        <f t="shared" ca="1" si="3"/>
        <v>0.83261235334190353</v>
      </c>
      <c r="C244" s="9" t="s">
        <v>23</v>
      </c>
    </row>
    <row r="245" spans="1:3" x14ac:dyDescent="0.2">
      <c r="A245" s="9">
        <v>243</v>
      </c>
      <c r="B245" s="9">
        <f t="shared" ca="1" si="3"/>
        <v>0.68880774985246762</v>
      </c>
      <c r="C245" s="9" t="s">
        <v>23</v>
      </c>
    </row>
    <row r="246" spans="1:3" x14ac:dyDescent="0.2">
      <c r="A246" s="9">
        <v>244</v>
      </c>
      <c r="B246" s="9">
        <f t="shared" ca="1" si="3"/>
        <v>0.73356912170563104</v>
      </c>
      <c r="C246" s="9" t="s">
        <v>24</v>
      </c>
    </row>
    <row r="247" spans="1:3" x14ac:dyDescent="0.2">
      <c r="A247" s="9">
        <v>245</v>
      </c>
      <c r="B247" s="9">
        <f t="shared" ca="1" si="3"/>
        <v>0.81203482410211802</v>
      </c>
      <c r="C247" s="9" t="s">
        <v>23</v>
      </c>
    </row>
    <row r="248" spans="1:3" x14ac:dyDescent="0.2">
      <c r="A248" s="9">
        <v>246</v>
      </c>
      <c r="B248" s="9">
        <f t="shared" ca="1" si="3"/>
        <v>0.80872791159268609</v>
      </c>
      <c r="C248" s="9" t="s">
        <v>23</v>
      </c>
    </row>
    <row r="249" spans="1:3" x14ac:dyDescent="0.2">
      <c r="A249" s="9">
        <v>247</v>
      </c>
      <c r="B249" s="9">
        <f t="shared" ca="1" si="3"/>
        <v>0.70746444478807757</v>
      </c>
      <c r="C249" s="9" t="s">
        <v>24</v>
      </c>
    </row>
    <row r="250" spans="1:3" x14ac:dyDescent="0.2">
      <c r="A250" s="9">
        <v>248</v>
      </c>
      <c r="B250" s="9">
        <f t="shared" ca="1" si="3"/>
        <v>0.62324871466348908</v>
      </c>
      <c r="C250" s="9" t="s">
        <v>23</v>
      </c>
    </row>
    <row r="251" spans="1:3" x14ac:dyDescent="0.2">
      <c r="A251" s="9">
        <v>249</v>
      </c>
      <c r="B251" s="9">
        <f t="shared" ca="1" si="3"/>
        <v>0.63003331404215679</v>
      </c>
      <c r="C251" s="9" t="s">
        <v>24</v>
      </c>
    </row>
    <row r="252" spans="1:3" x14ac:dyDescent="0.2">
      <c r="A252" s="9">
        <v>250</v>
      </c>
      <c r="B252" s="9">
        <f t="shared" ca="1" si="3"/>
        <v>0.55035147077693924</v>
      </c>
      <c r="C252" s="9" t="s">
        <v>23</v>
      </c>
    </row>
    <row r="253" spans="1:3" x14ac:dyDescent="0.2">
      <c r="A253" s="9">
        <v>251</v>
      </c>
      <c r="B253" s="9">
        <f t="shared" ca="1" si="3"/>
        <v>0.4487854642227877</v>
      </c>
      <c r="C253" s="9" t="s">
        <v>24</v>
      </c>
    </row>
    <row r="254" spans="1:3" x14ac:dyDescent="0.2">
      <c r="A254" s="9">
        <v>252</v>
      </c>
      <c r="B254" s="9">
        <f t="shared" ca="1" si="3"/>
        <v>0.55782451701322278</v>
      </c>
      <c r="C254" s="9" t="s">
        <v>23</v>
      </c>
    </row>
    <row r="255" spans="1:3" x14ac:dyDescent="0.2">
      <c r="A255" s="9">
        <v>253</v>
      </c>
      <c r="B255" s="9">
        <f t="shared" ca="1" si="3"/>
        <v>0.67630150792216126</v>
      </c>
      <c r="C255" s="9" t="s">
        <v>23</v>
      </c>
    </row>
    <row r="256" spans="1:3" x14ac:dyDescent="0.2">
      <c r="A256" s="9">
        <v>254</v>
      </c>
      <c r="B256" s="9">
        <f t="shared" ca="1" si="3"/>
        <v>0.72218234509478707</v>
      </c>
      <c r="C256" s="9" t="s">
        <v>23</v>
      </c>
    </row>
    <row r="257" spans="1:3" x14ac:dyDescent="0.2">
      <c r="A257" s="9">
        <v>255</v>
      </c>
      <c r="B257" s="9">
        <f t="shared" ca="1" si="3"/>
        <v>0.71599588102173739</v>
      </c>
      <c r="C257" s="9" t="s">
        <v>24</v>
      </c>
    </row>
    <row r="258" spans="1:3" x14ac:dyDescent="0.2">
      <c r="A258" s="9">
        <v>256</v>
      </c>
      <c r="B258" s="9">
        <f t="shared" ca="1" si="3"/>
        <v>0.52441477536999104</v>
      </c>
      <c r="C258" s="9" t="s">
        <v>24</v>
      </c>
    </row>
    <row r="259" spans="1:3" x14ac:dyDescent="0.2">
      <c r="A259" s="9">
        <v>257</v>
      </c>
      <c r="B259" s="9">
        <f t="shared" ca="1" si="3"/>
        <v>0.67501855234961172</v>
      </c>
      <c r="C259" s="9" t="s">
        <v>24</v>
      </c>
    </row>
    <row r="260" spans="1:3" x14ac:dyDescent="0.2">
      <c r="A260" s="9">
        <v>258</v>
      </c>
      <c r="B260" s="9">
        <f t="shared" ref="B260:B323" ca="1" si="4">IF(C260="Bomb",_xlfn.NORM.INV(RAND(),0.7,0.1),_xlfn.NORM.INV(RAND(),0.6,0.15))</f>
        <v>0.72174439374675614</v>
      </c>
      <c r="C260" s="9" t="s">
        <v>24</v>
      </c>
    </row>
    <row r="261" spans="1:3" x14ac:dyDescent="0.2">
      <c r="A261" s="9">
        <v>259</v>
      </c>
      <c r="B261" s="9">
        <f t="shared" ca="1" si="4"/>
        <v>0.81513922644208181</v>
      </c>
      <c r="C261" s="9" t="s">
        <v>24</v>
      </c>
    </row>
    <row r="262" spans="1:3" x14ac:dyDescent="0.2">
      <c r="A262" s="9">
        <v>260</v>
      </c>
      <c r="B262" s="9">
        <f t="shared" ca="1" si="4"/>
        <v>0.53512164665299611</v>
      </c>
      <c r="C262" s="9" t="s">
        <v>23</v>
      </c>
    </row>
    <row r="263" spans="1:3" x14ac:dyDescent="0.2">
      <c r="A263" s="9">
        <v>261</v>
      </c>
      <c r="B263" s="9">
        <f t="shared" ca="1" si="4"/>
        <v>0.6261408016525466</v>
      </c>
      <c r="C263" s="9" t="s">
        <v>23</v>
      </c>
    </row>
    <row r="264" spans="1:3" x14ac:dyDescent="0.2">
      <c r="A264" s="9">
        <v>262</v>
      </c>
      <c r="B264" s="9">
        <f t="shared" ca="1" si="4"/>
        <v>0.75455420527741912</v>
      </c>
      <c r="C264" s="9" t="s">
        <v>23</v>
      </c>
    </row>
    <row r="265" spans="1:3" x14ac:dyDescent="0.2">
      <c r="A265" s="9">
        <v>263</v>
      </c>
      <c r="B265" s="9">
        <f t="shared" ca="1" si="4"/>
        <v>0.61993972418360543</v>
      </c>
      <c r="C265" s="9" t="s">
        <v>23</v>
      </c>
    </row>
    <row r="266" spans="1:3" x14ac:dyDescent="0.2">
      <c r="A266" s="9">
        <v>264</v>
      </c>
      <c r="B266" s="9">
        <f t="shared" ca="1" si="4"/>
        <v>0.558161895978594</v>
      </c>
      <c r="C266" s="9" t="s">
        <v>24</v>
      </c>
    </row>
    <row r="267" spans="1:3" x14ac:dyDescent="0.2">
      <c r="A267" s="9">
        <v>265</v>
      </c>
      <c r="B267" s="9">
        <f t="shared" ca="1" si="4"/>
        <v>0.77391736385868826</v>
      </c>
      <c r="C267" s="9" t="s">
        <v>23</v>
      </c>
    </row>
    <row r="268" spans="1:3" x14ac:dyDescent="0.2">
      <c r="A268" s="9">
        <v>266</v>
      </c>
      <c r="B268" s="9">
        <f t="shared" ca="1" si="4"/>
        <v>0.68532914885229002</v>
      </c>
      <c r="C268" s="9" t="s">
        <v>23</v>
      </c>
    </row>
    <row r="269" spans="1:3" x14ac:dyDescent="0.2">
      <c r="A269" s="9">
        <v>267</v>
      </c>
      <c r="B269" s="9">
        <f t="shared" ca="1" si="4"/>
        <v>0.4776435531698246</v>
      </c>
      <c r="C269" s="9" t="s">
        <v>24</v>
      </c>
    </row>
    <row r="270" spans="1:3" x14ac:dyDescent="0.2">
      <c r="A270" s="9">
        <v>268</v>
      </c>
      <c r="B270" s="9">
        <f t="shared" ca="1" si="4"/>
        <v>0.741602231960795</v>
      </c>
      <c r="C270" s="9" t="s">
        <v>24</v>
      </c>
    </row>
    <row r="271" spans="1:3" x14ac:dyDescent="0.2">
      <c r="A271" s="9">
        <v>269</v>
      </c>
      <c r="B271" s="9">
        <f t="shared" ca="1" si="4"/>
        <v>0.7191454963324716</v>
      </c>
      <c r="C271" s="9" t="s">
        <v>23</v>
      </c>
    </row>
    <row r="272" spans="1:3" x14ac:dyDescent="0.2">
      <c r="A272" s="9">
        <v>270</v>
      </c>
      <c r="B272" s="9">
        <f t="shared" ca="1" si="4"/>
        <v>0.63030970022903066</v>
      </c>
      <c r="C272" s="9" t="s">
        <v>23</v>
      </c>
    </row>
    <row r="273" spans="1:3" x14ac:dyDescent="0.2">
      <c r="A273" s="9">
        <v>271</v>
      </c>
      <c r="B273" s="9">
        <f t="shared" ca="1" si="4"/>
        <v>0.68348238190493915</v>
      </c>
      <c r="C273" s="9" t="s">
        <v>24</v>
      </c>
    </row>
    <row r="274" spans="1:3" x14ac:dyDescent="0.2">
      <c r="A274" s="9">
        <v>272</v>
      </c>
      <c r="B274" s="9">
        <f t="shared" ca="1" si="4"/>
        <v>0.8276977521111778</v>
      </c>
      <c r="C274" s="9" t="s">
        <v>24</v>
      </c>
    </row>
    <row r="275" spans="1:3" x14ac:dyDescent="0.2">
      <c r="A275" s="9">
        <v>273</v>
      </c>
      <c r="B275" s="9">
        <f t="shared" ca="1" si="4"/>
        <v>0.77908803621435641</v>
      </c>
      <c r="C275" s="9" t="s">
        <v>23</v>
      </c>
    </row>
    <row r="276" spans="1:3" x14ac:dyDescent="0.2">
      <c r="A276" s="9">
        <v>274</v>
      </c>
      <c r="B276" s="9">
        <f t="shared" ca="1" si="4"/>
        <v>0.62792518861786506</v>
      </c>
      <c r="C276" s="9" t="s">
        <v>24</v>
      </c>
    </row>
    <row r="277" spans="1:3" x14ac:dyDescent="0.2">
      <c r="A277" s="9">
        <v>275</v>
      </c>
      <c r="B277" s="9">
        <f t="shared" ca="1" si="4"/>
        <v>0.18414788512745789</v>
      </c>
      <c r="C277" s="9" t="s">
        <v>24</v>
      </c>
    </row>
    <row r="278" spans="1:3" x14ac:dyDescent="0.2">
      <c r="A278" s="9">
        <v>276</v>
      </c>
      <c r="B278" s="9">
        <f t="shared" ca="1" si="4"/>
        <v>0.63131079780748045</v>
      </c>
      <c r="C278" s="9" t="s">
        <v>23</v>
      </c>
    </row>
    <row r="279" spans="1:3" x14ac:dyDescent="0.2">
      <c r="A279" s="9">
        <v>277</v>
      </c>
      <c r="B279" s="9">
        <f t="shared" ca="1" si="4"/>
        <v>0.85471166136577259</v>
      </c>
      <c r="C279" s="9" t="s">
        <v>23</v>
      </c>
    </row>
    <row r="280" spans="1:3" x14ac:dyDescent="0.2">
      <c r="A280" s="9">
        <v>278</v>
      </c>
      <c r="B280" s="9">
        <f t="shared" ca="1" si="4"/>
        <v>0.55155755613098967</v>
      </c>
      <c r="C280" s="9" t="s">
        <v>24</v>
      </c>
    </row>
    <row r="281" spans="1:3" x14ac:dyDescent="0.2">
      <c r="A281" s="9">
        <v>279</v>
      </c>
      <c r="B281" s="9">
        <f t="shared" ca="1" si="4"/>
        <v>0.52985608700019982</v>
      </c>
      <c r="C281" s="9" t="s">
        <v>24</v>
      </c>
    </row>
    <row r="282" spans="1:3" x14ac:dyDescent="0.2">
      <c r="A282" s="9">
        <v>280</v>
      </c>
      <c r="B282" s="9">
        <f t="shared" ca="1" si="4"/>
        <v>0.47301418802732964</v>
      </c>
      <c r="C282" s="9" t="s">
        <v>24</v>
      </c>
    </row>
    <row r="283" spans="1:3" x14ac:dyDescent="0.2">
      <c r="A283" s="9">
        <v>281</v>
      </c>
      <c r="B283" s="9">
        <f t="shared" ca="1" si="4"/>
        <v>0.5382881813085244</v>
      </c>
      <c r="C283" s="9" t="s">
        <v>24</v>
      </c>
    </row>
    <row r="284" spans="1:3" x14ac:dyDescent="0.2">
      <c r="A284" s="9">
        <v>282</v>
      </c>
      <c r="B284" s="9">
        <f t="shared" ca="1" si="4"/>
        <v>0.55403186196030141</v>
      </c>
      <c r="C284" s="9" t="s">
        <v>23</v>
      </c>
    </row>
    <row r="285" spans="1:3" x14ac:dyDescent="0.2">
      <c r="A285" s="9">
        <v>283</v>
      </c>
      <c r="B285" s="9">
        <f t="shared" ca="1" si="4"/>
        <v>0.63747240163520713</v>
      </c>
      <c r="C285" s="9" t="s">
        <v>23</v>
      </c>
    </row>
    <row r="286" spans="1:3" x14ac:dyDescent="0.2">
      <c r="A286" s="9">
        <v>284</v>
      </c>
      <c r="B286" s="9">
        <f t="shared" ca="1" si="4"/>
        <v>0.70159212340006671</v>
      </c>
      <c r="C286" s="9" t="s">
        <v>23</v>
      </c>
    </row>
    <row r="287" spans="1:3" x14ac:dyDescent="0.2">
      <c r="A287" s="9">
        <v>285</v>
      </c>
      <c r="B287" s="9">
        <f t="shared" ca="1" si="4"/>
        <v>0.53972679760788744</v>
      </c>
      <c r="C287" s="9" t="s">
        <v>24</v>
      </c>
    </row>
    <row r="288" spans="1:3" x14ac:dyDescent="0.2">
      <c r="A288" s="9">
        <v>286</v>
      </c>
      <c r="B288" s="9">
        <f t="shared" ca="1" si="4"/>
        <v>0.7234365526699823</v>
      </c>
      <c r="C288" s="9" t="s">
        <v>23</v>
      </c>
    </row>
    <row r="289" spans="1:3" x14ac:dyDescent="0.2">
      <c r="A289" s="9">
        <v>287</v>
      </c>
      <c r="B289" s="9">
        <f t="shared" ca="1" si="4"/>
        <v>0.69102595722358973</v>
      </c>
      <c r="C289" s="9" t="s">
        <v>23</v>
      </c>
    </row>
    <row r="290" spans="1:3" x14ac:dyDescent="0.2">
      <c r="A290" s="9">
        <v>288</v>
      </c>
      <c r="B290" s="9">
        <f t="shared" ca="1" si="4"/>
        <v>0.69608951354930959</v>
      </c>
      <c r="C290" s="9" t="s">
        <v>23</v>
      </c>
    </row>
    <row r="291" spans="1:3" x14ac:dyDescent="0.2">
      <c r="A291" s="9">
        <v>289</v>
      </c>
      <c r="B291" s="9">
        <f t="shared" ca="1" si="4"/>
        <v>0.865223164376547</v>
      </c>
      <c r="C291" s="9" t="s">
        <v>23</v>
      </c>
    </row>
    <row r="292" spans="1:3" x14ac:dyDescent="0.2">
      <c r="A292" s="9">
        <v>290</v>
      </c>
      <c r="B292" s="9">
        <f t="shared" ca="1" si="4"/>
        <v>0.60975787734150777</v>
      </c>
      <c r="C292" s="9" t="s">
        <v>24</v>
      </c>
    </row>
    <row r="293" spans="1:3" x14ac:dyDescent="0.2">
      <c r="A293" s="9">
        <v>291</v>
      </c>
      <c r="B293" s="9">
        <f t="shared" ca="1" si="4"/>
        <v>0.60362765210516278</v>
      </c>
      <c r="C293" s="9" t="s">
        <v>23</v>
      </c>
    </row>
    <row r="294" spans="1:3" x14ac:dyDescent="0.2">
      <c r="A294" s="9">
        <v>292</v>
      </c>
      <c r="B294" s="9">
        <f t="shared" ca="1" si="4"/>
        <v>0.74117773569983547</v>
      </c>
      <c r="C294" s="9" t="s">
        <v>24</v>
      </c>
    </row>
    <row r="295" spans="1:3" x14ac:dyDescent="0.2">
      <c r="A295" s="9">
        <v>293</v>
      </c>
      <c r="B295" s="9">
        <f t="shared" ca="1" si="4"/>
        <v>0.70059482828724329</v>
      </c>
      <c r="C295" s="9" t="s">
        <v>23</v>
      </c>
    </row>
    <row r="296" spans="1:3" x14ac:dyDescent="0.2">
      <c r="A296" s="9">
        <v>294</v>
      </c>
      <c r="B296" s="9">
        <f t="shared" ca="1" si="4"/>
        <v>0.54370092816728</v>
      </c>
      <c r="C296" s="9" t="s">
        <v>24</v>
      </c>
    </row>
    <row r="297" spans="1:3" x14ac:dyDescent="0.2">
      <c r="A297" s="9">
        <v>295</v>
      </c>
      <c r="B297" s="9">
        <f t="shared" ca="1" si="4"/>
        <v>0.79561599515581549</v>
      </c>
      <c r="C297" s="9" t="s">
        <v>24</v>
      </c>
    </row>
    <row r="298" spans="1:3" x14ac:dyDescent="0.2">
      <c r="A298" s="9">
        <v>296</v>
      </c>
      <c r="B298" s="9">
        <f t="shared" ca="1" si="4"/>
        <v>0.91535341512856672</v>
      </c>
      <c r="C298" s="9" t="s">
        <v>23</v>
      </c>
    </row>
    <row r="299" spans="1:3" x14ac:dyDescent="0.2">
      <c r="A299" s="9">
        <v>297</v>
      </c>
      <c r="B299" s="9">
        <f t="shared" ca="1" si="4"/>
        <v>0.81657296366091381</v>
      </c>
      <c r="C299" s="9" t="s">
        <v>23</v>
      </c>
    </row>
    <row r="300" spans="1:3" x14ac:dyDescent="0.2">
      <c r="A300" s="9">
        <v>298</v>
      </c>
      <c r="B300" s="9">
        <f t="shared" ca="1" si="4"/>
        <v>0.50246628094569767</v>
      </c>
      <c r="C300" s="9" t="s">
        <v>24</v>
      </c>
    </row>
    <row r="301" spans="1:3" x14ac:dyDescent="0.2">
      <c r="A301" s="9">
        <v>299</v>
      </c>
      <c r="B301" s="9">
        <f t="shared" ca="1" si="4"/>
        <v>0.78498796124171366</v>
      </c>
      <c r="C301" s="9" t="s">
        <v>23</v>
      </c>
    </row>
    <row r="302" spans="1:3" x14ac:dyDescent="0.2">
      <c r="A302" s="9">
        <v>300</v>
      </c>
      <c r="B302" s="9">
        <f t="shared" ca="1" si="4"/>
        <v>0.8890900868846574</v>
      </c>
      <c r="C302" s="9" t="s">
        <v>23</v>
      </c>
    </row>
    <row r="303" spans="1:3" x14ac:dyDescent="0.2">
      <c r="A303" s="9">
        <v>301</v>
      </c>
      <c r="B303" s="9">
        <f t="shared" ca="1" si="4"/>
        <v>0.66798097453451821</v>
      </c>
      <c r="C303" s="9" t="s">
        <v>23</v>
      </c>
    </row>
    <row r="304" spans="1:3" x14ac:dyDescent="0.2">
      <c r="A304" s="9">
        <v>302</v>
      </c>
      <c r="B304" s="9">
        <f t="shared" ca="1" si="4"/>
        <v>0.84946591288379891</v>
      </c>
      <c r="C304" s="9" t="s">
        <v>23</v>
      </c>
    </row>
    <row r="305" spans="1:3" x14ac:dyDescent="0.2">
      <c r="A305" s="9">
        <v>303</v>
      </c>
      <c r="B305" s="9">
        <f t="shared" ca="1" si="4"/>
        <v>0.63259777179784293</v>
      </c>
      <c r="C305" s="9" t="s">
        <v>23</v>
      </c>
    </row>
    <row r="306" spans="1:3" x14ac:dyDescent="0.2">
      <c r="A306" s="9">
        <v>304</v>
      </c>
      <c r="B306" s="9">
        <f t="shared" ca="1" si="4"/>
        <v>0.69725692600658284</v>
      </c>
      <c r="C306" s="9" t="s">
        <v>23</v>
      </c>
    </row>
    <row r="307" spans="1:3" x14ac:dyDescent="0.2">
      <c r="A307" s="9">
        <v>305</v>
      </c>
      <c r="B307" s="9">
        <f t="shared" ca="1" si="4"/>
        <v>0.73914869706007535</v>
      </c>
      <c r="C307" s="9" t="s">
        <v>24</v>
      </c>
    </row>
    <row r="308" spans="1:3" x14ac:dyDescent="0.2">
      <c r="A308" s="9">
        <v>306</v>
      </c>
      <c r="B308" s="9">
        <f t="shared" ca="1" si="4"/>
        <v>0.79002882984973621</v>
      </c>
      <c r="C308" s="9" t="s">
        <v>23</v>
      </c>
    </row>
    <row r="309" spans="1:3" x14ac:dyDescent="0.2">
      <c r="A309" s="9">
        <v>307</v>
      </c>
      <c r="B309" s="9">
        <f t="shared" ca="1" si="4"/>
        <v>0.82918312173214204</v>
      </c>
      <c r="C309" s="9" t="s">
        <v>24</v>
      </c>
    </row>
    <row r="310" spans="1:3" x14ac:dyDescent="0.2">
      <c r="A310" s="9">
        <v>308</v>
      </c>
      <c r="B310" s="9">
        <f t="shared" ca="1" si="4"/>
        <v>0.72339410909979129</v>
      </c>
      <c r="C310" s="9" t="s">
        <v>23</v>
      </c>
    </row>
    <row r="311" spans="1:3" x14ac:dyDescent="0.2">
      <c r="A311" s="9">
        <v>309</v>
      </c>
      <c r="B311" s="9">
        <f t="shared" ca="1" si="4"/>
        <v>0.64067882722475644</v>
      </c>
      <c r="C311" s="9" t="s">
        <v>23</v>
      </c>
    </row>
    <row r="312" spans="1:3" x14ac:dyDescent="0.2">
      <c r="A312" s="9">
        <v>310</v>
      </c>
      <c r="B312" s="9">
        <f t="shared" ca="1" si="4"/>
        <v>0.65154614324172944</v>
      </c>
      <c r="C312" s="9" t="s">
        <v>24</v>
      </c>
    </row>
    <row r="313" spans="1:3" x14ac:dyDescent="0.2">
      <c r="A313" s="9">
        <v>311</v>
      </c>
      <c r="B313" s="9">
        <f t="shared" ca="1" si="4"/>
        <v>0.60198405012087042</v>
      </c>
      <c r="C313" s="9" t="s">
        <v>23</v>
      </c>
    </row>
    <row r="314" spans="1:3" x14ac:dyDescent="0.2">
      <c r="A314" s="9">
        <v>312</v>
      </c>
      <c r="B314" s="9">
        <f t="shared" ca="1" si="4"/>
        <v>0.66016731532281314</v>
      </c>
      <c r="C314" s="9" t="s">
        <v>23</v>
      </c>
    </row>
    <row r="315" spans="1:3" x14ac:dyDescent="0.2">
      <c r="A315" s="9">
        <v>313</v>
      </c>
      <c r="B315" s="9">
        <f t="shared" ca="1" si="4"/>
        <v>0.70599943354450523</v>
      </c>
      <c r="C315" s="9" t="s">
        <v>24</v>
      </c>
    </row>
    <row r="316" spans="1:3" x14ac:dyDescent="0.2">
      <c r="A316" s="9">
        <v>314</v>
      </c>
      <c r="B316" s="9">
        <f t="shared" ca="1" si="4"/>
        <v>0.44394104837423409</v>
      </c>
      <c r="C316" s="9" t="s">
        <v>24</v>
      </c>
    </row>
    <row r="317" spans="1:3" x14ac:dyDescent="0.2">
      <c r="A317" s="9">
        <v>315</v>
      </c>
      <c r="B317" s="9">
        <f t="shared" ca="1" si="4"/>
        <v>0.61126864277280768</v>
      </c>
      <c r="C317" s="9" t="s">
        <v>23</v>
      </c>
    </row>
    <row r="318" spans="1:3" x14ac:dyDescent="0.2">
      <c r="A318" s="9">
        <v>316</v>
      </c>
      <c r="B318" s="9">
        <f t="shared" ca="1" si="4"/>
        <v>0.71096645755378096</v>
      </c>
      <c r="C318" s="9" t="s">
        <v>23</v>
      </c>
    </row>
    <row r="319" spans="1:3" x14ac:dyDescent="0.2">
      <c r="A319" s="9">
        <v>317</v>
      </c>
      <c r="B319" s="9">
        <f t="shared" ca="1" si="4"/>
        <v>0.61917940692907381</v>
      </c>
      <c r="C319" s="9" t="s">
        <v>24</v>
      </c>
    </row>
    <row r="320" spans="1:3" x14ac:dyDescent="0.2">
      <c r="A320" s="9">
        <v>318</v>
      </c>
      <c r="B320" s="9">
        <f t="shared" ca="1" si="4"/>
        <v>0.57291794781459193</v>
      </c>
      <c r="C320" s="9" t="s">
        <v>23</v>
      </c>
    </row>
    <row r="321" spans="1:3" x14ac:dyDescent="0.2">
      <c r="A321" s="9">
        <v>319</v>
      </c>
      <c r="B321" s="9">
        <f t="shared" ca="1" si="4"/>
        <v>0.49390069221185151</v>
      </c>
      <c r="C321" s="9" t="s">
        <v>24</v>
      </c>
    </row>
    <row r="322" spans="1:3" x14ac:dyDescent="0.2">
      <c r="A322" s="9">
        <v>320</v>
      </c>
      <c r="B322" s="9">
        <f t="shared" ca="1" si="4"/>
        <v>0.53924852379810562</v>
      </c>
      <c r="C322" s="9" t="s">
        <v>24</v>
      </c>
    </row>
    <row r="323" spans="1:3" x14ac:dyDescent="0.2">
      <c r="A323" s="9">
        <v>321</v>
      </c>
      <c r="B323" s="9">
        <f t="shared" ca="1" si="4"/>
        <v>0.75757809481501648</v>
      </c>
      <c r="C323" s="9" t="s">
        <v>23</v>
      </c>
    </row>
    <row r="324" spans="1:3" x14ac:dyDescent="0.2">
      <c r="A324" s="9">
        <v>322</v>
      </c>
      <c r="B324" s="9">
        <f t="shared" ref="B324:B387" ca="1" si="5">IF(C324="Bomb",_xlfn.NORM.INV(RAND(),0.7,0.1),_xlfn.NORM.INV(RAND(),0.6,0.15))</f>
        <v>0.62667529969980662</v>
      </c>
      <c r="C324" s="9" t="s">
        <v>23</v>
      </c>
    </row>
    <row r="325" spans="1:3" x14ac:dyDescent="0.2">
      <c r="A325" s="9">
        <v>323</v>
      </c>
      <c r="B325" s="9">
        <f t="shared" ca="1" si="5"/>
        <v>0.61508397671037351</v>
      </c>
      <c r="C325" s="9" t="s">
        <v>23</v>
      </c>
    </row>
    <row r="326" spans="1:3" x14ac:dyDescent="0.2">
      <c r="A326" s="9">
        <v>324</v>
      </c>
      <c r="B326" s="9">
        <f t="shared" ca="1" si="5"/>
        <v>0.6042030879177025</v>
      </c>
      <c r="C326" s="9" t="s">
        <v>24</v>
      </c>
    </row>
    <row r="327" spans="1:3" x14ac:dyDescent="0.2">
      <c r="A327" s="9">
        <v>325</v>
      </c>
      <c r="B327" s="9">
        <f t="shared" ca="1" si="5"/>
        <v>0.38610121352788507</v>
      </c>
      <c r="C327" s="9" t="s">
        <v>24</v>
      </c>
    </row>
    <row r="328" spans="1:3" x14ac:dyDescent="0.2">
      <c r="A328" s="9">
        <v>326</v>
      </c>
      <c r="B328" s="9">
        <f t="shared" ca="1" si="5"/>
        <v>0.67341598536979297</v>
      </c>
      <c r="C328" s="9" t="s">
        <v>23</v>
      </c>
    </row>
    <row r="329" spans="1:3" x14ac:dyDescent="0.2">
      <c r="A329" s="9">
        <v>327</v>
      </c>
      <c r="B329" s="9">
        <f t="shared" ca="1" si="5"/>
        <v>0.72882261039867036</v>
      </c>
      <c r="C329" s="9" t="s">
        <v>24</v>
      </c>
    </row>
    <row r="330" spans="1:3" x14ac:dyDescent="0.2">
      <c r="A330" s="9">
        <v>328</v>
      </c>
      <c r="B330" s="9">
        <f t="shared" ca="1" si="5"/>
        <v>0.53211143564521146</v>
      </c>
      <c r="C330" s="9" t="s">
        <v>24</v>
      </c>
    </row>
    <row r="331" spans="1:3" x14ac:dyDescent="0.2">
      <c r="A331" s="9">
        <v>329</v>
      </c>
      <c r="B331" s="9">
        <f t="shared" ca="1" si="5"/>
        <v>0.75002145961838618</v>
      </c>
      <c r="C331" s="9" t="s">
        <v>23</v>
      </c>
    </row>
    <row r="332" spans="1:3" x14ac:dyDescent="0.2">
      <c r="A332" s="9">
        <v>330</v>
      </c>
      <c r="B332" s="9">
        <f t="shared" ca="1" si="5"/>
        <v>0.61431696443339401</v>
      </c>
      <c r="C332" s="9" t="s">
        <v>24</v>
      </c>
    </row>
    <row r="333" spans="1:3" x14ac:dyDescent="0.2">
      <c r="A333" s="9">
        <v>331</v>
      </c>
      <c r="B333" s="9">
        <f t="shared" ca="1" si="5"/>
        <v>0.56717746207962805</v>
      </c>
      <c r="C333" s="9" t="s">
        <v>24</v>
      </c>
    </row>
    <row r="334" spans="1:3" x14ac:dyDescent="0.2">
      <c r="A334" s="9">
        <v>332</v>
      </c>
      <c r="B334" s="9">
        <f t="shared" ca="1" si="5"/>
        <v>0.77692216903022904</v>
      </c>
      <c r="C334" s="9" t="s">
        <v>23</v>
      </c>
    </row>
    <row r="335" spans="1:3" x14ac:dyDescent="0.2">
      <c r="A335" s="9">
        <v>333</v>
      </c>
      <c r="B335" s="9">
        <f t="shared" ca="1" si="5"/>
        <v>1.008663887192673</v>
      </c>
      <c r="C335" s="9" t="s">
        <v>24</v>
      </c>
    </row>
    <row r="336" spans="1:3" x14ac:dyDescent="0.2">
      <c r="A336" s="9">
        <v>334</v>
      </c>
      <c r="B336" s="9">
        <f t="shared" ca="1" si="5"/>
        <v>0.70322051950546116</v>
      </c>
      <c r="C336" s="9" t="s">
        <v>24</v>
      </c>
    </row>
    <row r="337" spans="1:3" x14ac:dyDescent="0.2">
      <c r="A337" s="9">
        <v>335</v>
      </c>
      <c r="B337" s="9">
        <f t="shared" ca="1" si="5"/>
        <v>0.68928832453260769</v>
      </c>
      <c r="C337" s="9" t="s">
        <v>24</v>
      </c>
    </row>
    <row r="338" spans="1:3" x14ac:dyDescent="0.2">
      <c r="A338" s="9">
        <v>336</v>
      </c>
      <c r="B338" s="9">
        <f t="shared" ca="1" si="5"/>
        <v>0.70975867843328067</v>
      </c>
      <c r="C338" s="9" t="s">
        <v>23</v>
      </c>
    </row>
    <row r="339" spans="1:3" x14ac:dyDescent="0.2">
      <c r="A339" s="9">
        <v>337</v>
      </c>
      <c r="B339" s="9">
        <f t="shared" ca="1" si="5"/>
        <v>0.51913840653142451</v>
      </c>
      <c r="C339" s="9" t="s">
        <v>23</v>
      </c>
    </row>
    <row r="340" spans="1:3" x14ac:dyDescent="0.2">
      <c r="A340" s="9">
        <v>338</v>
      </c>
      <c r="B340" s="9">
        <f t="shared" ca="1" si="5"/>
        <v>0.66084042686996858</v>
      </c>
      <c r="C340" s="9" t="s">
        <v>23</v>
      </c>
    </row>
    <row r="341" spans="1:3" x14ac:dyDescent="0.2">
      <c r="A341" s="9">
        <v>339</v>
      </c>
      <c r="B341" s="9">
        <f t="shared" ca="1" si="5"/>
        <v>0.47238207987397363</v>
      </c>
      <c r="C341" s="9" t="s">
        <v>24</v>
      </c>
    </row>
    <row r="342" spans="1:3" x14ac:dyDescent="0.2">
      <c r="A342" s="9">
        <v>340</v>
      </c>
      <c r="B342" s="9">
        <f t="shared" ca="1" si="5"/>
        <v>0.29581232063292512</v>
      </c>
      <c r="C342" s="9" t="s">
        <v>24</v>
      </c>
    </row>
    <row r="343" spans="1:3" x14ac:dyDescent="0.2">
      <c r="A343" s="9">
        <v>341</v>
      </c>
      <c r="B343" s="9">
        <f t="shared" ca="1" si="5"/>
        <v>0.62864420232378382</v>
      </c>
      <c r="C343" s="9" t="s">
        <v>24</v>
      </c>
    </row>
    <row r="344" spans="1:3" x14ac:dyDescent="0.2">
      <c r="A344" s="9">
        <v>342</v>
      </c>
      <c r="B344" s="9">
        <f t="shared" ca="1" si="5"/>
        <v>0.53661912724098482</v>
      </c>
      <c r="C344" s="9" t="s">
        <v>24</v>
      </c>
    </row>
    <row r="345" spans="1:3" x14ac:dyDescent="0.2">
      <c r="A345" s="9">
        <v>343</v>
      </c>
      <c r="B345" s="9">
        <f t="shared" ca="1" si="5"/>
        <v>0.77626527679933488</v>
      </c>
      <c r="C345" s="9" t="s">
        <v>23</v>
      </c>
    </row>
    <row r="346" spans="1:3" x14ac:dyDescent="0.2">
      <c r="A346" s="9">
        <v>344</v>
      </c>
      <c r="B346" s="9">
        <f t="shared" ca="1" si="5"/>
        <v>0.73390100642720035</v>
      </c>
      <c r="C346" s="9" t="s">
        <v>23</v>
      </c>
    </row>
    <row r="347" spans="1:3" x14ac:dyDescent="0.2">
      <c r="A347" s="9">
        <v>345</v>
      </c>
      <c r="B347" s="9">
        <f t="shared" ca="1" si="5"/>
        <v>0.6325199641839413</v>
      </c>
      <c r="C347" s="9" t="s">
        <v>24</v>
      </c>
    </row>
    <row r="348" spans="1:3" x14ac:dyDescent="0.2">
      <c r="A348" s="9">
        <v>346</v>
      </c>
      <c r="B348" s="9">
        <f t="shared" ca="1" si="5"/>
        <v>0.80035562643614067</v>
      </c>
      <c r="C348" s="9" t="s">
        <v>23</v>
      </c>
    </row>
    <row r="349" spans="1:3" x14ac:dyDescent="0.2">
      <c r="A349" s="9">
        <v>347</v>
      </c>
      <c r="B349" s="9">
        <f t="shared" ca="1" si="5"/>
        <v>0.70070291691374909</v>
      </c>
      <c r="C349" s="9" t="s">
        <v>24</v>
      </c>
    </row>
    <row r="350" spans="1:3" x14ac:dyDescent="0.2">
      <c r="A350" s="9">
        <v>348</v>
      </c>
      <c r="B350" s="9">
        <f t="shared" ca="1" si="5"/>
        <v>0.65023302849179931</v>
      </c>
      <c r="C350" s="9" t="s">
        <v>23</v>
      </c>
    </row>
    <row r="351" spans="1:3" x14ac:dyDescent="0.2">
      <c r="A351" s="9">
        <v>349</v>
      </c>
      <c r="B351" s="9">
        <f t="shared" ca="1" si="5"/>
        <v>0.85261866668259845</v>
      </c>
      <c r="C351" s="9" t="s">
        <v>23</v>
      </c>
    </row>
    <row r="352" spans="1:3" x14ac:dyDescent="0.2">
      <c r="A352" s="9">
        <v>350</v>
      </c>
      <c r="B352" s="9">
        <f t="shared" ca="1" si="5"/>
        <v>0.72272172751393382</v>
      </c>
      <c r="C352" s="9" t="s">
        <v>24</v>
      </c>
    </row>
    <row r="353" spans="1:3" x14ac:dyDescent="0.2">
      <c r="A353" s="9">
        <v>351</v>
      </c>
      <c r="B353" s="9">
        <f t="shared" ca="1" si="5"/>
        <v>0.39524987355730851</v>
      </c>
      <c r="C353" s="9" t="s">
        <v>24</v>
      </c>
    </row>
    <row r="354" spans="1:3" x14ac:dyDescent="0.2">
      <c r="A354" s="9">
        <v>352</v>
      </c>
      <c r="B354" s="9">
        <f t="shared" ca="1" si="5"/>
        <v>0.69017220361227516</v>
      </c>
      <c r="C354" s="9" t="s">
        <v>24</v>
      </c>
    </row>
    <row r="355" spans="1:3" x14ac:dyDescent="0.2">
      <c r="A355" s="9">
        <v>353</v>
      </c>
      <c r="B355" s="9">
        <f t="shared" ca="1" si="5"/>
        <v>0.57612078383893373</v>
      </c>
      <c r="C355" s="9" t="s">
        <v>23</v>
      </c>
    </row>
    <row r="356" spans="1:3" x14ac:dyDescent="0.2">
      <c r="A356" s="9">
        <v>354</v>
      </c>
      <c r="B356" s="9">
        <f t="shared" ca="1" si="5"/>
        <v>0.70400024224133118</v>
      </c>
      <c r="C356" s="9" t="s">
        <v>23</v>
      </c>
    </row>
    <row r="357" spans="1:3" x14ac:dyDescent="0.2">
      <c r="A357" s="9">
        <v>355</v>
      </c>
      <c r="B357" s="9">
        <f t="shared" ca="1" si="5"/>
        <v>0.77409875921474658</v>
      </c>
      <c r="C357" s="9" t="s">
        <v>23</v>
      </c>
    </row>
    <row r="358" spans="1:3" x14ac:dyDescent="0.2">
      <c r="A358" s="9">
        <v>356</v>
      </c>
      <c r="B358" s="9">
        <f t="shared" ca="1" si="5"/>
        <v>0.82202722907530901</v>
      </c>
      <c r="C358" s="9" t="s">
        <v>23</v>
      </c>
    </row>
    <row r="359" spans="1:3" x14ac:dyDescent="0.2">
      <c r="A359" s="9">
        <v>357</v>
      </c>
      <c r="B359" s="9">
        <f t="shared" ca="1" si="5"/>
        <v>0.63626787762827319</v>
      </c>
      <c r="C359" s="9" t="s">
        <v>24</v>
      </c>
    </row>
    <row r="360" spans="1:3" x14ac:dyDescent="0.2">
      <c r="A360" s="9">
        <v>358</v>
      </c>
      <c r="B360" s="9">
        <f t="shared" ca="1" si="5"/>
        <v>0.79645315589591159</v>
      </c>
      <c r="C360" s="9" t="s">
        <v>23</v>
      </c>
    </row>
    <row r="361" spans="1:3" x14ac:dyDescent="0.2">
      <c r="A361" s="9">
        <v>359</v>
      </c>
      <c r="B361" s="9">
        <f t="shared" ca="1" si="5"/>
        <v>0.5609990715367118</v>
      </c>
      <c r="C361" s="9" t="s">
        <v>24</v>
      </c>
    </row>
    <row r="362" spans="1:3" x14ac:dyDescent="0.2">
      <c r="A362" s="9">
        <v>360</v>
      </c>
      <c r="B362" s="9">
        <f t="shared" ca="1" si="5"/>
        <v>1.0899878848818529</v>
      </c>
      <c r="C362" s="9" t="s">
        <v>24</v>
      </c>
    </row>
    <row r="363" spans="1:3" x14ac:dyDescent="0.2">
      <c r="A363" s="9">
        <v>361</v>
      </c>
      <c r="B363" s="9">
        <f t="shared" ca="1" si="5"/>
        <v>0.59078362760682723</v>
      </c>
      <c r="C363" s="9" t="s">
        <v>23</v>
      </c>
    </row>
    <row r="364" spans="1:3" x14ac:dyDescent="0.2">
      <c r="A364" s="9">
        <v>362</v>
      </c>
      <c r="B364" s="9">
        <f t="shared" ca="1" si="5"/>
        <v>0.72710387325926307</v>
      </c>
      <c r="C364" s="9" t="s">
        <v>23</v>
      </c>
    </row>
    <row r="365" spans="1:3" x14ac:dyDescent="0.2">
      <c r="A365" s="9">
        <v>363</v>
      </c>
      <c r="B365" s="9">
        <f t="shared" ca="1" si="5"/>
        <v>0.38153937000286769</v>
      </c>
      <c r="C365" s="9" t="s">
        <v>24</v>
      </c>
    </row>
    <row r="366" spans="1:3" x14ac:dyDescent="0.2">
      <c r="A366" s="9">
        <v>364</v>
      </c>
      <c r="B366" s="9">
        <f t="shared" ca="1" si="5"/>
        <v>0.66017995886155501</v>
      </c>
      <c r="C366" s="9" t="s">
        <v>23</v>
      </c>
    </row>
    <row r="367" spans="1:3" x14ac:dyDescent="0.2">
      <c r="A367" s="9">
        <v>365</v>
      </c>
      <c r="B367" s="9">
        <f t="shared" ca="1" si="5"/>
        <v>0.58697944929688151</v>
      </c>
      <c r="C367" s="9" t="s">
        <v>24</v>
      </c>
    </row>
    <row r="368" spans="1:3" x14ac:dyDescent="0.2">
      <c r="A368" s="9">
        <v>366</v>
      </c>
      <c r="B368" s="9">
        <f t="shared" ca="1" si="5"/>
        <v>0.20845394625718333</v>
      </c>
      <c r="C368" s="9" t="s">
        <v>24</v>
      </c>
    </row>
    <row r="369" spans="1:3" x14ac:dyDescent="0.2">
      <c r="A369" s="9">
        <v>367</v>
      </c>
      <c r="B369" s="9">
        <f t="shared" ca="1" si="5"/>
        <v>0.71264369049423826</v>
      </c>
      <c r="C369" s="9" t="s">
        <v>23</v>
      </c>
    </row>
    <row r="370" spans="1:3" x14ac:dyDescent="0.2">
      <c r="A370" s="9">
        <v>368</v>
      </c>
      <c r="B370" s="9">
        <f t="shared" ca="1" si="5"/>
        <v>0.43402925108080187</v>
      </c>
      <c r="C370" s="9" t="s">
        <v>23</v>
      </c>
    </row>
    <row r="371" spans="1:3" x14ac:dyDescent="0.2">
      <c r="A371" s="9">
        <v>369</v>
      </c>
      <c r="B371" s="9">
        <f t="shared" ca="1" si="5"/>
        <v>0.6836104273291711</v>
      </c>
      <c r="C371" s="9" t="s">
        <v>24</v>
      </c>
    </row>
    <row r="372" spans="1:3" x14ac:dyDescent="0.2">
      <c r="A372" s="9">
        <v>370</v>
      </c>
      <c r="B372" s="9">
        <f t="shared" ca="1" si="5"/>
        <v>0.66578805179045875</v>
      </c>
      <c r="C372" s="9" t="s">
        <v>23</v>
      </c>
    </row>
    <row r="373" spans="1:3" x14ac:dyDescent="0.2">
      <c r="A373" s="9">
        <v>371</v>
      </c>
      <c r="B373" s="9">
        <f t="shared" ca="1" si="5"/>
        <v>0.62188019966704033</v>
      </c>
      <c r="C373" s="9" t="s">
        <v>23</v>
      </c>
    </row>
    <row r="374" spans="1:3" x14ac:dyDescent="0.2">
      <c r="A374" s="9">
        <v>372</v>
      </c>
      <c r="B374" s="9">
        <f t="shared" ca="1" si="5"/>
        <v>0.69664194624145814</v>
      </c>
      <c r="C374" s="9" t="s">
        <v>24</v>
      </c>
    </row>
    <row r="375" spans="1:3" x14ac:dyDescent="0.2">
      <c r="A375" s="9">
        <v>373</v>
      </c>
      <c r="B375" s="9">
        <f t="shared" ca="1" si="5"/>
        <v>0.65071792564290665</v>
      </c>
      <c r="C375" s="9" t="s">
        <v>23</v>
      </c>
    </row>
    <row r="376" spans="1:3" x14ac:dyDescent="0.2">
      <c r="A376" s="9">
        <v>374</v>
      </c>
      <c r="B376" s="9">
        <f t="shared" ca="1" si="5"/>
        <v>0.56394149170583963</v>
      </c>
      <c r="C376" s="9" t="s">
        <v>23</v>
      </c>
    </row>
    <row r="377" spans="1:3" x14ac:dyDescent="0.2">
      <c r="A377" s="9">
        <v>375</v>
      </c>
      <c r="B377" s="9">
        <f t="shared" ca="1" si="5"/>
        <v>0.63636549102991935</v>
      </c>
      <c r="C377" s="9" t="s">
        <v>24</v>
      </c>
    </row>
    <row r="378" spans="1:3" x14ac:dyDescent="0.2">
      <c r="A378" s="9">
        <v>376</v>
      </c>
      <c r="B378" s="9">
        <f t="shared" ca="1" si="5"/>
        <v>0.69837652668498218</v>
      </c>
      <c r="C378" s="9" t="s">
        <v>23</v>
      </c>
    </row>
    <row r="379" spans="1:3" x14ac:dyDescent="0.2">
      <c r="A379" s="9">
        <v>377</v>
      </c>
      <c r="B379" s="9">
        <f t="shared" ca="1" si="5"/>
        <v>0.60745477518496305</v>
      </c>
      <c r="C379" s="9" t="s">
        <v>23</v>
      </c>
    </row>
    <row r="380" spans="1:3" x14ac:dyDescent="0.2">
      <c r="A380" s="9">
        <v>378</v>
      </c>
      <c r="B380" s="9">
        <f t="shared" ca="1" si="5"/>
        <v>0.78856692148335084</v>
      </c>
      <c r="C380" s="9" t="s">
        <v>23</v>
      </c>
    </row>
    <row r="381" spans="1:3" x14ac:dyDescent="0.2">
      <c r="A381" s="9">
        <v>379</v>
      </c>
      <c r="B381" s="9">
        <f t="shared" ca="1" si="5"/>
        <v>0.53335173611473741</v>
      </c>
      <c r="C381" s="9" t="s">
        <v>23</v>
      </c>
    </row>
    <row r="382" spans="1:3" x14ac:dyDescent="0.2">
      <c r="A382" s="9">
        <v>380</v>
      </c>
      <c r="B382" s="9">
        <f t="shared" ca="1" si="5"/>
        <v>0.63888444350407125</v>
      </c>
      <c r="C382" s="9" t="s">
        <v>23</v>
      </c>
    </row>
    <row r="383" spans="1:3" x14ac:dyDescent="0.2">
      <c r="A383" s="9">
        <v>381</v>
      </c>
      <c r="B383" s="9">
        <f t="shared" ca="1" si="5"/>
        <v>0.53628304444504904</v>
      </c>
      <c r="C383" s="9" t="s">
        <v>23</v>
      </c>
    </row>
    <row r="384" spans="1:3" x14ac:dyDescent="0.2">
      <c r="A384" s="9">
        <v>382</v>
      </c>
      <c r="B384" s="9">
        <f t="shared" ca="1" si="5"/>
        <v>0.78186072356215064</v>
      </c>
      <c r="C384" s="9" t="s">
        <v>23</v>
      </c>
    </row>
    <row r="385" spans="1:3" x14ac:dyDescent="0.2">
      <c r="A385" s="9">
        <v>383</v>
      </c>
      <c r="B385" s="9">
        <f t="shared" ca="1" si="5"/>
        <v>0.49635326826350434</v>
      </c>
      <c r="C385" s="9" t="s">
        <v>24</v>
      </c>
    </row>
    <row r="386" spans="1:3" x14ac:dyDescent="0.2">
      <c r="A386" s="9">
        <v>384</v>
      </c>
      <c r="B386" s="9">
        <f t="shared" ca="1" si="5"/>
        <v>0.67678424846836549</v>
      </c>
      <c r="C386" s="9" t="s">
        <v>23</v>
      </c>
    </row>
    <row r="387" spans="1:3" x14ac:dyDescent="0.2">
      <c r="A387" s="9">
        <v>385</v>
      </c>
      <c r="B387" s="9">
        <f t="shared" ca="1" si="5"/>
        <v>0.45133967492082</v>
      </c>
      <c r="C387" s="9" t="s">
        <v>24</v>
      </c>
    </row>
    <row r="388" spans="1:3" x14ac:dyDescent="0.2">
      <c r="A388" s="9">
        <v>386</v>
      </c>
      <c r="B388" s="9">
        <f t="shared" ref="B388:B451" ca="1" si="6">IF(C388="Bomb",_xlfn.NORM.INV(RAND(),0.7,0.1),_xlfn.NORM.INV(RAND(),0.6,0.15))</f>
        <v>0.76621279275556864</v>
      </c>
      <c r="C388" s="9" t="s">
        <v>24</v>
      </c>
    </row>
    <row r="389" spans="1:3" x14ac:dyDescent="0.2">
      <c r="A389" s="9">
        <v>387</v>
      </c>
      <c r="B389" s="9">
        <f t="shared" ca="1" si="6"/>
        <v>0.54922399726423454</v>
      </c>
      <c r="C389" s="9" t="s">
        <v>24</v>
      </c>
    </row>
    <row r="390" spans="1:3" x14ac:dyDescent="0.2">
      <c r="A390" s="9">
        <v>388</v>
      </c>
      <c r="B390" s="9">
        <f t="shared" ca="1" si="6"/>
        <v>0.84017030074263166</v>
      </c>
      <c r="C390" s="9" t="s">
        <v>24</v>
      </c>
    </row>
    <row r="391" spans="1:3" x14ac:dyDescent="0.2">
      <c r="A391" s="9">
        <v>389</v>
      </c>
      <c r="B391" s="9">
        <f t="shared" ca="1" si="6"/>
        <v>0.62363151275645823</v>
      </c>
      <c r="C391" s="9" t="s">
        <v>24</v>
      </c>
    </row>
    <row r="392" spans="1:3" x14ac:dyDescent="0.2">
      <c r="A392" s="9">
        <v>390</v>
      </c>
      <c r="B392" s="9">
        <f t="shared" ca="1" si="6"/>
        <v>0.76370582918514862</v>
      </c>
      <c r="C392" s="9" t="s">
        <v>23</v>
      </c>
    </row>
    <row r="393" spans="1:3" x14ac:dyDescent="0.2">
      <c r="A393" s="9">
        <v>391</v>
      </c>
      <c r="B393" s="9">
        <f t="shared" ca="1" si="6"/>
        <v>0.69145796808538751</v>
      </c>
      <c r="C393" s="9" t="s">
        <v>23</v>
      </c>
    </row>
    <row r="394" spans="1:3" x14ac:dyDescent="0.2">
      <c r="A394" s="9">
        <v>392</v>
      </c>
      <c r="B394" s="9">
        <f t="shared" ca="1" si="6"/>
        <v>0.67378494098137698</v>
      </c>
      <c r="C394" s="9" t="s">
        <v>24</v>
      </c>
    </row>
    <row r="395" spans="1:3" x14ac:dyDescent="0.2">
      <c r="A395" s="9">
        <v>393</v>
      </c>
      <c r="B395" s="9">
        <f t="shared" ca="1" si="6"/>
        <v>0.59960136425102761</v>
      </c>
      <c r="C395" s="9" t="s">
        <v>24</v>
      </c>
    </row>
    <row r="396" spans="1:3" x14ac:dyDescent="0.2">
      <c r="A396" s="9">
        <v>394</v>
      </c>
      <c r="B396" s="9">
        <f t="shared" ca="1" si="6"/>
        <v>0.84313372381322349</v>
      </c>
      <c r="C396" s="9" t="s">
        <v>24</v>
      </c>
    </row>
    <row r="397" spans="1:3" x14ac:dyDescent="0.2">
      <c r="A397" s="9">
        <v>395</v>
      </c>
      <c r="B397" s="9">
        <f t="shared" ca="1" si="6"/>
        <v>0.55030244509645809</v>
      </c>
      <c r="C397" s="9" t="s">
        <v>23</v>
      </c>
    </row>
    <row r="398" spans="1:3" x14ac:dyDescent="0.2">
      <c r="A398" s="9">
        <v>396</v>
      </c>
      <c r="B398" s="9">
        <f t="shared" ca="1" si="6"/>
        <v>0.68194387556319425</v>
      </c>
      <c r="C398" s="9" t="s">
        <v>23</v>
      </c>
    </row>
    <row r="399" spans="1:3" x14ac:dyDescent="0.2">
      <c r="A399" s="9">
        <v>397</v>
      </c>
      <c r="B399" s="9">
        <f t="shared" ca="1" si="6"/>
        <v>0.66364283456478945</v>
      </c>
      <c r="C399" s="9" t="s">
        <v>24</v>
      </c>
    </row>
    <row r="400" spans="1:3" x14ac:dyDescent="0.2">
      <c r="A400" s="9">
        <v>398</v>
      </c>
      <c r="B400" s="9">
        <f t="shared" ca="1" si="6"/>
        <v>0.82389175557495731</v>
      </c>
      <c r="C400" s="9" t="s">
        <v>23</v>
      </c>
    </row>
    <row r="401" spans="1:3" x14ac:dyDescent="0.2">
      <c r="A401" s="9">
        <v>399</v>
      </c>
      <c r="B401" s="9">
        <f t="shared" ca="1" si="6"/>
        <v>0.68034884349063762</v>
      </c>
      <c r="C401" s="9" t="s">
        <v>24</v>
      </c>
    </row>
    <row r="402" spans="1:3" x14ac:dyDescent="0.2">
      <c r="A402" s="9">
        <v>400</v>
      </c>
      <c r="B402" s="9">
        <f t="shared" ca="1" si="6"/>
        <v>0.71314461978347521</v>
      </c>
      <c r="C402" s="9" t="s">
        <v>23</v>
      </c>
    </row>
    <row r="403" spans="1:3" x14ac:dyDescent="0.2">
      <c r="A403" s="9">
        <v>401</v>
      </c>
      <c r="B403" s="9">
        <f t="shared" ca="1" si="6"/>
        <v>0.48589047809984365</v>
      </c>
      <c r="C403" s="9" t="s">
        <v>24</v>
      </c>
    </row>
    <row r="404" spans="1:3" x14ac:dyDescent="0.2">
      <c r="A404" s="9">
        <v>402</v>
      </c>
      <c r="B404" s="9">
        <f t="shared" ca="1" si="6"/>
        <v>0.54975476687608871</v>
      </c>
      <c r="C404" s="9" t="s">
        <v>24</v>
      </c>
    </row>
    <row r="405" spans="1:3" x14ac:dyDescent="0.2">
      <c r="A405" s="9">
        <v>403</v>
      </c>
      <c r="B405" s="9">
        <f t="shared" ca="1" si="6"/>
        <v>0.40117170502784644</v>
      </c>
      <c r="C405" s="9" t="s">
        <v>24</v>
      </c>
    </row>
    <row r="406" spans="1:3" x14ac:dyDescent="0.2">
      <c r="A406" s="9">
        <v>404</v>
      </c>
      <c r="B406" s="9">
        <f t="shared" ca="1" si="6"/>
        <v>0.57831373586159951</v>
      </c>
      <c r="C406" s="9" t="s">
        <v>23</v>
      </c>
    </row>
    <row r="407" spans="1:3" x14ac:dyDescent="0.2">
      <c r="A407" s="9">
        <v>405</v>
      </c>
      <c r="B407" s="9">
        <f t="shared" ca="1" si="6"/>
        <v>0.67073524910503968</v>
      </c>
      <c r="C407" s="9" t="s">
        <v>23</v>
      </c>
    </row>
    <row r="408" spans="1:3" x14ac:dyDescent="0.2">
      <c r="A408" s="9">
        <v>406</v>
      </c>
      <c r="B408" s="9">
        <f t="shared" ca="1" si="6"/>
        <v>0.81509550769546579</v>
      </c>
      <c r="C408" s="9" t="s">
        <v>24</v>
      </c>
    </row>
    <row r="409" spans="1:3" x14ac:dyDescent="0.2">
      <c r="A409" s="9">
        <v>407</v>
      </c>
      <c r="B409" s="9">
        <f t="shared" ca="1" si="6"/>
        <v>0.5665486277837668</v>
      </c>
      <c r="C409" s="9" t="s">
        <v>24</v>
      </c>
    </row>
    <row r="410" spans="1:3" x14ac:dyDescent="0.2">
      <c r="A410" s="9">
        <v>408</v>
      </c>
      <c r="B410" s="9">
        <f t="shared" ca="1" si="6"/>
        <v>0.59039874436486628</v>
      </c>
      <c r="C410" s="9" t="s">
        <v>23</v>
      </c>
    </row>
    <row r="411" spans="1:3" x14ac:dyDescent="0.2">
      <c r="A411" s="9">
        <v>409</v>
      </c>
      <c r="B411" s="9">
        <f t="shared" ca="1" si="6"/>
        <v>0.75269588013364153</v>
      </c>
      <c r="C411" s="9" t="s">
        <v>23</v>
      </c>
    </row>
    <row r="412" spans="1:3" x14ac:dyDescent="0.2">
      <c r="A412" s="9">
        <v>410</v>
      </c>
      <c r="B412" s="9">
        <f t="shared" ca="1" si="6"/>
        <v>0.80069400184142392</v>
      </c>
      <c r="C412" s="9" t="s">
        <v>23</v>
      </c>
    </row>
    <row r="413" spans="1:3" x14ac:dyDescent="0.2">
      <c r="A413" s="9">
        <v>411</v>
      </c>
      <c r="B413" s="9">
        <f t="shared" ca="1" si="6"/>
        <v>0.2689810113692554</v>
      </c>
      <c r="C413" s="9" t="s">
        <v>24</v>
      </c>
    </row>
    <row r="414" spans="1:3" x14ac:dyDescent="0.2">
      <c r="A414" s="9">
        <v>412</v>
      </c>
      <c r="B414" s="9">
        <f t="shared" ca="1" si="6"/>
        <v>0.64858611075582207</v>
      </c>
      <c r="C414" s="9" t="s">
        <v>24</v>
      </c>
    </row>
    <row r="415" spans="1:3" x14ac:dyDescent="0.2">
      <c r="A415" s="9">
        <v>413</v>
      </c>
      <c r="B415" s="9">
        <f t="shared" ca="1" si="6"/>
        <v>0.77628631353630984</v>
      </c>
      <c r="C415" s="9" t="s">
        <v>23</v>
      </c>
    </row>
    <row r="416" spans="1:3" x14ac:dyDescent="0.2">
      <c r="A416" s="9">
        <v>414</v>
      </c>
      <c r="B416" s="9">
        <f t="shared" ca="1" si="6"/>
        <v>0.74944119539603826</v>
      </c>
      <c r="C416" s="9" t="s">
        <v>23</v>
      </c>
    </row>
    <row r="417" spans="1:3" x14ac:dyDescent="0.2">
      <c r="A417" s="9">
        <v>415</v>
      </c>
      <c r="B417" s="9">
        <f t="shared" ca="1" si="6"/>
        <v>0.45336994027930433</v>
      </c>
      <c r="C417" s="9" t="s">
        <v>24</v>
      </c>
    </row>
    <row r="418" spans="1:3" x14ac:dyDescent="0.2">
      <c r="A418" s="9">
        <v>416</v>
      </c>
      <c r="B418" s="9">
        <f t="shared" ca="1" si="6"/>
        <v>0.73009527933261964</v>
      </c>
      <c r="C418" s="9" t="s">
        <v>23</v>
      </c>
    </row>
    <row r="419" spans="1:3" x14ac:dyDescent="0.2">
      <c r="A419" s="9">
        <v>417</v>
      </c>
      <c r="B419" s="9">
        <f t="shared" ca="1" si="6"/>
        <v>0.69261067493208461</v>
      </c>
      <c r="C419" s="9" t="s">
        <v>23</v>
      </c>
    </row>
    <row r="420" spans="1:3" x14ac:dyDescent="0.2">
      <c r="A420" s="9">
        <v>418</v>
      </c>
      <c r="B420" s="9">
        <f t="shared" ca="1" si="6"/>
        <v>0.61578340839496948</v>
      </c>
      <c r="C420" s="9" t="s">
        <v>24</v>
      </c>
    </row>
    <row r="421" spans="1:3" x14ac:dyDescent="0.2">
      <c r="A421" s="9">
        <v>419</v>
      </c>
      <c r="B421" s="9">
        <f t="shared" ca="1" si="6"/>
        <v>0.62945397941669678</v>
      </c>
      <c r="C421" s="9" t="s">
        <v>24</v>
      </c>
    </row>
    <row r="422" spans="1:3" x14ac:dyDescent="0.2">
      <c r="A422" s="9">
        <v>420</v>
      </c>
      <c r="B422" s="9">
        <f t="shared" ca="1" si="6"/>
        <v>0.71029857796393969</v>
      </c>
      <c r="C422" s="9" t="s">
        <v>23</v>
      </c>
    </row>
    <row r="423" spans="1:3" x14ac:dyDescent="0.2">
      <c r="A423" s="9">
        <v>421</v>
      </c>
      <c r="B423" s="9">
        <f t="shared" ca="1" si="6"/>
        <v>0.69628815337993955</v>
      </c>
      <c r="C423" s="9" t="s">
        <v>23</v>
      </c>
    </row>
    <row r="424" spans="1:3" x14ac:dyDescent="0.2">
      <c r="A424" s="9">
        <v>422</v>
      </c>
      <c r="B424" s="9">
        <f t="shared" ca="1" si="6"/>
        <v>0.34497930800898347</v>
      </c>
      <c r="C424" s="9" t="s">
        <v>24</v>
      </c>
    </row>
    <row r="425" spans="1:3" x14ac:dyDescent="0.2">
      <c r="A425" s="9">
        <v>423</v>
      </c>
      <c r="B425" s="9">
        <f t="shared" ca="1" si="6"/>
        <v>0.67677082460825244</v>
      </c>
      <c r="C425" s="9" t="s">
        <v>24</v>
      </c>
    </row>
    <row r="426" spans="1:3" x14ac:dyDescent="0.2">
      <c r="A426" s="9">
        <v>424</v>
      </c>
      <c r="B426" s="9">
        <f t="shared" ca="1" si="6"/>
        <v>0.50259536932564819</v>
      </c>
      <c r="C426" s="9" t="s">
        <v>24</v>
      </c>
    </row>
    <row r="427" spans="1:3" x14ac:dyDescent="0.2">
      <c r="A427" s="9">
        <v>425</v>
      </c>
      <c r="B427" s="9">
        <f t="shared" ca="1" si="6"/>
        <v>0.86001396539602259</v>
      </c>
      <c r="C427" s="9" t="s">
        <v>23</v>
      </c>
    </row>
    <row r="428" spans="1:3" x14ac:dyDescent="0.2">
      <c r="A428" s="9">
        <v>426</v>
      </c>
      <c r="B428" s="9">
        <f t="shared" ca="1" si="6"/>
        <v>0.60052140378649765</v>
      </c>
      <c r="C428" s="9" t="s">
        <v>24</v>
      </c>
    </row>
    <row r="429" spans="1:3" x14ac:dyDescent="0.2">
      <c r="A429" s="9">
        <v>427</v>
      </c>
      <c r="B429" s="9">
        <f t="shared" ca="1" si="6"/>
        <v>0.62192083262065045</v>
      </c>
      <c r="C429" s="9" t="s">
        <v>23</v>
      </c>
    </row>
    <row r="430" spans="1:3" x14ac:dyDescent="0.2">
      <c r="A430" s="9">
        <v>428</v>
      </c>
      <c r="B430" s="9">
        <f t="shared" ca="1" si="6"/>
        <v>0.42678629637795307</v>
      </c>
      <c r="C430" s="9" t="s">
        <v>24</v>
      </c>
    </row>
    <row r="431" spans="1:3" x14ac:dyDescent="0.2">
      <c r="A431" s="9">
        <v>429</v>
      </c>
      <c r="B431" s="9">
        <f t="shared" ca="1" si="6"/>
        <v>0.53883332473785495</v>
      </c>
      <c r="C431" s="9" t="s">
        <v>24</v>
      </c>
    </row>
    <row r="432" spans="1:3" x14ac:dyDescent="0.2">
      <c r="A432" s="9">
        <v>430</v>
      </c>
      <c r="B432" s="9">
        <f t="shared" ca="1" si="6"/>
        <v>0.43346032162863862</v>
      </c>
      <c r="C432" s="9" t="s">
        <v>23</v>
      </c>
    </row>
    <row r="433" spans="1:3" x14ac:dyDescent="0.2">
      <c r="A433" s="9">
        <v>431</v>
      </c>
      <c r="B433" s="9">
        <f t="shared" ca="1" si="6"/>
        <v>0.77410565221626859</v>
      </c>
      <c r="C433" s="9" t="s">
        <v>23</v>
      </c>
    </row>
    <row r="434" spans="1:3" x14ac:dyDescent="0.2">
      <c r="A434" s="9">
        <v>432</v>
      </c>
      <c r="B434" s="9">
        <f t="shared" ca="1" si="6"/>
        <v>0.93130345913976931</v>
      </c>
      <c r="C434" s="9" t="s">
        <v>24</v>
      </c>
    </row>
    <row r="435" spans="1:3" x14ac:dyDescent="0.2">
      <c r="A435" s="9">
        <v>433</v>
      </c>
      <c r="B435" s="9">
        <f t="shared" ca="1" si="6"/>
        <v>0.71407696002752319</v>
      </c>
      <c r="C435" s="9" t="s">
        <v>23</v>
      </c>
    </row>
    <row r="436" spans="1:3" x14ac:dyDescent="0.2">
      <c r="A436" s="9">
        <v>434</v>
      </c>
      <c r="B436" s="9">
        <f t="shared" ca="1" si="6"/>
        <v>0.60924014668679305</v>
      </c>
      <c r="C436" s="9" t="s">
        <v>24</v>
      </c>
    </row>
    <row r="437" spans="1:3" x14ac:dyDescent="0.2">
      <c r="A437" s="9">
        <v>435</v>
      </c>
      <c r="B437" s="9">
        <f t="shared" ca="1" si="6"/>
        <v>0.7241897048217919</v>
      </c>
      <c r="C437" s="9" t="s">
        <v>23</v>
      </c>
    </row>
    <row r="438" spans="1:3" x14ac:dyDescent="0.2">
      <c r="A438" s="9">
        <v>436</v>
      </c>
      <c r="B438" s="9">
        <f t="shared" ca="1" si="6"/>
        <v>0.57770756542747359</v>
      </c>
      <c r="C438" s="9" t="s">
        <v>23</v>
      </c>
    </row>
    <row r="439" spans="1:3" x14ac:dyDescent="0.2">
      <c r="A439" s="9">
        <v>437</v>
      </c>
      <c r="B439" s="9">
        <f t="shared" ca="1" si="6"/>
        <v>0.62093935997153338</v>
      </c>
      <c r="C439" s="9" t="s">
        <v>24</v>
      </c>
    </row>
    <row r="440" spans="1:3" x14ac:dyDescent="0.2">
      <c r="A440" s="9">
        <v>438</v>
      </c>
      <c r="B440" s="9">
        <f t="shared" ca="1" si="6"/>
        <v>0.59016304296343725</v>
      </c>
      <c r="C440" s="9" t="s">
        <v>23</v>
      </c>
    </row>
    <row r="441" spans="1:3" x14ac:dyDescent="0.2">
      <c r="A441" s="9">
        <v>439</v>
      </c>
      <c r="B441" s="9">
        <f t="shared" ca="1" si="6"/>
        <v>0.68188379352643003</v>
      </c>
      <c r="C441" s="9" t="s">
        <v>23</v>
      </c>
    </row>
    <row r="442" spans="1:3" x14ac:dyDescent="0.2">
      <c r="A442" s="9">
        <v>440</v>
      </c>
      <c r="B442" s="9">
        <f t="shared" ca="1" si="6"/>
        <v>0.61853135425120476</v>
      </c>
      <c r="C442" s="9" t="s">
        <v>23</v>
      </c>
    </row>
    <row r="443" spans="1:3" x14ac:dyDescent="0.2">
      <c r="A443" s="9">
        <v>441</v>
      </c>
      <c r="B443" s="9">
        <f t="shared" ca="1" si="6"/>
        <v>0.81392024408319785</v>
      </c>
      <c r="C443" s="9" t="s">
        <v>23</v>
      </c>
    </row>
    <row r="444" spans="1:3" x14ac:dyDescent="0.2">
      <c r="A444" s="9">
        <v>442</v>
      </c>
      <c r="B444" s="9">
        <f t="shared" ca="1" si="6"/>
        <v>0.79506365990077932</v>
      </c>
      <c r="C444" s="9" t="s">
        <v>23</v>
      </c>
    </row>
    <row r="445" spans="1:3" x14ac:dyDescent="0.2">
      <c r="A445" s="9">
        <v>443</v>
      </c>
      <c r="B445" s="9">
        <f t="shared" ca="1" si="6"/>
        <v>0.74735514168256845</v>
      </c>
      <c r="C445" s="9" t="s">
        <v>23</v>
      </c>
    </row>
    <row r="446" spans="1:3" x14ac:dyDescent="0.2">
      <c r="A446" s="9">
        <v>444</v>
      </c>
      <c r="B446" s="9">
        <f t="shared" ca="1" si="6"/>
        <v>0.6178345899702643</v>
      </c>
      <c r="C446" s="9" t="s">
        <v>24</v>
      </c>
    </row>
    <row r="447" spans="1:3" x14ac:dyDescent="0.2">
      <c r="A447" s="9">
        <v>445</v>
      </c>
      <c r="B447" s="9">
        <f t="shared" ca="1" si="6"/>
        <v>0.63084442545264297</v>
      </c>
      <c r="C447" s="9" t="s">
        <v>24</v>
      </c>
    </row>
    <row r="448" spans="1:3" x14ac:dyDescent="0.2">
      <c r="A448" s="9">
        <v>446</v>
      </c>
      <c r="B448" s="9">
        <f t="shared" ca="1" si="6"/>
        <v>0.56654841411443313</v>
      </c>
      <c r="C448" s="9" t="s">
        <v>23</v>
      </c>
    </row>
    <row r="449" spans="1:3" x14ac:dyDescent="0.2">
      <c r="A449" s="9">
        <v>447</v>
      </c>
      <c r="B449" s="9">
        <f t="shared" ca="1" si="6"/>
        <v>0.48240289440475054</v>
      </c>
      <c r="C449" s="9" t="s">
        <v>24</v>
      </c>
    </row>
    <row r="450" spans="1:3" x14ac:dyDescent="0.2">
      <c r="A450" s="9">
        <v>448</v>
      </c>
      <c r="B450" s="9">
        <f t="shared" ca="1" si="6"/>
        <v>0.70792643290592416</v>
      </c>
      <c r="C450" s="9" t="s">
        <v>23</v>
      </c>
    </row>
    <row r="451" spans="1:3" x14ac:dyDescent="0.2">
      <c r="A451" s="9">
        <v>449</v>
      </c>
      <c r="B451" s="9">
        <f t="shared" ca="1" si="6"/>
        <v>0.65132375001715759</v>
      </c>
      <c r="C451" s="9" t="s">
        <v>23</v>
      </c>
    </row>
    <row r="452" spans="1:3" x14ac:dyDescent="0.2">
      <c r="A452" s="9">
        <v>450</v>
      </c>
      <c r="B452" s="9">
        <f t="shared" ref="B452:B515" ca="1" si="7">IF(C452="Bomb",_xlfn.NORM.INV(RAND(),0.7,0.1),_xlfn.NORM.INV(RAND(),0.6,0.15))</f>
        <v>0.63917601977115623</v>
      </c>
      <c r="C452" s="9" t="s">
        <v>24</v>
      </c>
    </row>
    <row r="453" spans="1:3" x14ac:dyDescent="0.2">
      <c r="A453" s="9">
        <v>451</v>
      </c>
      <c r="B453" s="9">
        <f t="shared" ca="1" si="7"/>
        <v>0.61771684120158943</v>
      </c>
      <c r="C453" s="9" t="s">
        <v>23</v>
      </c>
    </row>
    <row r="454" spans="1:3" x14ac:dyDescent="0.2">
      <c r="A454" s="9">
        <v>452</v>
      </c>
      <c r="B454" s="9">
        <f t="shared" ca="1" si="7"/>
        <v>0.7765515276450945</v>
      </c>
      <c r="C454" s="9" t="s">
        <v>23</v>
      </c>
    </row>
    <row r="455" spans="1:3" x14ac:dyDescent="0.2">
      <c r="A455" s="9">
        <v>453</v>
      </c>
      <c r="B455" s="9">
        <f t="shared" ca="1" si="7"/>
        <v>0.595992879041367</v>
      </c>
      <c r="C455" s="9" t="s">
        <v>24</v>
      </c>
    </row>
    <row r="456" spans="1:3" x14ac:dyDescent="0.2">
      <c r="A456" s="9">
        <v>454</v>
      </c>
      <c r="B456" s="9">
        <f t="shared" ca="1" si="7"/>
        <v>0.78530774268740089</v>
      </c>
      <c r="C456" s="9" t="s">
        <v>23</v>
      </c>
    </row>
    <row r="457" spans="1:3" x14ac:dyDescent="0.2">
      <c r="A457" s="9">
        <v>455</v>
      </c>
      <c r="B457" s="9">
        <f t="shared" ca="1" si="7"/>
        <v>0.76717919606888207</v>
      </c>
      <c r="C457" s="9" t="s">
        <v>24</v>
      </c>
    </row>
    <row r="458" spans="1:3" x14ac:dyDescent="0.2">
      <c r="A458" s="9">
        <v>456</v>
      </c>
      <c r="B458" s="9">
        <f t="shared" ca="1" si="7"/>
        <v>0.39603557590551841</v>
      </c>
      <c r="C458" s="9" t="s">
        <v>24</v>
      </c>
    </row>
    <row r="459" spans="1:3" x14ac:dyDescent="0.2">
      <c r="A459" s="9">
        <v>457</v>
      </c>
      <c r="B459" s="9">
        <f t="shared" ca="1" si="7"/>
        <v>0.92174391790428034</v>
      </c>
      <c r="C459" s="9" t="s">
        <v>24</v>
      </c>
    </row>
    <row r="460" spans="1:3" x14ac:dyDescent="0.2">
      <c r="A460" s="9">
        <v>458</v>
      </c>
      <c r="B460" s="9">
        <f t="shared" ca="1" si="7"/>
        <v>0.70871903153409521</v>
      </c>
      <c r="C460" s="9" t="s">
        <v>24</v>
      </c>
    </row>
    <row r="461" spans="1:3" x14ac:dyDescent="0.2">
      <c r="A461" s="9">
        <v>459</v>
      </c>
      <c r="B461" s="9">
        <f t="shared" ca="1" si="7"/>
        <v>0.73735602536688793</v>
      </c>
      <c r="C461" s="9" t="s">
        <v>23</v>
      </c>
    </row>
    <row r="462" spans="1:3" x14ac:dyDescent="0.2">
      <c r="A462" s="9">
        <v>460</v>
      </c>
      <c r="B462" s="9">
        <f t="shared" ca="1" si="7"/>
        <v>0.55847304879976467</v>
      </c>
      <c r="C462" s="9" t="s">
        <v>23</v>
      </c>
    </row>
    <row r="463" spans="1:3" x14ac:dyDescent="0.2">
      <c r="A463" s="9">
        <v>461</v>
      </c>
      <c r="B463" s="9">
        <f t="shared" ca="1" si="7"/>
        <v>0.42058889845186281</v>
      </c>
      <c r="C463" s="9" t="s">
        <v>24</v>
      </c>
    </row>
    <row r="464" spans="1:3" x14ac:dyDescent="0.2">
      <c r="A464" s="9">
        <v>462</v>
      </c>
      <c r="B464" s="9">
        <f t="shared" ca="1" si="7"/>
        <v>0.68975134328906951</v>
      </c>
      <c r="C464" s="9" t="s">
        <v>23</v>
      </c>
    </row>
    <row r="465" spans="1:3" x14ac:dyDescent="0.2">
      <c r="A465" s="9">
        <v>463</v>
      </c>
      <c r="B465" s="9">
        <f t="shared" ca="1" si="7"/>
        <v>0.71243621721438699</v>
      </c>
      <c r="C465" s="9" t="s">
        <v>23</v>
      </c>
    </row>
    <row r="466" spans="1:3" x14ac:dyDescent="0.2">
      <c r="A466" s="9">
        <v>464</v>
      </c>
      <c r="B466" s="9">
        <f t="shared" ca="1" si="7"/>
        <v>0.71366934874927201</v>
      </c>
      <c r="C466" s="9" t="s">
        <v>23</v>
      </c>
    </row>
    <row r="467" spans="1:3" x14ac:dyDescent="0.2">
      <c r="A467" s="9">
        <v>465</v>
      </c>
      <c r="B467" s="9">
        <f t="shared" ca="1" si="7"/>
        <v>0.72187989558712973</v>
      </c>
      <c r="C467" s="9" t="s">
        <v>23</v>
      </c>
    </row>
    <row r="468" spans="1:3" x14ac:dyDescent="0.2">
      <c r="A468" s="9">
        <v>466</v>
      </c>
      <c r="B468" s="9">
        <f t="shared" ca="1" si="7"/>
        <v>0.59609930789336751</v>
      </c>
      <c r="C468" s="9" t="s">
        <v>24</v>
      </c>
    </row>
    <row r="469" spans="1:3" x14ac:dyDescent="0.2">
      <c r="A469" s="9">
        <v>467</v>
      </c>
      <c r="B469" s="9">
        <f t="shared" ca="1" si="7"/>
        <v>0.4797538501889681</v>
      </c>
      <c r="C469" s="9" t="s">
        <v>24</v>
      </c>
    </row>
    <row r="470" spans="1:3" x14ac:dyDescent="0.2">
      <c r="A470" s="9">
        <v>468</v>
      </c>
      <c r="B470" s="9">
        <f t="shared" ca="1" si="7"/>
        <v>0.73070980307705558</v>
      </c>
      <c r="C470" s="9" t="s">
        <v>24</v>
      </c>
    </row>
    <row r="471" spans="1:3" x14ac:dyDescent="0.2">
      <c r="A471" s="9">
        <v>469</v>
      </c>
      <c r="B471" s="9">
        <f t="shared" ca="1" si="7"/>
        <v>0.82544219529714813</v>
      </c>
      <c r="C471" s="9" t="s">
        <v>23</v>
      </c>
    </row>
    <row r="472" spans="1:3" x14ac:dyDescent="0.2">
      <c r="A472" s="9">
        <v>470</v>
      </c>
      <c r="B472" s="9">
        <f t="shared" ca="1" si="7"/>
        <v>0.70090699237734644</v>
      </c>
      <c r="C472" s="9" t="s">
        <v>24</v>
      </c>
    </row>
    <row r="473" spans="1:3" x14ac:dyDescent="0.2">
      <c r="A473" s="9">
        <v>471</v>
      </c>
      <c r="B473" s="9">
        <f t="shared" ca="1" si="7"/>
        <v>0.77305920195968725</v>
      </c>
      <c r="C473" s="9" t="s">
        <v>23</v>
      </c>
    </row>
    <row r="474" spans="1:3" x14ac:dyDescent="0.2">
      <c r="A474" s="9">
        <v>472</v>
      </c>
      <c r="B474" s="9">
        <f t="shared" ca="1" si="7"/>
        <v>0.54060380157117494</v>
      </c>
      <c r="C474" s="9" t="s">
        <v>23</v>
      </c>
    </row>
    <row r="475" spans="1:3" x14ac:dyDescent="0.2">
      <c r="A475" s="9">
        <v>473</v>
      </c>
      <c r="B475" s="9">
        <f t="shared" ca="1" si="7"/>
        <v>0.77660230915216788</v>
      </c>
      <c r="C475" s="9" t="s">
        <v>23</v>
      </c>
    </row>
    <row r="476" spans="1:3" x14ac:dyDescent="0.2">
      <c r="A476" s="9">
        <v>474</v>
      </c>
      <c r="B476" s="9">
        <f t="shared" ca="1" si="7"/>
        <v>0.91426244871307416</v>
      </c>
      <c r="C476" s="9" t="s">
        <v>24</v>
      </c>
    </row>
    <row r="477" spans="1:3" x14ac:dyDescent="0.2">
      <c r="A477" s="9">
        <v>475</v>
      </c>
      <c r="B477" s="9">
        <f t="shared" ca="1" si="7"/>
        <v>0.68580597380851549</v>
      </c>
      <c r="C477" s="9" t="s">
        <v>23</v>
      </c>
    </row>
    <row r="478" spans="1:3" x14ac:dyDescent="0.2">
      <c r="A478" s="9">
        <v>476</v>
      </c>
      <c r="B478" s="9">
        <f t="shared" ca="1" si="7"/>
        <v>0.70215851681550656</v>
      </c>
      <c r="C478" s="9" t="s">
        <v>23</v>
      </c>
    </row>
    <row r="479" spans="1:3" x14ac:dyDescent="0.2">
      <c r="A479" s="9">
        <v>477</v>
      </c>
      <c r="B479" s="9">
        <f t="shared" ca="1" si="7"/>
        <v>0.46233861359175665</v>
      </c>
      <c r="C479" s="9" t="s">
        <v>24</v>
      </c>
    </row>
    <row r="480" spans="1:3" x14ac:dyDescent="0.2">
      <c r="A480" s="9">
        <v>478</v>
      </c>
      <c r="B480" s="9">
        <f t="shared" ca="1" si="7"/>
        <v>0.55555638117752004</v>
      </c>
      <c r="C480" s="9" t="s">
        <v>24</v>
      </c>
    </row>
    <row r="481" spans="1:3" x14ac:dyDescent="0.2">
      <c r="A481" s="9">
        <v>479</v>
      </c>
      <c r="B481" s="9">
        <f t="shared" ca="1" si="7"/>
        <v>0.74821161198560926</v>
      </c>
      <c r="C481" s="9" t="s">
        <v>23</v>
      </c>
    </row>
    <row r="482" spans="1:3" x14ac:dyDescent="0.2">
      <c r="A482" s="9">
        <v>480</v>
      </c>
      <c r="B482" s="9">
        <f t="shared" ca="1" si="7"/>
        <v>0.72634705144709599</v>
      </c>
      <c r="C482" s="9" t="s">
        <v>23</v>
      </c>
    </row>
    <row r="483" spans="1:3" x14ac:dyDescent="0.2">
      <c r="A483" s="9">
        <v>481</v>
      </c>
      <c r="B483" s="9">
        <f t="shared" ca="1" si="7"/>
        <v>0.76424211485347993</v>
      </c>
      <c r="C483" s="9" t="s">
        <v>24</v>
      </c>
    </row>
    <row r="484" spans="1:3" x14ac:dyDescent="0.2">
      <c r="A484" s="9">
        <v>482</v>
      </c>
      <c r="B484" s="9">
        <f t="shared" ca="1" si="7"/>
        <v>0.72657367147728191</v>
      </c>
      <c r="C484" s="9" t="s">
        <v>24</v>
      </c>
    </row>
    <row r="485" spans="1:3" x14ac:dyDescent="0.2">
      <c r="A485" s="9">
        <v>483</v>
      </c>
      <c r="B485" s="9">
        <f t="shared" ca="1" si="7"/>
        <v>0.72512150462051306</v>
      </c>
      <c r="C485" s="9" t="s">
        <v>23</v>
      </c>
    </row>
    <row r="486" spans="1:3" x14ac:dyDescent="0.2">
      <c r="A486" s="9">
        <v>484</v>
      </c>
      <c r="B486" s="9">
        <f t="shared" ca="1" si="7"/>
        <v>0.5885926933046477</v>
      </c>
      <c r="C486" s="9" t="s">
        <v>23</v>
      </c>
    </row>
    <row r="487" spans="1:3" x14ac:dyDescent="0.2">
      <c r="A487" s="9">
        <v>485</v>
      </c>
      <c r="B487" s="9">
        <f t="shared" ca="1" si="7"/>
        <v>0.5864691953664487</v>
      </c>
      <c r="C487" s="9" t="s">
        <v>23</v>
      </c>
    </row>
    <row r="488" spans="1:3" x14ac:dyDescent="0.2">
      <c r="A488" s="9">
        <v>486</v>
      </c>
      <c r="B488" s="9">
        <f t="shared" ca="1" si="7"/>
        <v>0.74418668771563101</v>
      </c>
      <c r="C488" s="9" t="s">
        <v>24</v>
      </c>
    </row>
    <row r="489" spans="1:3" x14ac:dyDescent="0.2">
      <c r="A489" s="9">
        <v>487</v>
      </c>
      <c r="B489" s="9">
        <f t="shared" ca="1" si="7"/>
        <v>0.67834262510569132</v>
      </c>
      <c r="C489" s="9" t="s">
        <v>23</v>
      </c>
    </row>
    <row r="490" spans="1:3" x14ac:dyDescent="0.2">
      <c r="A490" s="9">
        <v>488</v>
      </c>
      <c r="B490" s="9">
        <f t="shared" ca="1" si="7"/>
        <v>0.74251655982789977</v>
      </c>
      <c r="C490" s="9" t="s">
        <v>24</v>
      </c>
    </row>
    <row r="491" spans="1:3" x14ac:dyDescent="0.2">
      <c r="A491" s="9">
        <v>489</v>
      </c>
      <c r="B491" s="9">
        <f t="shared" ca="1" si="7"/>
        <v>0.60155865511892359</v>
      </c>
      <c r="C491" s="9" t="s">
        <v>24</v>
      </c>
    </row>
    <row r="492" spans="1:3" x14ac:dyDescent="0.2">
      <c r="A492" s="9">
        <v>490</v>
      </c>
      <c r="B492" s="9">
        <f t="shared" ca="1" si="7"/>
        <v>0.46848273566752385</v>
      </c>
      <c r="C492" s="9" t="s">
        <v>23</v>
      </c>
    </row>
    <row r="493" spans="1:3" x14ac:dyDescent="0.2">
      <c r="A493" s="9">
        <v>491</v>
      </c>
      <c r="B493" s="9">
        <f t="shared" ca="1" si="7"/>
        <v>0.35631023168279308</v>
      </c>
      <c r="C493" s="9" t="s">
        <v>24</v>
      </c>
    </row>
    <row r="494" spans="1:3" x14ac:dyDescent="0.2">
      <c r="A494" s="9">
        <v>492</v>
      </c>
      <c r="B494" s="9">
        <f t="shared" ca="1" si="7"/>
        <v>0.90666433684846215</v>
      </c>
      <c r="C494" s="9" t="s">
        <v>23</v>
      </c>
    </row>
    <row r="495" spans="1:3" x14ac:dyDescent="0.2">
      <c r="A495" s="9">
        <v>493</v>
      </c>
      <c r="B495" s="9">
        <f t="shared" ca="1" si="7"/>
        <v>0.50629789764294031</v>
      </c>
      <c r="C495" s="9" t="s">
        <v>24</v>
      </c>
    </row>
    <row r="496" spans="1:3" x14ac:dyDescent="0.2">
      <c r="A496" s="9">
        <v>494</v>
      </c>
      <c r="B496" s="9">
        <f t="shared" ca="1" si="7"/>
        <v>0.90400105035898193</v>
      </c>
      <c r="C496" s="9" t="s">
        <v>24</v>
      </c>
    </row>
    <row r="497" spans="1:3" x14ac:dyDescent="0.2">
      <c r="A497" s="9">
        <v>495</v>
      </c>
      <c r="B497" s="9">
        <f t="shared" ca="1" si="7"/>
        <v>0.58579497746551978</v>
      </c>
      <c r="C497" s="9" t="s">
        <v>23</v>
      </c>
    </row>
    <row r="498" spans="1:3" x14ac:dyDescent="0.2">
      <c r="A498" s="9">
        <v>496</v>
      </c>
      <c r="B498" s="9">
        <f t="shared" ca="1" si="7"/>
        <v>0.67654369158523198</v>
      </c>
      <c r="C498" s="9" t="s">
        <v>23</v>
      </c>
    </row>
    <row r="499" spans="1:3" x14ac:dyDescent="0.2">
      <c r="A499" s="9">
        <v>497</v>
      </c>
      <c r="B499" s="9">
        <f t="shared" ca="1" si="7"/>
        <v>0.69343739195137766</v>
      </c>
      <c r="C499" s="9" t="s">
        <v>23</v>
      </c>
    </row>
    <row r="500" spans="1:3" x14ac:dyDescent="0.2">
      <c r="A500" s="9">
        <v>498</v>
      </c>
      <c r="B500" s="9">
        <f t="shared" ca="1" si="7"/>
        <v>0.59018134201499484</v>
      </c>
      <c r="C500" s="9" t="s">
        <v>24</v>
      </c>
    </row>
    <row r="501" spans="1:3" x14ac:dyDescent="0.2">
      <c r="A501" s="9">
        <v>499</v>
      </c>
      <c r="B501" s="9">
        <f t="shared" ca="1" si="7"/>
        <v>0.70541936575059005</v>
      </c>
      <c r="C501" s="9" t="s">
        <v>23</v>
      </c>
    </row>
    <row r="502" spans="1:3" x14ac:dyDescent="0.2">
      <c r="A502" s="9">
        <v>500</v>
      </c>
      <c r="B502" s="9">
        <f t="shared" ca="1" si="7"/>
        <v>0.68564538048048929</v>
      </c>
      <c r="C502" s="9" t="s">
        <v>23</v>
      </c>
    </row>
    <row r="503" spans="1:3" x14ac:dyDescent="0.2">
      <c r="A503" s="9">
        <v>501</v>
      </c>
      <c r="B503" s="9">
        <f t="shared" ca="1" si="7"/>
        <v>0.62999299687941901</v>
      </c>
      <c r="C503" s="9" t="s">
        <v>24</v>
      </c>
    </row>
    <row r="504" spans="1:3" x14ac:dyDescent="0.2">
      <c r="A504" s="9">
        <v>502</v>
      </c>
      <c r="B504" s="9">
        <f t="shared" ca="1" si="7"/>
        <v>0.52988022793170375</v>
      </c>
      <c r="C504" s="9" t="s">
        <v>24</v>
      </c>
    </row>
    <row r="505" spans="1:3" x14ac:dyDescent="0.2">
      <c r="A505" s="9">
        <v>503</v>
      </c>
      <c r="B505" s="9">
        <f t="shared" ca="1" si="7"/>
        <v>0.47723126529207127</v>
      </c>
      <c r="C505" s="9" t="s">
        <v>24</v>
      </c>
    </row>
    <row r="506" spans="1:3" x14ac:dyDescent="0.2">
      <c r="A506" s="9">
        <v>504</v>
      </c>
      <c r="B506" s="9">
        <f t="shared" ca="1" si="7"/>
        <v>0.80633576615152713</v>
      </c>
      <c r="C506" s="9" t="s">
        <v>24</v>
      </c>
    </row>
    <row r="507" spans="1:3" x14ac:dyDescent="0.2">
      <c r="A507" s="9">
        <v>505</v>
      </c>
      <c r="B507" s="9">
        <f t="shared" ca="1" si="7"/>
        <v>0.72794382502185229</v>
      </c>
      <c r="C507" s="9" t="s">
        <v>23</v>
      </c>
    </row>
    <row r="508" spans="1:3" x14ac:dyDescent="0.2">
      <c r="A508" s="9">
        <v>506</v>
      </c>
      <c r="B508" s="9">
        <f t="shared" ca="1" si="7"/>
        <v>0.71872277958728215</v>
      </c>
      <c r="C508" s="9" t="s">
        <v>23</v>
      </c>
    </row>
    <row r="509" spans="1:3" x14ac:dyDescent="0.2">
      <c r="A509" s="9">
        <v>507</v>
      </c>
      <c r="B509" s="9">
        <f t="shared" ca="1" si="7"/>
        <v>0.8637023066431323</v>
      </c>
      <c r="C509" s="9" t="s">
        <v>23</v>
      </c>
    </row>
    <row r="510" spans="1:3" x14ac:dyDescent="0.2">
      <c r="A510" s="9">
        <v>508</v>
      </c>
      <c r="B510" s="9">
        <f t="shared" ca="1" si="7"/>
        <v>0.49689743174232648</v>
      </c>
      <c r="C510" s="9" t="s">
        <v>24</v>
      </c>
    </row>
    <row r="511" spans="1:3" x14ac:dyDescent="0.2">
      <c r="A511" s="9">
        <v>509</v>
      </c>
      <c r="B511" s="9">
        <f t="shared" ca="1" si="7"/>
        <v>0.7419574030118079</v>
      </c>
      <c r="C511" s="9" t="s">
        <v>23</v>
      </c>
    </row>
    <row r="512" spans="1:3" x14ac:dyDescent="0.2">
      <c r="A512" s="9">
        <v>510</v>
      </c>
      <c r="B512" s="9">
        <f t="shared" ca="1" si="7"/>
        <v>0.78010327176066796</v>
      </c>
      <c r="C512" s="9" t="s">
        <v>23</v>
      </c>
    </row>
    <row r="513" spans="1:3" x14ac:dyDescent="0.2">
      <c r="A513" s="9">
        <v>511</v>
      </c>
      <c r="B513" s="9">
        <f t="shared" ca="1" si="7"/>
        <v>0.78757620376571169</v>
      </c>
      <c r="C513" s="9" t="s">
        <v>23</v>
      </c>
    </row>
    <row r="514" spans="1:3" x14ac:dyDescent="0.2">
      <c r="A514" s="9">
        <v>512</v>
      </c>
      <c r="B514" s="9">
        <f t="shared" ca="1" si="7"/>
        <v>0.80485038633442962</v>
      </c>
      <c r="C514" s="9" t="s">
        <v>23</v>
      </c>
    </row>
    <row r="515" spans="1:3" x14ac:dyDescent="0.2">
      <c r="A515" s="9">
        <v>513</v>
      </c>
      <c r="B515" s="9">
        <f t="shared" ca="1" si="7"/>
        <v>0.77983682133762255</v>
      </c>
      <c r="C515" s="9" t="s">
        <v>23</v>
      </c>
    </row>
    <row r="516" spans="1:3" x14ac:dyDescent="0.2">
      <c r="A516" s="9">
        <v>514</v>
      </c>
      <c r="B516" s="9">
        <f t="shared" ref="B516:B579" ca="1" si="8">IF(C516="Bomb",_xlfn.NORM.INV(RAND(),0.7,0.1),_xlfn.NORM.INV(RAND(),0.6,0.15))</f>
        <v>0.5814537141146755</v>
      </c>
      <c r="C516" s="9" t="s">
        <v>24</v>
      </c>
    </row>
    <row r="517" spans="1:3" x14ac:dyDescent="0.2">
      <c r="A517" s="9">
        <v>515</v>
      </c>
      <c r="B517" s="9">
        <f t="shared" ca="1" si="8"/>
        <v>0.65872478532761114</v>
      </c>
      <c r="C517" s="9" t="s">
        <v>23</v>
      </c>
    </row>
    <row r="518" spans="1:3" x14ac:dyDescent="0.2">
      <c r="A518" s="9">
        <v>516</v>
      </c>
      <c r="B518" s="9">
        <f t="shared" ca="1" si="8"/>
        <v>0.65739767788318315</v>
      </c>
      <c r="C518" s="9" t="s">
        <v>23</v>
      </c>
    </row>
    <row r="519" spans="1:3" x14ac:dyDescent="0.2">
      <c r="A519" s="9">
        <v>517</v>
      </c>
      <c r="B519" s="9">
        <f t="shared" ca="1" si="8"/>
        <v>0.83263031882026206</v>
      </c>
      <c r="C519" s="9" t="s">
        <v>23</v>
      </c>
    </row>
    <row r="520" spans="1:3" x14ac:dyDescent="0.2">
      <c r="A520" s="9">
        <v>518</v>
      </c>
      <c r="B520" s="9">
        <f t="shared" ca="1" si="8"/>
        <v>0.76561921051764381</v>
      </c>
      <c r="C520" s="9" t="s">
        <v>24</v>
      </c>
    </row>
    <row r="521" spans="1:3" x14ac:dyDescent="0.2">
      <c r="A521" s="9">
        <v>519</v>
      </c>
      <c r="B521" s="9">
        <f t="shared" ca="1" si="8"/>
        <v>0.60908280796790337</v>
      </c>
      <c r="C521" s="9" t="s">
        <v>23</v>
      </c>
    </row>
    <row r="522" spans="1:3" x14ac:dyDescent="0.2">
      <c r="A522" s="9">
        <v>520</v>
      </c>
      <c r="B522" s="9">
        <f t="shared" ca="1" si="8"/>
        <v>0.67102071034481392</v>
      </c>
      <c r="C522" s="9" t="s">
        <v>24</v>
      </c>
    </row>
    <row r="523" spans="1:3" x14ac:dyDescent="0.2">
      <c r="A523" s="9">
        <v>521</v>
      </c>
      <c r="B523" s="9">
        <f t="shared" ca="1" si="8"/>
        <v>0.55523606150556082</v>
      </c>
      <c r="C523" s="9" t="s">
        <v>24</v>
      </c>
    </row>
    <row r="524" spans="1:3" x14ac:dyDescent="0.2">
      <c r="A524" s="9">
        <v>522</v>
      </c>
      <c r="B524" s="9">
        <f t="shared" ca="1" si="8"/>
        <v>0.5974668964853308</v>
      </c>
      <c r="C524" s="9" t="s">
        <v>23</v>
      </c>
    </row>
    <row r="525" spans="1:3" x14ac:dyDescent="0.2">
      <c r="A525" s="9">
        <v>523</v>
      </c>
      <c r="B525" s="9">
        <f t="shared" ca="1" si="8"/>
        <v>0.65082805143524802</v>
      </c>
      <c r="C525" s="9" t="s">
        <v>23</v>
      </c>
    </row>
    <row r="526" spans="1:3" x14ac:dyDescent="0.2">
      <c r="A526" s="9">
        <v>524</v>
      </c>
      <c r="B526" s="9">
        <f t="shared" ca="1" si="8"/>
        <v>0.52298046764747852</v>
      </c>
      <c r="C526" s="9" t="s">
        <v>24</v>
      </c>
    </row>
    <row r="527" spans="1:3" x14ac:dyDescent="0.2">
      <c r="A527" s="9">
        <v>525</v>
      </c>
      <c r="B527" s="9">
        <f t="shared" ca="1" si="8"/>
        <v>0.81690194229178814</v>
      </c>
      <c r="C527" s="9" t="s">
        <v>23</v>
      </c>
    </row>
    <row r="528" spans="1:3" x14ac:dyDescent="0.2">
      <c r="A528" s="9">
        <v>526</v>
      </c>
      <c r="B528" s="9">
        <f t="shared" ca="1" si="8"/>
        <v>0.50871100441068851</v>
      </c>
      <c r="C528" s="9" t="s">
        <v>24</v>
      </c>
    </row>
    <row r="529" spans="1:3" x14ac:dyDescent="0.2">
      <c r="A529" s="9">
        <v>527</v>
      </c>
      <c r="B529" s="9">
        <f t="shared" ca="1" si="8"/>
        <v>0.72041839000317154</v>
      </c>
      <c r="C529" s="9" t="s">
        <v>24</v>
      </c>
    </row>
    <row r="530" spans="1:3" x14ac:dyDescent="0.2">
      <c r="A530" s="9">
        <v>528</v>
      </c>
      <c r="B530" s="9">
        <f t="shared" ca="1" si="8"/>
        <v>0.5402276823477411</v>
      </c>
      <c r="C530" s="9" t="s">
        <v>23</v>
      </c>
    </row>
    <row r="531" spans="1:3" x14ac:dyDescent="0.2">
      <c r="A531" s="9">
        <v>529</v>
      </c>
      <c r="B531" s="9">
        <f t="shared" ca="1" si="8"/>
        <v>0.77355276212842417</v>
      </c>
      <c r="C531" s="9" t="s">
        <v>23</v>
      </c>
    </row>
    <row r="532" spans="1:3" x14ac:dyDescent="0.2">
      <c r="A532" s="9">
        <v>530</v>
      </c>
      <c r="B532" s="9">
        <f t="shared" ca="1" si="8"/>
        <v>0.79564735248943153</v>
      </c>
      <c r="C532" s="9" t="s">
        <v>24</v>
      </c>
    </row>
    <row r="533" spans="1:3" x14ac:dyDescent="0.2">
      <c r="A533" s="9">
        <v>531</v>
      </c>
      <c r="B533" s="9">
        <f t="shared" ca="1" si="8"/>
        <v>0.56481046511250632</v>
      </c>
      <c r="C533" s="9" t="s">
        <v>23</v>
      </c>
    </row>
    <row r="534" spans="1:3" x14ac:dyDescent="0.2">
      <c r="A534" s="9">
        <v>532</v>
      </c>
      <c r="B534" s="9">
        <f t="shared" ca="1" si="8"/>
        <v>0.78762245610187209</v>
      </c>
      <c r="C534" s="9" t="s">
        <v>24</v>
      </c>
    </row>
    <row r="535" spans="1:3" x14ac:dyDescent="0.2">
      <c r="A535" s="9">
        <v>533</v>
      </c>
      <c r="B535" s="9">
        <f t="shared" ca="1" si="8"/>
        <v>0.46076269846514439</v>
      </c>
      <c r="C535" s="9" t="s">
        <v>24</v>
      </c>
    </row>
    <row r="536" spans="1:3" x14ac:dyDescent="0.2">
      <c r="A536" s="9">
        <v>534</v>
      </c>
      <c r="B536" s="9">
        <f t="shared" ca="1" si="8"/>
        <v>0.67189214264807451</v>
      </c>
      <c r="C536" s="9" t="s">
        <v>23</v>
      </c>
    </row>
    <row r="537" spans="1:3" x14ac:dyDescent="0.2">
      <c r="A537" s="9">
        <v>535</v>
      </c>
      <c r="B537" s="9">
        <f t="shared" ca="1" si="8"/>
        <v>0.67453449602740967</v>
      </c>
      <c r="C537" s="9" t="s">
        <v>24</v>
      </c>
    </row>
    <row r="538" spans="1:3" x14ac:dyDescent="0.2">
      <c r="A538" s="9">
        <v>536</v>
      </c>
      <c r="B538" s="9">
        <f t="shared" ca="1" si="8"/>
        <v>0.68445878262882098</v>
      </c>
      <c r="C538" s="9" t="s">
        <v>24</v>
      </c>
    </row>
    <row r="539" spans="1:3" x14ac:dyDescent="0.2">
      <c r="A539" s="9">
        <v>537</v>
      </c>
      <c r="B539" s="9">
        <f t="shared" ca="1" si="8"/>
        <v>0.719863623707927</v>
      </c>
      <c r="C539" s="9" t="s">
        <v>24</v>
      </c>
    </row>
    <row r="540" spans="1:3" x14ac:dyDescent="0.2">
      <c r="A540" s="9">
        <v>538</v>
      </c>
      <c r="B540" s="9">
        <f t="shared" ca="1" si="8"/>
        <v>0.79281153679734562</v>
      </c>
      <c r="C540" s="9" t="s">
        <v>23</v>
      </c>
    </row>
    <row r="541" spans="1:3" x14ac:dyDescent="0.2">
      <c r="A541" s="9">
        <v>539</v>
      </c>
      <c r="B541" s="9">
        <f t="shared" ca="1" si="8"/>
        <v>0.49454742422841347</v>
      </c>
      <c r="C541" s="9" t="s">
        <v>24</v>
      </c>
    </row>
    <row r="542" spans="1:3" x14ac:dyDescent="0.2">
      <c r="A542" s="9">
        <v>540</v>
      </c>
      <c r="B542" s="9">
        <f t="shared" ca="1" si="8"/>
        <v>0.6977556447275256</v>
      </c>
      <c r="C542" s="9" t="s">
        <v>24</v>
      </c>
    </row>
    <row r="543" spans="1:3" x14ac:dyDescent="0.2">
      <c r="A543" s="9">
        <v>541</v>
      </c>
      <c r="B543" s="9">
        <f t="shared" ca="1" si="8"/>
        <v>0.44967296113457333</v>
      </c>
      <c r="C543" s="9" t="s">
        <v>24</v>
      </c>
    </row>
    <row r="544" spans="1:3" x14ac:dyDescent="0.2">
      <c r="A544" s="9">
        <v>542</v>
      </c>
      <c r="B544" s="9">
        <f t="shared" ca="1" si="8"/>
        <v>0.74327473997095139</v>
      </c>
      <c r="C544" s="9" t="s">
        <v>23</v>
      </c>
    </row>
    <row r="545" spans="1:3" x14ac:dyDescent="0.2">
      <c r="A545" s="9">
        <v>543</v>
      </c>
      <c r="B545" s="9">
        <f t="shared" ca="1" si="8"/>
        <v>0.58427252413684827</v>
      </c>
      <c r="C545" s="9" t="s">
        <v>23</v>
      </c>
    </row>
    <row r="546" spans="1:3" x14ac:dyDescent="0.2">
      <c r="A546" s="9">
        <v>544</v>
      </c>
      <c r="B546" s="9">
        <f t="shared" ca="1" si="8"/>
        <v>0.61983406556790044</v>
      </c>
      <c r="C546" s="9" t="s">
        <v>23</v>
      </c>
    </row>
    <row r="547" spans="1:3" x14ac:dyDescent="0.2">
      <c r="A547" s="9">
        <v>545</v>
      </c>
      <c r="B547" s="9">
        <f t="shared" ca="1" si="8"/>
        <v>0.69877093128725332</v>
      </c>
      <c r="C547" s="9" t="s">
        <v>24</v>
      </c>
    </row>
    <row r="548" spans="1:3" x14ac:dyDescent="0.2">
      <c r="A548" s="9">
        <v>546</v>
      </c>
      <c r="B548" s="9">
        <f t="shared" ca="1" si="8"/>
        <v>0.63650318908843651</v>
      </c>
      <c r="C548" s="9" t="s">
        <v>24</v>
      </c>
    </row>
    <row r="549" spans="1:3" x14ac:dyDescent="0.2">
      <c r="A549" s="9">
        <v>547</v>
      </c>
      <c r="B549" s="9">
        <f t="shared" ca="1" si="8"/>
        <v>0.73751368450955557</v>
      </c>
      <c r="C549" s="9" t="s">
        <v>23</v>
      </c>
    </row>
    <row r="550" spans="1:3" x14ac:dyDescent="0.2">
      <c r="A550" s="9">
        <v>548</v>
      </c>
      <c r="B550" s="9">
        <f t="shared" ca="1" si="8"/>
        <v>0.6601948454011457</v>
      </c>
      <c r="C550" s="9" t="s">
        <v>23</v>
      </c>
    </row>
    <row r="551" spans="1:3" x14ac:dyDescent="0.2">
      <c r="A551" s="9">
        <v>549</v>
      </c>
      <c r="B551" s="9">
        <f t="shared" ca="1" si="8"/>
        <v>0.83015273535030709</v>
      </c>
      <c r="C551" s="9" t="s">
        <v>24</v>
      </c>
    </row>
    <row r="552" spans="1:3" x14ac:dyDescent="0.2">
      <c r="A552" s="9">
        <v>550</v>
      </c>
      <c r="B552" s="9">
        <f t="shared" ca="1" si="8"/>
        <v>0.84075374436071171</v>
      </c>
      <c r="C552" s="9" t="s">
        <v>23</v>
      </c>
    </row>
    <row r="553" spans="1:3" x14ac:dyDescent="0.2">
      <c r="A553" s="9">
        <v>551</v>
      </c>
      <c r="B553" s="9">
        <f t="shared" ca="1" si="8"/>
        <v>0.50304314075230905</v>
      </c>
      <c r="C553" s="9" t="s">
        <v>24</v>
      </c>
    </row>
    <row r="554" spans="1:3" x14ac:dyDescent="0.2">
      <c r="A554" s="9">
        <v>552</v>
      </c>
      <c r="B554" s="9">
        <f t="shared" ca="1" si="8"/>
        <v>0.52793524873402775</v>
      </c>
      <c r="C554" s="9" t="s">
        <v>24</v>
      </c>
    </row>
    <row r="555" spans="1:3" x14ac:dyDescent="0.2">
      <c r="A555" s="9">
        <v>553</v>
      </c>
      <c r="B555" s="9">
        <f t="shared" ca="1" si="8"/>
        <v>0.64640953086578079</v>
      </c>
      <c r="C555" s="9" t="s">
        <v>24</v>
      </c>
    </row>
    <row r="556" spans="1:3" x14ac:dyDescent="0.2">
      <c r="A556" s="9">
        <v>554</v>
      </c>
      <c r="B556" s="9">
        <f t="shared" ca="1" si="8"/>
        <v>0.82490867349827468</v>
      </c>
      <c r="C556" s="9" t="s">
        <v>23</v>
      </c>
    </row>
    <row r="557" spans="1:3" x14ac:dyDescent="0.2">
      <c r="A557" s="9">
        <v>555</v>
      </c>
      <c r="B557" s="9">
        <f t="shared" ca="1" si="8"/>
        <v>0.84001376503160863</v>
      </c>
      <c r="C557" s="9" t="s">
        <v>24</v>
      </c>
    </row>
    <row r="558" spans="1:3" x14ac:dyDescent="0.2">
      <c r="A558" s="9">
        <v>556</v>
      </c>
      <c r="B558" s="9">
        <f t="shared" ca="1" si="8"/>
        <v>0.5376629996248441</v>
      </c>
      <c r="C558" s="9" t="s">
        <v>23</v>
      </c>
    </row>
    <row r="559" spans="1:3" x14ac:dyDescent="0.2">
      <c r="A559" s="9">
        <v>557</v>
      </c>
      <c r="B559" s="9">
        <f t="shared" ca="1" si="8"/>
        <v>0.57799890691783706</v>
      </c>
      <c r="C559" s="9" t="s">
        <v>23</v>
      </c>
    </row>
    <row r="560" spans="1:3" x14ac:dyDescent="0.2">
      <c r="A560" s="9">
        <v>558</v>
      </c>
      <c r="B560" s="9">
        <f t="shared" ca="1" si="8"/>
        <v>0.63951146980631202</v>
      </c>
      <c r="C560" s="9" t="s">
        <v>24</v>
      </c>
    </row>
    <row r="561" spans="1:3" x14ac:dyDescent="0.2">
      <c r="A561" s="9">
        <v>559</v>
      </c>
      <c r="B561" s="9">
        <f t="shared" ca="1" si="8"/>
        <v>0.60074897304842056</v>
      </c>
      <c r="C561" s="9" t="s">
        <v>23</v>
      </c>
    </row>
    <row r="562" spans="1:3" x14ac:dyDescent="0.2">
      <c r="A562" s="9">
        <v>560</v>
      </c>
      <c r="B562" s="9">
        <f t="shared" ca="1" si="8"/>
        <v>0.55952094618490922</v>
      </c>
      <c r="C562" s="9" t="s">
        <v>24</v>
      </c>
    </row>
    <row r="563" spans="1:3" x14ac:dyDescent="0.2">
      <c r="A563" s="9">
        <v>561</v>
      </c>
      <c r="B563" s="9">
        <f t="shared" ca="1" si="8"/>
        <v>0.56540465427395115</v>
      </c>
      <c r="C563" s="9" t="s">
        <v>24</v>
      </c>
    </row>
    <row r="564" spans="1:3" x14ac:dyDescent="0.2">
      <c r="A564" s="9">
        <v>562</v>
      </c>
      <c r="B564" s="9">
        <f t="shared" ca="1" si="8"/>
        <v>0.62987423616163496</v>
      </c>
      <c r="C564" s="9" t="s">
        <v>24</v>
      </c>
    </row>
    <row r="565" spans="1:3" x14ac:dyDescent="0.2">
      <c r="A565" s="9">
        <v>563</v>
      </c>
      <c r="B565" s="9">
        <f t="shared" ca="1" si="8"/>
        <v>0.54218953487492783</v>
      </c>
      <c r="C565" s="9" t="s">
        <v>24</v>
      </c>
    </row>
    <row r="566" spans="1:3" x14ac:dyDescent="0.2">
      <c r="A566" s="9">
        <v>564</v>
      </c>
      <c r="B566" s="9">
        <f t="shared" ca="1" si="8"/>
        <v>0.94739769395812412</v>
      </c>
      <c r="C566" s="9" t="s">
        <v>24</v>
      </c>
    </row>
    <row r="567" spans="1:3" x14ac:dyDescent="0.2">
      <c r="A567" s="9">
        <v>565</v>
      </c>
      <c r="B567" s="9">
        <f t="shared" ca="1" si="8"/>
        <v>0.82394701321300634</v>
      </c>
      <c r="C567" s="9" t="s">
        <v>24</v>
      </c>
    </row>
    <row r="568" spans="1:3" x14ac:dyDescent="0.2">
      <c r="A568" s="9">
        <v>566</v>
      </c>
      <c r="B568" s="9">
        <f t="shared" ca="1" si="8"/>
        <v>0.79280007085016857</v>
      </c>
      <c r="C568" s="9" t="s">
        <v>23</v>
      </c>
    </row>
    <row r="569" spans="1:3" x14ac:dyDescent="0.2">
      <c r="A569" s="9">
        <v>567</v>
      </c>
      <c r="B569" s="9">
        <f t="shared" ca="1" si="8"/>
        <v>0.67585950520522919</v>
      </c>
      <c r="C569" s="9" t="s">
        <v>23</v>
      </c>
    </row>
    <row r="570" spans="1:3" x14ac:dyDescent="0.2">
      <c r="A570" s="9">
        <v>568</v>
      </c>
      <c r="B570" s="9">
        <f t="shared" ca="1" si="8"/>
        <v>0.69465429125494116</v>
      </c>
      <c r="C570" s="9" t="s">
        <v>23</v>
      </c>
    </row>
    <row r="571" spans="1:3" x14ac:dyDescent="0.2">
      <c r="A571" s="9">
        <v>569</v>
      </c>
      <c r="B571" s="9">
        <f t="shared" ca="1" si="8"/>
        <v>0.7636259481652522</v>
      </c>
      <c r="C571" s="9" t="s">
        <v>24</v>
      </c>
    </row>
    <row r="572" spans="1:3" x14ac:dyDescent="0.2">
      <c r="A572" s="9">
        <v>570</v>
      </c>
      <c r="B572" s="9">
        <f t="shared" ca="1" si="8"/>
        <v>0.58676660740721631</v>
      </c>
      <c r="C572" s="9" t="s">
        <v>23</v>
      </c>
    </row>
    <row r="573" spans="1:3" x14ac:dyDescent="0.2">
      <c r="A573" s="9">
        <v>571</v>
      </c>
      <c r="B573" s="9">
        <f t="shared" ca="1" si="8"/>
        <v>0.73733422855807562</v>
      </c>
      <c r="C573" s="9" t="s">
        <v>24</v>
      </c>
    </row>
    <row r="574" spans="1:3" x14ac:dyDescent="0.2">
      <c r="A574" s="9">
        <v>572</v>
      </c>
      <c r="B574" s="9">
        <f t="shared" ca="1" si="8"/>
        <v>0.73721839176819925</v>
      </c>
      <c r="C574" s="9" t="s">
        <v>23</v>
      </c>
    </row>
    <row r="575" spans="1:3" x14ac:dyDescent="0.2">
      <c r="A575" s="9">
        <v>573</v>
      </c>
      <c r="B575" s="9">
        <f t="shared" ca="1" si="8"/>
        <v>0.79874923338817161</v>
      </c>
      <c r="C575" s="9" t="s">
        <v>23</v>
      </c>
    </row>
    <row r="576" spans="1:3" x14ac:dyDescent="0.2">
      <c r="A576" s="9">
        <v>574</v>
      </c>
      <c r="B576" s="9">
        <f t="shared" ca="1" si="8"/>
        <v>0.68594942063980879</v>
      </c>
      <c r="C576" s="9" t="s">
        <v>23</v>
      </c>
    </row>
    <row r="577" spans="1:3" x14ac:dyDescent="0.2">
      <c r="A577" s="9">
        <v>575</v>
      </c>
      <c r="B577" s="9">
        <f t="shared" ca="1" si="8"/>
        <v>0.65296247510088423</v>
      </c>
      <c r="C577" s="9" t="s">
        <v>24</v>
      </c>
    </row>
    <row r="578" spans="1:3" x14ac:dyDescent="0.2">
      <c r="A578" s="9">
        <v>576</v>
      </c>
      <c r="B578" s="9">
        <f t="shared" ca="1" si="8"/>
        <v>0.43535943862602311</v>
      </c>
      <c r="C578" s="9" t="s">
        <v>24</v>
      </c>
    </row>
    <row r="579" spans="1:3" x14ac:dyDescent="0.2">
      <c r="A579" s="9">
        <v>577</v>
      </c>
      <c r="B579" s="9">
        <f t="shared" ca="1" si="8"/>
        <v>0.6173486285352946</v>
      </c>
      <c r="C579" s="9" t="s">
        <v>24</v>
      </c>
    </row>
    <row r="580" spans="1:3" x14ac:dyDescent="0.2">
      <c r="A580" s="9">
        <v>578</v>
      </c>
      <c r="B580" s="9">
        <f t="shared" ref="B580:B643" ca="1" si="9">IF(C580="Bomb",_xlfn.NORM.INV(RAND(),0.7,0.1),_xlfn.NORM.INV(RAND(),0.6,0.15))</f>
        <v>0.65299347795294316</v>
      </c>
      <c r="C580" s="9" t="s">
        <v>23</v>
      </c>
    </row>
    <row r="581" spans="1:3" x14ac:dyDescent="0.2">
      <c r="A581" s="9">
        <v>579</v>
      </c>
      <c r="B581" s="9">
        <f t="shared" ca="1" si="9"/>
        <v>0.69899394782447966</v>
      </c>
      <c r="C581" s="9" t="s">
        <v>23</v>
      </c>
    </row>
    <row r="582" spans="1:3" x14ac:dyDescent="0.2">
      <c r="A582" s="9">
        <v>580</v>
      </c>
      <c r="B582" s="9">
        <f t="shared" ca="1" si="9"/>
        <v>0.72913210592489186</v>
      </c>
      <c r="C582" s="9" t="s">
        <v>23</v>
      </c>
    </row>
    <row r="583" spans="1:3" x14ac:dyDescent="0.2">
      <c r="A583" s="9">
        <v>581</v>
      </c>
      <c r="B583" s="9">
        <f t="shared" ca="1" si="9"/>
        <v>0.17867222369263447</v>
      </c>
      <c r="C583" s="9" t="s">
        <v>24</v>
      </c>
    </row>
    <row r="584" spans="1:3" x14ac:dyDescent="0.2">
      <c r="A584" s="9">
        <v>582</v>
      </c>
      <c r="B584" s="9">
        <f t="shared" ca="1" si="9"/>
        <v>0.86145507236878738</v>
      </c>
      <c r="C584" s="9" t="s">
        <v>23</v>
      </c>
    </row>
    <row r="585" spans="1:3" x14ac:dyDescent="0.2">
      <c r="A585" s="9">
        <v>583</v>
      </c>
      <c r="B585" s="9">
        <f t="shared" ca="1" si="9"/>
        <v>0.79512714577007304</v>
      </c>
      <c r="C585" s="9" t="s">
        <v>24</v>
      </c>
    </row>
    <row r="586" spans="1:3" x14ac:dyDescent="0.2">
      <c r="A586" s="9">
        <v>584</v>
      </c>
      <c r="B586" s="9">
        <f t="shared" ca="1" si="9"/>
        <v>0.65619854793073529</v>
      </c>
      <c r="C586" s="9" t="s">
        <v>23</v>
      </c>
    </row>
    <row r="587" spans="1:3" x14ac:dyDescent="0.2">
      <c r="A587" s="9">
        <v>585</v>
      </c>
      <c r="B587" s="9">
        <f t="shared" ca="1" si="9"/>
        <v>0.39058655328513525</v>
      </c>
      <c r="C587" s="9" t="s">
        <v>24</v>
      </c>
    </row>
    <row r="588" spans="1:3" x14ac:dyDescent="0.2">
      <c r="A588" s="9">
        <v>586</v>
      </c>
      <c r="B588" s="9">
        <f t="shared" ca="1" si="9"/>
        <v>0.38740884623516469</v>
      </c>
      <c r="C588" s="9" t="s">
        <v>24</v>
      </c>
    </row>
    <row r="589" spans="1:3" x14ac:dyDescent="0.2">
      <c r="A589" s="9">
        <v>587</v>
      </c>
      <c r="B589" s="9">
        <f t="shared" ca="1" si="9"/>
        <v>0.63843631672864443</v>
      </c>
      <c r="C589" s="9" t="s">
        <v>23</v>
      </c>
    </row>
    <row r="590" spans="1:3" x14ac:dyDescent="0.2">
      <c r="A590" s="9">
        <v>588</v>
      </c>
      <c r="B590" s="9">
        <f t="shared" ca="1" si="9"/>
        <v>0.56792218288808827</v>
      </c>
      <c r="C590" s="9" t="s">
        <v>24</v>
      </c>
    </row>
    <row r="591" spans="1:3" x14ac:dyDescent="0.2">
      <c r="A591" s="9">
        <v>589</v>
      </c>
      <c r="B591" s="9">
        <f t="shared" ca="1" si="9"/>
        <v>0.52878156389329045</v>
      </c>
      <c r="C591" s="9" t="s">
        <v>24</v>
      </c>
    </row>
    <row r="592" spans="1:3" x14ac:dyDescent="0.2">
      <c r="A592" s="9">
        <v>590</v>
      </c>
      <c r="B592" s="9">
        <f t="shared" ca="1" si="9"/>
        <v>0.79916061156344265</v>
      </c>
      <c r="C592" s="9" t="s">
        <v>23</v>
      </c>
    </row>
    <row r="593" spans="1:3" x14ac:dyDescent="0.2">
      <c r="A593" s="9">
        <v>591</v>
      </c>
      <c r="B593" s="9">
        <f t="shared" ca="1" si="9"/>
        <v>0.34615408244772228</v>
      </c>
      <c r="C593" s="9" t="s">
        <v>24</v>
      </c>
    </row>
    <row r="594" spans="1:3" x14ac:dyDescent="0.2">
      <c r="A594" s="9">
        <v>592</v>
      </c>
      <c r="B594" s="9">
        <f t="shared" ca="1" si="9"/>
        <v>0.71660340268027778</v>
      </c>
      <c r="C594" s="9" t="s">
        <v>23</v>
      </c>
    </row>
    <row r="595" spans="1:3" x14ac:dyDescent="0.2">
      <c r="A595" s="9">
        <v>593</v>
      </c>
      <c r="B595" s="9">
        <f t="shared" ca="1" si="9"/>
        <v>0.78308904922104894</v>
      </c>
      <c r="C595" s="9" t="s">
        <v>24</v>
      </c>
    </row>
    <row r="596" spans="1:3" x14ac:dyDescent="0.2">
      <c r="A596" s="9">
        <v>594</v>
      </c>
      <c r="B596" s="9">
        <f t="shared" ca="1" si="9"/>
        <v>0.66956372256060148</v>
      </c>
      <c r="C596" s="9" t="s">
        <v>23</v>
      </c>
    </row>
    <row r="597" spans="1:3" x14ac:dyDescent="0.2">
      <c r="A597" s="9">
        <v>595</v>
      </c>
      <c r="B597" s="9">
        <f t="shared" ca="1" si="9"/>
        <v>0.61735023012965529</v>
      </c>
      <c r="C597" s="9" t="s">
        <v>23</v>
      </c>
    </row>
    <row r="598" spans="1:3" x14ac:dyDescent="0.2">
      <c r="A598" s="9">
        <v>596</v>
      </c>
      <c r="B598" s="9">
        <f t="shared" ca="1" si="9"/>
        <v>0.670544340564588</v>
      </c>
      <c r="C598" s="9" t="s">
        <v>23</v>
      </c>
    </row>
    <row r="599" spans="1:3" x14ac:dyDescent="0.2">
      <c r="A599" s="9">
        <v>597</v>
      </c>
      <c r="B599" s="9">
        <f t="shared" ca="1" si="9"/>
        <v>0.61686931254279831</v>
      </c>
      <c r="C599" s="9" t="s">
        <v>23</v>
      </c>
    </row>
    <row r="600" spans="1:3" x14ac:dyDescent="0.2">
      <c r="A600" s="9">
        <v>598</v>
      </c>
      <c r="B600" s="9">
        <f t="shared" ca="1" si="9"/>
        <v>0.76272639189215496</v>
      </c>
      <c r="C600" s="9" t="s">
        <v>24</v>
      </c>
    </row>
    <row r="601" spans="1:3" x14ac:dyDescent="0.2">
      <c r="A601" s="9">
        <v>599</v>
      </c>
      <c r="B601" s="9">
        <f t="shared" ca="1" si="9"/>
        <v>0.52642002479606753</v>
      </c>
      <c r="C601" s="9" t="s">
        <v>23</v>
      </c>
    </row>
    <row r="602" spans="1:3" x14ac:dyDescent="0.2">
      <c r="A602" s="9">
        <v>600</v>
      </c>
      <c r="B602" s="9">
        <f t="shared" ca="1" si="9"/>
        <v>0.76348082723330901</v>
      </c>
      <c r="C602" s="9" t="s">
        <v>23</v>
      </c>
    </row>
    <row r="603" spans="1:3" x14ac:dyDescent="0.2">
      <c r="A603" s="9">
        <v>601</v>
      </c>
      <c r="B603" s="9">
        <f t="shared" ca="1" si="9"/>
        <v>0.53159885011339225</v>
      </c>
      <c r="C603" s="9" t="s">
        <v>24</v>
      </c>
    </row>
    <row r="604" spans="1:3" x14ac:dyDescent="0.2">
      <c r="A604" s="9">
        <v>602</v>
      </c>
      <c r="B604" s="9">
        <f t="shared" ca="1" si="9"/>
        <v>0.51643833658094573</v>
      </c>
      <c r="C604" s="9" t="s">
        <v>24</v>
      </c>
    </row>
    <row r="605" spans="1:3" x14ac:dyDescent="0.2">
      <c r="A605" s="9">
        <v>603</v>
      </c>
      <c r="B605" s="9">
        <f t="shared" ca="1" si="9"/>
        <v>0.60996099077839139</v>
      </c>
      <c r="C605" s="9" t="s">
        <v>24</v>
      </c>
    </row>
    <row r="606" spans="1:3" x14ac:dyDescent="0.2">
      <c r="A606" s="9">
        <v>604</v>
      </c>
      <c r="B606" s="9">
        <f t="shared" ca="1" si="9"/>
        <v>0.68402217787322883</v>
      </c>
      <c r="C606" s="9" t="s">
        <v>23</v>
      </c>
    </row>
    <row r="607" spans="1:3" x14ac:dyDescent="0.2">
      <c r="A607" s="9">
        <v>605</v>
      </c>
      <c r="B607" s="9">
        <f t="shared" ca="1" si="9"/>
        <v>0.4960129039551715</v>
      </c>
      <c r="C607" s="9" t="s">
        <v>24</v>
      </c>
    </row>
    <row r="608" spans="1:3" x14ac:dyDescent="0.2">
      <c r="A608" s="9">
        <v>606</v>
      </c>
      <c r="B608" s="9">
        <f t="shared" ca="1" si="9"/>
        <v>0.70451627105934389</v>
      </c>
      <c r="C608" s="9" t="s">
        <v>23</v>
      </c>
    </row>
    <row r="609" spans="1:3" x14ac:dyDescent="0.2">
      <c r="A609" s="9">
        <v>607</v>
      </c>
      <c r="B609" s="9">
        <f t="shared" ca="1" si="9"/>
        <v>0.50682128011711713</v>
      </c>
      <c r="C609" s="9" t="s">
        <v>24</v>
      </c>
    </row>
    <row r="610" spans="1:3" x14ac:dyDescent="0.2">
      <c r="A610" s="9">
        <v>608</v>
      </c>
      <c r="B610" s="9">
        <f t="shared" ca="1" si="9"/>
        <v>0.68924803212634833</v>
      </c>
      <c r="C610" s="9" t="s">
        <v>23</v>
      </c>
    </row>
    <row r="611" spans="1:3" x14ac:dyDescent="0.2">
      <c r="A611" s="9">
        <v>609</v>
      </c>
      <c r="B611" s="9">
        <f t="shared" ca="1" si="9"/>
        <v>0.5800674907973159</v>
      </c>
      <c r="C611" s="9" t="s">
        <v>24</v>
      </c>
    </row>
    <row r="612" spans="1:3" x14ac:dyDescent="0.2">
      <c r="A612" s="9">
        <v>610</v>
      </c>
      <c r="B612" s="9">
        <f t="shared" ca="1" si="9"/>
        <v>0.49551318454424381</v>
      </c>
      <c r="C612" s="9" t="s">
        <v>24</v>
      </c>
    </row>
    <row r="613" spans="1:3" x14ac:dyDescent="0.2">
      <c r="A613" s="9">
        <v>611</v>
      </c>
      <c r="B613" s="9">
        <f t="shared" ca="1" si="9"/>
        <v>0.7305061514437905</v>
      </c>
      <c r="C613" s="9" t="s">
        <v>23</v>
      </c>
    </row>
    <row r="614" spans="1:3" x14ac:dyDescent="0.2">
      <c r="A614" s="9">
        <v>612</v>
      </c>
      <c r="B614" s="9">
        <f t="shared" ca="1" si="9"/>
        <v>0.81086328265255347</v>
      </c>
      <c r="C614" s="9" t="s">
        <v>23</v>
      </c>
    </row>
    <row r="615" spans="1:3" x14ac:dyDescent="0.2">
      <c r="A615" s="9">
        <v>613</v>
      </c>
      <c r="B615" s="9">
        <f t="shared" ca="1" si="9"/>
        <v>0.72967404831053706</v>
      </c>
      <c r="C615" s="9" t="s">
        <v>24</v>
      </c>
    </row>
    <row r="616" spans="1:3" x14ac:dyDescent="0.2">
      <c r="A616" s="9">
        <v>614</v>
      </c>
      <c r="B616" s="9">
        <f t="shared" ca="1" si="9"/>
        <v>0.67053245018685936</v>
      </c>
      <c r="C616" s="9" t="s">
        <v>24</v>
      </c>
    </row>
    <row r="617" spans="1:3" x14ac:dyDescent="0.2">
      <c r="A617" s="9">
        <v>615</v>
      </c>
      <c r="B617" s="9">
        <f t="shared" ca="1" si="9"/>
        <v>0.59662792200607984</v>
      </c>
      <c r="C617" s="9" t="s">
        <v>24</v>
      </c>
    </row>
    <row r="618" spans="1:3" x14ac:dyDescent="0.2">
      <c r="A618" s="9">
        <v>616</v>
      </c>
      <c r="B618" s="9">
        <f t="shared" ca="1" si="9"/>
        <v>0.60084503605085138</v>
      </c>
      <c r="C618" s="9" t="s">
        <v>23</v>
      </c>
    </row>
    <row r="619" spans="1:3" x14ac:dyDescent="0.2">
      <c r="A619" s="9">
        <v>617</v>
      </c>
      <c r="B619" s="9">
        <f t="shared" ca="1" si="9"/>
        <v>0.66778060286972507</v>
      </c>
      <c r="C619" s="9" t="s">
        <v>23</v>
      </c>
    </row>
    <row r="620" spans="1:3" x14ac:dyDescent="0.2">
      <c r="A620" s="9">
        <v>618</v>
      </c>
      <c r="B620" s="9">
        <f t="shared" ca="1" si="9"/>
        <v>0.74576223282627441</v>
      </c>
      <c r="C620" s="9" t="s">
        <v>23</v>
      </c>
    </row>
    <row r="621" spans="1:3" x14ac:dyDescent="0.2">
      <c r="A621" s="9">
        <v>619</v>
      </c>
      <c r="B621" s="9">
        <f t="shared" ca="1" si="9"/>
        <v>0.61616261646755044</v>
      </c>
      <c r="C621" s="9" t="s">
        <v>24</v>
      </c>
    </row>
    <row r="622" spans="1:3" x14ac:dyDescent="0.2">
      <c r="A622" s="9">
        <v>620</v>
      </c>
      <c r="B622" s="9">
        <f t="shared" ca="1" si="9"/>
        <v>0.73974149703988079</v>
      </c>
      <c r="C622" s="9" t="s">
        <v>24</v>
      </c>
    </row>
    <row r="623" spans="1:3" x14ac:dyDescent="0.2">
      <c r="A623" s="9">
        <v>621</v>
      </c>
      <c r="B623" s="9">
        <f t="shared" ca="1" si="9"/>
        <v>0.68648652369565044</v>
      </c>
      <c r="C623" s="9" t="s">
        <v>23</v>
      </c>
    </row>
    <row r="624" spans="1:3" x14ac:dyDescent="0.2">
      <c r="A624" s="9">
        <v>622</v>
      </c>
      <c r="B624" s="9">
        <f t="shared" ca="1" si="9"/>
        <v>0.76208985435519161</v>
      </c>
      <c r="C624" s="9" t="s">
        <v>23</v>
      </c>
    </row>
    <row r="625" spans="1:3" x14ac:dyDescent="0.2">
      <c r="A625" s="9">
        <v>623</v>
      </c>
      <c r="B625" s="9">
        <f t="shared" ca="1" si="9"/>
        <v>0.68441635632919728</v>
      </c>
      <c r="C625" s="9" t="s">
        <v>23</v>
      </c>
    </row>
    <row r="626" spans="1:3" x14ac:dyDescent="0.2">
      <c r="A626" s="9">
        <v>624</v>
      </c>
      <c r="B626" s="9">
        <f t="shared" ca="1" si="9"/>
        <v>0.36183078327545448</v>
      </c>
      <c r="C626" s="9" t="s">
        <v>24</v>
      </c>
    </row>
    <row r="627" spans="1:3" x14ac:dyDescent="0.2">
      <c r="A627" s="9">
        <v>625</v>
      </c>
      <c r="B627" s="9">
        <f t="shared" ca="1" si="9"/>
        <v>0.71026601231513231</v>
      </c>
      <c r="C627" s="9" t="s">
        <v>23</v>
      </c>
    </row>
    <row r="628" spans="1:3" x14ac:dyDescent="0.2">
      <c r="A628" s="9">
        <v>626</v>
      </c>
      <c r="B628" s="9">
        <f t="shared" ca="1" si="9"/>
        <v>0.52518380436136647</v>
      </c>
      <c r="C628" s="9" t="s">
        <v>24</v>
      </c>
    </row>
    <row r="629" spans="1:3" x14ac:dyDescent="0.2">
      <c r="A629" s="9">
        <v>627</v>
      </c>
      <c r="B629" s="9">
        <f t="shared" ca="1" si="9"/>
        <v>0.55763908385868588</v>
      </c>
      <c r="C629" s="9" t="s">
        <v>24</v>
      </c>
    </row>
    <row r="630" spans="1:3" x14ac:dyDescent="0.2">
      <c r="A630" s="9">
        <v>628</v>
      </c>
      <c r="B630" s="9">
        <f t="shared" ca="1" si="9"/>
        <v>0.70355100624018319</v>
      </c>
      <c r="C630" s="9" t="s">
        <v>24</v>
      </c>
    </row>
    <row r="631" spans="1:3" x14ac:dyDescent="0.2">
      <c r="A631" s="9">
        <v>629</v>
      </c>
      <c r="B631" s="9">
        <f t="shared" ca="1" si="9"/>
        <v>0.76953129243330476</v>
      </c>
      <c r="C631" s="9" t="s">
        <v>24</v>
      </c>
    </row>
    <row r="632" spans="1:3" x14ac:dyDescent="0.2">
      <c r="A632" s="9">
        <v>630</v>
      </c>
      <c r="B632" s="9">
        <f t="shared" ca="1" si="9"/>
        <v>0.58641909644373913</v>
      </c>
      <c r="C632" s="9" t="s">
        <v>23</v>
      </c>
    </row>
    <row r="633" spans="1:3" x14ac:dyDescent="0.2">
      <c r="A633" s="9">
        <v>631</v>
      </c>
      <c r="B633" s="9">
        <f t="shared" ca="1" si="9"/>
        <v>0.73353656312422044</v>
      </c>
      <c r="C633" s="9" t="s">
        <v>23</v>
      </c>
    </row>
    <row r="634" spans="1:3" x14ac:dyDescent="0.2">
      <c r="A634" s="9">
        <v>632</v>
      </c>
      <c r="B634" s="9">
        <f t="shared" ca="1" si="9"/>
        <v>0.67872576932839879</v>
      </c>
      <c r="C634" s="9" t="s">
        <v>24</v>
      </c>
    </row>
    <row r="635" spans="1:3" x14ac:dyDescent="0.2">
      <c r="A635" s="9">
        <v>633</v>
      </c>
      <c r="B635" s="9">
        <f t="shared" ca="1" si="9"/>
        <v>0.69185154791425618</v>
      </c>
      <c r="C635" s="9" t="s">
        <v>23</v>
      </c>
    </row>
    <row r="636" spans="1:3" x14ac:dyDescent="0.2">
      <c r="A636" s="9">
        <v>634</v>
      </c>
      <c r="B636" s="9">
        <f t="shared" ca="1" si="9"/>
        <v>0.7320799953803655</v>
      </c>
      <c r="C636" s="9" t="s">
        <v>23</v>
      </c>
    </row>
    <row r="637" spans="1:3" x14ac:dyDescent="0.2">
      <c r="A637" s="9">
        <v>635</v>
      </c>
      <c r="B637" s="9">
        <f t="shared" ca="1" si="9"/>
        <v>0.54931573399024225</v>
      </c>
      <c r="C637" s="9" t="s">
        <v>23</v>
      </c>
    </row>
    <row r="638" spans="1:3" x14ac:dyDescent="0.2">
      <c r="A638" s="9">
        <v>636</v>
      </c>
      <c r="B638" s="9">
        <f t="shared" ca="1" si="9"/>
        <v>0.59071111183434111</v>
      </c>
      <c r="C638" s="9" t="s">
        <v>24</v>
      </c>
    </row>
    <row r="639" spans="1:3" x14ac:dyDescent="0.2">
      <c r="A639" s="9">
        <v>637</v>
      </c>
      <c r="B639" s="9">
        <f t="shared" ca="1" si="9"/>
        <v>0.4432015848569133</v>
      </c>
      <c r="C639" s="9" t="s">
        <v>24</v>
      </c>
    </row>
    <row r="640" spans="1:3" x14ac:dyDescent="0.2">
      <c r="A640" s="9">
        <v>638</v>
      </c>
      <c r="B640" s="9">
        <f t="shared" ca="1" si="9"/>
        <v>0.76998512411972619</v>
      </c>
      <c r="C640" s="9" t="s">
        <v>23</v>
      </c>
    </row>
    <row r="641" spans="1:3" x14ac:dyDescent="0.2">
      <c r="A641" s="9">
        <v>639</v>
      </c>
      <c r="B641" s="9">
        <f t="shared" ca="1" si="9"/>
        <v>0.51999166395414886</v>
      </c>
      <c r="C641" s="9" t="s">
        <v>24</v>
      </c>
    </row>
    <row r="642" spans="1:3" x14ac:dyDescent="0.2">
      <c r="A642" s="9">
        <v>640</v>
      </c>
      <c r="B642" s="9">
        <f t="shared" ca="1" si="9"/>
        <v>0.60623598120440392</v>
      </c>
      <c r="C642" s="9" t="s">
        <v>23</v>
      </c>
    </row>
    <row r="643" spans="1:3" x14ac:dyDescent="0.2">
      <c r="A643" s="9">
        <v>641</v>
      </c>
      <c r="B643" s="9">
        <f t="shared" ca="1" si="9"/>
        <v>0.53495009994477594</v>
      </c>
      <c r="C643" s="9" t="s">
        <v>23</v>
      </c>
    </row>
    <row r="644" spans="1:3" x14ac:dyDescent="0.2">
      <c r="A644" s="9">
        <v>642</v>
      </c>
      <c r="B644" s="9">
        <f t="shared" ref="B644:B707" ca="1" si="10">IF(C644="Bomb",_xlfn.NORM.INV(RAND(),0.7,0.1),_xlfn.NORM.INV(RAND(),0.6,0.15))</f>
        <v>0.56588148435114205</v>
      </c>
      <c r="C644" s="9" t="s">
        <v>24</v>
      </c>
    </row>
    <row r="645" spans="1:3" x14ac:dyDescent="0.2">
      <c r="A645" s="9">
        <v>643</v>
      </c>
      <c r="B645" s="9">
        <f t="shared" ca="1" si="10"/>
        <v>0.70798442678351725</v>
      </c>
      <c r="C645" s="9" t="s">
        <v>23</v>
      </c>
    </row>
    <row r="646" spans="1:3" x14ac:dyDescent="0.2">
      <c r="A646" s="9">
        <v>644</v>
      </c>
      <c r="B646" s="9">
        <f t="shared" ca="1" si="10"/>
        <v>0.67571122784498217</v>
      </c>
      <c r="C646" s="9" t="s">
        <v>24</v>
      </c>
    </row>
    <row r="647" spans="1:3" x14ac:dyDescent="0.2">
      <c r="A647" s="9">
        <v>645</v>
      </c>
      <c r="B647" s="9">
        <f t="shared" ca="1" si="10"/>
        <v>0.57852058888935953</v>
      </c>
      <c r="C647" s="9" t="s">
        <v>24</v>
      </c>
    </row>
    <row r="648" spans="1:3" x14ac:dyDescent="0.2">
      <c r="A648" s="9">
        <v>646</v>
      </c>
      <c r="B648" s="9">
        <f t="shared" ca="1" si="10"/>
        <v>0.48471294015639682</v>
      </c>
      <c r="C648" s="9" t="s">
        <v>24</v>
      </c>
    </row>
    <row r="649" spans="1:3" x14ac:dyDescent="0.2">
      <c r="A649" s="9">
        <v>647</v>
      </c>
      <c r="B649" s="9">
        <f t="shared" ca="1" si="10"/>
        <v>0.6473678166487129</v>
      </c>
      <c r="C649" s="9" t="s">
        <v>23</v>
      </c>
    </row>
    <row r="650" spans="1:3" x14ac:dyDescent="0.2">
      <c r="A650" s="9">
        <v>648</v>
      </c>
      <c r="B650" s="9">
        <f t="shared" ca="1" si="10"/>
        <v>0.70829543694683328</v>
      </c>
      <c r="C650" s="9" t="s">
        <v>23</v>
      </c>
    </row>
    <row r="651" spans="1:3" x14ac:dyDescent="0.2">
      <c r="A651" s="9">
        <v>649</v>
      </c>
      <c r="B651" s="9">
        <f t="shared" ca="1" si="10"/>
        <v>0.84892390612965773</v>
      </c>
      <c r="C651" s="9" t="s">
        <v>23</v>
      </c>
    </row>
    <row r="652" spans="1:3" x14ac:dyDescent="0.2">
      <c r="A652" s="9">
        <v>650</v>
      </c>
      <c r="B652" s="9">
        <f t="shared" ca="1" si="10"/>
        <v>0.66613274362461905</v>
      </c>
      <c r="C652" s="9" t="s">
        <v>23</v>
      </c>
    </row>
    <row r="653" spans="1:3" x14ac:dyDescent="0.2">
      <c r="A653" s="9">
        <v>651</v>
      </c>
      <c r="B653" s="9">
        <f t="shared" ca="1" si="10"/>
        <v>0.44523391616721586</v>
      </c>
      <c r="C653" s="9" t="s">
        <v>24</v>
      </c>
    </row>
    <row r="654" spans="1:3" x14ac:dyDescent="0.2">
      <c r="A654" s="9">
        <v>652</v>
      </c>
      <c r="B654" s="9">
        <f t="shared" ca="1" si="10"/>
        <v>0.64222757159321209</v>
      </c>
      <c r="C654" s="9" t="s">
        <v>24</v>
      </c>
    </row>
    <row r="655" spans="1:3" x14ac:dyDescent="0.2">
      <c r="A655" s="9">
        <v>653</v>
      </c>
      <c r="B655" s="9">
        <f t="shared" ca="1" si="10"/>
        <v>0.65682039841452267</v>
      </c>
      <c r="C655" s="9" t="s">
        <v>24</v>
      </c>
    </row>
    <row r="656" spans="1:3" x14ac:dyDescent="0.2">
      <c r="A656" s="9">
        <v>654</v>
      </c>
      <c r="B656" s="9">
        <f t="shared" ca="1" si="10"/>
        <v>0.60374382950651262</v>
      </c>
      <c r="C656" s="9" t="s">
        <v>24</v>
      </c>
    </row>
    <row r="657" spans="1:3" x14ac:dyDescent="0.2">
      <c r="A657" s="9">
        <v>655</v>
      </c>
      <c r="B657" s="9">
        <f t="shared" ca="1" si="10"/>
        <v>0.52451544368742886</v>
      </c>
      <c r="C657" s="9" t="s">
        <v>24</v>
      </c>
    </row>
    <row r="658" spans="1:3" x14ac:dyDescent="0.2">
      <c r="A658" s="9">
        <v>656</v>
      </c>
      <c r="B658" s="9">
        <f t="shared" ca="1" si="10"/>
        <v>0.32212398790185331</v>
      </c>
      <c r="C658" s="9" t="s">
        <v>24</v>
      </c>
    </row>
    <row r="659" spans="1:3" x14ac:dyDescent="0.2">
      <c r="A659" s="9">
        <v>657</v>
      </c>
      <c r="B659" s="9">
        <f t="shared" ca="1" si="10"/>
        <v>0.83212416874363271</v>
      </c>
      <c r="C659" s="9" t="s">
        <v>23</v>
      </c>
    </row>
    <row r="660" spans="1:3" x14ac:dyDescent="0.2">
      <c r="A660" s="9">
        <v>658</v>
      </c>
      <c r="B660" s="9">
        <f t="shared" ca="1" si="10"/>
        <v>0.59096103454225057</v>
      </c>
      <c r="C660" s="9" t="s">
        <v>24</v>
      </c>
    </row>
    <row r="661" spans="1:3" x14ac:dyDescent="0.2">
      <c r="A661" s="9">
        <v>659</v>
      </c>
      <c r="B661" s="9">
        <f t="shared" ca="1" si="10"/>
        <v>0.66694217911943243</v>
      </c>
      <c r="C661" s="9" t="s">
        <v>23</v>
      </c>
    </row>
    <row r="662" spans="1:3" x14ac:dyDescent="0.2">
      <c r="A662" s="9">
        <v>660</v>
      </c>
      <c r="B662" s="9">
        <f t="shared" ca="1" si="10"/>
        <v>0.92155285383366126</v>
      </c>
      <c r="C662" s="9" t="s">
        <v>24</v>
      </c>
    </row>
    <row r="663" spans="1:3" x14ac:dyDescent="0.2">
      <c r="A663" s="9">
        <v>661</v>
      </c>
      <c r="B663" s="9">
        <f t="shared" ca="1" si="10"/>
        <v>0.55504941729954349</v>
      </c>
      <c r="C663" s="9" t="s">
        <v>23</v>
      </c>
    </row>
    <row r="664" spans="1:3" x14ac:dyDescent="0.2">
      <c r="A664" s="9">
        <v>662</v>
      </c>
      <c r="B664" s="9">
        <f t="shared" ca="1" si="10"/>
        <v>0.48160187470984062</v>
      </c>
      <c r="C664" s="9" t="s">
        <v>24</v>
      </c>
    </row>
    <row r="665" spans="1:3" x14ac:dyDescent="0.2">
      <c r="A665" s="9">
        <v>663</v>
      </c>
      <c r="B665" s="9">
        <f t="shared" ca="1" si="10"/>
        <v>0.56122778939780604</v>
      </c>
      <c r="C665" s="9" t="s">
        <v>24</v>
      </c>
    </row>
    <row r="666" spans="1:3" x14ac:dyDescent="0.2">
      <c r="A666" s="9">
        <v>664</v>
      </c>
      <c r="B666" s="9">
        <f t="shared" ca="1" si="10"/>
        <v>0.72285019967866515</v>
      </c>
      <c r="C666" s="9" t="s">
        <v>23</v>
      </c>
    </row>
    <row r="667" spans="1:3" x14ac:dyDescent="0.2">
      <c r="A667" s="9">
        <v>665</v>
      </c>
      <c r="B667" s="9">
        <f t="shared" ca="1" si="10"/>
        <v>0.57519881239017512</v>
      </c>
      <c r="C667" s="9" t="s">
        <v>24</v>
      </c>
    </row>
    <row r="668" spans="1:3" x14ac:dyDescent="0.2">
      <c r="A668" s="9">
        <v>666</v>
      </c>
      <c r="B668" s="9">
        <f t="shared" ca="1" si="10"/>
        <v>0.5744711764287983</v>
      </c>
      <c r="C668" s="9" t="s">
        <v>24</v>
      </c>
    </row>
    <row r="669" spans="1:3" x14ac:dyDescent="0.2">
      <c r="A669" s="9">
        <v>667</v>
      </c>
      <c r="B669" s="9">
        <f t="shared" ca="1" si="10"/>
        <v>0.79828597903708842</v>
      </c>
      <c r="C669" s="9" t="s">
        <v>23</v>
      </c>
    </row>
    <row r="670" spans="1:3" x14ac:dyDescent="0.2">
      <c r="A670" s="9">
        <v>668</v>
      </c>
      <c r="B670" s="9">
        <f t="shared" ca="1" si="10"/>
        <v>0.4378527629710468</v>
      </c>
      <c r="C670" s="9" t="s">
        <v>24</v>
      </c>
    </row>
    <row r="671" spans="1:3" x14ac:dyDescent="0.2">
      <c r="A671" s="9">
        <v>669</v>
      </c>
      <c r="B671" s="9">
        <f t="shared" ca="1" si="10"/>
        <v>0.59383780087847815</v>
      </c>
      <c r="C671" s="9" t="s">
        <v>24</v>
      </c>
    </row>
    <row r="672" spans="1:3" x14ac:dyDescent="0.2">
      <c r="A672" s="9">
        <v>670</v>
      </c>
      <c r="B672" s="9">
        <f t="shared" ca="1" si="10"/>
        <v>0.73254179838782096</v>
      </c>
      <c r="C672" s="9" t="s">
        <v>24</v>
      </c>
    </row>
    <row r="673" spans="1:3" x14ac:dyDescent="0.2">
      <c r="A673" s="9">
        <v>671</v>
      </c>
      <c r="B673" s="9">
        <f t="shared" ca="1" si="10"/>
        <v>0.62686033003782082</v>
      </c>
      <c r="C673" s="9" t="s">
        <v>24</v>
      </c>
    </row>
    <row r="674" spans="1:3" x14ac:dyDescent="0.2">
      <c r="A674" s="9">
        <v>672</v>
      </c>
      <c r="B674" s="9">
        <f t="shared" ca="1" si="10"/>
        <v>0.72135768050984683</v>
      </c>
      <c r="C674" s="9" t="s">
        <v>24</v>
      </c>
    </row>
    <row r="675" spans="1:3" x14ac:dyDescent="0.2">
      <c r="A675" s="9">
        <v>673</v>
      </c>
      <c r="B675" s="9">
        <f t="shared" ca="1" si="10"/>
        <v>0.50941934904713526</v>
      </c>
      <c r="C675" s="9" t="s">
        <v>24</v>
      </c>
    </row>
    <row r="676" spans="1:3" x14ac:dyDescent="0.2">
      <c r="A676" s="9">
        <v>674</v>
      </c>
      <c r="B676" s="9">
        <f t="shared" ca="1" si="10"/>
        <v>0.54104631816442694</v>
      </c>
      <c r="C676" s="9" t="s">
        <v>23</v>
      </c>
    </row>
    <row r="677" spans="1:3" x14ac:dyDescent="0.2">
      <c r="A677" s="9">
        <v>675</v>
      </c>
      <c r="B677" s="9">
        <f t="shared" ca="1" si="10"/>
        <v>0.55315949620931848</v>
      </c>
      <c r="C677" s="9" t="s">
        <v>24</v>
      </c>
    </row>
    <row r="678" spans="1:3" x14ac:dyDescent="0.2">
      <c r="A678" s="9">
        <v>676</v>
      </c>
      <c r="B678" s="9">
        <f t="shared" ca="1" si="10"/>
        <v>0.78476251810561726</v>
      </c>
      <c r="C678" s="9" t="s">
        <v>23</v>
      </c>
    </row>
    <row r="679" spans="1:3" x14ac:dyDescent="0.2">
      <c r="A679" s="9">
        <v>677</v>
      </c>
      <c r="B679" s="9">
        <f t="shared" ca="1" si="10"/>
        <v>0.73874900467137605</v>
      </c>
      <c r="C679" s="9" t="s">
        <v>24</v>
      </c>
    </row>
    <row r="680" spans="1:3" x14ac:dyDescent="0.2">
      <c r="A680" s="9">
        <v>678</v>
      </c>
      <c r="B680" s="9">
        <f t="shared" ca="1" si="10"/>
        <v>0.81982677719478747</v>
      </c>
      <c r="C680" s="9" t="s">
        <v>23</v>
      </c>
    </row>
    <row r="681" spans="1:3" x14ac:dyDescent="0.2">
      <c r="A681" s="9">
        <v>679</v>
      </c>
      <c r="B681" s="9">
        <f t="shared" ca="1" si="10"/>
        <v>0.65474702300473864</v>
      </c>
      <c r="C681" s="9" t="s">
        <v>24</v>
      </c>
    </row>
    <row r="682" spans="1:3" x14ac:dyDescent="0.2">
      <c r="A682" s="9">
        <v>680</v>
      </c>
      <c r="B682" s="9">
        <f t="shared" ca="1" si="10"/>
        <v>0.60843007050922504</v>
      </c>
      <c r="C682" s="9" t="s">
        <v>24</v>
      </c>
    </row>
    <row r="683" spans="1:3" x14ac:dyDescent="0.2">
      <c r="A683" s="9">
        <v>681</v>
      </c>
      <c r="B683" s="9">
        <f t="shared" ca="1" si="10"/>
        <v>0.49201676417656287</v>
      </c>
      <c r="C683" s="9" t="s">
        <v>24</v>
      </c>
    </row>
    <row r="684" spans="1:3" x14ac:dyDescent="0.2">
      <c r="A684" s="9">
        <v>682</v>
      </c>
      <c r="B684" s="9">
        <f t="shared" ca="1" si="10"/>
        <v>0.75813678363849324</v>
      </c>
      <c r="C684" s="9" t="s">
        <v>24</v>
      </c>
    </row>
    <row r="685" spans="1:3" x14ac:dyDescent="0.2">
      <c r="A685" s="9">
        <v>683</v>
      </c>
      <c r="B685" s="9">
        <f t="shared" ca="1" si="10"/>
        <v>0.48176153884145634</v>
      </c>
      <c r="C685" s="9" t="s">
        <v>24</v>
      </c>
    </row>
    <row r="686" spans="1:3" x14ac:dyDescent="0.2">
      <c r="A686" s="9">
        <v>684</v>
      </c>
      <c r="B686" s="9">
        <f t="shared" ca="1" si="10"/>
        <v>0.54476046883782747</v>
      </c>
      <c r="C686" s="9" t="s">
        <v>24</v>
      </c>
    </row>
    <row r="687" spans="1:3" x14ac:dyDescent="0.2">
      <c r="A687" s="9">
        <v>685</v>
      </c>
      <c r="B687" s="9">
        <f t="shared" ca="1" si="10"/>
        <v>0.71407821917587455</v>
      </c>
      <c r="C687" s="9" t="s">
        <v>23</v>
      </c>
    </row>
    <row r="688" spans="1:3" x14ac:dyDescent="0.2">
      <c r="A688" s="9">
        <v>686</v>
      </c>
      <c r="B688" s="9">
        <f t="shared" ca="1" si="10"/>
        <v>0.71024711280676278</v>
      </c>
      <c r="C688" s="9" t="s">
        <v>24</v>
      </c>
    </row>
    <row r="689" spans="1:3" x14ac:dyDescent="0.2">
      <c r="A689" s="9">
        <v>687</v>
      </c>
      <c r="B689" s="9">
        <f t="shared" ca="1" si="10"/>
        <v>0.58033020456809203</v>
      </c>
      <c r="C689" s="9" t="s">
        <v>24</v>
      </c>
    </row>
    <row r="690" spans="1:3" x14ac:dyDescent="0.2">
      <c r="A690" s="9">
        <v>688</v>
      </c>
      <c r="B690" s="9">
        <f t="shared" ca="1" si="10"/>
        <v>0.36725459677974548</v>
      </c>
      <c r="C690" s="9" t="s">
        <v>24</v>
      </c>
    </row>
    <row r="691" spans="1:3" x14ac:dyDescent="0.2">
      <c r="A691" s="9">
        <v>689</v>
      </c>
      <c r="B691" s="9">
        <f t="shared" ca="1" si="10"/>
        <v>0.76852849451981731</v>
      </c>
      <c r="C691" s="9" t="s">
        <v>24</v>
      </c>
    </row>
    <row r="692" spans="1:3" x14ac:dyDescent="0.2">
      <c r="A692" s="9">
        <v>690</v>
      </c>
      <c r="B692" s="9">
        <f t="shared" ca="1" si="10"/>
        <v>0.694764140410561</v>
      </c>
      <c r="C692" s="9" t="s">
        <v>23</v>
      </c>
    </row>
    <row r="693" spans="1:3" x14ac:dyDescent="0.2">
      <c r="A693" s="9">
        <v>691</v>
      </c>
      <c r="B693" s="9">
        <f t="shared" ca="1" si="10"/>
        <v>0.58895246974662752</v>
      </c>
      <c r="C693" s="9" t="s">
        <v>23</v>
      </c>
    </row>
    <row r="694" spans="1:3" x14ac:dyDescent="0.2">
      <c r="A694" s="9">
        <v>692</v>
      </c>
      <c r="B694" s="9">
        <f t="shared" ca="1" si="10"/>
        <v>0.58688344637120338</v>
      </c>
      <c r="C694" s="9" t="s">
        <v>23</v>
      </c>
    </row>
    <row r="695" spans="1:3" x14ac:dyDescent="0.2">
      <c r="A695" s="9">
        <v>693</v>
      </c>
      <c r="B695" s="9">
        <f t="shared" ca="1" si="10"/>
        <v>0.76260105714260951</v>
      </c>
      <c r="C695" s="9" t="s">
        <v>23</v>
      </c>
    </row>
    <row r="696" spans="1:3" x14ac:dyDescent="0.2">
      <c r="A696" s="9">
        <v>694</v>
      </c>
      <c r="B696" s="9">
        <f t="shared" ca="1" si="10"/>
        <v>0.60241806836944167</v>
      </c>
      <c r="C696" s="9" t="s">
        <v>24</v>
      </c>
    </row>
    <row r="697" spans="1:3" x14ac:dyDescent="0.2">
      <c r="A697" s="9">
        <v>695</v>
      </c>
      <c r="B697" s="9">
        <f t="shared" ca="1" si="10"/>
        <v>0.8821181555319324</v>
      </c>
      <c r="C697" s="9" t="s">
        <v>24</v>
      </c>
    </row>
    <row r="698" spans="1:3" x14ac:dyDescent="0.2">
      <c r="A698" s="9">
        <v>696</v>
      </c>
      <c r="B698" s="9">
        <f t="shared" ca="1" si="10"/>
        <v>0.50892971185657376</v>
      </c>
      <c r="C698" s="9" t="s">
        <v>24</v>
      </c>
    </row>
    <row r="699" spans="1:3" x14ac:dyDescent="0.2">
      <c r="A699" s="9">
        <v>697</v>
      </c>
      <c r="B699" s="9">
        <f t="shared" ca="1" si="10"/>
        <v>0.60354174606655597</v>
      </c>
      <c r="C699" s="9" t="s">
        <v>24</v>
      </c>
    </row>
    <row r="700" spans="1:3" x14ac:dyDescent="0.2">
      <c r="A700" s="9">
        <v>698</v>
      </c>
      <c r="B700" s="9">
        <f t="shared" ca="1" si="10"/>
        <v>0.70680969192294529</v>
      </c>
      <c r="C700" s="9" t="s">
        <v>23</v>
      </c>
    </row>
    <row r="701" spans="1:3" x14ac:dyDescent="0.2">
      <c r="A701" s="9">
        <v>699</v>
      </c>
      <c r="B701" s="9">
        <f t="shared" ca="1" si="10"/>
        <v>0.70413530404465863</v>
      </c>
      <c r="C701" s="9" t="s">
        <v>24</v>
      </c>
    </row>
    <row r="702" spans="1:3" x14ac:dyDescent="0.2">
      <c r="A702" s="9">
        <v>700</v>
      </c>
      <c r="B702" s="9">
        <f t="shared" ca="1" si="10"/>
        <v>0.77026723237733052</v>
      </c>
      <c r="C702" s="9" t="s">
        <v>24</v>
      </c>
    </row>
    <row r="703" spans="1:3" x14ac:dyDescent="0.2">
      <c r="A703" s="9">
        <v>701</v>
      </c>
      <c r="B703" s="9">
        <f t="shared" ca="1" si="10"/>
        <v>0.57425872542346568</v>
      </c>
      <c r="C703" s="9" t="s">
        <v>24</v>
      </c>
    </row>
    <row r="704" spans="1:3" x14ac:dyDescent="0.2">
      <c r="A704" s="9">
        <v>702</v>
      </c>
      <c r="B704" s="9">
        <f t="shared" ca="1" si="10"/>
        <v>0.86258822007791658</v>
      </c>
      <c r="C704" s="9" t="s">
        <v>24</v>
      </c>
    </row>
    <row r="705" spans="1:3" x14ac:dyDescent="0.2">
      <c r="A705" s="9">
        <v>703</v>
      </c>
      <c r="B705" s="9">
        <f t="shared" ca="1" si="10"/>
        <v>0.68747819557102918</v>
      </c>
      <c r="C705" s="9" t="s">
        <v>23</v>
      </c>
    </row>
    <row r="706" spans="1:3" x14ac:dyDescent="0.2">
      <c r="A706" s="9">
        <v>704</v>
      </c>
      <c r="B706" s="9">
        <f t="shared" ca="1" si="10"/>
        <v>0.74476492404686012</v>
      </c>
      <c r="C706" s="9" t="s">
        <v>23</v>
      </c>
    </row>
    <row r="707" spans="1:3" x14ac:dyDescent="0.2">
      <c r="A707" s="9">
        <v>705</v>
      </c>
      <c r="B707" s="9">
        <f t="shared" ca="1" si="10"/>
        <v>0.5400057160779056</v>
      </c>
      <c r="C707" s="9" t="s">
        <v>24</v>
      </c>
    </row>
    <row r="708" spans="1:3" x14ac:dyDescent="0.2">
      <c r="A708" s="9">
        <v>706</v>
      </c>
      <c r="B708" s="9">
        <f t="shared" ref="B708:B771" ca="1" si="11">IF(C708="Bomb",_xlfn.NORM.INV(RAND(),0.7,0.1),_xlfn.NORM.INV(RAND(),0.6,0.15))</f>
        <v>0.72805781600878328</v>
      </c>
      <c r="C708" s="9" t="s">
        <v>24</v>
      </c>
    </row>
    <row r="709" spans="1:3" x14ac:dyDescent="0.2">
      <c r="A709" s="9">
        <v>707</v>
      </c>
      <c r="B709" s="9">
        <f t="shared" ca="1" si="11"/>
        <v>0.61826282979363978</v>
      </c>
      <c r="C709" s="9" t="s">
        <v>24</v>
      </c>
    </row>
    <row r="710" spans="1:3" x14ac:dyDescent="0.2">
      <c r="A710" s="9">
        <v>708</v>
      </c>
      <c r="B710" s="9">
        <f t="shared" ca="1" si="11"/>
        <v>0.57454659122391738</v>
      </c>
      <c r="C710" s="9" t="s">
        <v>23</v>
      </c>
    </row>
    <row r="711" spans="1:3" x14ac:dyDescent="0.2">
      <c r="A711" s="9">
        <v>709</v>
      </c>
      <c r="B711" s="9">
        <f t="shared" ca="1" si="11"/>
        <v>0.60256809756197449</v>
      </c>
      <c r="C711" s="9" t="s">
        <v>23</v>
      </c>
    </row>
    <row r="712" spans="1:3" x14ac:dyDescent="0.2">
      <c r="A712" s="9">
        <v>710</v>
      </c>
      <c r="B712" s="9">
        <f t="shared" ca="1" si="11"/>
        <v>0.72901264809528377</v>
      </c>
      <c r="C712" s="9" t="s">
        <v>23</v>
      </c>
    </row>
    <row r="713" spans="1:3" x14ac:dyDescent="0.2">
      <c r="A713" s="9">
        <v>711</v>
      </c>
      <c r="B713" s="9">
        <f t="shared" ca="1" si="11"/>
        <v>0.40689941210804514</v>
      </c>
      <c r="C713" s="9" t="s">
        <v>24</v>
      </c>
    </row>
    <row r="714" spans="1:3" x14ac:dyDescent="0.2">
      <c r="A714" s="9">
        <v>712</v>
      </c>
      <c r="B714" s="9">
        <f t="shared" ca="1" si="11"/>
        <v>0.49091991950909231</v>
      </c>
      <c r="C714" s="9" t="s">
        <v>23</v>
      </c>
    </row>
    <row r="715" spans="1:3" x14ac:dyDescent="0.2">
      <c r="A715" s="9">
        <v>713</v>
      </c>
      <c r="B715" s="9">
        <f t="shared" ca="1" si="11"/>
        <v>0.48656021682257061</v>
      </c>
      <c r="C715" s="9" t="s">
        <v>24</v>
      </c>
    </row>
    <row r="716" spans="1:3" x14ac:dyDescent="0.2">
      <c r="A716" s="9">
        <v>714</v>
      </c>
      <c r="B716" s="9">
        <f t="shared" ca="1" si="11"/>
        <v>0.68002120271725475</v>
      </c>
      <c r="C716" s="9" t="s">
        <v>24</v>
      </c>
    </row>
    <row r="717" spans="1:3" x14ac:dyDescent="0.2">
      <c r="A717" s="9">
        <v>715</v>
      </c>
      <c r="B717" s="9">
        <f t="shared" ca="1" si="11"/>
        <v>0.81558502726376947</v>
      </c>
      <c r="C717" s="9" t="s">
        <v>24</v>
      </c>
    </row>
    <row r="718" spans="1:3" x14ac:dyDescent="0.2">
      <c r="A718" s="9">
        <v>716</v>
      </c>
      <c r="B718" s="9">
        <f t="shared" ca="1" si="11"/>
        <v>0.82548919279626864</v>
      </c>
      <c r="C718" s="9" t="s">
        <v>23</v>
      </c>
    </row>
    <row r="719" spans="1:3" x14ac:dyDescent="0.2">
      <c r="A719" s="9">
        <v>717</v>
      </c>
      <c r="B719" s="9">
        <f t="shared" ca="1" si="11"/>
        <v>0.37567439019135351</v>
      </c>
      <c r="C719" s="9" t="s">
        <v>24</v>
      </c>
    </row>
    <row r="720" spans="1:3" x14ac:dyDescent="0.2">
      <c r="A720" s="9">
        <v>718</v>
      </c>
      <c r="B720" s="9">
        <f t="shared" ca="1" si="11"/>
        <v>0.65530411051673854</v>
      </c>
      <c r="C720" s="9" t="s">
        <v>24</v>
      </c>
    </row>
    <row r="721" spans="1:3" x14ac:dyDescent="0.2">
      <c r="A721" s="9">
        <v>719</v>
      </c>
      <c r="B721" s="9">
        <f t="shared" ca="1" si="11"/>
        <v>0.3262447366406761</v>
      </c>
      <c r="C721" s="9" t="s">
        <v>24</v>
      </c>
    </row>
    <row r="722" spans="1:3" x14ac:dyDescent="0.2">
      <c r="A722" s="9">
        <v>720</v>
      </c>
      <c r="B722" s="9">
        <f t="shared" ca="1" si="11"/>
        <v>0.67282865219263865</v>
      </c>
      <c r="C722" s="9" t="s">
        <v>24</v>
      </c>
    </row>
    <row r="723" spans="1:3" x14ac:dyDescent="0.2">
      <c r="A723" s="9">
        <v>721</v>
      </c>
      <c r="B723" s="9">
        <f t="shared" ca="1" si="11"/>
        <v>0.77134786396582755</v>
      </c>
      <c r="C723" s="9" t="s">
        <v>23</v>
      </c>
    </row>
    <row r="724" spans="1:3" x14ac:dyDescent="0.2">
      <c r="A724" s="9">
        <v>722</v>
      </c>
      <c r="B724" s="9">
        <f t="shared" ca="1" si="11"/>
        <v>0.62542640136545213</v>
      </c>
      <c r="C724" s="9" t="s">
        <v>24</v>
      </c>
    </row>
    <row r="725" spans="1:3" x14ac:dyDescent="0.2">
      <c r="A725" s="9">
        <v>723</v>
      </c>
      <c r="B725" s="9">
        <f t="shared" ca="1" si="11"/>
        <v>0.73664780751240144</v>
      </c>
      <c r="C725" s="9" t="s">
        <v>23</v>
      </c>
    </row>
    <row r="726" spans="1:3" x14ac:dyDescent="0.2">
      <c r="A726" s="9">
        <v>724</v>
      </c>
      <c r="B726" s="9">
        <f t="shared" ca="1" si="11"/>
        <v>0.7844225462639014</v>
      </c>
      <c r="C726" s="9" t="s">
        <v>23</v>
      </c>
    </row>
    <row r="727" spans="1:3" x14ac:dyDescent="0.2">
      <c r="A727" s="9">
        <v>725</v>
      </c>
      <c r="B727" s="9">
        <f t="shared" ca="1" si="11"/>
        <v>0.38681746313329135</v>
      </c>
      <c r="C727" s="9" t="s">
        <v>24</v>
      </c>
    </row>
    <row r="728" spans="1:3" x14ac:dyDescent="0.2">
      <c r="A728" s="9">
        <v>726</v>
      </c>
      <c r="B728" s="9">
        <f t="shared" ca="1" si="11"/>
        <v>0.77558747676079498</v>
      </c>
      <c r="C728" s="9" t="s">
        <v>24</v>
      </c>
    </row>
    <row r="729" spans="1:3" x14ac:dyDescent="0.2">
      <c r="A729" s="9">
        <v>727</v>
      </c>
      <c r="B729" s="9">
        <f t="shared" ca="1" si="11"/>
        <v>0.75710003868472497</v>
      </c>
      <c r="C729" s="9" t="s">
        <v>23</v>
      </c>
    </row>
    <row r="730" spans="1:3" x14ac:dyDescent="0.2">
      <c r="A730" s="9">
        <v>728</v>
      </c>
      <c r="B730" s="9">
        <f t="shared" ca="1" si="11"/>
        <v>0.39024212371310674</v>
      </c>
      <c r="C730" s="9" t="s">
        <v>24</v>
      </c>
    </row>
    <row r="731" spans="1:3" x14ac:dyDescent="0.2">
      <c r="A731" s="9">
        <v>729</v>
      </c>
      <c r="B731" s="9">
        <f t="shared" ca="1" si="11"/>
        <v>0.66386329237299213</v>
      </c>
      <c r="C731" s="9" t="s">
        <v>23</v>
      </c>
    </row>
    <row r="732" spans="1:3" x14ac:dyDescent="0.2">
      <c r="A732" s="9">
        <v>730</v>
      </c>
      <c r="B732" s="9">
        <f t="shared" ca="1" si="11"/>
        <v>0.67640271395535378</v>
      </c>
      <c r="C732" s="9" t="s">
        <v>23</v>
      </c>
    </row>
    <row r="733" spans="1:3" x14ac:dyDescent="0.2">
      <c r="A733" s="9">
        <v>731</v>
      </c>
      <c r="B733" s="9">
        <f t="shared" ca="1" si="11"/>
        <v>0.85597310157167728</v>
      </c>
      <c r="C733" s="9" t="s">
        <v>23</v>
      </c>
    </row>
    <row r="734" spans="1:3" x14ac:dyDescent="0.2">
      <c r="A734" s="9">
        <v>732</v>
      </c>
      <c r="B734" s="9">
        <f t="shared" ca="1" si="11"/>
        <v>0.48938094142872213</v>
      </c>
      <c r="C734" s="9" t="s">
        <v>24</v>
      </c>
    </row>
    <row r="735" spans="1:3" x14ac:dyDescent="0.2">
      <c r="A735" s="9">
        <v>733</v>
      </c>
      <c r="B735" s="9">
        <f t="shared" ca="1" si="11"/>
        <v>0.35701612755589496</v>
      </c>
      <c r="C735" s="9" t="s">
        <v>24</v>
      </c>
    </row>
    <row r="736" spans="1:3" x14ac:dyDescent="0.2">
      <c r="A736" s="9">
        <v>734</v>
      </c>
      <c r="B736" s="9">
        <f t="shared" ca="1" si="11"/>
        <v>0.72649252806788334</v>
      </c>
      <c r="C736" s="9" t="s">
        <v>24</v>
      </c>
    </row>
    <row r="737" spans="1:3" x14ac:dyDescent="0.2">
      <c r="A737" s="9">
        <v>735</v>
      </c>
      <c r="B737" s="9">
        <f t="shared" ca="1" si="11"/>
        <v>0.92411040469014549</v>
      </c>
      <c r="C737" s="9" t="s">
        <v>23</v>
      </c>
    </row>
    <row r="738" spans="1:3" x14ac:dyDescent="0.2">
      <c r="A738" s="9">
        <v>736</v>
      </c>
      <c r="B738" s="9">
        <f t="shared" ca="1" si="11"/>
        <v>0.65132401863084655</v>
      </c>
      <c r="C738" s="9" t="s">
        <v>23</v>
      </c>
    </row>
    <row r="739" spans="1:3" x14ac:dyDescent="0.2">
      <c r="A739" s="9">
        <v>737</v>
      </c>
      <c r="B739" s="9">
        <f t="shared" ca="1" si="11"/>
        <v>0.41428397593966865</v>
      </c>
      <c r="C739" s="9" t="s">
        <v>24</v>
      </c>
    </row>
    <row r="740" spans="1:3" x14ac:dyDescent="0.2">
      <c r="A740" s="9">
        <v>738</v>
      </c>
      <c r="B740" s="9">
        <f t="shared" ca="1" si="11"/>
        <v>0.76742350548079363</v>
      </c>
      <c r="C740" s="9" t="s">
        <v>24</v>
      </c>
    </row>
    <row r="741" spans="1:3" x14ac:dyDescent="0.2">
      <c r="A741" s="9">
        <v>739</v>
      </c>
      <c r="B741" s="9">
        <f t="shared" ca="1" si="11"/>
        <v>0.80926807338493956</v>
      </c>
      <c r="C741" s="9" t="s">
        <v>23</v>
      </c>
    </row>
    <row r="742" spans="1:3" x14ac:dyDescent="0.2">
      <c r="A742" s="9">
        <v>740</v>
      </c>
      <c r="B742" s="9">
        <f t="shared" ca="1" si="11"/>
        <v>0.61329479035312562</v>
      </c>
      <c r="C742" s="9" t="s">
        <v>24</v>
      </c>
    </row>
    <row r="743" spans="1:3" x14ac:dyDescent="0.2">
      <c r="A743" s="9">
        <v>741</v>
      </c>
      <c r="B743" s="9">
        <f t="shared" ca="1" si="11"/>
        <v>0.50817299681116057</v>
      </c>
      <c r="C743" s="9" t="s">
        <v>24</v>
      </c>
    </row>
    <row r="744" spans="1:3" x14ac:dyDescent="0.2">
      <c r="A744" s="9">
        <v>742</v>
      </c>
      <c r="B744" s="9">
        <f t="shared" ca="1" si="11"/>
        <v>0.66388165706931779</v>
      </c>
      <c r="C744" s="9" t="s">
        <v>24</v>
      </c>
    </row>
    <row r="745" spans="1:3" x14ac:dyDescent="0.2">
      <c r="A745" s="9">
        <v>743</v>
      </c>
      <c r="B745" s="9">
        <f t="shared" ca="1" si="11"/>
        <v>0.8756444548049418</v>
      </c>
      <c r="C745" s="9" t="s">
        <v>24</v>
      </c>
    </row>
    <row r="746" spans="1:3" x14ac:dyDescent="0.2">
      <c r="A746" s="9">
        <v>744</v>
      </c>
      <c r="B746" s="9">
        <f t="shared" ca="1" si="11"/>
        <v>0.87225440481645888</v>
      </c>
      <c r="C746" s="9" t="s">
        <v>24</v>
      </c>
    </row>
    <row r="747" spans="1:3" x14ac:dyDescent="0.2">
      <c r="A747" s="9">
        <v>745</v>
      </c>
      <c r="B747" s="9">
        <f t="shared" ca="1" si="11"/>
        <v>0.62395767718069228</v>
      </c>
      <c r="C747" s="9" t="s">
        <v>24</v>
      </c>
    </row>
    <row r="748" spans="1:3" x14ac:dyDescent="0.2">
      <c r="A748" s="9">
        <v>746</v>
      </c>
      <c r="B748" s="9">
        <f t="shared" ca="1" si="11"/>
        <v>0.79809769886276738</v>
      </c>
      <c r="C748" s="9" t="s">
        <v>23</v>
      </c>
    </row>
    <row r="749" spans="1:3" x14ac:dyDescent="0.2">
      <c r="A749" s="9">
        <v>747</v>
      </c>
      <c r="B749" s="9">
        <f t="shared" ca="1" si="11"/>
        <v>0.72285366264871731</v>
      </c>
      <c r="C749" s="9" t="s">
        <v>23</v>
      </c>
    </row>
    <row r="750" spans="1:3" x14ac:dyDescent="0.2">
      <c r="A750" s="9">
        <v>748</v>
      </c>
      <c r="B750" s="9">
        <f t="shared" ca="1" si="11"/>
        <v>0.531716024656953</v>
      </c>
      <c r="C750" s="9" t="s">
        <v>24</v>
      </c>
    </row>
    <row r="751" spans="1:3" x14ac:dyDescent="0.2">
      <c r="A751" s="9">
        <v>749</v>
      </c>
      <c r="B751" s="9">
        <f t="shared" ca="1" si="11"/>
        <v>0.59033220596389513</v>
      </c>
      <c r="C751" s="9" t="s">
        <v>23</v>
      </c>
    </row>
    <row r="752" spans="1:3" x14ac:dyDescent="0.2">
      <c r="A752" s="9">
        <v>750</v>
      </c>
      <c r="B752" s="9">
        <f t="shared" ca="1" si="11"/>
        <v>0.67246486731362731</v>
      </c>
      <c r="C752" s="9" t="s">
        <v>24</v>
      </c>
    </row>
    <row r="753" spans="1:3" x14ac:dyDescent="0.2">
      <c r="A753" s="9">
        <v>751</v>
      </c>
      <c r="B753" s="9">
        <f t="shared" ca="1" si="11"/>
        <v>0.70443418168916394</v>
      </c>
      <c r="C753" s="9" t="s">
        <v>23</v>
      </c>
    </row>
    <row r="754" spans="1:3" x14ac:dyDescent="0.2">
      <c r="A754" s="9">
        <v>752</v>
      </c>
      <c r="B754" s="9">
        <f t="shared" ca="1" si="11"/>
        <v>0.71047313504448006</v>
      </c>
      <c r="C754" s="9" t="s">
        <v>23</v>
      </c>
    </row>
    <row r="755" spans="1:3" x14ac:dyDescent="0.2">
      <c r="A755" s="9">
        <v>753</v>
      </c>
      <c r="B755" s="9">
        <f t="shared" ca="1" si="11"/>
        <v>0.70809948554610946</v>
      </c>
      <c r="C755" s="9" t="s">
        <v>23</v>
      </c>
    </row>
    <row r="756" spans="1:3" x14ac:dyDescent="0.2">
      <c r="A756" s="9">
        <v>754</v>
      </c>
      <c r="B756" s="9">
        <f t="shared" ca="1" si="11"/>
        <v>0.6443577453580257</v>
      </c>
      <c r="C756" s="9" t="s">
        <v>23</v>
      </c>
    </row>
    <row r="757" spans="1:3" x14ac:dyDescent="0.2">
      <c r="A757" s="9">
        <v>755</v>
      </c>
      <c r="B757" s="9">
        <f t="shared" ca="1" si="11"/>
        <v>0.38699287437842012</v>
      </c>
      <c r="C757" s="9" t="s">
        <v>24</v>
      </c>
    </row>
    <row r="758" spans="1:3" x14ac:dyDescent="0.2">
      <c r="A758" s="9">
        <v>756</v>
      </c>
      <c r="B758" s="9">
        <f t="shared" ca="1" si="11"/>
        <v>0.62716164775495398</v>
      </c>
      <c r="C758" s="9" t="s">
        <v>23</v>
      </c>
    </row>
    <row r="759" spans="1:3" x14ac:dyDescent="0.2">
      <c r="A759" s="9">
        <v>757</v>
      </c>
      <c r="B759" s="9">
        <f t="shared" ca="1" si="11"/>
        <v>0.61451563654926056</v>
      </c>
      <c r="C759" s="9" t="s">
        <v>23</v>
      </c>
    </row>
    <row r="760" spans="1:3" x14ac:dyDescent="0.2">
      <c r="A760" s="9">
        <v>758</v>
      </c>
      <c r="B760" s="9">
        <f t="shared" ca="1" si="11"/>
        <v>0.6979760387908488</v>
      </c>
      <c r="C760" s="9" t="s">
        <v>23</v>
      </c>
    </row>
    <row r="761" spans="1:3" x14ac:dyDescent="0.2">
      <c r="A761" s="9">
        <v>759</v>
      </c>
      <c r="B761" s="9">
        <f t="shared" ca="1" si="11"/>
        <v>0.55845593051751397</v>
      </c>
      <c r="C761" s="9" t="s">
        <v>24</v>
      </c>
    </row>
    <row r="762" spans="1:3" x14ac:dyDescent="0.2">
      <c r="A762" s="9">
        <v>760</v>
      </c>
      <c r="B762" s="9">
        <f t="shared" ca="1" si="11"/>
        <v>0.60415968329005565</v>
      </c>
      <c r="C762" s="9" t="s">
        <v>23</v>
      </c>
    </row>
    <row r="763" spans="1:3" x14ac:dyDescent="0.2">
      <c r="A763" s="9">
        <v>761</v>
      </c>
      <c r="B763" s="9">
        <f t="shared" ca="1" si="11"/>
        <v>0.7131089993262959</v>
      </c>
      <c r="C763" s="9" t="s">
        <v>24</v>
      </c>
    </row>
    <row r="764" spans="1:3" x14ac:dyDescent="0.2">
      <c r="A764" s="9">
        <v>762</v>
      </c>
      <c r="B764" s="9">
        <f t="shared" ca="1" si="11"/>
        <v>0.37779938213414832</v>
      </c>
      <c r="C764" s="9" t="s">
        <v>24</v>
      </c>
    </row>
    <row r="765" spans="1:3" x14ac:dyDescent="0.2">
      <c r="A765" s="9">
        <v>763</v>
      </c>
      <c r="B765" s="9">
        <f t="shared" ca="1" si="11"/>
        <v>0.34894366617107764</v>
      </c>
      <c r="C765" s="9" t="s">
        <v>24</v>
      </c>
    </row>
    <row r="766" spans="1:3" x14ac:dyDescent="0.2">
      <c r="A766" s="9">
        <v>764</v>
      </c>
      <c r="B766" s="9">
        <f t="shared" ca="1" si="11"/>
        <v>0.63337230120809485</v>
      </c>
      <c r="C766" s="9" t="s">
        <v>24</v>
      </c>
    </row>
    <row r="767" spans="1:3" x14ac:dyDescent="0.2">
      <c r="A767" s="9">
        <v>765</v>
      </c>
      <c r="B767" s="9">
        <f t="shared" ca="1" si="11"/>
        <v>0.58152133275028239</v>
      </c>
      <c r="C767" s="9" t="s">
        <v>24</v>
      </c>
    </row>
    <row r="768" spans="1:3" x14ac:dyDescent="0.2">
      <c r="A768" s="9">
        <v>766</v>
      </c>
      <c r="B768" s="9">
        <f t="shared" ca="1" si="11"/>
        <v>0.76646934763208041</v>
      </c>
      <c r="C768" s="9" t="s">
        <v>24</v>
      </c>
    </row>
    <row r="769" spans="1:3" x14ac:dyDescent="0.2">
      <c r="A769" s="9">
        <v>767</v>
      </c>
      <c r="B769" s="9">
        <f t="shared" ca="1" si="11"/>
        <v>0.77655745059070869</v>
      </c>
      <c r="C769" s="9" t="s">
        <v>23</v>
      </c>
    </row>
    <row r="770" spans="1:3" x14ac:dyDescent="0.2">
      <c r="A770" s="9">
        <v>768</v>
      </c>
      <c r="B770" s="9">
        <f t="shared" ca="1" si="11"/>
        <v>0.61232201698727118</v>
      </c>
      <c r="C770" s="9" t="s">
        <v>23</v>
      </c>
    </row>
    <row r="771" spans="1:3" x14ac:dyDescent="0.2">
      <c r="A771" s="9">
        <v>769</v>
      </c>
      <c r="B771" s="9">
        <f t="shared" ca="1" si="11"/>
        <v>0.76224755979134917</v>
      </c>
      <c r="C771" s="9" t="s">
        <v>24</v>
      </c>
    </row>
    <row r="772" spans="1:3" x14ac:dyDescent="0.2">
      <c r="A772" s="9">
        <v>770</v>
      </c>
      <c r="B772" s="9">
        <f t="shared" ref="B772:B835" ca="1" si="12">IF(C772="Bomb",_xlfn.NORM.INV(RAND(),0.7,0.1),_xlfn.NORM.INV(RAND(),0.6,0.15))</f>
        <v>0.76438499198030885</v>
      </c>
      <c r="C772" s="9" t="s">
        <v>23</v>
      </c>
    </row>
    <row r="773" spans="1:3" x14ac:dyDescent="0.2">
      <c r="A773" s="9">
        <v>771</v>
      </c>
      <c r="B773" s="9">
        <f t="shared" ca="1" si="12"/>
        <v>0.39646388318404047</v>
      </c>
      <c r="C773" s="9" t="s">
        <v>24</v>
      </c>
    </row>
    <row r="774" spans="1:3" x14ac:dyDescent="0.2">
      <c r="A774" s="9">
        <v>772</v>
      </c>
      <c r="B774" s="9">
        <f t="shared" ca="1" si="12"/>
        <v>0.47527690394395372</v>
      </c>
      <c r="C774" s="9" t="s">
        <v>24</v>
      </c>
    </row>
    <row r="775" spans="1:3" x14ac:dyDescent="0.2">
      <c r="A775" s="9">
        <v>773</v>
      </c>
      <c r="B775" s="9">
        <f t="shared" ca="1" si="12"/>
        <v>0.71989372346948266</v>
      </c>
      <c r="C775" s="9" t="s">
        <v>24</v>
      </c>
    </row>
    <row r="776" spans="1:3" x14ac:dyDescent="0.2">
      <c r="A776" s="9">
        <v>774</v>
      </c>
      <c r="B776" s="9">
        <f t="shared" ca="1" si="12"/>
        <v>0.5550662557431788</v>
      </c>
      <c r="C776" s="9" t="s">
        <v>24</v>
      </c>
    </row>
    <row r="777" spans="1:3" x14ac:dyDescent="0.2">
      <c r="A777" s="9">
        <v>775</v>
      </c>
      <c r="B777" s="9">
        <f t="shared" ca="1" si="12"/>
        <v>0.77517316262077807</v>
      </c>
      <c r="C777" s="9" t="s">
        <v>23</v>
      </c>
    </row>
    <row r="778" spans="1:3" x14ac:dyDescent="0.2">
      <c r="A778" s="9">
        <v>776</v>
      </c>
      <c r="B778" s="9">
        <f t="shared" ca="1" si="12"/>
        <v>0.31109054751376009</v>
      </c>
      <c r="C778" s="9" t="s">
        <v>24</v>
      </c>
    </row>
    <row r="779" spans="1:3" x14ac:dyDescent="0.2">
      <c r="A779" s="9">
        <v>777</v>
      </c>
      <c r="B779" s="9">
        <f t="shared" ca="1" si="12"/>
        <v>0.6271627247935746</v>
      </c>
      <c r="C779" s="9" t="s">
        <v>23</v>
      </c>
    </row>
    <row r="780" spans="1:3" x14ac:dyDescent="0.2">
      <c r="A780" s="9">
        <v>778</v>
      </c>
      <c r="B780" s="9">
        <f t="shared" ca="1" si="12"/>
        <v>0.62724947033770861</v>
      </c>
      <c r="C780" s="9" t="s">
        <v>23</v>
      </c>
    </row>
    <row r="781" spans="1:3" x14ac:dyDescent="0.2">
      <c r="A781" s="9">
        <v>779</v>
      </c>
      <c r="B781" s="9">
        <f t="shared" ca="1" si="12"/>
        <v>0.83404137586284521</v>
      </c>
      <c r="C781" s="9" t="s">
        <v>23</v>
      </c>
    </row>
    <row r="782" spans="1:3" x14ac:dyDescent="0.2">
      <c r="A782" s="9">
        <v>780</v>
      </c>
      <c r="B782" s="9">
        <f t="shared" ca="1" si="12"/>
        <v>0.66596625984063329</v>
      </c>
      <c r="C782" s="9" t="s">
        <v>23</v>
      </c>
    </row>
    <row r="783" spans="1:3" x14ac:dyDescent="0.2">
      <c r="A783" s="9">
        <v>781</v>
      </c>
      <c r="B783" s="9">
        <f t="shared" ca="1" si="12"/>
        <v>0.78202531181797663</v>
      </c>
      <c r="C783" s="9" t="s">
        <v>23</v>
      </c>
    </row>
    <row r="784" spans="1:3" x14ac:dyDescent="0.2">
      <c r="A784" s="9">
        <v>782</v>
      </c>
      <c r="B784" s="9">
        <f t="shared" ca="1" si="12"/>
        <v>0.65607463315470138</v>
      </c>
      <c r="C784" s="9" t="s">
        <v>23</v>
      </c>
    </row>
    <row r="785" spans="1:3" x14ac:dyDescent="0.2">
      <c r="A785" s="9">
        <v>783</v>
      </c>
      <c r="B785" s="9">
        <f t="shared" ca="1" si="12"/>
        <v>0.60486285540565088</v>
      </c>
      <c r="C785" s="9" t="s">
        <v>23</v>
      </c>
    </row>
    <row r="786" spans="1:3" x14ac:dyDescent="0.2">
      <c r="A786" s="9">
        <v>784</v>
      </c>
      <c r="B786" s="9">
        <f t="shared" ca="1" si="12"/>
        <v>0.41930346632337923</v>
      </c>
      <c r="C786" s="9" t="s">
        <v>24</v>
      </c>
    </row>
    <row r="787" spans="1:3" x14ac:dyDescent="0.2">
      <c r="A787" s="9">
        <v>785</v>
      </c>
      <c r="B787" s="9">
        <f t="shared" ca="1" si="12"/>
        <v>0.59455602286148046</v>
      </c>
      <c r="C787" s="9" t="s">
        <v>24</v>
      </c>
    </row>
    <row r="788" spans="1:3" x14ac:dyDescent="0.2">
      <c r="A788" s="9">
        <v>786</v>
      </c>
      <c r="B788" s="9">
        <f t="shared" ca="1" si="12"/>
        <v>0.72453487040660958</v>
      </c>
      <c r="C788" s="9" t="s">
        <v>24</v>
      </c>
    </row>
    <row r="789" spans="1:3" x14ac:dyDescent="0.2">
      <c r="A789" s="9">
        <v>787</v>
      </c>
      <c r="B789" s="9">
        <f t="shared" ca="1" si="12"/>
        <v>0.59551218299673625</v>
      </c>
      <c r="C789" s="9" t="s">
        <v>23</v>
      </c>
    </row>
    <row r="790" spans="1:3" x14ac:dyDescent="0.2">
      <c r="A790" s="9">
        <v>788</v>
      </c>
      <c r="B790" s="9">
        <f t="shared" ca="1" si="12"/>
        <v>0.62237435977659883</v>
      </c>
      <c r="C790" s="9" t="s">
        <v>24</v>
      </c>
    </row>
    <row r="791" spans="1:3" x14ac:dyDescent="0.2">
      <c r="A791" s="9">
        <v>789</v>
      </c>
      <c r="B791" s="9">
        <f t="shared" ca="1" si="12"/>
        <v>0.76062074312774142</v>
      </c>
      <c r="C791" s="9" t="s">
        <v>23</v>
      </c>
    </row>
    <row r="792" spans="1:3" x14ac:dyDescent="0.2">
      <c r="A792" s="9">
        <v>790</v>
      </c>
      <c r="B792" s="9">
        <f t="shared" ca="1" si="12"/>
        <v>0.78519123786285894</v>
      </c>
      <c r="C792" s="9" t="s">
        <v>23</v>
      </c>
    </row>
    <row r="793" spans="1:3" x14ac:dyDescent="0.2">
      <c r="A793" s="9">
        <v>791</v>
      </c>
      <c r="B793" s="9">
        <f t="shared" ca="1" si="12"/>
        <v>0.68352735128251874</v>
      </c>
      <c r="C793" s="9" t="s">
        <v>24</v>
      </c>
    </row>
    <row r="794" spans="1:3" x14ac:dyDescent="0.2">
      <c r="A794" s="9">
        <v>792</v>
      </c>
      <c r="B794" s="9">
        <f t="shared" ca="1" si="12"/>
        <v>0.51011495364544346</v>
      </c>
      <c r="C794" s="9" t="s">
        <v>24</v>
      </c>
    </row>
    <row r="795" spans="1:3" x14ac:dyDescent="0.2">
      <c r="A795" s="9">
        <v>793</v>
      </c>
      <c r="B795" s="9">
        <f t="shared" ca="1" si="12"/>
        <v>0.52066678880381845</v>
      </c>
      <c r="C795" s="9" t="s">
        <v>23</v>
      </c>
    </row>
    <row r="796" spans="1:3" x14ac:dyDescent="0.2">
      <c r="A796" s="9">
        <v>794</v>
      </c>
      <c r="B796" s="9">
        <f t="shared" ca="1" si="12"/>
        <v>0.51319422275168658</v>
      </c>
      <c r="C796" s="9" t="s">
        <v>24</v>
      </c>
    </row>
    <row r="797" spans="1:3" x14ac:dyDescent="0.2">
      <c r="A797" s="9">
        <v>795</v>
      </c>
      <c r="B797" s="9">
        <f t="shared" ca="1" si="12"/>
        <v>0.56512330016142753</v>
      </c>
      <c r="C797" s="9" t="s">
        <v>24</v>
      </c>
    </row>
    <row r="798" spans="1:3" x14ac:dyDescent="0.2">
      <c r="A798" s="9">
        <v>796</v>
      </c>
      <c r="B798" s="9">
        <f t="shared" ca="1" si="12"/>
        <v>0.55920466948257774</v>
      </c>
      <c r="C798" s="9" t="s">
        <v>24</v>
      </c>
    </row>
    <row r="799" spans="1:3" x14ac:dyDescent="0.2">
      <c r="A799" s="9">
        <v>797</v>
      </c>
      <c r="B799" s="9">
        <f t="shared" ca="1" si="12"/>
        <v>0.52999965708100072</v>
      </c>
      <c r="C799" s="9" t="s">
        <v>24</v>
      </c>
    </row>
    <row r="800" spans="1:3" x14ac:dyDescent="0.2">
      <c r="A800" s="9">
        <v>798</v>
      </c>
      <c r="B800" s="9">
        <f t="shared" ca="1" si="12"/>
        <v>0.73233575264180051</v>
      </c>
      <c r="C800" s="9" t="s">
        <v>23</v>
      </c>
    </row>
    <row r="801" spans="1:3" x14ac:dyDescent="0.2">
      <c r="A801" s="9">
        <v>799</v>
      </c>
      <c r="B801" s="9">
        <f t="shared" ca="1" si="12"/>
        <v>0.74557395983464803</v>
      </c>
      <c r="C801" s="9" t="s">
        <v>24</v>
      </c>
    </row>
    <row r="802" spans="1:3" x14ac:dyDescent="0.2">
      <c r="A802" s="9">
        <v>800</v>
      </c>
      <c r="B802" s="9">
        <f t="shared" ca="1" si="12"/>
        <v>0.5785111463109045</v>
      </c>
      <c r="C802" s="9" t="s">
        <v>24</v>
      </c>
    </row>
    <row r="803" spans="1:3" x14ac:dyDescent="0.2">
      <c r="A803" s="9">
        <v>801</v>
      </c>
      <c r="B803" s="9">
        <f t="shared" ca="1" si="12"/>
        <v>0.64952079555467923</v>
      </c>
      <c r="C803" s="9" t="s">
        <v>24</v>
      </c>
    </row>
    <row r="804" spans="1:3" x14ac:dyDescent="0.2">
      <c r="A804" s="9">
        <v>802</v>
      </c>
      <c r="B804" s="9">
        <f t="shared" ca="1" si="12"/>
        <v>0.66626762983020238</v>
      </c>
      <c r="C804" s="9" t="s">
        <v>24</v>
      </c>
    </row>
    <row r="805" spans="1:3" x14ac:dyDescent="0.2">
      <c r="A805" s="9">
        <v>803</v>
      </c>
      <c r="B805" s="9">
        <f t="shared" ca="1" si="12"/>
        <v>0.73027077146138808</v>
      </c>
      <c r="C805" s="9" t="s">
        <v>23</v>
      </c>
    </row>
    <row r="806" spans="1:3" x14ac:dyDescent="0.2">
      <c r="A806" s="9">
        <v>804</v>
      </c>
      <c r="B806" s="9">
        <f t="shared" ca="1" si="12"/>
        <v>0.44172511584872864</v>
      </c>
      <c r="C806" s="9" t="s">
        <v>24</v>
      </c>
    </row>
    <row r="807" spans="1:3" x14ac:dyDescent="0.2">
      <c r="A807" s="9">
        <v>805</v>
      </c>
      <c r="B807" s="9">
        <f t="shared" ca="1" si="12"/>
        <v>0.72574115098336012</v>
      </c>
      <c r="C807" s="9" t="s">
        <v>23</v>
      </c>
    </row>
    <row r="808" spans="1:3" x14ac:dyDescent="0.2">
      <c r="A808" s="9">
        <v>806</v>
      </c>
      <c r="B808" s="9">
        <f t="shared" ca="1" si="12"/>
        <v>0.39028040219594751</v>
      </c>
      <c r="C808" s="9" t="s">
        <v>24</v>
      </c>
    </row>
    <row r="809" spans="1:3" x14ac:dyDescent="0.2">
      <c r="A809" s="9">
        <v>807</v>
      </c>
      <c r="B809" s="9">
        <f t="shared" ca="1" si="12"/>
        <v>0.63889466033091491</v>
      </c>
      <c r="C809" s="9" t="s">
        <v>23</v>
      </c>
    </row>
    <row r="810" spans="1:3" x14ac:dyDescent="0.2">
      <c r="A810" s="9">
        <v>808</v>
      </c>
      <c r="B810" s="9">
        <f t="shared" ca="1" si="12"/>
        <v>0.68913323154026007</v>
      </c>
      <c r="C810" s="9" t="s">
        <v>23</v>
      </c>
    </row>
    <row r="811" spans="1:3" x14ac:dyDescent="0.2">
      <c r="A811" s="9">
        <v>809</v>
      </c>
      <c r="B811" s="9">
        <f t="shared" ca="1" si="12"/>
        <v>0.85667683126046867</v>
      </c>
      <c r="C811" s="9" t="s">
        <v>23</v>
      </c>
    </row>
    <row r="812" spans="1:3" x14ac:dyDescent="0.2">
      <c r="A812" s="9">
        <v>810</v>
      </c>
      <c r="B812" s="9">
        <f t="shared" ca="1" si="12"/>
        <v>0.70120402691205863</v>
      </c>
      <c r="C812" s="9" t="s">
        <v>23</v>
      </c>
    </row>
    <row r="813" spans="1:3" x14ac:dyDescent="0.2">
      <c r="A813" s="9">
        <v>811</v>
      </c>
      <c r="B813" s="9">
        <f t="shared" ca="1" si="12"/>
        <v>0.58614840454149519</v>
      </c>
      <c r="C813" s="9" t="s">
        <v>24</v>
      </c>
    </row>
    <row r="814" spans="1:3" x14ac:dyDescent="0.2">
      <c r="A814" s="9">
        <v>812</v>
      </c>
      <c r="B814" s="9">
        <f t="shared" ca="1" si="12"/>
        <v>0.72023078536550067</v>
      </c>
      <c r="C814" s="9" t="s">
        <v>23</v>
      </c>
    </row>
    <row r="815" spans="1:3" x14ac:dyDescent="0.2">
      <c r="A815" s="9">
        <v>813</v>
      </c>
      <c r="B815" s="9">
        <f t="shared" ca="1" si="12"/>
        <v>0.54490594669353931</v>
      </c>
      <c r="C815" s="9" t="s">
        <v>23</v>
      </c>
    </row>
    <row r="816" spans="1:3" x14ac:dyDescent="0.2">
      <c r="A816" s="9">
        <v>814</v>
      </c>
      <c r="B816" s="9">
        <f t="shared" ca="1" si="12"/>
        <v>0.46502440105525505</v>
      </c>
      <c r="C816" s="9" t="s">
        <v>24</v>
      </c>
    </row>
    <row r="817" spans="1:3" x14ac:dyDescent="0.2">
      <c r="A817" s="9">
        <v>815</v>
      </c>
      <c r="B817" s="9">
        <f t="shared" ca="1" si="12"/>
        <v>0.63613739387063806</v>
      </c>
      <c r="C817" s="9" t="s">
        <v>24</v>
      </c>
    </row>
    <row r="818" spans="1:3" x14ac:dyDescent="0.2">
      <c r="A818" s="9">
        <v>816</v>
      </c>
      <c r="B818" s="9">
        <f t="shared" ca="1" si="12"/>
        <v>0.55806563751752714</v>
      </c>
      <c r="C818" s="9" t="s">
        <v>24</v>
      </c>
    </row>
    <row r="819" spans="1:3" x14ac:dyDescent="0.2">
      <c r="A819" s="9">
        <v>817</v>
      </c>
      <c r="B819" s="9">
        <f t="shared" ca="1" si="12"/>
        <v>0.34003927998144412</v>
      </c>
      <c r="C819" s="9" t="s">
        <v>24</v>
      </c>
    </row>
    <row r="820" spans="1:3" x14ac:dyDescent="0.2">
      <c r="A820" s="9">
        <v>818</v>
      </c>
      <c r="B820" s="9">
        <f t="shared" ca="1" si="12"/>
        <v>0.75008543690972029</v>
      </c>
      <c r="C820" s="9" t="s">
        <v>24</v>
      </c>
    </row>
    <row r="821" spans="1:3" x14ac:dyDescent="0.2">
      <c r="A821" s="9">
        <v>819</v>
      </c>
      <c r="B821" s="9">
        <f t="shared" ca="1" si="12"/>
        <v>0.41688544548785189</v>
      </c>
      <c r="C821" s="9" t="s">
        <v>24</v>
      </c>
    </row>
    <row r="822" spans="1:3" x14ac:dyDescent="0.2">
      <c r="A822" s="9">
        <v>820</v>
      </c>
      <c r="B822" s="9">
        <f t="shared" ca="1" si="12"/>
        <v>0.55751177904539173</v>
      </c>
      <c r="C822" s="9" t="s">
        <v>24</v>
      </c>
    </row>
    <row r="823" spans="1:3" x14ac:dyDescent="0.2">
      <c r="A823" s="9">
        <v>821</v>
      </c>
      <c r="B823" s="9">
        <f t="shared" ca="1" si="12"/>
        <v>0.60456236955006726</v>
      </c>
      <c r="C823" s="9" t="s">
        <v>23</v>
      </c>
    </row>
    <row r="824" spans="1:3" x14ac:dyDescent="0.2">
      <c r="A824" s="9">
        <v>822</v>
      </c>
      <c r="B824" s="9">
        <f t="shared" ca="1" si="12"/>
        <v>0.5068077141379751</v>
      </c>
      <c r="C824" s="9" t="s">
        <v>24</v>
      </c>
    </row>
    <row r="825" spans="1:3" x14ac:dyDescent="0.2">
      <c r="A825" s="9">
        <v>823</v>
      </c>
      <c r="B825" s="9">
        <f t="shared" ca="1" si="12"/>
        <v>0.8419651269777868</v>
      </c>
      <c r="C825" s="9" t="s">
        <v>23</v>
      </c>
    </row>
    <row r="826" spans="1:3" x14ac:dyDescent="0.2">
      <c r="A826" s="9">
        <v>824</v>
      </c>
      <c r="B826" s="9">
        <f t="shared" ca="1" si="12"/>
        <v>0.79913732697569273</v>
      </c>
      <c r="C826" s="9" t="s">
        <v>23</v>
      </c>
    </row>
    <row r="827" spans="1:3" x14ac:dyDescent="0.2">
      <c r="A827" s="9">
        <v>825</v>
      </c>
      <c r="B827" s="9">
        <f t="shared" ca="1" si="12"/>
        <v>0.65831677493280483</v>
      </c>
      <c r="C827" s="9" t="s">
        <v>23</v>
      </c>
    </row>
    <row r="828" spans="1:3" x14ac:dyDescent="0.2">
      <c r="A828" s="9">
        <v>826</v>
      </c>
      <c r="B828" s="9">
        <f t="shared" ca="1" si="12"/>
        <v>0.44129646076415918</v>
      </c>
      <c r="C828" s="9" t="s">
        <v>24</v>
      </c>
    </row>
    <row r="829" spans="1:3" x14ac:dyDescent="0.2">
      <c r="A829" s="9">
        <v>827</v>
      </c>
      <c r="B829" s="9">
        <f t="shared" ca="1" si="12"/>
        <v>0.4358966773295887</v>
      </c>
      <c r="C829" s="9" t="s">
        <v>24</v>
      </c>
    </row>
    <row r="830" spans="1:3" x14ac:dyDescent="0.2">
      <c r="A830" s="9">
        <v>828</v>
      </c>
      <c r="B830" s="9">
        <f t="shared" ca="1" si="12"/>
        <v>0.62935015220676005</v>
      </c>
      <c r="C830" s="9" t="s">
        <v>24</v>
      </c>
    </row>
    <row r="831" spans="1:3" x14ac:dyDescent="0.2">
      <c r="A831" s="9">
        <v>829</v>
      </c>
      <c r="B831" s="9">
        <f t="shared" ca="1" si="12"/>
        <v>0.68115127425758226</v>
      </c>
      <c r="C831" s="9" t="s">
        <v>23</v>
      </c>
    </row>
    <row r="832" spans="1:3" x14ac:dyDescent="0.2">
      <c r="A832" s="9">
        <v>830</v>
      </c>
      <c r="B832" s="9">
        <f t="shared" ca="1" si="12"/>
        <v>0.49107190373005788</v>
      </c>
      <c r="C832" s="9" t="s">
        <v>24</v>
      </c>
    </row>
    <row r="833" spans="1:3" x14ac:dyDescent="0.2">
      <c r="A833" s="9">
        <v>831</v>
      </c>
      <c r="B833" s="9">
        <f t="shared" ca="1" si="12"/>
        <v>0.35620219711729206</v>
      </c>
      <c r="C833" s="9" t="s">
        <v>24</v>
      </c>
    </row>
    <row r="834" spans="1:3" x14ac:dyDescent="0.2">
      <c r="A834" s="9">
        <v>832</v>
      </c>
      <c r="B834" s="9">
        <f t="shared" ca="1" si="12"/>
        <v>0.82379877403596957</v>
      </c>
      <c r="C834" s="9" t="s">
        <v>24</v>
      </c>
    </row>
    <row r="835" spans="1:3" x14ac:dyDescent="0.2">
      <c r="A835" s="9">
        <v>833</v>
      </c>
      <c r="B835" s="9">
        <f t="shared" ca="1" si="12"/>
        <v>0.67130003600045851</v>
      </c>
      <c r="C835" s="9" t="s">
        <v>23</v>
      </c>
    </row>
    <row r="836" spans="1:3" x14ac:dyDescent="0.2">
      <c r="A836" s="9">
        <v>834</v>
      </c>
      <c r="B836" s="9">
        <f t="shared" ref="B836:B899" ca="1" si="13">IF(C836="Bomb",_xlfn.NORM.INV(RAND(),0.7,0.1),_xlfn.NORM.INV(RAND(),0.6,0.15))</f>
        <v>0.60446304576067211</v>
      </c>
      <c r="C836" s="9" t="s">
        <v>24</v>
      </c>
    </row>
    <row r="837" spans="1:3" x14ac:dyDescent="0.2">
      <c r="A837" s="9">
        <v>835</v>
      </c>
      <c r="B837" s="9">
        <f t="shared" ca="1" si="13"/>
        <v>0.73322506524994091</v>
      </c>
      <c r="C837" s="9" t="s">
        <v>23</v>
      </c>
    </row>
    <row r="838" spans="1:3" x14ac:dyDescent="0.2">
      <c r="A838" s="9">
        <v>836</v>
      </c>
      <c r="B838" s="9">
        <f t="shared" ca="1" si="13"/>
        <v>0.72638772640962357</v>
      </c>
      <c r="C838" s="9" t="s">
        <v>24</v>
      </c>
    </row>
    <row r="839" spans="1:3" x14ac:dyDescent="0.2">
      <c r="A839" s="9">
        <v>837</v>
      </c>
      <c r="B839" s="9">
        <f t="shared" ca="1" si="13"/>
        <v>0.79934368719535964</v>
      </c>
      <c r="C839" s="9" t="s">
        <v>23</v>
      </c>
    </row>
    <row r="840" spans="1:3" x14ac:dyDescent="0.2">
      <c r="A840" s="9">
        <v>838</v>
      </c>
      <c r="B840" s="9">
        <f t="shared" ca="1" si="13"/>
        <v>0.80676469980633148</v>
      </c>
      <c r="C840" s="9" t="s">
        <v>24</v>
      </c>
    </row>
    <row r="841" spans="1:3" x14ac:dyDescent="0.2">
      <c r="A841" s="9">
        <v>839</v>
      </c>
      <c r="B841" s="9">
        <f t="shared" ca="1" si="13"/>
        <v>0.59178835287615739</v>
      </c>
      <c r="C841" s="9" t="s">
        <v>23</v>
      </c>
    </row>
    <row r="842" spans="1:3" x14ac:dyDescent="0.2">
      <c r="A842" s="9">
        <v>840</v>
      </c>
      <c r="B842" s="9">
        <f t="shared" ca="1" si="13"/>
        <v>0.65146359262200115</v>
      </c>
      <c r="C842" s="9" t="s">
        <v>23</v>
      </c>
    </row>
    <row r="843" spans="1:3" x14ac:dyDescent="0.2">
      <c r="A843" s="9">
        <v>841</v>
      </c>
      <c r="B843" s="9">
        <f t="shared" ca="1" si="13"/>
        <v>0.7056866965753289</v>
      </c>
      <c r="C843" s="9" t="s">
        <v>23</v>
      </c>
    </row>
    <row r="844" spans="1:3" x14ac:dyDescent="0.2">
      <c r="A844" s="9">
        <v>842</v>
      </c>
      <c r="B844" s="9">
        <f t="shared" ca="1" si="13"/>
        <v>0.32146603592723311</v>
      </c>
      <c r="C844" s="9" t="s">
        <v>24</v>
      </c>
    </row>
    <row r="845" spans="1:3" x14ac:dyDescent="0.2">
      <c r="A845" s="9">
        <v>843</v>
      </c>
      <c r="B845" s="9">
        <f t="shared" ca="1" si="13"/>
        <v>0.59811315699430601</v>
      </c>
      <c r="C845" s="9" t="s">
        <v>24</v>
      </c>
    </row>
    <row r="846" spans="1:3" x14ac:dyDescent="0.2">
      <c r="A846" s="9">
        <v>844</v>
      </c>
      <c r="B846" s="9">
        <f t="shared" ca="1" si="13"/>
        <v>0.8418410862772856</v>
      </c>
      <c r="C846" s="9" t="s">
        <v>24</v>
      </c>
    </row>
    <row r="847" spans="1:3" x14ac:dyDescent="0.2">
      <c r="A847" s="9">
        <v>845</v>
      </c>
      <c r="B847" s="9">
        <f t="shared" ca="1" si="13"/>
        <v>0.63753627584881933</v>
      </c>
      <c r="C847" s="9" t="s">
        <v>24</v>
      </c>
    </row>
    <row r="848" spans="1:3" x14ac:dyDescent="0.2">
      <c r="A848" s="9">
        <v>846</v>
      </c>
      <c r="B848" s="9">
        <f t="shared" ca="1" si="13"/>
        <v>0.88129079142780409</v>
      </c>
      <c r="C848" s="9" t="s">
        <v>24</v>
      </c>
    </row>
    <row r="849" spans="1:3" x14ac:dyDescent="0.2">
      <c r="A849" s="9">
        <v>847</v>
      </c>
      <c r="B849" s="9">
        <f t="shared" ca="1" si="13"/>
        <v>0.78513441053038058</v>
      </c>
      <c r="C849" s="9" t="s">
        <v>23</v>
      </c>
    </row>
    <row r="850" spans="1:3" x14ac:dyDescent="0.2">
      <c r="A850" s="9">
        <v>848</v>
      </c>
      <c r="B850" s="9">
        <f t="shared" ca="1" si="13"/>
        <v>0.66029432259384491</v>
      </c>
      <c r="C850" s="9" t="s">
        <v>24</v>
      </c>
    </row>
    <row r="851" spans="1:3" x14ac:dyDescent="0.2">
      <c r="A851" s="9">
        <v>849</v>
      </c>
      <c r="B851" s="9">
        <f t="shared" ca="1" si="13"/>
        <v>0.72634101532157713</v>
      </c>
      <c r="C851" s="9" t="s">
        <v>23</v>
      </c>
    </row>
    <row r="852" spans="1:3" x14ac:dyDescent="0.2">
      <c r="A852" s="9">
        <v>850</v>
      </c>
      <c r="B852" s="9">
        <f t="shared" ca="1" si="13"/>
        <v>0.47008820363917159</v>
      </c>
      <c r="C852" s="9" t="s">
        <v>24</v>
      </c>
    </row>
    <row r="853" spans="1:3" x14ac:dyDescent="0.2">
      <c r="A853" s="9">
        <v>851</v>
      </c>
      <c r="B853" s="9">
        <f t="shared" ca="1" si="13"/>
        <v>0.60149843188795249</v>
      </c>
      <c r="C853" s="9" t="s">
        <v>24</v>
      </c>
    </row>
    <row r="854" spans="1:3" x14ac:dyDescent="0.2">
      <c r="A854" s="9">
        <v>852</v>
      </c>
      <c r="B854" s="9">
        <f t="shared" ca="1" si="13"/>
        <v>0.57200162226389617</v>
      </c>
      <c r="C854" s="9" t="s">
        <v>24</v>
      </c>
    </row>
    <row r="855" spans="1:3" x14ac:dyDescent="0.2">
      <c r="A855" s="9">
        <v>853</v>
      </c>
      <c r="B855" s="9">
        <f t="shared" ca="1" si="13"/>
        <v>0.82519332900969666</v>
      </c>
      <c r="C855" s="9" t="s">
        <v>24</v>
      </c>
    </row>
    <row r="856" spans="1:3" x14ac:dyDescent="0.2">
      <c r="A856" s="9">
        <v>854</v>
      </c>
      <c r="B856" s="9">
        <f t="shared" ca="1" si="13"/>
        <v>0.79552862279437431</v>
      </c>
      <c r="C856" s="9" t="s">
        <v>24</v>
      </c>
    </row>
    <row r="857" spans="1:3" x14ac:dyDescent="0.2">
      <c r="A857" s="9">
        <v>855</v>
      </c>
      <c r="B857" s="9">
        <f t="shared" ca="1" si="13"/>
        <v>0.73776722265184191</v>
      </c>
      <c r="C857" s="9" t="s">
        <v>23</v>
      </c>
    </row>
    <row r="858" spans="1:3" x14ac:dyDescent="0.2">
      <c r="A858" s="9">
        <v>856</v>
      </c>
      <c r="B858" s="9">
        <f t="shared" ca="1" si="13"/>
        <v>0.69751023918914934</v>
      </c>
      <c r="C858" s="9" t="s">
        <v>23</v>
      </c>
    </row>
    <row r="859" spans="1:3" x14ac:dyDescent="0.2">
      <c r="A859" s="9">
        <v>857</v>
      </c>
      <c r="B859" s="9">
        <f t="shared" ca="1" si="13"/>
        <v>0.47133440809175492</v>
      </c>
      <c r="C859" s="9" t="s">
        <v>24</v>
      </c>
    </row>
    <row r="860" spans="1:3" x14ac:dyDescent="0.2">
      <c r="A860" s="9">
        <v>858</v>
      </c>
      <c r="B860" s="9">
        <f t="shared" ca="1" si="13"/>
        <v>0.50412385285375727</v>
      </c>
      <c r="C860" s="9" t="s">
        <v>24</v>
      </c>
    </row>
    <row r="861" spans="1:3" x14ac:dyDescent="0.2">
      <c r="A861" s="9">
        <v>859</v>
      </c>
      <c r="B861" s="9">
        <f t="shared" ca="1" si="13"/>
        <v>0.9015549040331583</v>
      </c>
      <c r="C861" s="9" t="s">
        <v>24</v>
      </c>
    </row>
    <row r="862" spans="1:3" x14ac:dyDescent="0.2">
      <c r="A862" s="9">
        <v>860</v>
      </c>
      <c r="B862" s="9">
        <f t="shared" ca="1" si="13"/>
        <v>0.57838438151997262</v>
      </c>
      <c r="C862" s="9" t="s">
        <v>24</v>
      </c>
    </row>
    <row r="863" spans="1:3" x14ac:dyDescent="0.2">
      <c r="A863" s="9">
        <v>861</v>
      </c>
      <c r="B863" s="9">
        <f t="shared" ca="1" si="13"/>
        <v>0.72340274867420629</v>
      </c>
      <c r="C863" s="9" t="s">
        <v>23</v>
      </c>
    </row>
    <row r="864" spans="1:3" x14ac:dyDescent="0.2">
      <c r="A864" s="9">
        <v>862</v>
      </c>
      <c r="B864" s="9">
        <f t="shared" ca="1" si="13"/>
        <v>0.38670744921194855</v>
      </c>
      <c r="C864" s="9" t="s">
        <v>24</v>
      </c>
    </row>
    <row r="865" spans="1:3" x14ac:dyDescent="0.2">
      <c r="A865" s="9">
        <v>863</v>
      </c>
      <c r="B865" s="9">
        <f t="shared" ca="1" si="13"/>
        <v>0.93300913534446916</v>
      </c>
      <c r="C865" s="9" t="s">
        <v>24</v>
      </c>
    </row>
    <row r="866" spans="1:3" x14ac:dyDescent="0.2">
      <c r="A866" s="9">
        <v>864</v>
      </c>
      <c r="B866" s="9">
        <f t="shared" ca="1" si="13"/>
        <v>0.77102730588306345</v>
      </c>
      <c r="C866" s="9" t="s">
        <v>24</v>
      </c>
    </row>
    <row r="867" spans="1:3" x14ac:dyDescent="0.2">
      <c r="A867" s="9">
        <v>865</v>
      </c>
      <c r="B867" s="9">
        <f t="shared" ca="1" si="13"/>
        <v>0.41453809672112996</v>
      </c>
      <c r="C867" s="9" t="s">
        <v>24</v>
      </c>
    </row>
    <row r="868" spans="1:3" x14ac:dyDescent="0.2">
      <c r="A868" s="9">
        <v>866</v>
      </c>
      <c r="B868" s="9">
        <f t="shared" ca="1" si="13"/>
        <v>0.61536815162986158</v>
      </c>
      <c r="C868" s="9" t="s">
        <v>24</v>
      </c>
    </row>
    <row r="869" spans="1:3" x14ac:dyDescent="0.2">
      <c r="A869" s="9">
        <v>867</v>
      </c>
      <c r="B869" s="9">
        <f t="shared" ca="1" si="13"/>
        <v>0.44748052790208531</v>
      </c>
      <c r="C869" s="9" t="s">
        <v>24</v>
      </c>
    </row>
    <row r="870" spans="1:3" x14ac:dyDescent="0.2">
      <c r="A870" s="9">
        <v>868</v>
      </c>
      <c r="B870" s="9">
        <f t="shared" ca="1" si="13"/>
        <v>0.54430330109886249</v>
      </c>
      <c r="C870" s="9" t="s">
        <v>24</v>
      </c>
    </row>
    <row r="871" spans="1:3" x14ac:dyDescent="0.2">
      <c r="A871" s="9">
        <v>869</v>
      </c>
      <c r="B871" s="9">
        <f t="shared" ca="1" si="13"/>
        <v>0.81416697617791112</v>
      </c>
      <c r="C871" s="9" t="s">
        <v>24</v>
      </c>
    </row>
    <row r="872" spans="1:3" x14ac:dyDescent="0.2">
      <c r="A872" s="9">
        <v>870</v>
      </c>
      <c r="B872" s="9">
        <f t="shared" ca="1" si="13"/>
        <v>0.78189534512779291</v>
      </c>
      <c r="C872" s="9" t="s">
        <v>24</v>
      </c>
    </row>
    <row r="873" spans="1:3" x14ac:dyDescent="0.2">
      <c r="A873" s="9">
        <v>871</v>
      </c>
      <c r="B873" s="9">
        <f t="shared" ca="1" si="13"/>
        <v>0.59566303037167456</v>
      </c>
      <c r="C873" s="9" t="s">
        <v>23</v>
      </c>
    </row>
    <row r="874" spans="1:3" x14ac:dyDescent="0.2">
      <c r="A874" s="9">
        <v>872</v>
      </c>
      <c r="B874" s="9">
        <f t="shared" ca="1" si="13"/>
        <v>0.73664035275030915</v>
      </c>
      <c r="C874" s="9" t="s">
        <v>23</v>
      </c>
    </row>
    <row r="875" spans="1:3" x14ac:dyDescent="0.2">
      <c r="A875" s="9">
        <v>873</v>
      </c>
      <c r="B875" s="9">
        <f t="shared" ca="1" si="13"/>
        <v>0.74211593748732996</v>
      </c>
      <c r="C875" s="9" t="s">
        <v>23</v>
      </c>
    </row>
    <row r="876" spans="1:3" x14ac:dyDescent="0.2">
      <c r="A876" s="9">
        <v>874</v>
      </c>
      <c r="B876" s="9">
        <f t="shared" ca="1" si="13"/>
        <v>0.34936731823512762</v>
      </c>
      <c r="C876" s="9" t="s">
        <v>24</v>
      </c>
    </row>
    <row r="877" spans="1:3" x14ac:dyDescent="0.2">
      <c r="A877" s="9">
        <v>875</v>
      </c>
      <c r="B877" s="9">
        <f t="shared" ca="1" si="13"/>
        <v>0.37596770549578862</v>
      </c>
      <c r="C877" s="9" t="s">
        <v>24</v>
      </c>
    </row>
    <row r="878" spans="1:3" x14ac:dyDescent="0.2">
      <c r="A878" s="9">
        <v>876</v>
      </c>
      <c r="B878" s="9">
        <f t="shared" ca="1" si="13"/>
        <v>0.64996462388063647</v>
      </c>
      <c r="C878" s="9" t="s">
        <v>23</v>
      </c>
    </row>
    <row r="879" spans="1:3" x14ac:dyDescent="0.2">
      <c r="A879" s="9">
        <v>877</v>
      </c>
      <c r="B879" s="9">
        <f t="shared" ca="1" si="13"/>
        <v>0.73687967220958239</v>
      </c>
      <c r="C879" s="9" t="s">
        <v>24</v>
      </c>
    </row>
    <row r="880" spans="1:3" x14ac:dyDescent="0.2">
      <c r="A880" s="9">
        <v>878</v>
      </c>
      <c r="B880" s="9">
        <f t="shared" ca="1" si="13"/>
        <v>0.58131695127659511</v>
      </c>
      <c r="C880" s="9" t="s">
        <v>24</v>
      </c>
    </row>
    <row r="881" spans="1:3" x14ac:dyDescent="0.2">
      <c r="A881" s="9">
        <v>879</v>
      </c>
      <c r="B881" s="9">
        <f t="shared" ca="1" si="13"/>
        <v>0.87032577108188325</v>
      </c>
      <c r="C881" s="9" t="s">
        <v>23</v>
      </c>
    </row>
    <row r="882" spans="1:3" x14ac:dyDescent="0.2">
      <c r="A882" s="9">
        <v>880</v>
      </c>
      <c r="B882" s="9">
        <f t="shared" ca="1" si="13"/>
        <v>0.46521411148481845</v>
      </c>
      <c r="C882" s="9" t="s">
        <v>23</v>
      </c>
    </row>
    <row r="883" spans="1:3" x14ac:dyDescent="0.2">
      <c r="A883" s="9">
        <v>881</v>
      </c>
      <c r="B883" s="9">
        <f t="shared" ca="1" si="13"/>
        <v>0.7231118037431814</v>
      </c>
      <c r="C883" s="9" t="s">
        <v>23</v>
      </c>
    </row>
    <row r="884" spans="1:3" x14ac:dyDescent="0.2">
      <c r="A884" s="9">
        <v>882</v>
      </c>
      <c r="B884" s="9">
        <f t="shared" ca="1" si="13"/>
        <v>0.61098561120193851</v>
      </c>
      <c r="C884" s="9" t="s">
        <v>23</v>
      </c>
    </row>
    <row r="885" spans="1:3" x14ac:dyDescent="0.2">
      <c r="A885" s="9">
        <v>883</v>
      </c>
      <c r="B885" s="9">
        <f t="shared" ca="1" si="13"/>
        <v>0.579858166503184</v>
      </c>
      <c r="C885" s="9" t="s">
        <v>24</v>
      </c>
    </row>
    <row r="886" spans="1:3" x14ac:dyDescent="0.2">
      <c r="A886" s="9">
        <v>884</v>
      </c>
      <c r="B886" s="9">
        <f t="shared" ca="1" si="13"/>
        <v>0.65317153735593747</v>
      </c>
      <c r="C886" s="9" t="s">
        <v>24</v>
      </c>
    </row>
    <row r="887" spans="1:3" x14ac:dyDescent="0.2">
      <c r="A887" s="9">
        <v>885</v>
      </c>
      <c r="B887" s="9">
        <f t="shared" ca="1" si="13"/>
        <v>0.55079538944343231</v>
      </c>
      <c r="C887" s="9" t="s">
        <v>24</v>
      </c>
    </row>
    <row r="888" spans="1:3" x14ac:dyDescent="0.2">
      <c r="A888" s="9">
        <v>886</v>
      </c>
      <c r="B888" s="9">
        <f t="shared" ca="1" si="13"/>
        <v>0.76633793088079405</v>
      </c>
      <c r="C888" s="9" t="s">
        <v>23</v>
      </c>
    </row>
    <row r="889" spans="1:3" x14ac:dyDescent="0.2">
      <c r="A889" s="9">
        <v>887</v>
      </c>
      <c r="B889" s="9">
        <f t="shared" ca="1" si="13"/>
        <v>0.76155237227871031</v>
      </c>
      <c r="C889" s="9" t="s">
        <v>23</v>
      </c>
    </row>
    <row r="890" spans="1:3" x14ac:dyDescent="0.2">
      <c r="A890" s="9">
        <v>888</v>
      </c>
      <c r="B890" s="9">
        <f t="shared" ca="1" si="13"/>
        <v>0.65219303072721124</v>
      </c>
      <c r="C890" s="9" t="s">
        <v>23</v>
      </c>
    </row>
    <row r="891" spans="1:3" x14ac:dyDescent="0.2">
      <c r="A891" s="9">
        <v>889</v>
      </c>
      <c r="B891" s="9">
        <f t="shared" ca="1" si="13"/>
        <v>0.61761447352415977</v>
      </c>
      <c r="C891" s="9" t="s">
        <v>24</v>
      </c>
    </row>
    <row r="892" spans="1:3" x14ac:dyDescent="0.2">
      <c r="A892" s="9">
        <v>890</v>
      </c>
      <c r="B892" s="9">
        <f t="shared" ca="1" si="13"/>
        <v>0.45058001524494029</v>
      </c>
      <c r="C892" s="9" t="s">
        <v>24</v>
      </c>
    </row>
    <row r="893" spans="1:3" x14ac:dyDescent="0.2">
      <c r="A893" s="9">
        <v>891</v>
      </c>
      <c r="B893" s="9">
        <f t="shared" ca="1" si="13"/>
        <v>0.55843000187128788</v>
      </c>
      <c r="C893" s="9" t="s">
        <v>24</v>
      </c>
    </row>
    <row r="894" spans="1:3" x14ac:dyDescent="0.2">
      <c r="A894" s="9">
        <v>892</v>
      </c>
      <c r="B894" s="9">
        <f t="shared" ca="1" si="13"/>
        <v>0.9458051724334412</v>
      </c>
      <c r="C894" s="9" t="s">
        <v>23</v>
      </c>
    </row>
    <row r="895" spans="1:3" x14ac:dyDescent="0.2">
      <c r="A895" s="9">
        <v>893</v>
      </c>
      <c r="B895" s="9">
        <f t="shared" ca="1" si="13"/>
        <v>0.57059903142261126</v>
      </c>
      <c r="C895" s="9" t="s">
        <v>24</v>
      </c>
    </row>
    <row r="896" spans="1:3" x14ac:dyDescent="0.2">
      <c r="A896" s="9">
        <v>894</v>
      </c>
      <c r="B896" s="9">
        <f t="shared" ca="1" si="13"/>
        <v>0.62127185697783638</v>
      </c>
      <c r="C896" s="9" t="s">
        <v>23</v>
      </c>
    </row>
    <row r="897" spans="1:3" x14ac:dyDescent="0.2">
      <c r="A897" s="9">
        <v>895</v>
      </c>
      <c r="B897" s="9">
        <f t="shared" ca="1" si="13"/>
        <v>0.39379956797097465</v>
      </c>
      <c r="C897" s="9" t="s">
        <v>24</v>
      </c>
    </row>
    <row r="898" spans="1:3" x14ac:dyDescent="0.2">
      <c r="A898" s="9">
        <v>896</v>
      </c>
      <c r="B898" s="9">
        <f t="shared" ca="1" si="13"/>
        <v>0.88858028022344271</v>
      </c>
      <c r="C898" s="9" t="s">
        <v>23</v>
      </c>
    </row>
    <row r="899" spans="1:3" x14ac:dyDescent="0.2">
      <c r="A899" s="9">
        <v>897</v>
      </c>
      <c r="B899" s="9">
        <f t="shared" ca="1" si="13"/>
        <v>0.59501663546281636</v>
      </c>
      <c r="C899" s="9" t="s">
        <v>23</v>
      </c>
    </row>
    <row r="900" spans="1:3" x14ac:dyDescent="0.2">
      <c r="A900" s="9">
        <v>898</v>
      </c>
      <c r="B900" s="9">
        <f t="shared" ref="B900:B963" ca="1" si="14">IF(C900="Bomb",_xlfn.NORM.INV(RAND(),0.7,0.1),_xlfn.NORM.INV(RAND(),0.6,0.15))</f>
        <v>0.71808704177052163</v>
      </c>
      <c r="C900" s="9" t="s">
        <v>23</v>
      </c>
    </row>
    <row r="901" spans="1:3" x14ac:dyDescent="0.2">
      <c r="A901" s="9">
        <v>899</v>
      </c>
      <c r="B901" s="9">
        <f t="shared" ca="1" si="14"/>
        <v>0.70200580623815545</v>
      </c>
      <c r="C901" s="9" t="s">
        <v>24</v>
      </c>
    </row>
    <row r="902" spans="1:3" x14ac:dyDescent="0.2">
      <c r="A902" s="9">
        <v>900</v>
      </c>
      <c r="B902" s="9">
        <f t="shared" ca="1" si="14"/>
        <v>0.80885313640183631</v>
      </c>
      <c r="C902" s="9" t="s">
        <v>23</v>
      </c>
    </row>
    <row r="903" spans="1:3" x14ac:dyDescent="0.2">
      <c r="A903" s="9">
        <v>901</v>
      </c>
      <c r="B903" s="9">
        <f t="shared" ca="1" si="14"/>
        <v>0.80029195195310898</v>
      </c>
      <c r="C903" s="9" t="s">
        <v>23</v>
      </c>
    </row>
    <row r="904" spans="1:3" x14ac:dyDescent="0.2">
      <c r="A904" s="9">
        <v>902</v>
      </c>
      <c r="B904" s="9">
        <f t="shared" ca="1" si="14"/>
        <v>0.71074717932376219</v>
      </c>
      <c r="C904" s="9" t="s">
        <v>23</v>
      </c>
    </row>
    <row r="905" spans="1:3" x14ac:dyDescent="0.2">
      <c r="A905" s="9">
        <v>903</v>
      </c>
      <c r="B905" s="9">
        <f t="shared" ca="1" si="14"/>
        <v>0.58363495681962763</v>
      </c>
      <c r="C905" s="9" t="s">
        <v>23</v>
      </c>
    </row>
    <row r="906" spans="1:3" x14ac:dyDescent="0.2">
      <c r="A906" s="9">
        <v>904</v>
      </c>
      <c r="B906" s="9">
        <f t="shared" ca="1" si="14"/>
        <v>0.81053394693703207</v>
      </c>
      <c r="C906" s="9" t="s">
        <v>23</v>
      </c>
    </row>
    <row r="907" spans="1:3" x14ac:dyDescent="0.2">
      <c r="A907" s="9">
        <v>905</v>
      </c>
      <c r="B907" s="9">
        <f t="shared" ca="1" si="14"/>
        <v>0.73124314795333956</v>
      </c>
      <c r="C907" s="9" t="s">
        <v>24</v>
      </c>
    </row>
    <row r="908" spans="1:3" x14ac:dyDescent="0.2">
      <c r="A908" s="9">
        <v>906</v>
      </c>
      <c r="B908" s="9">
        <f t="shared" ca="1" si="14"/>
        <v>0.52253266664044684</v>
      </c>
      <c r="C908" s="9" t="s">
        <v>24</v>
      </c>
    </row>
    <row r="909" spans="1:3" x14ac:dyDescent="0.2">
      <c r="A909" s="9">
        <v>907</v>
      </c>
      <c r="B909" s="9">
        <f t="shared" ca="1" si="14"/>
        <v>0.72868511240515799</v>
      </c>
      <c r="C909" s="9" t="s">
        <v>24</v>
      </c>
    </row>
    <row r="910" spans="1:3" x14ac:dyDescent="0.2">
      <c r="A910" s="9">
        <v>908</v>
      </c>
      <c r="B910" s="9">
        <f t="shared" ca="1" si="14"/>
        <v>0.29698960267892294</v>
      </c>
      <c r="C910" s="9" t="s">
        <v>24</v>
      </c>
    </row>
    <row r="911" spans="1:3" x14ac:dyDescent="0.2">
      <c r="A911" s="9">
        <v>909</v>
      </c>
      <c r="B911" s="9">
        <f t="shared" ca="1" si="14"/>
        <v>0.65443324700894667</v>
      </c>
      <c r="C911" s="9" t="s">
        <v>24</v>
      </c>
    </row>
    <row r="912" spans="1:3" x14ac:dyDescent="0.2">
      <c r="A912" s="9">
        <v>910</v>
      </c>
      <c r="B912" s="9">
        <f t="shared" ca="1" si="14"/>
        <v>0.76130797152058693</v>
      </c>
      <c r="C912" s="9" t="s">
        <v>23</v>
      </c>
    </row>
    <row r="913" spans="1:3" x14ac:dyDescent="0.2">
      <c r="A913" s="9">
        <v>911</v>
      </c>
      <c r="B913" s="9">
        <f t="shared" ca="1" si="14"/>
        <v>0.6367328948611658</v>
      </c>
      <c r="C913" s="9" t="s">
        <v>24</v>
      </c>
    </row>
    <row r="914" spans="1:3" x14ac:dyDescent="0.2">
      <c r="A914" s="9">
        <v>912</v>
      </c>
      <c r="B914" s="9">
        <f t="shared" ca="1" si="14"/>
        <v>0.38917031537721058</v>
      </c>
      <c r="C914" s="9" t="s">
        <v>24</v>
      </c>
    </row>
    <row r="915" spans="1:3" x14ac:dyDescent="0.2">
      <c r="A915" s="9">
        <v>913</v>
      </c>
      <c r="B915" s="9">
        <f t="shared" ca="1" si="14"/>
        <v>0.63311134184444584</v>
      </c>
      <c r="C915" s="9" t="s">
        <v>24</v>
      </c>
    </row>
    <row r="916" spans="1:3" x14ac:dyDescent="0.2">
      <c r="A916" s="9">
        <v>914</v>
      </c>
      <c r="B916" s="9">
        <f t="shared" ca="1" si="14"/>
        <v>0.86808827125995125</v>
      </c>
      <c r="C916" s="9" t="s">
        <v>23</v>
      </c>
    </row>
    <row r="917" spans="1:3" x14ac:dyDescent="0.2">
      <c r="A917" s="9">
        <v>915</v>
      </c>
      <c r="B917" s="9">
        <f t="shared" ca="1" si="14"/>
        <v>0.56011581991097759</v>
      </c>
      <c r="C917" s="9" t="s">
        <v>24</v>
      </c>
    </row>
    <row r="918" spans="1:3" x14ac:dyDescent="0.2">
      <c r="A918" s="9">
        <v>916</v>
      </c>
      <c r="B918" s="9">
        <f t="shared" ca="1" si="14"/>
        <v>0.60579920360819262</v>
      </c>
      <c r="C918" s="9" t="s">
        <v>23</v>
      </c>
    </row>
    <row r="919" spans="1:3" x14ac:dyDescent="0.2">
      <c r="A919" s="9">
        <v>917</v>
      </c>
      <c r="B919" s="9">
        <f t="shared" ca="1" si="14"/>
        <v>0.53288729799506185</v>
      </c>
      <c r="C919" s="9" t="s">
        <v>24</v>
      </c>
    </row>
    <row r="920" spans="1:3" x14ac:dyDescent="0.2">
      <c r="A920" s="9">
        <v>918</v>
      </c>
      <c r="B920" s="9">
        <f t="shared" ca="1" si="14"/>
        <v>0.88507514487766781</v>
      </c>
      <c r="C920" s="9" t="s">
        <v>23</v>
      </c>
    </row>
    <row r="921" spans="1:3" x14ac:dyDescent="0.2">
      <c r="A921" s="9">
        <v>919</v>
      </c>
      <c r="B921" s="9">
        <f t="shared" ca="1" si="14"/>
        <v>0.47042870659132491</v>
      </c>
      <c r="C921" s="9" t="s">
        <v>24</v>
      </c>
    </row>
    <row r="922" spans="1:3" x14ac:dyDescent="0.2">
      <c r="A922" s="9">
        <v>920</v>
      </c>
      <c r="B922" s="9">
        <f t="shared" ca="1" si="14"/>
        <v>0.75838651277933988</v>
      </c>
      <c r="C922" s="9" t="s">
        <v>23</v>
      </c>
    </row>
    <row r="923" spans="1:3" x14ac:dyDescent="0.2">
      <c r="A923" s="9">
        <v>921</v>
      </c>
      <c r="B923" s="9">
        <f t="shared" ca="1" si="14"/>
        <v>0.57085869038727155</v>
      </c>
      <c r="C923" s="9" t="s">
        <v>23</v>
      </c>
    </row>
    <row r="924" spans="1:3" x14ac:dyDescent="0.2">
      <c r="A924" s="9">
        <v>922</v>
      </c>
      <c r="B924" s="9">
        <f t="shared" ca="1" si="14"/>
        <v>0.55430929999944456</v>
      </c>
      <c r="C924" s="9" t="s">
        <v>24</v>
      </c>
    </row>
    <row r="925" spans="1:3" x14ac:dyDescent="0.2">
      <c r="A925" s="9">
        <v>923</v>
      </c>
      <c r="B925" s="9">
        <f t="shared" ca="1" si="14"/>
        <v>0.80238326033597329</v>
      </c>
      <c r="C925" s="9" t="s">
        <v>24</v>
      </c>
    </row>
    <row r="926" spans="1:3" x14ac:dyDescent="0.2">
      <c r="A926" s="9">
        <v>924</v>
      </c>
      <c r="B926" s="9">
        <f t="shared" ca="1" si="14"/>
        <v>0.57502464988897306</v>
      </c>
      <c r="C926" s="9" t="s">
        <v>24</v>
      </c>
    </row>
    <row r="927" spans="1:3" x14ac:dyDescent="0.2">
      <c r="A927" s="9">
        <v>925</v>
      </c>
      <c r="B927" s="9">
        <f t="shared" ca="1" si="14"/>
        <v>0.51818737042509944</v>
      </c>
      <c r="C927" s="9" t="s">
        <v>23</v>
      </c>
    </row>
    <row r="928" spans="1:3" x14ac:dyDescent="0.2">
      <c r="A928" s="9">
        <v>926</v>
      </c>
      <c r="B928" s="9">
        <f t="shared" ca="1" si="14"/>
        <v>0.6703056368740673</v>
      </c>
      <c r="C928" s="9" t="s">
        <v>23</v>
      </c>
    </row>
    <row r="929" spans="1:3" x14ac:dyDescent="0.2">
      <c r="A929" s="9">
        <v>927</v>
      </c>
      <c r="B929" s="9">
        <f t="shared" ca="1" si="14"/>
        <v>0.53584458467598173</v>
      </c>
      <c r="C929" s="9" t="s">
        <v>23</v>
      </c>
    </row>
    <row r="930" spans="1:3" x14ac:dyDescent="0.2">
      <c r="A930" s="9">
        <v>928</v>
      </c>
      <c r="B930" s="9">
        <f t="shared" ca="1" si="14"/>
        <v>0.64616967320351648</v>
      </c>
      <c r="C930" s="9" t="s">
        <v>23</v>
      </c>
    </row>
    <row r="931" spans="1:3" x14ac:dyDescent="0.2">
      <c r="A931" s="9">
        <v>929</v>
      </c>
      <c r="B931" s="9">
        <f t="shared" ca="1" si="14"/>
        <v>0.74384264339550477</v>
      </c>
      <c r="C931" s="9" t="s">
        <v>23</v>
      </c>
    </row>
    <row r="932" spans="1:3" x14ac:dyDescent="0.2">
      <c r="A932" s="9">
        <v>930</v>
      </c>
      <c r="B932" s="9">
        <f t="shared" ca="1" si="14"/>
        <v>0.60020538753779984</v>
      </c>
      <c r="C932" s="9" t="s">
        <v>23</v>
      </c>
    </row>
    <row r="933" spans="1:3" x14ac:dyDescent="0.2">
      <c r="A933" s="9">
        <v>931</v>
      </c>
      <c r="B933" s="9">
        <f t="shared" ca="1" si="14"/>
        <v>0.42747376576542845</v>
      </c>
      <c r="C933" s="9" t="s">
        <v>24</v>
      </c>
    </row>
    <row r="934" spans="1:3" x14ac:dyDescent="0.2">
      <c r="A934" s="9">
        <v>932</v>
      </c>
      <c r="B934" s="9">
        <f t="shared" ca="1" si="14"/>
        <v>0.73921387079068157</v>
      </c>
      <c r="C934" s="9" t="s">
        <v>23</v>
      </c>
    </row>
    <row r="935" spans="1:3" x14ac:dyDescent="0.2">
      <c r="A935" s="9">
        <v>933</v>
      </c>
      <c r="B935" s="9">
        <f t="shared" ca="1" si="14"/>
        <v>0.56417772533055932</v>
      </c>
      <c r="C935" s="9" t="s">
        <v>24</v>
      </c>
    </row>
    <row r="936" spans="1:3" x14ac:dyDescent="0.2">
      <c r="A936" s="9">
        <v>934</v>
      </c>
      <c r="B936" s="9">
        <f t="shared" ca="1" si="14"/>
        <v>0.71988606673328137</v>
      </c>
      <c r="C936" s="9" t="s">
        <v>23</v>
      </c>
    </row>
    <row r="937" spans="1:3" x14ac:dyDescent="0.2">
      <c r="A937" s="9">
        <v>935</v>
      </c>
      <c r="B937" s="9">
        <f t="shared" ca="1" si="14"/>
        <v>0.53687769136629826</v>
      </c>
      <c r="C937" s="9" t="s">
        <v>23</v>
      </c>
    </row>
    <row r="938" spans="1:3" x14ac:dyDescent="0.2">
      <c r="A938" s="9">
        <v>936</v>
      </c>
      <c r="B938" s="9">
        <f t="shared" ca="1" si="14"/>
        <v>0.57312189031213945</v>
      </c>
      <c r="C938" s="9" t="s">
        <v>24</v>
      </c>
    </row>
    <row r="939" spans="1:3" x14ac:dyDescent="0.2">
      <c r="A939" s="9">
        <v>937</v>
      </c>
      <c r="B939" s="9">
        <f t="shared" ca="1" si="14"/>
        <v>0.38420804173527179</v>
      </c>
      <c r="C939" s="9" t="s">
        <v>24</v>
      </c>
    </row>
    <row r="940" spans="1:3" x14ac:dyDescent="0.2">
      <c r="A940" s="9">
        <v>938</v>
      </c>
      <c r="B940" s="9">
        <f t="shared" ca="1" si="14"/>
        <v>0.84785563034728717</v>
      </c>
      <c r="C940" s="9" t="s">
        <v>23</v>
      </c>
    </row>
    <row r="941" spans="1:3" x14ac:dyDescent="0.2">
      <c r="A941" s="9">
        <v>939</v>
      </c>
      <c r="B941" s="9">
        <f t="shared" ca="1" si="14"/>
        <v>0.6841125093774334</v>
      </c>
      <c r="C941" s="9" t="s">
        <v>23</v>
      </c>
    </row>
    <row r="942" spans="1:3" x14ac:dyDescent="0.2">
      <c r="A942" s="9">
        <v>940</v>
      </c>
      <c r="B942" s="9">
        <f t="shared" ca="1" si="14"/>
        <v>0.7960028917662636</v>
      </c>
      <c r="C942" s="9" t="s">
        <v>24</v>
      </c>
    </row>
    <row r="943" spans="1:3" x14ac:dyDescent="0.2">
      <c r="A943" s="9">
        <v>941</v>
      </c>
      <c r="B943" s="9">
        <f t="shared" ca="1" si="14"/>
        <v>0.50505058692422544</v>
      </c>
      <c r="C943" s="9" t="s">
        <v>24</v>
      </c>
    </row>
    <row r="944" spans="1:3" x14ac:dyDescent="0.2">
      <c r="A944" s="9">
        <v>942</v>
      </c>
      <c r="B944" s="9">
        <f t="shared" ca="1" si="14"/>
        <v>0.26042249551476965</v>
      </c>
      <c r="C944" s="9" t="s">
        <v>24</v>
      </c>
    </row>
    <row r="945" spans="1:3" x14ac:dyDescent="0.2">
      <c r="A945" s="9">
        <v>943</v>
      </c>
      <c r="B945" s="9">
        <f t="shared" ca="1" si="14"/>
        <v>0.6423194077582407</v>
      </c>
      <c r="C945" s="9" t="s">
        <v>24</v>
      </c>
    </row>
    <row r="946" spans="1:3" x14ac:dyDescent="0.2">
      <c r="A946" s="9">
        <v>944</v>
      </c>
      <c r="B946" s="9">
        <f t="shared" ca="1" si="14"/>
        <v>0.62755456404260468</v>
      </c>
      <c r="C946" s="9" t="s">
        <v>24</v>
      </c>
    </row>
    <row r="947" spans="1:3" x14ac:dyDescent="0.2">
      <c r="A947" s="9">
        <v>945</v>
      </c>
      <c r="B947" s="9">
        <f t="shared" ca="1" si="14"/>
        <v>0.53040419924699811</v>
      </c>
      <c r="C947" s="9" t="s">
        <v>23</v>
      </c>
    </row>
    <row r="948" spans="1:3" x14ac:dyDescent="0.2">
      <c r="A948" s="9">
        <v>946</v>
      </c>
      <c r="B948" s="9">
        <f t="shared" ca="1" si="14"/>
        <v>0.58134682512329572</v>
      </c>
      <c r="C948" s="9" t="s">
        <v>24</v>
      </c>
    </row>
    <row r="949" spans="1:3" x14ac:dyDescent="0.2">
      <c r="A949" s="9">
        <v>947</v>
      </c>
      <c r="B949" s="9">
        <f t="shared" ca="1" si="14"/>
        <v>0.73603778127456398</v>
      </c>
      <c r="C949" s="9" t="s">
        <v>23</v>
      </c>
    </row>
    <row r="950" spans="1:3" x14ac:dyDescent="0.2">
      <c r="A950" s="9">
        <v>948</v>
      </c>
      <c r="B950" s="9">
        <f t="shared" ca="1" si="14"/>
        <v>0.77120051550694102</v>
      </c>
      <c r="C950" s="9" t="s">
        <v>24</v>
      </c>
    </row>
    <row r="951" spans="1:3" x14ac:dyDescent="0.2">
      <c r="A951" s="9">
        <v>949</v>
      </c>
      <c r="B951" s="9">
        <f t="shared" ca="1" si="14"/>
        <v>0.39190609687400968</v>
      </c>
      <c r="C951" s="9" t="s">
        <v>23</v>
      </c>
    </row>
    <row r="952" spans="1:3" x14ac:dyDescent="0.2">
      <c r="A952" s="9">
        <v>950</v>
      </c>
      <c r="B952" s="9">
        <f t="shared" ca="1" si="14"/>
        <v>0.6750429731378319</v>
      </c>
      <c r="C952" s="9" t="s">
        <v>23</v>
      </c>
    </row>
    <row r="953" spans="1:3" x14ac:dyDescent="0.2">
      <c r="A953" s="9">
        <v>951</v>
      </c>
      <c r="B953" s="9">
        <f t="shared" ca="1" si="14"/>
        <v>0.21990955090730924</v>
      </c>
      <c r="C953" s="9" t="s">
        <v>24</v>
      </c>
    </row>
    <row r="954" spans="1:3" x14ac:dyDescent="0.2">
      <c r="A954" s="9">
        <v>952</v>
      </c>
      <c r="B954" s="9">
        <f t="shared" ca="1" si="14"/>
        <v>0.71066597309420698</v>
      </c>
      <c r="C954" s="9" t="s">
        <v>24</v>
      </c>
    </row>
    <row r="955" spans="1:3" x14ac:dyDescent="0.2">
      <c r="A955" s="9">
        <v>953</v>
      </c>
      <c r="B955" s="9">
        <f t="shared" ca="1" si="14"/>
        <v>0.68722832587424965</v>
      </c>
      <c r="C955" s="9" t="s">
        <v>23</v>
      </c>
    </row>
    <row r="956" spans="1:3" x14ac:dyDescent="0.2">
      <c r="A956" s="9">
        <v>954</v>
      </c>
      <c r="B956" s="9">
        <f t="shared" ca="1" si="14"/>
        <v>0.70145438051879161</v>
      </c>
      <c r="C956" s="9" t="s">
        <v>24</v>
      </c>
    </row>
    <row r="957" spans="1:3" x14ac:dyDescent="0.2">
      <c r="A957" s="9">
        <v>955</v>
      </c>
      <c r="B957" s="9">
        <f t="shared" ca="1" si="14"/>
        <v>0.69946980459430674</v>
      </c>
      <c r="C957" s="9" t="s">
        <v>23</v>
      </c>
    </row>
    <row r="958" spans="1:3" x14ac:dyDescent="0.2">
      <c r="A958" s="9">
        <v>956</v>
      </c>
      <c r="B958" s="9">
        <f t="shared" ca="1" si="14"/>
        <v>0.77480564164211707</v>
      </c>
      <c r="C958" s="9" t="s">
        <v>23</v>
      </c>
    </row>
    <row r="959" spans="1:3" x14ac:dyDescent="0.2">
      <c r="A959" s="9">
        <v>957</v>
      </c>
      <c r="B959" s="9">
        <f t="shared" ca="1" si="14"/>
        <v>0.56105146650975768</v>
      </c>
      <c r="C959" s="9" t="s">
        <v>24</v>
      </c>
    </row>
    <row r="960" spans="1:3" x14ac:dyDescent="0.2">
      <c r="A960" s="9">
        <v>958</v>
      </c>
      <c r="B960" s="9">
        <f t="shared" ca="1" si="14"/>
        <v>0.74201007824309395</v>
      </c>
      <c r="C960" s="9" t="s">
        <v>23</v>
      </c>
    </row>
    <row r="961" spans="1:3" x14ac:dyDescent="0.2">
      <c r="A961" s="9">
        <v>959</v>
      </c>
      <c r="B961" s="9">
        <f t="shared" ca="1" si="14"/>
        <v>0.34613110187240798</v>
      </c>
      <c r="C961" s="9" t="s">
        <v>24</v>
      </c>
    </row>
    <row r="962" spans="1:3" x14ac:dyDescent="0.2">
      <c r="A962" s="9">
        <v>960</v>
      </c>
      <c r="B962" s="9">
        <f t="shared" ca="1" si="14"/>
        <v>0.91122404266228751</v>
      </c>
      <c r="C962" s="9" t="s">
        <v>24</v>
      </c>
    </row>
    <row r="963" spans="1:3" x14ac:dyDescent="0.2">
      <c r="A963" s="9">
        <v>961</v>
      </c>
      <c r="B963" s="9">
        <f t="shared" ca="1" si="14"/>
        <v>0.63285340490498465</v>
      </c>
      <c r="C963" s="9" t="s">
        <v>23</v>
      </c>
    </row>
    <row r="964" spans="1:3" x14ac:dyDescent="0.2">
      <c r="A964" s="9">
        <v>962</v>
      </c>
      <c r="B964" s="9">
        <f t="shared" ref="B964:B1002" ca="1" si="15">IF(C964="Bomb",_xlfn.NORM.INV(RAND(),0.7,0.1),_xlfn.NORM.INV(RAND(),0.6,0.15))</f>
        <v>0.74554481735318667</v>
      </c>
      <c r="C964" s="9" t="s">
        <v>23</v>
      </c>
    </row>
    <row r="965" spans="1:3" x14ac:dyDescent="0.2">
      <c r="A965" s="9">
        <v>963</v>
      </c>
      <c r="B965" s="9">
        <f t="shared" ca="1" si="15"/>
        <v>0.55041693792853441</v>
      </c>
      <c r="C965" s="9" t="s">
        <v>23</v>
      </c>
    </row>
    <row r="966" spans="1:3" x14ac:dyDescent="0.2">
      <c r="A966" s="9">
        <v>964</v>
      </c>
      <c r="B966" s="9">
        <f t="shared" ca="1" si="15"/>
        <v>0.67569585092384499</v>
      </c>
      <c r="C966" s="9" t="s">
        <v>23</v>
      </c>
    </row>
    <row r="967" spans="1:3" x14ac:dyDescent="0.2">
      <c r="A967" s="9">
        <v>965</v>
      </c>
      <c r="B967" s="9">
        <f t="shared" ca="1" si="15"/>
        <v>0.71637382927532667</v>
      </c>
      <c r="C967" s="9" t="s">
        <v>23</v>
      </c>
    </row>
    <row r="968" spans="1:3" x14ac:dyDescent="0.2">
      <c r="A968" s="9">
        <v>966</v>
      </c>
      <c r="B968" s="9">
        <f t="shared" ca="1" si="15"/>
        <v>0.97766070758621204</v>
      </c>
      <c r="C968" s="9" t="s">
        <v>23</v>
      </c>
    </row>
    <row r="969" spans="1:3" x14ac:dyDescent="0.2">
      <c r="A969" s="9">
        <v>967</v>
      </c>
      <c r="B969" s="9">
        <f t="shared" ca="1" si="15"/>
        <v>0.72142906701458043</v>
      </c>
      <c r="C969" s="9" t="s">
        <v>23</v>
      </c>
    </row>
    <row r="970" spans="1:3" x14ac:dyDescent="0.2">
      <c r="A970" s="9">
        <v>968</v>
      </c>
      <c r="B970" s="9">
        <f t="shared" ca="1" si="15"/>
        <v>0.74122875334012139</v>
      </c>
      <c r="C970" s="9" t="s">
        <v>23</v>
      </c>
    </row>
    <row r="971" spans="1:3" x14ac:dyDescent="0.2">
      <c r="A971" s="9">
        <v>969</v>
      </c>
      <c r="B971" s="9">
        <f t="shared" ca="1" si="15"/>
        <v>0.83450035945856571</v>
      </c>
      <c r="C971" s="9" t="s">
        <v>24</v>
      </c>
    </row>
    <row r="972" spans="1:3" x14ac:dyDescent="0.2">
      <c r="A972" s="9">
        <v>970</v>
      </c>
      <c r="B972" s="9">
        <f t="shared" ca="1" si="15"/>
        <v>0.50768787922126879</v>
      </c>
      <c r="C972" s="9" t="s">
        <v>24</v>
      </c>
    </row>
    <row r="973" spans="1:3" x14ac:dyDescent="0.2">
      <c r="A973" s="9">
        <v>971</v>
      </c>
      <c r="B973" s="9">
        <f t="shared" ca="1" si="15"/>
        <v>0.84926507047523214</v>
      </c>
      <c r="C973" s="9" t="s">
        <v>23</v>
      </c>
    </row>
    <row r="974" spans="1:3" x14ac:dyDescent="0.2">
      <c r="A974" s="9">
        <v>972</v>
      </c>
      <c r="B974" s="9">
        <f t="shared" ca="1" si="15"/>
        <v>0.38878565575144719</v>
      </c>
      <c r="C974" s="9" t="s">
        <v>24</v>
      </c>
    </row>
    <row r="975" spans="1:3" x14ac:dyDescent="0.2">
      <c r="A975" s="9">
        <v>973</v>
      </c>
      <c r="B975" s="9">
        <f t="shared" ca="1" si="15"/>
        <v>0.69546219625114625</v>
      </c>
      <c r="C975" s="9" t="s">
        <v>23</v>
      </c>
    </row>
    <row r="976" spans="1:3" x14ac:dyDescent="0.2">
      <c r="A976" s="9">
        <v>974</v>
      </c>
      <c r="B976" s="9">
        <f t="shared" ca="1" si="15"/>
        <v>0.60584359938806509</v>
      </c>
      <c r="C976" s="9" t="s">
        <v>23</v>
      </c>
    </row>
    <row r="977" spans="1:3" x14ac:dyDescent="0.2">
      <c r="A977" s="9">
        <v>975</v>
      </c>
      <c r="B977" s="9">
        <f t="shared" ca="1" si="15"/>
        <v>0.7105859300579217</v>
      </c>
      <c r="C977" s="9" t="s">
        <v>23</v>
      </c>
    </row>
    <row r="978" spans="1:3" x14ac:dyDescent="0.2">
      <c r="A978" s="9">
        <v>976</v>
      </c>
      <c r="B978" s="9">
        <f t="shared" ca="1" si="15"/>
        <v>0.70724936834036312</v>
      </c>
      <c r="C978" s="9" t="s">
        <v>23</v>
      </c>
    </row>
    <row r="979" spans="1:3" x14ac:dyDescent="0.2">
      <c r="A979" s="9">
        <v>977</v>
      </c>
      <c r="B979" s="9">
        <f t="shared" ca="1" si="15"/>
        <v>0.78622131027818942</v>
      </c>
      <c r="C979" s="9" t="s">
        <v>23</v>
      </c>
    </row>
    <row r="980" spans="1:3" x14ac:dyDescent="0.2">
      <c r="A980" s="9">
        <v>978</v>
      </c>
      <c r="B980" s="9">
        <f t="shared" ca="1" si="15"/>
        <v>0.65174434020851657</v>
      </c>
      <c r="C980" s="9" t="s">
        <v>23</v>
      </c>
    </row>
    <row r="981" spans="1:3" x14ac:dyDescent="0.2">
      <c r="A981" s="9">
        <v>979</v>
      </c>
      <c r="B981" s="9">
        <f t="shared" ca="1" si="15"/>
        <v>0.4280372781127515</v>
      </c>
      <c r="C981" s="9" t="s">
        <v>23</v>
      </c>
    </row>
    <row r="982" spans="1:3" x14ac:dyDescent="0.2">
      <c r="A982" s="9">
        <v>980</v>
      </c>
      <c r="B982" s="9">
        <f t="shared" ca="1" si="15"/>
        <v>0.56152886792572676</v>
      </c>
      <c r="C982" s="9" t="s">
        <v>24</v>
      </c>
    </row>
    <row r="983" spans="1:3" x14ac:dyDescent="0.2">
      <c r="A983" s="9">
        <v>981</v>
      </c>
      <c r="B983" s="9">
        <f t="shared" ca="1" si="15"/>
        <v>0.44648082304515058</v>
      </c>
      <c r="C983" s="9" t="s">
        <v>24</v>
      </c>
    </row>
    <row r="984" spans="1:3" x14ac:dyDescent="0.2">
      <c r="A984" s="9">
        <v>982</v>
      </c>
      <c r="B984" s="9">
        <f t="shared" ca="1" si="15"/>
        <v>0.780105205724134</v>
      </c>
      <c r="C984" s="9" t="s">
        <v>23</v>
      </c>
    </row>
    <row r="985" spans="1:3" x14ac:dyDescent="0.2">
      <c r="A985" s="9">
        <v>983</v>
      </c>
      <c r="B985" s="9">
        <f t="shared" ca="1" si="15"/>
        <v>0.6732568239954716</v>
      </c>
      <c r="C985" s="9" t="s">
        <v>23</v>
      </c>
    </row>
    <row r="986" spans="1:3" x14ac:dyDescent="0.2">
      <c r="A986" s="9">
        <v>984</v>
      </c>
      <c r="B986" s="9">
        <f t="shared" ca="1" si="15"/>
        <v>0.6668426170285523</v>
      </c>
      <c r="C986" s="9" t="s">
        <v>24</v>
      </c>
    </row>
    <row r="987" spans="1:3" x14ac:dyDescent="0.2">
      <c r="A987" s="9">
        <v>985</v>
      </c>
      <c r="B987" s="9">
        <f t="shared" ca="1" si="15"/>
        <v>0.7139641369034968</v>
      </c>
      <c r="C987" s="9" t="s">
        <v>24</v>
      </c>
    </row>
    <row r="988" spans="1:3" x14ac:dyDescent="0.2">
      <c r="A988" s="9">
        <v>986</v>
      </c>
      <c r="B988" s="9">
        <f t="shared" ca="1" si="15"/>
        <v>0.63683895301212645</v>
      </c>
      <c r="C988" s="9" t="s">
        <v>23</v>
      </c>
    </row>
    <row r="989" spans="1:3" x14ac:dyDescent="0.2">
      <c r="A989" s="9">
        <v>987</v>
      </c>
      <c r="B989" s="9">
        <f t="shared" ca="1" si="15"/>
        <v>0.84326016074064747</v>
      </c>
      <c r="C989" s="9" t="s">
        <v>24</v>
      </c>
    </row>
    <row r="990" spans="1:3" x14ac:dyDescent="0.2">
      <c r="A990" s="9">
        <v>988</v>
      </c>
      <c r="B990" s="9">
        <f t="shared" ca="1" si="15"/>
        <v>0.51392538878096106</v>
      </c>
      <c r="C990" s="9" t="s">
        <v>24</v>
      </c>
    </row>
    <row r="991" spans="1:3" x14ac:dyDescent="0.2">
      <c r="A991" s="9">
        <v>989</v>
      </c>
      <c r="B991" s="9">
        <f t="shared" ca="1" si="15"/>
        <v>0.58605200196349594</v>
      </c>
      <c r="C991" s="9" t="s">
        <v>23</v>
      </c>
    </row>
    <row r="992" spans="1:3" x14ac:dyDescent="0.2">
      <c r="A992" s="9">
        <v>990</v>
      </c>
      <c r="B992" s="9">
        <f t="shared" ca="1" si="15"/>
        <v>0.49896340723150984</v>
      </c>
      <c r="C992" s="9" t="s">
        <v>24</v>
      </c>
    </row>
    <row r="993" spans="1:3" x14ac:dyDescent="0.2">
      <c r="A993" s="9">
        <v>991</v>
      </c>
      <c r="B993" s="9">
        <f t="shared" ca="1" si="15"/>
        <v>0.56837877173883</v>
      </c>
      <c r="C993" s="9" t="s">
        <v>23</v>
      </c>
    </row>
    <row r="994" spans="1:3" x14ac:dyDescent="0.2">
      <c r="A994" s="9">
        <v>992</v>
      </c>
      <c r="B994" s="9">
        <f t="shared" ca="1" si="15"/>
        <v>0.58488891309837754</v>
      </c>
      <c r="C994" s="9" t="s">
        <v>24</v>
      </c>
    </row>
    <row r="995" spans="1:3" x14ac:dyDescent="0.2">
      <c r="A995" s="9">
        <v>993</v>
      </c>
      <c r="B995" s="9">
        <f t="shared" ca="1" si="15"/>
        <v>0.7136756706162799</v>
      </c>
      <c r="C995" s="9" t="s">
        <v>23</v>
      </c>
    </row>
    <row r="996" spans="1:3" x14ac:dyDescent="0.2">
      <c r="A996" s="9">
        <v>994</v>
      </c>
      <c r="B996" s="9">
        <f t="shared" ca="1" si="15"/>
        <v>0.90986681653272328</v>
      </c>
      <c r="C996" s="9" t="s">
        <v>23</v>
      </c>
    </row>
    <row r="997" spans="1:3" x14ac:dyDescent="0.2">
      <c r="A997" s="9">
        <v>995</v>
      </c>
      <c r="B997" s="9">
        <f t="shared" ca="1" si="15"/>
        <v>0.30364465018593839</v>
      </c>
      <c r="C997" s="9" t="s">
        <v>24</v>
      </c>
    </row>
    <row r="998" spans="1:3" x14ac:dyDescent="0.2">
      <c r="A998" s="9">
        <v>996</v>
      </c>
      <c r="B998" s="9">
        <f t="shared" ca="1" si="15"/>
        <v>0.78969816294771233</v>
      </c>
      <c r="C998" s="9" t="s">
        <v>23</v>
      </c>
    </row>
    <row r="999" spans="1:3" x14ac:dyDescent="0.2">
      <c r="A999" s="9">
        <v>997</v>
      </c>
      <c r="B999" s="9">
        <f t="shared" ca="1" si="15"/>
        <v>0.61089268514576178</v>
      </c>
      <c r="C999" s="9" t="s">
        <v>24</v>
      </c>
    </row>
    <row r="1000" spans="1:3" x14ac:dyDescent="0.2">
      <c r="A1000" s="9">
        <v>998</v>
      </c>
      <c r="B1000" s="9">
        <f t="shared" ca="1" si="15"/>
        <v>0.37383548485577484</v>
      </c>
      <c r="C1000" s="9" t="s">
        <v>24</v>
      </c>
    </row>
    <row r="1001" spans="1:3" x14ac:dyDescent="0.2">
      <c r="A1001" s="9">
        <v>999</v>
      </c>
      <c r="B1001" s="9">
        <f t="shared" ca="1" si="15"/>
        <v>0.62589082494706527</v>
      </c>
      <c r="C1001" s="9" t="s">
        <v>24</v>
      </c>
    </row>
    <row r="1002" spans="1:3" x14ac:dyDescent="0.2">
      <c r="A1002" s="9">
        <v>1000</v>
      </c>
      <c r="B1002" s="9">
        <f t="shared" ca="1" si="15"/>
        <v>0.55304624394248181</v>
      </c>
      <c r="C1002" s="9" t="s">
        <v>24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74702-53B1-B742-8347-22637D5A7AAD}">
  <sheetPr codeName="Sheet3">
    <tabColor rgb="FFC00000"/>
  </sheetPr>
  <dimension ref="A2:K1002"/>
  <sheetViews>
    <sheetView workbookViewId="0"/>
  </sheetViews>
  <sheetFormatPr baseColWidth="10" defaultRowHeight="16" x14ac:dyDescent="0.2"/>
  <cols>
    <col min="1" max="16384" width="10.83203125" style="5"/>
  </cols>
  <sheetData>
    <row r="2" spans="1:11" x14ac:dyDescent="0.2">
      <c r="B2" s="5" t="s">
        <v>25</v>
      </c>
      <c r="C2" s="5" t="s">
        <v>5</v>
      </c>
      <c r="J2" s="8" t="s">
        <v>28</v>
      </c>
      <c r="K2" s="8" t="s">
        <v>26</v>
      </c>
    </row>
    <row r="3" spans="1:11" x14ac:dyDescent="0.2">
      <c r="A3" s="5">
        <v>1</v>
      </c>
      <c r="B3" s="5">
        <f ca="1">IF(C3="Bomb",_xlfn.NORM.INV(RAND(),0.7,0.1),_xlfn.NORM.INV(RAND(),0.6,0.15))</f>
        <v>0.42327893514280734</v>
      </c>
      <c r="C3" s="5" t="str">
        <f ca="1">IF(RAND()&lt;0.5,"Bomb","Bird")</f>
        <v>Bird</v>
      </c>
      <c r="E3" s="5" t="s">
        <v>27</v>
      </c>
      <c r="J3" s="7">
        <f ca="1">F7</f>
        <v>0</v>
      </c>
      <c r="K3" s="7">
        <f ca="1">E7</f>
        <v>1</v>
      </c>
    </row>
    <row r="4" spans="1:11" x14ac:dyDescent="0.2">
      <c r="A4" s="5">
        <v>2</v>
      </c>
      <c r="B4" s="5">
        <f t="shared" ref="B4:B67" ca="1" si="0">IF(C4="Bomb",_xlfn.NORM.INV(RAND(),0.7,0.1),_xlfn.NORM.INV(RAND(),0.6,0.15))</f>
        <v>0.84794329519948319</v>
      </c>
      <c r="C4" s="5" t="s">
        <v>23</v>
      </c>
      <c r="E4" s="7">
        <v>0.03</v>
      </c>
      <c r="I4" s="7">
        <v>0.03</v>
      </c>
      <c r="J4" s="6">
        <f t="dataTable" ref="J4:K36" dt2D="0" dtr="0" r1="E4" ca="1"/>
        <v>0</v>
      </c>
      <c r="K4" s="6">
        <v>1</v>
      </c>
    </row>
    <row r="5" spans="1:11" x14ac:dyDescent="0.2">
      <c r="A5" s="5">
        <v>3</v>
      </c>
      <c r="B5" s="5">
        <f t="shared" ca="1" si="0"/>
        <v>0.60346467490449873</v>
      </c>
      <c r="C5" s="5" t="s">
        <v>24</v>
      </c>
      <c r="I5" s="7">
        <v>0.06</v>
      </c>
      <c r="J5" s="6">
        <v>0</v>
      </c>
      <c r="K5" s="6">
        <v>1</v>
      </c>
    </row>
    <row r="6" spans="1:11" x14ac:dyDescent="0.2">
      <c r="A6" s="5">
        <v>4</v>
      </c>
      <c r="B6" s="5">
        <f t="shared" ca="1" si="0"/>
        <v>0.72315213487021235</v>
      </c>
      <c r="C6" s="5" t="s">
        <v>23</v>
      </c>
      <c r="E6" s="8" t="s">
        <v>26</v>
      </c>
      <c r="F6" s="8" t="s">
        <v>28</v>
      </c>
      <c r="I6" s="7">
        <v>0.09</v>
      </c>
      <c r="J6" s="6">
        <v>0</v>
      </c>
      <c r="K6" s="6">
        <v>1</v>
      </c>
    </row>
    <row r="7" spans="1:11" x14ac:dyDescent="0.2">
      <c r="A7" s="5">
        <v>5</v>
      </c>
      <c r="B7" s="5">
        <f t="shared" ca="1" si="0"/>
        <v>0.78155482696022505</v>
      </c>
      <c r="C7" s="5" t="s">
        <v>23</v>
      </c>
      <c r="E7" s="6">
        <f ca="1">COUNTIFS(B:B,"&gt;" &amp;E4,C:C,"="&amp;"Bomb")/COUNTIFS(C:C,"="&amp;"Bomb")</f>
        <v>1</v>
      </c>
      <c r="F7" s="6">
        <f ca="1">COUNTIFS(B:B,"&lt;" &amp;E4,C:C,"="&amp;"Bird")/COUNTIFS(C:C,"="&amp;"Bird")</f>
        <v>0</v>
      </c>
      <c r="I7" s="7">
        <v>0.12</v>
      </c>
      <c r="J7" s="6">
        <v>1.9493177387914229E-3</v>
      </c>
      <c r="K7" s="6">
        <v>1</v>
      </c>
    </row>
    <row r="8" spans="1:11" x14ac:dyDescent="0.2">
      <c r="A8" s="5">
        <v>6</v>
      </c>
      <c r="B8" s="5">
        <f t="shared" ca="1" si="0"/>
        <v>0.75239869321033925</v>
      </c>
      <c r="C8" s="5" t="s">
        <v>23</v>
      </c>
      <c r="I8" s="7">
        <v>0.15</v>
      </c>
      <c r="J8" s="6">
        <v>0</v>
      </c>
      <c r="K8" s="6">
        <v>1</v>
      </c>
    </row>
    <row r="9" spans="1:11" x14ac:dyDescent="0.2">
      <c r="A9" s="5">
        <v>7</v>
      </c>
      <c r="B9" s="5">
        <f t="shared" ca="1" si="0"/>
        <v>0.41839380264336762</v>
      </c>
      <c r="C9" s="5" t="s">
        <v>23</v>
      </c>
      <c r="I9" s="7">
        <v>0.18</v>
      </c>
      <c r="J9" s="6">
        <v>0</v>
      </c>
      <c r="K9" s="6">
        <v>1</v>
      </c>
    </row>
    <row r="10" spans="1:11" x14ac:dyDescent="0.2">
      <c r="A10" s="5">
        <v>8</v>
      </c>
      <c r="B10" s="5">
        <f t="shared" ca="1" si="0"/>
        <v>0.84970773784938713</v>
      </c>
      <c r="C10" s="5" t="s">
        <v>24</v>
      </c>
      <c r="I10" s="7">
        <v>0.21</v>
      </c>
      <c r="J10" s="6">
        <v>7.7821011673151752E-3</v>
      </c>
      <c r="K10" s="6">
        <v>1</v>
      </c>
    </row>
    <row r="11" spans="1:11" x14ac:dyDescent="0.2">
      <c r="A11" s="5">
        <v>9</v>
      </c>
      <c r="B11" s="5">
        <f t="shared" ca="1" si="0"/>
        <v>0.39649565988343793</v>
      </c>
      <c r="C11" s="5" t="s">
        <v>24</v>
      </c>
      <c r="I11" s="7">
        <v>0.24</v>
      </c>
      <c r="J11" s="6">
        <v>5.8479532163742687E-3</v>
      </c>
      <c r="K11" s="6">
        <v>1</v>
      </c>
    </row>
    <row r="12" spans="1:11" x14ac:dyDescent="0.2">
      <c r="A12" s="5">
        <v>10</v>
      </c>
      <c r="B12" s="5">
        <f t="shared" ca="1" si="0"/>
        <v>0.64016396630965022</v>
      </c>
      <c r="C12" s="5" t="s">
        <v>24</v>
      </c>
      <c r="I12" s="7">
        <v>0.27</v>
      </c>
      <c r="J12" s="6">
        <v>1.9493177387914229E-2</v>
      </c>
      <c r="K12" s="6">
        <v>1</v>
      </c>
    </row>
    <row r="13" spans="1:11" x14ac:dyDescent="0.2">
      <c r="A13" s="5">
        <v>11</v>
      </c>
      <c r="B13" s="5">
        <f t="shared" ca="1" si="0"/>
        <v>0.55111435628407868</v>
      </c>
      <c r="C13" s="5" t="s">
        <v>24</v>
      </c>
      <c r="I13" s="7">
        <v>0.3</v>
      </c>
      <c r="J13" s="6">
        <v>2.5291828793774319E-2</v>
      </c>
      <c r="K13" s="6">
        <v>1</v>
      </c>
    </row>
    <row r="14" spans="1:11" x14ac:dyDescent="0.2">
      <c r="A14" s="5">
        <v>12</v>
      </c>
      <c r="B14" s="5">
        <f t="shared" ca="1" si="0"/>
        <v>0.92572362244738604</v>
      </c>
      <c r="C14" s="5" t="s">
        <v>24</v>
      </c>
      <c r="I14" s="7">
        <v>0.33</v>
      </c>
      <c r="J14" s="6">
        <v>2.3391812865497075E-2</v>
      </c>
      <c r="K14" s="6">
        <v>1</v>
      </c>
    </row>
    <row r="15" spans="1:11" x14ac:dyDescent="0.2">
      <c r="A15" s="5">
        <v>13</v>
      </c>
      <c r="B15" s="5">
        <f t="shared" ca="1" si="0"/>
        <v>0.63548524199274292</v>
      </c>
      <c r="C15" s="5" t="s">
        <v>23</v>
      </c>
      <c r="I15" s="7">
        <v>0.36</v>
      </c>
      <c r="J15" s="6">
        <v>5.642023346303502E-2</v>
      </c>
      <c r="K15" s="6">
        <v>1</v>
      </c>
    </row>
    <row r="16" spans="1:11" x14ac:dyDescent="0.2">
      <c r="A16" s="5">
        <v>14</v>
      </c>
      <c r="B16" s="5">
        <f t="shared" ca="1" si="0"/>
        <v>0.69187701039059102</v>
      </c>
      <c r="C16" s="5" t="s">
        <v>23</v>
      </c>
      <c r="I16" s="7">
        <v>0.39</v>
      </c>
      <c r="J16" s="6">
        <v>7.0175438596491224E-2</v>
      </c>
      <c r="K16" s="6">
        <v>1</v>
      </c>
    </row>
    <row r="17" spans="1:11" x14ac:dyDescent="0.2">
      <c r="A17" s="5">
        <v>15</v>
      </c>
      <c r="B17" s="5">
        <f t="shared" ca="1" si="0"/>
        <v>0.83463189487841161</v>
      </c>
      <c r="C17" s="5" t="s">
        <v>23</v>
      </c>
      <c r="I17" s="7">
        <v>0.42</v>
      </c>
      <c r="J17" s="6">
        <v>0.1245136186770428</v>
      </c>
      <c r="K17" s="6">
        <v>1</v>
      </c>
    </row>
    <row r="18" spans="1:11" x14ac:dyDescent="0.2">
      <c r="A18" s="5">
        <v>16</v>
      </c>
      <c r="B18" s="5">
        <f t="shared" ca="1" si="0"/>
        <v>0.52498408862075874</v>
      </c>
      <c r="C18" s="5" t="s">
        <v>24</v>
      </c>
      <c r="I18" s="7">
        <v>0.45</v>
      </c>
      <c r="J18" s="6">
        <v>0.1556420233463035</v>
      </c>
      <c r="K18" s="6">
        <v>0.99794238683127567</v>
      </c>
    </row>
    <row r="19" spans="1:11" x14ac:dyDescent="0.2">
      <c r="A19" s="5">
        <v>17</v>
      </c>
      <c r="B19" s="5">
        <f t="shared" ca="1" si="0"/>
        <v>0.61225785573360791</v>
      </c>
      <c r="C19" s="5" t="s">
        <v>23</v>
      </c>
      <c r="I19" s="7">
        <v>0.48</v>
      </c>
      <c r="J19" s="6">
        <v>0.14591439688715954</v>
      </c>
      <c r="K19" s="6">
        <v>0.98353909465020573</v>
      </c>
    </row>
    <row r="20" spans="1:11" x14ac:dyDescent="0.2">
      <c r="A20" s="5">
        <v>18</v>
      </c>
      <c r="B20" s="5">
        <f t="shared" ca="1" si="0"/>
        <v>0.62645960249765842</v>
      </c>
      <c r="C20" s="5" t="s">
        <v>24</v>
      </c>
      <c r="I20" s="7">
        <v>0.51</v>
      </c>
      <c r="J20" s="6">
        <v>0.27290448343079921</v>
      </c>
      <c r="K20" s="6">
        <v>0.97330595482546201</v>
      </c>
    </row>
    <row r="21" spans="1:11" x14ac:dyDescent="0.2">
      <c r="A21" s="5">
        <v>19</v>
      </c>
      <c r="B21" s="5">
        <f t="shared" ca="1" si="0"/>
        <v>0.72117865295494665</v>
      </c>
      <c r="C21" s="5" t="s">
        <v>23</v>
      </c>
      <c r="I21" s="7">
        <v>0.54</v>
      </c>
      <c r="J21" s="6">
        <v>0.34113060428849901</v>
      </c>
      <c r="K21" s="6">
        <v>0.94455852156057496</v>
      </c>
    </row>
    <row r="22" spans="1:11" x14ac:dyDescent="0.2">
      <c r="A22" s="5">
        <v>20</v>
      </c>
      <c r="B22" s="5">
        <f t="shared" ca="1" si="0"/>
        <v>0.65568420588377951</v>
      </c>
      <c r="C22" s="5" t="s">
        <v>23</v>
      </c>
      <c r="I22" s="7">
        <v>0.56999999999999995</v>
      </c>
      <c r="J22" s="6">
        <v>0.42495126705653019</v>
      </c>
      <c r="K22" s="6">
        <v>0.88911704312114992</v>
      </c>
    </row>
    <row r="23" spans="1:11" x14ac:dyDescent="0.2">
      <c r="A23" s="5">
        <v>21</v>
      </c>
      <c r="B23" s="5">
        <f t="shared" ca="1" si="0"/>
        <v>0.66020513948556769</v>
      </c>
      <c r="C23" s="5" t="s">
        <v>23</v>
      </c>
      <c r="I23" s="7">
        <v>0.6</v>
      </c>
      <c r="J23" s="6">
        <v>0.49317738791422999</v>
      </c>
      <c r="K23" s="6">
        <v>0.85215605749486656</v>
      </c>
    </row>
    <row r="24" spans="1:11" x14ac:dyDescent="0.2">
      <c r="A24" s="5">
        <v>22</v>
      </c>
      <c r="B24" s="5">
        <f t="shared" ca="1" si="0"/>
        <v>0.806623301248791</v>
      </c>
      <c r="C24" s="5" t="s">
        <v>24</v>
      </c>
      <c r="I24" s="7">
        <v>0.63</v>
      </c>
      <c r="J24" s="6">
        <v>0.58560311284046696</v>
      </c>
      <c r="K24" s="6">
        <v>0.75514403292181065</v>
      </c>
    </row>
    <row r="25" spans="1:11" x14ac:dyDescent="0.2">
      <c r="A25" s="5">
        <v>23</v>
      </c>
      <c r="B25" s="5">
        <f t="shared" ca="1" si="0"/>
        <v>0.64558740213256305</v>
      </c>
      <c r="C25" s="5" t="s">
        <v>23</v>
      </c>
      <c r="I25" s="7">
        <v>0.66</v>
      </c>
      <c r="J25" s="6">
        <v>0.6471734892787524</v>
      </c>
      <c r="K25" s="6">
        <v>0.64476386036960986</v>
      </c>
    </row>
    <row r="26" spans="1:11" x14ac:dyDescent="0.2">
      <c r="A26" s="5">
        <v>24</v>
      </c>
      <c r="B26" s="5">
        <f t="shared" ca="1" si="0"/>
        <v>0.65898163720114034</v>
      </c>
      <c r="C26" s="5" t="s">
        <v>23</v>
      </c>
      <c r="I26" s="7">
        <v>0.69</v>
      </c>
      <c r="J26" s="6">
        <v>0.70955165692007793</v>
      </c>
      <c r="K26" s="6">
        <v>0.56468172484599588</v>
      </c>
    </row>
    <row r="27" spans="1:11" x14ac:dyDescent="0.2">
      <c r="A27" s="5">
        <v>25</v>
      </c>
      <c r="B27" s="5">
        <f t="shared" ca="1" si="0"/>
        <v>0.47212301885062125</v>
      </c>
      <c r="C27" s="5" t="s">
        <v>23</v>
      </c>
      <c r="I27" s="7">
        <v>0.72</v>
      </c>
      <c r="J27" s="6">
        <v>0.78599221789883267</v>
      </c>
      <c r="K27" s="6">
        <v>0.40946502057613171</v>
      </c>
    </row>
    <row r="28" spans="1:11" x14ac:dyDescent="0.2">
      <c r="A28" s="5">
        <v>26</v>
      </c>
      <c r="B28" s="5">
        <f t="shared" ca="1" si="0"/>
        <v>0.71540056267364105</v>
      </c>
      <c r="C28" s="5" t="s">
        <v>23</v>
      </c>
      <c r="I28" s="7">
        <v>0.75</v>
      </c>
      <c r="J28" s="6">
        <v>0.86964980544747084</v>
      </c>
      <c r="K28" s="6">
        <v>0.31481481481481483</v>
      </c>
    </row>
    <row r="29" spans="1:11" x14ac:dyDescent="0.2">
      <c r="A29" s="5">
        <v>27</v>
      </c>
      <c r="B29" s="5">
        <f t="shared" ca="1" si="0"/>
        <v>0.54361560723988145</v>
      </c>
      <c r="C29" s="5" t="s">
        <v>24</v>
      </c>
      <c r="I29" s="7">
        <v>0.78</v>
      </c>
      <c r="J29" s="6">
        <v>0.88304093567251463</v>
      </c>
      <c r="K29" s="6">
        <v>0.18685831622176591</v>
      </c>
    </row>
    <row r="30" spans="1:11" x14ac:dyDescent="0.2">
      <c r="A30" s="5">
        <v>28</v>
      </c>
      <c r="B30" s="5">
        <f t="shared" ca="1" si="0"/>
        <v>0.50152130880029411</v>
      </c>
      <c r="C30" s="5" t="s">
        <v>23</v>
      </c>
      <c r="I30" s="7">
        <v>0.81</v>
      </c>
      <c r="J30" s="6">
        <v>0.93190661478599224</v>
      </c>
      <c r="K30" s="6">
        <v>0.16255144032921812</v>
      </c>
    </row>
    <row r="31" spans="1:11" x14ac:dyDescent="0.2">
      <c r="A31" s="5">
        <v>29</v>
      </c>
      <c r="B31" s="5">
        <f t="shared" ca="1" si="0"/>
        <v>0.56025598763248741</v>
      </c>
      <c r="C31" s="5" t="s">
        <v>24</v>
      </c>
      <c r="I31" s="7">
        <v>0.84</v>
      </c>
      <c r="J31" s="6">
        <v>0.9571150097465887</v>
      </c>
      <c r="K31" s="6">
        <v>9.2402464065708415E-2</v>
      </c>
    </row>
    <row r="32" spans="1:11" x14ac:dyDescent="0.2">
      <c r="A32" s="5">
        <v>30</v>
      </c>
      <c r="B32" s="5">
        <f t="shared" ca="1" si="0"/>
        <v>0.93724882979335078</v>
      </c>
      <c r="C32" s="5" t="s">
        <v>23</v>
      </c>
      <c r="I32" s="7">
        <v>0.87</v>
      </c>
      <c r="J32" s="6">
        <v>0.96108949416342415</v>
      </c>
      <c r="K32" s="6">
        <v>3.9094650205761319E-2</v>
      </c>
    </row>
    <row r="33" spans="1:11" x14ac:dyDescent="0.2">
      <c r="A33" s="5">
        <v>31</v>
      </c>
      <c r="B33" s="5">
        <f t="shared" ca="1" si="0"/>
        <v>0.68833758877591245</v>
      </c>
      <c r="C33" s="5" t="s">
        <v>23</v>
      </c>
      <c r="I33" s="7">
        <v>0.9</v>
      </c>
      <c r="J33" s="6">
        <v>0.98440545808966862</v>
      </c>
      <c r="K33" s="6">
        <v>1.4373716632443531E-2</v>
      </c>
    </row>
    <row r="34" spans="1:11" x14ac:dyDescent="0.2">
      <c r="A34" s="5">
        <v>32</v>
      </c>
      <c r="B34" s="5">
        <f t="shared" ca="1" si="0"/>
        <v>0.48813339468099282</v>
      </c>
      <c r="C34" s="5" t="s">
        <v>24</v>
      </c>
      <c r="I34" s="7">
        <v>0.93</v>
      </c>
      <c r="J34" s="6">
        <v>0.98830409356725146</v>
      </c>
      <c r="K34" s="6">
        <v>1.4373716632443531E-2</v>
      </c>
    </row>
    <row r="35" spans="1:11" x14ac:dyDescent="0.2">
      <c r="A35" s="5">
        <v>33</v>
      </c>
      <c r="B35" s="5">
        <f t="shared" ca="1" si="0"/>
        <v>0.61685736853918149</v>
      </c>
      <c r="C35" s="5" t="s">
        <v>24</v>
      </c>
      <c r="I35" s="7">
        <v>0.96</v>
      </c>
      <c r="J35" s="6">
        <v>0.99025341130604283</v>
      </c>
      <c r="K35" s="6">
        <v>6.1601642710472282E-3</v>
      </c>
    </row>
    <row r="36" spans="1:11" x14ac:dyDescent="0.2">
      <c r="A36" s="5">
        <v>34</v>
      </c>
      <c r="B36" s="5">
        <f t="shared" ca="1" si="0"/>
        <v>0.70675707582175229</v>
      </c>
      <c r="C36" s="5" t="s">
        <v>24</v>
      </c>
      <c r="I36" s="7">
        <v>0.99</v>
      </c>
      <c r="J36" s="6">
        <v>0.99221789883268485</v>
      </c>
      <c r="K36" s="6">
        <v>4.11522633744856E-3</v>
      </c>
    </row>
    <row r="37" spans="1:11" x14ac:dyDescent="0.2">
      <c r="A37" s="5">
        <v>35</v>
      </c>
      <c r="B37" s="5">
        <f t="shared" ca="1" si="0"/>
        <v>0.8582480105915401</v>
      </c>
      <c r="C37" s="5" t="s">
        <v>23</v>
      </c>
      <c r="I37" s="7"/>
    </row>
    <row r="38" spans="1:11" x14ac:dyDescent="0.2">
      <c r="A38" s="5">
        <v>36</v>
      </c>
      <c r="B38" s="5">
        <f t="shared" ca="1" si="0"/>
        <v>0.53068705063015609</v>
      </c>
      <c r="C38" s="5" t="s">
        <v>24</v>
      </c>
    </row>
    <row r="39" spans="1:11" x14ac:dyDescent="0.2">
      <c r="A39" s="5">
        <v>37</v>
      </c>
      <c r="B39" s="5">
        <f t="shared" ca="1" si="0"/>
        <v>0.52005489253260284</v>
      </c>
      <c r="C39" s="5" t="s">
        <v>24</v>
      </c>
    </row>
    <row r="40" spans="1:11" x14ac:dyDescent="0.2">
      <c r="A40" s="5">
        <v>38</v>
      </c>
      <c r="B40" s="5">
        <f t="shared" ca="1" si="0"/>
        <v>0.71489898890373438</v>
      </c>
      <c r="C40" s="5" t="s">
        <v>23</v>
      </c>
    </row>
    <row r="41" spans="1:11" x14ac:dyDescent="0.2">
      <c r="A41" s="5">
        <v>39</v>
      </c>
      <c r="B41" s="5">
        <f t="shared" ca="1" si="0"/>
        <v>0.39258012533239672</v>
      </c>
      <c r="C41" s="5" t="s">
        <v>24</v>
      </c>
    </row>
    <row r="42" spans="1:11" x14ac:dyDescent="0.2">
      <c r="A42" s="5">
        <v>40</v>
      </c>
      <c r="B42" s="5">
        <f t="shared" ca="1" si="0"/>
        <v>0.58035840448693543</v>
      </c>
      <c r="C42" s="5" t="s">
        <v>23</v>
      </c>
    </row>
    <row r="43" spans="1:11" x14ac:dyDescent="0.2">
      <c r="A43" s="5">
        <v>41</v>
      </c>
      <c r="B43" s="5">
        <f t="shared" ca="1" si="0"/>
        <v>0.70830690777248195</v>
      </c>
      <c r="C43" s="5" t="s">
        <v>24</v>
      </c>
    </row>
    <row r="44" spans="1:11" x14ac:dyDescent="0.2">
      <c r="A44" s="5">
        <v>42</v>
      </c>
      <c r="B44" s="5">
        <f t="shared" ca="1" si="0"/>
        <v>0.25286640475144756</v>
      </c>
      <c r="C44" s="5" t="s">
        <v>24</v>
      </c>
    </row>
    <row r="45" spans="1:11" x14ac:dyDescent="0.2">
      <c r="A45" s="5">
        <v>43</v>
      </c>
      <c r="B45" s="5">
        <f t="shared" ca="1" si="0"/>
        <v>0.43936301244133946</v>
      </c>
      <c r="C45" s="5" t="s">
        <v>24</v>
      </c>
    </row>
    <row r="46" spans="1:11" x14ac:dyDescent="0.2">
      <c r="A46" s="5">
        <v>44</v>
      </c>
      <c r="B46" s="5">
        <f t="shared" ca="1" si="0"/>
        <v>0.70207013308845823</v>
      </c>
      <c r="C46" s="5" t="s">
        <v>24</v>
      </c>
    </row>
    <row r="47" spans="1:11" x14ac:dyDescent="0.2">
      <c r="A47" s="5">
        <v>45</v>
      </c>
      <c r="B47" s="5">
        <f t="shared" ca="1" si="0"/>
        <v>0.86221043566790945</v>
      </c>
      <c r="C47" s="5" t="s">
        <v>24</v>
      </c>
    </row>
    <row r="48" spans="1:11" x14ac:dyDescent="0.2">
      <c r="A48" s="5">
        <v>46</v>
      </c>
      <c r="B48" s="5">
        <f t="shared" ca="1" si="0"/>
        <v>0.64887886691964058</v>
      </c>
      <c r="C48" s="5" t="s">
        <v>23</v>
      </c>
    </row>
    <row r="49" spans="1:3" x14ac:dyDescent="0.2">
      <c r="A49" s="5">
        <v>47</v>
      </c>
      <c r="B49" s="5">
        <f t="shared" ca="1" si="0"/>
        <v>0.65821225132570493</v>
      </c>
      <c r="C49" s="5" t="s">
        <v>23</v>
      </c>
    </row>
    <row r="50" spans="1:3" x14ac:dyDescent="0.2">
      <c r="A50" s="5">
        <v>48</v>
      </c>
      <c r="B50" s="5">
        <f t="shared" ca="1" si="0"/>
        <v>0.64794722315845288</v>
      </c>
      <c r="C50" s="5" t="s">
        <v>24</v>
      </c>
    </row>
    <row r="51" spans="1:3" x14ac:dyDescent="0.2">
      <c r="A51" s="5">
        <v>49</v>
      </c>
      <c r="B51" s="5">
        <f t="shared" ca="1" si="0"/>
        <v>0.84278470940530104</v>
      </c>
      <c r="C51" s="5" t="s">
        <v>23</v>
      </c>
    </row>
    <row r="52" spans="1:3" x14ac:dyDescent="0.2">
      <c r="A52" s="5">
        <v>50</v>
      </c>
      <c r="B52" s="5">
        <f t="shared" ca="1" si="0"/>
        <v>0.68207866621419522</v>
      </c>
      <c r="C52" s="5" t="s">
        <v>23</v>
      </c>
    </row>
    <row r="53" spans="1:3" x14ac:dyDescent="0.2">
      <c r="A53" s="5">
        <v>51</v>
      </c>
      <c r="B53" s="5">
        <f t="shared" ca="1" si="0"/>
        <v>0.82269508410248982</v>
      </c>
      <c r="C53" s="5" t="s">
        <v>23</v>
      </c>
    </row>
    <row r="54" spans="1:3" x14ac:dyDescent="0.2">
      <c r="A54" s="5">
        <v>52</v>
      </c>
      <c r="B54" s="5">
        <f t="shared" ca="1" si="0"/>
        <v>0.95823046829741121</v>
      </c>
      <c r="C54" s="5" t="s">
        <v>24</v>
      </c>
    </row>
    <row r="55" spans="1:3" x14ac:dyDescent="0.2">
      <c r="A55" s="5">
        <v>53</v>
      </c>
      <c r="B55" s="5">
        <f t="shared" ca="1" si="0"/>
        <v>0.50712716323358786</v>
      </c>
      <c r="C55" s="5" t="s">
        <v>24</v>
      </c>
    </row>
    <row r="56" spans="1:3" x14ac:dyDescent="0.2">
      <c r="A56" s="5">
        <v>54</v>
      </c>
      <c r="B56" s="5">
        <f t="shared" ca="1" si="0"/>
        <v>0.72654416471510019</v>
      </c>
      <c r="C56" s="5" t="s">
        <v>23</v>
      </c>
    </row>
    <row r="57" spans="1:3" x14ac:dyDescent="0.2">
      <c r="A57" s="5">
        <v>55</v>
      </c>
      <c r="B57" s="5">
        <f t="shared" ca="1" si="0"/>
        <v>0.76715796464738339</v>
      </c>
      <c r="C57" s="5" t="s">
        <v>23</v>
      </c>
    </row>
    <row r="58" spans="1:3" x14ac:dyDescent="0.2">
      <c r="A58" s="5">
        <v>56</v>
      </c>
      <c r="B58" s="5">
        <f t="shared" ca="1" si="0"/>
        <v>0.53773749563803319</v>
      </c>
      <c r="C58" s="5" t="s">
        <v>23</v>
      </c>
    </row>
    <row r="59" spans="1:3" x14ac:dyDescent="0.2">
      <c r="A59" s="5">
        <v>57</v>
      </c>
      <c r="B59" s="5">
        <f t="shared" ca="1" si="0"/>
        <v>0.36842225574769349</v>
      </c>
      <c r="C59" s="5" t="s">
        <v>24</v>
      </c>
    </row>
    <row r="60" spans="1:3" x14ac:dyDescent="0.2">
      <c r="A60" s="5">
        <v>58</v>
      </c>
      <c r="B60" s="5">
        <f t="shared" ca="1" si="0"/>
        <v>0.7276683670648223</v>
      </c>
      <c r="C60" s="5" t="s">
        <v>23</v>
      </c>
    </row>
    <row r="61" spans="1:3" x14ac:dyDescent="0.2">
      <c r="A61" s="5">
        <v>59</v>
      </c>
      <c r="B61" s="5">
        <f t="shared" ca="1" si="0"/>
        <v>0.70481129306135304</v>
      </c>
      <c r="C61" s="5" t="s">
        <v>23</v>
      </c>
    </row>
    <row r="62" spans="1:3" x14ac:dyDescent="0.2">
      <c r="A62" s="5">
        <v>60</v>
      </c>
      <c r="B62" s="5">
        <f t="shared" ca="1" si="0"/>
        <v>0.41567328701874495</v>
      </c>
      <c r="C62" s="5" t="s">
        <v>24</v>
      </c>
    </row>
    <row r="63" spans="1:3" x14ac:dyDescent="0.2">
      <c r="A63" s="5">
        <v>61</v>
      </c>
      <c r="B63" s="5">
        <f t="shared" ca="1" si="0"/>
        <v>0.57748136297250707</v>
      </c>
      <c r="C63" s="5" t="s">
        <v>24</v>
      </c>
    </row>
    <row r="64" spans="1:3" x14ac:dyDescent="0.2">
      <c r="A64" s="5">
        <v>62</v>
      </c>
      <c r="B64" s="5">
        <f t="shared" ca="1" si="0"/>
        <v>0.59809789369225075</v>
      </c>
      <c r="C64" s="5" t="s">
        <v>24</v>
      </c>
    </row>
    <row r="65" spans="1:3" x14ac:dyDescent="0.2">
      <c r="A65" s="5">
        <v>63</v>
      </c>
      <c r="B65" s="5">
        <f t="shared" ca="1" si="0"/>
        <v>0.65587559339370716</v>
      </c>
      <c r="C65" s="5" t="s">
        <v>23</v>
      </c>
    </row>
    <row r="66" spans="1:3" x14ac:dyDescent="0.2">
      <c r="A66" s="5">
        <v>64</v>
      </c>
      <c r="B66" s="5">
        <f t="shared" ca="1" si="0"/>
        <v>0.69910246684809141</v>
      </c>
      <c r="C66" s="5" t="s">
        <v>23</v>
      </c>
    </row>
    <row r="67" spans="1:3" x14ac:dyDescent="0.2">
      <c r="A67" s="5">
        <v>65</v>
      </c>
      <c r="B67" s="5">
        <f t="shared" ca="1" si="0"/>
        <v>0.67027932839278126</v>
      </c>
      <c r="C67" s="5" t="s">
        <v>23</v>
      </c>
    </row>
    <row r="68" spans="1:3" x14ac:dyDescent="0.2">
      <c r="A68" s="5">
        <v>66</v>
      </c>
      <c r="B68" s="5">
        <f t="shared" ref="B68:B131" ca="1" si="1">IF(C68="Bomb",_xlfn.NORM.INV(RAND(),0.7,0.1),_xlfn.NORM.INV(RAND(),0.6,0.15))</f>
        <v>0.65561459416069967</v>
      </c>
      <c r="C68" s="5" t="s">
        <v>23</v>
      </c>
    </row>
    <row r="69" spans="1:3" x14ac:dyDescent="0.2">
      <c r="A69" s="5">
        <v>67</v>
      </c>
      <c r="B69" s="5">
        <f t="shared" ca="1" si="1"/>
        <v>0.45787694202724277</v>
      </c>
      <c r="C69" s="5" t="s">
        <v>23</v>
      </c>
    </row>
    <row r="70" spans="1:3" x14ac:dyDescent="0.2">
      <c r="A70" s="5">
        <v>68</v>
      </c>
      <c r="B70" s="5">
        <f t="shared" ca="1" si="1"/>
        <v>0.78519952728134657</v>
      </c>
      <c r="C70" s="5" t="s">
        <v>24</v>
      </c>
    </row>
    <row r="71" spans="1:3" x14ac:dyDescent="0.2">
      <c r="A71" s="5">
        <v>69</v>
      </c>
      <c r="B71" s="5">
        <f t="shared" ca="1" si="1"/>
        <v>0.9017482694574136</v>
      </c>
      <c r="C71" s="5" t="s">
        <v>24</v>
      </c>
    </row>
    <row r="72" spans="1:3" x14ac:dyDescent="0.2">
      <c r="A72" s="5">
        <v>70</v>
      </c>
      <c r="B72" s="5">
        <f t="shared" ca="1" si="1"/>
        <v>0.53866574532544986</v>
      </c>
      <c r="C72" s="5" t="s">
        <v>24</v>
      </c>
    </row>
    <row r="73" spans="1:3" x14ac:dyDescent="0.2">
      <c r="A73" s="5">
        <v>71</v>
      </c>
      <c r="B73" s="5">
        <f t="shared" ca="1" si="1"/>
        <v>0.67741588451847679</v>
      </c>
      <c r="C73" s="5" t="s">
        <v>24</v>
      </c>
    </row>
    <row r="74" spans="1:3" x14ac:dyDescent="0.2">
      <c r="A74" s="5">
        <v>72</v>
      </c>
      <c r="B74" s="5">
        <f t="shared" ca="1" si="1"/>
        <v>0.5400436764520482</v>
      </c>
      <c r="C74" s="5" t="s">
        <v>24</v>
      </c>
    </row>
    <row r="75" spans="1:3" x14ac:dyDescent="0.2">
      <c r="A75" s="5">
        <v>73</v>
      </c>
      <c r="B75" s="5">
        <f t="shared" ca="1" si="1"/>
        <v>0.52055688776646869</v>
      </c>
      <c r="C75" s="5" t="s">
        <v>23</v>
      </c>
    </row>
    <row r="76" spans="1:3" x14ac:dyDescent="0.2">
      <c r="A76" s="5">
        <v>74</v>
      </c>
      <c r="B76" s="5">
        <f t="shared" ca="1" si="1"/>
        <v>0.70020287766028622</v>
      </c>
      <c r="C76" s="5" t="s">
        <v>23</v>
      </c>
    </row>
    <row r="77" spans="1:3" x14ac:dyDescent="0.2">
      <c r="A77" s="5">
        <v>75</v>
      </c>
      <c r="B77" s="5">
        <f t="shared" ca="1" si="1"/>
        <v>0.64825492209216873</v>
      </c>
      <c r="C77" s="5" t="s">
        <v>23</v>
      </c>
    </row>
    <row r="78" spans="1:3" x14ac:dyDescent="0.2">
      <c r="A78" s="5">
        <v>76</v>
      </c>
      <c r="B78" s="5">
        <f t="shared" ca="1" si="1"/>
        <v>0.71966544546093691</v>
      </c>
      <c r="C78" s="5" t="s">
        <v>23</v>
      </c>
    </row>
    <row r="79" spans="1:3" x14ac:dyDescent="0.2">
      <c r="A79" s="5">
        <v>77</v>
      </c>
      <c r="B79" s="5">
        <f t="shared" ca="1" si="1"/>
        <v>0.92274012982348341</v>
      </c>
      <c r="C79" s="5" t="s">
        <v>24</v>
      </c>
    </row>
    <row r="80" spans="1:3" x14ac:dyDescent="0.2">
      <c r="A80" s="5">
        <v>78</v>
      </c>
      <c r="B80" s="5">
        <f t="shared" ca="1" si="1"/>
        <v>0.86042439599948772</v>
      </c>
      <c r="C80" s="5" t="s">
        <v>23</v>
      </c>
    </row>
    <row r="81" spans="1:3" x14ac:dyDescent="0.2">
      <c r="A81" s="5">
        <v>79</v>
      </c>
      <c r="B81" s="5">
        <f t="shared" ca="1" si="1"/>
        <v>0.85222035670645513</v>
      </c>
      <c r="C81" s="5" t="s">
        <v>24</v>
      </c>
    </row>
    <row r="82" spans="1:3" x14ac:dyDescent="0.2">
      <c r="A82" s="5">
        <v>80</v>
      </c>
      <c r="B82" s="5">
        <f t="shared" ca="1" si="1"/>
        <v>0.73337358921048501</v>
      </c>
      <c r="C82" s="5" t="s">
        <v>23</v>
      </c>
    </row>
    <row r="83" spans="1:3" x14ac:dyDescent="0.2">
      <c r="A83" s="5">
        <v>81</v>
      </c>
      <c r="B83" s="5">
        <f t="shared" ca="1" si="1"/>
        <v>0.65322348138408648</v>
      </c>
      <c r="C83" s="5" t="s">
        <v>23</v>
      </c>
    </row>
    <row r="84" spans="1:3" x14ac:dyDescent="0.2">
      <c r="A84" s="5">
        <v>82</v>
      </c>
      <c r="B84" s="5">
        <f t="shared" ca="1" si="1"/>
        <v>0.83713833764091072</v>
      </c>
      <c r="C84" s="5" t="s">
        <v>24</v>
      </c>
    </row>
    <row r="85" spans="1:3" x14ac:dyDescent="0.2">
      <c r="A85" s="5">
        <v>83</v>
      </c>
      <c r="B85" s="5">
        <f t="shared" ca="1" si="1"/>
        <v>0.7141073195514952</v>
      </c>
      <c r="C85" s="5" t="s">
        <v>23</v>
      </c>
    </row>
    <row r="86" spans="1:3" x14ac:dyDescent="0.2">
      <c r="A86" s="5">
        <v>84</v>
      </c>
      <c r="B86" s="5">
        <f t="shared" ca="1" si="1"/>
        <v>0.64214343561897047</v>
      </c>
      <c r="C86" s="5" t="s">
        <v>23</v>
      </c>
    </row>
    <row r="87" spans="1:3" x14ac:dyDescent="0.2">
      <c r="A87" s="5">
        <v>85</v>
      </c>
      <c r="B87" s="5">
        <f t="shared" ca="1" si="1"/>
        <v>0.82500038252695651</v>
      </c>
      <c r="C87" s="5" t="s">
        <v>24</v>
      </c>
    </row>
    <row r="88" spans="1:3" x14ac:dyDescent="0.2">
      <c r="A88" s="5">
        <v>86</v>
      </c>
      <c r="B88" s="5">
        <f t="shared" ca="1" si="1"/>
        <v>0.65783816174347598</v>
      </c>
      <c r="C88" s="5" t="s">
        <v>24</v>
      </c>
    </row>
    <row r="89" spans="1:3" x14ac:dyDescent="0.2">
      <c r="A89" s="5">
        <v>87</v>
      </c>
      <c r="B89" s="5">
        <f t="shared" ca="1" si="1"/>
        <v>0.77199153625409489</v>
      </c>
      <c r="C89" s="5" t="s">
        <v>24</v>
      </c>
    </row>
    <row r="90" spans="1:3" x14ac:dyDescent="0.2">
      <c r="A90" s="5">
        <v>88</v>
      </c>
      <c r="B90" s="5">
        <f t="shared" ca="1" si="1"/>
        <v>0.86549170197411729</v>
      </c>
      <c r="C90" s="5" t="s">
        <v>24</v>
      </c>
    </row>
    <row r="91" spans="1:3" x14ac:dyDescent="0.2">
      <c r="A91" s="5">
        <v>89</v>
      </c>
      <c r="B91" s="5">
        <f t="shared" ca="1" si="1"/>
        <v>0.75416023011950484</v>
      </c>
      <c r="C91" s="5" t="s">
        <v>24</v>
      </c>
    </row>
    <row r="92" spans="1:3" x14ac:dyDescent="0.2">
      <c r="A92" s="5">
        <v>90</v>
      </c>
      <c r="B92" s="5">
        <f t="shared" ca="1" si="1"/>
        <v>0.68783844313444342</v>
      </c>
      <c r="C92" s="5" t="s">
        <v>23</v>
      </c>
    </row>
    <row r="93" spans="1:3" x14ac:dyDescent="0.2">
      <c r="A93" s="5">
        <v>91</v>
      </c>
      <c r="B93" s="5">
        <f t="shared" ca="1" si="1"/>
        <v>0.75630180568638161</v>
      </c>
      <c r="C93" s="5" t="s">
        <v>23</v>
      </c>
    </row>
    <row r="94" spans="1:3" x14ac:dyDescent="0.2">
      <c r="A94" s="5">
        <v>92</v>
      </c>
      <c r="B94" s="5">
        <f t="shared" ca="1" si="1"/>
        <v>0.48850880851261391</v>
      </c>
      <c r="C94" s="5" t="s">
        <v>24</v>
      </c>
    </row>
    <row r="95" spans="1:3" x14ac:dyDescent="0.2">
      <c r="A95" s="5">
        <v>93</v>
      </c>
      <c r="B95" s="5">
        <f t="shared" ca="1" si="1"/>
        <v>0.73453665204010876</v>
      </c>
      <c r="C95" s="5" t="s">
        <v>23</v>
      </c>
    </row>
    <row r="96" spans="1:3" x14ac:dyDescent="0.2">
      <c r="A96" s="5">
        <v>94</v>
      </c>
      <c r="B96" s="5">
        <f t="shared" ca="1" si="1"/>
        <v>0.79016884964019218</v>
      </c>
      <c r="C96" s="5" t="s">
        <v>23</v>
      </c>
    </row>
    <row r="97" spans="1:3" x14ac:dyDescent="0.2">
      <c r="A97" s="5">
        <v>95</v>
      </c>
      <c r="B97" s="5">
        <f t="shared" ca="1" si="1"/>
        <v>0.44036883571506669</v>
      </c>
      <c r="C97" s="5" t="s">
        <v>24</v>
      </c>
    </row>
    <row r="98" spans="1:3" x14ac:dyDescent="0.2">
      <c r="A98" s="5">
        <v>96</v>
      </c>
      <c r="B98" s="5">
        <f t="shared" ca="1" si="1"/>
        <v>0.70730850128328682</v>
      </c>
      <c r="C98" s="5" t="s">
        <v>24</v>
      </c>
    </row>
    <row r="99" spans="1:3" x14ac:dyDescent="0.2">
      <c r="A99" s="5">
        <v>97</v>
      </c>
      <c r="B99" s="5">
        <f t="shared" ca="1" si="1"/>
        <v>0.77088182002200367</v>
      </c>
      <c r="C99" s="5" t="s">
        <v>23</v>
      </c>
    </row>
    <row r="100" spans="1:3" x14ac:dyDescent="0.2">
      <c r="A100" s="5">
        <v>98</v>
      </c>
      <c r="B100" s="5">
        <f t="shared" ca="1" si="1"/>
        <v>0.60824572258504639</v>
      </c>
      <c r="C100" s="5" t="s">
        <v>23</v>
      </c>
    </row>
    <row r="101" spans="1:3" x14ac:dyDescent="0.2">
      <c r="A101" s="5">
        <v>99</v>
      </c>
      <c r="B101" s="5">
        <f t="shared" ca="1" si="1"/>
        <v>0.76082692318444278</v>
      </c>
      <c r="C101" s="5" t="s">
        <v>23</v>
      </c>
    </row>
    <row r="102" spans="1:3" x14ac:dyDescent="0.2">
      <c r="A102" s="5">
        <v>100</v>
      </c>
      <c r="B102" s="5">
        <f t="shared" ca="1" si="1"/>
        <v>0.38280234516561162</v>
      </c>
      <c r="C102" s="5" t="s">
        <v>24</v>
      </c>
    </row>
    <row r="103" spans="1:3" x14ac:dyDescent="0.2">
      <c r="A103" s="5">
        <v>101</v>
      </c>
      <c r="B103" s="5">
        <f t="shared" ca="1" si="1"/>
        <v>0.77316714054520941</v>
      </c>
      <c r="C103" s="5" t="s">
        <v>23</v>
      </c>
    </row>
    <row r="104" spans="1:3" x14ac:dyDescent="0.2">
      <c r="A104" s="5">
        <v>102</v>
      </c>
      <c r="B104" s="5">
        <f t="shared" ca="1" si="1"/>
        <v>0.55616052750721368</v>
      </c>
      <c r="C104" s="5" t="s">
        <v>24</v>
      </c>
    </row>
    <row r="105" spans="1:3" x14ac:dyDescent="0.2">
      <c r="A105" s="5">
        <v>103</v>
      </c>
      <c r="B105" s="5">
        <f t="shared" ca="1" si="1"/>
        <v>0.58302656729621005</v>
      </c>
      <c r="C105" s="5" t="s">
        <v>24</v>
      </c>
    </row>
    <row r="106" spans="1:3" x14ac:dyDescent="0.2">
      <c r="A106" s="5">
        <v>104</v>
      </c>
      <c r="B106" s="5">
        <f t="shared" ca="1" si="1"/>
        <v>0.53204079115651459</v>
      </c>
      <c r="C106" s="5" t="s">
        <v>24</v>
      </c>
    </row>
    <row r="107" spans="1:3" x14ac:dyDescent="0.2">
      <c r="A107" s="5">
        <v>105</v>
      </c>
      <c r="B107" s="5">
        <f t="shared" ca="1" si="1"/>
        <v>0.71494580560825072</v>
      </c>
      <c r="C107" s="5" t="s">
        <v>23</v>
      </c>
    </row>
    <row r="108" spans="1:3" x14ac:dyDescent="0.2">
      <c r="A108" s="5">
        <v>106</v>
      </c>
      <c r="B108" s="5">
        <f t="shared" ca="1" si="1"/>
        <v>0.49894064516994513</v>
      </c>
      <c r="C108" s="5" t="s">
        <v>24</v>
      </c>
    </row>
    <row r="109" spans="1:3" x14ac:dyDescent="0.2">
      <c r="A109" s="5">
        <v>107</v>
      </c>
      <c r="B109" s="5">
        <f t="shared" ca="1" si="1"/>
        <v>0.39646709866516472</v>
      </c>
      <c r="C109" s="5" t="s">
        <v>24</v>
      </c>
    </row>
    <row r="110" spans="1:3" x14ac:dyDescent="0.2">
      <c r="A110" s="5">
        <v>108</v>
      </c>
      <c r="B110" s="5">
        <f t="shared" ca="1" si="1"/>
        <v>0.4972129594733169</v>
      </c>
      <c r="C110" s="5" t="s">
        <v>24</v>
      </c>
    </row>
    <row r="111" spans="1:3" x14ac:dyDescent="0.2">
      <c r="A111" s="5">
        <v>109</v>
      </c>
      <c r="B111" s="5">
        <f t="shared" ca="1" si="1"/>
        <v>0.79590017956476022</v>
      </c>
      <c r="C111" s="5" t="s">
        <v>24</v>
      </c>
    </row>
    <row r="112" spans="1:3" x14ac:dyDescent="0.2">
      <c r="A112" s="5">
        <v>110</v>
      </c>
      <c r="B112" s="5">
        <f t="shared" ca="1" si="1"/>
        <v>0.50102526643281131</v>
      </c>
      <c r="C112" s="5" t="s">
        <v>24</v>
      </c>
    </row>
    <row r="113" spans="1:3" x14ac:dyDescent="0.2">
      <c r="A113" s="5">
        <v>111</v>
      </c>
      <c r="B113" s="5">
        <f t="shared" ca="1" si="1"/>
        <v>0.70666912407654403</v>
      </c>
      <c r="C113" s="5" t="s">
        <v>23</v>
      </c>
    </row>
    <row r="114" spans="1:3" x14ac:dyDescent="0.2">
      <c r="A114" s="5">
        <v>112</v>
      </c>
      <c r="B114" s="5">
        <f t="shared" ca="1" si="1"/>
        <v>0.45540727718164159</v>
      </c>
      <c r="C114" s="5" t="s">
        <v>24</v>
      </c>
    </row>
    <row r="115" spans="1:3" x14ac:dyDescent="0.2">
      <c r="A115" s="5">
        <v>113</v>
      </c>
      <c r="B115" s="5">
        <f t="shared" ca="1" si="1"/>
        <v>0.52250982442438809</v>
      </c>
      <c r="C115" s="5" t="s">
        <v>24</v>
      </c>
    </row>
    <row r="116" spans="1:3" x14ac:dyDescent="0.2">
      <c r="A116" s="5">
        <v>114</v>
      </c>
      <c r="B116" s="5">
        <f t="shared" ca="1" si="1"/>
        <v>0.72641643709141956</v>
      </c>
      <c r="C116" s="5" t="s">
        <v>24</v>
      </c>
    </row>
    <row r="117" spans="1:3" x14ac:dyDescent="0.2">
      <c r="A117" s="5">
        <v>115</v>
      </c>
      <c r="B117" s="5">
        <f t="shared" ca="1" si="1"/>
        <v>0.59885087699111417</v>
      </c>
      <c r="C117" s="5" t="s">
        <v>24</v>
      </c>
    </row>
    <row r="118" spans="1:3" x14ac:dyDescent="0.2">
      <c r="A118" s="5">
        <v>116</v>
      </c>
      <c r="B118" s="5">
        <f t="shared" ca="1" si="1"/>
        <v>0.52943551777017639</v>
      </c>
      <c r="C118" s="5" t="s">
        <v>24</v>
      </c>
    </row>
    <row r="119" spans="1:3" x14ac:dyDescent="0.2">
      <c r="A119" s="5">
        <v>117</v>
      </c>
      <c r="B119" s="5">
        <f t="shared" ca="1" si="1"/>
        <v>0.70548526574353143</v>
      </c>
      <c r="C119" s="5" t="s">
        <v>24</v>
      </c>
    </row>
    <row r="120" spans="1:3" x14ac:dyDescent="0.2">
      <c r="A120" s="5">
        <v>118</v>
      </c>
      <c r="B120" s="5">
        <f t="shared" ca="1" si="1"/>
        <v>0.74499396090666736</v>
      </c>
      <c r="C120" s="5" t="s">
        <v>24</v>
      </c>
    </row>
    <row r="121" spans="1:3" x14ac:dyDescent="0.2">
      <c r="A121" s="5">
        <v>119</v>
      </c>
      <c r="B121" s="5">
        <f t="shared" ca="1" si="1"/>
        <v>0.48690990133023071</v>
      </c>
      <c r="C121" s="5" t="s">
        <v>24</v>
      </c>
    </row>
    <row r="122" spans="1:3" x14ac:dyDescent="0.2">
      <c r="A122" s="5">
        <v>120</v>
      </c>
      <c r="B122" s="5">
        <f t="shared" ca="1" si="1"/>
        <v>0.62333610646117577</v>
      </c>
      <c r="C122" s="5" t="s">
        <v>23</v>
      </c>
    </row>
    <row r="123" spans="1:3" x14ac:dyDescent="0.2">
      <c r="A123" s="5">
        <v>121</v>
      </c>
      <c r="B123" s="5">
        <f t="shared" ca="1" si="1"/>
        <v>0.5433908401070574</v>
      </c>
      <c r="C123" s="5" t="s">
        <v>23</v>
      </c>
    </row>
    <row r="124" spans="1:3" x14ac:dyDescent="0.2">
      <c r="A124" s="5">
        <v>122</v>
      </c>
      <c r="B124" s="5">
        <f t="shared" ca="1" si="1"/>
        <v>0.70688867123023702</v>
      </c>
      <c r="C124" s="5" t="s">
        <v>24</v>
      </c>
    </row>
    <row r="125" spans="1:3" x14ac:dyDescent="0.2">
      <c r="A125" s="5">
        <v>123</v>
      </c>
      <c r="B125" s="5">
        <f t="shared" ca="1" si="1"/>
        <v>0.66035418799496859</v>
      </c>
      <c r="C125" s="5" t="s">
        <v>23</v>
      </c>
    </row>
    <row r="126" spans="1:3" x14ac:dyDescent="0.2">
      <c r="A126" s="5">
        <v>124</v>
      </c>
      <c r="B126" s="5">
        <f t="shared" ca="1" si="1"/>
        <v>0.5853095124879476</v>
      </c>
      <c r="C126" s="5" t="s">
        <v>23</v>
      </c>
    </row>
    <row r="127" spans="1:3" x14ac:dyDescent="0.2">
      <c r="A127" s="5">
        <v>125</v>
      </c>
      <c r="B127" s="5">
        <f t="shared" ca="1" si="1"/>
        <v>0.73302969887915082</v>
      </c>
      <c r="C127" s="5" t="s">
        <v>24</v>
      </c>
    </row>
    <row r="128" spans="1:3" x14ac:dyDescent="0.2">
      <c r="A128" s="5">
        <v>126</v>
      </c>
      <c r="B128" s="5">
        <f t="shared" ca="1" si="1"/>
        <v>0.47688161256060213</v>
      </c>
      <c r="C128" s="5" t="s">
        <v>24</v>
      </c>
    </row>
    <row r="129" spans="1:3" x14ac:dyDescent="0.2">
      <c r="A129" s="5">
        <v>127</v>
      </c>
      <c r="B129" s="5">
        <f t="shared" ca="1" si="1"/>
        <v>0.6465192656024894</v>
      </c>
      <c r="C129" s="5" t="s">
        <v>24</v>
      </c>
    </row>
    <row r="130" spans="1:3" x14ac:dyDescent="0.2">
      <c r="A130" s="5">
        <v>128</v>
      </c>
      <c r="B130" s="5">
        <f t="shared" ca="1" si="1"/>
        <v>0.47033665836938798</v>
      </c>
      <c r="C130" s="5" t="s">
        <v>24</v>
      </c>
    </row>
    <row r="131" spans="1:3" x14ac:dyDescent="0.2">
      <c r="A131" s="5">
        <v>129</v>
      </c>
      <c r="B131" s="5">
        <f t="shared" ca="1" si="1"/>
        <v>0.77464768663032124</v>
      </c>
      <c r="C131" s="5" t="s">
        <v>24</v>
      </c>
    </row>
    <row r="132" spans="1:3" x14ac:dyDescent="0.2">
      <c r="A132" s="5">
        <v>130</v>
      </c>
      <c r="B132" s="5">
        <f t="shared" ref="B132:B195" ca="1" si="2">IF(C132="Bomb",_xlfn.NORM.INV(RAND(),0.7,0.1),_xlfn.NORM.INV(RAND(),0.6,0.15))</f>
        <v>0.51351036230323222</v>
      </c>
      <c r="C132" s="5" t="s">
        <v>23</v>
      </c>
    </row>
    <row r="133" spans="1:3" x14ac:dyDescent="0.2">
      <c r="A133" s="5">
        <v>131</v>
      </c>
      <c r="B133" s="5">
        <f t="shared" ca="1" si="2"/>
        <v>0.62415359195701847</v>
      </c>
      <c r="C133" s="5" t="s">
        <v>23</v>
      </c>
    </row>
    <row r="134" spans="1:3" x14ac:dyDescent="0.2">
      <c r="A134" s="5">
        <v>132</v>
      </c>
      <c r="B134" s="5">
        <f t="shared" ca="1" si="2"/>
        <v>0.83717378208926163</v>
      </c>
      <c r="C134" s="5" t="s">
        <v>23</v>
      </c>
    </row>
    <row r="135" spans="1:3" x14ac:dyDescent="0.2">
      <c r="A135" s="5">
        <v>133</v>
      </c>
      <c r="B135" s="5">
        <f t="shared" ca="1" si="2"/>
        <v>0.82848471362211551</v>
      </c>
      <c r="C135" s="5" t="s">
        <v>23</v>
      </c>
    </row>
    <row r="136" spans="1:3" x14ac:dyDescent="0.2">
      <c r="A136" s="5">
        <v>134</v>
      </c>
      <c r="B136" s="5">
        <f t="shared" ca="1" si="2"/>
        <v>0.75230053473655312</v>
      </c>
      <c r="C136" s="5" t="s">
        <v>24</v>
      </c>
    </row>
    <row r="137" spans="1:3" x14ac:dyDescent="0.2">
      <c r="A137" s="5">
        <v>135</v>
      </c>
      <c r="B137" s="5">
        <f t="shared" ca="1" si="2"/>
        <v>0.67527443903325668</v>
      </c>
      <c r="C137" s="5" t="s">
        <v>23</v>
      </c>
    </row>
    <row r="138" spans="1:3" x14ac:dyDescent="0.2">
      <c r="A138" s="5">
        <v>136</v>
      </c>
      <c r="B138" s="5">
        <f t="shared" ca="1" si="2"/>
        <v>0.77529471430078856</v>
      </c>
      <c r="C138" s="5" t="s">
        <v>23</v>
      </c>
    </row>
    <row r="139" spans="1:3" x14ac:dyDescent="0.2">
      <c r="A139" s="5">
        <v>137</v>
      </c>
      <c r="B139" s="5">
        <f t="shared" ca="1" si="2"/>
        <v>0.49226071811098593</v>
      </c>
      <c r="C139" s="5" t="s">
        <v>24</v>
      </c>
    </row>
    <row r="140" spans="1:3" x14ac:dyDescent="0.2">
      <c r="A140" s="5">
        <v>138</v>
      </c>
      <c r="B140" s="5">
        <f t="shared" ca="1" si="2"/>
        <v>0.63073763830760399</v>
      </c>
      <c r="C140" s="5" t="s">
        <v>23</v>
      </c>
    </row>
    <row r="141" spans="1:3" x14ac:dyDescent="0.2">
      <c r="A141" s="5">
        <v>139</v>
      </c>
      <c r="B141" s="5">
        <f t="shared" ca="1" si="2"/>
        <v>0.82734996610300937</v>
      </c>
      <c r="C141" s="5" t="s">
        <v>24</v>
      </c>
    </row>
    <row r="142" spans="1:3" x14ac:dyDescent="0.2">
      <c r="A142" s="5">
        <v>140</v>
      </c>
      <c r="B142" s="5">
        <f t="shared" ca="1" si="2"/>
        <v>0.75012253058030087</v>
      </c>
      <c r="C142" s="5" t="s">
        <v>24</v>
      </c>
    </row>
    <row r="143" spans="1:3" x14ac:dyDescent="0.2">
      <c r="A143" s="5">
        <v>141</v>
      </c>
      <c r="B143" s="5">
        <f t="shared" ca="1" si="2"/>
        <v>0.50625498981621508</v>
      </c>
      <c r="C143" s="5" t="s">
        <v>24</v>
      </c>
    </row>
    <row r="144" spans="1:3" x14ac:dyDescent="0.2">
      <c r="A144" s="5">
        <v>142</v>
      </c>
      <c r="B144" s="5">
        <f t="shared" ca="1" si="2"/>
        <v>0.66804781462888208</v>
      </c>
      <c r="C144" s="5" t="s">
        <v>23</v>
      </c>
    </row>
    <row r="145" spans="1:3" x14ac:dyDescent="0.2">
      <c r="A145" s="5">
        <v>143</v>
      </c>
      <c r="B145" s="5">
        <f t="shared" ca="1" si="2"/>
        <v>0.61793892725750643</v>
      </c>
      <c r="C145" s="5" t="s">
        <v>24</v>
      </c>
    </row>
    <row r="146" spans="1:3" x14ac:dyDescent="0.2">
      <c r="A146" s="5">
        <v>144</v>
      </c>
      <c r="B146" s="5">
        <f t="shared" ca="1" si="2"/>
        <v>0.62822933793230451</v>
      </c>
      <c r="C146" s="5" t="s">
        <v>23</v>
      </c>
    </row>
    <row r="147" spans="1:3" x14ac:dyDescent="0.2">
      <c r="A147" s="5">
        <v>145</v>
      </c>
      <c r="B147" s="5">
        <f t="shared" ca="1" si="2"/>
        <v>0.42162193996805619</v>
      </c>
      <c r="C147" s="5" t="s">
        <v>24</v>
      </c>
    </row>
    <row r="148" spans="1:3" x14ac:dyDescent="0.2">
      <c r="A148" s="5">
        <v>146</v>
      </c>
      <c r="B148" s="5">
        <f t="shared" ca="1" si="2"/>
        <v>0.62150669119934432</v>
      </c>
      <c r="C148" s="5" t="s">
        <v>24</v>
      </c>
    </row>
    <row r="149" spans="1:3" x14ac:dyDescent="0.2">
      <c r="A149" s="5">
        <v>147</v>
      </c>
      <c r="B149" s="5">
        <f t="shared" ca="1" si="2"/>
        <v>0.85167041493320761</v>
      </c>
      <c r="C149" s="5" t="s">
        <v>23</v>
      </c>
    </row>
    <row r="150" spans="1:3" x14ac:dyDescent="0.2">
      <c r="A150" s="5">
        <v>148</v>
      </c>
      <c r="B150" s="5">
        <f t="shared" ca="1" si="2"/>
        <v>0.44004537569851931</v>
      </c>
      <c r="C150" s="5" t="s">
        <v>24</v>
      </c>
    </row>
    <row r="151" spans="1:3" x14ac:dyDescent="0.2">
      <c r="A151" s="5">
        <v>149</v>
      </c>
      <c r="B151" s="5">
        <f t="shared" ca="1" si="2"/>
        <v>0.80127497274282</v>
      </c>
      <c r="C151" s="5" t="s">
        <v>24</v>
      </c>
    </row>
    <row r="152" spans="1:3" x14ac:dyDescent="0.2">
      <c r="A152" s="5">
        <v>150</v>
      </c>
      <c r="B152" s="5">
        <f t="shared" ca="1" si="2"/>
        <v>0.11968637552733297</v>
      </c>
      <c r="C152" s="5" t="s">
        <v>24</v>
      </c>
    </row>
    <row r="153" spans="1:3" x14ac:dyDescent="0.2">
      <c r="A153" s="5">
        <v>151</v>
      </c>
      <c r="B153" s="5">
        <f t="shared" ca="1" si="2"/>
        <v>0.73162122893173753</v>
      </c>
      <c r="C153" s="5" t="s">
        <v>23</v>
      </c>
    </row>
    <row r="154" spans="1:3" x14ac:dyDescent="0.2">
      <c r="A154" s="5">
        <v>152</v>
      </c>
      <c r="B154" s="5">
        <f t="shared" ca="1" si="2"/>
        <v>0.85926404162641801</v>
      </c>
      <c r="C154" s="5" t="s">
        <v>23</v>
      </c>
    </row>
    <row r="155" spans="1:3" x14ac:dyDescent="0.2">
      <c r="A155" s="5">
        <v>153</v>
      </c>
      <c r="B155" s="5">
        <f t="shared" ca="1" si="2"/>
        <v>0.78026018631865246</v>
      </c>
      <c r="C155" s="5" t="s">
        <v>23</v>
      </c>
    </row>
    <row r="156" spans="1:3" x14ac:dyDescent="0.2">
      <c r="A156" s="5">
        <v>154</v>
      </c>
      <c r="B156" s="5">
        <f t="shared" ca="1" si="2"/>
        <v>0.81242902584420573</v>
      </c>
      <c r="C156" s="5" t="s">
        <v>24</v>
      </c>
    </row>
    <row r="157" spans="1:3" x14ac:dyDescent="0.2">
      <c r="A157" s="5">
        <v>155</v>
      </c>
      <c r="B157" s="5">
        <f t="shared" ca="1" si="2"/>
        <v>0.77306364580160558</v>
      </c>
      <c r="C157" s="5" t="s">
        <v>23</v>
      </c>
    </row>
    <row r="158" spans="1:3" x14ac:dyDescent="0.2">
      <c r="A158" s="5">
        <v>156</v>
      </c>
      <c r="B158" s="5">
        <f t="shared" ca="1" si="2"/>
        <v>0.57912279537415889</v>
      </c>
      <c r="C158" s="5" t="s">
        <v>23</v>
      </c>
    </row>
    <row r="159" spans="1:3" x14ac:dyDescent="0.2">
      <c r="A159" s="5">
        <v>157</v>
      </c>
      <c r="B159" s="5">
        <f t="shared" ca="1" si="2"/>
        <v>0.50966281656625068</v>
      </c>
      <c r="C159" s="5" t="s">
        <v>24</v>
      </c>
    </row>
    <row r="160" spans="1:3" x14ac:dyDescent="0.2">
      <c r="A160" s="5">
        <v>158</v>
      </c>
      <c r="B160" s="5">
        <f t="shared" ca="1" si="2"/>
        <v>0.42472236171214472</v>
      </c>
      <c r="C160" s="5" t="s">
        <v>24</v>
      </c>
    </row>
    <row r="161" spans="1:3" x14ac:dyDescent="0.2">
      <c r="A161" s="5">
        <v>159</v>
      </c>
      <c r="B161" s="5">
        <f t="shared" ca="1" si="2"/>
        <v>0.78101702198515532</v>
      </c>
      <c r="C161" s="5" t="s">
        <v>23</v>
      </c>
    </row>
    <row r="162" spans="1:3" x14ac:dyDescent="0.2">
      <c r="A162" s="5">
        <v>160</v>
      </c>
      <c r="B162" s="5">
        <f t="shared" ca="1" si="2"/>
        <v>0.95659360150537387</v>
      </c>
      <c r="C162" s="5" t="s">
        <v>23</v>
      </c>
    </row>
    <row r="163" spans="1:3" x14ac:dyDescent="0.2">
      <c r="A163" s="5">
        <v>161</v>
      </c>
      <c r="B163" s="5">
        <f t="shared" ca="1" si="2"/>
        <v>0.70862928777930057</v>
      </c>
      <c r="C163" s="5" t="s">
        <v>23</v>
      </c>
    </row>
    <row r="164" spans="1:3" x14ac:dyDescent="0.2">
      <c r="A164" s="5">
        <v>162</v>
      </c>
      <c r="B164" s="5">
        <f t="shared" ca="1" si="2"/>
        <v>0.76274286222141896</v>
      </c>
      <c r="C164" s="5" t="s">
        <v>24</v>
      </c>
    </row>
    <row r="165" spans="1:3" x14ac:dyDescent="0.2">
      <c r="A165" s="5">
        <v>163</v>
      </c>
      <c r="B165" s="5">
        <f t="shared" ca="1" si="2"/>
        <v>0.47293553705606872</v>
      </c>
      <c r="C165" s="5" t="s">
        <v>24</v>
      </c>
    </row>
    <row r="166" spans="1:3" x14ac:dyDescent="0.2">
      <c r="A166" s="5">
        <v>164</v>
      </c>
      <c r="B166" s="5">
        <f t="shared" ca="1" si="2"/>
        <v>0.47480551080444244</v>
      </c>
      <c r="C166" s="5" t="s">
        <v>24</v>
      </c>
    </row>
    <row r="167" spans="1:3" x14ac:dyDescent="0.2">
      <c r="A167" s="5">
        <v>165</v>
      </c>
      <c r="B167" s="5">
        <f t="shared" ca="1" si="2"/>
        <v>0.35934923939160363</v>
      </c>
      <c r="C167" s="5" t="s">
        <v>24</v>
      </c>
    </row>
    <row r="168" spans="1:3" x14ac:dyDescent="0.2">
      <c r="A168" s="5">
        <v>166</v>
      </c>
      <c r="B168" s="5">
        <f t="shared" ca="1" si="2"/>
        <v>0.76157936857057151</v>
      </c>
      <c r="C168" s="5" t="s">
        <v>23</v>
      </c>
    </row>
    <row r="169" spans="1:3" x14ac:dyDescent="0.2">
      <c r="A169" s="5">
        <v>167</v>
      </c>
      <c r="B169" s="5">
        <f t="shared" ca="1" si="2"/>
        <v>0.873465424331758</v>
      </c>
      <c r="C169" s="5" t="s">
        <v>23</v>
      </c>
    </row>
    <row r="170" spans="1:3" x14ac:dyDescent="0.2">
      <c r="A170" s="5">
        <v>168</v>
      </c>
      <c r="B170" s="5">
        <f t="shared" ca="1" si="2"/>
        <v>0.80509284787914648</v>
      </c>
      <c r="C170" s="5" t="s">
        <v>23</v>
      </c>
    </row>
    <row r="171" spans="1:3" x14ac:dyDescent="0.2">
      <c r="A171" s="5">
        <v>169</v>
      </c>
      <c r="B171" s="5">
        <f t="shared" ca="1" si="2"/>
        <v>0.39328607856216874</v>
      </c>
      <c r="C171" s="5" t="s">
        <v>24</v>
      </c>
    </row>
    <row r="172" spans="1:3" x14ac:dyDescent="0.2">
      <c r="A172" s="5">
        <v>170</v>
      </c>
      <c r="B172" s="5">
        <f t="shared" ca="1" si="2"/>
        <v>0.32306215911236752</v>
      </c>
      <c r="C172" s="5" t="s">
        <v>24</v>
      </c>
    </row>
    <row r="173" spans="1:3" x14ac:dyDescent="0.2">
      <c r="A173" s="5">
        <v>171</v>
      </c>
      <c r="B173" s="5">
        <f t="shared" ca="1" si="2"/>
        <v>0.71936598286637365</v>
      </c>
      <c r="C173" s="5" t="s">
        <v>23</v>
      </c>
    </row>
    <row r="174" spans="1:3" x14ac:dyDescent="0.2">
      <c r="A174" s="5">
        <v>172</v>
      </c>
      <c r="B174" s="5">
        <f t="shared" ca="1" si="2"/>
        <v>0.68892166500246887</v>
      </c>
      <c r="C174" s="5" t="s">
        <v>23</v>
      </c>
    </row>
    <row r="175" spans="1:3" x14ac:dyDescent="0.2">
      <c r="A175" s="5">
        <v>173</v>
      </c>
      <c r="B175" s="5">
        <f t="shared" ca="1" si="2"/>
        <v>0.65190956567805403</v>
      </c>
      <c r="C175" s="5" t="s">
        <v>23</v>
      </c>
    </row>
    <row r="176" spans="1:3" x14ac:dyDescent="0.2">
      <c r="A176" s="5">
        <v>174</v>
      </c>
      <c r="B176" s="5">
        <f t="shared" ca="1" si="2"/>
        <v>0.47900542209852143</v>
      </c>
      <c r="C176" s="5" t="s">
        <v>24</v>
      </c>
    </row>
    <row r="177" spans="1:3" x14ac:dyDescent="0.2">
      <c r="A177" s="5">
        <v>175</v>
      </c>
      <c r="B177" s="5">
        <f t="shared" ca="1" si="2"/>
        <v>0.7675792890835671</v>
      </c>
      <c r="C177" s="5" t="s">
        <v>23</v>
      </c>
    </row>
    <row r="178" spans="1:3" x14ac:dyDescent="0.2">
      <c r="A178" s="5">
        <v>176</v>
      </c>
      <c r="B178" s="5">
        <f t="shared" ca="1" si="2"/>
        <v>0.68733574940982844</v>
      </c>
      <c r="C178" s="5" t="s">
        <v>23</v>
      </c>
    </row>
    <row r="179" spans="1:3" x14ac:dyDescent="0.2">
      <c r="A179" s="5">
        <v>177</v>
      </c>
      <c r="B179" s="5">
        <f t="shared" ca="1" si="2"/>
        <v>0.65444368333687808</v>
      </c>
      <c r="C179" s="5" t="s">
        <v>24</v>
      </c>
    </row>
    <row r="180" spans="1:3" x14ac:dyDescent="0.2">
      <c r="A180" s="5">
        <v>178</v>
      </c>
      <c r="B180" s="5">
        <f t="shared" ca="1" si="2"/>
        <v>0.50902787395641658</v>
      </c>
      <c r="C180" s="5" t="s">
        <v>24</v>
      </c>
    </row>
    <row r="181" spans="1:3" x14ac:dyDescent="0.2">
      <c r="A181" s="5">
        <v>179</v>
      </c>
      <c r="B181" s="5">
        <f t="shared" ca="1" si="2"/>
        <v>0.69316600575709986</v>
      </c>
      <c r="C181" s="5" t="s">
        <v>23</v>
      </c>
    </row>
    <row r="182" spans="1:3" x14ac:dyDescent="0.2">
      <c r="A182" s="5">
        <v>180</v>
      </c>
      <c r="B182" s="5">
        <f t="shared" ca="1" si="2"/>
        <v>0.64807512037459669</v>
      </c>
      <c r="C182" s="5" t="s">
        <v>23</v>
      </c>
    </row>
    <row r="183" spans="1:3" x14ac:dyDescent="0.2">
      <c r="A183" s="5">
        <v>181</v>
      </c>
      <c r="B183" s="5">
        <f t="shared" ca="1" si="2"/>
        <v>0.64886892798929274</v>
      </c>
      <c r="C183" s="5" t="s">
        <v>23</v>
      </c>
    </row>
    <row r="184" spans="1:3" x14ac:dyDescent="0.2">
      <c r="A184" s="5">
        <v>182</v>
      </c>
      <c r="B184" s="5">
        <f t="shared" ca="1" si="2"/>
        <v>0.61995884948278335</v>
      </c>
      <c r="C184" s="5" t="s">
        <v>23</v>
      </c>
    </row>
    <row r="185" spans="1:3" x14ac:dyDescent="0.2">
      <c r="A185" s="5">
        <v>183</v>
      </c>
      <c r="B185" s="5">
        <f t="shared" ca="1" si="2"/>
        <v>0.54584732675507208</v>
      </c>
      <c r="C185" s="5" t="s">
        <v>24</v>
      </c>
    </row>
    <row r="186" spans="1:3" x14ac:dyDescent="0.2">
      <c r="A186" s="5">
        <v>184</v>
      </c>
      <c r="B186" s="5">
        <f t="shared" ca="1" si="2"/>
        <v>0.68231571873663732</v>
      </c>
      <c r="C186" s="5" t="s">
        <v>23</v>
      </c>
    </row>
    <row r="187" spans="1:3" x14ac:dyDescent="0.2">
      <c r="A187" s="5">
        <v>185</v>
      </c>
      <c r="B187" s="5">
        <f t="shared" ca="1" si="2"/>
        <v>0.40866906911760614</v>
      </c>
      <c r="C187" s="5" t="s">
        <v>24</v>
      </c>
    </row>
    <row r="188" spans="1:3" x14ac:dyDescent="0.2">
      <c r="A188" s="5">
        <v>186</v>
      </c>
      <c r="B188" s="5">
        <f t="shared" ca="1" si="2"/>
        <v>0.55603388473123083</v>
      </c>
      <c r="C188" s="5" t="s">
        <v>23</v>
      </c>
    </row>
    <row r="189" spans="1:3" x14ac:dyDescent="0.2">
      <c r="A189" s="5">
        <v>187</v>
      </c>
      <c r="B189" s="5">
        <f t="shared" ca="1" si="2"/>
        <v>0.56167482282430603</v>
      </c>
      <c r="C189" s="5" t="s">
        <v>24</v>
      </c>
    </row>
    <row r="190" spans="1:3" x14ac:dyDescent="0.2">
      <c r="A190" s="5">
        <v>188</v>
      </c>
      <c r="B190" s="5">
        <f t="shared" ca="1" si="2"/>
        <v>0.56604174871386193</v>
      </c>
      <c r="C190" s="5" t="s">
        <v>23</v>
      </c>
    </row>
    <row r="191" spans="1:3" x14ac:dyDescent="0.2">
      <c r="A191" s="5">
        <v>189</v>
      </c>
      <c r="B191" s="5">
        <f t="shared" ca="1" si="2"/>
        <v>0.61135542945732591</v>
      </c>
      <c r="C191" s="5" t="s">
        <v>23</v>
      </c>
    </row>
    <row r="192" spans="1:3" x14ac:dyDescent="0.2">
      <c r="A192" s="5">
        <v>190</v>
      </c>
      <c r="B192" s="5">
        <f t="shared" ca="1" si="2"/>
        <v>0.5131657966272285</v>
      </c>
      <c r="C192" s="5" t="s">
        <v>24</v>
      </c>
    </row>
    <row r="193" spans="1:3" x14ac:dyDescent="0.2">
      <c r="A193" s="5">
        <v>191</v>
      </c>
      <c r="B193" s="5">
        <f t="shared" ca="1" si="2"/>
        <v>0.70838316984718985</v>
      </c>
      <c r="C193" s="5" t="s">
        <v>23</v>
      </c>
    </row>
    <row r="194" spans="1:3" x14ac:dyDescent="0.2">
      <c r="A194" s="5">
        <v>192</v>
      </c>
      <c r="B194" s="5">
        <f t="shared" ca="1" si="2"/>
        <v>0.69016675472417921</v>
      </c>
      <c r="C194" s="5" t="s">
        <v>24</v>
      </c>
    </row>
    <row r="195" spans="1:3" x14ac:dyDescent="0.2">
      <c r="A195" s="5">
        <v>193</v>
      </c>
      <c r="B195" s="5">
        <f t="shared" ca="1" si="2"/>
        <v>0.5987223556331146</v>
      </c>
      <c r="C195" s="5" t="s">
        <v>23</v>
      </c>
    </row>
    <row r="196" spans="1:3" x14ac:dyDescent="0.2">
      <c r="A196" s="5">
        <v>194</v>
      </c>
      <c r="B196" s="5">
        <f t="shared" ref="B196:B259" ca="1" si="3">IF(C196="Bomb",_xlfn.NORM.INV(RAND(),0.7,0.1),_xlfn.NORM.INV(RAND(),0.6,0.15))</f>
        <v>0.60797068940120491</v>
      </c>
      <c r="C196" s="5" t="s">
        <v>24</v>
      </c>
    </row>
    <row r="197" spans="1:3" x14ac:dyDescent="0.2">
      <c r="A197" s="5">
        <v>195</v>
      </c>
      <c r="B197" s="5">
        <f t="shared" ca="1" si="3"/>
        <v>0.62744340728666914</v>
      </c>
      <c r="C197" s="5" t="s">
        <v>24</v>
      </c>
    </row>
    <row r="198" spans="1:3" x14ac:dyDescent="0.2">
      <c r="A198" s="5">
        <v>196</v>
      </c>
      <c r="B198" s="5">
        <f t="shared" ca="1" si="3"/>
        <v>0.77569234817339838</v>
      </c>
      <c r="C198" s="5" t="s">
        <v>23</v>
      </c>
    </row>
    <row r="199" spans="1:3" x14ac:dyDescent="0.2">
      <c r="A199" s="5">
        <v>197</v>
      </c>
      <c r="B199" s="5">
        <f t="shared" ca="1" si="3"/>
        <v>0.54961235890565396</v>
      </c>
      <c r="C199" s="5" t="s">
        <v>24</v>
      </c>
    </row>
    <row r="200" spans="1:3" x14ac:dyDescent="0.2">
      <c r="A200" s="5">
        <v>198</v>
      </c>
      <c r="B200" s="5">
        <f t="shared" ca="1" si="3"/>
        <v>0.85039911985876171</v>
      </c>
      <c r="C200" s="5" t="s">
        <v>23</v>
      </c>
    </row>
    <row r="201" spans="1:3" x14ac:dyDescent="0.2">
      <c r="A201" s="5">
        <v>199</v>
      </c>
      <c r="B201" s="5">
        <f t="shared" ca="1" si="3"/>
        <v>0.53620358220355613</v>
      </c>
      <c r="C201" s="5" t="s">
        <v>24</v>
      </c>
    </row>
    <row r="202" spans="1:3" x14ac:dyDescent="0.2">
      <c r="A202" s="5">
        <v>200</v>
      </c>
      <c r="B202" s="5">
        <f t="shared" ca="1" si="3"/>
        <v>0.73241219738371</v>
      </c>
      <c r="C202" s="5" t="s">
        <v>23</v>
      </c>
    </row>
    <row r="203" spans="1:3" x14ac:dyDescent="0.2">
      <c r="A203" s="5">
        <v>201</v>
      </c>
      <c r="B203" s="5">
        <f t="shared" ca="1" si="3"/>
        <v>0.87068277327659827</v>
      </c>
      <c r="C203" s="5" t="s">
        <v>24</v>
      </c>
    </row>
    <row r="204" spans="1:3" x14ac:dyDescent="0.2">
      <c r="A204" s="5">
        <v>202</v>
      </c>
      <c r="B204" s="5">
        <f t="shared" ca="1" si="3"/>
        <v>0.700814677642423</v>
      </c>
      <c r="C204" s="5" t="s">
        <v>23</v>
      </c>
    </row>
    <row r="205" spans="1:3" x14ac:dyDescent="0.2">
      <c r="A205" s="5">
        <v>203</v>
      </c>
      <c r="B205" s="5">
        <f t="shared" ca="1" si="3"/>
        <v>0.51529350378218086</v>
      </c>
      <c r="C205" s="5" t="s">
        <v>24</v>
      </c>
    </row>
    <row r="206" spans="1:3" x14ac:dyDescent="0.2">
      <c r="A206" s="5">
        <v>204</v>
      </c>
      <c r="B206" s="5">
        <f t="shared" ca="1" si="3"/>
        <v>0.64969764909223948</v>
      </c>
      <c r="C206" s="5" t="s">
        <v>24</v>
      </c>
    </row>
    <row r="207" spans="1:3" x14ac:dyDescent="0.2">
      <c r="A207" s="5">
        <v>205</v>
      </c>
      <c r="B207" s="5">
        <f t="shared" ca="1" si="3"/>
        <v>0.84373103585012077</v>
      </c>
      <c r="C207" s="5" t="s">
        <v>24</v>
      </c>
    </row>
    <row r="208" spans="1:3" x14ac:dyDescent="0.2">
      <c r="A208" s="5">
        <v>206</v>
      </c>
      <c r="B208" s="5">
        <f t="shared" ca="1" si="3"/>
        <v>0.79849896031501721</v>
      </c>
      <c r="C208" s="5" t="s">
        <v>23</v>
      </c>
    </row>
    <row r="209" spans="1:3" x14ac:dyDescent="0.2">
      <c r="A209" s="5">
        <v>207</v>
      </c>
      <c r="B209" s="5">
        <f t="shared" ca="1" si="3"/>
        <v>0.86715048608458833</v>
      </c>
      <c r="C209" s="5" t="s">
        <v>23</v>
      </c>
    </row>
    <row r="210" spans="1:3" x14ac:dyDescent="0.2">
      <c r="A210" s="5">
        <v>208</v>
      </c>
      <c r="B210" s="5">
        <f t="shared" ca="1" si="3"/>
        <v>0.63383017460393576</v>
      </c>
      <c r="C210" s="5" t="s">
        <v>23</v>
      </c>
    </row>
    <row r="211" spans="1:3" x14ac:dyDescent="0.2">
      <c r="A211" s="5">
        <v>209</v>
      </c>
      <c r="B211" s="5">
        <f t="shared" ca="1" si="3"/>
        <v>0.54398762851503168</v>
      </c>
      <c r="C211" s="5" t="s">
        <v>24</v>
      </c>
    </row>
    <row r="212" spans="1:3" x14ac:dyDescent="0.2">
      <c r="A212" s="5">
        <v>210</v>
      </c>
      <c r="B212" s="5">
        <f t="shared" ca="1" si="3"/>
        <v>0.45270461386855743</v>
      </c>
      <c r="C212" s="5" t="s">
        <v>24</v>
      </c>
    </row>
    <row r="213" spans="1:3" x14ac:dyDescent="0.2">
      <c r="A213" s="5">
        <v>211</v>
      </c>
      <c r="B213" s="5">
        <f t="shared" ca="1" si="3"/>
        <v>0.77335354797964684</v>
      </c>
      <c r="C213" s="5" t="s">
        <v>24</v>
      </c>
    </row>
    <row r="214" spans="1:3" x14ac:dyDescent="0.2">
      <c r="A214" s="5">
        <v>212</v>
      </c>
      <c r="B214" s="5">
        <f t="shared" ca="1" si="3"/>
        <v>0.76925834803512638</v>
      </c>
      <c r="C214" s="5" t="s">
        <v>24</v>
      </c>
    </row>
    <row r="215" spans="1:3" x14ac:dyDescent="0.2">
      <c r="A215" s="5">
        <v>213</v>
      </c>
      <c r="B215" s="5">
        <f t="shared" ca="1" si="3"/>
        <v>0.91615336148377813</v>
      </c>
      <c r="C215" s="5" t="s">
        <v>24</v>
      </c>
    </row>
    <row r="216" spans="1:3" x14ac:dyDescent="0.2">
      <c r="A216" s="5">
        <v>214</v>
      </c>
      <c r="B216" s="5">
        <f t="shared" ca="1" si="3"/>
        <v>0.71838252671865688</v>
      </c>
      <c r="C216" s="5" t="s">
        <v>24</v>
      </c>
    </row>
    <row r="217" spans="1:3" x14ac:dyDescent="0.2">
      <c r="A217" s="5">
        <v>215</v>
      </c>
      <c r="B217" s="5">
        <f t="shared" ca="1" si="3"/>
        <v>0.68923021903003157</v>
      </c>
      <c r="C217" s="5" t="s">
        <v>23</v>
      </c>
    </row>
    <row r="218" spans="1:3" x14ac:dyDescent="0.2">
      <c r="A218" s="5">
        <v>216</v>
      </c>
      <c r="B218" s="5">
        <f t="shared" ca="1" si="3"/>
        <v>0.62674389186808921</v>
      </c>
      <c r="C218" s="5" t="s">
        <v>23</v>
      </c>
    </row>
    <row r="219" spans="1:3" x14ac:dyDescent="0.2">
      <c r="A219" s="5">
        <v>217</v>
      </c>
      <c r="B219" s="5">
        <f t="shared" ca="1" si="3"/>
        <v>0.5828087260089605</v>
      </c>
      <c r="C219" s="5" t="s">
        <v>23</v>
      </c>
    </row>
    <row r="220" spans="1:3" x14ac:dyDescent="0.2">
      <c r="A220" s="5">
        <v>218</v>
      </c>
      <c r="B220" s="5">
        <f t="shared" ca="1" si="3"/>
        <v>0.35163003555522809</v>
      </c>
      <c r="C220" s="5" t="s">
        <v>24</v>
      </c>
    </row>
    <row r="221" spans="1:3" x14ac:dyDescent="0.2">
      <c r="A221" s="5">
        <v>219</v>
      </c>
      <c r="B221" s="5">
        <f t="shared" ca="1" si="3"/>
        <v>0.65225583247738772</v>
      </c>
      <c r="C221" s="5" t="s">
        <v>23</v>
      </c>
    </row>
    <row r="222" spans="1:3" x14ac:dyDescent="0.2">
      <c r="A222" s="5">
        <v>220</v>
      </c>
      <c r="B222" s="5">
        <f t="shared" ca="1" si="3"/>
        <v>0.55620974628750464</v>
      </c>
      <c r="C222" s="5" t="s">
        <v>24</v>
      </c>
    </row>
    <row r="223" spans="1:3" x14ac:dyDescent="0.2">
      <c r="A223" s="5">
        <v>221</v>
      </c>
      <c r="B223" s="5">
        <f t="shared" ca="1" si="3"/>
        <v>0.84231009699402271</v>
      </c>
      <c r="C223" s="5" t="s">
        <v>23</v>
      </c>
    </row>
    <row r="224" spans="1:3" x14ac:dyDescent="0.2">
      <c r="A224" s="5">
        <v>222</v>
      </c>
      <c r="B224" s="5">
        <f t="shared" ca="1" si="3"/>
        <v>0.9120656528458454</v>
      </c>
      <c r="C224" s="5" t="s">
        <v>23</v>
      </c>
    </row>
    <row r="225" spans="1:3" x14ac:dyDescent="0.2">
      <c r="A225" s="5">
        <v>223</v>
      </c>
      <c r="B225" s="5">
        <f t="shared" ca="1" si="3"/>
        <v>0.74054390642828849</v>
      </c>
      <c r="C225" s="5" t="s">
        <v>24</v>
      </c>
    </row>
    <row r="226" spans="1:3" x14ac:dyDescent="0.2">
      <c r="A226" s="5">
        <v>224</v>
      </c>
      <c r="B226" s="5">
        <f t="shared" ca="1" si="3"/>
        <v>0.59249098642755293</v>
      </c>
      <c r="C226" s="5" t="s">
        <v>24</v>
      </c>
    </row>
    <row r="227" spans="1:3" x14ac:dyDescent="0.2">
      <c r="A227" s="5">
        <v>225</v>
      </c>
      <c r="B227" s="5">
        <f t="shared" ca="1" si="3"/>
        <v>0.74473297003727845</v>
      </c>
      <c r="C227" s="5" t="s">
        <v>23</v>
      </c>
    </row>
    <row r="228" spans="1:3" x14ac:dyDescent="0.2">
      <c r="A228" s="5">
        <v>226</v>
      </c>
      <c r="B228" s="5">
        <f t="shared" ca="1" si="3"/>
        <v>0.49216926405092376</v>
      </c>
      <c r="C228" s="5" t="s">
        <v>24</v>
      </c>
    </row>
    <row r="229" spans="1:3" x14ac:dyDescent="0.2">
      <c r="A229" s="5">
        <v>227</v>
      </c>
      <c r="B229" s="5">
        <f t="shared" ca="1" si="3"/>
        <v>0.89096074428539063</v>
      </c>
      <c r="C229" s="5" t="s">
        <v>24</v>
      </c>
    </row>
    <row r="230" spans="1:3" x14ac:dyDescent="0.2">
      <c r="A230" s="5">
        <v>228</v>
      </c>
      <c r="B230" s="5">
        <f t="shared" ca="1" si="3"/>
        <v>0.71583331115729221</v>
      </c>
      <c r="C230" s="5" t="s">
        <v>24</v>
      </c>
    </row>
    <row r="231" spans="1:3" x14ac:dyDescent="0.2">
      <c r="A231" s="5">
        <v>229</v>
      </c>
      <c r="B231" s="5">
        <f t="shared" ca="1" si="3"/>
        <v>0.43020836621041392</v>
      </c>
      <c r="C231" s="5" t="s">
        <v>24</v>
      </c>
    </row>
    <row r="232" spans="1:3" x14ac:dyDescent="0.2">
      <c r="A232" s="5">
        <v>230</v>
      </c>
      <c r="B232" s="5">
        <f t="shared" ca="1" si="3"/>
        <v>0.71793924516610608</v>
      </c>
      <c r="C232" s="5" t="s">
        <v>23</v>
      </c>
    </row>
    <row r="233" spans="1:3" x14ac:dyDescent="0.2">
      <c r="A233" s="5">
        <v>231</v>
      </c>
      <c r="B233" s="5">
        <f t="shared" ca="1" si="3"/>
        <v>0.88112437001383137</v>
      </c>
      <c r="C233" s="5" t="s">
        <v>23</v>
      </c>
    </row>
    <row r="234" spans="1:3" x14ac:dyDescent="0.2">
      <c r="A234" s="5">
        <v>232</v>
      </c>
      <c r="B234" s="5">
        <f t="shared" ca="1" si="3"/>
        <v>0.33154394992656716</v>
      </c>
      <c r="C234" s="5" t="s">
        <v>24</v>
      </c>
    </row>
    <row r="235" spans="1:3" x14ac:dyDescent="0.2">
      <c r="A235" s="5">
        <v>233</v>
      </c>
      <c r="B235" s="5">
        <f t="shared" ca="1" si="3"/>
        <v>0.59989489306911248</v>
      </c>
      <c r="C235" s="5" t="s">
        <v>24</v>
      </c>
    </row>
    <row r="236" spans="1:3" x14ac:dyDescent="0.2">
      <c r="A236" s="5">
        <v>234</v>
      </c>
      <c r="B236" s="5">
        <f t="shared" ca="1" si="3"/>
        <v>0.75965879731389085</v>
      </c>
      <c r="C236" s="5" t="s">
        <v>23</v>
      </c>
    </row>
    <row r="237" spans="1:3" x14ac:dyDescent="0.2">
      <c r="A237" s="5">
        <v>235</v>
      </c>
      <c r="B237" s="5">
        <f t="shared" ca="1" si="3"/>
        <v>0.37837104752370199</v>
      </c>
      <c r="C237" s="5" t="s">
        <v>24</v>
      </c>
    </row>
    <row r="238" spans="1:3" x14ac:dyDescent="0.2">
      <c r="A238" s="5">
        <v>236</v>
      </c>
      <c r="B238" s="5">
        <f t="shared" ca="1" si="3"/>
        <v>0.81903157969491447</v>
      </c>
      <c r="C238" s="5" t="s">
        <v>23</v>
      </c>
    </row>
    <row r="239" spans="1:3" x14ac:dyDescent="0.2">
      <c r="A239" s="5">
        <v>237</v>
      </c>
      <c r="B239" s="5">
        <f t="shared" ca="1" si="3"/>
        <v>0.72930877897278235</v>
      </c>
      <c r="C239" s="5" t="s">
        <v>24</v>
      </c>
    </row>
    <row r="240" spans="1:3" x14ac:dyDescent="0.2">
      <c r="A240" s="5">
        <v>238</v>
      </c>
      <c r="B240" s="5">
        <f t="shared" ca="1" si="3"/>
        <v>0.81238999613313456</v>
      </c>
      <c r="C240" s="5" t="s">
        <v>23</v>
      </c>
    </row>
    <row r="241" spans="1:3" x14ac:dyDescent="0.2">
      <c r="A241" s="5">
        <v>239</v>
      </c>
      <c r="B241" s="5">
        <f t="shared" ca="1" si="3"/>
        <v>0.57436911701169902</v>
      </c>
      <c r="C241" s="5" t="s">
        <v>24</v>
      </c>
    </row>
    <row r="242" spans="1:3" x14ac:dyDescent="0.2">
      <c r="A242" s="5">
        <v>240</v>
      </c>
      <c r="B242" s="5">
        <f t="shared" ca="1" si="3"/>
        <v>0.92283511488393977</v>
      </c>
      <c r="C242" s="5" t="s">
        <v>24</v>
      </c>
    </row>
    <row r="243" spans="1:3" x14ac:dyDescent="0.2">
      <c r="A243" s="5">
        <v>241</v>
      </c>
      <c r="B243" s="5">
        <f t="shared" ca="1" si="3"/>
        <v>0.67704543707084086</v>
      </c>
      <c r="C243" s="5" t="s">
        <v>23</v>
      </c>
    </row>
    <row r="244" spans="1:3" x14ac:dyDescent="0.2">
      <c r="A244" s="5">
        <v>242</v>
      </c>
      <c r="B244" s="5">
        <f t="shared" ca="1" si="3"/>
        <v>0.61632960529817682</v>
      </c>
      <c r="C244" s="5" t="s">
        <v>23</v>
      </c>
    </row>
    <row r="245" spans="1:3" x14ac:dyDescent="0.2">
      <c r="A245" s="5">
        <v>243</v>
      </c>
      <c r="B245" s="5">
        <f t="shared" ca="1" si="3"/>
        <v>0.60435863772245413</v>
      </c>
      <c r="C245" s="5" t="s">
        <v>23</v>
      </c>
    </row>
    <row r="246" spans="1:3" x14ac:dyDescent="0.2">
      <c r="A246" s="5">
        <v>244</v>
      </c>
      <c r="B246" s="5">
        <f t="shared" ca="1" si="3"/>
        <v>0.55840521943217758</v>
      </c>
      <c r="C246" s="5" t="s">
        <v>24</v>
      </c>
    </row>
    <row r="247" spans="1:3" x14ac:dyDescent="0.2">
      <c r="A247" s="5">
        <v>245</v>
      </c>
      <c r="B247" s="5">
        <f t="shared" ca="1" si="3"/>
        <v>0.74381016458619031</v>
      </c>
      <c r="C247" s="5" t="s">
        <v>23</v>
      </c>
    </row>
    <row r="248" spans="1:3" x14ac:dyDescent="0.2">
      <c r="A248" s="5">
        <v>246</v>
      </c>
      <c r="B248" s="5">
        <f t="shared" ca="1" si="3"/>
        <v>0.78627410058152725</v>
      </c>
      <c r="C248" s="5" t="s">
        <v>23</v>
      </c>
    </row>
    <row r="249" spans="1:3" x14ac:dyDescent="0.2">
      <c r="A249" s="5">
        <v>247</v>
      </c>
      <c r="B249" s="5">
        <f t="shared" ca="1" si="3"/>
        <v>0.60433151879186653</v>
      </c>
      <c r="C249" s="5" t="s">
        <v>24</v>
      </c>
    </row>
    <row r="250" spans="1:3" x14ac:dyDescent="0.2">
      <c r="A250" s="5">
        <v>248</v>
      </c>
      <c r="B250" s="5">
        <f t="shared" ca="1" si="3"/>
        <v>0.60456197436698811</v>
      </c>
      <c r="C250" s="5" t="s">
        <v>23</v>
      </c>
    </row>
    <row r="251" spans="1:3" x14ac:dyDescent="0.2">
      <c r="A251" s="5">
        <v>249</v>
      </c>
      <c r="B251" s="5">
        <f t="shared" ca="1" si="3"/>
        <v>0.65946896436833258</v>
      </c>
      <c r="C251" s="5" t="s">
        <v>24</v>
      </c>
    </row>
    <row r="252" spans="1:3" x14ac:dyDescent="0.2">
      <c r="A252" s="5">
        <v>250</v>
      </c>
      <c r="B252" s="5">
        <f t="shared" ca="1" si="3"/>
        <v>0.6291592994634202</v>
      </c>
      <c r="C252" s="5" t="s">
        <v>23</v>
      </c>
    </row>
    <row r="253" spans="1:3" x14ac:dyDescent="0.2">
      <c r="A253" s="5">
        <v>251</v>
      </c>
      <c r="B253" s="5">
        <f t="shared" ca="1" si="3"/>
        <v>0.69313763639590598</v>
      </c>
      <c r="C253" s="5" t="s">
        <v>24</v>
      </c>
    </row>
    <row r="254" spans="1:3" x14ac:dyDescent="0.2">
      <c r="A254" s="5">
        <v>252</v>
      </c>
      <c r="B254" s="5">
        <f t="shared" ca="1" si="3"/>
        <v>0.70478066846096454</v>
      </c>
      <c r="C254" s="5" t="s">
        <v>23</v>
      </c>
    </row>
    <row r="255" spans="1:3" x14ac:dyDescent="0.2">
      <c r="A255" s="5">
        <v>253</v>
      </c>
      <c r="B255" s="5">
        <f t="shared" ca="1" si="3"/>
        <v>0.70526759845902232</v>
      </c>
      <c r="C255" s="5" t="s">
        <v>23</v>
      </c>
    </row>
    <row r="256" spans="1:3" x14ac:dyDescent="0.2">
      <c r="A256" s="5">
        <v>254</v>
      </c>
      <c r="B256" s="5">
        <f t="shared" ca="1" si="3"/>
        <v>0.73834196000058849</v>
      </c>
      <c r="C256" s="5" t="s">
        <v>23</v>
      </c>
    </row>
    <row r="257" spans="1:3" x14ac:dyDescent="0.2">
      <c r="A257" s="5">
        <v>255</v>
      </c>
      <c r="B257" s="5">
        <f t="shared" ca="1" si="3"/>
        <v>0.73993335913716474</v>
      </c>
      <c r="C257" s="5" t="s">
        <v>24</v>
      </c>
    </row>
    <row r="258" spans="1:3" x14ac:dyDescent="0.2">
      <c r="A258" s="5">
        <v>256</v>
      </c>
      <c r="B258" s="5">
        <f t="shared" ca="1" si="3"/>
        <v>0.72382293918923646</v>
      </c>
      <c r="C258" s="5" t="s">
        <v>24</v>
      </c>
    </row>
    <row r="259" spans="1:3" x14ac:dyDescent="0.2">
      <c r="A259" s="5">
        <v>257</v>
      </c>
      <c r="B259" s="5">
        <f t="shared" ca="1" si="3"/>
        <v>0.8922172007034801</v>
      </c>
      <c r="C259" s="5" t="s">
        <v>24</v>
      </c>
    </row>
    <row r="260" spans="1:3" x14ac:dyDescent="0.2">
      <c r="A260" s="5">
        <v>258</v>
      </c>
      <c r="B260" s="5">
        <f t="shared" ref="B260:B323" ca="1" si="4">IF(C260="Bomb",_xlfn.NORM.INV(RAND(),0.7,0.1),_xlfn.NORM.INV(RAND(),0.6,0.15))</f>
        <v>0.7171159855839766</v>
      </c>
      <c r="C260" s="5" t="s">
        <v>24</v>
      </c>
    </row>
    <row r="261" spans="1:3" x14ac:dyDescent="0.2">
      <c r="A261" s="5">
        <v>259</v>
      </c>
      <c r="B261" s="5">
        <f t="shared" ca="1" si="4"/>
        <v>0.56742057622618292</v>
      </c>
      <c r="C261" s="5" t="s">
        <v>24</v>
      </c>
    </row>
    <row r="262" spans="1:3" x14ac:dyDescent="0.2">
      <c r="A262" s="5">
        <v>260</v>
      </c>
      <c r="B262" s="5">
        <f t="shared" ca="1" si="4"/>
        <v>0.6212244143779807</v>
      </c>
      <c r="C262" s="5" t="s">
        <v>23</v>
      </c>
    </row>
    <row r="263" spans="1:3" x14ac:dyDescent="0.2">
      <c r="A263" s="5">
        <v>261</v>
      </c>
      <c r="B263" s="5">
        <f t="shared" ca="1" si="4"/>
        <v>0.63058706504350359</v>
      </c>
      <c r="C263" s="5" t="s">
        <v>23</v>
      </c>
    </row>
    <row r="264" spans="1:3" x14ac:dyDescent="0.2">
      <c r="A264" s="5">
        <v>262</v>
      </c>
      <c r="B264" s="5">
        <f t="shared" ca="1" si="4"/>
        <v>0.64416687977685483</v>
      </c>
      <c r="C264" s="5" t="s">
        <v>23</v>
      </c>
    </row>
    <row r="265" spans="1:3" x14ac:dyDescent="0.2">
      <c r="A265" s="5">
        <v>263</v>
      </c>
      <c r="B265" s="5">
        <f t="shared" ca="1" si="4"/>
        <v>0.48748108584545879</v>
      </c>
      <c r="C265" s="5" t="s">
        <v>23</v>
      </c>
    </row>
    <row r="266" spans="1:3" x14ac:dyDescent="0.2">
      <c r="A266" s="5">
        <v>264</v>
      </c>
      <c r="B266" s="5">
        <f t="shared" ca="1" si="4"/>
        <v>0.42963601101901294</v>
      </c>
      <c r="C266" s="5" t="s">
        <v>24</v>
      </c>
    </row>
    <row r="267" spans="1:3" x14ac:dyDescent="0.2">
      <c r="A267" s="5">
        <v>265</v>
      </c>
      <c r="B267" s="5">
        <f t="shared" ca="1" si="4"/>
        <v>0.62810157690194346</v>
      </c>
      <c r="C267" s="5" t="s">
        <v>23</v>
      </c>
    </row>
    <row r="268" spans="1:3" x14ac:dyDescent="0.2">
      <c r="A268" s="5">
        <v>266</v>
      </c>
      <c r="B268" s="5">
        <f t="shared" ca="1" si="4"/>
        <v>0.78644316806419412</v>
      </c>
      <c r="C268" s="5" t="s">
        <v>23</v>
      </c>
    </row>
    <row r="269" spans="1:3" x14ac:dyDescent="0.2">
      <c r="A269" s="5">
        <v>267</v>
      </c>
      <c r="B269" s="5">
        <f t="shared" ca="1" si="4"/>
        <v>0.5347397811366883</v>
      </c>
      <c r="C269" s="5" t="s">
        <v>24</v>
      </c>
    </row>
    <row r="270" spans="1:3" x14ac:dyDescent="0.2">
      <c r="A270" s="5">
        <v>268</v>
      </c>
      <c r="B270" s="5">
        <f t="shared" ca="1" si="4"/>
        <v>0.59340888448868845</v>
      </c>
      <c r="C270" s="5" t="s">
        <v>24</v>
      </c>
    </row>
    <row r="271" spans="1:3" x14ac:dyDescent="0.2">
      <c r="A271" s="5">
        <v>269</v>
      </c>
      <c r="B271" s="5">
        <f t="shared" ca="1" si="4"/>
        <v>0.89357200812570969</v>
      </c>
      <c r="C271" s="5" t="s">
        <v>23</v>
      </c>
    </row>
    <row r="272" spans="1:3" x14ac:dyDescent="0.2">
      <c r="A272" s="5">
        <v>270</v>
      </c>
      <c r="B272" s="5">
        <f t="shared" ca="1" si="4"/>
        <v>0.6692181381559803</v>
      </c>
      <c r="C272" s="5" t="s">
        <v>23</v>
      </c>
    </row>
    <row r="273" spans="1:3" x14ac:dyDescent="0.2">
      <c r="A273" s="5">
        <v>271</v>
      </c>
      <c r="B273" s="5">
        <f t="shared" ca="1" si="4"/>
        <v>0.64672294119407392</v>
      </c>
      <c r="C273" s="5" t="s">
        <v>24</v>
      </c>
    </row>
    <row r="274" spans="1:3" x14ac:dyDescent="0.2">
      <c r="A274" s="5">
        <v>272</v>
      </c>
      <c r="B274" s="5">
        <f t="shared" ca="1" si="4"/>
        <v>0.70926453670235223</v>
      </c>
      <c r="C274" s="5" t="s">
        <v>24</v>
      </c>
    </row>
    <row r="275" spans="1:3" x14ac:dyDescent="0.2">
      <c r="A275" s="5">
        <v>273</v>
      </c>
      <c r="B275" s="5">
        <f t="shared" ca="1" si="4"/>
        <v>0.54134104228394375</v>
      </c>
      <c r="C275" s="5" t="s">
        <v>23</v>
      </c>
    </row>
    <row r="276" spans="1:3" x14ac:dyDescent="0.2">
      <c r="A276" s="5">
        <v>274</v>
      </c>
      <c r="B276" s="5">
        <f t="shared" ca="1" si="4"/>
        <v>0.75017707724908678</v>
      </c>
      <c r="C276" s="5" t="s">
        <v>24</v>
      </c>
    </row>
    <row r="277" spans="1:3" x14ac:dyDescent="0.2">
      <c r="A277" s="5">
        <v>275</v>
      </c>
      <c r="B277" s="5">
        <f t="shared" ca="1" si="4"/>
        <v>0.73335972935706484</v>
      </c>
      <c r="C277" s="5" t="s">
        <v>24</v>
      </c>
    </row>
    <row r="278" spans="1:3" x14ac:dyDescent="0.2">
      <c r="A278" s="5">
        <v>276</v>
      </c>
      <c r="B278" s="5">
        <f t="shared" ca="1" si="4"/>
        <v>0.63736454722082292</v>
      </c>
      <c r="C278" s="5" t="s">
        <v>23</v>
      </c>
    </row>
    <row r="279" spans="1:3" x14ac:dyDescent="0.2">
      <c r="A279" s="5">
        <v>277</v>
      </c>
      <c r="B279" s="5">
        <f t="shared" ca="1" si="4"/>
        <v>0.51262688406290413</v>
      </c>
      <c r="C279" s="5" t="s">
        <v>23</v>
      </c>
    </row>
    <row r="280" spans="1:3" x14ac:dyDescent="0.2">
      <c r="A280" s="5">
        <v>278</v>
      </c>
      <c r="B280" s="5">
        <f t="shared" ca="1" si="4"/>
        <v>0.72994444545539527</v>
      </c>
      <c r="C280" s="5" t="s">
        <v>24</v>
      </c>
    </row>
    <row r="281" spans="1:3" x14ac:dyDescent="0.2">
      <c r="A281" s="5">
        <v>279</v>
      </c>
      <c r="B281" s="5">
        <f t="shared" ca="1" si="4"/>
        <v>0.66682731493671099</v>
      </c>
      <c r="C281" s="5" t="s">
        <v>24</v>
      </c>
    </row>
    <row r="282" spans="1:3" x14ac:dyDescent="0.2">
      <c r="A282" s="5">
        <v>280</v>
      </c>
      <c r="B282" s="5">
        <f t="shared" ca="1" si="4"/>
        <v>0.67620070057495862</v>
      </c>
      <c r="C282" s="5" t="s">
        <v>24</v>
      </c>
    </row>
    <row r="283" spans="1:3" x14ac:dyDescent="0.2">
      <c r="A283" s="5">
        <v>281</v>
      </c>
      <c r="B283" s="5">
        <f t="shared" ca="1" si="4"/>
        <v>0.37848821188878945</v>
      </c>
      <c r="C283" s="5" t="s">
        <v>24</v>
      </c>
    </row>
    <row r="284" spans="1:3" x14ac:dyDescent="0.2">
      <c r="A284" s="5">
        <v>282</v>
      </c>
      <c r="B284" s="5">
        <f t="shared" ca="1" si="4"/>
        <v>0.77701111974927839</v>
      </c>
      <c r="C284" s="5" t="s">
        <v>23</v>
      </c>
    </row>
    <row r="285" spans="1:3" x14ac:dyDescent="0.2">
      <c r="A285" s="5">
        <v>283</v>
      </c>
      <c r="B285" s="5">
        <f t="shared" ca="1" si="4"/>
        <v>0.646674693170319</v>
      </c>
      <c r="C285" s="5" t="s">
        <v>23</v>
      </c>
    </row>
    <row r="286" spans="1:3" x14ac:dyDescent="0.2">
      <c r="A286" s="5">
        <v>284</v>
      </c>
      <c r="B286" s="5">
        <f t="shared" ca="1" si="4"/>
        <v>0.77386797138721297</v>
      </c>
      <c r="C286" s="5" t="s">
        <v>23</v>
      </c>
    </row>
    <row r="287" spans="1:3" x14ac:dyDescent="0.2">
      <c r="A287" s="5">
        <v>285</v>
      </c>
      <c r="B287" s="5">
        <f t="shared" ca="1" si="4"/>
        <v>0.51485557338964127</v>
      </c>
      <c r="C287" s="5" t="s">
        <v>24</v>
      </c>
    </row>
    <row r="288" spans="1:3" x14ac:dyDescent="0.2">
      <c r="A288" s="5">
        <v>286</v>
      </c>
      <c r="B288" s="5">
        <f t="shared" ca="1" si="4"/>
        <v>0.77163870273464719</v>
      </c>
      <c r="C288" s="5" t="s">
        <v>23</v>
      </c>
    </row>
    <row r="289" spans="1:3" x14ac:dyDescent="0.2">
      <c r="A289" s="5">
        <v>287</v>
      </c>
      <c r="B289" s="5">
        <f t="shared" ca="1" si="4"/>
        <v>0.56044051985937993</v>
      </c>
      <c r="C289" s="5" t="s">
        <v>23</v>
      </c>
    </row>
    <row r="290" spans="1:3" x14ac:dyDescent="0.2">
      <c r="A290" s="5">
        <v>288</v>
      </c>
      <c r="B290" s="5">
        <f t="shared" ca="1" si="4"/>
        <v>0.7871582651196356</v>
      </c>
      <c r="C290" s="5" t="s">
        <v>23</v>
      </c>
    </row>
    <row r="291" spans="1:3" x14ac:dyDescent="0.2">
      <c r="A291" s="5">
        <v>289</v>
      </c>
      <c r="B291" s="5">
        <f t="shared" ca="1" si="4"/>
        <v>0.81131981039449441</v>
      </c>
      <c r="C291" s="5" t="s">
        <v>23</v>
      </c>
    </row>
    <row r="292" spans="1:3" x14ac:dyDescent="0.2">
      <c r="A292" s="5">
        <v>290</v>
      </c>
      <c r="B292" s="5">
        <f t="shared" ca="1" si="4"/>
        <v>0.89828932122072969</v>
      </c>
      <c r="C292" s="5" t="s">
        <v>24</v>
      </c>
    </row>
    <row r="293" spans="1:3" x14ac:dyDescent="0.2">
      <c r="A293" s="5">
        <v>291</v>
      </c>
      <c r="B293" s="5">
        <f t="shared" ca="1" si="4"/>
        <v>0.70809409669603463</v>
      </c>
      <c r="C293" s="5" t="s">
        <v>23</v>
      </c>
    </row>
    <row r="294" spans="1:3" x14ac:dyDescent="0.2">
      <c r="A294" s="5">
        <v>292</v>
      </c>
      <c r="B294" s="5">
        <f t="shared" ca="1" si="4"/>
        <v>0.33889153665275479</v>
      </c>
      <c r="C294" s="5" t="s">
        <v>24</v>
      </c>
    </row>
    <row r="295" spans="1:3" x14ac:dyDescent="0.2">
      <c r="A295" s="5">
        <v>293</v>
      </c>
      <c r="B295" s="5">
        <f t="shared" ca="1" si="4"/>
        <v>0.80382090056029054</v>
      </c>
      <c r="C295" s="5" t="s">
        <v>23</v>
      </c>
    </row>
    <row r="296" spans="1:3" x14ac:dyDescent="0.2">
      <c r="A296" s="5">
        <v>294</v>
      </c>
      <c r="B296" s="5">
        <f t="shared" ca="1" si="4"/>
        <v>0.58392797108998984</v>
      </c>
      <c r="C296" s="5" t="s">
        <v>24</v>
      </c>
    </row>
    <row r="297" spans="1:3" x14ac:dyDescent="0.2">
      <c r="A297" s="5">
        <v>295</v>
      </c>
      <c r="B297" s="5">
        <f t="shared" ca="1" si="4"/>
        <v>0.46545803604461822</v>
      </c>
      <c r="C297" s="5" t="s">
        <v>24</v>
      </c>
    </row>
    <row r="298" spans="1:3" x14ac:dyDescent="0.2">
      <c r="A298" s="5">
        <v>296</v>
      </c>
      <c r="B298" s="5">
        <f t="shared" ca="1" si="4"/>
        <v>0.52726772435557823</v>
      </c>
      <c r="C298" s="5" t="s">
        <v>23</v>
      </c>
    </row>
    <row r="299" spans="1:3" x14ac:dyDescent="0.2">
      <c r="A299" s="5">
        <v>297</v>
      </c>
      <c r="B299" s="5">
        <f t="shared" ca="1" si="4"/>
        <v>0.81048105213169852</v>
      </c>
      <c r="C299" s="5" t="s">
        <v>23</v>
      </c>
    </row>
    <row r="300" spans="1:3" x14ac:dyDescent="0.2">
      <c r="A300" s="5">
        <v>298</v>
      </c>
      <c r="B300" s="5">
        <f t="shared" ca="1" si="4"/>
        <v>0.488567703502224</v>
      </c>
      <c r="C300" s="5" t="s">
        <v>24</v>
      </c>
    </row>
    <row r="301" spans="1:3" x14ac:dyDescent="0.2">
      <c r="A301" s="5">
        <v>299</v>
      </c>
      <c r="B301" s="5">
        <f t="shared" ca="1" si="4"/>
        <v>0.76417818499349111</v>
      </c>
      <c r="C301" s="5" t="s">
        <v>23</v>
      </c>
    </row>
    <row r="302" spans="1:3" x14ac:dyDescent="0.2">
      <c r="A302" s="5">
        <v>300</v>
      </c>
      <c r="B302" s="5">
        <f t="shared" ca="1" si="4"/>
        <v>0.77271057389747799</v>
      </c>
      <c r="C302" s="5" t="s">
        <v>23</v>
      </c>
    </row>
    <row r="303" spans="1:3" x14ac:dyDescent="0.2">
      <c r="A303" s="5">
        <v>301</v>
      </c>
      <c r="B303" s="5">
        <f t="shared" ca="1" si="4"/>
        <v>0.60688171892139764</v>
      </c>
      <c r="C303" s="5" t="s">
        <v>23</v>
      </c>
    </row>
    <row r="304" spans="1:3" x14ac:dyDescent="0.2">
      <c r="A304" s="5">
        <v>302</v>
      </c>
      <c r="B304" s="5">
        <f t="shared" ca="1" si="4"/>
        <v>0.72073969837674512</v>
      </c>
      <c r="C304" s="5" t="s">
        <v>23</v>
      </c>
    </row>
    <row r="305" spans="1:3" x14ac:dyDescent="0.2">
      <c r="A305" s="5">
        <v>303</v>
      </c>
      <c r="B305" s="5">
        <f t="shared" ca="1" si="4"/>
        <v>0.63101476616079766</v>
      </c>
      <c r="C305" s="5" t="s">
        <v>23</v>
      </c>
    </row>
    <row r="306" spans="1:3" x14ac:dyDescent="0.2">
      <c r="A306" s="5">
        <v>304</v>
      </c>
      <c r="B306" s="5">
        <f t="shared" ca="1" si="4"/>
        <v>0.72949477356536785</v>
      </c>
      <c r="C306" s="5" t="s">
        <v>23</v>
      </c>
    </row>
    <row r="307" spans="1:3" x14ac:dyDescent="0.2">
      <c r="A307" s="5">
        <v>305</v>
      </c>
      <c r="B307" s="5">
        <f t="shared" ca="1" si="4"/>
        <v>0.70171635216717454</v>
      </c>
      <c r="C307" s="5" t="s">
        <v>24</v>
      </c>
    </row>
    <row r="308" spans="1:3" x14ac:dyDescent="0.2">
      <c r="A308" s="5">
        <v>306</v>
      </c>
      <c r="B308" s="5">
        <f t="shared" ca="1" si="4"/>
        <v>0.88834173559797858</v>
      </c>
      <c r="C308" s="5" t="s">
        <v>23</v>
      </c>
    </row>
    <row r="309" spans="1:3" x14ac:dyDescent="0.2">
      <c r="A309" s="5">
        <v>307</v>
      </c>
      <c r="B309" s="5">
        <f t="shared" ca="1" si="4"/>
        <v>0.63961070238729012</v>
      </c>
      <c r="C309" s="5" t="s">
        <v>24</v>
      </c>
    </row>
    <row r="310" spans="1:3" x14ac:dyDescent="0.2">
      <c r="A310" s="5">
        <v>308</v>
      </c>
      <c r="B310" s="5">
        <f t="shared" ca="1" si="4"/>
        <v>0.79775231918692069</v>
      </c>
      <c r="C310" s="5" t="s">
        <v>23</v>
      </c>
    </row>
    <row r="311" spans="1:3" x14ac:dyDescent="0.2">
      <c r="A311" s="5">
        <v>309</v>
      </c>
      <c r="B311" s="5">
        <f t="shared" ca="1" si="4"/>
        <v>0.72629173665847369</v>
      </c>
      <c r="C311" s="5" t="s">
        <v>23</v>
      </c>
    </row>
    <row r="312" spans="1:3" x14ac:dyDescent="0.2">
      <c r="A312" s="5">
        <v>310</v>
      </c>
      <c r="B312" s="5">
        <f t="shared" ca="1" si="4"/>
        <v>0.51704256016304029</v>
      </c>
      <c r="C312" s="5" t="s">
        <v>24</v>
      </c>
    </row>
    <row r="313" spans="1:3" x14ac:dyDescent="0.2">
      <c r="A313" s="5">
        <v>311</v>
      </c>
      <c r="B313" s="5">
        <f t="shared" ca="1" si="4"/>
        <v>0.77917959897432354</v>
      </c>
      <c r="C313" s="5" t="s">
        <v>23</v>
      </c>
    </row>
    <row r="314" spans="1:3" x14ac:dyDescent="0.2">
      <c r="A314" s="5">
        <v>312</v>
      </c>
      <c r="B314" s="5">
        <f t="shared" ca="1" si="4"/>
        <v>0.61136274601158214</v>
      </c>
      <c r="C314" s="5" t="s">
        <v>23</v>
      </c>
    </row>
    <row r="315" spans="1:3" x14ac:dyDescent="0.2">
      <c r="A315" s="5">
        <v>313</v>
      </c>
      <c r="B315" s="5">
        <f t="shared" ca="1" si="4"/>
        <v>0.96145496252686058</v>
      </c>
      <c r="C315" s="5" t="s">
        <v>24</v>
      </c>
    </row>
    <row r="316" spans="1:3" x14ac:dyDescent="0.2">
      <c r="A316" s="5">
        <v>314</v>
      </c>
      <c r="B316" s="5">
        <f t="shared" ca="1" si="4"/>
        <v>0.70914893423615954</v>
      </c>
      <c r="C316" s="5" t="s">
        <v>24</v>
      </c>
    </row>
    <row r="317" spans="1:3" x14ac:dyDescent="0.2">
      <c r="A317" s="5">
        <v>315</v>
      </c>
      <c r="B317" s="5">
        <f t="shared" ca="1" si="4"/>
        <v>0.61704456394385676</v>
      </c>
      <c r="C317" s="5" t="s">
        <v>23</v>
      </c>
    </row>
    <row r="318" spans="1:3" x14ac:dyDescent="0.2">
      <c r="A318" s="5">
        <v>316</v>
      </c>
      <c r="B318" s="5">
        <f t="shared" ca="1" si="4"/>
        <v>0.77942494022642983</v>
      </c>
      <c r="C318" s="5" t="s">
        <v>23</v>
      </c>
    </row>
    <row r="319" spans="1:3" x14ac:dyDescent="0.2">
      <c r="A319" s="5">
        <v>317</v>
      </c>
      <c r="B319" s="5">
        <f t="shared" ca="1" si="4"/>
        <v>0.61271571264441382</v>
      </c>
      <c r="C319" s="5" t="s">
        <v>24</v>
      </c>
    </row>
    <row r="320" spans="1:3" x14ac:dyDescent="0.2">
      <c r="A320" s="5">
        <v>318</v>
      </c>
      <c r="B320" s="5">
        <f t="shared" ca="1" si="4"/>
        <v>0.79952971270724726</v>
      </c>
      <c r="C320" s="5" t="s">
        <v>23</v>
      </c>
    </row>
    <row r="321" spans="1:3" x14ac:dyDescent="0.2">
      <c r="A321" s="5">
        <v>319</v>
      </c>
      <c r="B321" s="5">
        <f t="shared" ca="1" si="4"/>
        <v>0.54720475966548843</v>
      </c>
      <c r="C321" s="5" t="s">
        <v>24</v>
      </c>
    </row>
    <row r="322" spans="1:3" x14ac:dyDescent="0.2">
      <c r="A322" s="5">
        <v>320</v>
      </c>
      <c r="B322" s="5">
        <f t="shared" ca="1" si="4"/>
        <v>0.56150662310649802</v>
      </c>
      <c r="C322" s="5" t="s">
        <v>24</v>
      </c>
    </row>
    <row r="323" spans="1:3" x14ac:dyDescent="0.2">
      <c r="A323" s="5">
        <v>321</v>
      </c>
      <c r="B323" s="5">
        <f t="shared" ca="1" si="4"/>
        <v>0.6504481242587119</v>
      </c>
      <c r="C323" s="5" t="s">
        <v>23</v>
      </c>
    </row>
    <row r="324" spans="1:3" x14ac:dyDescent="0.2">
      <c r="A324" s="5">
        <v>322</v>
      </c>
      <c r="B324" s="5">
        <f t="shared" ref="B324:B387" ca="1" si="5">IF(C324="Bomb",_xlfn.NORM.INV(RAND(),0.7,0.1),_xlfn.NORM.INV(RAND(),0.6,0.15))</f>
        <v>0.68040046460809001</v>
      </c>
      <c r="C324" s="5" t="s">
        <v>23</v>
      </c>
    </row>
    <row r="325" spans="1:3" x14ac:dyDescent="0.2">
      <c r="A325" s="5">
        <v>323</v>
      </c>
      <c r="B325" s="5">
        <f t="shared" ca="1" si="5"/>
        <v>0.62159994262305907</v>
      </c>
      <c r="C325" s="5" t="s">
        <v>23</v>
      </c>
    </row>
    <row r="326" spans="1:3" x14ac:dyDescent="0.2">
      <c r="A326" s="5">
        <v>324</v>
      </c>
      <c r="B326" s="5">
        <f t="shared" ca="1" si="5"/>
        <v>0.79689796815141933</v>
      </c>
      <c r="C326" s="5" t="s">
        <v>24</v>
      </c>
    </row>
    <row r="327" spans="1:3" x14ac:dyDescent="0.2">
      <c r="A327" s="5">
        <v>325</v>
      </c>
      <c r="B327" s="5">
        <f t="shared" ca="1" si="5"/>
        <v>0.83241926252782039</v>
      </c>
      <c r="C327" s="5" t="s">
        <v>24</v>
      </c>
    </row>
    <row r="328" spans="1:3" x14ac:dyDescent="0.2">
      <c r="A328" s="5">
        <v>326</v>
      </c>
      <c r="B328" s="5">
        <f t="shared" ca="1" si="5"/>
        <v>0.60402795150469712</v>
      </c>
      <c r="C328" s="5" t="s">
        <v>23</v>
      </c>
    </row>
    <row r="329" spans="1:3" x14ac:dyDescent="0.2">
      <c r="A329" s="5">
        <v>327</v>
      </c>
      <c r="B329" s="5">
        <f t="shared" ca="1" si="5"/>
        <v>0.48028458712671424</v>
      </c>
      <c r="C329" s="5" t="s">
        <v>24</v>
      </c>
    </row>
    <row r="330" spans="1:3" x14ac:dyDescent="0.2">
      <c r="A330" s="5">
        <v>328</v>
      </c>
      <c r="B330" s="5">
        <f t="shared" ca="1" si="5"/>
        <v>0.51378092457041213</v>
      </c>
      <c r="C330" s="5" t="s">
        <v>24</v>
      </c>
    </row>
    <row r="331" spans="1:3" x14ac:dyDescent="0.2">
      <c r="A331" s="5">
        <v>329</v>
      </c>
      <c r="B331" s="5">
        <f t="shared" ca="1" si="5"/>
        <v>0.58059861045427319</v>
      </c>
      <c r="C331" s="5" t="s">
        <v>23</v>
      </c>
    </row>
    <row r="332" spans="1:3" x14ac:dyDescent="0.2">
      <c r="A332" s="5">
        <v>330</v>
      </c>
      <c r="B332" s="5">
        <f t="shared" ca="1" si="5"/>
        <v>0.82437362197135411</v>
      </c>
      <c r="C332" s="5" t="s">
        <v>24</v>
      </c>
    </row>
    <row r="333" spans="1:3" x14ac:dyDescent="0.2">
      <c r="A333" s="5">
        <v>331</v>
      </c>
      <c r="B333" s="5">
        <f t="shared" ca="1" si="5"/>
        <v>0.48260092175347019</v>
      </c>
      <c r="C333" s="5" t="s">
        <v>24</v>
      </c>
    </row>
    <row r="334" spans="1:3" x14ac:dyDescent="0.2">
      <c r="A334" s="5">
        <v>332</v>
      </c>
      <c r="B334" s="5">
        <f t="shared" ca="1" si="5"/>
        <v>0.79021176792857206</v>
      </c>
      <c r="C334" s="5" t="s">
        <v>23</v>
      </c>
    </row>
    <row r="335" spans="1:3" x14ac:dyDescent="0.2">
      <c r="A335" s="5">
        <v>333</v>
      </c>
      <c r="B335" s="5">
        <f t="shared" ca="1" si="5"/>
        <v>0.27558917292604196</v>
      </c>
      <c r="C335" s="5" t="s">
        <v>24</v>
      </c>
    </row>
    <row r="336" spans="1:3" x14ac:dyDescent="0.2">
      <c r="A336" s="5">
        <v>334</v>
      </c>
      <c r="B336" s="5">
        <f t="shared" ca="1" si="5"/>
        <v>0.60434613935343562</v>
      </c>
      <c r="C336" s="5" t="s">
        <v>24</v>
      </c>
    </row>
    <row r="337" spans="1:3" x14ac:dyDescent="0.2">
      <c r="A337" s="5">
        <v>335</v>
      </c>
      <c r="B337" s="5">
        <f t="shared" ca="1" si="5"/>
        <v>0.84222985541836537</v>
      </c>
      <c r="C337" s="5" t="s">
        <v>24</v>
      </c>
    </row>
    <row r="338" spans="1:3" x14ac:dyDescent="0.2">
      <c r="A338" s="5">
        <v>336</v>
      </c>
      <c r="B338" s="5">
        <f t="shared" ca="1" si="5"/>
        <v>0.87575063114047569</v>
      </c>
      <c r="C338" s="5" t="s">
        <v>23</v>
      </c>
    </row>
    <row r="339" spans="1:3" x14ac:dyDescent="0.2">
      <c r="A339" s="5">
        <v>337</v>
      </c>
      <c r="B339" s="5">
        <f t="shared" ca="1" si="5"/>
        <v>0.54640503275589547</v>
      </c>
      <c r="C339" s="5" t="s">
        <v>23</v>
      </c>
    </row>
    <row r="340" spans="1:3" x14ac:dyDescent="0.2">
      <c r="A340" s="5">
        <v>338</v>
      </c>
      <c r="B340" s="5">
        <f t="shared" ca="1" si="5"/>
        <v>0.69443492153019459</v>
      </c>
      <c r="C340" s="5" t="s">
        <v>23</v>
      </c>
    </row>
    <row r="341" spans="1:3" x14ac:dyDescent="0.2">
      <c r="A341" s="5">
        <v>339</v>
      </c>
      <c r="B341" s="5">
        <f t="shared" ca="1" si="5"/>
        <v>0.66702926469778723</v>
      </c>
      <c r="C341" s="5" t="s">
        <v>24</v>
      </c>
    </row>
    <row r="342" spans="1:3" x14ac:dyDescent="0.2">
      <c r="A342" s="5">
        <v>340</v>
      </c>
      <c r="B342" s="5">
        <f t="shared" ca="1" si="5"/>
        <v>0.71081138897644114</v>
      </c>
      <c r="C342" s="5" t="s">
        <v>24</v>
      </c>
    </row>
    <row r="343" spans="1:3" x14ac:dyDescent="0.2">
      <c r="A343" s="5">
        <v>341</v>
      </c>
      <c r="B343" s="5">
        <f t="shared" ca="1" si="5"/>
        <v>0.55900405944851739</v>
      </c>
      <c r="C343" s="5" t="s">
        <v>24</v>
      </c>
    </row>
    <row r="344" spans="1:3" x14ac:dyDescent="0.2">
      <c r="A344" s="5">
        <v>342</v>
      </c>
      <c r="B344" s="5">
        <f t="shared" ca="1" si="5"/>
        <v>0.47076614726177368</v>
      </c>
      <c r="C344" s="5" t="s">
        <v>24</v>
      </c>
    </row>
    <row r="345" spans="1:3" x14ac:dyDescent="0.2">
      <c r="A345" s="5">
        <v>343</v>
      </c>
      <c r="B345" s="5">
        <f t="shared" ca="1" si="5"/>
        <v>0.64450792573969418</v>
      </c>
      <c r="C345" s="5" t="s">
        <v>23</v>
      </c>
    </row>
    <row r="346" spans="1:3" x14ac:dyDescent="0.2">
      <c r="A346" s="5">
        <v>344</v>
      </c>
      <c r="B346" s="5">
        <f t="shared" ca="1" si="5"/>
        <v>0.73164566418616028</v>
      </c>
      <c r="C346" s="5" t="s">
        <v>23</v>
      </c>
    </row>
    <row r="347" spans="1:3" x14ac:dyDescent="0.2">
      <c r="A347" s="5">
        <v>345</v>
      </c>
      <c r="B347" s="5">
        <f t="shared" ca="1" si="5"/>
        <v>0.65690113896751834</v>
      </c>
      <c r="C347" s="5" t="s">
        <v>24</v>
      </c>
    </row>
    <row r="348" spans="1:3" x14ac:dyDescent="0.2">
      <c r="A348" s="5">
        <v>346</v>
      </c>
      <c r="B348" s="5">
        <f t="shared" ca="1" si="5"/>
        <v>0.78521391728385603</v>
      </c>
      <c r="C348" s="5" t="s">
        <v>23</v>
      </c>
    </row>
    <row r="349" spans="1:3" x14ac:dyDescent="0.2">
      <c r="A349" s="5">
        <v>347</v>
      </c>
      <c r="B349" s="5">
        <f t="shared" ca="1" si="5"/>
        <v>0.71713317608632832</v>
      </c>
      <c r="C349" s="5" t="s">
        <v>24</v>
      </c>
    </row>
    <row r="350" spans="1:3" x14ac:dyDescent="0.2">
      <c r="A350" s="5">
        <v>348</v>
      </c>
      <c r="B350" s="5">
        <f t="shared" ca="1" si="5"/>
        <v>0.66324928685035667</v>
      </c>
      <c r="C350" s="5" t="s">
        <v>23</v>
      </c>
    </row>
    <row r="351" spans="1:3" x14ac:dyDescent="0.2">
      <c r="A351" s="5">
        <v>349</v>
      </c>
      <c r="B351" s="5">
        <f t="shared" ca="1" si="5"/>
        <v>0.59937417080426014</v>
      </c>
      <c r="C351" s="5" t="s">
        <v>23</v>
      </c>
    </row>
    <row r="352" spans="1:3" x14ac:dyDescent="0.2">
      <c r="A352" s="5">
        <v>350</v>
      </c>
      <c r="B352" s="5">
        <f t="shared" ca="1" si="5"/>
        <v>0.74413805208888673</v>
      </c>
      <c r="C352" s="5" t="s">
        <v>24</v>
      </c>
    </row>
    <row r="353" spans="1:3" x14ac:dyDescent="0.2">
      <c r="A353" s="5">
        <v>351</v>
      </c>
      <c r="B353" s="5">
        <f t="shared" ca="1" si="5"/>
        <v>0.61106036866968849</v>
      </c>
      <c r="C353" s="5" t="s">
        <v>24</v>
      </c>
    </row>
    <row r="354" spans="1:3" x14ac:dyDescent="0.2">
      <c r="A354" s="5">
        <v>352</v>
      </c>
      <c r="B354" s="5">
        <f t="shared" ca="1" si="5"/>
        <v>0.63739984184499121</v>
      </c>
      <c r="C354" s="5" t="s">
        <v>24</v>
      </c>
    </row>
    <row r="355" spans="1:3" x14ac:dyDescent="0.2">
      <c r="A355" s="5">
        <v>353</v>
      </c>
      <c r="B355" s="5">
        <f t="shared" ca="1" si="5"/>
        <v>0.82258503719983977</v>
      </c>
      <c r="C355" s="5" t="s">
        <v>23</v>
      </c>
    </row>
    <row r="356" spans="1:3" x14ac:dyDescent="0.2">
      <c r="A356" s="5">
        <v>354</v>
      </c>
      <c r="B356" s="5">
        <f t="shared" ca="1" si="5"/>
        <v>0.85124095797249644</v>
      </c>
      <c r="C356" s="5" t="s">
        <v>23</v>
      </c>
    </row>
    <row r="357" spans="1:3" x14ac:dyDescent="0.2">
      <c r="A357" s="5">
        <v>355</v>
      </c>
      <c r="B357" s="5">
        <f t="shared" ca="1" si="5"/>
        <v>0.66232226674056416</v>
      </c>
      <c r="C357" s="5" t="s">
        <v>23</v>
      </c>
    </row>
    <row r="358" spans="1:3" x14ac:dyDescent="0.2">
      <c r="A358" s="5">
        <v>356</v>
      </c>
      <c r="B358" s="5">
        <f t="shared" ca="1" si="5"/>
        <v>0.52737252545084679</v>
      </c>
      <c r="C358" s="5" t="s">
        <v>23</v>
      </c>
    </row>
    <row r="359" spans="1:3" x14ac:dyDescent="0.2">
      <c r="A359" s="5">
        <v>357</v>
      </c>
      <c r="B359" s="5">
        <f t="shared" ca="1" si="5"/>
        <v>0.58251652900875561</v>
      </c>
      <c r="C359" s="5" t="s">
        <v>24</v>
      </c>
    </row>
    <row r="360" spans="1:3" x14ac:dyDescent="0.2">
      <c r="A360" s="5">
        <v>358</v>
      </c>
      <c r="B360" s="5">
        <f t="shared" ca="1" si="5"/>
        <v>0.77979586830948211</v>
      </c>
      <c r="C360" s="5" t="s">
        <v>23</v>
      </c>
    </row>
    <row r="361" spans="1:3" x14ac:dyDescent="0.2">
      <c r="A361" s="5">
        <v>359</v>
      </c>
      <c r="B361" s="5">
        <f t="shared" ca="1" si="5"/>
        <v>0.49968608266893028</v>
      </c>
      <c r="C361" s="5" t="s">
        <v>24</v>
      </c>
    </row>
    <row r="362" spans="1:3" x14ac:dyDescent="0.2">
      <c r="A362" s="5">
        <v>360</v>
      </c>
      <c r="B362" s="5">
        <f t="shared" ca="1" si="5"/>
        <v>0.57750063052169454</v>
      </c>
      <c r="C362" s="5" t="s">
        <v>24</v>
      </c>
    </row>
    <row r="363" spans="1:3" x14ac:dyDescent="0.2">
      <c r="A363" s="5">
        <v>361</v>
      </c>
      <c r="B363" s="5">
        <f t="shared" ca="1" si="5"/>
        <v>0.63364555981271409</v>
      </c>
      <c r="C363" s="5" t="s">
        <v>23</v>
      </c>
    </row>
    <row r="364" spans="1:3" x14ac:dyDescent="0.2">
      <c r="A364" s="5">
        <v>362</v>
      </c>
      <c r="B364" s="5">
        <f t="shared" ca="1" si="5"/>
        <v>0.76334290343933109</v>
      </c>
      <c r="C364" s="5" t="s">
        <v>23</v>
      </c>
    </row>
    <row r="365" spans="1:3" x14ac:dyDescent="0.2">
      <c r="A365" s="5">
        <v>363</v>
      </c>
      <c r="B365" s="5">
        <f t="shared" ca="1" si="5"/>
        <v>0.8066655059770601</v>
      </c>
      <c r="C365" s="5" t="s">
        <v>24</v>
      </c>
    </row>
    <row r="366" spans="1:3" x14ac:dyDescent="0.2">
      <c r="A366" s="5">
        <v>364</v>
      </c>
      <c r="B366" s="5">
        <f t="shared" ca="1" si="5"/>
        <v>0.72980307317211024</v>
      </c>
      <c r="C366" s="5" t="s">
        <v>23</v>
      </c>
    </row>
    <row r="367" spans="1:3" x14ac:dyDescent="0.2">
      <c r="A367" s="5">
        <v>365</v>
      </c>
      <c r="B367" s="5">
        <f t="shared" ca="1" si="5"/>
        <v>0.29133213982258199</v>
      </c>
      <c r="C367" s="5" t="s">
        <v>24</v>
      </c>
    </row>
    <row r="368" spans="1:3" x14ac:dyDescent="0.2">
      <c r="A368" s="5">
        <v>366</v>
      </c>
      <c r="B368" s="5">
        <f t="shared" ca="1" si="5"/>
        <v>0.4531445616687812</v>
      </c>
      <c r="C368" s="5" t="s">
        <v>24</v>
      </c>
    </row>
    <row r="369" spans="1:3" x14ac:dyDescent="0.2">
      <c r="A369" s="5">
        <v>367</v>
      </c>
      <c r="B369" s="5">
        <f t="shared" ca="1" si="5"/>
        <v>0.52829039167136072</v>
      </c>
      <c r="C369" s="5" t="s">
        <v>23</v>
      </c>
    </row>
    <row r="370" spans="1:3" x14ac:dyDescent="0.2">
      <c r="A370" s="5">
        <v>368</v>
      </c>
      <c r="B370" s="5">
        <f t="shared" ca="1" si="5"/>
        <v>0.73663288717874675</v>
      </c>
      <c r="C370" s="5" t="s">
        <v>23</v>
      </c>
    </row>
    <row r="371" spans="1:3" x14ac:dyDescent="0.2">
      <c r="A371" s="5">
        <v>369</v>
      </c>
      <c r="B371" s="5">
        <f t="shared" ca="1" si="5"/>
        <v>0.63678768728107016</v>
      </c>
      <c r="C371" s="5" t="s">
        <v>24</v>
      </c>
    </row>
    <row r="372" spans="1:3" x14ac:dyDescent="0.2">
      <c r="A372" s="5">
        <v>370</v>
      </c>
      <c r="B372" s="5">
        <f t="shared" ca="1" si="5"/>
        <v>0.82457683733589893</v>
      </c>
      <c r="C372" s="5" t="s">
        <v>23</v>
      </c>
    </row>
    <row r="373" spans="1:3" x14ac:dyDescent="0.2">
      <c r="A373" s="5">
        <v>371</v>
      </c>
      <c r="B373" s="5">
        <f t="shared" ca="1" si="5"/>
        <v>0.53022948818647408</v>
      </c>
      <c r="C373" s="5" t="s">
        <v>23</v>
      </c>
    </row>
    <row r="374" spans="1:3" x14ac:dyDescent="0.2">
      <c r="A374" s="5">
        <v>372</v>
      </c>
      <c r="B374" s="5">
        <f t="shared" ca="1" si="5"/>
        <v>0.36588484620111844</v>
      </c>
      <c r="C374" s="5" t="s">
        <v>24</v>
      </c>
    </row>
    <row r="375" spans="1:3" x14ac:dyDescent="0.2">
      <c r="A375" s="5">
        <v>373</v>
      </c>
      <c r="B375" s="5">
        <f t="shared" ca="1" si="5"/>
        <v>0.66509706515227784</v>
      </c>
      <c r="C375" s="5" t="s">
        <v>23</v>
      </c>
    </row>
    <row r="376" spans="1:3" x14ac:dyDescent="0.2">
      <c r="A376" s="5">
        <v>374</v>
      </c>
      <c r="B376" s="5">
        <f t="shared" ca="1" si="5"/>
        <v>0.77849895885873921</v>
      </c>
      <c r="C376" s="5" t="s">
        <v>23</v>
      </c>
    </row>
    <row r="377" spans="1:3" x14ac:dyDescent="0.2">
      <c r="A377" s="5">
        <v>375</v>
      </c>
      <c r="B377" s="5">
        <f t="shared" ca="1" si="5"/>
        <v>0.73634244760182521</v>
      </c>
      <c r="C377" s="5" t="s">
        <v>24</v>
      </c>
    </row>
    <row r="378" spans="1:3" x14ac:dyDescent="0.2">
      <c r="A378" s="5">
        <v>376</v>
      </c>
      <c r="B378" s="5">
        <f t="shared" ca="1" si="5"/>
        <v>0.65033552600872002</v>
      </c>
      <c r="C378" s="5" t="s">
        <v>23</v>
      </c>
    </row>
    <row r="379" spans="1:3" x14ac:dyDescent="0.2">
      <c r="A379" s="5">
        <v>377</v>
      </c>
      <c r="B379" s="5">
        <f t="shared" ca="1" si="5"/>
        <v>0.65868190081240208</v>
      </c>
      <c r="C379" s="5" t="s">
        <v>23</v>
      </c>
    </row>
    <row r="380" spans="1:3" x14ac:dyDescent="0.2">
      <c r="A380" s="5">
        <v>378</v>
      </c>
      <c r="B380" s="5">
        <f t="shared" ca="1" si="5"/>
        <v>0.65531481271273095</v>
      </c>
      <c r="C380" s="5" t="s">
        <v>23</v>
      </c>
    </row>
    <row r="381" spans="1:3" x14ac:dyDescent="0.2">
      <c r="A381" s="5">
        <v>379</v>
      </c>
      <c r="B381" s="5">
        <f t="shared" ca="1" si="5"/>
        <v>0.67085376716793743</v>
      </c>
      <c r="C381" s="5" t="s">
        <v>23</v>
      </c>
    </row>
    <row r="382" spans="1:3" x14ac:dyDescent="0.2">
      <c r="A382" s="5">
        <v>380</v>
      </c>
      <c r="B382" s="5">
        <f t="shared" ca="1" si="5"/>
        <v>0.58628690592404942</v>
      </c>
      <c r="C382" s="5" t="s">
        <v>23</v>
      </c>
    </row>
    <row r="383" spans="1:3" x14ac:dyDescent="0.2">
      <c r="A383" s="5">
        <v>381</v>
      </c>
      <c r="B383" s="5">
        <f t="shared" ca="1" si="5"/>
        <v>0.51531850035528115</v>
      </c>
      <c r="C383" s="5" t="s">
        <v>23</v>
      </c>
    </row>
    <row r="384" spans="1:3" x14ac:dyDescent="0.2">
      <c r="A384" s="5">
        <v>382</v>
      </c>
      <c r="B384" s="5">
        <f t="shared" ca="1" si="5"/>
        <v>0.6611430439175584</v>
      </c>
      <c r="C384" s="5" t="s">
        <v>23</v>
      </c>
    </row>
    <row r="385" spans="1:3" x14ac:dyDescent="0.2">
      <c r="A385" s="5">
        <v>383</v>
      </c>
      <c r="B385" s="5">
        <f t="shared" ca="1" si="5"/>
        <v>0.79483139079992293</v>
      </c>
      <c r="C385" s="5" t="s">
        <v>24</v>
      </c>
    </row>
    <row r="386" spans="1:3" x14ac:dyDescent="0.2">
      <c r="A386" s="5">
        <v>384</v>
      </c>
      <c r="B386" s="5">
        <f t="shared" ca="1" si="5"/>
        <v>0.78988468532209533</v>
      </c>
      <c r="C386" s="5" t="s">
        <v>23</v>
      </c>
    </row>
    <row r="387" spans="1:3" x14ac:dyDescent="0.2">
      <c r="A387" s="5">
        <v>385</v>
      </c>
      <c r="B387" s="5">
        <f t="shared" ca="1" si="5"/>
        <v>0.80113138904986259</v>
      </c>
      <c r="C387" s="5" t="s">
        <v>24</v>
      </c>
    </row>
    <row r="388" spans="1:3" x14ac:dyDescent="0.2">
      <c r="A388" s="5">
        <v>386</v>
      </c>
      <c r="B388" s="5">
        <f t="shared" ref="B388:B451" ca="1" si="6">IF(C388="Bomb",_xlfn.NORM.INV(RAND(),0.7,0.1),_xlfn.NORM.INV(RAND(),0.6,0.15))</f>
        <v>0.66123967155891628</v>
      </c>
      <c r="C388" s="5" t="s">
        <v>24</v>
      </c>
    </row>
    <row r="389" spans="1:3" x14ac:dyDescent="0.2">
      <c r="A389" s="5">
        <v>387</v>
      </c>
      <c r="B389" s="5">
        <f t="shared" ca="1" si="6"/>
        <v>0.7094377457737836</v>
      </c>
      <c r="C389" s="5" t="s">
        <v>24</v>
      </c>
    </row>
    <row r="390" spans="1:3" x14ac:dyDescent="0.2">
      <c r="A390" s="5">
        <v>388</v>
      </c>
      <c r="B390" s="5">
        <f t="shared" ca="1" si="6"/>
        <v>0.6163713260258824</v>
      </c>
      <c r="C390" s="5" t="s">
        <v>24</v>
      </c>
    </row>
    <row r="391" spans="1:3" x14ac:dyDescent="0.2">
      <c r="A391" s="5">
        <v>389</v>
      </c>
      <c r="B391" s="5">
        <f t="shared" ca="1" si="6"/>
        <v>0.40273905814253258</v>
      </c>
      <c r="C391" s="5" t="s">
        <v>24</v>
      </c>
    </row>
    <row r="392" spans="1:3" x14ac:dyDescent="0.2">
      <c r="A392" s="5">
        <v>390</v>
      </c>
      <c r="B392" s="5">
        <f t="shared" ca="1" si="6"/>
        <v>0.71974075788865166</v>
      </c>
      <c r="C392" s="5" t="s">
        <v>23</v>
      </c>
    </row>
    <row r="393" spans="1:3" x14ac:dyDescent="0.2">
      <c r="A393" s="5">
        <v>391</v>
      </c>
      <c r="B393" s="5">
        <f t="shared" ca="1" si="6"/>
        <v>0.84780131663872815</v>
      </c>
      <c r="C393" s="5" t="s">
        <v>23</v>
      </c>
    </row>
    <row r="394" spans="1:3" x14ac:dyDescent="0.2">
      <c r="A394" s="5">
        <v>392</v>
      </c>
      <c r="B394" s="5">
        <f t="shared" ca="1" si="6"/>
        <v>0.54138187422748008</v>
      </c>
      <c r="C394" s="5" t="s">
        <v>24</v>
      </c>
    </row>
    <row r="395" spans="1:3" x14ac:dyDescent="0.2">
      <c r="A395" s="5">
        <v>393</v>
      </c>
      <c r="B395" s="5">
        <f t="shared" ca="1" si="6"/>
        <v>0.31330395003655298</v>
      </c>
      <c r="C395" s="5" t="s">
        <v>24</v>
      </c>
    </row>
    <row r="396" spans="1:3" x14ac:dyDescent="0.2">
      <c r="A396" s="5">
        <v>394</v>
      </c>
      <c r="B396" s="5">
        <f t="shared" ca="1" si="6"/>
        <v>0.63128108082446421</v>
      </c>
      <c r="C396" s="5" t="s">
        <v>24</v>
      </c>
    </row>
    <row r="397" spans="1:3" x14ac:dyDescent="0.2">
      <c r="A397" s="5">
        <v>395</v>
      </c>
      <c r="B397" s="5">
        <f t="shared" ca="1" si="6"/>
        <v>0.74948247274493918</v>
      </c>
      <c r="C397" s="5" t="s">
        <v>23</v>
      </c>
    </row>
    <row r="398" spans="1:3" x14ac:dyDescent="0.2">
      <c r="A398" s="5">
        <v>396</v>
      </c>
      <c r="B398" s="5">
        <f t="shared" ca="1" si="6"/>
        <v>0.8727543716531444</v>
      </c>
      <c r="C398" s="5" t="s">
        <v>23</v>
      </c>
    </row>
    <row r="399" spans="1:3" x14ac:dyDescent="0.2">
      <c r="A399" s="5">
        <v>397</v>
      </c>
      <c r="B399" s="5">
        <f t="shared" ca="1" si="6"/>
        <v>0.4888492148087869</v>
      </c>
      <c r="C399" s="5" t="s">
        <v>24</v>
      </c>
    </row>
    <row r="400" spans="1:3" x14ac:dyDescent="0.2">
      <c r="A400" s="5">
        <v>398</v>
      </c>
      <c r="B400" s="5">
        <f t="shared" ca="1" si="6"/>
        <v>0.49310200501442503</v>
      </c>
      <c r="C400" s="5" t="s">
        <v>23</v>
      </c>
    </row>
    <row r="401" spans="1:3" x14ac:dyDescent="0.2">
      <c r="A401" s="5">
        <v>399</v>
      </c>
      <c r="B401" s="5">
        <f t="shared" ca="1" si="6"/>
        <v>0.39615442862578132</v>
      </c>
      <c r="C401" s="5" t="s">
        <v>24</v>
      </c>
    </row>
    <row r="402" spans="1:3" x14ac:dyDescent="0.2">
      <c r="A402" s="5">
        <v>400</v>
      </c>
      <c r="B402" s="5">
        <f t="shared" ca="1" si="6"/>
        <v>0.68740198108366157</v>
      </c>
      <c r="C402" s="5" t="s">
        <v>23</v>
      </c>
    </row>
    <row r="403" spans="1:3" x14ac:dyDescent="0.2">
      <c r="A403" s="5">
        <v>401</v>
      </c>
      <c r="B403" s="5">
        <f t="shared" ca="1" si="6"/>
        <v>0.61807726947178088</v>
      </c>
      <c r="C403" s="5" t="s">
        <v>24</v>
      </c>
    </row>
    <row r="404" spans="1:3" x14ac:dyDescent="0.2">
      <c r="A404" s="5">
        <v>402</v>
      </c>
      <c r="B404" s="5">
        <f t="shared" ca="1" si="6"/>
        <v>0.56023749459288419</v>
      </c>
      <c r="C404" s="5" t="s">
        <v>24</v>
      </c>
    </row>
    <row r="405" spans="1:3" x14ac:dyDescent="0.2">
      <c r="A405" s="5">
        <v>403</v>
      </c>
      <c r="B405" s="5">
        <f t="shared" ca="1" si="6"/>
        <v>0.63128311680472604</v>
      </c>
      <c r="C405" s="5" t="s">
        <v>24</v>
      </c>
    </row>
    <row r="406" spans="1:3" x14ac:dyDescent="0.2">
      <c r="A406" s="5">
        <v>404</v>
      </c>
      <c r="B406" s="5">
        <f t="shared" ca="1" si="6"/>
        <v>0.69492884757445283</v>
      </c>
      <c r="C406" s="5" t="s">
        <v>23</v>
      </c>
    </row>
    <row r="407" spans="1:3" x14ac:dyDescent="0.2">
      <c r="A407" s="5">
        <v>405</v>
      </c>
      <c r="B407" s="5">
        <f t="shared" ca="1" si="6"/>
        <v>0.56628276802326172</v>
      </c>
      <c r="C407" s="5" t="s">
        <v>23</v>
      </c>
    </row>
    <row r="408" spans="1:3" x14ac:dyDescent="0.2">
      <c r="A408" s="5">
        <v>406</v>
      </c>
      <c r="B408" s="5">
        <f t="shared" ca="1" si="6"/>
        <v>0.68487558264162829</v>
      </c>
      <c r="C408" s="5" t="s">
        <v>24</v>
      </c>
    </row>
    <row r="409" spans="1:3" x14ac:dyDescent="0.2">
      <c r="A409" s="5">
        <v>407</v>
      </c>
      <c r="B409" s="5">
        <f t="shared" ca="1" si="6"/>
        <v>0.70386377364772601</v>
      </c>
      <c r="C409" s="5" t="s">
        <v>24</v>
      </c>
    </row>
    <row r="410" spans="1:3" x14ac:dyDescent="0.2">
      <c r="A410" s="5">
        <v>408</v>
      </c>
      <c r="B410" s="5">
        <f t="shared" ca="1" si="6"/>
        <v>0.75424409093150802</v>
      </c>
      <c r="C410" s="5" t="s">
        <v>23</v>
      </c>
    </row>
    <row r="411" spans="1:3" x14ac:dyDescent="0.2">
      <c r="A411" s="5">
        <v>409</v>
      </c>
      <c r="B411" s="5">
        <f t="shared" ca="1" si="6"/>
        <v>0.70340065649443306</v>
      </c>
      <c r="C411" s="5" t="s">
        <v>23</v>
      </c>
    </row>
    <row r="412" spans="1:3" x14ac:dyDescent="0.2">
      <c r="A412" s="5">
        <v>410</v>
      </c>
      <c r="B412" s="5">
        <f t="shared" ca="1" si="6"/>
        <v>0.71973391834870848</v>
      </c>
      <c r="C412" s="5" t="s">
        <v>23</v>
      </c>
    </row>
    <row r="413" spans="1:3" x14ac:dyDescent="0.2">
      <c r="A413" s="5">
        <v>411</v>
      </c>
      <c r="B413" s="5">
        <f t="shared" ca="1" si="6"/>
        <v>0.56666375450852247</v>
      </c>
      <c r="C413" s="5" t="s">
        <v>24</v>
      </c>
    </row>
    <row r="414" spans="1:3" x14ac:dyDescent="0.2">
      <c r="A414" s="5">
        <v>412</v>
      </c>
      <c r="B414" s="5">
        <f t="shared" ca="1" si="6"/>
        <v>0.711534904326242</v>
      </c>
      <c r="C414" s="5" t="s">
        <v>24</v>
      </c>
    </row>
    <row r="415" spans="1:3" x14ac:dyDescent="0.2">
      <c r="A415" s="5">
        <v>413</v>
      </c>
      <c r="B415" s="5">
        <f t="shared" ca="1" si="6"/>
        <v>0.65354610657845691</v>
      </c>
      <c r="C415" s="5" t="s">
        <v>23</v>
      </c>
    </row>
    <row r="416" spans="1:3" x14ac:dyDescent="0.2">
      <c r="A416" s="5">
        <v>414</v>
      </c>
      <c r="B416" s="5">
        <f t="shared" ca="1" si="6"/>
        <v>0.6830699049861656</v>
      </c>
      <c r="C416" s="5" t="s">
        <v>23</v>
      </c>
    </row>
    <row r="417" spans="1:3" x14ac:dyDescent="0.2">
      <c r="A417" s="5">
        <v>415</v>
      </c>
      <c r="B417" s="5">
        <f t="shared" ca="1" si="6"/>
        <v>0.48953432436687183</v>
      </c>
      <c r="C417" s="5" t="s">
        <v>24</v>
      </c>
    </row>
    <row r="418" spans="1:3" x14ac:dyDescent="0.2">
      <c r="A418" s="5">
        <v>416</v>
      </c>
      <c r="B418" s="5">
        <f t="shared" ca="1" si="6"/>
        <v>0.72887233474800006</v>
      </c>
      <c r="C418" s="5" t="s">
        <v>23</v>
      </c>
    </row>
    <row r="419" spans="1:3" x14ac:dyDescent="0.2">
      <c r="A419" s="5">
        <v>417</v>
      </c>
      <c r="B419" s="5">
        <f t="shared" ca="1" si="6"/>
        <v>0.62933054898789831</v>
      </c>
      <c r="C419" s="5" t="s">
        <v>23</v>
      </c>
    </row>
    <row r="420" spans="1:3" x14ac:dyDescent="0.2">
      <c r="A420" s="5">
        <v>418</v>
      </c>
      <c r="B420" s="5">
        <f t="shared" ca="1" si="6"/>
        <v>0.26664787810930352</v>
      </c>
      <c r="C420" s="5" t="s">
        <v>24</v>
      </c>
    </row>
    <row r="421" spans="1:3" x14ac:dyDescent="0.2">
      <c r="A421" s="5">
        <v>419</v>
      </c>
      <c r="B421" s="5">
        <f t="shared" ca="1" si="6"/>
        <v>0.4130093537230069</v>
      </c>
      <c r="C421" s="5" t="s">
        <v>24</v>
      </c>
    </row>
    <row r="422" spans="1:3" x14ac:dyDescent="0.2">
      <c r="A422" s="5">
        <v>420</v>
      </c>
      <c r="B422" s="5">
        <f t="shared" ca="1" si="6"/>
        <v>0.77266055180325111</v>
      </c>
      <c r="C422" s="5" t="s">
        <v>23</v>
      </c>
    </row>
    <row r="423" spans="1:3" x14ac:dyDescent="0.2">
      <c r="A423" s="5">
        <v>421</v>
      </c>
      <c r="B423" s="5">
        <f t="shared" ca="1" si="6"/>
        <v>0.55202719529704725</v>
      </c>
      <c r="C423" s="5" t="s">
        <v>23</v>
      </c>
    </row>
    <row r="424" spans="1:3" x14ac:dyDescent="0.2">
      <c r="A424" s="5">
        <v>422</v>
      </c>
      <c r="B424" s="5">
        <f t="shared" ca="1" si="6"/>
        <v>0.95162790298480315</v>
      </c>
      <c r="C424" s="5" t="s">
        <v>24</v>
      </c>
    </row>
    <row r="425" spans="1:3" x14ac:dyDescent="0.2">
      <c r="A425" s="5">
        <v>423</v>
      </c>
      <c r="B425" s="5">
        <f t="shared" ca="1" si="6"/>
        <v>0.4661336990134386</v>
      </c>
      <c r="C425" s="5" t="s">
        <v>24</v>
      </c>
    </row>
    <row r="426" spans="1:3" x14ac:dyDescent="0.2">
      <c r="A426" s="5">
        <v>424</v>
      </c>
      <c r="B426" s="5">
        <f t="shared" ca="1" si="6"/>
        <v>0.61586104867203795</v>
      </c>
      <c r="C426" s="5" t="s">
        <v>24</v>
      </c>
    </row>
    <row r="427" spans="1:3" x14ac:dyDescent="0.2">
      <c r="A427" s="5">
        <v>425</v>
      </c>
      <c r="B427" s="5">
        <f t="shared" ca="1" si="6"/>
        <v>0.68888094254368315</v>
      </c>
      <c r="C427" s="5" t="s">
        <v>23</v>
      </c>
    </row>
    <row r="428" spans="1:3" x14ac:dyDescent="0.2">
      <c r="A428" s="5">
        <v>426</v>
      </c>
      <c r="B428" s="5">
        <f t="shared" ca="1" si="6"/>
        <v>0.66836322994585795</v>
      </c>
      <c r="C428" s="5" t="s">
        <v>24</v>
      </c>
    </row>
    <row r="429" spans="1:3" x14ac:dyDescent="0.2">
      <c r="A429" s="5">
        <v>427</v>
      </c>
      <c r="B429" s="5">
        <f t="shared" ca="1" si="6"/>
        <v>0.87344857375480822</v>
      </c>
      <c r="C429" s="5" t="s">
        <v>23</v>
      </c>
    </row>
    <row r="430" spans="1:3" x14ac:dyDescent="0.2">
      <c r="A430" s="5">
        <v>428</v>
      </c>
      <c r="B430" s="5">
        <f t="shared" ca="1" si="6"/>
        <v>0.69728709775908781</v>
      </c>
      <c r="C430" s="5" t="s">
        <v>24</v>
      </c>
    </row>
    <row r="431" spans="1:3" x14ac:dyDescent="0.2">
      <c r="A431" s="5">
        <v>429</v>
      </c>
      <c r="B431" s="5">
        <f t="shared" ca="1" si="6"/>
        <v>0.33841188644855491</v>
      </c>
      <c r="C431" s="5" t="s">
        <v>24</v>
      </c>
    </row>
    <row r="432" spans="1:3" x14ac:dyDescent="0.2">
      <c r="A432" s="5">
        <v>430</v>
      </c>
      <c r="B432" s="5">
        <f t="shared" ca="1" si="6"/>
        <v>0.84212099999519796</v>
      </c>
      <c r="C432" s="5" t="s">
        <v>23</v>
      </c>
    </row>
    <row r="433" spans="1:3" x14ac:dyDescent="0.2">
      <c r="A433" s="5">
        <v>431</v>
      </c>
      <c r="B433" s="5">
        <f t="shared" ca="1" si="6"/>
        <v>0.73175707865347939</v>
      </c>
      <c r="C433" s="5" t="s">
        <v>23</v>
      </c>
    </row>
    <row r="434" spans="1:3" x14ac:dyDescent="0.2">
      <c r="A434" s="5">
        <v>432</v>
      </c>
      <c r="B434" s="5">
        <f t="shared" ca="1" si="6"/>
        <v>0.4919185090882412</v>
      </c>
      <c r="C434" s="5" t="s">
        <v>24</v>
      </c>
    </row>
    <row r="435" spans="1:3" x14ac:dyDescent="0.2">
      <c r="A435" s="5">
        <v>433</v>
      </c>
      <c r="B435" s="5">
        <f t="shared" ca="1" si="6"/>
        <v>0.66033791795252206</v>
      </c>
      <c r="C435" s="5" t="s">
        <v>23</v>
      </c>
    </row>
    <row r="436" spans="1:3" x14ac:dyDescent="0.2">
      <c r="A436" s="5">
        <v>434</v>
      </c>
      <c r="B436" s="5">
        <f t="shared" ca="1" si="6"/>
        <v>0.63932491201435793</v>
      </c>
      <c r="C436" s="5" t="s">
        <v>24</v>
      </c>
    </row>
    <row r="437" spans="1:3" x14ac:dyDescent="0.2">
      <c r="A437" s="5">
        <v>435</v>
      </c>
      <c r="B437" s="5">
        <f t="shared" ca="1" si="6"/>
        <v>0.65108863136665251</v>
      </c>
      <c r="C437" s="5" t="s">
        <v>23</v>
      </c>
    </row>
    <row r="438" spans="1:3" x14ac:dyDescent="0.2">
      <c r="A438" s="5">
        <v>436</v>
      </c>
      <c r="B438" s="5">
        <f t="shared" ca="1" si="6"/>
        <v>0.60396659656130791</v>
      </c>
      <c r="C438" s="5" t="s">
        <v>23</v>
      </c>
    </row>
    <row r="439" spans="1:3" x14ac:dyDescent="0.2">
      <c r="A439" s="5">
        <v>437</v>
      </c>
      <c r="B439" s="5">
        <f t="shared" ca="1" si="6"/>
        <v>0.39394288924451593</v>
      </c>
      <c r="C439" s="5" t="s">
        <v>24</v>
      </c>
    </row>
    <row r="440" spans="1:3" x14ac:dyDescent="0.2">
      <c r="A440" s="5">
        <v>438</v>
      </c>
      <c r="B440" s="5">
        <f t="shared" ca="1" si="6"/>
        <v>0.63252598754306555</v>
      </c>
      <c r="C440" s="5" t="s">
        <v>23</v>
      </c>
    </row>
    <row r="441" spans="1:3" x14ac:dyDescent="0.2">
      <c r="A441" s="5">
        <v>439</v>
      </c>
      <c r="B441" s="5">
        <f t="shared" ca="1" si="6"/>
        <v>0.60361787881269224</v>
      </c>
      <c r="C441" s="5" t="s">
        <v>23</v>
      </c>
    </row>
    <row r="442" spans="1:3" x14ac:dyDescent="0.2">
      <c r="A442" s="5">
        <v>440</v>
      </c>
      <c r="B442" s="5">
        <f t="shared" ca="1" si="6"/>
        <v>0.64575212080360511</v>
      </c>
      <c r="C442" s="5" t="s">
        <v>23</v>
      </c>
    </row>
    <row r="443" spans="1:3" x14ac:dyDescent="0.2">
      <c r="A443" s="5">
        <v>441</v>
      </c>
      <c r="B443" s="5">
        <f t="shared" ca="1" si="6"/>
        <v>0.7992201912238508</v>
      </c>
      <c r="C443" s="5" t="s">
        <v>23</v>
      </c>
    </row>
    <row r="444" spans="1:3" x14ac:dyDescent="0.2">
      <c r="A444" s="5">
        <v>442</v>
      </c>
      <c r="B444" s="5">
        <f t="shared" ca="1" si="6"/>
        <v>0.76839316779879463</v>
      </c>
      <c r="C444" s="5" t="s">
        <v>23</v>
      </c>
    </row>
    <row r="445" spans="1:3" x14ac:dyDescent="0.2">
      <c r="A445" s="5">
        <v>443</v>
      </c>
      <c r="B445" s="5">
        <f t="shared" ca="1" si="6"/>
        <v>0.72901409565381226</v>
      </c>
      <c r="C445" s="5" t="s">
        <v>23</v>
      </c>
    </row>
    <row r="446" spans="1:3" x14ac:dyDescent="0.2">
      <c r="A446" s="5">
        <v>444</v>
      </c>
      <c r="B446" s="5">
        <f t="shared" ca="1" si="6"/>
        <v>0.64710497620891316</v>
      </c>
      <c r="C446" s="5" t="s">
        <v>24</v>
      </c>
    </row>
    <row r="447" spans="1:3" x14ac:dyDescent="0.2">
      <c r="A447" s="5">
        <v>445</v>
      </c>
      <c r="B447" s="5">
        <f t="shared" ca="1" si="6"/>
        <v>0.56933841490018899</v>
      </c>
      <c r="C447" s="5" t="s">
        <v>24</v>
      </c>
    </row>
    <row r="448" spans="1:3" x14ac:dyDescent="0.2">
      <c r="A448" s="5">
        <v>446</v>
      </c>
      <c r="B448" s="5">
        <f t="shared" ca="1" si="6"/>
        <v>0.65563479261655544</v>
      </c>
      <c r="C448" s="5" t="s">
        <v>23</v>
      </c>
    </row>
    <row r="449" spans="1:3" x14ac:dyDescent="0.2">
      <c r="A449" s="5">
        <v>447</v>
      </c>
      <c r="B449" s="5">
        <f t="shared" ca="1" si="6"/>
        <v>0.74256612439679515</v>
      </c>
      <c r="C449" s="5" t="s">
        <v>24</v>
      </c>
    </row>
    <row r="450" spans="1:3" x14ac:dyDescent="0.2">
      <c r="A450" s="5">
        <v>448</v>
      </c>
      <c r="B450" s="5">
        <f t="shared" ca="1" si="6"/>
        <v>0.78981596810320376</v>
      </c>
      <c r="C450" s="5" t="s">
        <v>23</v>
      </c>
    </row>
    <row r="451" spans="1:3" x14ac:dyDescent="0.2">
      <c r="A451" s="5">
        <v>449</v>
      </c>
      <c r="B451" s="5">
        <f t="shared" ca="1" si="6"/>
        <v>0.63907675489687188</v>
      </c>
      <c r="C451" s="5" t="s">
        <v>23</v>
      </c>
    </row>
    <row r="452" spans="1:3" x14ac:dyDescent="0.2">
      <c r="A452" s="5">
        <v>450</v>
      </c>
      <c r="B452" s="5">
        <f t="shared" ref="B452:B515" ca="1" si="7">IF(C452="Bomb",_xlfn.NORM.INV(RAND(),0.7,0.1),_xlfn.NORM.INV(RAND(),0.6,0.15))</f>
        <v>0.70410489373156415</v>
      </c>
      <c r="C452" s="5" t="s">
        <v>24</v>
      </c>
    </row>
    <row r="453" spans="1:3" x14ac:dyDescent="0.2">
      <c r="A453" s="5">
        <v>451</v>
      </c>
      <c r="B453" s="5">
        <f t="shared" ca="1" si="7"/>
        <v>0.60793480107766296</v>
      </c>
      <c r="C453" s="5" t="s">
        <v>23</v>
      </c>
    </row>
    <row r="454" spans="1:3" x14ac:dyDescent="0.2">
      <c r="A454" s="5">
        <v>452</v>
      </c>
      <c r="B454" s="5">
        <f t="shared" ca="1" si="7"/>
        <v>0.70385967196460497</v>
      </c>
      <c r="C454" s="5" t="s">
        <v>23</v>
      </c>
    </row>
    <row r="455" spans="1:3" x14ac:dyDescent="0.2">
      <c r="A455" s="5">
        <v>453</v>
      </c>
      <c r="B455" s="5">
        <f t="shared" ca="1" si="7"/>
        <v>0.46820372433977936</v>
      </c>
      <c r="C455" s="5" t="s">
        <v>24</v>
      </c>
    </row>
    <row r="456" spans="1:3" x14ac:dyDescent="0.2">
      <c r="A456" s="5">
        <v>454</v>
      </c>
      <c r="B456" s="5">
        <f t="shared" ca="1" si="7"/>
        <v>0.78036352354225857</v>
      </c>
      <c r="C456" s="5" t="s">
        <v>23</v>
      </c>
    </row>
    <row r="457" spans="1:3" x14ac:dyDescent="0.2">
      <c r="A457" s="5">
        <v>455</v>
      </c>
      <c r="B457" s="5">
        <f t="shared" ca="1" si="7"/>
        <v>0.62419398686439242</v>
      </c>
      <c r="C457" s="5" t="s">
        <v>24</v>
      </c>
    </row>
    <row r="458" spans="1:3" x14ac:dyDescent="0.2">
      <c r="A458" s="5">
        <v>456</v>
      </c>
      <c r="B458" s="5">
        <f t="shared" ca="1" si="7"/>
        <v>0.79079287029675049</v>
      </c>
      <c r="C458" s="5" t="s">
        <v>24</v>
      </c>
    </row>
    <row r="459" spans="1:3" x14ac:dyDescent="0.2">
      <c r="A459" s="5">
        <v>457</v>
      </c>
      <c r="B459" s="5">
        <f t="shared" ca="1" si="7"/>
        <v>0.4239576820855494</v>
      </c>
      <c r="C459" s="5" t="s">
        <v>24</v>
      </c>
    </row>
    <row r="460" spans="1:3" x14ac:dyDescent="0.2">
      <c r="A460" s="5">
        <v>458</v>
      </c>
      <c r="B460" s="5">
        <f t="shared" ca="1" si="7"/>
        <v>0.31919009566596368</v>
      </c>
      <c r="C460" s="5" t="s">
        <v>24</v>
      </c>
    </row>
    <row r="461" spans="1:3" x14ac:dyDescent="0.2">
      <c r="A461" s="5">
        <v>459</v>
      </c>
      <c r="B461" s="5">
        <f t="shared" ca="1" si="7"/>
        <v>0.83909245372513064</v>
      </c>
      <c r="C461" s="5" t="s">
        <v>23</v>
      </c>
    </row>
    <row r="462" spans="1:3" x14ac:dyDescent="0.2">
      <c r="A462" s="5">
        <v>460</v>
      </c>
      <c r="B462" s="5">
        <f t="shared" ca="1" si="7"/>
        <v>0.78488184670324435</v>
      </c>
      <c r="C462" s="5" t="s">
        <v>23</v>
      </c>
    </row>
    <row r="463" spans="1:3" x14ac:dyDescent="0.2">
      <c r="A463" s="5">
        <v>461</v>
      </c>
      <c r="B463" s="5">
        <f t="shared" ca="1" si="7"/>
        <v>0.45610122003842107</v>
      </c>
      <c r="C463" s="5" t="s">
        <v>24</v>
      </c>
    </row>
    <row r="464" spans="1:3" x14ac:dyDescent="0.2">
      <c r="A464" s="5">
        <v>462</v>
      </c>
      <c r="B464" s="5">
        <f t="shared" ca="1" si="7"/>
        <v>0.71295975936917755</v>
      </c>
      <c r="C464" s="5" t="s">
        <v>23</v>
      </c>
    </row>
    <row r="465" spans="1:3" x14ac:dyDescent="0.2">
      <c r="A465" s="5">
        <v>463</v>
      </c>
      <c r="B465" s="5">
        <f t="shared" ca="1" si="7"/>
        <v>0.92622314688062324</v>
      </c>
      <c r="C465" s="5" t="s">
        <v>23</v>
      </c>
    </row>
    <row r="466" spans="1:3" x14ac:dyDescent="0.2">
      <c r="A466" s="5">
        <v>464</v>
      </c>
      <c r="B466" s="5">
        <f t="shared" ca="1" si="7"/>
        <v>0.64955859384106507</v>
      </c>
      <c r="C466" s="5" t="s">
        <v>23</v>
      </c>
    </row>
    <row r="467" spans="1:3" x14ac:dyDescent="0.2">
      <c r="A467" s="5">
        <v>465</v>
      </c>
      <c r="B467" s="5">
        <f t="shared" ca="1" si="7"/>
        <v>0.93703930162369475</v>
      </c>
      <c r="C467" s="5" t="s">
        <v>23</v>
      </c>
    </row>
    <row r="468" spans="1:3" x14ac:dyDescent="0.2">
      <c r="A468" s="5">
        <v>466</v>
      </c>
      <c r="B468" s="5">
        <f t="shared" ca="1" si="7"/>
        <v>0.48069026579975938</v>
      </c>
      <c r="C468" s="5" t="s">
        <v>24</v>
      </c>
    </row>
    <row r="469" spans="1:3" x14ac:dyDescent="0.2">
      <c r="A469" s="5">
        <v>467</v>
      </c>
      <c r="B469" s="5">
        <f t="shared" ca="1" si="7"/>
        <v>0.52516678219844182</v>
      </c>
      <c r="C469" s="5" t="s">
        <v>24</v>
      </c>
    </row>
    <row r="470" spans="1:3" x14ac:dyDescent="0.2">
      <c r="A470" s="5">
        <v>468</v>
      </c>
      <c r="B470" s="5">
        <f t="shared" ca="1" si="7"/>
        <v>0.79493169069672642</v>
      </c>
      <c r="C470" s="5" t="s">
        <v>24</v>
      </c>
    </row>
    <row r="471" spans="1:3" x14ac:dyDescent="0.2">
      <c r="A471" s="5">
        <v>469</v>
      </c>
      <c r="B471" s="5">
        <f t="shared" ca="1" si="7"/>
        <v>0.51737579065216188</v>
      </c>
      <c r="C471" s="5" t="s">
        <v>23</v>
      </c>
    </row>
    <row r="472" spans="1:3" x14ac:dyDescent="0.2">
      <c r="A472" s="5">
        <v>470</v>
      </c>
      <c r="B472" s="5">
        <f t="shared" ca="1" si="7"/>
        <v>0.50653224592897461</v>
      </c>
      <c r="C472" s="5" t="s">
        <v>24</v>
      </c>
    </row>
    <row r="473" spans="1:3" x14ac:dyDescent="0.2">
      <c r="A473" s="5">
        <v>471</v>
      </c>
      <c r="B473" s="5">
        <f t="shared" ca="1" si="7"/>
        <v>0.82573585866476784</v>
      </c>
      <c r="C473" s="5" t="s">
        <v>23</v>
      </c>
    </row>
    <row r="474" spans="1:3" x14ac:dyDescent="0.2">
      <c r="A474" s="5">
        <v>472</v>
      </c>
      <c r="B474" s="5">
        <f t="shared" ca="1" si="7"/>
        <v>0.62309072631684415</v>
      </c>
      <c r="C474" s="5" t="s">
        <v>23</v>
      </c>
    </row>
    <row r="475" spans="1:3" x14ac:dyDescent="0.2">
      <c r="A475" s="5">
        <v>473</v>
      </c>
      <c r="B475" s="5">
        <f t="shared" ca="1" si="7"/>
        <v>0.77877953527260135</v>
      </c>
      <c r="C475" s="5" t="s">
        <v>23</v>
      </c>
    </row>
    <row r="476" spans="1:3" x14ac:dyDescent="0.2">
      <c r="A476" s="5">
        <v>474</v>
      </c>
      <c r="B476" s="5">
        <f t="shared" ca="1" si="7"/>
        <v>0.42684403208900978</v>
      </c>
      <c r="C476" s="5" t="s">
        <v>24</v>
      </c>
    </row>
    <row r="477" spans="1:3" x14ac:dyDescent="0.2">
      <c r="A477" s="5">
        <v>475</v>
      </c>
      <c r="B477" s="5">
        <f t="shared" ca="1" si="7"/>
        <v>0.57399151149006433</v>
      </c>
      <c r="C477" s="5" t="s">
        <v>23</v>
      </c>
    </row>
    <row r="478" spans="1:3" x14ac:dyDescent="0.2">
      <c r="A478" s="5">
        <v>476</v>
      </c>
      <c r="B478" s="5">
        <f t="shared" ca="1" si="7"/>
        <v>0.63904104278247065</v>
      </c>
      <c r="C478" s="5" t="s">
        <v>23</v>
      </c>
    </row>
    <row r="479" spans="1:3" x14ac:dyDescent="0.2">
      <c r="A479" s="5">
        <v>477</v>
      </c>
      <c r="B479" s="5">
        <f t="shared" ca="1" si="7"/>
        <v>0.46829765934222239</v>
      </c>
      <c r="C479" s="5" t="s">
        <v>24</v>
      </c>
    </row>
    <row r="480" spans="1:3" x14ac:dyDescent="0.2">
      <c r="A480" s="5">
        <v>478</v>
      </c>
      <c r="B480" s="5">
        <f t="shared" ca="1" si="7"/>
        <v>0.72264018332830326</v>
      </c>
      <c r="C480" s="5" t="s">
        <v>24</v>
      </c>
    </row>
    <row r="481" spans="1:3" x14ac:dyDescent="0.2">
      <c r="A481" s="5">
        <v>479</v>
      </c>
      <c r="B481" s="5">
        <f t="shared" ca="1" si="7"/>
        <v>0.68135643549874525</v>
      </c>
      <c r="C481" s="5" t="s">
        <v>23</v>
      </c>
    </row>
    <row r="482" spans="1:3" x14ac:dyDescent="0.2">
      <c r="A482" s="5">
        <v>480</v>
      </c>
      <c r="B482" s="5">
        <f t="shared" ca="1" si="7"/>
        <v>0.79752201012820167</v>
      </c>
      <c r="C482" s="5" t="s">
        <v>23</v>
      </c>
    </row>
    <row r="483" spans="1:3" x14ac:dyDescent="0.2">
      <c r="A483" s="5">
        <v>481</v>
      </c>
      <c r="B483" s="5">
        <f t="shared" ca="1" si="7"/>
        <v>0.55281388525042097</v>
      </c>
      <c r="C483" s="5" t="s">
        <v>24</v>
      </c>
    </row>
    <row r="484" spans="1:3" x14ac:dyDescent="0.2">
      <c r="A484" s="5">
        <v>482</v>
      </c>
      <c r="B484" s="5">
        <f t="shared" ca="1" si="7"/>
        <v>0.6647737323993459</v>
      </c>
      <c r="C484" s="5" t="s">
        <v>24</v>
      </c>
    </row>
    <row r="485" spans="1:3" x14ac:dyDescent="0.2">
      <c r="A485" s="5">
        <v>483</v>
      </c>
      <c r="B485" s="5">
        <f t="shared" ca="1" si="7"/>
        <v>0.74073120646339996</v>
      </c>
      <c r="C485" s="5" t="s">
        <v>23</v>
      </c>
    </row>
    <row r="486" spans="1:3" x14ac:dyDescent="0.2">
      <c r="A486" s="5">
        <v>484</v>
      </c>
      <c r="B486" s="5">
        <f t="shared" ca="1" si="7"/>
        <v>0.72484636169458694</v>
      </c>
      <c r="C486" s="5" t="s">
        <v>23</v>
      </c>
    </row>
    <row r="487" spans="1:3" x14ac:dyDescent="0.2">
      <c r="A487" s="5">
        <v>485</v>
      </c>
      <c r="B487" s="5">
        <f t="shared" ca="1" si="7"/>
        <v>0.59252525239547627</v>
      </c>
      <c r="C487" s="5" t="s">
        <v>23</v>
      </c>
    </row>
    <row r="488" spans="1:3" x14ac:dyDescent="0.2">
      <c r="A488" s="5">
        <v>486</v>
      </c>
      <c r="B488" s="5">
        <f t="shared" ca="1" si="7"/>
        <v>0.79893382553742953</v>
      </c>
      <c r="C488" s="5" t="s">
        <v>24</v>
      </c>
    </row>
    <row r="489" spans="1:3" x14ac:dyDescent="0.2">
      <c r="A489" s="5">
        <v>487</v>
      </c>
      <c r="B489" s="5">
        <f t="shared" ca="1" si="7"/>
        <v>0.76794662061181718</v>
      </c>
      <c r="C489" s="5" t="s">
        <v>23</v>
      </c>
    </row>
    <row r="490" spans="1:3" x14ac:dyDescent="0.2">
      <c r="A490" s="5">
        <v>488</v>
      </c>
      <c r="B490" s="5">
        <f t="shared" ca="1" si="7"/>
        <v>0.42221199140463739</v>
      </c>
      <c r="C490" s="5" t="s">
        <v>24</v>
      </c>
    </row>
    <row r="491" spans="1:3" x14ac:dyDescent="0.2">
      <c r="A491" s="5">
        <v>489</v>
      </c>
      <c r="B491" s="5">
        <f t="shared" ca="1" si="7"/>
        <v>0.79378560856933333</v>
      </c>
      <c r="C491" s="5" t="s">
        <v>24</v>
      </c>
    </row>
    <row r="492" spans="1:3" x14ac:dyDescent="0.2">
      <c r="A492" s="5">
        <v>490</v>
      </c>
      <c r="B492" s="5">
        <f t="shared" ca="1" si="7"/>
        <v>0.72697295945634555</v>
      </c>
      <c r="C492" s="5" t="s">
        <v>23</v>
      </c>
    </row>
    <row r="493" spans="1:3" x14ac:dyDescent="0.2">
      <c r="A493" s="5">
        <v>491</v>
      </c>
      <c r="B493" s="5">
        <f t="shared" ca="1" si="7"/>
        <v>0.62416180281146705</v>
      </c>
      <c r="C493" s="5" t="s">
        <v>24</v>
      </c>
    </row>
    <row r="494" spans="1:3" x14ac:dyDescent="0.2">
      <c r="A494" s="5">
        <v>492</v>
      </c>
      <c r="B494" s="5">
        <f t="shared" ca="1" si="7"/>
        <v>0.57277039855544709</v>
      </c>
      <c r="C494" s="5" t="s">
        <v>23</v>
      </c>
    </row>
    <row r="495" spans="1:3" x14ac:dyDescent="0.2">
      <c r="A495" s="5">
        <v>493</v>
      </c>
      <c r="B495" s="5">
        <f t="shared" ca="1" si="7"/>
        <v>0.53773158589364467</v>
      </c>
      <c r="C495" s="5" t="s">
        <v>24</v>
      </c>
    </row>
    <row r="496" spans="1:3" x14ac:dyDescent="0.2">
      <c r="A496" s="5">
        <v>494</v>
      </c>
      <c r="B496" s="5">
        <f t="shared" ca="1" si="7"/>
        <v>0.59912311407918695</v>
      </c>
      <c r="C496" s="5" t="s">
        <v>24</v>
      </c>
    </row>
    <row r="497" spans="1:3" x14ac:dyDescent="0.2">
      <c r="A497" s="5">
        <v>495</v>
      </c>
      <c r="B497" s="5">
        <f t="shared" ca="1" si="7"/>
        <v>0.80535475906817033</v>
      </c>
      <c r="C497" s="5" t="s">
        <v>23</v>
      </c>
    </row>
    <row r="498" spans="1:3" x14ac:dyDescent="0.2">
      <c r="A498" s="5">
        <v>496</v>
      </c>
      <c r="B498" s="5">
        <f t="shared" ca="1" si="7"/>
        <v>0.81888939137429351</v>
      </c>
      <c r="C498" s="5" t="s">
        <v>23</v>
      </c>
    </row>
    <row r="499" spans="1:3" x14ac:dyDescent="0.2">
      <c r="A499" s="5">
        <v>497</v>
      </c>
      <c r="B499" s="5">
        <f t="shared" ca="1" si="7"/>
        <v>0.70826435388227549</v>
      </c>
      <c r="C499" s="5" t="s">
        <v>23</v>
      </c>
    </row>
    <row r="500" spans="1:3" x14ac:dyDescent="0.2">
      <c r="A500" s="5">
        <v>498</v>
      </c>
      <c r="B500" s="5">
        <f t="shared" ca="1" si="7"/>
        <v>0.78129422545416405</v>
      </c>
      <c r="C500" s="5" t="s">
        <v>24</v>
      </c>
    </row>
    <row r="501" spans="1:3" x14ac:dyDescent="0.2">
      <c r="A501" s="5">
        <v>499</v>
      </c>
      <c r="B501" s="5">
        <f t="shared" ca="1" si="7"/>
        <v>0.56503679267186913</v>
      </c>
      <c r="C501" s="5" t="s">
        <v>23</v>
      </c>
    </row>
    <row r="502" spans="1:3" x14ac:dyDescent="0.2">
      <c r="A502" s="5">
        <v>500</v>
      </c>
      <c r="B502" s="5">
        <f t="shared" ca="1" si="7"/>
        <v>0.77658837326618846</v>
      </c>
      <c r="C502" s="5" t="s">
        <v>23</v>
      </c>
    </row>
    <row r="503" spans="1:3" x14ac:dyDescent="0.2">
      <c r="A503" s="5">
        <v>501</v>
      </c>
      <c r="B503" s="5">
        <f t="shared" ca="1" si="7"/>
        <v>0.61747199807947317</v>
      </c>
      <c r="C503" s="5" t="s">
        <v>24</v>
      </c>
    </row>
    <row r="504" spans="1:3" x14ac:dyDescent="0.2">
      <c r="A504" s="5">
        <v>502</v>
      </c>
      <c r="B504" s="5">
        <f t="shared" ca="1" si="7"/>
        <v>0.62434899403119604</v>
      </c>
      <c r="C504" s="5" t="s">
        <v>24</v>
      </c>
    </row>
    <row r="505" spans="1:3" x14ac:dyDescent="0.2">
      <c r="A505" s="5">
        <v>503</v>
      </c>
      <c r="B505" s="5">
        <f t="shared" ca="1" si="7"/>
        <v>0.54664606776233815</v>
      </c>
      <c r="C505" s="5" t="s">
        <v>24</v>
      </c>
    </row>
    <row r="506" spans="1:3" x14ac:dyDescent="0.2">
      <c r="A506" s="5">
        <v>504</v>
      </c>
      <c r="B506" s="5">
        <f t="shared" ca="1" si="7"/>
        <v>0.82903266884776283</v>
      </c>
      <c r="C506" s="5" t="s">
        <v>24</v>
      </c>
    </row>
    <row r="507" spans="1:3" x14ac:dyDescent="0.2">
      <c r="A507" s="5">
        <v>505</v>
      </c>
      <c r="B507" s="5">
        <f t="shared" ca="1" si="7"/>
        <v>0.65364306025100083</v>
      </c>
      <c r="C507" s="5" t="s">
        <v>23</v>
      </c>
    </row>
    <row r="508" spans="1:3" x14ac:dyDescent="0.2">
      <c r="A508" s="5">
        <v>506</v>
      </c>
      <c r="B508" s="5">
        <f t="shared" ca="1" si="7"/>
        <v>0.64413052658488557</v>
      </c>
      <c r="C508" s="5" t="s">
        <v>23</v>
      </c>
    </row>
    <row r="509" spans="1:3" x14ac:dyDescent="0.2">
      <c r="A509" s="5">
        <v>507</v>
      </c>
      <c r="B509" s="5">
        <f t="shared" ca="1" si="7"/>
        <v>0.83304346595205658</v>
      </c>
      <c r="C509" s="5" t="s">
        <v>23</v>
      </c>
    </row>
    <row r="510" spans="1:3" x14ac:dyDescent="0.2">
      <c r="A510" s="5">
        <v>508</v>
      </c>
      <c r="B510" s="5">
        <f t="shared" ca="1" si="7"/>
        <v>0.35523506727183529</v>
      </c>
      <c r="C510" s="5" t="s">
        <v>24</v>
      </c>
    </row>
    <row r="511" spans="1:3" x14ac:dyDescent="0.2">
      <c r="A511" s="5">
        <v>509</v>
      </c>
      <c r="B511" s="5">
        <f t="shared" ca="1" si="7"/>
        <v>0.62596199899032912</v>
      </c>
      <c r="C511" s="5" t="s">
        <v>23</v>
      </c>
    </row>
    <row r="512" spans="1:3" x14ac:dyDescent="0.2">
      <c r="A512" s="5">
        <v>510</v>
      </c>
      <c r="B512" s="5">
        <f t="shared" ca="1" si="7"/>
        <v>0.57031202733462993</v>
      </c>
      <c r="C512" s="5" t="s">
        <v>23</v>
      </c>
    </row>
    <row r="513" spans="1:3" x14ac:dyDescent="0.2">
      <c r="A513" s="5">
        <v>511</v>
      </c>
      <c r="B513" s="5">
        <f t="shared" ca="1" si="7"/>
        <v>0.69566864824839536</v>
      </c>
      <c r="C513" s="5" t="s">
        <v>23</v>
      </c>
    </row>
    <row r="514" spans="1:3" x14ac:dyDescent="0.2">
      <c r="A514" s="5">
        <v>512</v>
      </c>
      <c r="B514" s="5">
        <f t="shared" ca="1" si="7"/>
        <v>0.66944880189898515</v>
      </c>
      <c r="C514" s="5" t="s">
        <v>23</v>
      </c>
    </row>
    <row r="515" spans="1:3" x14ac:dyDescent="0.2">
      <c r="A515" s="5">
        <v>513</v>
      </c>
      <c r="B515" s="5">
        <f t="shared" ca="1" si="7"/>
        <v>0.59790199989384041</v>
      </c>
      <c r="C515" s="5" t="s">
        <v>23</v>
      </c>
    </row>
    <row r="516" spans="1:3" x14ac:dyDescent="0.2">
      <c r="A516" s="5">
        <v>514</v>
      </c>
      <c r="B516" s="5">
        <f t="shared" ref="B516:B579" ca="1" si="8">IF(C516="Bomb",_xlfn.NORM.INV(RAND(),0.7,0.1),_xlfn.NORM.INV(RAND(),0.6,0.15))</f>
        <v>0.76866248698397643</v>
      </c>
      <c r="C516" s="5" t="s">
        <v>24</v>
      </c>
    </row>
    <row r="517" spans="1:3" x14ac:dyDescent="0.2">
      <c r="A517" s="5">
        <v>515</v>
      </c>
      <c r="B517" s="5">
        <f t="shared" ca="1" si="8"/>
        <v>0.70472011804091528</v>
      </c>
      <c r="C517" s="5" t="s">
        <v>23</v>
      </c>
    </row>
    <row r="518" spans="1:3" x14ac:dyDescent="0.2">
      <c r="A518" s="5">
        <v>516</v>
      </c>
      <c r="B518" s="5">
        <f t="shared" ca="1" si="8"/>
        <v>0.74834418343515052</v>
      </c>
      <c r="C518" s="5" t="s">
        <v>23</v>
      </c>
    </row>
    <row r="519" spans="1:3" x14ac:dyDescent="0.2">
      <c r="A519" s="5">
        <v>517</v>
      </c>
      <c r="B519" s="5">
        <f t="shared" ca="1" si="8"/>
        <v>0.82839152307803843</v>
      </c>
      <c r="C519" s="5" t="s">
        <v>23</v>
      </c>
    </row>
    <row r="520" spans="1:3" x14ac:dyDescent="0.2">
      <c r="A520" s="5">
        <v>518</v>
      </c>
      <c r="B520" s="5">
        <f t="shared" ca="1" si="8"/>
        <v>0.54811607867685808</v>
      </c>
      <c r="C520" s="5" t="s">
        <v>24</v>
      </c>
    </row>
    <row r="521" spans="1:3" x14ac:dyDescent="0.2">
      <c r="A521" s="5">
        <v>519</v>
      </c>
      <c r="B521" s="5">
        <f t="shared" ca="1" si="8"/>
        <v>0.61535106765667313</v>
      </c>
      <c r="C521" s="5" t="s">
        <v>23</v>
      </c>
    </row>
    <row r="522" spans="1:3" x14ac:dyDescent="0.2">
      <c r="A522" s="5">
        <v>520</v>
      </c>
      <c r="B522" s="5">
        <f t="shared" ca="1" si="8"/>
        <v>0.41249057104759967</v>
      </c>
      <c r="C522" s="5" t="s">
        <v>24</v>
      </c>
    </row>
    <row r="523" spans="1:3" x14ac:dyDescent="0.2">
      <c r="A523" s="5">
        <v>521</v>
      </c>
      <c r="B523" s="5">
        <f t="shared" ca="1" si="8"/>
        <v>0.46524230889318097</v>
      </c>
      <c r="C523" s="5" t="s">
        <v>24</v>
      </c>
    </row>
    <row r="524" spans="1:3" x14ac:dyDescent="0.2">
      <c r="A524" s="5">
        <v>522</v>
      </c>
      <c r="B524" s="5">
        <f t="shared" ca="1" si="8"/>
        <v>0.59571798954884547</v>
      </c>
      <c r="C524" s="5" t="s">
        <v>23</v>
      </c>
    </row>
    <row r="525" spans="1:3" x14ac:dyDescent="0.2">
      <c r="A525" s="5">
        <v>523</v>
      </c>
      <c r="B525" s="5">
        <f t="shared" ca="1" si="8"/>
        <v>0.80462304542564955</v>
      </c>
      <c r="C525" s="5" t="s">
        <v>23</v>
      </c>
    </row>
    <row r="526" spans="1:3" x14ac:dyDescent="0.2">
      <c r="A526" s="5">
        <v>524</v>
      </c>
      <c r="B526" s="5">
        <f t="shared" ca="1" si="8"/>
        <v>0.64583065914179449</v>
      </c>
      <c r="C526" s="5" t="s">
        <v>24</v>
      </c>
    </row>
    <row r="527" spans="1:3" x14ac:dyDescent="0.2">
      <c r="A527" s="5">
        <v>525</v>
      </c>
      <c r="B527" s="5">
        <f t="shared" ca="1" si="8"/>
        <v>0.77456927545423826</v>
      </c>
      <c r="C527" s="5" t="s">
        <v>23</v>
      </c>
    </row>
    <row r="528" spans="1:3" x14ac:dyDescent="0.2">
      <c r="A528" s="5">
        <v>526</v>
      </c>
      <c r="B528" s="5">
        <f t="shared" ca="1" si="8"/>
        <v>0.65513102658754874</v>
      </c>
      <c r="C528" s="5" t="s">
        <v>24</v>
      </c>
    </row>
    <row r="529" spans="1:3" x14ac:dyDescent="0.2">
      <c r="A529" s="5">
        <v>527</v>
      </c>
      <c r="B529" s="5">
        <f t="shared" ca="1" si="8"/>
        <v>0.63367606644467789</v>
      </c>
      <c r="C529" s="5" t="s">
        <v>24</v>
      </c>
    </row>
    <row r="530" spans="1:3" x14ac:dyDescent="0.2">
      <c r="A530" s="5">
        <v>528</v>
      </c>
      <c r="B530" s="5">
        <f t="shared" ca="1" si="8"/>
        <v>0.75071760569877388</v>
      </c>
      <c r="C530" s="5" t="s">
        <v>23</v>
      </c>
    </row>
    <row r="531" spans="1:3" x14ac:dyDescent="0.2">
      <c r="A531" s="5">
        <v>529</v>
      </c>
      <c r="B531" s="5">
        <f t="shared" ca="1" si="8"/>
        <v>0.61273268678588189</v>
      </c>
      <c r="C531" s="5" t="s">
        <v>23</v>
      </c>
    </row>
    <row r="532" spans="1:3" x14ac:dyDescent="0.2">
      <c r="A532" s="5">
        <v>530</v>
      </c>
      <c r="B532" s="5">
        <f t="shared" ca="1" si="8"/>
        <v>0.69464125023038448</v>
      </c>
      <c r="C532" s="5" t="s">
        <v>24</v>
      </c>
    </row>
    <row r="533" spans="1:3" x14ac:dyDescent="0.2">
      <c r="A533" s="5">
        <v>531</v>
      </c>
      <c r="B533" s="5">
        <f t="shared" ca="1" si="8"/>
        <v>0.87141403426947917</v>
      </c>
      <c r="C533" s="5" t="s">
        <v>23</v>
      </c>
    </row>
    <row r="534" spans="1:3" x14ac:dyDescent="0.2">
      <c r="A534" s="5">
        <v>532</v>
      </c>
      <c r="B534" s="5">
        <f t="shared" ca="1" si="8"/>
        <v>0.4210670440476178</v>
      </c>
      <c r="C534" s="5" t="s">
        <v>24</v>
      </c>
    </row>
    <row r="535" spans="1:3" x14ac:dyDescent="0.2">
      <c r="A535" s="5">
        <v>533</v>
      </c>
      <c r="B535" s="5">
        <f t="shared" ca="1" si="8"/>
        <v>0.73400561784928642</v>
      </c>
      <c r="C535" s="5" t="s">
        <v>24</v>
      </c>
    </row>
    <row r="536" spans="1:3" x14ac:dyDescent="0.2">
      <c r="A536" s="5">
        <v>534</v>
      </c>
      <c r="B536" s="5">
        <f t="shared" ca="1" si="8"/>
        <v>0.6608887801016412</v>
      </c>
      <c r="C536" s="5" t="s">
        <v>23</v>
      </c>
    </row>
    <row r="537" spans="1:3" x14ac:dyDescent="0.2">
      <c r="A537" s="5">
        <v>535</v>
      </c>
      <c r="B537" s="5">
        <f t="shared" ca="1" si="8"/>
        <v>0.72870419073948012</v>
      </c>
      <c r="C537" s="5" t="s">
        <v>24</v>
      </c>
    </row>
    <row r="538" spans="1:3" x14ac:dyDescent="0.2">
      <c r="A538" s="5">
        <v>536</v>
      </c>
      <c r="B538" s="5">
        <f t="shared" ca="1" si="8"/>
        <v>0.34990599546091916</v>
      </c>
      <c r="C538" s="5" t="s">
        <v>24</v>
      </c>
    </row>
    <row r="539" spans="1:3" x14ac:dyDescent="0.2">
      <c r="A539" s="5">
        <v>537</v>
      </c>
      <c r="B539" s="5">
        <f t="shared" ca="1" si="8"/>
        <v>0.49470719887381642</v>
      </c>
      <c r="C539" s="5" t="s">
        <v>24</v>
      </c>
    </row>
    <row r="540" spans="1:3" x14ac:dyDescent="0.2">
      <c r="A540" s="5">
        <v>538</v>
      </c>
      <c r="B540" s="5">
        <f t="shared" ca="1" si="8"/>
        <v>0.67556039832973735</v>
      </c>
      <c r="C540" s="5" t="s">
        <v>23</v>
      </c>
    </row>
    <row r="541" spans="1:3" x14ac:dyDescent="0.2">
      <c r="A541" s="5">
        <v>539</v>
      </c>
      <c r="B541" s="5">
        <f t="shared" ca="1" si="8"/>
        <v>0.60638665865584518</v>
      </c>
      <c r="C541" s="5" t="s">
        <v>24</v>
      </c>
    </row>
    <row r="542" spans="1:3" x14ac:dyDescent="0.2">
      <c r="A542" s="5">
        <v>540</v>
      </c>
      <c r="B542" s="5">
        <f t="shared" ca="1" si="8"/>
        <v>0.6553971437179047</v>
      </c>
      <c r="C542" s="5" t="s">
        <v>24</v>
      </c>
    </row>
    <row r="543" spans="1:3" x14ac:dyDescent="0.2">
      <c r="A543" s="5">
        <v>541</v>
      </c>
      <c r="B543" s="5">
        <f t="shared" ca="1" si="8"/>
        <v>0.47672873320053122</v>
      </c>
      <c r="C543" s="5" t="s">
        <v>24</v>
      </c>
    </row>
    <row r="544" spans="1:3" x14ac:dyDescent="0.2">
      <c r="A544" s="5">
        <v>542</v>
      </c>
      <c r="B544" s="5">
        <f t="shared" ca="1" si="8"/>
        <v>0.65029208907116021</v>
      </c>
      <c r="C544" s="5" t="s">
        <v>23</v>
      </c>
    </row>
    <row r="545" spans="1:3" x14ac:dyDescent="0.2">
      <c r="A545" s="5">
        <v>543</v>
      </c>
      <c r="B545" s="5">
        <f t="shared" ca="1" si="8"/>
        <v>0.79878104054297272</v>
      </c>
      <c r="C545" s="5" t="s">
        <v>23</v>
      </c>
    </row>
    <row r="546" spans="1:3" x14ac:dyDescent="0.2">
      <c r="A546" s="5">
        <v>544</v>
      </c>
      <c r="B546" s="5">
        <f t="shared" ca="1" si="8"/>
        <v>0.78627980521608287</v>
      </c>
      <c r="C546" s="5" t="s">
        <v>23</v>
      </c>
    </row>
    <row r="547" spans="1:3" x14ac:dyDescent="0.2">
      <c r="A547" s="5">
        <v>545</v>
      </c>
      <c r="B547" s="5">
        <f t="shared" ca="1" si="8"/>
        <v>0.53650843607588927</v>
      </c>
      <c r="C547" s="5" t="s">
        <v>24</v>
      </c>
    </row>
    <row r="548" spans="1:3" x14ac:dyDescent="0.2">
      <c r="A548" s="5">
        <v>546</v>
      </c>
      <c r="B548" s="5">
        <f t="shared" ca="1" si="8"/>
        <v>0.70336775249087469</v>
      </c>
      <c r="C548" s="5" t="s">
        <v>24</v>
      </c>
    </row>
    <row r="549" spans="1:3" x14ac:dyDescent="0.2">
      <c r="A549" s="5">
        <v>547</v>
      </c>
      <c r="B549" s="5">
        <f t="shared" ca="1" si="8"/>
        <v>0.93173334170100186</v>
      </c>
      <c r="C549" s="5" t="s">
        <v>23</v>
      </c>
    </row>
    <row r="550" spans="1:3" x14ac:dyDescent="0.2">
      <c r="A550" s="5">
        <v>548</v>
      </c>
      <c r="B550" s="5">
        <f t="shared" ca="1" si="8"/>
        <v>0.85255117435192029</v>
      </c>
      <c r="C550" s="5" t="s">
        <v>23</v>
      </c>
    </row>
    <row r="551" spans="1:3" x14ac:dyDescent="0.2">
      <c r="A551" s="5">
        <v>549</v>
      </c>
      <c r="B551" s="5">
        <f t="shared" ca="1" si="8"/>
        <v>0.78271794617513601</v>
      </c>
      <c r="C551" s="5" t="s">
        <v>24</v>
      </c>
    </row>
    <row r="552" spans="1:3" x14ac:dyDescent="0.2">
      <c r="A552" s="5">
        <v>550</v>
      </c>
      <c r="B552" s="5">
        <f t="shared" ca="1" si="8"/>
        <v>0.60665021652574325</v>
      </c>
      <c r="C552" s="5" t="s">
        <v>23</v>
      </c>
    </row>
    <row r="553" spans="1:3" x14ac:dyDescent="0.2">
      <c r="A553" s="5">
        <v>551</v>
      </c>
      <c r="B553" s="5">
        <f t="shared" ca="1" si="8"/>
        <v>0.6035101372537427</v>
      </c>
      <c r="C553" s="5" t="s">
        <v>24</v>
      </c>
    </row>
    <row r="554" spans="1:3" x14ac:dyDescent="0.2">
      <c r="A554" s="5">
        <v>552</v>
      </c>
      <c r="B554" s="5">
        <f t="shared" ca="1" si="8"/>
        <v>0.60985418631046651</v>
      </c>
      <c r="C554" s="5" t="s">
        <v>24</v>
      </c>
    </row>
    <row r="555" spans="1:3" x14ac:dyDescent="0.2">
      <c r="A555" s="5">
        <v>553</v>
      </c>
      <c r="B555" s="5">
        <f t="shared" ca="1" si="8"/>
        <v>0.73127680257456951</v>
      </c>
      <c r="C555" s="5" t="s">
        <v>24</v>
      </c>
    </row>
    <row r="556" spans="1:3" x14ac:dyDescent="0.2">
      <c r="A556" s="5">
        <v>554</v>
      </c>
      <c r="B556" s="5">
        <f t="shared" ca="1" si="8"/>
        <v>0.94101843160290244</v>
      </c>
      <c r="C556" s="5" t="s">
        <v>23</v>
      </c>
    </row>
    <row r="557" spans="1:3" x14ac:dyDescent="0.2">
      <c r="A557" s="5">
        <v>555</v>
      </c>
      <c r="B557" s="5">
        <f t="shared" ca="1" si="8"/>
        <v>0.59681593179675463</v>
      </c>
      <c r="C557" s="5" t="s">
        <v>24</v>
      </c>
    </row>
    <row r="558" spans="1:3" x14ac:dyDescent="0.2">
      <c r="A558" s="5">
        <v>556</v>
      </c>
      <c r="B558" s="5">
        <f t="shared" ca="1" si="8"/>
        <v>0.70833183686903123</v>
      </c>
      <c r="C558" s="5" t="s">
        <v>23</v>
      </c>
    </row>
    <row r="559" spans="1:3" x14ac:dyDescent="0.2">
      <c r="A559" s="5">
        <v>557</v>
      </c>
      <c r="B559" s="5">
        <f t="shared" ca="1" si="8"/>
        <v>0.67931339348780195</v>
      </c>
      <c r="C559" s="5" t="s">
        <v>23</v>
      </c>
    </row>
    <row r="560" spans="1:3" x14ac:dyDescent="0.2">
      <c r="A560" s="5">
        <v>558</v>
      </c>
      <c r="B560" s="5">
        <f t="shared" ca="1" si="8"/>
        <v>0.83255647424887047</v>
      </c>
      <c r="C560" s="5" t="s">
        <v>24</v>
      </c>
    </row>
    <row r="561" spans="1:3" x14ac:dyDescent="0.2">
      <c r="A561" s="5">
        <v>559</v>
      </c>
      <c r="B561" s="5">
        <f t="shared" ca="1" si="8"/>
        <v>0.81194623227843121</v>
      </c>
      <c r="C561" s="5" t="s">
        <v>23</v>
      </c>
    </row>
    <row r="562" spans="1:3" x14ac:dyDescent="0.2">
      <c r="A562" s="5">
        <v>560</v>
      </c>
      <c r="B562" s="5">
        <f t="shared" ca="1" si="8"/>
        <v>0.48059735084892696</v>
      </c>
      <c r="C562" s="5" t="s">
        <v>24</v>
      </c>
    </row>
    <row r="563" spans="1:3" x14ac:dyDescent="0.2">
      <c r="A563" s="5">
        <v>561</v>
      </c>
      <c r="B563" s="5">
        <f t="shared" ca="1" si="8"/>
        <v>0.76168736191159803</v>
      </c>
      <c r="C563" s="5" t="s">
        <v>24</v>
      </c>
    </row>
    <row r="564" spans="1:3" x14ac:dyDescent="0.2">
      <c r="A564" s="5">
        <v>562</v>
      </c>
      <c r="B564" s="5">
        <f t="shared" ca="1" si="8"/>
        <v>0.81244936572180948</v>
      </c>
      <c r="C564" s="5" t="s">
        <v>24</v>
      </c>
    </row>
    <row r="565" spans="1:3" x14ac:dyDescent="0.2">
      <c r="A565" s="5">
        <v>563</v>
      </c>
      <c r="B565" s="5">
        <f t="shared" ca="1" si="8"/>
        <v>0.64141744157551916</v>
      </c>
      <c r="C565" s="5" t="s">
        <v>24</v>
      </c>
    </row>
    <row r="566" spans="1:3" x14ac:dyDescent="0.2">
      <c r="A566" s="5">
        <v>564</v>
      </c>
      <c r="B566" s="5">
        <f t="shared" ca="1" si="8"/>
        <v>0.57669796084330083</v>
      </c>
      <c r="C566" s="5" t="s">
        <v>24</v>
      </c>
    </row>
    <row r="567" spans="1:3" x14ac:dyDescent="0.2">
      <c r="A567" s="5">
        <v>565</v>
      </c>
      <c r="B567" s="5">
        <f t="shared" ca="1" si="8"/>
        <v>0.65133020465141556</v>
      </c>
      <c r="C567" s="5" t="s">
        <v>24</v>
      </c>
    </row>
    <row r="568" spans="1:3" x14ac:dyDescent="0.2">
      <c r="A568" s="5">
        <v>566</v>
      </c>
      <c r="B568" s="5">
        <f t="shared" ca="1" si="8"/>
        <v>0.62272423299905344</v>
      </c>
      <c r="C568" s="5" t="s">
        <v>23</v>
      </c>
    </row>
    <row r="569" spans="1:3" x14ac:dyDescent="0.2">
      <c r="A569" s="5">
        <v>567</v>
      </c>
      <c r="B569" s="5">
        <f t="shared" ca="1" si="8"/>
        <v>0.83281639335152213</v>
      </c>
      <c r="C569" s="5" t="s">
        <v>23</v>
      </c>
    </row>
    <row r="570" spans="1:3" x14ac:dyDescent="0.2">
      <c r="A570" s="5">
        <v>568</v>
      </c>
      <c r="B570" s="5">
        <f t="shared" ca="1" si="8"/>
        <v>0.58400867230496489</v>
      </c>
      <c r="C570" s="5" t="s">
        <v>23</v>
      </c>
    </row>
    <row r="571" spans="1:3" x14ac:dyDescent="0.2">
      <c r="A571" s="5">
        <v>569</v>
      </c>
      <c r="B571" s="5">
        <f t="shared" ca="1" si="8"/>
        <v>0.34602235577483104</v>
      </c>
      <c r="C571" s="5" t="s">
        <v>24</v>
      </c>
    </row>
    <row r="572" spans="1:3" x14ac:dyDescent="0.2">
      <c r="A572" s="5">
        <v>570</v>
      </c>
      <c r="B572" s="5">
        <f t="shared" ca="1" si="8"/>
        <v>0.66931978848153484</v>
      </c>
      <c r="C572" s="5" t="s">
        <v>23</v>
      </c>
    </row>
    <row r="573" spans="1:3" x14ac:dyDescent="0.2">
      <c r="A573" s="5">
        <v>571</v>
      </c>
      <c r="B573" s="5">
        <f t="shared" ca="1" si="8"/>
        <v>0.64560964261620579</v>
      </c>
      <c r="C573" s="5" t="s">
        <v>24</v>
      </c>
    </row>
    <row r="574" spans="1:3" x14ac:dyDescent="0.2">
      <c r="A574" s="5">
        <v>572</v>
      </c>
      <c r="B574" s="5">
        <f t="shared" ca="1" si="8"/>
        <v>0.5299991470545411</v>
      </c>
      <c r="C574" s="5" t="s">
        <v>23</v>
      </c>
    </row>
    <row r="575" spans="1:3" x14ac:dyDescent="0.2">
      <c r="A575" s="5">
        <v>573</v>
      </c>
      <c r="B575" s="5">
        <f t="shared" ca="1" si="8"/>
        <v>0.67039867273802733</v>
      </c>
      <c r="C575" s="5" t="s">
        <v>23</v>
      </c>
    </row>
    <row r="576" spans="1:3" x14ac:dyDescent="0.2">
      <c r="A576" s="5">
        <v>574</v>
      </c>
      <c r="B576" s="5">
        <f t="shared" ca="1" si="8"/>
        <v>0.55823420952672886</v>
      </c>
      <c r="C576" s="5" t="s">
        <v>23</v>
      </c>
    </row>
    <row r="577" spans="1:3" x14ac:dyDescent="0.2">
      <c r="A577" s="5">
        <v>575</v>
      </c>
      <c r="B577" s="5">
        <f t="shared" ca="1" si="8"/>
        <v>0.41754836655982475</v>
      </c>
      <c r="C577" s="5" t="s">
        <v>24</v>
      </c>
    </row>
    <row r="578" spans="1:3" x14ac:dyDescent="0.2">
      <c r="A578" s="5">
        <v>576</v>
      </c>
      <c r="B578" s="5">
        <f t="shared" ca="1" si="8"/>
        <v>0.57574966101208613</v>
      </c>
      <c r="C578" s="5" t="s">
        <v>24</v>
      </c>
    </row>
    <row r="579" spans="1:3" x14ac:dyDescent="0.2">
      <c r="A579" s="5">
        <v>577</v>
      </c>
      <c r="B579" s="5">
        <f t="shared" ca="1" si="8"/>
        <v>0.74281935949003719</v>
      </c>
      <c r="C579" s="5" t="s">
        <v>24</v>
      </c>
    </row>
    <row r="580" spans="1:3" x14ac:dyDescent="0.2">
      <c r="A580" s="5">
        <v>578</v>
      </c>
      <c r="B580" s="5">
        <f t="shared" ref="B580:B643" ca="1" si="9">IF(C580="Bomb",_xlfn.NORM.INV(RAND(),0.7,0.1),_xlfn.NORM.INV(RAND(),0.6,0.15))</f>
        <v>0.70362559922973134</v>
      </c>
      <c r="C580" s="5" t="s">
        <v>23</v>
      </c>
    </row>
    <row r="581" spans="1:3" x14ac:dyDescent="0.2">
      <c r="A581" s="5">
        <v>579</v>
      </c>
      <c r="B581" s="5">
        <f t="shared" ca="1" si="9"/>
        <v>0.43159833632747985</v>
      </c>
      <c r="C581" s="5" t="s">
        <v>23</v>
      </c>
    </row>
    <row r="582" spans="1:3" x14ac:dyDescent="0.2">
      <c r="A582" s="5">
        <v>580</v>
      </c>
      <c r="B582" s="5">
        <f t="shared" ca="1" si="9"/>
        <v>0.56699617837841587</v>
      </c>
      <c r="C582" s="5" t="s">
        <v>23</v>
      </c>
    </row>
    <row r="583" spans="1:3" x14ac:dyDescent="0.2">
      <c r="A583" s="5">
        <v>581</v>
      </c>
      <c r="B583" s="5">
        <f t="shared" ca="1" si="9"/>
        <v>0.55655093025652524</v>
      </c>
      <c r="C583" s="5" t="s">
        <v>24</v>
      </c>
    </row>
    <row r="584" spans="1:3" x14ac:dyDescent="0.2">
      <c r="A584" s="5">
        <v>582</v>
      </c>
      <c r="B584" s="5">
        <f t="shared" ca="1" si="9"/>
        <v>0.67301446446172419</v>
      </c>
      <c r="C584" s="5" t="s">
        <v>23</v>
      </c>
    </row>
    <row r="585" spans="1:3" x14ac:dyDescent="0.2">
      <c r="A585" s="5">
        <v>583</v>
      </c>
      <c r="B585" s="5">
        <f t="shared" ca="1" si="9"/>
        <v>0.91850227808017015</v>
      </c>
      <c r="C585" s="5" t="s">
        <v>24</v>
      </c>
    </row>
    <row r="586" spans="1:3" x14ac:dyDescent="0.2">
      <c r="A586" s="5">
        <v>584</v>
      </c>
      <c r="B586" s="5">
        <f t="shared" ca="1" si="9"/>
        <v>0.83076933685026344</v>
      </c>
      <c r="C586" s="5" t="s">
        <v>23</v>
      </c>
    </row>
    <row r="587" spans="1:3" x14ac:dyDescent="0.2">
      <c r="A587" s="5">
        <v>585</v>
      </c>
      <c r="B587" s="5">
        <f t="shared" ca="1" si="9"/>
        <v>0.59902217654563972</v>
      </c>
      <c r="C587" s="5" t="s">
        <v>24</v>
      </c>
    </row>
    <row r="588" spans="1:3" x14ac:dyDescent="0.2">
      <c r="A588" s="5">
        <v>586</v>
      </c>
      <c r="B588" s="5">
        <f t="shared" ca="1" si="9"/>
        <v>0.52691305796056576</v>
      </c>
      <c r="C588" s="5" t="s">
        <v>24</v>
      </c>
    </row>
    <row r="589" spans="1:3" x14ac:dyDescent="0.2">
      <c r="A589" s="5">
        <v>587</v>
      </c>
      <c r="B589" s="5">
        <f t="shared" ca="1" si="9"/>
        <v>0.83490239211467998</v>
      </c>
      <c r="C589" s="5" t="s">
        <v>23</v>
      </c>
    </row>
    <row r="590" spans="1:3" x14ac:dyDescent="0.2">
      <c r="A590" s="5">
        <v>588</v>
      </c>
      <c r="B590" s="5">
        <f t="shared" ca="1" si="9"/>
        <v>0.45370475313440717</v>
      </c>
      <c r="C590" s="5" t="s">
        <v>24</v>
      </c>
    </row>
    <row r="591" spans="1:3" x14ac:dyDescent="0.2">
      <c r="A591" s="5">
        <v>589</v>
      </c>
      <c r="B591" s="5">
        <f t="shared" ca="1" si="9"/>
        <v>0.81480791944690267</v>
      </c>
      <c r="C591" s="5" t="s">
        <v>24</v>
      </c>
    </row>
    <row r="592" spans="1:3" x14ac:dyDescent="0.2">
      <c r="A592" s="5">
        <v>590</v>
      </c>
      <c r="B592" s="5">
        <f t="shared" ca="1" si="9"/>
        <v>0.61095772439329632</v>
      </c>
      <c r="C592" s="5" t="s">
        <v>23</v>
      </c>
    </row>
    <row r="593" spans="1:3" x14ac:dyDescent="0.2">
      <c r="A593" s="5">
        <v>591</v>
      </c>
      <c r="B593" s="5">
        <f t="shared" ca="1" si="9"/>
        <v>0.57057498869569756</v>
      </c>
      <c r="C593" s="5" t="s">
        <v>24</v>
      </c>
    </row>
    <row r="594" spans="1:3" x14ac:dyDescent="0.2">
      <c r="A594" s="5">
        <v>592</v>
      </c>
      <c r="B594" s="5">
        <f t="shared" ca="1" si="9"/>
        <v>0.62835170836865506</v>
      </c>
      <c r="C594" s="5" t="s">
        <v>23</v>
      </c>
    </row>
    <row r="595" spans="1:3" x14ac:dyDescent="0.2">
      <c r="A595" s="5">
        <v>593</v>
      </c>
      <c r="B595" s="5">
        <f t="shared" ca="1" si="9"/>
        <v>0.90537882868601571</v>
      </c>
      <c r="C595" s="5" t="s">
        <v>24</v>
      </c>
    </row>
    <row r="596" spans="1:3" x14ac:dyDescent="0.2">
      <c r="A596" s="5">
        <v>594</v>
      </c>
      <c r="B596" s="5">
        <f t="shared" ca="1" si="9"/>
        <v>0.63462587043929219</v>
      </c>
      <c r="C596" s="5" t="s">
        <v>23</v>
      </c>
    </row>
    <row r="597" spans="1:3" x14ac:dyDescent="0.2">
      <c r="A597" s="5">
        <v>595</v>
      </c>
      <c r="B597" s="5">
        <f t="shared" ca="1" si="9"/>
        <v>0.45663630683212653</v>
      </c>
      <c r="C597" s="5" t="s">
        <v>23</v>
      </c>
    </row>
    <row r="598" spans="1:3" x14ac:dyDescent="0.2">
      <c r="A598" s="5">
        <v>596</v>
      </c>
      <c r="B598" s="5">
        <f t="shared" ca="1" si="9"/>
        <v>0.68051992439105624</v>
      </c>
      <c r="C598" s="5" t="s">
        <v>23</v>
      </c>
    </row>
    <row r="599" spans="1:3" x14ac:dyDescent="0.2">
      <c r="A599" s="5">
        <v>597</v>
      </c>
      <c r="B599" s="5">
        <f t="shared" ca="1" si="9"/>
        <v>0.69227487617137007</v>
      </c>
      <c r="C599" s="5" t="s">
        <v>23</v>
      </c>
    </row>
    <row r="600" spans="1:3" x14ac:dyDescent="0.2">
      <c r="A600" s="5">
        <v>598</v>
      </c>
      <c r="B600" s="5">
        <f t="shared" ca="1" si="9"/>
        <v>0.7820326430234894</v>
      </c>
      <c r="C600" s="5" t="s">
        <v>24</v>
      </c>
    </row>
    <row r="601" spans="1:3" x14ac:dyDescent="0.2">
      <c r="A601" s="5">
        <v>599</v>
      </c>
      <c r="B601" s="5">
        <f t="shared" ca="1" si="9"/>
        <v>0.99188869445270611</v>
      </c>
      <c r="C601" s="5" t="s">
        <v>23</v>
      </c>
    </row>
    <row r="602" spans="1:3" x14ac:dyDescent="0.2">
      <c r="A602" s="5">
        <v>600</v>
      </c>
      <c r="B602" s="5">
        <f t="shared" ca="1" si="9"/>
        <v>0.6524964173705613</v>
      </c>
      <c r="C602" s="5" t="s">
        <v>23</v>
      </c>
    </row>
    <row r="603" spans="1:3" x14ac:dyDescent="0.2">
      <c r="A603" s="5">
        <v>601</v>
      </c>
      <c r="B603" s="5">
        <f t="shared" ca="1" si="9"/>
        <v>0.71123687203575114</v>
      </c>
      <c r="C603" s="5" t="s">
        <v>24</v>
      </c>
    </row>
    <row r="604" spans="1:3" x14ac:dyDescent="0.2">
      <c r="A604" s="5">
        <v>602</v>
      </c>
      <c r="B604" s="5">
        <f t="shared" ca="1" si="9"/>
        <v>0.9720968186199197</v>
      </c>
      <c r="C604" s="5" t="s">
        <v>24</v>
      </c>
    </row>
    <row r="605" spans="1:3" x14ac:dyDescent="0.2">
      <c r="A605" s="5">
        <v>603</v>
      </c>
      <c r="B605" s="5">
        <f t="shared" ca="1" si="9"/>
        <v>0.70898629993800311</v>
      </c>
      <c r="C605" s="5" t="s">
        <v>24</v>
      </c>
    </row>
    <row r="606" spans="1:3" x14ac:dyDescent="0.2">
      <c r="A606" s="5">
        <v>604</v>
      </c>
      <c r="B606" s="5">
        <f t="shared" ca="1" si="9"/>
        <v>0.51592496510374231</v>
      </c>
      <c r="C606" s="5" t="s">
        <v>23</v>
      </c>
    </row>
    <row r="607" spans="1:3" x14ac:dyDescent="0.2">
      <c r="A607" s="5">
        <v>605</v>
      </c>
      <c r="B607" s="5">
        <f t="shared" ca="1" si="9"/>
        <v>0.38458390352806587</v>
      </c>
      <c r="C607" s="5" t="s">
        <v>24</v>
      </c>
    </row>
    <row r="608" spans="1:3" x14ac:dyDescent="0.2">
      <c r="A608" s="5">
        <v>606</v>
      </c>
      <c r="B608" s="5">
        <f t="shared" ca="1" si="9"/>
        <v>0.55384089090810162</v>
      </c>
      <c r="C608" s="5" t="s">
        <v>23</v>
      </c>
    </row>
    <row r="609" spans="1:3" x14ac:dyDescent="0.2">
      <c r="A609" s="5">
        <v>607</v>
      </c>
      <c r="B609" s="5">
        <f t="shared" ca="1" si="9"/>
        <v>0.40093361216285017</v>
      </c>
      <c r="C609" s="5" t="s">
        <v>24</v>
      </c>
    </row>
    <row r="610" spans="1:3" x14ac:dyDescent="0.2">
      <c r="A610" s="5">
        <v>608</v>
      </c>
      <c r="B610" s="5">
        <f t="shared" ca="1" si="9"/>
        <v>0.68826418533211531</v>
      </c>
      <c r="C610" s="5" t="s">
        <v>23</v>
      </c>
    </row>
    <row r="611" spans="1:3" x14ac:dyDescent="0.2">
      <c r="A611" s="5">
        <v>609</v>
      </c>
      <c r="B611" s="5">
        <f t="shared" ca="1" si="9"/>
        <v>0.6260645526143308</v>
      </c>
      <c r="C611" s="5" t="s">
        <v>24</v>
      </c>
    </row>
    <row r="612" spans="1:3" x14ac:dyDescent="0.2">
      <c r="A612" s="5">
        <v>610</v>
      </c>
      <c r="B612" s="5">
        <f t="shared" ca="1" si="9"/>
        <v>0.53804482289313704</v>
      </c>
      <c r="C612" s="5" t="s">
        <v>24</v>
      </c>
    </row>
    <row r="613" spans="1:3" x14ac:dyDescent="0.2">
      <c r="A613" s="5">
        <v>611</v>
      </c>
      <c r="B613" s="5">
        <f t="shared" ca="1" si="9"/>
        <v>0.75794777343108988</v>
      </c>
      <c r="C613" s="5" t="s">
        <v>23</v>
      </c>
    </row>
    <row r="614" spans="1:3" x14ac:dyDescent="0.2">
      <c r="A614" s="5">
        <v>612</v>
      </c>
      <c r="B614" s="5">
        <f t="shared" ca="1" si="9"/>
        <v>0.50864477171329314</v>
      </c>
      <c r="C614" s="5" t="s">
        <v>23</v>
      </c>
    </row>
    <row r="615" spans="1:3" x14ac:dyDescent="0.2">
      <c r="A615" s="5">
        <v>613</v>
      </c>
      <c r="B615" s="5">
        <f t="shared" ca="1" si="9"/>
        <v>0.72233734692050944</v>
      </c>
      <c r="C615" s="5" t="s">
        <v>24</v>
      </c>
    </row>
    <row r="616" spans="1:3" x14ac:dyDescent="0.2">
      <c r="A616" s="5">
        <v>614</v>
      </c>
      <c r="B616" s="5">
        <f t="shared" ca="1" si="9"/>
        <v>0.54370918453434691</v>
      </c>
      <c r="C616" s="5" t="s">
        <v>24</v>
      </c>
    </row>
    <row r="617" spans="1:3" x14ac:dyDescent="0.2">
      <c r="A617" s="5">
        <v>615</v>
      </c>
      <c r="B617" s="5">
        <f t="shared" ca="1" si="9"/>
        <v>0.6292362435297979</v>
      </c>
      <c r="C617" s="5" t="s">
        <v>24</v>
      </c>
    </row>
    <row r="618" spans="1:3" x14ac:dyDescent="0.2">
      <c r="A618" s="5">
        <v>616</v>
      </c>
      <c r="B618" s="5">
        <f t="shared" ca="1" si="9"/>
        <v>0.89535122325744743</v>
      </c>
      <c r="C618" s="5" t="s">
        <v>23</v>
      </c>
    </row>
    <row r="619" spans="1:3" x14ac:dyDescent="0.2">
      <c r="A619" s="5">
        <v>617</v>
      </c>
      <c r="B619" s="5">
        <f t="shared" ca="1" si="9"/>
        <v>0.729518069670271</v>
      </c>
      <c r="C619" s="5" t="s">
        <v>23</v>
      </c>
    </row>
    <row r="620" spans="1:3" x14ac:dyDescent="0.2">
      <c r="A620" s="5">
        <v>618</v>
      </c>
      <c r="B620" s="5">
        <f t="shared" ca="1" si="9"/>
        <v>0.72471186396904297</v>
      </c>
      <c r="C620" s="5" t="s">
        <v>23</v>
      </c>
    </row>
    <row r="621" spans="1:3" x14ac:dyDescent="0.2">
      <c r="A621" s="5">
        <v>619</v>
      </c>
      <c r="B621" s="5">
        <f t="shared" ca="1" si="9"/>
        <v>0.75929665081685027</v>
      </c>
      <c r="C621" s="5" t="s">
        <v>24</v>
      </c>
    </row>
    <row r="622" spans="1:3" x14ac:dyDescent="0.2">
      <c r="A622" s="5">
        <v>620</v>
      </c>
      <c r="B622" s="5">
        <f t="shared" ca="1" si="9"/>
        <v>0.70947390728235438</v>
      </c>
      <c r="C622" s="5" t="s">
        <v>24</v>
      </c>
    </row>
    <row r="623" spans="1:3" x14ac:dyDescent="0.2">
      <c r="A623" s="5">
        <v>621</v>
      </c>
      <c r="B623" s="5">
        <f t="shared" ca="1" si="9"/>
        <v>0.81162412010797169</v>
      </c>
      <c r="C623" s="5" t="s">
        <v>23</v>
      </c>
    </row>
    <row r="624" spans="1:3" x14ac:dyDescent="0.2">
      <c r="A624" s="5">
        <v>622</v>
      </c>
      <c r="B624" s="5">
        <f t="shared" ca="1" si="9"/>
        <v>0.62281083556417605</v>
      </c>
      <c r="C624" s="5" t="s">
        <v>23</v>
      </c>
    </row>
    <row r="625" spans="1:3" x14ac:dyDescent="0.2">
      <c r="A625" s="5">
        <v>623</v>
      </c>
      <c r="B625" s="5">
        <f t="shared" ca="1" si="9"/>
        <v>0.77621861652120683</v>
      </c>
      <c r="C625" s="5" t="s">
        <v>23</v>
      </c>
    </row>
    <row r="626" spans="1:3" x14ac:dyDescent="0.2">
      <c r="A626" s="5">
        <v>624</v>
      </c>
      <c r="B626" s="5">
        <f t="shared" ca="1" si="9"/>
        <v>0.42519105871945828</v>
      </c>
      <c r="C626" s="5" t="s">
        <v>24</v>
      </c>
    </row>
    <row r="627" spans="1:3" x14ac:dyDescent="0.2">
      <c r="A627" s="5">
        <v>625</v>
      </c>
      <c r="B627" s="5">
        <f t="shared" ca="1" si="9"/>
        <v>0.8738896796065202</v>
      </c>
      <c r="C627" s="5" t="s">
        <v>23</v>
      </c>
    </row>
    <row r="628" spans="1:3" x14ac:dyDescent="0.2">
      <c r="A628" s="5">
        <v>626</v>
      </c>
      <c r="B628" s="5">
        <f t="shared" ca="1" si="9"/>
        <v>0.81138570332197579</v>
      </c>
      <c r="C628" s="5" t="s">
        <v>24</v>
      </c>
    </row>
    <row r="629" spans="1:3" x14ac:dyDescent="0.2">
      <c r="A629" s="5">
        <v>627</v>
      </c>
      <c r="B629" s="5">
        <f t="shared" ca="1" si="9"/>
        <v>0.43937513786235372</v>
      </c>
      <c r="C629" s="5" t="s">
        <v>24</v>
      </c>
    </row>
    <row r="630" spans="1:3" x14ac:dyDescent="0.2">
      <c r="A630" s="5">
        <v>628</v>
      </c>
      <c r="B630" s="5">
        <f t="shared" ca="1" si="9"/>
        <v>0.48115841528346426</v>
      </c>
      <c r="C630" s="5" t="s">
        <v>24</v>
      </c>
    </row>
    <row r="631" spans="1:3" x14ac:dyDescent="0.2">
      <c r="A631" s="5">
        <v>629</v>
      </c>
      <c r="B631" s="5">
        <f t="shared" ca="1" si="9"/>
        <v>0.54378982889228977</v>
      </c>
      <c r="C631" s="5" t="s">
        <v>24</v>
      </c>
    </row>
    <row r="632" spans="1:3" x14ac:dyDescent="0.2">
      <c r="A632" s="5">
        <v>630</v>
      </c>
      <c r="B632" s="5">
        <f t="shared" ca="1" si="9"/>
        <v>0.66214287272531946</v>
      </c>
      <c r="C632" s="5" t="s">
        <v>23</v>
      </c>
    </row>
    <row r="633" spans="1:3" x14ac:dyDescent="0.2">
      <c r="A633" s="5">
        <v>631</v>
      </c>
      <c r="B633" s="5">
        <f t="shared" ca="1" si="9"/>
        <v>0.78735014828830696</v>
      </c>
      <c r="C633" s="5" t="s">
        <v>23</v>
      </c>
    </row>
    <row r="634" spans="1:3" x14ac:dyDescent="0.2">
      <c r="A634" s="5">
        <v>632</v>
      </c>
      <c r="B634" s="5">
        <f t="shared" ca="1" si="9"/>
        <v>0.66944197236926051</v>
      </c>
      <c r="C634" s="5" t="s">
        <v>24</v>
      </c>
    </row>
    <row r="635" spans="1:3" x14ac:dyDescent="0.2">
      <c r="A635" s="5">
        <v>633</v>
      </c>
      <c r="B635" s="5">
        <f t="shared" ca="1" si="9"/>
        <v>0.65977370755440989</v>
      </c>
      <c r="C635" s="5" t="s">
        <v>23</v>
      </c>
    </row>
    <row r="636" spans="1:3" x14ac:dyDescent="0.2">
      <c r="A636" s="5">
        <v>634</v>
      </c>
      <c r="B636" s="5">
        <f t="shared" ca="1" si="9"/>
        <v>0.83149045638808894</v>
      </c>
      <c r="C636" s="5" t="s">
        <v>23</v>
      </c>
    </row>
    <row r="637" spans="1:3" x14ac:dyDescent="0.2">
      <c r="A637" s="5">
        <v>635</v>
      </c>
      <c r="B637" s="5">
        <f t="shared" ca="1" si="9"/>
        <v>0.823682803365688</v>
      </c>
      <c r="C637" s="5" t="s">
        <v>23</v>
      </c>
    </row>
    <row r="638" spans="1:3" x14ac:dyDescent="0.2">
      <c r="A638" s="5">
        <v>636</v>
      </c>
      <c r="B638" s="5">
        <f t="shared" ca="1" si="9"/>
        <v>0.72508864309872845</v>
      </c>
      <c r="C638" s="5" t="s">
        <v>24</v>
      </c>
    </row>
    <row r="639" spans="1:3" x14ac:dyDescent="0.2">
      <c r="A639" s="5">
        <v>637</v>
      </c>
      <c r="B639" s="5">
        <f t="shared" ca="1" si="9"/>
        <v>0.68969214721739969</v>
      </c>
      <c r="C639" s="5" t="s">
        <v>24</v>
      </c>
    </row>
    <row r="640" spans="1:3" x14ac:dyDescent="0.2">
      <c r="A640" s="5">
        <v>638</v>
      </c>
      <c r="B640" s="5">
        <f t="shared" ca="1" si="9"/>
        <v>0.60085649901451599</v>
      </c>
      <c r="C640" s="5" t="s">
        <v>23</v>
      </c>
    </row>
    <row r="641" spans="1:3" x14ac:dyDescent="0.2">
      <c r="A641" s="5">
        <v>639</v>
      </c>
      <c r="B641" s="5">
        <f t="shared" ca="1" si="9"/>
        <v>0.7018434346820619</v>
      </c>
      <c r="C641" s="5" t="s">
        <v>24</v>
      </c>
    </row>
    <row r="642" spans="1:3" x14ac:dyDescent="0.2">
      <c r="A642" s="5">
        <v>640</v>
      </c>
      <c r="B642" s="5">
        <f t="shared" ca="1" si="9"/>
        <v>0.74425455285463882</v>
      </c>
      <c r="C642" s="5" t="s">
        <v>23</v>
      </c>
    </row>
    <row r="643" spans="1:3" x14ac:dyDescent="0.2">
      <c r="A643" s="5">
        <v>641</v>
      </c>
      <c r="B643" s="5">
        <f t="shared" ca="1" si="9"/>
        <v>0.72093557350556037</v>
      </c>
      <c r="C643" s="5" t="s">
        <v>23</v>
      </c>
    </row>
    <row r="644" spans="1:3" x14ac:dyDescent="0.2">
      <c r="A644" s="5">
        <v>642</v>
      </c>
      <c r="B644" s="5">
        <f t="shared" ref="B644:B707" ca="1" si="10">IF(C644="Bomb",_xlfn.NORM.INV(RAND(),0.7,0.1),_xlfn.NORM.INV(RAND(),0.6,0.15))</f>
        <v>0.50217116282350027</v>
      </c>
      <c r="C644" s="5" t="s">
        <v>24</v>
      </c>
    </row>
    <row r="645" spans="1:3" x14ac:dyDescent="0.2">
      <c r="A645" s="5">
        <v>643</v>
      </c>
      <c r="B645" s="5">
        <f t="shared" ca="1" si="10"/>
        <v>0.70951139726336754</v>
      </c>
      <c r="C645" s="5" t="s">
        <v>23</v>
      </c>
    </row>
    <row r="646" spans="1:3" x14ac:dyDescent="0.2">
      <c r="A646" s="5">
        <v>644</v>
      </c>
      <c r="B646" s="5">
        <f t="shared" ca="1" si="10"/>
        <v>0.94144994224545964</v>
      </c>
      <c r="C646" s="5" t="s">
        <v>24</v>
      </c>
    </row>
    <row r="647" spans="1:3" x14ac:dyDescent="0.2">
      <c r="A647" s="5">
        <v>645</v>
      </c>
      <c r="B647" s="5">
        <f t="shared" ca="1" si="10"/>
        <v>0.61916816984264189</v>
      </c>
      <c r="C647" s="5" t="s">
        <v>24</v>
      </c>
    </row>
    <row r="648" spans="1:3" x14ac:dyDescent="0.2">
      <c r="A648" s="5">
        <v>646</v>
      </c>
      <c r="B648" s="5">
        <f t="shared" ca="1" si="10"/>
        <v>0.79769143200343773</v>
      </c>
      <c r="C648" s="5" t="s">
        <v>24</v>
      </c>
    </row>
    <row r="649" spans="1:3" x14ac:dyDescent="0.2">
      <c r="A649" s="5">
        <v>647</v>
      </c>
      <c r="B649" s="5">
        <f t="shared" ca="1" si="10"/>
        <v>0.67637415311747151</v>
      </c>
      <c r="C649" s="5" t="s">
        <v>23</v>
      </c>
    </row>
    <row r="650" spans="1:3" x14ac:dyDescent="0.2">
      <c r="A650" s="5">
        <v>648</v>
      </c>
      <c r="B650" s="5">
        <f t="shared" ca="1" si="10"/>
        <v>0.67745020517773447</v>
      </c>
      <c r="C650" s="5" t="s">
        <v>23</v>
      </c>
    </row>
    <row r="651" spans="1:3" x14ac:dyDescent="0.2">
      <c r="A651" s="5">
        <v>649</v>
      </c>
      <c r="B651" s="5">
        <f t="shared" ca="1" si="10"/>
        <v>0.53025495077369589</v>
      </c>
      <c r="C651" s="5" t="s">
        <v>23</v>
      </c>
    </row>
    <row r="652" spans="1:3" x14ac:dyDescent="0.2">
      <c r="A652" s="5">
        <v>650</v>
      </c>
      <c r="B652" s="5">
        <f t="shared" ca="1" si="10"/>
        <v>0.71833963369756426</v>
      </c>
      <c r="C652" s="5" t="s">
        <v>23</v>
      </c>
    </row>
    <row r="653" spans="1:3" x14ac:dyDescent="0.2">
      <c r="A653" s="5">
        <v>651</v>
      </c>
      <c r="B653" s="5">
        <f t="shared" ca="1" si="10"/>
        <v>0.65453189736535689</v>
      </c>
      <c r="C653" s="5" t="s">
        <v>24</v>
      </c>
    </row>
    <row r="654" spans="1:3" x14ac:dyDescent="0.2">
      <c r="A654" s="5">
        <v>652</v>
      </c>
      <c r="B654" s="5">
        <f t="shared" ca="1" si="10"/>
        <v>0.6025146499242332</v>
      </c>
      <c r="C654" s="5" t="s">
        <v>24</v>
      </c>
    </row>
    <row r="655" spans="1:3" x14ac:dyDescent="0.2">
      <c r="A655" s="5">
        <v>653</v>
      </c>
      <c r="B655" s="5">
        <f t="shared" ca="1" si="10"/>
        <v>0.68021098729418883</v>
      </c>
      <c r="C655" s="5" t="s">
        <v>24</v>
      </c>
    </row>
    <row r="656" spans="1:3" x14ac:dyDescent="0.2">
      <c r="A656" s="5">
        <v>654</v>
      </c>
      <c r="B656" s="5">
        <f t="shared" ca="1" si="10"/>
        <v>0.65534898035047773</v>
      </c>
      <c r="C656" s="5" t="s">
        <v>24</v>
      </c>
    </row>
    <row r="657" spans="1:3" x14ac:dyDescent="0.2">
      <c r="A657" s="5">
        <v>655</v>
      </c>
      <c r="B657" s="5">
        <f t="shared" ca="1" si="10"/>
        <v>0.59123132841591175</v>
      </c>
      <c r="C657" s="5" t="s">
        <v>24</v>
      </c>
    </row>
    <row r="658" spans="1:3" x14ac:dyDescent="0.2">
      <c r="A658" s="5">
        <v>656</v>
      </c>
      <c r="B658" s="5">
        <f t="shared" ca="1" si="10"/>
        <v>0.53666805407053808</v>
      </c>
      <c r="C658" s="5" t="s">
        <v>24</v>
      </c>
    </row>
    <row r="659" spans="1:3" x14ac:dyDescent="0.2">
      <c r="A659" s="5">
        <v>657</v>
      </c>
      <c r="B659" s="5">
        <f t="shared" ca="1" si="10"/>
        <v>0.60520097924239269</v>
      </c>
      <c r="C659" s="5" t="s">
        <v>23</v>
      </c>
    </row>
    <row r="660" spans="1:3" x14ac:dyDescent="0.2">
      <c r="A660" s="5">
        <v>658</v>
      </c>
      <c r="B660" s="5">
        <f t="shared" ca="1" si="10"/>
        <v>0.57374277128067519</v>
      </c>
      <c r="C660" s="5" t="s">
        <v>24</v>
      </c>
    </row>
    <row r="661" spans="1:3" x14ac:dyDescent="0.2">
      <c r="A661" s="5">
        <v>659</v>
      </c>
      <c r="B661" s="5">
        <f t="shared" ca="1" si="10"/>
        <v>0.68842191527773877</v>
      </c>
      <c r="C661" s="5" t="s">
        <v>23</v>
      </c>
    </row>
    <row r="662" spans="1:3" x14ac:dyDescent="0.2">
      <c r="A662" s="5">
        <v>660</v>
      </c>
      <c r="B662" s="5">
        <f t="shared" ca="1" si="10"/>
        <v>0.80811237129398505</v>
      </c>
      <c r="C662" s="5" t="s">
        <v>24</v>
      </c>
    </row>
    <row r="663" spans="1:3" x14ac:dyDescent="0.2">
      <c r="A663" s="5">
        <v>661</v>
      </c>
      <c r="B663" s="5">
        <f t="shared" ca="1" si="10"/>
        <v>0.73977292133341233</v>
      </c>
      <c r="C663" s="5" t="s">
        <v>23</v>
      </c>
    </row>
    <row r="664" spans="1:3" x14ac:dyDescent="0.2">
      <c r="A664" s="5">
        <v>662</v>
      </c>
      <c r="B664" s="5">
        <f t="shared" ca="1" si="10"/>
        <v>0.74353529488964343</v>
      </c>
      <c r="C664" s="5" t="s">
        <v>24</v>
      </c>
    </row>
    <row r="665" spans="1:3" x14ac:dyDescent="0.2">
      <c r="A665" s="5">
        <v>663</v>
      </c>
      <c r="B665" s="5">
        <f t="shared" ca="1" si="10"/>
        <v>0.74906487791245768</v>
      </c>
      <c r="C665" s="5" t="s">
        <v>24</v>
      </c>
    </row>
    <row r="666" spans="1:3" x14ac:dyDescent="0.2">
      <c r="A666" s="5">
        <v>664</v>
      </c>
      <c r="B666" s="5">
        <f t="shared" ca="1" si="10"/>
        <v>0.64846868955380543</v>
      </c>
      <c r="C666" s="5" t="s">
        <v>23</v>
      </c>
    </row>
    <row r="667" spans="1:3" x14ac:dyDescent="0.2">
      <c r="A667" s="5">
        <v>665</v>
      </c>
      <c r="B667" s="5">
        <f t="shared" ca="1" si="10"/>
        <v>0.4666354545719783</v>
      </c>
      <c r="C667" s="5" t="s">
        <v>24</v>
      </c>
    </row>
    <row r="668" spans="1:3" x14ac:dyDescent="0.2">
      <c r="A668" s="5">
        <v>666</v>
      </c>
      <c r="B668" s="5">
        <f t="shared" ca="1" si="10"/>
        <v>0.64623872818852635</v>
      </c>
      <c r="C668" s="5" t="s">
        <v>24</v>
      </c>
    </row>
    <row r="669" spans="1:3" x14ac:dyDescent="0.2">
      <c r="A669" s="5">
        <v>667</v>
      </c>
      <c r="B669" s="5">
        <f t="shared" ca="1" si="10"/>
        <v>0.65630952661665343</v>
      </c>
      <c r="C669" s="5" t="s">
        <v>23</v>
      </c>
    </row>
    <row r="670" spans="1:3" x14ac:dyDescent="0.2">
      <c r="A670" s="5">
        <v>668</v>
      </c>
      <c r="B670" s="5">
        <f t="shared" ca="1" si="10"/>
        <v>0.54818810766505366</v>
      </c>
      <c r="C670" s="5" t="s">
        <v>24</v>
      </c>
    </row>
    <row r="671" spans="1:3" x14ac:dyDescent="0.2">
      <c r="A671" s="5">
        <v>669</v>
      </c>
      <c r="B671" s="5">
        <f t="shared" ca="1" si="10"/>
        <v>0.50343387121418048</v>
      </c>
      <c r="C671" s="5" t="s">
        <v>24</v>
      </c>
    </row>
    <row r="672" spans="1:3" x14ac:dyDescent="0.2">
      <c r="A672" s="5">
        <v>670</v>
      </c>
      <c r="B672" s="5">
        <f t="shared" ca="1" si="10"/>
        <v>0.4926589281127296</v>
      </c>
      <c r="C672" s="5" t="s">
        <v>24</v>
      </c>
    </row>
    <row r="673" spans="1:3" x14ac:dyDescent="0.2">
      <c r="A673" s="5">
        <v>671</v>
      </c>
      <c r="B673" s="5">
        <f t="shared" ca="1" si="10"/>
        <v>0.49380208057961172</v>
      </c>
      <c r="C673" s="5" t="s">
        <v>24</v>
      </c>
    </row>
    <row r="674" spans="1:3" x14ac:dyDescent="0.2">
      <c r="A674" s="5">
        <v>672</v>
      </c>
      <c r="B674" s="5">
        <f t="shared" ca="1" si="10"/>
        <v>0.88042165913918269</v>
      </c>
      <c r="C674" s="5" t="s">
        <v>24</v>
      </c>
    </row>
    <row r="675" spans="1:3" x14ac:dyDescent="0.2">
      <c r="A675" s="5">
        <v>673</v>
      </c>
      <c r="B675" s="5">
        <f t="shared" ca="1" si="10"/>
        <v>0.85333732741118862</v>
      </c>
      <c r="C675" s="5" t="s">
        <v>24</v>
      </c>
    </row>
    <row r="676" spans="1:3" x14ac:dyDescent="0.2">
      <c r="A676" s="5">
        <v>674</v>
      </c>
      <c r="B676" s="5">
        <f t="shared" ca="1" si="10"/>
        <v>0.62210919606741344</v>
      </c>
      <c r="C676" s="5" t="s">
        <v>23</v>
      </c>
    </row>
    <row r="677" spans="1:3" x14ac:dyDescent="0.2">
      <c r="A677" s="5">
        <v>675</v>
      </c>
      <c r="B677" s="5">
        <f t="shared" ca="1" si="10"/>
        <v>0.55329477445361197</v>
      </c>
      <c r="C677" s="5" t="s">
        <v>24</v>
      </c>
    </row>
    <row r="678" spans="1:3" x14ac:dyDescent="0.2">
      <c r="A678" s="5">
        <v>676</v>
      </c>
      <c r="B678" s="5">
        <f t="shared" ca="1" si="10"/>
        <v>0.60029153448578731</v>
      </c>
      <c r="C678" s="5" t="s">
        <v>23</v>
      </c>
    </row>
    <row r="679" spans="1:3" x14ac:dyDescent="0.2">
      <c r="A679" s="5">
        <v>677</v>
      </c>
      <c r="B679" s="5">
        <f t="shared" ca="1" si="10"/>
        <v>0.39148683494461767</v>
      </c>
      <c r="C679" s="5" t="s">
        <v>24</v>
      </c>
    </row>
    <row r="680" spans="1:3" x14ac:dyDescent="0.2">
      <c r="A680" s="5">
        <v>678</v>
      </c>
      <c r="B680" s="5">
        <f t="shared" ca="1" si="10"/>
        <v>0.72964926056124835</v>
      </c>
      <c r="C680" s="5" t="s">
        <v>23</v>
      </c>
    </row>
    <row r="681" spans="1:3" x14ac:dyDescent="0.2">
      <c r="A681" s="5">
        <v>679</v>
      </c>
      <c r="B681" s="5">
        <f t="shared" ca="1" si="10"/>
        <v>0.28361641129435489</v>
      </c>
      <c r="C681" s="5" t="s">
        <v>24</v>
      </c>
    </row>
    <row r="682" spans="1:3" x14ac:dyDescent="0.2">
      <c r="A682" s="5">
        <v>680</v>
      </c>
      <c r="B682" s="5">
        <f t="shared" ca="1" si="10"/>
        <v>0.78626363626619156</v>
      </c>
      <c r="C682" s="5" t="s">
        <v>24</v>
      </c>
    </row>
    <row r="683" spans="1:3" x14ac:dyDescent="0.2">
      <c r="A683" s="5">
        <v>681</v>
      </c>
      <c r="B683" s="5">
        <f t="shared" ca="1" si="10"/>
        <v>0.51651740231932219</v>
      </c>
      <c r="C683" s="5" t="s">
        <v>24</v>
      </c>
    </row>
    <row r="684" spans="1:3" x14ac:dyDescent="0.2">
      <c r="A684" s="5">
        <v>682</v>
      </c>
      <c r="B684" s="5">
        <f t="shared" ca="1" si="10"/>
        <v>0.57232844719591158</v>
      </c>
      <c r="C684" s="5" t="s">
        <v>24</v>
      </c>
    </row>
    <row r="685" spans="1:3" x14ac:dyDescent="0.2">
      <c r="A685" s="5">
        <v>683</v>
      </c>
      <c r="B685" s="5">
        <f t="shared" ca="1" si="10"/>
        <v>0.62207859993062031</v>
      </c>
      <c r="C685" s="5" t="s">
        <v>24</v>
      </c>
    </row>
    <row r="686" spans="1:3" x14ac:dyDescent="0.2">
      <c r="A686" s="5">
        <v>684</v>
      </c>
      <c r="B686" s="5">
        <f t="shared" ca="1" si="10"/>
        <v>0.41648404078937318</v>
      </c>
      <c r="C686" s="5" t="s">
        <v>24</v>
      </c>
    </row>
    <row r="687" spans="1:3" x14ac:dyDescent="0.2">
      <c r="A687" s="5">
        <v>685</v>
      </c>
      <c r="B687" s="5">
        <f t="shared" ca="1" si="10"/>
        <v>0.73992057416369117</v>
      </c>
      <c r="C687" s="5" t="s">
        <v>23</v>
      </c>
    </row>
    <row r="688" spans="1:3" x14ac:dyDescent="0.2">
      <c r="A688" s="5">
        <v>686</v>
      </c>
      <c r="B688" s="5">
        <f t="shared" ca="1" si="10"/>
        <v>0.75027897180690417</v>
      </c>
      <c r="C688" s="5" t="s">
        <v>24</v>
      </c>
    </row>
    <row r="689" spans="1:3" x14ac:dyDescent="0.2">
      <c r="A689" s="5">
        <v>687</v>
      </c>
      <c r="B689" s="5">
        <f t="shared" ca="1" si="10"/>
        <v>0.41539739433775952</v>
      </c>
      <c r="C689" s="5" t="s">
        <v>24</v>
      </c>
    </row>
    <row r="690" spans="1:3" x14ac:dyDescent="0.2">
      <c r="A690" s="5">
        <v>688</v>
      </c>
      <c r="B690" s="5">
        <f t="shared" ca="1" si="10"/>
        <v>0.74480226833393937</v>
      </c>
      <c r="C690" s="5" t="s">
        <v>24</v>
      </c>
    </row>
    <row r="691" spans="1:3" x14ac:dyDescent="0.2">
      <c r="A691" s="5">
        <v>689</v>
      </c>
      <c r="B691" s="5">
        <f t="shared" ca="1" si="10"/>
        <v>0.50259637006670899</v>
      </c>
      <c r="C691" s="5" t="s">
        <v>24</v>
      </c>
    </row>
    <row r="692" spans="1:3" x14ac:dyDescent="0.2">
      <c r="A692" s="5">
        <v>690</v>
      </c>
      <c r="B692" s="5">
        <f t="shared" ca="1" si="10"/>
        <v>0.75488567976469667</v>
      </c>
      <c r="C692" s="5" t="s">
        <v>23</v>
      </c>
    </row>
    <row r="693" spans="1:3" x14ac:dyDescent="0.2">
      <c r="A693" s="5">
        <v>691</v>
      </c>
      <c r="B693" s="5">
        <f t="shared" ca="1" si="10"/>
        <v>0.88186476573224326</v>
      </c>
      <c r="C693" s="5" t="s">
        <v>23</v>
      </c>
    </row>
    <row r="694" spans="1:3" x14ac:dyDescent="0.2">
      <c r="A694" s="5">
        <v>692</v>
      </c>
      <c r="B694" s="5">
        <f t="shared" ca="1" si="10"/>
        <v>0.62800904329168039</v>
      </c>
      <c r="C694" s="5" t="s">
        <v>23</v>
      </c>
    </row>
    <row r="695" spans="1:3" x14ac:dyDescent="0.2">
      <c r="A695" s="5">
        <v>693</v>
      </c>
      <c r="B695" s="5">
        <f t="shared" ca="1" si="10"/>
        <v>0.80968797616203858</v>
      </c>
      <c r="C695" s="5" t="s">
        <v>23</v>
      </c>
    </row>
    <row r="696" spans="1:3" x14ac:dyDescent="0.2">
      <c r="A696" s="5">
        <v>694</v>
      </c>
      <c r="B696" s="5">
        <f t="shared" ca="1" si="10"/>
        <v>0.57770875474455863</v>
      </c>
      <c r="C696" s="5" t="s">
        <v>24</v>
      </c>
    </row>
    <row r="697" spans="1:3" x14ac:dyDescent="0.2">
      <c r="A697" s="5">
        <v>695</v>
      </c>
      <c r="B697" s="5">
        <f t="shared" ca="1" si="10"/>
        <v>0.68933620694694331</v>
      </c>
      <c r="C697" s="5" t="s">
        <v>24</v>
      </c>
    </row>
    <row r="698" spans="1:3" x14ac:dyDescent="0.2">
      <c r="A698" s="5">
        <v>696</v>
      </c>
      <c r="B698" s="5">
        <f t="shared" ca="1" si="10"/>
        <v>0.65523184555722813</v>
      </c>
      <c r="C698" s="5" t="s">
        <v>24</v>
      </c>
    </row>
    <row r="699" spans="1:3" x14ac:dyDescent="0.2">
      <c r="A699" s="5">
        <v>697</v>
      </c>
      <c r="B699" s="5">
        <f t="shared" ca="1" si="10"/>
        <v>0.62990341995222154</v>
      </c>
      <c r="C699" s="5" t="s">
        <v>24</v>
      </c>
    </row>
    <row r="700" spans="1:3" x14ac:dyDescent="0.2">
      <c r="A700" s="5">
        <v>698</v>
      </c>
      <c r="B700" s="5">
        <f t="shared" ca="1" si="10"/>
        <v>0.698997171631073</v>
      </c>
      <c r="C700" s="5" t="s">
        <v>23</v>
      </c>
    </row>
    <row r="701" spans="1:3" x14ac:dyDescent="0.2">
      <c r="A701" s="5">
        <v>699</v>
      </c>
      <c r="B701" s="5">
        <f t="shared" ca="1" si="10"/>
        <v>0.53593798347629185</v>
      </c>
      <c r="C701" s="5" t="s">
        <v>24</v>
      </c>
    </row>
    <row r="702" spans="1:3" x14ac:dyDescent="0.2">
      <c r="A702" s="5">
        <v>700</v>
      </c>
      <c r="B702" s="5">
        <f t="shared" ca="1" si="10"/>
        <v>0.8523567401647032</v>
      </c>
      <c r="C702" s="5" t="s">
        <v>24</v>
      </c>
    </row>
    <row r="703" spans="1:3" x14ac:dyDescent="0.2">
      <c r="A703" s="5">
        <v>701</v>
      </c>
      <c r="B703" s="5">
        <f t="shared" ca="1" si="10"/>
        <v>0.54754260345012884</v>
      </c>
      <c r="C703" s="5" t="s">
        <v>24</v>
      </c>
    </row>
    <row r="704" spans="1:3" x14ac:dyDescent="0.2">
      <c r="A704" s="5">
        <v>702</v>
      </c>
      <c r="B704" s="5">
        <f t="shared" ca="1" si="10"/>
        <v>0.49948977864960936</v>
      </c>
      <c r="C704" s="5" t="s">
        <v>24</v>
      </c>
    </row>
    <row r="705" spans="1:3" x14ac:dyDescent="0.2">
      <c r="A705" s="5">
        <v>703</v>
      </c>
      <c r="B705" s="5">
        <f t="shared" ca="1" si="10"/>
        <v>0.62649485336393962</v>
      </c>
      <c r="C705" s="5" t="s">
        <v>23</v>
      </c>
    </row>
    <row r="706" spans="1:3" x14ac:dyDescent="0.2">
      <c r="A706" s="5">
        <v>704</v>
      </c>
      <c r="B706" s="5">
        <f t="shared" ca="1" si="10"/>
        <v>0.61393792159447136</v>
      </c>
      <c r="C706" s="5" t="s">
        <v>23</v>
      </c>
    </row>
    <row r="707" spans="1:3" x14ac:dyDescent="0.2">
      <c r="A707" s="5">
        <v>705</v>
      </c>
      <c r="B707" s="5">
        <f t="shared" ca="1" si="10"/>
        <v>0.65197803175982494</v>
      </c>
      <c r="C707" s="5" t="s">
        <v>24</v>
      </c>
    </row>
    <row r="708" spans="1:3" x14ac:dyDescent="0.2">
      <c r="A708" s="5">
        <v>706</v>
      </c>
      <c r="B708" s="5">
        <f t="shared" ref="B708:B771" ca="1" si="11">IF(C708="Bomb",_xlfn.NORM.INV(RAND(),0.7,0.1),_xlfn.NORM.INV(RAND(),0.6,0.15))</f>
        <v>0.2630795464971723</v>
      </c>
      <c r="C708" s="5" t="s">
        <v>24</v>
      </c>
    </row>
    <row r="709" spans="1:3" x14ac:dyDescent="0.2">
      <c r="A709" s="5">
        <v>707</v>
      </c>
      <c r="B709" s="5">
        <f t="shared" ca="1" si="11"/>
        <v>0.5008047067081639</v>
      </c>
      <c r="C709" s="5" t="s">
        <v>24</v>
      </c>
    </row>
    <row r="710" spans="1:3" x14ac:dyDescent="0.2">
      <c r="A710" s="5">
        <v>708</v>
      </c>
      <c r="B710" s="5">
        <f t="shared" ca="1" si="11"/>
        <v>0.7328240013631363</v>
      </c>
      <c r="C710" s="5" t="s">
        <v>23</v>
      </c>
    </row>
    <row r="711" spans="1:3" x14ac:dyDescent="0.2">
      <c r="A711" s="5">
        <v>709</v>
      </c>
      <c r="B711" s="5">
        <f t="shared" ca="1" si="11"/>
        <v>0.95734543317492016</v>
      </c>
      <c r="C711" s="5" t="s">
        <v>23</v>
      </c>
    </row>
    <row r="712" spans="1:3" x14ac:dyDescent="0.2">
      <c r="A712" s="5">
        <v>710</v>
      </c>
      <c r="B712" s="5">
        <f t="shared" ca="1" si="11"/>
        <v>0.76866439587837709</v>
      </c>
      <c r="C712" s="5" t="s">
        <v>23</v>
      </c>
    </row>
    <row r="713" spans="1:3" x14ac:dyDescent="0.2">
      <c r="A713" s="5">
        <v>711</v>
      </c>
      <c r="B713" s="5">
        <f t="shared" ca="1" si="11"/>
        <v>0.80599002595517988</v>
      </c>
      <c r="C713" s="5" t="s">
        <v>24</v>
      </c>
    </row>
    <row r="714" spans="1:3" x14ac:dyDescent="0.2">
      <c r="A714" s="5">
        <v>712</v>
      </c>
      <c r="B714" s="5">
        <f t="shared" ca="1" si="11"/>
        <v>0.5788966030141165</v>
      </c>
      <c r="C714" s="5" t="s">
        <v>23</v>
      </c>
    </row>
    <row r="715" spans="1:3" x14ac:dyDescent="0.2">
      <c r="A715" s="5">
        <v>713</v>
      </c>
      <c r="B715" s="5">
        <f t="shared" ca="1" si="11"/>
        <v>0.7185729678499696</v>
      </c>
      <c r="C715" s="5" t="s">
        <v>24</v>
      </c>
    </row>
    <row r="716" spans="1:3" x14ac:dyDescent="0.2">
      <c r="A716" s="5">
        <v>714</v>
      </c>
      <c r="B716" s="5">
        <f t="shared" ca="1" si="11"/>
        <v>0.53020574976878621</v>
      </c>
      <c r="C716" s="5" t="s">
        <v>24</v>
      </c>
    </row>
    <row r="717" spans="1:3" x14ac:dyDescent="0.2">
      <c r="A717" s="5">
        <v>715</v>
      </c>
      <c r="B717" s="5">
        <f t="shared" ca="1" si="11"/>
        <v>0.41293103382362778</v>
      </c>
      <c r="C717" s="5" t="s">
        <v>24</v>
      </c>
    </row>
    <row r="718" spans="1:3" x14ac:dyDescent="0.2">
      <c r="A718" s="5">
        <v>716</v>
      </c>
      <c r="B718" s="5">
        <f t="shared" ca="1" si="11"/>
        <v>0.81961865479204921</v>
      </c>
      <c r="C718" s="5" t="s">
        <v>23</v>
      </c>
    </row>
    <row r="719" spans="1:3" x14ac:dyDescent="0.2">
      <c r="A719" s="5">
        <v>717</v>
      </c>
      <c r="B719" s="5">
        <f t="shared" ca="1" si="11"/>
        <v>0.58376716905770976</v>
      </c>
      <c r="C719" s="5" t="s">
        <v>24</v>
      </c>
    </row>
    <row r="720" spans="1:3" x14ac:dyDescent="0.2">
      <c r="A720" s="5">
        <v>718</v>
      </c>
      <c r="B720" s="5">
        <f t="shared" ca="1" si="11"/>
        <v>0.32221256715600682</v>
      </c>
      <c r="C720" s="5" t="s">
        <v>24</v>
      </c>
    </row>
    <row r="721" spans="1:3" x14ac:dyDescent="0.2">
      <c r="A721" s="5">
        <v>719</v>
      </c>
      <c r="B721" s="5">
        <f t="shared" ca="1" si="11"/>
        <v>0.73753814920981831</v>
      </c>
      <c r="C721" s="5" t="s">
        <v>24</v>
      </c>
    </row>
    <row r="722" spans="1:3" x14ac:dyDescent="0.2">
      <c r="A722" s="5">
        <v>720</v>
      </c>
      <c r="B722" s="5">
        <f t="shared" ca="1" si="11"/>
        <v>0.58397836530178704</v>
      </c>
      <c r="C722" s="5" t="s">
        <v>24</v>
      </c>
    </row>
    <row r="723" spans="1:3" x14ac:dyDescent="0.2">
      <c r="A723" s="5">
        <v>721</v>
      </c>
      <c r="B723" s="5">
        <f t="shared" ca="1" si="11"/>
        <v>0.63202171080699576</v>
      </c>
      <c r="C723" s="5" t="s">
        <v>23</v>
      </c>
    </row>
    <row r="724" spans="1:3" x14ac:dyDescent="0.2">
      <c r="A724" s="5">
        <v>722</v>
      </c>
      <c r="B724" s="5">
        <f t="shared" ca="1" si="11"/>
        <v>0.8459413514392331</v>
      </c>
      <c r="C724" s="5" t="s">
        <v>24</v>
      </c>
    </row>
    <row r="725" spans="1:3" x14ac:dyDescent="0.2">
      <c r="A725" s="5">
        <v>723</v>
      </c>
      <c r="B725" s="5">
        <f t="shared" ca="1" si="11"/>
        <v>0.66381676313096472</v>
      </c>
      <c r="C725" s="5" t="s">
        <v>23</v>
      </c>
    </row>
    <row r="726" spans="1:3" x14ac:dyDescent="0.2">
      <c r="A726" s="5">
        <v>724</v>
      </c>
      <c r="B726" s="5">
        <f t="shared" ca="1" si="11"/>
        <v>0.80365173713248605</v>
      </c>
      <c r="C726" s="5" t="s">
        <v>23</v>
      </c>
    </row>
    <row r="727" spans="1:3" x14ac:dyDescent="0.2">
      <c r="A727" s="5">
        <v>725</v>
      </c>
      <c r="B727" s="5">
        <f t="shared" ca="1" si="11"/>
        <v>0.58197953285860515</v>
      </c>
      <c r="C727" s="5" t="s">
        <v>24</v>
      </c>
    </row>
    <row r="728" spans="1:3" x14ac:dyDescent="0.2">
      <c r="A728" s="5">
        <v>726</v>
      </c>
      <c r="B728" s="5">
        <f t="shared" ca="1" si="11"/>
        <v>0.54981025019800278</v>
      </c>
      <c r="C728" s="5" t="s">
        <v>24</v>
      </c>
    </row>
    <row r="729" spans="1:3" x14ac:dyDescent="0.2">
      <c r="A729" s="5">
        <v>727</v>
      </c>
      <c r="B729" s="5">
        <f t="shared" ca="1" si="11"/>
        <v>0.60404584493672187</v>
      </c>
      <c r="C729" s="5" t="s">
        <v>23</v>
      </c>
    </row>
    <row r="730" spans="1:3" x14ac:dyDescent="0.2">
      <c r="A730" s="5">
        <v>728</v>
      </c>
      <c r="B730" s="5">
        <f t="shared" ca="1" si="11"/>
        <v>0.44232372219777261</v>
      </c>
      <c r="C730" s="5" t="s">
        <v>24</v>
      </c>
    </row>
    <row r="731" spans="1:3" x14ac:dyDescent="0.2">
      <c r="A731" s="5">
        <v>729</v>
      </c>
      <c r="B731" s="5">
        <f t="shared" ca="1" si="11"/>
        <v>0.72680051025008496</v>
      </c>
      <c r="C731" s="5" t="s">
        <v>23</v>
      </c>
    </row>
    <row r="732" spans="1:3" x14ac:dyDescent="0.2">
      <c r="A732" s="5">
        <v>730</v>
      </c>
      <c r="B732" s="5">
        <f t="shared" ca="1" si="11"/>
        <v>0.63667563798552329</v>
      </c>
      <c r="C732" s="5" t="s">
        <v>23</v>
      </c>
    </row>
    <row r="733" spans="1:3" x14ac:dyDescent="0.2">
      <c r="A733" s="5">
        <v>731</v>
      </c>
      <c r="B733" s="5">
        <f t="shared" ca="1" si="11"/>
        <v>0.85656274625578077</v>
      </c>
      <c r="C733" s="5" t="s">
        <v>23</v>
      </c>
    </row>
    <row r="734" spans="1:3" x14ac:dyDescent="0.2">
      <c r="A734" s="5">
        <v>732</v>
      </c>
      <c r="B734" s="5">
        <f t="shared" ca="1" si="11"/>
        <v>0.60874411651734506</v>
      </c>
      <c r="C734" s="5" t="s">
        <v>24</v>
      </c>
    </row>
    <row r="735" spans="1:3" x14ac:dyDescent="0.2">
      <c r="A735" s="5">
        <v>733</v>
      </c>
      <c r="B735" s="5">
        <f t="shared" ca="1" si="11"/>
        <v>0.51982392218921725</v>
      </c>
      <c r="C735" s="5" t="s">
        <v>24</v>
      </c>
    </row>
    <row r="736" spans="1:3" x14ac:dyDescent="0.2">
      <c r="A736" s="5">
        <v>734</v>
      </c>
      <c r="B736" s="5">
        <f t="shared" ca="1" si="11"/>
        <v>0.62741893916551839</v>
      </c>
      <c r="C736" s="5" t="s">
        <v>24</v>
      </c>
    </row>
    <row r="737" spans="1:3" x14ac:dyDescent="0.2">
      <c r="A737" s="5">
        <v>735</v>
      </c>
      <c r="B737" s="5">
        <f t="shared" ca="1" si="11"/>
        <v>0.73795067312901241</v>
      </c>
      <c r="C737" s="5" t="s">
        <v>23</v>
      </c>
    </row>
    <row r="738" spans="1:3" x14ac:dyDescent="0.2">
      <c r="A738" s="5">
        <v>736</v>
      </c>
      <c r="B738" s="5">
        <f t="shared" ca="1" si="11"/>
        <v>0.86384551468334292</v>
      </c>
      <c r="C738" s="5" t="s">
        <v>23</v>
      </c>
    </row>
    <row r="739" spans="1:3" x14ac:dyDescent="0.2">
      <c r="A739" s="5">
        <v>737</v>
      </c>
      <c r="B739" s="5">
        <f t="shared" ca="1" si="11"/>
        <v>0.52296475933545949</v>
      </c>
      <c r="C739" s="5" t="s">
        <v>24</v>
      </c>
    </row>
    <row r="740" spans="1:3" x14ac:dyDescent="0.2">
      <c r="A740" s="5">
        <v>738</v>
      </c>
      <c r="B740" s="5">
        <f t="shared" ca="1" si="11"/>
        <v>0.35515089169821984</v>
      </c>
      <c r="C740" s="5" t="s">
        <v>24</v>
      </c>
    </row>
    <row r="741" spans="1:3" x14ac:dyDescent="0.2">
      <c r="A741" s="5">
        <v>739</v>
      </c>
      <c r="B741" s="5">
        <f t="shared" ca="1" si="11"/>
        <v>0.53337776818724092</v>
      </c>
      <c r="C741" s="5" t="s">
        <v>23</v>
      </c>
    </row>
    <row r="742" spans="1:3" x14ac:dyDescent="0.2">
      <c r="A742" s="5">
        <v>740</v>
      </c>
      <c r="B742" s="5">
        <f t="shared" ca="1" si="11"/>
        <v>0.60541755940869413</v>
      </c>
      <c r="C742" s="5" t="s">
        <v>24</v>
      </c>
    </row>
    <row r="743" spans="1:3" x14ac:dyDescent="0.2">
      <c r="A743" s="5">
        <v>741</v>
      </c>
      <c r="B743" s="5">
        <f t="shared" ca="1" si="11"/>
        <v>0.79714745102101614</v>
      </c>
      <c r="C743" s="5" t="s">
        <v>24</v>
      </c>
    </row>
    <row r="744" spans="1:3" x14ac:dyDescent="0.2">
      <c r="A744" s="5">
        <v>742</v>
      </c>
      <c r="B744" s="5">
        <f t="shared" ca="1" si="11"/>
        <v>0.62829864899859</v>
      </c>
      <c r="C744" s="5" t="s">
        <v>24</v>
      </c>
    </row>
    <row r="745" spans="1:3" x14ac:dyDescent="0.2">
      <c r="A745" s="5">
        <v>743</v>
      </c>
      <c r="B745" s="5">
        <f t="shared" ca="1" si="11"/>
        <v>0.4868821044459104</v>
      </c>
      <c r="C745" s="5" t="s">
        <v>24</v>
      </c>
    </row>
    <row r="746" spans="1:3" x14ac:dyDescent="0.2">
      <c r="A746" s="5">
        <v>744</v>
      </c>
      <c r="B746" s="5">
        <f t="shared" ca="1" si="11"/>
        <v>0.3884790331119039</v>
      </c>
      <c r="C746" s="5" t="s">
        <v>24</v>
      </c>
    </row>
    <row r="747" spans="1:3" x14ac:dyDescent="0.2">
      <c r="A747" s="5">
        <v>745</v>
      </c>
      <c r="B747" s="5">
        <f t="shared" ca="1" si="11"/>
        <v>0.72593220199508601</v>
      </c>
      <c r="C747" s="5" t="s">
        <v>24</v>
      </c>
    </row>
    <row r="748" spans="1:3" x14ac:dyDescent="0.2">
      <c r="A748" s="5">
        <v>746</v>
      </c>
      <c r="B748" s="5">
        <f t="shared" ca="1" si="11"/>
        <v>0.87304970319310793</v>
      </c>
      <c r="C748" s="5" t="s">
        <v>23</v>
      </c>
    </row>
    <row r="749" spans="1:3" x14ac:dyDescent="0.2">
      <c r="A749" s="5">
        <v>747</v>
      </c>
      <c r="B749" s="5">
        <f t="shared" ca="1" si="11"/>
        <v>0.67066695374640806</v>
      </c>
      <c r="C749" s="5" t="s">
        <v>23</v>
      </c>
    </row>
    <row r="750" spans="1:3" x14ac:dyDescent="0.2">
      <c r="A750" s="5">
        <v>748</v>
      </c>
      <c r="B750" s="5">
        <f t="shared" ca="1" si="11"/>
        <v>0.54057301694051352</v>
      </c>
      <c r="C750" s="5" t="s">
        <v>24</v>
      </c>
    </row>
    <row r="751" spans="1:3" x14ac:dyDescent="0.2">
      <c r="A751" s="5">
        <v>749</v>
      </c>
      <c r="B751" s="5">
        <f t="shared" ca="1" si="11"/>
        <v>0.56030928038259675</v>
      </c>
      <c r="C751" s="5" t="s">
        <v>23</v>
      </c>
    </row>
    <row r="752" spans="1:3" x14ac:dyDescent="0.2">
      <c r="A752" s="5">
        <v>750</v>
      </c>
      <c r="B752" s="5">
        <f t="shared" ca="1" si="11"/>
        <v>1.0098057202825677</v>
      </c>
      <c r="C752" s="5" t="s">
        <v>24</v>
      </c>
    </row>
    <row r="753" spans="1:3" x14ac:dyDescent="0.2">
      <c r="A753" s="5">
        <v>751</v>
      </c>
      <c r="B753" s="5">
        <f t="shared" ca="1" si="11"/>
        <v>0.55271773418288883</v>
      </c>
      <c r="C753" s="5" t="s">
        <v>23</v>
      </c>
    </row>
    <row r="754" spans="1:3" x14ac:dyDescent="0.2">
      <c r="A754" s="5">
        <v>752</v>
      </c>
      <c r="B754" s="5">
        <f t="shared" ca="1" si="11"/>
        <v>0.74546622334799117</v>
      </c>
      <c r="C754" s="5" t="s">
        <v>23</v>
      </c>
    </row>
    <row r="755" spans="1:3" x14ac:dyDescent="0.2">
      <c r="A755" s="5">
        <v>753</v>
      </c>
      <c r="B755" s="5">
        <f t="shared" ca="1" si="11"/>
        <v>0.68551392592652427</v>
      </c>
      <c r="C755" s="5" t="s">
        <v>23</v>
      </c>
    </row>
    <row r="756" spans="1:3" x14ac:dyDescent="0.2">
      <c r="A756" s="5">
        <v>754</v>
      </c>
      <c r="B756" s="5">
        <f t="shared" ca="1" si="11"/>
        <v>0.63685812764646765</v>
      </c>
      <c r="C756" s="5" t="s">
        <v>23</v>
      </c>
    </row>
    <row r="757" spans="1:3" x14ac:dyDescent="0.2">
      <c r="A757" s="5">
        <v>755</v>
      </c>
      <c r="B757" s="5">
        <f t="shared" ca="1" si="11"/>
        <v>0.53000435946387436</v>
      </c>
      <c r="C757" s="5" t="s">
        <v>24</v>
      </c>
    </row>
    <row r="758" spans="1:3" x14ac:dyDescent="0.2">
      <c r="A758" s="5">
        <v>756</v>
      </c>
      <c r="B758" s="5">
        <f t="shared" ca="1" si="11"/>
        <v>0.68279214421143097</v>
      </c>
      <c r="C758" s="5" t="s">
        <v>23</v>
      </c>
    </row>
    <row r="759" spans="1:3" x14ac:dyDescent="0.2">
      <c r="A759" s="5">
        <v>757</v>
      </c>
      <c r="B759" s="5">
        <f t="shared" ca="1" si="11"/>
        <v>0.81289681000727865</v>
      </c>
      <c r="C759" s="5" t="s">
        <v>23</v>
      </c>
    </row>
    <row r="760" spans="1:3" x14ac:dyDescent="0.2">
      <c r="A760" s="5">
        <v>758</v>
      </c>
      <c r="B760" s="5">
        <f t="shared" ca="1" si="11"/>
        <v>0.69122544657253071</v>
      </c>
      <c r="C760" s="5" t="s">
        <v>23</v>
      </c>
    </row>
    <row r="761" spans="1:3" x14ac:dyDescent="0.2">
      <c r="A761" s="5">
        <v>759</v>
      </c>
      <c r="B761" s="5">
        <f t="shared" ca="1" si="11"/>
        <v>0.63779893294234846</v>
      </c>
      <c r="C761" s="5" t="s">
        <v>24</v>
      </c>
    </row>
    <row r="762" spans="1:3" x14ac:dyDescent="0.2">
      <c r="A762" s="5">
        <v>760</v>
      </c>
      <c r="B762" s="5">
        <f t="shared" ca="1" si="11"/>
        <v>0.73871973409531866</v>
      </c>
      <c r="C762" s="5" t="s">
        <v>23</v>
      </c>
    </row>
    <row r="763" spans="1:3" x14ac:dyDescent="0.2">
      <c r="A763" s="5">
        <v>761</v>
      </c>
      <c r="B763" s="5">
        <f t="shared" ca="1" si="11"/>
        <v>0.75630427801053191</v>
      </c>
      <c r="C763" s="5" t="s">
        <v>24</v>
      </c>
    </row>
    <row r="764" spans="1:3" x14ac:dyDescent="0.2">
      <c r="A764" s="5">
        <v>762</v>
      </c>
      <c r="B764" s="5">
        <f t="shared" ca="1" si="11"/>
        <v>0.39131659794368245</v>
      </c>
      <c r="C764" s="5" t="s">
        <v>24</v>
      </c>
    </row>
    <row r="765" spans="1:3" x14ac:dyDescent="0.2">
      <c r="A765" s="5">
        <v>763</v>
      </c>
      <c r="B765" s="5">
        <f t="shared" ca="1" si="11"/>
        <v>0.45499818834077743</v>
      </c>
      <c r="C765" s="5" t="s">
        <v>24</v>
      </c>
    </row>
    <row r="766" spans="1:3" x14ac:dyDescent="0.2">
      <c r="A766" s="5">
        <v>764</v>
      </c>
      <c r="B766" s="5">
        <f t="shared" ca="1" si="11"/>
        <v>0.84312984171433636</v>
      </c>
      <c r="C766" s="5" t="s">
        <v>24</v>
      </c>
    </row>
    <row r="767" spans="1:3" x14ac:dyDescent="0.2">
      <c r="A767" s="5">
        <v>765</v>
      </c>
      <c r="B767" s="5">
        <f t="shared" ca="1" si="11"/>
        <v>0.68164682795485798</v>
      </c>
      <c r="C767" s="5" t="s">
        <v>24</v>
      </c>
    </row>
    <row r="768" spans="1:3" x14ac:dyDescent="0.2">
      <c r="A768" s="5">
        <v>766</v>
      </c>
      <c r="B768" s="5">
        <f t="shared" ca="1" si="11"/>
        <v>0.76243342802703318</v>
      </c>
      <c r="C768" s="5" t="s">
        <v>24</v>
      </c>
    </row>
    <row r="769" spans="1:3" x14ac:dyDescent="0.2">
      <c r="A769" s="5">
        <v>767</v>
      </c>
      <c r="B769" s="5">
        <f t="shared" ca="1" si="11"/>
        <v>0.73866738497935647</v>
      </c>
      <c r="C769" s="5" t="s">
        <v>23</v>
      </c>
    </row>
    <row r="770" spans="1:3" x14ac:dyDescent="0.2">
      <c r="A770" s="5">
        <v>768</v>
      </c>
      <c r="B770" s="5">
        <f t="shared" ca="1" si="11"/>
        <v>0.69182908343048621</v>
      </c>
      <c r="C770" s="5" t="s">
        <v>23</v>
      </c>
    </row>
    <row r="771" spans="1:3" x14ac:dyDescent="0.2">
      <c r="A771" s="5">
        <v>769</v>
      </c>
      <c r="B771" s="5">
        <f t="shared" ca="1" si="11"/>
        <v>0.61810802166895118</v>
      </c>
      <c r="C771" s="5" t="s">
        <v>24</v>
      </c>
    </row>
    <row r="772" spans="1:3" x14ac:dyDescent="0.2">
      <c r="A772" s="5">
        <v>770</v>
      </c>
      <c r="B772" s="5">
        <f t="shared" ref="B772:B835" ca="1" si="12">IF(C772="Bomb",_xlfn.NORM.INV(RAND(),0.7,0.1),_xlfn.NORM.INV(RAND(),0.6,0.15))</f>
        <v>0.49829924713522578</v>
      </c>
      <c r="C772" s="5" t="s">
        <v>23</v>
      </c>
    </row>
    <row r="773" spans="1:3" x14ac:dyDescent="0.2">
      <c r="A773" s="5">
        <v>771</v>
      </c>
      <c r="B773" s="5">
        <f t="shared" ca="1" si="12"/>
        <v>0.61559294790478825</v>
      </c>
      <c r="C773" s="5" t="s">
        <v>24</v>
      </c>
    </row>
    <row r="774" spans="1:3" x14ac:dyDescent="0.2">
      <c r="A774" s="5">
        <v>772</v>
      </c>
      <c r="B774" s="5">
        <f t="shared" ca="1" si="12"/>
        <v>0.80210911439889143</v>
      </c>
      <c r="C774" s="5" t="s">
        <v>24</v>
      </c>
    </row>
    <row r="775" spans="1:3" x14ac:dyDescent="0.2">
      <c r="A775" s="5">
        <v>773</v>
      </c>
      <c r="B775" s="5">
        <f t="shared" ca="1" si="12"/>
        <v>0.49600649338945207</v>
      </c>
      <c r="C775" s="5" t="s">
        <v>24</v>
      </c>
    </row>
    <row r="776" spans="1:3" x14ac:dyDescent="0.2">
      <c r="A776" s="5">
        <v>774</v>
      </c>
      <c r="B776" s="5">
        <f t="shared" ca="1" si="12"/>
        <v>0.46120784576728546</v>
      </c>
      <c r="C776" s="5" t="s">
        <v>24</v>
      </c>
    </row>
    <row r="777" spans="1:3" x14ac:dyDescent="0.2">
      <c r="A777" s="5">
        <v>775</v>
      </c>
      <c r="B777" s="5">
        <f t="shared" ca="1" si="12"/>
        <v>0.75179333191726627</v>
      </c>
      <c r="C777" s="5" t="s">
        <v>23</v>
      </c>
    </row>
    <row r="778" spans="1:3" x14ac:dyDescent="0.2">
      <c r="A778" s="5">
        <v>776</v>
      </c>
      <c r="B778" s="5">
        <f t="shared" ca="1" si="12"/>
        <v>0.74447719866838746</v>
      </c>
      <c r="C778" s="5" t="s">
        <v>24</v>
      </c>
    </row>
    <row r="779" spans="1:3" x14ac:dyDescent="0.2">
      <c r="A779" s="5">
        <v>777</v>
      </c>
      <c r="B779" s="5">
        <f t="shared" ca="1" si="12"/>
        <v>0.62067021664102218</v>
      </c>
      <c r="C779" s="5" t="s">
        <v>23</v>
      </c>
    </row>
    <row r="780" spans="1:3" x14ac:dyDescent="0.2">
      <c r="A780" s="5">
        <v>778</v>
      </c>
      <c r="B780" s="5">
        <f t="shared" ca="1" si="12"/>
        <v>0.88427099245682805</v>
      </c>
      <c r="C780" s="5" t="s">
        <v>23</v>
      </c>
    </row>
    <row r="781" spans="1:3" x14ac:dyDescent="0.2">
      <c r="A781" s="5">
        <v>779</v>
      </c>
      <c r="B781" s="5">
        <f t="shared" ca="1" si="12"/>
        <v>0.8489240872652688</v>
      </c>
      <c r="C781" s="5" t="s">
        <v>23</v>
      </c>
    </row>
    <row r="782" spans="1:3" x14ac:dyDescent="0.2">
      <c r="A782" s="5">
        <v>780</v>
      </c>
      <c r="B782" s="5">
        <f t="shared" ca="1" si="12"/>
        <v>0.79409102106384866</v>
      </c>
      <c r="C782" s="5" t="s">
        <v>23</v>
      </c>
    </row>
    <row r="783" spans="1:3" x14ac:dyDescent="0.2">
      <c r="A783" s="5">
        <v>781</v>
      </c>
      <c r="B783" s="5">
        <f t="shared" ca="1" si="12"/>
        <v>0.62632417307107713</v>
      </c>
      <c r="C783" s="5" t="s">
        <v>23</v>
      </c>
    </row>
    <row r="784" spans="1:3" x14ac:dyDescent="0.2">
      <c r="A784" s="5">
        <v>782</v>
      </c>
      <c r="B784" s="5">
        <f t="shared" ca="1" si="12"/>
        <v>0.68471813278571336</v>
      </c>
      <c r="C784" s="5" t="s">
        <v>23</v>
      </c>
    </row>
    <row r="785" spans="1:3" x14ac:dyDescent="0.2">
      <c r="A785" s="5">
        <v>783</v>
      </c>
      <c r="B785" s="5">
        <f t="shared" ca="1" si="12"/>
        <v>0.59770362585156978</v>
      </c>
      <c r="C785" s="5" t="s">
        <v>23</v>
      </c>
    </row>
    <row r="786" spans="1:3" x14ac:dyDescent="0.2">
      <c r="A786" s="5">
        <v>784</v>
      </c>
      <c r="B786" s="5">
        <f t="shared" ca="1" si="12"/>
        <v>0.67827554700542003</v>
      </c>
      <c r="C786" s="5" t="s">
        <v>24</v>
      </c>
    </row>
    <row r="787" spans="1:3" x14ac:dyDescent="0.2">
      <c r="A787" s="5">
        <v>785</v>
      </c>
      <c r="B787" s="5">
        <f t="shared" ca="1" si="12"/>
        <v>0.80656656737676946</v>
      </c>
      <c r="C787" s="5" t="s">
        <v>24</v>
      </c>
    </row>
    <row r="788" spans="1:3" x14ac:dyDescent="0.2">
      <c r="A788" s="5">
        <v>786</v>
      </c>
      <c r="B788" s="5">
        <f t="shared" ca="1" si="12"/>
        <v>0.83359669667976788</v>
      </c>
      <c r="C788" s="5" t="s">
        <v>24</v>
      </c>
    </row>
    <row r="789" spans="1:3" x14ac:dyDescent="0.2">
      <c r="A789" s="5">
        <v>787</v>
      </c>
      <c r="B789" s="5">
        <f t="shared" ca="1" si="12"/>
        <v>0.66208826825333489</v>
      </c>
      <c r="C789" s="5" t="s">
        <v>23</v>
      </c>
    </row>
    <row r="790" spans="1:3" x14ac:dyDescent="0.2">
      <c r="A790" s="5">
        <v>788</v>
      </c>
      <c r="B790" s="5">
        <f t="shared" ca="1" si="12"/>
        <v>0.44443265317314518</v>
      </c>
      <c r="C790" s="5" t="s">
        <v>24</v>
      </c>
    </row>
    <row r="791" spans="1:3" x14ac:dyDescent="0.2">
      <c r="A791" s="5">
        <v>789</v>
      </c>
      <c r="B791" s="5">
        <f t="shared" ca="1" si="12"/>
        <v>0.69811896261602879</v>
      </c>
      <c r="C791" s="5" t="s">
        <v>23</v>
      </c>
    </row>
    <row r="792" spans="1:3" x14ac:dyDescent="0.2">
      <c r="A792" s="5">
        <v>790</v>
      </c>
      <c r="B792" s="5">
        <f t="shared" ca="1" si="12"/>
        <v>0.7013215061294833</v>
      </c>
      <c r="C792" s="5" t="s">
        <v>23</v>
      </c>
    </row>
    <row r="793" spans="1:3" x14ac:dyDescent="0.2">
      <c r="A793" s="5">
        <v>791</v>
      </c>
      <c r="B793" s="5">
        <f t="shared" ca="1" si="12"/>
        <v>0.45994324733641384</v>
      </c>
      <c r="C793" s="5" t="s">
        <v>24</v>
      </c>
    </row>
    <row r="794" spans="1:3" x14ac:dyDescent="0.2">
      <c r="A794" s="5">
        <v>792</v>
      </c>
      <c r="B794" s="5">
        <f t="shared" ca="1" si="12"/>
        <v>0.57391519376105971</v>
      </c>
      <c r="C794" s="5" t="s">
        <v>24</v>
      </c>
    </row>
    <row r="795" spans="1:3" x14ac:dyDescent="0.2">
      <c r="A795" s="5">
        <v>793</v>
      </c>
      <c r="B795" s="5">
        <f t="shared" ca="1" si="12"/>
        <v>0.70837503133831947</v>
      </c>
      <c r="C795" s="5" t="s">
        <v>23</v>
      </c>
    </row>
    <row r="796" spans="1:3" x14ac:dyDescent="0.2">
      <c r="A796" s="5">
        <v>794</v>
      </c>
      <c r="B796" s="5">
        <f t="shared" ca="1" si="12"/>
        <v>0.62754620833544061</v>
      </c>
      <c r="C796" s="5" t="s">
        <v>24</v>
      </c>
    </row>
    <row r="797" spans="1:3" x14ac:dyDescent="0.2">
      <c r="A797" s="5">
        <v>795</v>
      </c>
      <c r="B797" s="5">
        <f t="shared" ca="1" si="12"/>
        <v>0.70372210514652744</v>
      </c>
      <c r="C797" s="5" t="s">
        <v>24</v>
      </c>
    </row>
    <row r="798" spans="1:3" x14ac:dyDescent="0.2">
      <c r="A798" s="5">
        <v>796</v>
      </c>
      <c r="B798" s="5">
        <f t="shared" ca="1" si="12"/>
        <v>0.28305804878849117</v>
      </c>
      <c r="C798" s="5" t="s">
        <v>24</v>
      </c>
    </row>
    <row r="799" spans="1:3" x14ac:dyDescent="0.2">
      <c r="A799" s="5">
        <v>797</v>
      </c>
      <c r="B799" s="5">
        <f t="shared" ca="1" si="12"/>
        <v>0.55729238724787389</v>
      </c>
      <c r="C799" s="5" t="s">
        <v>24</v>
      </c>
    </row>
    <row r="800" spans="1:3" x14ac:dyDescent="0.2">
      <c r="A800" s="5">
        <v>798</v>
      </c>
      <c r="B800" s="5">
        <f t="shared" ca="1" si="12"/>
        <v>0.73154279539099232</v>
      </c>
      <c r="C800" s="5" t="s">
        <v>23</v>
      </c>
    </row>
    <row r="801" spans="1:3" x14ac:dyDescent="0.2">
      <c r="A801" s="5">
        <v>799</v>
      </c>
      <c r="B801" s="5">
        <f t="shared" ca="1" si="12"/>
        <v>0.78805078667636019</v>
      </c>
      <c r="C801" s="5" t="s">
        <v>24</v>
      </c>
    </row>
    <row r="802" spans="1:3" x14ac:dyDescent="0.2">
      <c r="A802" s="5">
        <v>800</v>
      </c>
      <c r="B802" s="5">
        <f t="shared" ca="1" si="12"/>
        <v>0.53047342335594083</v>
      </c>
      <c r="C802" s="5" t="s">
        <v>24</v>
      </c>
    </row>
    <row r="803" spans="1:3" x14ac:dyDescent="0.2">
      <c r="A803" s="5">
        <v>801</v>
      </c>
      <c r="B803" s="5">
        <f t="shared" ca="1" si="12"/>
        <v>0.82485822808270726</v>
      </c>
      <c r="C803" s="5" t="s">
        <v>24</v>
      </c>
    </row>
    <row r="804" spans="1:3" x14ac:dyDescent="0.2">
      <c r="A804" s="5">
        <v>802</v>
      </c>
      <c r="B804" s="5">
        <f t="shared" ca="1" si="12"/>
        <v>0.55202959505086491</v>
      </c>
      <c r="C804" s="5" t="s">
        <v>24</v>
      </c>
    </row>
    <row r="805" spans="1:3" x14ac:dyDescent="0.2">
      <c r="A805" s="5">
        <v>803</v>
      </c>
      <c r="B805" s="5">
        <f t="shared" ca="1" si="12"/>
        <v>0.64930247113101414</v>
      </c>
      <c r="C805" s="5" t="s">
        <v>23</v>
      </c>
    </row>
    <row r="806" spans="1:3" x14ac:dyDescent="0.2">
      <c r="A806" s="5">
        <v>804</v>
      </c>
      <c r="B806" s="5">
        <f t="shared" ca="1" si="12"/>
        <v>0.44099186710911598</v>
      </c>
      <c r="C806" s="5" t="s">
        <v>24</v>
      </c>
    </row>
    <row r="807" spans="1:3" x14ac:dyDescent="0.2">
      <c r="A807" s="5">
        <v>805</v>
      </c>
      <c r="B807" s="5">
        <f t="shared" ca="1" si="12"/>
        <v>0.60432162553889135</v>
      </c>
      <c r="C807" s="5" t="s">
        <v>23</v>
      </c>
    </row>
    <row r="808" spans="1:3" x14ac:dyDescent="0.2">
      <c r="A808" s="5">
        <v>806</v>
      </c>
      <c r="B808" s="5">
        <f t="shared" ca="1" si="12"/>
        <v>0.44924104924946995</v>
      </c>
      <c r="C808" s="5" t="s">
        <v>24</v>
      </c>
    </row>
    <row r="809" spans="1:3" x14ac:dyDescent="0.2">
      <c r="A809" s="5">
        <v>807</v>
      </c>
      <c r="B809" s="5">
        <f t="shared" ca="1" si="12"/>
        <v>0.51987765168483902</v>
      </c>
      <c r="C809" s="5" t="s">
        <v>23</v>
      </c>
    </row>
    <row r="810" spans="1:3" x14ac:dyDescent="0.2">
      <c r="A810" s="5">
        <v>808</v>
      </c>
      <c r="B810" s="5">
        <f t="shared" ca="1" si="12"/>
        <v>0.71154795537576265</v>
      </c>
      <c r="C810" s="5" t="s">
        <v>23</v>
      </c>
    </row>
    <row r="811" spans="1:3" x14ac:dyDescent="0.2">
      <c r="A811" s="5">
        <v>809</v>
      </c>
      <c r="B811" s="5">
        <f t="shared" ca="1" si="12"/>
        <v>0.71544737537076852</v>
      </c>
      <c r="C811" s="5" t="s">
        <v>23</v>
      </c>
    </row>
    <row r="812" spans="1:3" x14ac:dyDescent="0.2">
      <c r="A812" s="5">
        <v>810</v>
      </c>
      <c r="B812" s="5">
        <f t="shared" ca="1" si="12"/>
        <v>0.99009434276845143</v>
      </c>
      <c r="C812" s="5" t="s">
        <v>23</v>
      </c>
    </row>
    <row r="813" spans="1:3" x14ac:dyDescent="0.2">
      <c r="A813" s="5">
        <v>811</v>
      </c>
      <c r="B813" s="5">
        <f t="shared" ca="1" si="12"/>
        <v>0.69594877300813662</v>
      </c>
      <c r="C813" s="5" t="s">
        <v>24</v>
      </c>
    </row>
    <row r="814" spans="1:3" x14ac:dyDescent="0.2">
      <c r="A814" s="5">
        <v>812</v>
      </c>
      <c r="B814" s="5">
        <f t="shared" ca="1" si="12"/>
        <v>0.6206884665746466</v>
      </c>
      <c r="C814" s="5" t="s">
        <v>23</v>
      </c>
    </row>
    <row r="815" spans="1:3" x14ac:dyDescent="0.2">
      <c r="A815" s="5">
        <v>813</v>
      </c>
      <c r="B815" s="5">
        <f t="shared" ca="1" si="12"/>
        <v>0.67839526829613406</v>
      </c>
      <c r="C815" s="5" t="s">
        <v>23</v>
      </c>
    </row>
    <row r="816" spans="1:3" x14ac:dyDescent="0.2">
      <c r="A816" s="5">
        <v>814</v>
      </c>
      <c r="B816" s="5">
        <f t="shared" ca="1" si="12"/>
        <v>0.67944904176265042</v>
      </c>
      <c r="C816" s="5" t="s">
        <v>24</v>
      </c>
    </row>
    <row r="817" spans="1:3" x14ac:dyDescent="0.2">
      <c r="A817" s="5">
        <v>815</v>
      </c>
      <c r="B817" s="5">
        <f t="shared" ca="1" si="12"/>
        <v>0.62929248443597308</v>
      </c>
      <c r="C817" s="5" t="s">
        <v>24</v>
      </c>
    </row>
    <row r="818" spans="1:3" x14ac:dyDescent="0.2">
      <c r="A818" s="5">
        <v>816</v>
      </c>
      <c r="B818" s="5">
        <f t="shared" ca="1" si="12"/>
        <v>0.71206093154900352</v>
      </c>
      <c r="C818" s="5" t="s">
        <v>24</v>
      </c>
    </row>
    <row r="819" spans="1:3" x14ac:dyDescent="0.2">
      <c r="A819" s="5">
        <v>817</v>
      </c>
      <c r="B819" s="5">
        <f t="shared" ca="1" si="12"/>
        <v>0.72127843778760492</v>
      </c>
      <c r="C819" s="5" t="s">
        <v>24</v>
      </c>
    </row>
    <row r="820" spans="1:3" x14ac:dyDescent="0.2">
      <c r="A820" s="5">
        <v>818</v>
      </c>
      <c r="B820" s="5">
        <f t="shared" ca="1" si="12"/>
        <v>0.65192019875131091</v>
      </c>
      <c r="C820" s="5" t="s">
        <v>24</v>
      </c>
    </row>
    <row r="821" spans="1:3" x14ac:dyDescent="0.2">
      <c r="A821" s="5">
        <v>819</v>
      </c>
      <c r="B821" s="5">
        <f t="shared" ca="1" si="12"/>
        <v>0.79850131907404731</v>
      </c>
      <c r="C821" s="5" t="s">
        <v>24</v>
      </c>
    </row>
    <row r="822" spans="1:3" x14ac:dyDescent="0.2">
      <c r="A822" s="5">
        <v>820</v>
      </c>
      <c r="B822" s="5">
        <f t="shared" ca="1" si="12"/>
        <v>0.59706427575885956</v>
      </c>
      <c r="C822" s="5" t="s">
        <v>24</v>
      </c>
    </row>
    <row r="823" spans="1:3" x14ac:dyDescent="0.2">
      <c r="A823" s="5">
        <v>821</v>
      </c>
      <c r="B823" s="5">
        <f t="shared" ca="1" si="12"/>
        <v>0.69112268705175706</v>
      </c>
      <c r="C823" s="5" t="s">
        <v>23</v>
      </c>
    </row>
    <row r="824" spans="1:3" x14ac:dyDescent="0.2">
      <c r="A824" s="5">
        <v>822</v>
      </c>
      <c r="B824" s="5">
        <f t="shared" ca="1" si="12"/>
        <v>0.55363697520817412</v>
      </c>
      <c r="C824" s="5" t="s">
        <v>24</v>
      </c>
    </row>
    <row r="825" spans="1:3" x14ac:dyDescent="0.2">
      <c r="A825" s="5">
        <v>823</v>
      </c>
      <c r="B825" s="5">
        <f t="shared" ca="1" si="12"/>
        <v>0.82747011942927795</v>
      </c>
      <c r="C825" s="5" t="s">
        <v>23</v>
      </c>
    </row>
    <row r="826" spans="1:3" x14ac:dyDescent="0.2">
      <c r="A826" s="5">
        <v>824</v>
      </c>
      <c r="B826" s="5">
        <f t="shared" ca="1" si="12"/>
        <v>0.77479204026660076</v>
      </c>
      <c r="C826" s="5" t="s">
        <v>23</v>
      </c>
    </row>
    <row r="827" spans="1:3" x14ac:dyDescent="0.2">
      <c r="A827" s="5">
        <v>825</v>
      </c>
      <c r="B827" s="5">
        <f t="shared" ca="1" si="12"/>
        <v>0.50390810995783908</v>
      </c>
      <c r="C827" s="5" t="s">
        <v>23</v>
      </c>
    </row>
    <row r="828" spans="1:3" x14ac:dyDescent="0.2">
      <c r="A828" s="5">
        <v>826</v>
      </c>
      <c r="B828" s="5">
        <f t="shared" ca="1" si="12"/>
        <v>0.47894721857719302</v>
      </c>
      <c r="C828" s="5" t="s">
        <v>24</v>
      </c>
    </row>
    <row r="829" spans="1:3" x14ac:dyDescent="0.2">
      <c r="A829" s="5">
        <v>827</v>
      </c>
      <c r="B829" s="5">
        <f t="shared" ca="1" si="12"/>
        <v>1.0101006303971092</v>
      </c>
      <c r="C829" s="5" t="s">
        <v>24</v>
      </c>
    </row>
    <row r="830" spans="1:3" x14ac:dyDescent="0.2">
      <c r="A830" s="5">
        <v>828</v>
      </c>
      <c r="B830" s="5">
        <f t="shared" ca="1" si="12"/>
        <v>0.53899243613899239</v>
      </c>
      <c r="C830" s="5" t="s">
        <v>24</v>
      </c>
    </row>
    <row r="831" spans="1:3" x14ac:dyDescent="0.2">
      <c r="A831" s="5">
        <v>829</v>
      </c>
      <c r="B831" s="5">
        <f t="shared" ca="1" si="12"/>
        <v>0.65164974759948169</v>
      </c>
      <c r="C831" s="5" t="s">
        <v>23</v>
      </c>
    </row>
    <row r="832" spans="1:3" x14ac:dyDescent="0.2">
      <c r="A832" s="5">
        <v>830</v>
      </c>
      <c r="B832" s="5">
        <f t="shared" ca="1" si="12"/>
        <v>0.95495239166995827</v>
      </c>
      <c r="C832" s="5" t="s">
        <v>24</v>
      </c>
    </row>
    <row r="833" spans="1:3" x14ac:dyDescent="0.2">
      <c r="A833" s="5">
        <v>831</v>
      </c>
      <c r="B833" s="5">
        <f t="shared" ca="1" si="12"/>
        <v>0.58587925305447308</v>
      </c>
      <c r="C833" s="5" t="s">
        <v>24</v>
      </c>
    </row>
    <row r="834" spans="1:3" x14ac:dyDescent="0.2">
      <c r="A834" s="5">
        <v>832</v>
      </c>
      <c r="B834" s="5">
        <f t="shared" ca="1" si="12"/>
        <v>0.6432071267386793</v>
      </c>
      <c r="C834" s="5" t="s">
        <v>24</v>
      </c>
    </row>
    <row r="835" spans="1:3" x14ac:dyDescent="0.2">
      <c r="A835" s="5">
        <v>833</v>
      </c>
      <c r="B835" s="5">
        <f t="shared" ca="1" si="12"/>
        <v>0.87287577038080877</v>
      </c>
      <c r="C835" s="5" t="s">
        <v>23</v>
      </c>
    </row>
    <row r="836" spans="1:3" x14ac:dyDescent="0.2">
      <c r="A836" s="5">
        <v>834</v>
      </c>
      <c r="B836" s="5">
        <f t="shared" ref="B836:B899" ca="1" si="13">IF(C836="Bomb",_xlfn.NORM.INV(RAND(),0.7,0.1),_xlfn.NORM.INV(RAND(),0.6,0.15))</f>
        <v>0.49904110604261243</v>
      </c>
      <c r="C836" s="5" t="s">
        <v>24</v>
      </c>
    </row>
    <row r="837" spans="1:3" x14ac:dyDescent="0.2">
      <c r="A837" s="5">
        <v>835</v>
      </c>
      <c r="B837" s="5">
        <f t="shared" ca="1" si="13"/>
        <v>0.79385854046482351</v>
      </c>
      <c r="C837" s="5" t="s">
        <v>23</v>
      </c>
    </row>
    <row r="838" spans="1:3" x14ac:dyDescent="0.2">
      <c r="A838" s="5">
        <v>836</v>
      </c>
      <c r="B838" s="5">
        <f t="shared" ca="1" si="13"/>
        <v>0.67918675512377136</v>
      </c>
      <c r="C838" s="5" t="s">
        <v>24</v>
      </c>
    </row>
    <row r="839" spans="1:3" x14ac:dyDescent="0.2">
      <c r="A839" s="5">
        <v>837</v>
      </c>
      <c r="B839" s="5">
        <f t="shared" ca="1" si="13"/>
        <v>0.60933992282398652</v>
      </c>
      <c r="C839" s="5" t="s">
        <v>23</v>
      </c>
    </row>
    <row r="840" spans="1:3" x14ac:dyDescent="0.2">
      <c r="A840" s="5">
        <v>838</v>
      </c>
      <c r="B840" s="5">
        <f t="shared" ca="1" si="13"/>
        <v>0.54788155403104055</v>
      </c>
      <c r="C840" s="5" t="s">
        <v>24</v>
      </c>
    </row>
    <row r="841" spans="1:3" x14ac:dyDescent="0.2">
      <c r="A841" s="5">
        <v>839</v>
      </c>
      <c r="B841" s="5">
        <f t="shared" ca="1" si="13"/>
        <v>0.75430751164191767</v>
      </c>
      <c r="C841" s="5" t="s">
        <v>23</v>
      </c>
    </row>
    <row r="842" spans="1:3" x14ac:dyDescent="0.2">
      <c r="A842" s="5">
        <v>840</v>
      </c>
      <c r="B842" s="5">
        <f t="shared" ca="1" si="13"/>
        <v>0.68736431487802097</v>
      </c>
      <c r="C842" s="5" t="s">
        <v>23</v>
      </c>
    </row>
    <row r="843" spans="1:3" x14ac:dyDescent="0.2">
      <c r="A843" s="5">
        <v>841</v>
      </c>
      <c r="B843" s="5">
        <f t="shared" ca="1" si="13"/>
        <v>0.8357461048695668</v>
      </c>
      <c r="C843" s="5" t="s">
        <v>23</v>
      </c>
    </row>
    <row r="844" spans="1:3" x14ac:dyDescent="0.2">
      <c r="A844" s="5">
        <v>842</v>
      </c>
      <c r="B844" s="5">
        <f t="shared" ca="1" si="13"/>
        <v>0.54864154805067367</v>
      </c>
      <c r="C844" s="5" t="s">
        <v>24</v>
      </c>
    </row>
    <row r="845" spans="1:3" x14ac:dyDescent="0.2">
      <c r="A845" s="5">
        <v>843</v>
      </c>
      <c r="B845" s="5">
        <f t="shared" ca="1" si="13"/>
        <v>0.62247240975790019</v>
      </c>
      <c r="C845" s="5" t="s">
        <v>24</v>
      </c>
    </row>
    <row r="846" spans="1:3" x14ac:dyDescent="0.2">
      <c r="A846" s="5">
        <v>844</v>
      </c>
      <c r="B846" s="5">
        <f t="shared" ca="1" si="13"/>
        <v>0.56309370077682819</v>
      </c>
      <c r="C846" s="5" t="s">
        <v>24</v>
      </c>
    </row>
    <row r="847" spans="1:3" x14ac:dyDescent="0.2">
      <c r="A847" s="5">
        <v>845</v>
      </c>
      <c r="B847" s="5">
        <f t="shared" ca="1" si="13"/>
        <v>0.55449033592121277</v>
      </c>
      <c r="C847" s="5" t="s">
        <v>24</v>
      </c>
    </row>
    <row r="848" spans="1:3" x14ac:dyDescent="0.2">
      <c r="A848" s="5">
        <v>846</v>
      </c>
      <c r="B848" s="5">
        <f t="shared" ca="1" si="13"/>
        <v>0.55729933587528335</v>
      </c>
      <c r="C848" s="5" t="s">
        <v>24</v>
      </c>
    </row>
    <row r="849" spans="1:3" x14ac:dyDescent="0.2">
      <c r="A849" s="5">
        <v>847</v>
      </c>
      <c r="B849" s="5">
        <f t="shared" ca="1" si="13"/>
        <v>0.57133530956328815</v>
      </c>
      <c r="C849" s="5" t="s">
        <v>23</v>
      </c>
    </row>
    <row r="850" spans="1:3" x14ac:dyDescent="0.2">
      <c r="A850" s="5">
        <v>848</v>
      </c>
      <c r="B850" s="5">
        <f t="shared" ca="1" si="13"/>
        <v>0.44440943048744086</v>
      </c>
      <c r="C850" s="5" t="s">
        <v>24</v>
      </c>
    </row>
    <row r="851" spans="1:3" x14ac:dyDescent="0.2">
      <c r="A851" s="5">
        <v>849</v>
      </c>
      <c r="B851" s="5">
        <f t="shared" ca="1" si="13"/>
        <v>0.730047000775361</v>
      </c>
      <c r="C851" s="5" t="s">
        <v>23</v>
      </c>
    </row>
    <row r="852" spans="1:3" x14ac:dyDescent="0.2">
      <c r="A852" s="5">
        <v>850</v>
      </c>
      <c r="B852" s="5">
        <f t="shared" ca="1" si="13"/>
        <v>0.40865912124476506</v>
      </c>
      <c r="C852" s="5" t="s">
        <v>24</v>
      </c>
    </row>
    <row r="853" spans="1:3" x14ac:dyDescent="0.2">
      <c r="A853" s="5">
        <v>851</v>
      </c>
      <c r="B853" s="5">
        <f t="shared" ca="1" si="13"/>
        <v>0.40335789603332128</v>
      </c>
      <c r="C853" s="5" t="s">
        <v>24</v>
      </c>
    </row>
    <row r="854" spans="1:3" x14ac:dyDescent="0.2">
      <c r="A854" s="5">
        <v>852</v>
      </c>
      <c r="B854" s="5">
        <f t="shared" ca="1" si="13"/>
        <v>0.38815626513963863</v>
      </c>
      <c r="C854" s="5" t="s">
        <v>24</v>
      </c>
    </row>
    <row r="855" spans="1:3" x14ac:dyDescent="0.2">
      <c r="A855" s="5">
        <v>853</v>
      </c>
      <c r="B855" s="5">
        <f t="shared" ca="1" si="13"/>
        <v>0.52506763401985157</v>
      </c>
      <c r="C855" s="5" t="s">
        <v>24</v>
      </c>
    </row>
    <row r="856" spans="1:3" x14ac:dyDescent="0.2">
      <c r="A856" s="5">
        <v>854</v>
      </c>
      <c r="B856" s="5">
        <f t="shared" ca="1" si="13"/>
        <v>0.62112390898643632</v>
      </c>
      <c r="C856" s="5" t="s">
        <v>24</v>
      </c>
    </row>
    <row r="857" spans="1:3" x14ac:dyDescent="0.2">
      <c r="A857" s="5">
        <v>855</v>
      </c>
      <c r="B857" s="5">
        <f t="shared" ca="1" si="13"/>
        <v>0.81379968997381835</v>
      </c>
      <c r="C857" s="5" t="s">
        <v>23</v>
      </c>
    </row>
    <row r="858" spans="1:3" x14ac:dyDescent="0.2">
      <c r="A858" s="5">
        <v>856</v>
      </c>
      <c r="B858" s="5">
        <f t="shared" ca="1" si="13"/>
        <v>0.76334584281288076</v>
      </c>
      <c r="C858" s="5" t="s">
        <v>23</v>
      </c>
    </row>
    <row r="859" spans="1:3" x14ac:dyDescent="0.2">
      <c r="A859" s="5">
        <v>857</v>
      </c>
      <c r="B859" s="5">
        <f t="shared" ca="1" si="13"/>
        <v>0.36401844158756635</v>
      </c>
      <c r="C859" s="5" t="s">
        <v>24</v>
      </c>
    </row>
    <row r="860" spans="1:3" x14ac:dyDescent="0.2">
      <c r="A860" s="5">
        <v>858</v>
      </c>
      <c r="B860" s="5">
        <f t="shared" ca="1" si="13"/>
        <v>0.65242786937826069</v>
      </c>
      <c r="C860" s="5" t="s">
        <v>24</v>
      </c>
    </row>
    <row r="861" spans="1:3" x14ac:dyDescent="0.2">
      <c r="A861" s="5">
        <v>859</v>
      </c>
      <c r="B861" s="5">
        <f t="shared" ca="1" si="13"/>
        <v>0.57605548811297069</v>
      </c>
      <c r="C861" s="5" t="s">
        <v>24</v>
      </c>
    </row>
    <row r="862" spans="1:3" x14ac:dyDescent="0.2">
      <c r="A862" s="5">
        <v>860</v>
      </c>
      <c r="B862" s="5">
        <f t="shared" ca="1" si="13"/>
        <v>0.24313576688669541</v>
      </c>
      <c r="C862" s="5" t="s">
        <v>24</v>
      </c>
    </row>
    <row r="863" spans="1:3" x14ac:dyDescent="0.2">
      <c r="A863" s="5">
        <v>861</v>
      </c>
      <c r="B863" s="5">
        <f t="shared" ca="1" si="13"/>
        <v>0.80427654918334213</v>
      </c>
      <c r="C863" s="5" t="s">
        <v>23</v>
      </c>
    </row>
    <row r="864" spans="1:3" x14ac:dyDescent="0.2">
      <c r="A864" s="5">
        <v>862</v>
      </c>
      <c r="B864" s="5">
        <f t="shared" ca="1" si="13"/>
        <v>0.71978278630852754</v>
      </c>
      <c r="C864" s="5" t="s">
        <v>24</v>
      </c>
    </row>
    <row r="865" spans="1:3" x14ac:dyDescent="0.2">
      <c r="A865" s="5">
        <v>863</v>
      </c>
      <c r="B865" s="5">
        <f t="shared" ca="1" si="13"/>
        <v>0.68188485222866624</v>
      </c>
      <c r="C865" s="5" t="s">
        <v>24</v>
      </c>
    </row>
    <row r="866" spans="1:3" x14ac:dyDescent="0.2">
      <c r="A866" s="5">
        <v>864</v>
      </c>
      <c r="B866" s="5">
        <f t="shared" ca="1" si="13"/>
        <v>0.63422695662580342</v>
      </c>
      <c r="C866" s="5" t="s">
        <v>24</v>
      </c>
    </row>
    <row r="867" spans="1:3" x14ac:dyDescent="0.2">
      <c r="A867" s="5">
        <v>865</v>
      </c>
      <c r="B867" s="5">
        <f t="shared" ca="1" si="13"/>
        <v>0.57270850781375715</v>
      </c>
      <c r="C867" s="5" t="s">
        <v>24</v>
      </c>
    </row>
    <row r="868" spans="1:3" x14ac:dyDescent="0.2">
      <c r="A868" s="5">
        <v>866</v>
      </c>
      <c r="B868" s="5">
        <f t="shared" ca="1" si="13"/>
        <v>0.66065835119637328</v>
      </c>
      <c r="C868" s="5" t="s">
        <v>24</v>
      </c>
    </row>
    <row r="869" spans="1:3" x14ac:dyDescent="0.2">
      <c r="A869" s="5">
        <v>867</v>
      </c>
      <c r="B869" s="5">
        <f t="shared" ca="1" si="13"/>
        <v>0.6698723553410888</v>
      </c>
      <c r="C869" s="5" t="s">
        <v>24</v>
      </c>
    </row>
    <row r="870" spans="1:3" x14ac:dyDescent="0.2">
      <c r="A870" s="5">
        <v>868</v>
      </c>
      <c r="B870" s="5">
        <f t="shared" ca="1" si="13"/>
        <v>0.57566442330452006</v>
      </c>
      <c r="C870" s="5" t="s">
        <v>24</v>
      </c>
    </row>
    <row r="871" spans="1:3" x14ac:dyDescent="0.2">
      <c r="A871" s="5">
        <v>869</v>
      </c>
      <c r="B871" s="5">
        <f t="shared" ca="1" si="13"/>
        <v>0.55256896958896029</v>
      </c>
      <c r="C871" s="5" t="s">
        <v>24</v>
      </c>
    </row>
    <row r="872" spans="1:3" x14ac:dyDescent="0.2">
      <c r="A872" s="5">
        <v>870</v>
      </c>
      <c r="B872" s="5">
        <f t="shared" ca="1" si="13"/>
        <v>0.8401059881520514</v>
      </c>
      <c r="C872" s="5" t="s">
        <v>24</v>
      </c>
    </row>
    <row r="873" spans="1:3" x14ac:dyDescent="0.2">
      <c r="A873" s="5">
        <v>871</v>
      </c>
      <c r="B873" s="5">
        <f t="shared" ca="1" si="13"/>
        <v>0.85355963488639808</v>
      </c>
      <c r="C873" s="5" t="s">
        <v>23</v>
      </c>
    </row>
    <row r="874" spans="1:3" x14ac:dyDescent="0.2">
      <c r="A874" s="5">
        <v>872</v>
      </c>
      <c r="B874" s="5">
        <f t="shared" ca="1" si="13"/>
        <v>0.67248783370896659</v>
      </c>
      <c r="C874" s="5" t="s">
        <v>23</v>
      </c>
    </row>
    <row r="875" spans="1:3" x14ac:dyDescent="0.2">
      <c r="A875" s="5">
        <v>873</v>
      </c>
      <c r="B875" s="5">
        <f t="shared" ca="1" si="13"/>
        <v>0.68462514604297453</v>
      </c>
      <c r="C875" s="5" t="s">
        <v>23</v>
      </c>
    </row>
    <row r="876" spans="1:3" x14ac:dyDescent="0.2">
      <c r="A876" s="5">
        <v>874</v>
      </c>
      <c r="B876" s="5">
        <f t="shared" ca="1" si="13"/>
        <v>0.35518061476913665</v>
      </c>
      <c r="C876" s="5" t="s">
        <v>24</v>
      </c>
    </row>
    <row r="877" spans="1:3" x14ac:dyDescent="0.2">
      <c r="A877" s="5">
        <v>875</v>
      </c>
      <c r="B877" s="5">
        <f t="shared" ca="1" si="13"/>
        <v>0.71889252272112014</v>
      </c>
      <c r="C877" s="5" t="s">
        <v>24</v>
      </c>
    </row>
    <row r="878" spans="1:3" x14ac:dyDescent="0.2">
      <c r="A878" s="5">
        <v>876</v>
      </c>
      <c r="B878" s="5">
        <f t="shared" ca="1" si="13"/>
        <v>0.6882586652540299</v>
      </c>
      <c r="C878" s="5" t="s">
        <v>23</v>
      </c>
    </row>
    <row r="879" spans="1:3" x14ac:dyDescent="0.2">
      <c r="A879" s="5">
        <v>877</v>
      </c>
      <c r="B879" s="5">
        <f t="shared" ca="1" si="13"/>
        <v>0.71751878203561592</v>
      </c>
      <c r="C879" s="5" t="s">
        <v>24</v>
      </c>
    </row>
    <row r="880" spans="1:3" x14ac:dyDescent="0.2">
      <c r="A880" s="5">
        <v>878</v>
      </c>
      <c r="B880" s="5">
        <f t="shared" ca="1" si="13"/>
        <v>0.44548107600407172</v>
      </c>
      <c r="C880" s="5" t="s">
        <v>24</v>
      </c>
    </row>
    <row r="881" spans="1:3" x14ac:dyDescent="0.2">
      <c r="A881" s="5">
        <v>879</v>
      </c>
      <c r="B881" s="5">
        <f t="shared" ca="1" si="13"/>
        <v>0.70091524776171077</v>
      </c>
      <c r="C881" s="5" t="s">
        <v>23</v>
      </c>
    </row>
    <row r="882" spans="1:3" x14ac:dyDescent="0.2">
      <c r="A882" s="5">
        <v>880</v>
      </c>
      <c r="B882" s="5">
        <f t="shared" ca="1" si="13"/>
        <v>0.75361362840353208</v>
      </c>
      <c r="C882" s="5" t="s">
        <v>23</v>
      </c>
    </row>
    <row r="883" spans="1:3" x14ac:dyDescent="0.2">
      <c r="A883" s="5">
        <v>881</v>
      </c>
      <c r="B883" s="5">
        <f t="shared" ca="1" si="13"/>
        <v>0.80040465819274709</v>
      </c>
      <c r="C883" s="5" t="s">
        <v>23</v>
      </c>
    </row>
    <row r="884" spans="1:3" x14ac:dyDescent="0.2">
      <c r="A884" s="5">
        <v>882</v>
      </c>
      <c r="B884" s="5">
        <f t="shared" ca="1" si="13"/>
        <v>0.70916787465550357</v>
      </c>
      <c r="C884" s="5" t="s">
        <v>23</v>
      </c>
    </row>
    <row r="885" spans="1:3" x14ac:dyDescent="0.2">
      <c r="A885" s="5">
        <v>883</v>
      </c>
      <c r="B885" s="5">
        <f t="shared" ca="1" si="13"/>
        <v>0.64669550810365961</v>
      </c>
      <c r="C885" s="5" t="s">
        <v>24</v>
      </c>
    </row>
    <row r="886" spans="1:3" x14ac:dyDescent="0.2">
      <c r="A886" s="5">
        <v>884</v>
      </c>
      <c r="B886" s="5">
        <f t="shared" ca="1" si="13"/>
        <v>0.44836681847591031</v>
      </c>
      <c r="C886" s="5" t="s">
        <v>24</v>
      </c>
    </row>
    <row r="887" spans="1:3" x14ac:dyDescent="0.2">
      <c r="A887" s="5">
        <v>885</v>
      </c>
      <c r="B887" s="5">
        <f t="shared" ca="1" si="13"/>
        <v>0.68414546666852161</v>
      </c>
      <c r="C887" s="5" t="s">
        <v>24</v>
      </c>
    </row>
    <row r="888" spans="1:3" x14ac:dyDescent="0.2">
      <c r="A888" s="5">
        <v>886</v>
      </c>
      <c r="B888" s="5">
        <f t="shared" ca="1" si="13"/>
        <v>0.72235672046048127</v>
      </c>
      <c r="C888" s="5" t="s">
        <v>23</v>
      </c>
    </row>
    <row r="889" spans="1:3" x14ac:dyDescent="0.2">
      <c r="A889" s="5">
        <v>887</v>
      </c>
      <c r="B889" s="5">
        <f t="shared" ca="1" si="13"/>
        <v>0.81454872859538674</v>
      </c>
      <c r="C889" s="5" t="s">
        <v>23</v>
      </c>
    </row>
    <row r="890" spans="1:3" x14ac:dyDescent="0.2">
      <c r="A890" s="5">
        <v>888</v>
      </c>
      <c r="B890" s="5">
        <f t="shared" ca="1" si="13"/>
        <v>0.85585102873858299</v>
      </c>
      <c r="C890" s="5" t="s">
        <v>23</v>
      </c>
    </row>
    <row r="891" spans="1:3" x14ac:dyDescent="0.2">
      <c r="A891" s="5">
        <v>889</v>
      </c>
      <c r="B891" s="5">
        <f t="shared" ca="1" si="13"/>
        <v>0.53809579391753648</v>
      </c>
      <c r="C891" s="5" t="s">
        <v>24</v>
      </c>
    </row>
    <row r="892" spans="1:3" x14ac:dyDescent="0.2">
      <c r="A892" s="5">
        <v>890</v>
      </c>
      <c r="B892" s="5">
        <f t="shared" ca="1" si="13"/>
        <v>0.49500988737185436</v>
      </c>
      <c r="C892" s="5" t="s">
        <v>24</v>
      </c>
    </row>
    <row r="893" spans="1:3" x14ac:dyDescent="0.2">
      <c r="A893" s="5">
        <v>891</v>
      </c>
      <c r="B893" s="5">
        <f t="shared" ca="1" si="13"/>
        <v>0.52220303903881482</v>
      </c>
      <c r="C893" s="5" t="s">
        <v>24</v>
      </c>
    </row>
    <row r="894" spans="1:3" x14ac:dyDescent="0.2">
      <c r="A894" s="5">
        <v>892</v>
      </c>
      <c r="B894" s="5">
        <f t="shared" ca="1" si="13"/>
        <v>0.53311450389357418</v>
      </c>
      <c r="C894" s="5" t="s">
        <v>23</v>
      </c>
    </row>
    <row r="895" spans="1:3" x14ac:dyDescent="0.2">
      <c r="A895" s="5">
        <v>893</v>
      </c>
      <c r="B895" s="5">
        <f t="shared" ca="1" si="13"/>
        <v>0.52057556566206209</v>
      </c>
      <c r="C895" s="5" t="s">
        <v>24</v>
      </c>
    </row>
    <row r="896" spans="1:3" x14ac:dyDescent="0.2">
      <c r="A896" s="5">
        <v>894</v>
      </c>
      <c r="B896" s="5">
        <f t="shared" ca="1" si="13"/>
        <v>0.67094661360642271</v>
      </c>
      <c r="C896" s="5" t="s">
        <v>23</v>
      </c>
    </row>
    <row r="897" spans="1:3" x14ac:dyDescent="0.2">
      <c r="A897" s="5">
        <v>895</v>
      </c>
      <c r="B897" s="5">
        <f t="shared" ca="1" si="13"/>
        <v>0.9195604012729548</v>
      </c>
      <c r="C897" s="5" t="s">
        <v>24</v>
      </c>
    </row>
    <row r="898" spans="1:3" x14ac:dyDescent="0.2">
      <c r="A898" s="5">
        <v>896</v>
      </c>
      <c r="B898" s="5">
        <f t="shared" ca="1" si="13"/>
        <v>0.66051885135471544</v>
      </c>
      <c r="C898" s="5" t="s">
        <v>23</v>
      </c>
    </row>
    <row r="899" spans="1:3" x14ac:dyDescent="0.2">
      <c r="A899" s="5">
        <v>897</v>
      </c>
      <c r="B899" s="5">
        <f t="shared" ca="1" si="13"/>
        <v>0.61337368059733544</v>
      </c>
      <c r="C899" s="5" t="s">
        <v>23</v>
      </c>
    </row>
    <row r="900" spans="1:3" x14ac:dyDescent="0.2">
      <c r="A900" s="5">
        <v>898</v>
      </c>
      <c r="B900" s="5">
        <f t="shared" ref="B900:B963" ca="1" si="14">IF(C900="Bomb",_xlfn.NORM.INV(RAND(),0.7,0.1),_xlfn.NORM.INV(RAND(),0.6,0.15))</f>
        <v>0.64765984161686241</v>
      </c>
      <c r="C900" s="5" t="s">
        <v>23</v>
      </c>
    </row>
    <row r="901" spans="1:3" x14ac:dyDescent="0.2">
      <c r="A901" s="5">
        <v>899</v>
      </c>
      <c r="B901" s="5">
        <f t="shared" ca="1" si="14"/>
        <v>0.66792294910671057</v>
      </c>
      <c r="C901" s="5" t="s">
        <v>24</v>
      </c>
    </row>
    <row r="902" spans="1:3" x14ac:dyDescent="0.2">
      <c r="A902" s="5">
        <v>900</v>
      </c>
      <c r="B902" s="5">
        <f t="shared" ca="1" si="14"/>
        <v>0.51599875262890038</v>
      </c>
      <c r="C902" s="5" t="s">
        <v>23</v>
      </c>
    </row>
    <row r="903" spans="1:3" x14ac:dyDescent="0.2">
      <c r="A903" s="5">
        <v>901</v>
      </c>
      <c r="B903" s="5">
        <f t="shared" ca="1" si="14"/>
        <v>0.62365439679969981</v>
      </c>
      <c r="C903" s="5" t="s">
        <v>23</v>
      </c>
    </row>
    <row r="904" spans="1:3" x14ac:dyDescent="0.2">
      <c r="A904" s="5">
        <v>902</v>
      </c>
      <c r="B904" s="5">
        <f t="shared" ca="1" si="14"/>
        <v>0.78915754050459053</v>
      </c>
      <c r="C904" s="5" t="s">
        <v>23</v>
      </c>
    </row>
    <row r="905" spans="1:3" x14ac:dyDescent="0.2">
      <c r="A905" s="5">
        <v>903</v>
      </c>
      <c r="B905" s="5">
        <f t="shared" ca="1" si="14"/>
        <v>0.56802912940405759</v>
      </c>
      <c r="C905" s="5" t="s">
        <v>23</v>
      </c>
    </row>
    <row r="906" spans="1:3" x14ac:dyDescent="0.2">
      <c r="A906" s="5">
        <v>904</v>
      </c>
      <c r="B906" s="5">
        <f t="shared" ca="1" si="14"/>
        <v>0.69412211011400293</v>
      </c>
      <c r="C906" s="5" t="s">
        <v>23</v>
      </c>
    </row>
    <row r="907" spans="1:3" x14ac:dyDescent="0.2">
      <c r="A907" s="5">
        <v>905</v>
      </c>
      <c r="B907" s="5">
        <f t="shared" ca="1" si="14"/>
        <v>0.60585706711262788</v>
      </c>
      <c r="C907" s="5" t="s">
        <v>24</v>
      </c>
    </row>
    <row r="908" spans="1:3" x14ac:dyDescent="0.2">
      <c r="A908" s="5">
        <v>906</v>
      </c>
      <c r="B908" s="5">
        <f t="shared" ca="1" si="14"/>
        <v>0.59244977546869648</v>
      </c>
      <c r="C908" s="5" t="s">
        <v>24</v>
      </c>
    </row>
    <row r="909" spans="1:3" x14ac:dyDescent="0.2">
      <c r="A909" s="5">
        <v>907</v>
      </c>
      <c r="B909" s="5">
        <f t="shared" ca="1" si="14"/>
        <v>0.60909493286331851</v>
      </c>
      <c r="C909" s="5" t="s">
        <v>24</v>
      </c>
    </row>
    <row r="910" spans="1:3" x14ac:dyDescent="0.2">
      <c r="A910" s="5">
        <v>908</v>
      </c>
      <c r="B910" s="5">
        <f t="shared" ca="1" si="14"/>
        <v>0.61987439119018728</v>
      </c>
      <c r="C910" s="5" t="s">
        <v>24</v>
      </c>
    </row>
    <row r="911" spans="1:3" x14ac:dyDescent="0.2">
      <c r="A911" s="5">
        <v>909</v>
      </c>
      <c r="B911" s="5">
        <f t="shared" ca="1" si="14"/>
        <v>0.48724669058053138</v>
      </c>
      <c r="C911" s="5" t="s">
        <v>24</v>
      </c>
    </row>
    <row r="912" spans="1:3" x14ac:dyDescent="0.2">
      <c r="A912" s="5">
        <v>910</v>
      </c>
      <c r="B912" s="5">
        <f t="shared" ca="1" si="14"/>
        <v>0.71137713311675055</v>
      </c>
      <c r="C912" s="5" t="s">
        <v>23</v>
      </c>
    </row>
    <row r="913" spans="1:3" x14ac:dyDescent="0.2">
      <c r="A913" s="5">
        <v>911</v>
      </c>
      <c r="B913" s="5">
        <f t="shared" ca="1" si="14"/>
        <v>0.7158458938054757</v>
      </c>
      <c r="C913" s="5" t="s">
        <v>24</v>
      </c>
    </row>
    <row r="914" spans="1:3" x14ac:dyDescent="0.2">
      <c r="A914" s="5">
        <v>912</v>
      </c>
      <c r="B914" s="5">
        <f t="shared" ca="1" si="14"/>
        <v>0.95082958621580116</v>
      </c>
      <c r="C914" s="5" t="s">
        <v>24</v>
      </c>
    </row>
    <row r="915" spans="1:3" x14ac:dyDescent="0.2">
      <c r="A915" s="5">
        <v>913</v>
      </c>
      <c r="B915" s="5">
        <f t="shared" ca="1" si="14"/>
        <v>0.82118954108958619</v>
      </c>
      <c r="C915" s="5" t="s">
        <v>24</v>
      </c>
    </row>
    <row r="916" spans="1:3" x14ac:dyDescent="0.2">
      <c r="A916" s="5">
        <v>914</v>
      </c>
      <c r="B916" s="5">
        <f t="shared" ca="1" si="14"/>
        <v>0.83849410034502814</v>
      </c>
      <c r="C916" s="5" t="s">
        <v>23</v>
      </c>
    </row>
    <row r="917" spans="1:3" x14ac:dyDescent="0.2">
      <c r="A917" s="5">
        <v>915</v>
      </c>
      <c r="B917" s="5">
        <f t="shared" ca="1" si="14"/>
        <v>0.49136687865503309</v>
      </c>
      <c r="C917" s="5" t="s">
        <v>24</v>
      </c>
    </row>
    <row r="918" spans="1:3" x14ac:dyDescent="0.2">
      <c r="A918" s="5">
        <v>916</v>
      </c>
      <c r="B918" s="5">
        <f t="shared" ca="1" si="14"/>
        <v>0.568761716098244</v>
      </c>
      <c r="C918" s="5" t="s">
        <v>23</v>
      </c>
    </row>
    <row r="919" spans="1:3" x14ac:dyDescent="0.2">
      <c r="A919" s="5">
        <v>917</v>
      </c>
      <c r="B919" s="5">
        <f t="shared" ca="1" si="14"/>
        <v>0.55995458626429495</v>
      </c>
      <c r="C919" s="5" t="s">
        <v>24</v>
      </c>
    </row>
    <row r="920" spans="1:3" x14ac:dyDescent="0.2">
      <c r="A920" s="5">
        <v>918</v>
      </c>
      <c r="B920" s="5">
        <f t="shared" ca="1" si="14"/>
        <v>0.6761433822327314</v>
      </c>
      <c r="C920" s="5" t="s">
        <v>23</v>
      </c>
    </row>
    <row r="921" spans="1:3" x14ac:dyDescent="0.2">
      <c r="A921" s="5">
        <v>919</v>
      </c>
      <c r="B921" s="5">
        <f t="shared" ca="1" si="14"/>
        <v>0.60043668667234462</v>
      </c>
      <c r="C921" s="5" t="s">
        <v>24</v>
      </c>
    </row>
    <row r="922" spans="1:3" x14ac:dyDescent="0.2">
      <c r="A922" s="5">
        <v>920</v>
      </c>
      <c r="B922" s="5">
        <f t="shared" ca="1" si="14"/>
        <v>0.54444161926056123</v>
      </c>
      <c r="C922" s="5" t="s">
        <v>23</v>
      </c>
    </row>
    <row r="923" spans="1:3" x14ac:dyDescent="0.2">
      <c r="A923" s="5">
        <v>921</v>
      </c>
      <c r="B923" s="5">
        <f t="shared" ca="1" si="14"/>
        <v>0.77277021943074597</v>
      </c>
      <c r="C923" s="5" t="s">
        <v>23</v>
      </c>
    </row>
    <row r="924" spans="1:3" x14ac:dyDescent="0.2">
      <c r="A924" s="5">
        <v>922</v>
      </c>
      <c r="B924" s="5">
        <f t="shared" ca="1" si="14"/>
        <v>0.57539693089129496</v>
      </c>
      <c r="C924" s="5" t="s">
        <v>24</v>
      </c>
    </row>
    <row r="925" spans="1:3" x14ac:dyDescent="0.2">
      <c r="A925" s="5">
        <v>923</v>
      </c>
      <c r="B925" s="5">
        <f t="shared" ca="1" si="14"/>
        <v>0.77421555202299475</v>
      </c>
      <c r="C925" s="5" t="s">
        <v>24</v>
      </c>
    </row>
    <row r="926" spans="1:3" x14ac:dyDescent="0.2">
      <c r="A926" s="5">
        <v>924</v>
      </c>
      <c r="B926" s="5">
        <f t="shared" ca="1" si="14"/>
        <v>0.66073910930391644</v>
      </c>
      <c r="C926" s="5" t="s">
        <v>24</v>
      </c>
    </row>
    <row r="927" spans="1:3" x14ac:dyDescent="0.2">
      <c r="A927" s="5">
        <v>925</v>
      </c>
      <c r="B927" s="5">
        <f t="shared" ca="1" si="14"/>
        <v>0.79776270422045226</v>
      </c>
      <c r="C927" s="5" t="s">
        <v>23</v>
      </c>
    </row>
    <row r="928" spans="1:3" x14ac:dyDescent="0.2">
      <c r="A928" s="5">
        <v>926</v>
      </c>
      <c r="B928" s="5">
        <f t="shared" ca="1" si="14"/>
        <v>0.79931122316328307</v>
      </c>
      <c r="C928" s="5" t="s">
        <v>23</v>
      </c>
    </row>
    <row r="929" spans="1:3" x14ac:dyDescent="0.2">
      <c r="A929" s="5">
        <v>927</v>
      </c>
      <c r="B929" s="5">
        <f t="shared" ca="1" si="14"/>
        <v>0.85376400130706542</v>
      </c>
      <c r="C929" s="5" t="s">
        <v>23</v>
      </c>
    </row>
    <row r="930" spans="1:3" x14ac:dyDescent="0.2">
      <c r="A930" s="5">
        <v>928</v>
      </c>
      <c r="B930" s="5">
        <f t="shared" ca="1" si="14"/>
        <v>0.51675570237154023</v>
      </c>
      <c r="C930" s="5" t="s">
        <v>23</v>
      </c>
    </row>
    <row r="931" spans="1:3" x14ac:dyDescent="0.2">
      <c r="A931" s="5">
        <v>929</v>
      </c>
      <c r="B931" s="5">
        <f t="shared" ca="1" si="14"/>
        <v>0.850196461924141</v>
      </c>
      <c r="C931" s="5" t="s">
        <v>23</v>
      </c>
    </row>
    <row r="932" spans="1:3" x14ac:dyDescent="0.2">
      <c r="A932" s="5">
        <v>930</v>
      </c>
      <c r="B932" s="5">
        <f t="shared" ca="1" si="14"/>
        <v>0.74491431899299776</v>
      </c>
      <c r="C932" s="5" t="s">
        <v>23</v>
      </c>
    </row>
    <row r="933" spans="1:3" x14ac:dyDescent="0.2">
      <c r="A933" s="5">
        <v>931</v>
      </c>
      <c r="B933" s="5">
        <f t="shared" ca="1" si="14"/>
        <v>0.28965906773837952</v>
      </c>
      <c r="C933" s="5" t="s">
        <v>24</v>
      </c>
    </row>
    <row r="934" spans="1:3" x14ac:dyDescent="0.2">
      <c r="A934" s="5">
        <v>932</v>
      </c>
      <c r="B934" s="5">
        <f t="shared" ca="1" si="14"/>
        <v>0.64815487647746994</v>
      </c>
      <c r="C934" s="5" t="s">
        <v>23</v>
      </c>
    </row>
    <row r="935" spans="1:3" x14ac:dyDescent="0.2">
      <c r="A935" s="5">
        <v>933</v>
      </c>
      <c r="B935" s="5">
        <f t="shared" ca="1" si="14"/>
        <v>0.32911362935153876</v>
      </c>
      <c r="C935" s="5" t="s">
        <v>24</v>
      </c>
    </row>
    <row r="936" spans="1:3" x14ac:dyDescent="0.2">
      <c r="A936" s="5">
        <v>934</v>
      </c>
      <c r="B936" s="5">
        <f t="shared" ca="1" si="14"/>
        <v>0.74673535724513929</v>
      </c>
      <c r="C936" s="5" t="s">
        <v>23</v>
      </c>
    </row>
    <row r="937" spans="1:3" x14ac:dyDescent="0.2">
      <c r="A937" s="5">
        <v>935</v>
      </c>
      <c r="B937" s="5">
        <f t="shared" ca="1" si="14"/>
        <v>0.71512929379471268</v>
      </c>
      <c r="C937" s="5" t="s">
        <v>23</v>
      </c>
    </row>
    <row r="938" spans="1:3" x14ac:dyDescent="0.2">
      <c r="A938" s="5">
        <v>936</v>
      </c>
      <c r="B938" s="5">
        <f t="shared" ca="1" si="14"/>
        <v>0.62285099095245944</v>
      </c>
      <c r="C938" s="5" t="s">
        <v>24</v>
      </c>
    </row>
    <row r="939" spans="1:3" x14ac:dyDescent="0.2">
      <c r="A939" s="5">
        <v>937</v>
      </c>
      <c r="B939" s="5">
        <f t="shared" ca="1" si="14"/>
        <v>0.74427104001806255</v>
      </c>
      <c r="C939" s="5" t="s">
        <v>24</v>
      </c>
    </row>
    <row r="940" spans="1:3" x14ac:dyDescent="0.2">
      <c r="A940" s="5">
        <v>938</v>
      </c>
      <c r="B940" s="5">
        <f t="shared" ca="1" si="14"/>
        <v>0.63412495761910748</v>
      </c>
      <c r="C940" s="5" t="s">
        <v>23</v>
      </c>
    </row>
    <row r="941" spans="1:3" x14ac:dyDescent="0.2">
      <c r="A941" s="5">
        <v>939</v>
      </c>
      <c r="B941" s="5">
        <f t="shared" ca="1" si="14"/>
        <v>0.88891150059680235</v>
      </c>
      <c r="C941" s="5" t="s">
        <v>23</v>
      </c>
    </row>
    <row r="942" spans="1:3" x14ac:dyDescent="0.2">
      <c r="A942" s="5">
        <v>940</v>
      </c>
      <c r="B942" s="5">
        <f t="shared" ca="1" si="14"/>
        <v>0.64571570192903804</v>
      </c>
      <c r="C942" s="5" t="s">
        <v>24</v>
      </c>
    </row>
    <row r="943" spans="1:3" x14ac:dyDescent="0.2">
      <c r="A943" s="5">
        <v>941</v>
      </c>
      <c r="B943" s="5">
        <f t="shared" ca="1" si="14"/>
        <v>0.36620874679409143</v>
      </c>
      <c r="C943" s="5" t="s">
        <v>24</v>
      </c>
    </row>
    <row r="944" spans="1:3" x14ac:dyDescent="0.2">
      <c r="A944" s="5">
        <v>942</v>
      </c>
      <c r="B944" s="5">
        <f t="shared" ca="1" si="14"/>
        <v>0.63994348886718577</v>
      </c>
      <c r="C944" s="5" t="s">
        <v>24</v>
      </c>
    </row>
    <row r="945" spans="1:3" x14ac:dyDescent="0.2">
      <c r="A945" s="5">
        <v>943</v>
      </c>
      <c r="B945" s="5">
        <f t="shared" ca="1" si="14"/>
        <v>0.60570863884010706</v>
      </c>
      <c r="C945" s="5" t="s">
        <v>24</v>
      </c>
    </row>
    <row r="946" spans="1:3" x14ac:dyDescent="0.2">
      <c r="A946" s="5">
        <v>944</v>
      </c>
      <c r="B946" s="5">
        <f t="shared" ca="1" si="14"/>
        <v>0.52746530563868221</v>
      </c>
      <c r="C946" s="5" t="s">
        <v>24</v>
      </c>
    </row>
    <row r="947" spans="1:3" x14ac:dyDescent="0.2">
      <c r="A947" s="5">
        <v>945</v>
      </c>
      <c r="B947" s="5">
        <f t="shared" ca="1" si="14"/>
        <v>0.89130801485906497</v>
      </c>
      <c r="C947" s="5" t="s">
        <v>23</v>
      </c>
    </row>
    <row r="948" spans="1:3" x14ac:dyDescent="0.2">
      <c r="A948" s="5">
        <v>946</v>
      </c>
      <c r="B948" s="5">
        <f t="shared" ca="1" si="14"/>
        <v>0.63283917055255778</v>
      </c>
      <c r="C948" s="5" t="s">
        <v>24</v>
      </c>
    </row>
    <row r="949" spans="1:3" x14ac:dyDescent="0.2">
      <c r="A949" s="5">
        <v>947</v>
      </c>
      <c r="B949" s="5">
        <f t="shared" ca="1" si="14"/>
        <v>0.79443828111831882</v>
      </c>
      <c r="C949" s="5" t="s">
        <v>23</v>
      </c>
    </row>
    <row r="950" spans="1:3" x14ac:dyDescent="0.2">
      <c r="A950" s="5">
        <v>948</v>
      </c>
      <c r="B950" s="5">
        <f t="shared" ca="1" si="14"/>
        <v>0.5369982080474327</v>
      </c>
      <c r="C950" s="5" t="s">
        <v>24</v>
      </c>
    </row>
    <row r="951" spans="1:3" x14ac:dyDescent="0.2">
      <c r="A951" s="5">
        <v>949</v>
      </c>
      <c r="B951" s="5">
        <f t="shared" ca="1" si="14"/>
        <v>0.54490195701293698</v>
      </c>
      <c r="C951" s="5" t="s">
        <v>23</v>
      </c>
    </row>
    <row r="952" spans="1:3" x14ac:dyDescent="0.2">
      <c r="A952" s="5">
        <v>950</v>
      </c>
      <c r="B952" s="5">
        <f t="shared" ca="1" si="14"/>
        <v>0.64958766490497244</v>
      </c>
      <c r="C952" s="5" t="s">
        <v>23</v>
      </c>
    </row>
    <row r="953" spans="1:3" x14ac:dyDescent="0.2">
      <c r="A953" s="5">
        <v>951</v>
      </c>
      <c r="B953" s="5">
        <f t="shared" ca="1" si="14"/>
        <v>0.69290312131361131</v>
      </c>
      <c r="C953" s="5" t="s">
        <v>24</v>
      </c>
    </row>
    <row r="954" spans="1:3" x14ac:dyDescent="0.2">
      <c r="A954" s="5">
        <v>952</v>
      </c>
      <c r="B954" s="5">
        <f t="shared" ca="1" si="14"/>
        <v>0.61577772719526125</v>
      </c>
      <c r="C954" s="5" t="s">
        <v>24</v>
      </c>
    </row>
    <row r="955" spans="1:3" x14ac:dyDescent="0.2">
      <c r="A955" s="5">
        <v>953</v>
      </c>
      <c r="B955" s="5">
        <f t="shared" ca="1" si="14"/>
        <v>0.67529508034774643</v>
      </c>
      <c r="C955" s="5" t="s">
        <v>23</v>
      </c>
    </row>
    <row r="956" spans="1:3" x14ac:dyDescent="0.2">
      <c r="A956" s="5">
        <v>954</v>
      </c>
      <c r="B956" s="5">
        <f t="shared" ca="1" si="14"/>
        <v>0.95746830162746088</v>
      </c>
      <c r="C956" s="5" t="s">
        <v>24</v>
      </c>
    </row>
    <row r="957" spans="1:3" x14ac:dyDescent="0.2">
      <c r="A957" s="5">
        <v>955</v>
      </c>
      <c r="B957" s="5">
        <f t="shared" ca="1" si="14"/>
        <v>0.54368104871290279</v>
      </c>
      <c r="C957" s="5" t="s">
        <v>23</v>
      </c>
    </row>
    <row r="958" spans="1:3" x14ac:dyDescent="0.2">
      <c r="A958" s="5">
        <v>956</v>
      </c>
      <c r="B958" s="5">
        <f t="shared" ca="1" si="14"/>
        <v>0.61117578982749987</v>
      </c>
      <c r="C958" s="5" t="s">
        <v>23</v>
      </c>
    </row>
    <row r="959" spans="1:3" x14ac:dyDescent="0.2">
      <c r="A959" s="5">
        <v>957</v>
      </c>
      <c r="B959" s="5">
        <f t="shared" ca="1" si="14"/>
        <v>0.8117681397425256</v>
      </c>
      <c r="C959" s="5" t="s">
        <v>24</v>
      </c>
    </row>
    <row r="960" spans="1:3" x14ac:dyDescent="0.2">
      <c r="A960" s="5">
        <v>958</v>
      </c>
      <c r="B960" s="5">
        <f t="shared" ca="1" si="14"/>
        <v>0.8389117833284655</v>
      </c>
      <c r="C960" s="5" t="s">
        <v>23</v>
      </c>
    </row>
    <row r="961" spans="1:3" x14ac:dyDescent="0.2">
      <c r="A961" s="5">
        <v>959</v>
      </c>
      <c r="B961" s="5">
        <f t="shared" ca="1" si="14"/>
        <v>0.63557200902953737</v>
      </c>
      <c r="C961" s="5" t="s">
        <v>24</v>
      </c>
    </row>
    <row r="962" spans="1:3" x14ac:dyDescent="0.2">
      <c r="A962" s="5">
        <v>960</v>
      </c>
      <c r="B962" s="5">
        <f t="shared" ca="1" si="14"/>
        <v>0.47589734934068545</v>
      </c>
      <c r="C962" s="5" t="s">
        <v>24</v>
      </c>
    </row>
    <row r="963" spans="1:3" x14ac:dyDescent="0.2">
      <c r="A963" s="5">
        <v>961</v>
      </c>
      <c r="B963" s="5">
        <f t="shared" ca="1" si="14"/>
        <v>0.62164376959444634</v>
      </c>
      <c r="C963" s="5" t="s">
        <v>23</v>
      </c>
    </row>
    <row r="964" spans="1:3" x14ac:dyDescent="0.2">
      <c r="A964" s="5">
        <v>962</v>
      </c>
      <c r="B964" s="5">
        <f t="shared" ref="B964:B1002" ca="1" si="15">IF(C964="Bomb",_xlfn.NORM.INV(RAND(),0.7,0.1),_xlfn.NORM.INV(RAND(),0.6,0.15))</f>
        <v>0.70880347898711138</v>
      </c>
      <c r="C964" s="5" t="s">
        <v>23</v>
      </c>
    </row>
    <row r="965" spans="1:3" x14ac:dyDescent="0.2">
      <c r="A965" s="5">
        <v>963</v>
      </c>
      <c r="B965" s="5">
        <f t="shared" ca="1" si="15"/>
        <v>0.72738487216742354</v>
      </c>
      <c r="C965" s="5" t="s">
        <v>23</v>
      </c>
    </row>
    <row r="966" spans="1:3" x14ac:dyDescent="0.2">
      <c r="A966" s="5">
        <v>964</v>
      </c>
      <c r="B966" s="5">
        <f t="shared" ca="1" si="15"/>
        <v>0.65068149535704323</v>
      </c>
      <c r="C966" s="5" t="s">
        <v>23</v>
      </c>
    </row>
    <row r="967" spans="1:3" x14ac:dyDescent="0.2">
      <c r="A967" s="5">
        <v>965</v>
      </c>
      <c r="B967" s="5">
        <f t="shared" ca="1" si="15"/>
        <v>0.70112332657618737</v>
      </c>
      <c r="C967" s="5" t="s">
        <v>23</v>
      </c>
    </row>
    <row r="968" spans="1:3" x14ac:dyDescent="0.2">
      <c r="A968" s="5">
        <v>966</v>
      </c>
      <c r="B968" s="5">
        <f t="shared" ca="1" si="15"/>
        <v>0.70234029204275894</v>
      </c>
      <c r="C968" s="5" t="s">
        <v>23</v>
      </c>
    </row>
    <row r="969" spans="1:3" x14ac:dyDescent="0.2">
      <c r="A969" s="5">
        <v>967</v>
      </c>
      <c r="B969" s="5">
        <f t="shared" ca="1" si="15"/>
        <v>0.62970551822681819</v>
      </c>
      <c r="C969" s="5" t="s">
        <v>23</v>
      </c>
    </row>
    <row r="970" spans="1:3" x14ac:dyDescent="0.2">
      <c r="A970" s="5">
        <v>968</v>
      </c>
      <c r="B970" s="5">
        <f t="shared" ca="1" si="15"/>
        <v>0.76539668270328454</v>
      </c>
      <c r="C970" s="5" t="s">
        <v>23</v>
      </c>
    </row>
    <row r="971" spans="1:3" x14ac:dyDescent="0.2">
      <c r="A971" s="5">
        <v>969</v>
      </c>
      <c r="B971" s="5">
        <f t="shared" ca="1" si="15"/>
        <v>0.62153575670079542</v>
      </c>
      <c r="C971" s="5" t="s">
        <v>24</v>
      </c>
    </row>
    <row r="972" spans="1:3" x14ac:dyDescent="0.2">
      <c r="A972" s="5">
        <v>970</v>
      </c>
      <c r="B972" s="5">
        <f t="shared" ca="1" si="15"/>
        <v>0.51071950795367949</v>
      </c>
      <c r="C972" s="5" t="s">
        <v>24</v>
      </c>
    </row>
    <row r="973" spans="1:3" x14ac:dyDescent="0.2">
      <c r="A973" s="5">
        <v>971</v>
      </c>
      <c r="B973" s="5">
        <f t="shared" ca="1" si="15"/>
        <v>0.71079363297081311</v>
      </c>
      <c r="C973" s="5" t="s">
        <v>23</v>
      </c>
    </row>
    <row r="974" spans="1:3" x14ac:dyDescent="0.2">
      <c r="A974" s="5">
        <v>972</v>
      </c>
      <c r="B974" s="5">
        <f t="shared" ca="1" si="15"/>
        <v>0.66319184480472815</v>
      </c>
      <c r="C974" s="5" t="s">
        <v>24</v>
      </c>
    </row>
    <row r="975" spans="1:3" x14ac:dyDescent="0.2">
      <c r="A975" s="5">
        <v>973</v>
      </c>
      <c r="B975" s="5">
        <f t="shared" ca="1" si="15"/>
        <v>0.73892824088901732</v>
      </c>
      <c r="C975" s="5" t="s">
        <v>23</v>
      </c>
    </row>
    <row r="976" spans="1:3" x14ac:dyDescent="0.2">
      <c r="A976" s="5">
        <v>974</v>
      </c>
      <c r="B976" s="5">
        <f t="shared" ca="1" si="15"/>
        <v>0.70804688898711565</v>
      </c>
      <c r="C976" s="5" t="s">
        <v>23</v>
      </c>
    </row>
    <row r="977" spans="1:3" x14ac:dyDescent="0.2">
      <c r="A977" s="5">
        <v>975</v>
      </c>
      <c r="B977" s="5">
        <f t="shared" ca="1" si="15"/>
        <v>0.70536045251163026</v>
      </c>
      <c r="C977" s="5" t="s">
        <v>23</v>
      </c>
    </row>
    <row r="978" spans="1:3" x14ac:dyDescent="0.2">
      <c r="A978" s="5">
        <v>976</v>
      </c>
      <c r="B978" s="5">
        <f t="shared" ca="1" si="15"/>
        <v>0.62727303251451194</v>
      </c>
      <c r="C978" s="5" t="s">
        <v>23</v>
      </c>
    </row>
    <row r="979" spans="1:3" x14ac:dyDescent="0.2">
      <c r="A979" s="5">
        <v>977</v>
      </c>
      <c r="B979" s="5">
        <f t="shared" ca="1" si="15"/>
        <v>0.79336025694434653</v>
      </c>
      <c r="C979" s="5" t="s">
        <v>23</v>
      </c>
    </row>
    <row r="980" spans="1:3" x14ac:dyDescent="0.2">
      <c r="A980" s="5">
        <v>978</v>
      </c>
      <c r="B980" s="5">
        <f t="shared" ca="1" si="15"/>
        <v>0.70135158869772873</v>
      </c>
      <c r="C980" s="5" t="s">
        <v>23</v>
      </c>
    </row>
    <row r="981" spans="1:3" x14ac:dyDescent="0.2">
      <c r="A981" s="5">
        <v>979</v>
      </c>
      <c r="B981" s="5">
        <f t="shared" ca="1" si="15"/>
        <v>0.85800534768685055</v>
      </c>
      <c r="C981" s="5" t="s">
        <v>23</v>
      </c>
    </row>
    <row r="982" spans="1:3" x14ac:dyDescent="0.2">
      <c r="A982" s="5">
        <v>980</v>
      </c>
      <c r="B982" s="5">
        <f t="shared" ca="1" si="15"/>
        <v>0.74064202593891482</v>
      </c>
      <c r="C982" s="5" t="s">
        <v>24</v>
      </c>
    </row>
    <row r="983" spans="1:3" x14ac:dyDescent="0.2">
      <c r="A983" s="5">
        <v>981</v>
      </c>
      <c r="B983" s="5">
        <f t="shared" ca="1" si="15"/>
        <v>0.81465187291330465</v>
      </c>
      <c r="C983" s="5" t="s">
        <v>24</v>
      </c>
    </row>
    <row r="984" spans="1:3" x14ac:dyDescent="0.2">
      <c r="A984" s="5">
        <v>982</v>
      </c>
      <c r="B984" s="5">
        <f t="shared" ca="1" si="15"/>
        <v>0.7139495798878287</v>
      </c>
      <c r="C984" s="5" t="s">
        <v>23</v>
      </c>
    </row>
    <row r="985" spans="1:3" x14ac:dyDescent="0.2">
      <c r="A985" s="5">
        <v>983</v>
      </c>
      <c r="B985" s="5">
        <f t="shared" ca="1" si="15"/>
        <v>0.5838313996338681</v>
      </c>
      <c r="C985" s="5" t="s">
        <v>23</v>
      </c>
    </row>
    <row r="986" spans="1:3" x14ac:dyDescent="0.2">
      <c r="A986" s="5">
        <v>984</v>
      </c>
      <c r="B986" s="5">
        <f t="shared" ca="1" si="15"/>
        <v>0.62217691572385347</v>
      </c>
      <c r="C986" s="5" t="s">
        <v>24</v>
      </c>
    </row>
    <row r="987" spans="1:3" x14ac:dyDescent="0.2">
      <c r="A987" s="5">
        <v>985</v>
      </c>
      <c r="B987" s="5">
        <f t="shared" ca="1" si="15"/>
        <v>0.75416429091411097</v>
      </c>
      <c r="C987" s="5" t="s">
        <v>24</v>
      </c>
    </row>
    <row r="988" spans="1:3" x14ac:dyDescent="0.2">
      <c r="A988" s="5">
        <v>986</v>
      </c>
      <c r="B988" s="5">
        <f t="shared" ca="1" si="15"/>
        <v>0.57475811739513372</v>
      </c>
      <c r="C988" s="5" t="s">
        <v>23</v>
      </c>
    </row>
    <row r="989" spans="1:3" x14ac:dyDescent="0.2">
      <c r="A989" s="5">
        <v>987</v>
      </c>
      <c r="B989" s="5">
        <f t="shared" ca="1" si="15"/>
        <v>0.75538722671446934</v>
      </c>
      <c r="C989" s="5" t="s">
        <v>24</v>
      </c>
    </row>
    <row r="990" spans="1:3" x14ac:dyDescent="0.2">
      <c r="A990" s="5">
        <v>988</v>
      </c>
      <c r="B990" s="5">
        <f t="shared" ca="1" si="15"/>
        <v>0.59635270531396323</v>
      </c>
      <c r="C990" s="5" t="s">
        <v>24</v>
      </c>
    </row>
    <row r="991" spans="1:3" x14ac:dyDescent="0.2">
      <c r="A991" s="5">
        <v>989</v>
      </c>
      <c r="B991" s="5">
        <f t="shared" ca="1" si="15"/>
        <v>0.63096709639514748</v>
      </c>
      <c r="C991" s="5" t="s">
        <v>23</v>
      </c>
    </row>
    <row r="992" spans="1:3" x14ac:dyDescent="0.2">
      <c r="A992" s="5">
        <v>990</v>
      </c>
      <c r="B992" s="5">
        <f t="shared" ca="1" si="15"/>
        <v>0.53883077277791747</v>
      </c>
      <c r="C992" s="5" t="s">
        <v>24</v>
      </c>
    </row>
    <row r="993" spans="1:3" x14ac:dyDescent="0.2">
      <c r="A993" s="5">
        <v>991</v>
      </c>
      <c r="B993" s="5">
        <f t="shared" ca="1" si="15"/>
        <v>0.84334678952045539</v>
      </c>
      <c r="C993" s="5" t="s">
        <v>23</v>
      </c>
    </row>
    <row r="994" spans="1:3" x14ac:dyDescent="0.2">
      <c r="A994" s="5">
        <v>992</v>
      </c>
      <c r="B994" s="5">
        <f t="shared" ca="1" si="15"/>
        <v>0.882618508511678</v>
      </c>
      <c r="C994" s="5" t="s">
        <v>24</v>
      </c>
    </row>
    <row r="995" spans="1:3" x14ac:dyDescent="0.2">
      <c r="A995" s="5">
        <v>993</v>
      </c>
      <c r="B995" s="5">
        <f t="shared" ca="1" si="15"/>
        <v>0.76321798853753664</v>
      </c>
      <c r="C995" s="5" t="s">
        <v>23</v>
      </c>
    </row>
    <row r="996" spans="1:3" x14ac:dyDescent="0.2">
      <c r="A996" s="5">
        <v>994</v>
      </c>
      <c r="B996" s="5">
        <f t="shared" ca="1" si="15"/>
        <v>0.65881327755679631</v>
      </c>
      <c r="C996" s="5" t="s">
        <v>23</v>
      </c>
    </row>
    <row r="997" spans="1:3" x14ac:dyDescent="0.2">
      <c r="A997" s="5">
        <v>995</v>
      </c>
      <c r="B997" s="5">
        <f t="shared" ca="1" si="15"/>
        <v>0.70123631072877213</v>
      </c>
      <c r="C997" s="5" t="s">
        <v>24</v>
      </c>
    </row>
    <row r="998" spans="1:3" x14ac:dyDescent="0.2">
      <c r="A998" s="5">
        <v>996</v>
      </c>
      <c r="B998" s="5">
        <f t="shared" ca="1" si="15"/>
        <v>0.73800506494579199</v>
      </c>
      <c r="C998" s="5" t="s">
        <v>23</v>
      </c>
    </row>
    <row r="999" spans="1:3" x14ac:dyDescent="0.2">
      <c r="A999" s="5">
        <v>997</v>
      </c>
      <c r="B999" s="5">
        <f t="shared" ca="1" si="15"/>
        <v>0.59603336906819226</v>
      </c>
      <c r="C999" s="5" t="s">
        <v>24</v>
      </c>
    </row>
    <row r="1000" spans="1:3" x14ac:dyDescent="0.2">
      <c r="A1000" s="5">
        <v>998</v>
      </c>
      <c r="B1000" s="5">
        <f t="shared" ca="1" si="15"/>
        <v>0.89069960186280572</v>
      </c>
      <c r="C1000" s="5" t="s">
        <v>24</v>
      </c>
    </row>
    <row r="1001" spans="1:3" x14ac:dyDescent="0.2">
      <c r="A1001" s="5">
        <v>999</v>
      </c>
      <c r="B1001" s="5">
        <f t="shared" ca="1" si="15"/>
        <v>0.67938994432487165</v>
      </c>
      <c r="C1001" s="5" t="s">
        <v>24</v>
      </c>
    </row>
    <row r="1002" spans="1:3" x14ac:dyDescent="0.2">
      <c r="A1002" s="5">
        <v>1000</v>
      </c>
      <c r="B1002" s="5">
        <f t="shared" ca="1" si="15"/>
        <v>0.56265926140085321</v>
      </c>
      <c r="C1002" s="5" t="s">
        <v>24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E1C4A-7A52-EF45-B520-48E568237222}">
  <sheetPr codeName="Sheet13">
    <tabColor rgb="FFC00000"/>
  </sheetPr>
  <dimension ref="B2:N17"/>
  <sheetViews>
    <sheetView workbookViewId="0"/>
  </sheetViews>
  <sheetFormatPr baseColWidth="10" defaultRowHeight="26" x14ac:dyDescent="0.3"/>
  <cols>
    <col min="1" max="16384" width="10.83203125" style="26"/>
  </cols>
  <sheetData>
    <row r="2" spans="2:14" ht="27" thickBot="1" x14ac:dyDescent="0.35"/>
    <row r="3" spans="2:14" x14ac:dyDescent="0.3">
      <c r="E3" s="32"/>
      <c r="F3" s="33"/>
      <c r="G3" s="33"/>
      <c r="H3" s="33"/>
      <c r="I3" s="34"/>
      <c r="J3" s="32"/>
      <c r="K3" s="33"/>
      <c r="L3" s="33"/>
      <c r="M3" s="33"/>
      <c r="N3" s="34"/>
    </row>
    <row r="4" spans="2:14" x14ac:dyDescent="0.3">
      <c r="E4" s="35"/>
      <c r="F4" s="36"/>
      <c r="G4" s="36"/>
      <c r="H4" s="36"/>
      <c r="I4" s="37"/>
      <c r="J4" s="35"/>
      <c r="K4" s="36"/>
      <c r="L4" s="36"/>
      <c r="M4" s="36"/>
      <c r="N4" s="37"/>
    </row>
    <row r="5" spans="2:14" x14ac:dyDescent="0.3">
      <c r="E5" s="35"/>
      <c r="F5" s="36"/>
      <c r="G5" s="36" t="s">
        <v>105</v>
      </c>
      <c r="H5" s="36"/>
      <c r="I5" s="37"/>
      <c r="J5" s="35"/>
      <c r="K5" s="36"/>
      <c r="L5" s="36" t="s">
        <v>108</v>
      </c>
      <c r="M5" s="36"/>
      <c r="N5" s="37"/>
    </row>
    <row r="6" spans="2:14" x14ac:dyDescent="0.3">
      <c r="E6" s="35"/>
      <c r="F6" s="36"/>
      <c r="G6" s="36"/>
      <c r="H6" s="36"/>
      <c r="I6" s="37"/>
      <c r="J6" s="35"/>
      <c r="K6" s="36"/>
      <c r="L6" s="36"/>
      <c r="M6" s="36"/>
      <c r="N6" s="37"/>
    </row>
    <row r="7" spans="2:14" x14ac:dyDescent="0.3">
      <c r="E7" s="35"/>
      <c r="F7" s="36"/>
      <c r="G7" s="36"/>
      <c r="H7" s="36"/>
      <c r="I7" s="37"/>
      <c r="J7" s="35"/>
      <c r="K7" s="36"/>
      <c r="L7" s="36"/>
      <c r="M7" s="36"/>
      <c r="N7" s="37"/>
    </row>
    <row r="8" spans="2:14" ht="27" thickBot="1" x14ac:dyDescent="0.35">
      <c r="B8" s="26" t="s">
        <v>5</v>
      </c>
      <c r="E8" s="38"/>
      <c r="F8" s="39"/>
      <c r="G8" s="39"/>
      <c r="H8" s="39"/>
      <c r="I8" s="40"/>
      <c r="J8" s="38"/>
      <c r="K8" s="39"/>
      <c r="L8" s="39"/>
      <c r="M8" s="39"/>
      <c r="N8" s="40"/>
    </row>
    <row r="9" spans="2:14" x14ac:dyDescent="0.3">
      <c r="E9" s="32"/>
      <c r="F9" s="33"/>
      <c r="G9" s="33"/>
      <c r="H9" s="33"/>
      <c r="I9" s="34"/>
      <c r="J9" s="32"/>
      <c r="K9" s="33"/>
      <c r="L9" s="33"/>
      <c r="M9" s="33"/>
      <c r="N9" s="34"/>
    </row>
    <row r="10" spans="2:14" x14ac:dyDescent="0.3">
      <c r="E10" s="35"/>
      <c r="F10" s="36"/>
      <c r="G10" s="36"/>
      <c r="H10" s="36"/>
      <c r="I10" s="37"/>
      <c r="J10" s="35"/>
      <c r="K10" s="36"/>
      <c r="L10" s="36"/>
      <c r="M10" s="36"/>
      <c r="N10" s="37"/>
    </row>
    <row r="11" spans="2:14" x14ac:dyDescent="0.3">
      <c r="E11" s="35"/>
      <c r="F11" s="36"/>
      <c r="G11" s="36" t="s">
        <v>118</v>
      </c>
      <c r="H11" s="36"/>
      <c r="I11" s="37"/>
      <c r="J11" s="35"/>
      <c r="K11" s="36"/>
      <c r="L11" s="36" t="s">
        <v>117</v>
      </c>
      <c r="M11" s="36"/>
      <c r="N11" s="37"/>
    </row>
    <row r="12" spans="2:14" x14ac:dyDescent="0.3">
      <c r="E12" s="35"/>
      <c r="F12" s="36"/>
      <c r="G12" s="36"/>
      <c r="H12" s="36"/>
      <c r="I12" s="37"/>
      <c r="J12" s="35"/>
      <c r="K12" s="36"/>
      <c r="L12" s="36"/>
      <c r="M12" s="36"/>
      <c r="N12" s="37"/>
    </row>
    <row r="13" spans="2:14" x14ac:dyDescent="0.3">
      <c r="E13" s="35"/>
      <c r="F13" s="36"/>
      <c r="G13" s="36"/>
      <c r="H13" s="36"/>
      <c r="I13" s="37"/>
      <c r="J13" s="35"/>
      <c r="K13" s="36"/>
      <c r="L13" s="36"/>
      <c r="M13" s="36"/>
      <c r="N13" s="37"/>
    </row>
    <row r="14" spans="2:14" ht="27" thickBot="1" x14ac:dyDescent="0.35">
      <c r="E14" s="38"/>
      <c r="F14" s="39"/>
      <c r="G14" s="39"/>
      <c r="H14" s="39"/>
      <c r="I14" s="40"/>
      <c r="J14" s="38"/>
      <c r="K14" s="39"/>
      <c r="L14" s="39"/>
      <c r="M14" s="39"/>
      <c r="N14" s="40"/>
    </row>
    <row r="17" spans="9:9" x14ac:dyDescent="0.3">
      <c r="I17" s="26" t="s">
        <v>119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5C782-0053-E04B-A043-67BF580EB924}">
  <sheetPr codeName="Sheet4">
    <tabColor rgb="FFC00000"/>
  </sheetPr>
  <dimension ref="A2:K1002"/>
  <sheetViews>
    <sheetView workbookViewId="0"/>
  </sheetViews>
  <sheetFormatPr baseColWidth="10" defaultRowHeight="16" x14ac:dyDescent="0.2"/>
  <cols>
    <col min="1" max="16384" width="10.83203125" style="5"/>
  </cols>
  <sheetData>
    <row r="2" spans="1:11" x14ac:dyDescent="0.2">
      <c r="B2" s="5" t="s">
        <v>25</v>
      </c>
      <c r="C2" s="5" t="s">
        <v>5</v>
      </c>
      <c r="J2" s="8" t="s">
        <v>29</v>
      </c>
      <c r="K2" s="8" t="s">
        <v>26</v>
      </c>
    </row>
    <row r="3" spans="1:11" x14ac:dyDescent="0.2">
      <c r="A3" s="5">
        <v>1</v>
      </c>
      <c r="B3" s="5">
        <f ca="1">IF(C3="Bomb",_xlfn.NORM.INV(RAND(),0.7,0.1),_xlfn.NORM.INV(RAND(),0.6,0.15))</f>
        <v>0.69785308509833999</v>
      </c>
      <c r="C3" s="5" t="str">
        <f ca="1">IF(RAND()&lt;0.5,"Bomb","Bird")</f>
        <v>Bird</v>
      </c>
      <c r="E3" s="5" t="s">
        <v>27</v>
      </c>
      <c r="I3" s="18"/>
      <c r="J3" s="19">
        <f ca="1">F10</f>
        <v>1</v>
      </c>
      <c r="K3" s="19">
        <f ca="1">E10</f>
        <v>1</v>
      </c>
    </row>
    <row r="4" spans="1:11" x14ac:dyDescent="0.2">
      <c r="A4" s="5">
        <v>2</v>
      </c>
      <c r="B4" s="5">
        <f t="shared" ref="B4:B67" ca="1" si="0">IF(C4="Bomb",_xlfn.NORM.INV(RAND(),0.7,0.1),_xlfn.NORM.INV(RAND(),0.6,0.15))</f>
        <v>0.76062133094403406</v>
      </c>
      <c r="C4" s="5" t="s">
        <v>23</v>
      </c>
      <c r="E4" s="7">
        <v>0</v>
      </c>
      <c r="I4" s="19">
        <v>0.03</v>
      </c>
      <c r="J4" s="20">
        <f t="dataTable" ref="J4:K36" dt2D="0" dtr="0" r1="E4" ca="1"/>
        <v>1</v>
      </c>
      <c r="K4" s="20">
        <v>1</v>
      </c>
    </row>
    <row r="5" spans="1:11" x14ac:dyDescent="0.2">
      <c r="A5" s="5">
        <v>3</v>
      </c>
      <c r="B5" s="5">
        <f t="shared" ca="1" si="0"/>
        <v>0.78464655326492949</v>
      </c>
      <c r="C5" s="5" t="s">
        <v>24</v>
      </c>
      <c r="I5" s="19">
        <v>0.06</v>
      </c>
      <c r="J5" s="20">
        <v>1</v>
      </c>
      <c r="K5" s="20">
        <v>1</v>
      </c>
    </row>
    <row r="6" spans="1:11" x14ac:dyDescent="0.2">
      <c r="A6" s="5">
        <v>4</v>
      </c>
      <c r="B6" s="5">
        <f t="shared" ca="1" si="0"/>
        <v>0.63608003699066773</v>
      </c>
      <c r="C6" s="5" t="s">
        <v>23</v>
      </c>
      <c r="E6" s="8" t="s">
        <v>26</v>
      </c>
      <c r="F6" s="8" t="s">
        <v>28</v>
      </c>
      <c r="I6" s="19">
        <v>0.09</v>
      </c>
      <c r="J6" s="20">
        <v>1</v>
      </c>
      <c r="K6" s="20">
        <v>1</v>
      </c>
    </row>
    <row r="7" spans="1:11" x14ac:dyDescent="0.2">
      <c r="A7" s="5">
        <v>5</v>
      </c>
      <c r="B7" s="5">
        <f t="shared" ca="1" si="0"/>
        <v>0.87216184829746102</v>
      </c>
      <c r="C7" s="5" t="s">
        <v>23</v>
      </c>
      <c r="E7" s="6">
        <f ca="1">COUNTIFS(B:B,"&gt;" &amp;E4,C:C,"="&amp;"Bomb")/COUNTIFS(C:C,"="&amp;"Bomb")</f>
        <v>1</v>
      </c>
      <c r="F7" s="6">
        <f ca="1">COUNTIFS(B:B,"&lt;" &amp;E4,C:C,"="&amp;"Bird")/COUNTIFS(C:C,"="&amp;"Bird")</f>
        <v>0</v>
      </c>
      <c r="I7" s="19">
        <v>0.12</v>
      </c>
      <c r="J7" s="20">
        <v>0.99805447470817121</v>
      </c>
      <c r="K7" s="20">
        <v>1</v>
      </c>
    </row>
    <row r="8" spans="1:11" x14ac:dyDescent="0.2">
      <c r="A8" s="5">
        <v>6</v>
      </c>
      <c r="B8" s="5">
        <f t="shared" ca="1" si="0"/>
        <v>0.73087074605196423</v>
      </c>
      <c r="C8" s="5" t="s">
        <v>23</v>
      </c>
      <c r="I8" s="19">
        <v>0.15</v>
      </c>
      <c r="J8" s="20">
        <v>1</v>
      </c>
      <c r="K8" s="20">
        <v>1</v>
      </c>
    </row>
    <row r="9" spans="1:11" x14ac:dyDescent="0.2">
      <c r="A9" s="5">
        <v>7</v>
      </c>
      <c r="B9" s="5">
        <f t="shared" ca="1" si="0"/>
        <v>0.59732335018101324</v>
      </c>
      <c r="C9" s="5" t="s">
        <v>23</v>
      </c>
      <c r="E9" s="8" t="s">
        <v>26</v>
      </c>
      <c r="F9" s="8" t="s">
        <v>29</v>
      </c>
      <c r="I9" s="19">
        <v>0.18</v>
      </c>
      <c r="J9" s="20">
        <v>0.99221789883268485</v>
      </c>
      <c r="K9" s="20">
        <v>1</v>
      </c>
    </row>
    <row r="10" spans="1:11" x14ac:dyDescent="0.2">
      <c r="A10" s="5">
        <v>8</v>
      </c>
      <c r="B10" s="5">
        <f t="shared" ca="1" si="0"/>
        <v>0.96238882158901617</v>
      </c>
      <c r="C10" s="5" t="s">
        <v>24</v>
      </c>
      <c r="E10" s="7">
        <f ca="1">E7</f>
        <v>1</v>
      </c>
      <c r="F10" s="7">
        <f ca="1">1-F7</f>
        <v>1</v>
      </c>
      <c r="I10" s="19">
        <v>0.21</v>
      </c>
      <c r="J10" s="20">
        <v>1</v>
      </c>
      <c r="K10" s="20">
        <v>1</v>
      </c>
    </row>
    <row r="11" spans="1:11" x14ac:dyDescent="0.2">
      <c r="A11" s="5">
        <v>9</v>
      </c>
      <c r="B11" s="5">
        <f t="shared" ca="1" si="0"/>
        <v>0.58559062922098526</v>
      </c>
      <c r="C11" s="5" t="s">
        <v>24</v>
      </c>
      <c r="I11" s="19">
        <v>0.24</v>
      </c>
      <c r="J11" s="20">
        <v>0.99221789883268485</v>
      </c>
      <c r="K11" s="20">
        <v>1</v>
      </c>
    </row>
    <row r="12" spans="1:11" x14ac:dyDescent="0.2">
      <c r="A12" s="5">
        <v>10</v>
      </c>
      <c r="B12" s="5">
        <f t="shared" ca="1" si="0"/>
        <v>0.61614833341631603</v>
      </c>
      <c r="C12" s="5" t="s">
        <v>24</v>
      </c>
      <c r="I12" s="19">
        <v>0.27</v>
      </c>
      <c r="J12" s="20">
        <v>0.98830409356725146</v>
      </c>
      <c r="K12" s="20">
        <v>1</v>
      </c>
    </row>
    <row r="13" spans="1:11" x14ac:dyDescent="0.2">
      <c r="A13" s="5">
        <v>11</v>
      </c>
      <c r="B13" s="5">
        <f t="shared" ca="1" si="0"/>
        <v>0.60213518074046302</v>
      </c>
      <c r="C13" s="5" t="s">
        <v>24</v>
      </c>
      <c r="I13" s="19">
        <v>0.3</v>
      </c>
      <c r="J13" s="20">
        <v>0.99221789883268485</v>
      </c>
      <c r="K13" s="20">
        <v>1</v>
      </c>
    </row>
    <row r="14" spans="1:11" x14ac:dyDescent="0.2">
      <c r="A14" s="5">
        <v>12</v>
      </c>
      <c r="B14" s="5">
        <f t="shared" ca="1" si="0"/>
        <v>0.57508100113650995</v>
      </c>
      <c r="C14" s="5" t="s">
        <v>24</v>
      </c>
      <c r="I14" s="19">
        <v>0.33</v>
      </c>
      <c r="J14" s="20">
        <v>0.97081712062256809</v>
      </c>
      <c r="K14" s="20">
        <v>1</v>
      </c>
    </row>
    <row r="15" spans="1:11" x14ac:dyDescent="0.2">
      <c r="A15" s="5">
        <v>13</v>
      </c>
      <c r="B15" s="5">
        <f t="shared" ca="1" si="0"/>
        <v>0.79169030219554271</v>
      </c>
      <c r="C15" s="5" t="s">
        <v>23</v>
      </c>
      <c r="I15" s="19">
        <v>0.36</v>
      </c>
      <c r="J15" s="20">
        <v>0.92397660818713456</v>
      </c>
      <c r="K15" s="20">
        <v>1</v>
      </c>
    </row>
    <row r="16" spans="1:11" x14ac:dyDescent="0.2">
      <c r="A16" s="5">
        <v>14</v>
      </c>
      <c r="B16" s="5">
        <f t="shared" ca="1" si="0"/>
        <v>0.83583619447808633</v>
      </c>
      <c r="C16" s="5" t="s">
        <v>23</v>
      </c>
      <c r="I16" s="19">
        <v>0.39</v>
      </c>
      <c r="J16" s="20">
        <v>0.90838206627680318</v>
      </c>
      <c r="K16" s="20">
        <v>1</v>
      </c>
    </row>
    <row r="17" spans="1:11" x14ac:dyDescent="0.2">
      <c r="A17" s="5">
        <v>15</v>
      </c>
      <c r="B17" s="5">
        <f t="shared" ca="1" si="0"/>
        <v>0.76309288744897008</v>
      </c>
      <c r="C17" s="5" t="s">
        <v>23</v>
      </c>
      <c r="I17" s="19">
        <v>0.42</v>
      </c>
      <c r="J17" s="20">
        <v>0.87159533073929962</v>
      </c>
      <c r="K17" s="20">
        <v>0.99794238683127567</v>
      </c>
    </row>
    <row r="18" spans="1:11" x14ac:dyDescent="0.2">
      <c r="A18" s="5">
        <v>16</v>
      </c>
      <c r="B18" s="5">
        <f t="shared" ca="1" si="0"/>
        <v>0.72627868146806174</v>
      </c>
      <c r="C18" s="5" t="s">
        <v>24</v>
      </c>
      <c r="I18" s="19">
        <v>0.45</v>
      </c>
      <c r="J18" s="20">
        <v>0.83625730994152048</v>
      </c>
      <c r="K18" s="20">
        <v>0.99383983572895274</v>
      </c>
    </row>
    <row r="19" spans="1:11" x14ac:dyDescent="0.2">
      <c r="A19" s="5">
        <v>17</v>
      </c>
      <c r="B19" s="5">
        <f t="shared" ca="1" si="0"/>
        <v>0.90807572512902746</v>
      </c>
      <c r="C19" s="5" t="s">
        <v>23</v>
      </c>
      <c r="I19" s="19">
        <v>0.48</v>
      </c>
      <c r="J19" s="20">
        <v>0.78015564202334631</v>
      </c>
      <c r="K19" s="20">
        <v>0.98765432098765427</v>
      </c>
    </row>
    <row r="20" spans="1:11" x14ac:dyDescent="0.2">
      <c r="A20" s="5">
        <v>18</v>
      </c>
      <c r="B20" s="5">
        <f t="shared" ca="1" si="0"/>
        <v>0.73100236732816715</v>
      </c>
      <c r="C20" s="5" t="s">
        <v>24</v>
      </c>
      <c r="I20" s="19">
        <v>0.51</v>
      </c>
      <c r="J20" s="20">
        <v>0.75291828793774318</v>
      </c>
      <c r="K20" s="20">
        <v>0.96913580246913578</v>
      </c>
    </row>
    <row r="21" spans="1:11" x14ac:dyDescent="0.2">
      <c r="A21" s="5">
        <v>19</v>
      </c>
      <c r="B21" s="5">
        <f t="shared" ca="1" si="0"/>
        <v>0.67785227008767857</v>
      </c>
      <c r="C21" s="5" t="s">
        <v>23</v>
      </c>
      <c r="I21" s="19">
        <v>0.54</v>
      </c>
      <c r="J21" s="20">
        <v>0.63229571984435795</v>
      </c>
      <c r="K21" s="20">
        <v>0.93621399176954734</v>
      </c>
    </row>
    <row r="22" spans="1:11" x14ac:dyDescent="0.2">
      <c r="A22" s="5">
        <v>20</v>
      </c>
      <c r="B22" s="5">
        <f t="shared" ca="1" si="0"/>
        <v>0.7465722051667969</v>
      </c>
      <c r="C22" s="5" t="s">
        <v>23</v>
      </c>
      <c r="I22" s="19">
        <v>0.56999999999999995</v>
      </c>
      <c r="J22" s="20">
        <v>0.53216374269005851</v>
      </c>
      <c r="K22" s="20">
        <v>0.88501026694045171</v>
      </c>
    </row>
    <row r="23" spans="1:11" x14ac:dyDescent="0.2">
      <c r="A23" s="5">
        <v>21</v>
      </c>
      <c r="B23" s="5">
        <f t="shared" ca="1" si="0"/>
        <v>0.77291256976671696</v>
      </c>
      <c r="C23" s="5" t="s">
        <v>23</v>
      </c>
      <c r="I23" s="19">
        <v>0.6</v>
      </c>
      <c r="J23" s="20">
        <v>0.49317738791423005</v>
      </c>
      <c r="K23" s="20">
        <v>0.85831622176591371</v>
      </c>
    </row>
    <row r="24" spans="1:11" x14ac:dyDescent="0.2">
      <c r="A24" s="5">
        <v>22</v>
      </c>
      <c r="B24" s="5">
        <f t="shared" ca="1" si="0"/>
        <v>0.39259343282703751</v>
      </c>
      <c r="C24" s="5" t="s">
        <v>24</v>
      </c>
      <c r="I24" s="19">
        <v>0.63</v>
      </c>
      <c r="J24" s="20">
        <v>0.40856031128404668</v>
      </c>
      <c r="K24" s="20">
        <v>0.7880658436213992</v>
      </c>
    </row>
    <row r="25" spans="1:11" x14ac:dyDescent="0.2">
      <c r="A25" s="5">
        <v>23</v>
      </c>
      <c r="B25" s="5">
        <f t="shared" ca="1" si="0"/>
        <v>0.7136906490112368</v>
      </c>
      <c r="C25" s="5" t="s">
        <v>23</v>
      </c>
      <c r="I25" s="19">
        <v>0.66</v>
      </c>
      <c r="J25" s="20">
        <v>0.33723196881091622</v>
      </c>
      <c r="K25" s="20">
        <v>0.65092402464065713</v>
      </c>
    </row>
    <row r="26" spans="1:11" x14ac:dyDescent="0.2">
      <c r="A26" s="5">
        <v>24</v>
      </c>
      <c r="B26" s="5">
        <f t="shared" ca="1" si="0"/>
        <v>0.63397310248590311</v>
      </c>
      <c r="C26" s="5" t="s">
        <v>23</v>
      </c>
      <c r="I26" s="19">
        <v>0.69</v>
      </c>
      <c r="J26" s="20">
        <v>0.26264591439688711</v>
      </c>
      <c r="K26" s="20">
        <v>0.5864197530864198</v>
      </c>
    </row>
    <row r="27" spans="1:11" x14ac:dyDescent="0.2">
      <c r="A27" s="5">
        <v>25</v>
      </c>
      <c r="B27" s="5">
        <f t="shared" ca="1" si="0"/>
        <v>0.59719534194919843</v>
      </c>
      <c r="C27" s="5" t="s">
        <v>23</v>
      </c>
      <c r="I27" s="19">
        <v>0.72</v>
      </c>
      <c r="J27" s="20">
        <v>0.17738791423001954</v>
      </c>
      <c r="K27" s="20">
        <v>0.41683778234086244</v>
      </c>
    </row>
    <row r="28" spans="1:11" x14ac:dyDescent="0.2">
      <c r="A28" s="5">
        <v>26</v>
      </c>
      <c r="B28" s="5">
        <f t="shared" ca="1" si="0"/>
        <v>0.70590983588538014</v>
      </c>
      <c r="C28" s="5" t="s">
        <v>23</v>
      </c>
      <c r="I28" s="19">
        <v>0.75</v>
      </c>
      <c r="J28" s="20">
        <v>0.13229571984435795</v>
      </c>
      <c r="K28" s="20">
        <v>0.33127572016460904</v>
      </c>
    </row>
    <row r="29" spans="1:11" x14ac:dyDescent="0.2">
      <c r="A29" s="5">
        <v>27</v>
      </c>
      <c r="B29" s="5">
        <f t="shared" ca="1" si="0"/>
        <v>0.76246014320538169</v>
      </c>
      <c r="C29" s="5" t="s">
        <v>24</v>
      </c>
      <c r="I29" s="19">
        <v>0.78</v>
      </c>
      <c r="J29" s="20">
        <v>9.7276264591439676E-2</v>
      </c>
      <c r="K29" s="20">
        <v>0.22839506172839505</v>
      </c>
    </row>
    <row r="30" spans="1:11" x14ac:dyDescent="0.2">
      <c r="A30" s="5">
        <v>28</v>
      </c>
      <c r="B30" s="5">
        <f t="shared" ca="1" si="0"/>
        <v>0.7191247900172314</v>
      </c>
      <c r="C30" s="5" t="s">
        <v>23</v>
      </c>
      <c r="I30" s="19">
        <v>0.81</v>
      </c>
      <c r="J30" s="20">
        <v>5.6530214424951319E-2</v>
      </c>
      <c r="K30" s="20">
        <v>0.11088295687885011</v>
      </c>
    </row>
    <row r="31" spans="1:11" x14ac:dyDescent="0.2">
      <c r="A31" s="5">
        <v>29</v>
      </c>
      <c r="B31" s="5">
        <f t="shared" ca="1" si="0"/>
        <v>0.68685739018227943</v>
      </c>
      <c r="C31" s="5" t="s">
        <v>24</v>
      </c>
      <c r="I31" s="19">
        <v>0.84</v>
      </c>
      <c r="J31" s="20">
        <v>6.2256809338521402E-2</v>
      </c>
      <c r="K31" s="20">
        <v>7.407407407407407E-2</v>
      </c>
    </row>
    <row r="32" spans="1:11" x14ac:dyDescent="0.2">
      <c r="A32" s="5">
        <v>30</v>
      </c>
      <c r="B32" s="5">
        <f t="shared" ca="1" si="0"/>
        <v>0.63366439043143907</v>
      </c>
      <c r="C32" s="5" t="s">
        <v>23</v>
      </c>
      <c r="I32" s="19">
        <v>0.87</v>
      </c>
      <c r="J32" s="20">
        <v>4.2801556420233422E-2</v>
      </c>
      <c r="K32" s="20">
        <v>3.4979423868312758E-2</v>
      </c>
    </row>
    <row r="33" spans="1:11" x14ac:dyDescent="0.2">
      <c r="A33" s="5">
        <v>31</v>
      </c>
      <c r="B33" s="5">
        <f t="shared" ca="1" si="0"/>
        <v>0.66998485957745924</v>
      </c>
      <c r="C33" s="5" t="s">
        <v>23</v>
      </c>
      <c r="I33" s="19">
        <v>0.9</v>
      </c>
      <c r="J33" s="20">
        <v>1.7509727626459193E-2</v>
      </c>
      <c r="K33" s="20">
        <v>2.4691358024691357E-2</v>
      </c>
    </row>
    <row r="34" spans="1:11" x14ac:dyDescent="0.2">
      <c r="A34" s="5">
        <v>32</v>
      </c>
      <c r="B34" s="5">
        <f t="shared" ca="1" si="0"/>
        <v>0.65278839108120867</v>
      </c>
      <c r="C34" s="5" t="s">
        <v>24</v>
      </c>
      <c r="I34" s="19">
        <v>0.93</v>
      </c>
      <c r="J34" s="20">
        <v>1.5564202334630295E-2</v>
      </c>
      <c r="K34" s="20">
        <v>1.2345679012345678E-2</v>
      </c>
    </row>
    <row r="35" spans="1:11" x14ac:dyDescent="0.2">
      <c r="A35" s="5">
        <v>33</v>
      </c>
      <c r="B35" s="5">
        <f t="shared" ca="1" si="0"/>
        <v>0.57815859307858208</v>
      </c>
      <c r="C35" s="5" t="s">
        <v>24</v>
      </c>
      <c r="I35" s="19">
        <v>0.96</v>
      </c>
      <c r="J35" s="20">
        <v>1.9493177387914784E-3</v>
      </c>
      <c r="K35" s="20">
        <v>0</v>
      </c>
    </row>
    <row r="36" spans="1:11" x14ac:dyDescent="0.2">
      <c r="A36" s="5">
        <v>34</v>
      </c>
      <c r="B36" s="5">
        <f t="shared" ca="1" si="0"/>
        <v>0.55975231975891915</v>
      </c>
      <c r="C36" s="5" t="s">
        <v>24</v>
      </c>
      <c r="I36" s="19">
        <v>0.99</v>
      </c>
      <c r="J36" s="20">
        <v>1.9455252918287869E-3</v>
      </c>
      <c r="K36" s="20">
        <v>2.05761316872428E-3</v>
      </c>
    </row>
    <row r="37" spans="1:11" x14ac:dyDescent="0.2">
      <c r="A37" s="5">
        <v>35</v>
      </c>
      <c r="B37" s="5">
        <f t="shared" ca="1" si="0"/>
        <v>0.66893715215235594</v>
      </c>
      <c r="C37" s="5" t="s">
        <v>23</v>
      </c>
      <c r="I37" s="7"/>
    </row>
    <row r="38" spans="1:11" x14ac:dyDescent="0.2">
      <c r="A38" s="5">
        <v>36</v>
      </c>
      <c r="B38" s="5">
        <f t="shared" ca="1" si="0"/>
        <v>0.60124124396195344</v>
      </c>
      <c r="C38" s="5" t="s">
        <v>24</v>
      </c>
    </row>
    <row r="39" spans="1:11" x14ac:dyDescent="0.2">
      <c r="A39" s="5">
        <v>37</v>
      </c>
      <c r="B39" s="5">
        <f t="shared" ca="1" si="0"/>
        <v>0.60216985596554284</v>
      </c>
      <c r="C39" s="5" t="s">
        <v>24</v>
      </c>
    </row>
    <row r="40" spans="1:11" x14ac:dyDescent="0.2">
      <c r="A40" s="5">
        <v>38</v>
      </c>
      <c r="B40" s="5">
        <f t="shared" ca="1" si="0"/>
        <v>0.7904195986469158</v>
      </c>
      <c r="C40" s="5" t="s">
        <v>23</v>
      </c>
    </row>
    <row r="41" spans="1:11" x14ac:dyDescent="0.2">
      <c r="A41" s="5">
        <v>39</v>
      </c>
      <c r="B41" s="5">
        <f t="shared" ca="1" si="0"/>
        <v>0.62008891691976376</v>
      </c>
      <c r="C41" s="5" t="s">
        <v>24</v>
      </c>
    </row>
    <row r="42" spans="1:11" x14ac:dyDescent="0.2">
      <c r="A42" s="5">
        <v>40</v>
      </c>
      <c r="B42" s="5">
        <f t="shared" ca="1" si="0"/>
        <v>0.78313897703311963</v>
      </c>
      <c r="C42" s="5" t="s">
        <v>23</v>
      </c>
    </row>
    <row r="43" spans="1:11" x14ac:dyDescent="0.2">
      <c r="A43" s="5">
        <v>41</v>
      </c>
      <c r="B43" s="5">
        <f t="shared" ca="1" si="0"/>
        <v>0.77646050003305245</v>
      </c>
      <c r="C43" s="5" t="s">
        <v>24</v>
      </c>
    </row>
    <row r="44" spans="1:11" x14ac:dyDescent="0.2">
      <c r="A44" s="5">
        <v>42</v>
      </c>
      <c r="B44" s="5">
        <f t="shared" ca="1" si="0"/>
        <v>0.57447217489998437</v>
      </c>
      <c r="C44" s="5" t="s">
        <v>24</v>
      </c>
    </row>
    <row r="45" spans="1:11" x14ac:dyDescent="0.2">
      <c r="A45" s="5">
        <v>43</v>
      </c>
      <c r="B45" s="5">
        <f t="shared" ca="1" si="0"/>
        <v>0.61421548397989656</v>
      </c>
      <c r="C45" s="5" t="s">
        <v>24</v>
      </c>
    </row>
    <row r="46" spans="1:11" x14ac:dyDescent="0.2">
      <c r="A46" s="5">
        <v>44</v>
      </c>
      <c r="B46" s="5">
        <f t="shared" ca="1" si="0"/>
        <v>0.54739316484477318</v>
      </c>
      <c r="C46" s="5" t="s">
        <v>24</v>
      </c>
    </row>
    <row r="47" spans="1:11" x14ac:dyDescent="0.2">
      <c r="A47" s="5">
        <v>45</v>
      </c>
      <c r="B47" s="5">
        <f t="shared" ca="1" si="0"/>
        <v>0.7772274363434355</v>
      </c>
      <c r="C47" s="5" t="s">
        <v>24</v>
      </c>
    </row>
    <row r="48" spans="1:11" x14ac:dyDescent="0.2">
      <c r="A48" s="5">
        <v>46</v>
      </c>
      <c r="B48" s="5">
        <f t="shared" ca="1" si="0"/>
        <v>0.64149922930440118</v>
      </c>
      <c r="C48" s="5" t="s">
        <v>23</v>
      </c>
    </row>
    <row r="49" spans="1:3" x14ac:dyDescent="0.2">
      <c r="A49" s="5">
        <v>47</v>
      </c>
      <c r="B49" s="5">
        <f t="shared" ca="1" si="0"/>
        <v>0.72416443038580514</v>
      </c>
      <c r="C49" s="5" t="s">
        <v>23</v>
      </c>
    </row>
    <row r="50" spans="1:3" x14ac:dyDescent="0.2">
      <c r="A50" s="5">
        <v>48</v>
      </c>
      <c r="B50" s="5">
        <f t="shared" ca="1" si="0"/>
        <v>0.38165648830120885</v>
      </c>
      <c r="C50" s="5" t="s">
        <v>24</v>
      </c>
    </row>
    <row r="51" spans="1:3" x14ac:dyDescent="0.2">
      <c r="A51" s="5">
        <v>49</v>
      </c>
      <c r="B51" s="5">
        <f t="shared" ca="1" si="0"/>
        <v>0.78208685242303111</v>
      </c>
      <c r="C51" s="5" t="s">
        <v>23</v>
      </c>
    </row>
    <row r="52" spans="1:3" x14ac:dyDescent="0.2">
      <c r="A52" s="5">
        <v>50</v>
      </c>
      <c r="B52" s="5">
        <f t="shared" ca="1" si="0"/>
        <v>0.60562203249884028</v>
      </c>
      <c r="C52" s="5" t="s">
        <v>23</v>
      </c>
    </row>
    <row r="53" spans="1:3" x14ac:dyDescent="0.2">
      <c r="A53" s="5">
        <v>51</v>
      </c>
      <c r="B53" s="5">
        <f t="shared" ca="1" si="0"/>
        <v>0.75259874108722635</v>
      </c>
      <c r="C53" s="5" t="s">
        <v>23</v>
      </c>
    </row>
    <row r="54" spans="1:3" x14ac:dyDescent="0.2">
      <c r="A54" s="5">
        <v>52</v>
      </c>
      <c r="B54" s="5">
        <f t="shared" ca="1" si="0"/>
        <v>0.72582556779147445</v>
      </c>
      <c r="C54" s="5" t="s">
        <v>24</v>
      </c>
    </row>
    <row r="55" spans="1:3" x14ac:dyDescent="0.2">
      <c r="A55" s="5">
        <v>53</v>
      </c>
      <c r="B55" s="5">
        <f t="shared" ca="1" si="0"/>
        <v>0.60612749494020479</v>
      </c>
      <c r="C55" s="5" t="s">
        <v>24</v>
      </c>
    </row>
    <row r="56" spans="1:3" x14ac:dyDescent="0.2">
      <c r="A56" s="5">
        <v>54</v>
      </c>
      <c r="B56" s="5">
        <f t="shared" ca="1" si="0"/>
        <v>0.72025584939883103</v>
      </c>
      <c r="C56" s="5" t="s">
        <v>23</v>
      </c>
    </row>
    <row r="57" spans="1:3" x14ac:dyDescent="0.2">
      <c r="A57" s="5">
        <v>55</v>
      </c>
      <c r="B57" s="5">
        <f t="shared" ca="1" si="0"/>
        <v>0.94494073241807675</v>
      </c>
      <c r="C57" s="5" t="s">
        <v>23</v>
      </c>
    </row>
    <row r="58" spans="1:3" x14ac:dyDescent="0.2">
      <c r="A58" s="5">
        <v>56</v>
      </c>
      <c r="B58" s="5">
        <f t="shared" ca="1" si="0"/>
        <v>0.62617425147745753</v>
      </c>
      <c r="C58" s="5" t="s">
        <v>23</v>
      </c>
    </row>
    <row r="59" spans="1:3" x14ac:dyDescent="0.2">
      <c r="A59" s="5">
        <v>57</v>
      </c>
      <c r="B59" s="5">
        <f t="shared" ca="1" si="0"/>
        <v>0.52891476252294811</v>
      </c>
      <c r="C59" s="5" t="s">
        <v>24</v>
      </c>
    </row>
    <row r="60" spans="1:3" x14ac:dyDescent="0.2">
      <c r="A60" s="5">
        <v>58</v>
      </c>
      <c r="B60" s="5">
        <f t="shared" ca="1" si="0"/>
        <v>0.62293505579199726</v>
      </c>
      <c r="C60" s="5" t="s">
        <v>23</v>
      </c>
    </row>
    <row r="61" spans="1:3" x14ac:dyDescent="0.2">
      <c r="A61" s="5">
        <v>59</v>
      </c>
      <c r="B61" s="5">
        <f t="shared" ca="1" si="0"/>
        <v>0.64557431153907963</v>
      </c>
      <c r="C61" s="5" t="s">
        <v>23</v>
      </c>
    </row>
    <row r="62" spans="1:3" x14ac:dyDescent="0.2">
      <c r="A62" s="5">
        <v>60</v>
      </c>
      <c r="B62" s="5">
        <f t="shared" ca="1" si="0"/>
        <v>0.76262576830262918</v>
      </c>
      <c r="C62" s="5" t="s">
        <v>24</v>
      </c>
    </row>
    <row r="63" spans="1:3" x14ac:dyDescent="0.2">
      <c r="A63" s="5">
        <v>61</v>
      </c>
      <c r="B63" s="5">
        <f t="shared" ca="1" si="0"/>
        <v>0.49375964519565602</v>
      </c>
      <c r="C63" s="5" t="s">
        <v>24</v>
      </c>
    </row>
    <row r="64" spans="1:3" x14ac:dyDescent="0.2">
      <c r="A64" s="5">
        <v>62</v>
      </c>
      <c r="B64" s="5">
        <f t="shared" ca="1" si="0"/>
        <v>0.77701469471013129</v>
      </c>
      <c r="C64" s="5" t="s">
        <v>24</v>
      </c>
    </row>
    <row r="65" spans="1:3" x14ac:dyDescent="0.2">
      <c r="A65" s="5">
        <v>63</v>
      </c>
      <c r="B65" s="5">
        <f t="shared" ca="1" si="0"/>
        <v>0.72606725957829921</v>
      </c>
      <c r="C65" s="5" t="s">
        <v>23</v>
      </c>
    </row>
    <row r="66" spans="1:3" x14ac:dyDescent="0.2">
      <c r="A66" s="5">
        <v>64</v>
      </c>
      <c r="B66" s="5">
        <f t="shared" ca="1" si="0"/>
        <v>0.4810138801748447</v>
      </c>
      <c r="C66" s="5" t="s">
        <v>23</v>
      </c>
    </row>
    <row r="67" spans="1:3" x14ac:dyDescent="0.2">
      <c r="A67" s="5">
        <v>65</v>
      </c>
      <c r="B67" s="5">
        <f t="shared" ca="1" si="0"/>
        <v>0.8231406743424069</v>
      </c>
      <c r="C67" s="5" t="s">
        <v>23</v>
      </c>
    </row>
    <row r="68" spans="1:3" x14ac:dyDescent="0.2">
      <c r="A68" s="5">
        <v>66</v>
      </c>
      <c r="B68" s="5">
        <f t="shared" ref="B68:B131" ca="1" si="1">IF(C68="Bomb",_xlfn.NORM.INV(RAND(),0.7,0.1),_xlfn.NORM.INV(RAND(),0.6,0.15))</f>
        <v>0.72064367135499541</v>
      </c>
      <c r="C68" s="5" t="s">
        <v>23</v>
      </c>
    </row>
    <row r="69" spans="1:3" x14ac:dyDescent="0.2">
      <c r="A69" s="5">
        <v>67</v>
      </c>
      <c r="B69" s="5">
        <f t="shared" ca="1" si="1"/>
        <v>0.61147630118345186</v>
      </c>
      <c r="C69" s="5" t="s">
        <v>23</v>
      </c>
    </row>
    <row r="70" spans="1:3" x14ac:dyDescent="0.2">
      <c r="A70" s="5">
        <v>68</v>
      </c>
      <c r="B70" s="5">
        <f t="shared" ca="1" si="1"/>
        <v>0.50053685389093028</v>
      </c>
      <c r="C70" s="5" t="s">
        <v>24</v>
      </c>
    </row>
    <row r="71" spans="1:3" x14ac:dyDescent="0.2">
      <c r="A71" s="5">
        <v>69</v>
      </c>
      <c r="B71" s="5">
        <f t="shared" ca="1" si="1"/>
        <v>0.47627306008500503</v>
      </c>
      <c r="C71" s="5" t="s">
        <v>24</v>
      </c>
    </row>
    <row r="72" spans="1:3" x14ac:dyDescent="0.2">
      <c r="A72" s="5">
        <v>70</v>
      </c>
      <c r="B72" s="5">
        <f t="shared" ca="1" si="1"/>
        <v>0.73240524105897409</v>
      </c>
      <c r="C72" s="5" t="s">
        <v>24</v>
      </c>
    </row>
    <row r="73" spans="1:3" x14ac:dyDescent="0.2">
      <c r="A73" s="5">
        <v>71</v>
      </c>
      <c r="B73" s="5">
        <f t="shared" ca="1" si="1"/>
        <v>0.73119701809099213</v>
      </c>
      <c r="C73" s="5" t="s">
        <v>24</v>
      </c>
    </row>
    <row r="74" spans="1:3" x14ac:dyDescent="0.2">
      <c r="A74" s="5">
        <v>72</v>
      </c>
      <c r="B74" s="5">
        <f t="shared" ca="1" si="1"/>
        <v>0.75444717494550861</v>
      </c>
      <c r="C74" s="5" t="s">
        <v>24</v>
      </c>
    </row>
    <row r="75" spans="1:3" x14ac:dyDescent="0.2">
      <c r="A75" s="5">
        <v>73</v>
      </c>
      <c r="B75" s="5">
        <f t="shared" ca="1" si="1"/>
        <v>0.69488492289155734</v>
      </c>
      <c r="C75" s="5" t="s">
        <v>23</v>
      </c>
    </row>
    <row r="76" spans="1:3" x14ac:dyDescent="0.2">
      <c r="A76" s="5">
        <v>74</v>
      </c>
      <c r="B76" s="5">
        <f t="shared" ca="1" si="1"/>
        <v>0.71461064737146474</v>
      </c>
      <c r="C76" s="5" t="s">
        <v>23</v>
      </c>
    </row>
    <row r="77" spans="1:3" x14ac:dyDescent="0.2">
      <c r="A77" s="5">
        <v>75</v>
      </c>
      <c r="B77" s="5">
        <f t="shared" ca="1" si="1"/>
        <v>0.67358962050136184</v>
      </c>
      <c r="C77" s="5" t="s">
        <v>23</v>
      </c>
    </row>
    <row r="78" spans="1:3" x14ac:dyDescent="0.2">
      <c r="A78" s="5">
        <v>76</v>
      </c>
      <c r="B78" s="5">
        <f t="shared" ca="1" si="1"/>
        <v>0.68358337407961367</v>
      </c>
      <c r="C78" s="5" t="s">
        <v>23</v>
      </c>
    </row>
    <row r="79" spans="1:3" x14ac:dyDescent="0.2">
      <c r="A79" s="5">
        <v>77</v>
      </c>
      <c r="B79" s="5">
        <f t="shared" ca="1" si="1"/>
        <v>0.53345149389998914</v>
      </c>
      <c r="C79" s="5" t="s">
        <v>24</v>
      </c>
    </row>
    <row r="80" spans="1:3" x14ac:dyDescent="0.2">
      <c r="A80" s="5">
        <v>78</v>
      </c>
      <c r="B80" s="5">
        <f t="shared" ca="1" si="1"/>
        <v>0.62341026748999295</v>
      </c>
      <c r="C80" s="5" t="s">
        <v>23</v>
      </c>
    </row>
    <row r="81" spans="1:3" x14ac:dyDescent="0.2">
      <c r="A81" s="5">
        <v>79</v>
      </c>
      <c r="B81" s="5">
        <f t="shared" ca="1" si="1"/>
        <v>0.55192606454004645</v>
      </c>
      <c r="C81" s="5" t="s">
        <v>24</v>
      </c>
    </row>
    <row r="82" spans="1:3" x14ac:dyDescent="0.2">
      <c r="A82" s="5">
        <v>80</v>
      </c>
      <c r="B82" s="5">
        <f t="shared" ca="1" si="1"/>
        <v>0.6044903709190006</v>
      </c>
      <c r="C82" s="5" t="s">
        <v>23</v>
      </c>
    </row>
    <row r="83" spans="1:3" x14ac:dyDescent="0.2">
      <c r="A83" s="5">
        <v>81</v>
      </c>
      <c r="B83" s="5">
        <f t="shared" ca="1" si="1"/>
        <v>0.61777430773762576</v>
      </c>
      <c r="C83" s="5" t="s">
        <v>23</v>
      </c>
    </row>
    <row r="84" spans="1:3" x14ac:dyDescent="0.2">
      <c r="A84" s="5">
        <v>82</v>
      </c>
      <c r="B84" s="5">
        <f t="shared" ca="1" si="1"/>
        <v>0.49958074492099436</v>
      </c>
      <c r="C84" s="5" t="s">
        <v>24</v>
      </c>
    </row>
    <row r="85" spans="1:3" x14ac:dyDescent="0.2">
      <c r="A85" s="5">
        <v>83</v>
      </c>
      <c r="B85" s="5">
        <f t="shared" ca="1" si="1"/>
        <v>0.67972101821695596</v>
      </c>
      <c r="C85" s="5" t="s">
        <v>23</v>
      </c>
    </row>
    <row r="86" spans="1:3" x14ac:dyDescent="0.2">
      <c r="A86" s="5">
        <v>84</v>
      </c>
      <c r="B86" s="5">
        <f t="shared" ca="1" si="1"/>
        <v>0.58602258498174997</v>
      </c>
      <c r="C86" s="5" t="s">
        <v>23</v>
      </c>
    </row>
    <row r="87" spans="1:3" x14ac:dyDescent="0.2">
      <c r="A87" s="5">
        <v>85</v>
      </c>
      <c r="B87" s="5">
        <f t="shared" ca="1" si="1"/>
        <v>0.47792560719425453</v>
      </c>
      <c r="C87" s="5" t="s">
        <v>24</v>
      </c>
    </row>
    <row r="88" spans="1:3" x14ac:dyDescent="0.2">
      <c r="A88" s="5">
        <v>86</v>
      </c>
      <c r="B88" s="5">
        <f t="shared" ca="1" si="1"/>
        <v>0.25912423034345683</v>
      </c>
      <c r="C88" s="5" t="s">
        <v>24</v>
      </c>
    </row>
    <row r="89" spans="1:3" x14ac:dyDescent="0.2">
      <c r="A89" s="5">
        <v>87</v>
      </c>
      <c r="B89" s="5">
        <f t="shared" ca="1" si="1"/>
        <v>0.86646684834005194</v>
      </c>
      <c r="C89" s="5" t="s">
        <v>24</v>
      </c>
    </row>
    <row r="90" spans="1:3" x14ac:dyDescent="0.2">
      <c r="A90" s="5">
        <v>88</v>
      </c>
      <c r="B90" s="5">
        <f t="shared" ca="1" si="1"/>
        <v>0.7742079719502647</v>
      </c>
      <c r="C90" s="5" t="s">
        <v>24</v>
      </c>
    </row>
    <row r="91" spans="1:3" x14ac:dyDescent="0.2">
      <c r="A91" s="5">
        <v>89</v>
      </c>
      <c r="B91" s="5">
        <f t="shared" ca="1" si="1"/>
        <v>0.58439427733810512</v>
      </c>
      <c r="C91" s="5" t="s">
        <v>24</v>
      </c>
    </row>
    <row r="92" spans="1:3" x14ac:dyDescent="0.2">
      <c r="A92" s="5">
        <v>90</v>
      </c>
      <c r="B92" s="5">
        <f t="shared" ca="1" si="1"/>
        <v>0.7486139120011176</v>
      </c>
      <c r="C92" s="5" t="s">
        <v>23</v>
      </c>
    </row>
    <row r="93" spans="1:3" x14ac:dyDescent="0.2">
      <c r="A93" s="5">
        <v>91</v>
      </c>
      <c r="B93" s="5">
        <f t="shared" ca="1" si="1"/>
        <v>0.70214688383043034</v>
      </c>
      <c r="C93" s="5" t="s">
        <v>23</v>
      </c>
    </row>
    <row r="94" spans="1:3" x14ac:dyDescent="0.2">
      <c r="A94" s="5">
        <v>92</v>
      </c>
      <c r="B94" s="5">
        <f t="shared" ca="1" si="1"/>
        <v>0.7318259145122562</v>
      </c>
      <c r="C94" s="5" t="s">
        <v>24</v>
      </c>
    </row>
    <row r="95" spans="1:3" x14ac:dyDescent="0.2">
      <c r="A95" s="5">
        <v>93</v>
      </c>
      <c r="B95" s="5">
        <f t="shared" ca="1" si="1"/>
        <v>0.69102916711186302</v>
      </c>
      <c r="C95" s="5" t="s">
        <v>23</v>
      </c>
    </row>
    <row r="96" spans="1:3" x14ac:dyDescent="0.2">
      <c r="A96" s="5">
        <v>94</v>
      </c>
      <c r="B96" s="5">
        <f t="shared" ca="1" si="1"/>
        <v>0.50735419136213</v>
      </c>
      <c r="C96" s="5" t="s">
        <v>23</v>
      </c>
    </row>
    <row r="97" spans="1:3" x14ac:dyDescent="0.2">
      <c r="A97" s="5">
        <v>95</v>
      </c>
      <c r="B97" s="5">
        <f t="shared" ca="1" si="1"/>
        <v>0.7704668254278535</v>
      </c>
      <c r="C97" s="5" t="s">
        <v>24</v>
      </c>
    </row>
    <row r="98" spans="1:3" x14ac:dyDescent="0.2">
      <c r="A98" s="5">
        <v>96</v>
      </c>
      <c r="B98" s="5">
        <f t="shared" ca="1" si="1"/>
        <v>0.43828609741648139</v>
      </c>
      <c r="C98" s="5" t="s">
        <v>24</v>
      </c>
    </row>
    <row r="99" spans="1:3" x14ac:dyDescent="0.2">
      <c r="A99" s="5">
        <v>97</v>
      </c>
      <c r="B99" s="5">
        <f t="shared" ca="1" si="1"/>
        <v>0.69180779214359944</v>
      </c>
      <c r="C99" s="5" t="s">
        <v>23</v>
      </c>
    </row>
    <row r="100" spans="1:3" x14ac:dyDescent="0.2">
      <c r="A100" s="5">
        <v>98</v>
      </c>
      <c r="B100" s="5">
        <f t="shared" ca="1" si="1"/>
        <v>0.58240207000761979</v>
      </c>
      <c r="C100" s="5" t="s">
        <v>23</v>
      </c>
    </row>
    <row r="101" spans="1:3" x14ac:dyDescent="0.2">
      <c r="A101" s="5">
        <v>99</v>
      </c>
      <c r="B101" s="5">
        <f t="shared" ca="1" si="1"/>
        <v>0.72029424204894588</v>
      </c>
      <c r="C101" s="5" t="s">
        <v>23</v>
      </c>
    </row>
    <row r="102" spans="1:3" x14ac:dyDescent="0.2">
      <c r="A102" s="5">
        <v>100</v>
      </c>
      <c r="B102" s="5">
        <f t="shared" ca="1" si="1"/>
        <v>0.68546576977975682</v>
      </c>
      <c r="C102" s="5" t="s">
        <v>24</v>
      </c>
    </row>
    <row r="103" spans="1:3" x14ac:dyDescent="0.2">
      <c r="A103" s="5">
        <v>101</v>
      </c>
      <c r="B103" s="5">
        <f t="shared" ca="1" si="1"/>
        <v>0.67203290958996553</v>
      </c>
      <c r="C103" s="5" t="s">
        <v>23</v>
      </c>
    </row>
    <row r="104" spans="1:3" x14ac:dyDescent="0.2">
      <c r="A104" s="5">
        <v>102</v>
      </c>
      <c r="B104" s="5">
        <f t="shared" ca="1" si="1"/>
        <v>0.5408713981116825</v>
      </c>
      <c r="C104" s="5" t="s">
        <v>24</v>
      </c>
    </row>
    <row r="105" spans="1:3" x14ac:dyDescent="0.2">
      <c r="A105" s="5">
        <v>103</v>
      </c>
      <c r="B105" s="5">
        <f t="shared" ca="1" si="1"/>
        <v>0.50488964395801694</v>
      </c>
      <c r="C105" s="5" t="s">
        <v>24</v>
      </c>
    </row>
    <row r="106" spans="1:3" x14ac:dyDescent="0.2">
      <c r="A106" s="5">
        <v>104</v>
      </c>
      <c r="B106" s="5">
        <f t="shared" ca="1" si="1"/>
        <v>0.38408376592448701</v>
      </c>
      <c r="C106" s="5" t="s">
        <v>24</v>
      </c>
    </row>
    <row r="107" spans="1:3" x14ac:dyDescent="0.2">
      <c r="A107" s="5">
        <v>105</v>
      </c>
      <c r="B107" s="5">
        <f t="shared" ca="1" si="1"/>
        <v>0.47351149223302652</v>
      </c>
      <c r="C107" s="5" t="s">
        <v>23</v>
      </c>
    </row>
    <row r="108" spans="1:3" x14ac:dyDescent="0.2">
      <c r="A108" s="5">
        <v>106</v>
      </c>
      <c r="B108" s="5">
        <f t="shared" ca="1" si="1"/>
        <v>0.44619727141523324</v>
      </c>
      <c r="C108" s="5" t="s">
        <v>24</v>
      </c>
    </row>
    <row r="109" spans="1:3" x14ac:dyDescent="0.2">
      <c r="A109" s="5">
        <v>107</v>
      </c>
      <c r="B109" s="5">
        <f t="shared" ca="1" si="1"/>
        <v>0.62224882291330508</v>
      </c>
      <c r="C109" s="5" t="s">
        <v>24</v>
      </c>
    </row>
    <row r="110" spans="1:3" x14ac:dyDescent="0.2">
      <c r="A110" s="5">
        <v>108</v>
      </c>
      <c r="B110" s="5">
        <f t="shared" ca="1" si="1"/>
        <v>0.30317492185736616</v>
      </c>
      <c r="C110" s="5" t="s">
        <v>24</v>
      </c>
    </row>
    <row r="111" spans="1:3" x14ac:dyDescent="0.2">
      <c r="A111" s="5">
        <v>109</v>
      </c>
      <c r="B111" s="5">
        <f t="shared" ca="1" si="1"/>
        <v>0.66679273478107504</v>
      </c>
      <c r="C111" s="5" t="s">
        <v>24</v>
      </c>
    </row>
    <row r="112" spans="1:3" x14ac:dyDescent="0.2">
      <c r="A112" s="5">
        <v>110</v>
      </c>
      <c r="B112" s="5">
        <f t="shared" ca="1" si="1"/>
        <v>0.88271879608283055</v>
      </c>
      <c r="C112" s="5" t="s">
        <v>24</v>
      </c>
    </row>
    <row r="113" spans="1:3" x14ac:dyDescent="0.2">
      <c r="A113" s="5">
        <v>111</v>
      </c>
      <c r="B113" s="5">
        <f t="shared" ca="1" si="1"/>
        <v>0.84100723605104277</v>
      </c>
      <c r="C113" s="5" t="s">
        <v>23</v>
      </c>
    </row>
    <row r="114" spans="1:3" x14ac:dyDescent="0.2">
      <c r="A114" s="5">
        <v>112</v>
      </c>
      <c r="B114" s="5">
        <f t="shared" ca="1" si="1"/>
        <v>0.60885298024688217</v>
      </c>
      <c r="C114" s="5" t="s">
        <v>24</v>
      </c>
    </row>
    <row r="115" spans="1:3" x14ac:dyDescent="0.2">
      <c r="A115" s="5">
        <v>113</v>
      </c>
      <c r="B115" s="5">
        <f t="shared" ca="1" si="1"/>
        <v>0.54609660756850598</v>
      </c>
      <c r="C115" s="5" t="s">
        <v>24</v>
      </c>
    </row>
    <row r="116" spans="1:3" x14ac:dyDescent="0.2">
      <c r="A116" s="5">
        <v>114</v>
      </c>
      <c r="B116" s="5">
        <f t="shared" ca="1" si="1"/>
        <v>0.70390695404936821</v>
      </c>
      <c r="C116" s="5" t="s">
        <v>24</v>
      </c>
    </row>
    <row r="117" spans="1:3" x14ac:dyDescent="0.2">
      <c r="A117" s="5">
        <v>115</v>
      </c>
      <c r="B117" s="5">
        <f t="shared" ca="1" si="1"/>
        <v>0.67001258875841296</v>
      </c>
      <c r="C117" s="5" t="s">
        <v>24</v>
      </c>
    </row>
    <row r="118" spans="1:3" x14ac:dyDescent="0.2">
      <c r="A118" s="5">
        <v>116</v>
      </c>
      <c r="B118" s="5">
        <f t="shared" ca="1" si="1"/>
        <v>0.54856223743116306</v>
      </c>
      <c r="C118" s="5" t="s">
        <v>24</v>
      </c>
    </row>
    <row r="119" spans="1:3" x14ac:dyDescent="0.2">
      <c r="A119" s="5">
        <v>117</v>
      </c>
      <c r="B119" s="5">
        <f t="shared" ca="1" si="1"/>
        <v>0.54653994270474637</v>
      </c>
      <c r="C119" s="5" t="s">
        <v>24</v>
      </c>
    </row>
    <row r="120" spans="1:3" x14ac:dyDescent="0.2">
      <c r="A120" s="5">
        <v>118</v>
      </c>
      <c r="B120" s="5">
        <f t="shared" ca="1" si="1"/>
        <v>0.50427985572167777</v>
      </c>
      <c r="C120" s="5" t="s">
        <v>24</v>
      </c>
    </row>
    <row r="121" spans="1:3" x14ac:dyDescent="0.2">
      <c r="A121" s="5">
        <v>119</v>
      </c>
      <c r="B121" s="5">
        <f t="shared" ca="1" si="1"/>
        <v>0.57756702100600454</v>
      </c>
      <c r="C121" s="5" t="s">
        <v>24</v>
      </c>
    </row>
    <row r="122" spans="1:3" x14ac:dyDescent="0.2">
      <c r="A122" s="5">
        <v>120</v>
      </c>
      <c r="B122" s="5">
        <f t="shared" ca="1" si="1"/>
        <v>0.61552491148788224</v>
      </c>
      <c r="C122" s="5" t="s">
        <v>23</v>
      </c>
    </row>
    <row r="123" spans="1:3" x14ac:dyDescent="0.2">
      <c r="A123" s="5">
        <v>121</v>
      </c>
      <c r="B123" s="5">
        <f t="shared" ca="1" si="1"/>
        <v>0.72492594024286716</v>
      </c>
      <c r="C123" s="5" t="s">
        <v>23</v>
      </c>
    </row>
    <row r="124" spans="1:3" x14ac:dyDescent="0.2">
      <c r="A124" s="5">
        <v>122</v>
      </c>
      <c r="B124" s="5">
        <f t="shared" ca="1" si="1"/>
        <v>0.78190352753704007</v>
      </c>
      <c r="C124" s="5" t="s">
        <v>24</v>
      </c>
    </row>
    <row r="125" spans="1:3" x14ac:dyDescent="0.2">
      <c r="A125" s="5">
        <v>123</v>
      </c>
      <c r="B125" s="5">
        <f t="shared" ca="1" si="1"/>
        <v>0.46889327653641372</v>
      </c>
      <c r="C125" s="5" t="s">
        <v>23</v>
      </c>
    </row>
    <row r="126" spans="1:3" x14ac:dyDescent="0.2">
      <c r="A126" s="5">
        <v>124</v>
      </c>
      <c r="B126" s="5">
        <f t="shared" ca="1" si="1"/>
        <v>0.67983585465473151</v>
      </c>
      <c r="C126" s="5" t="s">
        <v>23</v>
      </c>
    </row>
    <row r="127" spans="1:3" x14ac:dyDescent="0.2">
      <c r="A127" s="5">
        <v>125</v>
      </c>
      <c r="B127" s="5">
        <f t="shared" ca="1" si="1"/>
        <v>0.49487817398002448</v>
      </c>
      <c r="C127" s="5" t="s">
        <v>24</v>
      </c>
    </row>
    <row r="128" spans="1:3" x14ac:dyDescent="0.2">
      <c r="A128" s="5">
        <v>126</v>
      </c>
      <c r="B128" s="5">
        <f t="shared" ca="1" si="1"/>
        <v>0.34741423783423542</v>
      </c>
      <c r="C128" s="5" t="s">
        <v>24</v>
      </c>
    </row>
    <row r="129" spans="1:3" x14ac:dyDescent="0.2">
      <c r="A129" s="5">
        <v>127</v>
      </c>
      <c r="B129" s="5">
        <f t="shared" ca="1" si="1"/>
        <v>0.35098922495256868</v>
      </c>
      <c r="C129" s="5" t="s">
        <v>24</v>
      </c>
    </row>
    <row r="130" spans="1:3" x14ac:dyDescent="0.2">
      <c r="A130" s="5">
        <v>128</v>
      </c>
      <c r="B130" s="5">
        <f t="shared" ca="1" si="1"/>
        <v>0.74778014820859506</v>
      </c>
      <c r="C130" s="5" t="s">
        <v>24</v>
      </c>
    </row>
    <row r="131" spans="1:3" x14ac:dyDescent="0.2">
      <c r="A131" s="5">
        <v>129</v>
      </c>
      <c r="B131" s="5">
        <f t="shared" ca="1" si="1"/>
        <v>0.87679526082672266</v>
      </c>
      <c r="C131" s="5" t="s">
        <v>24</v>
      </c>
    </row>
    <row r="132" spans="1:3" x14ac:dyDescent="0.2">
      <c r="A132" s="5">
        <v>130</v>
      </c>
      <c r="B132" s="5">
        <f t="shared" ref="B132:B195" ca="1" si="2">IF(C132="Bomb",_xlfn.NORM.INV(RAND(),0.7,0.1),_xlfn.NORM.INV(RAND(),0.6,0.15))</f>
        <v>0.64849968685250892</v>
      </c>
      <c r="C132" s="5" t="s">
        <v>23</v>
      </c>
    </row>
    <row r="133" spans="1:3" x14ac:dyDescent="0.2">
      <c r="A133" s="5">
        <v>131</v>
      </c>
      <c r="B133" s="5">
        <f t="shared" ca="1" si="2"/>
        <v>0.89353445003967802</v>
      </c>
      <c r="C133" s="5" t="s">
        <v>23</v>
      </c>
    </row>
    <row r="134" spans="1:3" x14ac:dyDescent="0.2">
      <c r="A134" s="5">
        <v>132</v>
      </c>
      <c r="B134" s="5">
        <f t="shared" ca="1" si="2"/>
        <v>0.48584193202388093</v>
      </c>
      <c r="C134" s="5" t="s">
        <v>23</v>
      </c>
    </row>
    <row r="135" spans="1:3" x14ac:dyDescent="0.2">
      <c r="A135" s="5">
        <v>133</v>
      </c>
      <c r="B135" s="5">
        <f t="shared" ca="1" si="2"/>
        <v>0.76252770220732413</v>
      </c>
      <c r="C135" s="5" t="s">
        <v>23</v>
      </c>
    </row>
    <row r="136" spans="1:3" x14ac:dyDescent="0.2">
      <c r="A136" s="5">
        <v>134</v>
      </c>
      <c r="B136" s="5">
        <f t="shared" ca="1" si="2"/>
        <v>0.44216146678884127</v>
      </c>
      <c r="C136" s="5" t="s">
        <v>24</v>
      </c>
    </row>
    <row r="137" spans="1:3" x14ac:dyDescent="0.2">
      <c r="A137" s="5">
        <v>135</v>
      </c>
      <c r="B137" s="5">
        <f t="shared" ca="1" si="2"/>
        <v>0.88504854190862381</v>
      </c>
      <c r="C137" s="5" t="s">
        <v>23</v>
      </c>
    </row>
    <row r="138" spans="1:3" x14ac:dyDescent="0.2">
      <c r="A138" s="5">
        <v>136</v>
      </c>
      <c r="B138" s="5">
        <f t="shared" ca="1" si="2"/>
        <v>0.88059353361668891</v>
      </c>
      <c r="C138" s="5" t="s">
        <v>23</v>
      </c>
    </row>
    <row r="139" spans="1:3" x14ac:dyDescent="0.2">
      <c r="A139" s="5">
        <v>137</v>
      </c>
      <c r="B139" s="5">
        <f t="shared" ca="1" si="2"/>
        <v>0.74993680122962925</v>
      </c>
      <c r="C139" s="5" t="s">
        <v>24</v>
      </c>
    </row>
    <row r="140" spans="1:3" x14ac:dyDescent="0.2">
      <c r="A140" s="5">
        <v>138</v>
      </c>
      <c r="B140" s="5">
        <f t="shared" ca="1" si="2"/>
        <v>0.68522464147326079</v>
      </c>
      <c r="C140" s="5" t="s">
        <v>23</v>
      </c>
    </row>
    <row r="141" spans="1:3" x14ac:dyDescent="0.2">
      <c r="A141" s="5">
        <v>139</v>
      </c>
      <c r="B141" s="5">
        <f t="shared" ca="1" si="2"/>
        <v>0.53434422006608839</v>
      </c>
      <c r="C141" s="5" t="s">
        <v>24</v>
      </c>
    </row>
    <row r="142" spans="1:3" x14ac:dyDescent="0.2">
      <c r="A142" s="5">
        <v>140</v>
      </c>
      <c r="B142" s="5">
        <f t="shared" ca="1" si="2"/>
        <v>0.82254422959172713</v>
      </c>
      <c r="C142" s="5" t="s">
        <v>24</v>
      </c>
    </row>
    <row r="143" spans="1:3" x14ac:dyDescent="0.2">
      <c r="A143" s="5">
        <v>141</v>
      </c>
      <c r="B143" s="5">
        <f t="shared" ca="1" si="2"/>
        <v>0.5078130017861977</v>
      </c>
      <c r="C143" s="5" t="s">
        <v>24</v>
      </c>
    </row>
    <row r="144" spans="1:3" x14ac:dyDescent="0.2">
      <c r="A144" s="5">
        <v>142</v>
      </c>
      <c r="B144" s="5">
        <f t="shared" ca="1" si="2"/>
        <v>0.92024605299818374</v>
      </c>
      <c r="C144" s="5" t="s">
        <v>23</v>
      </c>
    </row>
    <row r="145" spans="1:3" x14ac:dyDescent="0.2">
      <c r="A145" s="5">
        <v>143</v>
      </c>
      <c r="B145" s="5">
        <f t="shared" ca="1" si="2"/>
        <v>0.64029109644120241</v>
      </c>
      <c r="C145" s="5" t="s">
        <v>24</v>
      </c>
    </row>
    <row r="146" spans="1:3" x14ac:dyDescent="0.2">
      <c r="A146" s="5">
        <v>144</v>
      </c>
      <c r="B146" s="5">
        <f t="shared" ca="1" si="2"/>
        <v>0.70645119516151844</v>
      </c>
      <c r="C146" s="5" t="s">
        <v>23</v>
      </c>
    </row>
    <row r="147" spans="1:3" x14ac:dyDescent="0.2">
      <c r="A147" s="5">
        <v>145</v>
      </c>
      <c r="B147" s="5">
        <f t="shared" ca="1" si="2"/>
        <v>0.62637637102471733</v>
      </c>
      <c r="C147" s="5" t="s">
        <v>24</v>
      </c>
    </row>
    <row r="148" spans="1:3" x14ac:dyDescent="0.2">
      <c r="A148" s="5">
        <v>146</v>
      </c>
      <c r="B148" s="5">
        <f t="shared" ca="1" si="2"/>
        <v>0.77188727848180116</v>
      </c>
      <c r="C148" s="5" t="s">
        <v>24</v>
      </c>
    </row>
    <row r="149" spans="1:3" x14ac:dyDescent="0.2">
      <c r="A149" s="5">
        <v>147</v>
      </c>
      <c r="B149" s="5">
        <f t="shared" ca="1" si="2"/>
        <v>0.66966079430679526</v>
      </c>
      <c r="C149" s="5" t="s">
        <v>23</v>
      </c>
    </row>
    <row r="150" spans="1:3" x14ac:dyDescent="0.2">
      <c r="A150" s="5">
        <v>148</v>
      </c>
      <c r="B150" s="5">
        <f t="shared" ca="1" si="2"/>
        <v>0.77032549563907848</v>
      </c>
      <c r="C150" s="5" t="s">
        <v>24</v>
      </c>
    </row>
    <row r="151" spans="1:3" x14ac:dyDescent="0.2">
      <c r="A151" s="5">
        <v>149</v>
      </c>
      <c r="B151" s="5">
        <f t="shared" ca="1" si="2"/>
        <v>0.56029455512711612</v>
      </c>
      <c r="C151" s="5" t="s">
        <v>24</v>
      </c>
    </row>
    <row r="152" spans="1:3" x14ac:dyDescent="0.2">
      <c r="A152" s="5">
        <v>150</v>
      </c>
      <c r="B152" s="5">
        <f t="shared" ca="1" si="2"/>
        <v>0.66128268148421132</v>
      </c>
      <c r="C152" s="5" t="s">
        <v>24</v>
      </c>
    </row>
    <row r="153" spans="1:3" x14ac:dyDescent="0.2">
      <c r="A153" s="5">
        <v>151</v>
      </c>
      <c r="B153" s="5">
        <f t="shared" ca="1" si="2"/>
        <v>0.60117793132562558</v>
      </c>
      <c r="C153" s="5" t="s">
        <v>23</v>
      </c>
    </row>
    <row r="154" spans="1:3" x14ac:dyDescent="0.2">
      <c r="A154" s="5">
        <v>152</v>
      </c>
      <c r="B154" s="5">
        <f t="shared" ca="1" si="2"/>
        <v>0.82158305577334034</v>
      </c>
      <c r="C154" s="5" t="s">
        <v>23</v>
      </c>
    </row>
    <row r="155" spans="1:3" x14ac:dyDescent="0.2">
      <c r="A155" s="5">
        <v>153</v>
      </c>
      <c r="B155" s="5">
        <f t="shared" ca="1" si="2"/>
        <v>0.62384935156390986</v>
      </c>
      <c r="C155" s="5" t="s">
        <v>23</v>
      </c>
    </row>
    <row r="156" spans="1:3" x14ac:dyDescent="0.2">
      <c r="A156" s="5">
        <v>154</v>
      </c>
      <c r="B156" s="5">
        <f t="shared" ca="1" si="2"/>
        <v>0.74917719796702587</v>
      </c>
      <c r="C156" s="5" t="s">
        <v>24</v>
      </c>
    </row>
    <row r="157" spans="1:3" x14ac:dyDescent="0.2">
      <c r="A157" s="5">
        <v>155</v>
      </c>
      <c r="B157" s="5">
        <f t="shared" ca="1" si="2"/>
        <v>0.7711403302390063</v>
      </c>
      <c r="C157" s="5" t="s">
        <v>23</v>
      </c>
    </row>
    <row r="158" spans="1:3" x14ac:dyDescent="0.2">
      <c r="A158" s="5">
        <v>156</v>
      </c>
      <c r="B158" s="5">
        <f t="shared" ca="1" si="2"/>
        <v>0.69823762519763344</v>
      </c>
      <c r="C158" s="5" t="s">
        <v>23</v>
      </c>
    </row>
    <row r="159" spans="1:3" x14ac:dyDescent="0.2">
      <c r="A159" s="5">
        <v>157</v>
      </c>
      <c r="B159" s="5">
        <f t="shared" ca="1" si="2"/>
        <v>0.60476886070579106</v>
      </c>
      <c r="C159" s="5" t="s">
        <v>24</v>
      </c>
    </row>
    <row r="160" spans="1:3" x14ac:dyDescent="0.2">
      <c r="A160" s="5">
        <v>158</v>
      </c>
      <c r="B160" s="5">
        <f t="shared" ca="1" si="2"/>
        <v>0.77518387167292757</v>
      </c>
      <c r="C160" s="5" t="s">
        <v>24</v>
      </c>
    </row>
    <row r="161" spans="1:3" x14ac:dyDescent="0.2">
      <c r="A161" s="5">
        <v>159</v>
      </c>
      <c r="B161" s="5">
        <f t="shared" ca="1" si="2"/>
        <v>0.90041435470896003</v>
      </c>
      <c r="C161" s="5" t="s">
        <v>23</v>
      </c>
    </row>
    <row r="162" spans="1:3" x14ac:dyDescent="0.2">
      <c r="A162" s="5">
        <v>160</v>
      </c>
      <c r="B162" s="5">
        <f t="shared" ca="1" si="2"/>
        <v>0.59714314497616061</v>
      </c>
      <c r="C162" s="5" t="s">
        <v>23</v>
      </c>
    </row>
    <row r="163" spans="1:3" x14ac:dyDescent="0.2">
      <c r="A163" s="5">
        <v>161</v>
      </c>
      <c r="B163" s="5">
        <f t="shared" ca="1" si="2"/>
        <v>0.65394124052882807</v>
      </c>
      <c r="C163" s="5" t="s">
        <v>23</v>
      </c>
    </row>
    <row r="164" spans="1:3" x14ac:dyDescent="0.2">
      <c r="A164" s="5">
        <v>162</v>
      </c>
      <c r="B164" s="5">
        <f t="shared" ca="1" si="2"/>
        <v>0.55029537285145247</v>
      </c>
      <c r="C164" s="5" t="s">
        <v>24</v>
      </c>
    </row>
    <row r="165" spans="1:3" x14ac:dyDescent="0.2">
      <c r="A165" s="5">
        <v>163</v>
      </c>
      <c r="B165" s="5">
        <f t="shared" ca="1" si="2"/>
        <v>0.32106990599795326</v>
      </c>
      <c r="C165" s="5" t="s">
        <v>24</v>
      </c>
    </row>
    <row r="166" spans="1:3" x14ac:dyDescent="0.2">
      <c r="A166" s="5">
        <v>164</v>
      </c>
      <c r="B166" s="5">
        <f t="shared" ca="1" si="2"/>
        <v>0.76024762576107485</v>
      </c>
      <c r="C166" s="5" t="s">
        <v>24</v>
      </c>
    </row>
    <row r="167" spans="1:3" x14ac:dyDescent="0.2">
      <c r="A167" s="5">
        <v>165</v>
      </c>
      <c r="B167" s="5">
        <f t="shared" ca="1" si="2"/>
        <v>0.45696842778376789</v>
      </c>
      <c r="C167" s="5" t="s">
        <v>24</v>
      </c>
    </row>
    <row r="168" spans="1:3" x14ac:dyDescent="0.2">
      <c r="A168" s="5">
        <v>166</v>
      </c>
      <c r="B168" s="5">
        <f t="shared" ca="1" si="2"/>
        <v>0.82475813659498454</v>
      </c>
      <c r="C168" s="5" t="s">
        <v>23</v>
      </c>
    </row>
    <row r="169" spans="1:3" x14ac:dyDescent="0.2">
      <c r="A169" s="5">
        <v>167</v>
      </c>
      <c r="B169" s="5">
        <f t="shared" ca="1" si="2"/>
        <v>0.82512117109312555</v>
      </c>
      <c r="C169" s="5" t="s">
        <v>23</v>
      </c>
    </row>
    <row r="170" spans="1:3" x14ac:dyDescent="0.2">
      <c r="A170" s="5">
        <v>168</v>
      </c>
      <c r="B170" s="5">
        <f t="shared" ca="1" si="2"/>
        <v>0.8764719076493398</v>
      </c>
      <c r="C170" s="5" t="s">
        <v>23</v>
      </c>
    </row>
    <row r="171" spans="1:3" x14ac:dyDescent="0.2">
      <c r="A171" s="5">
        <v>169</v>
      </c>
      <c r="B171" s="5">
        <f t="shared" ca="1" si="2"/>
        <v>0.6782758471475121</v>
      </c>
      <c r="C171" s="5" t="s">
        <v>24</v>
      </c>
    </row>
    <row r="172" spans="1:3" x14ac:dyDescent="0.2">
      <c r="A172" s="5">
        <v>170</v>
      </c>
      <c r="B172" s="5">
        <f t="shared" ca="1" si="2"/>
        <v>0.45609892860245949</v>
      </c>
      <c r="C172" s="5" t="s">
        <v>24</v>
      </c>
    </row>
    <row r="173" spans="1:3" x14ac:dyDescent="0.2">
      <c r="A173" s="5">
        <v>171</v>
      </c>
      <c r="B173" s="5">
        <f t="shared" ca="1" si="2"/>
        <v>0.69737645169479845</v>
      </c>
      <c r="C173" s="5" t="s">
        <v>23</v>
      </c>
    </row>
    <row r="174" spans="1:3" x14ac:dyDescent="0.2">
      <c r="A174" s="5">
        <v>172</v>
      </c>
      <c r="B174" s="5">
        <f t="shared" ca="1" si="2"/>
        <v>0.74557216917924751</v>
      </c>
      <c r="C174" s="5" t="s">
        <v>23</v>
      </c>
    </row>
    <row r="175" spans="1:3" x14ac:dyDescent="0.2">
      <c r="A175" s="5">
        <v>173</v>
      </c>
      <c r="B175" s="5">
        <f t="shared" ca="1" si="2"/>
        <v>0.68208868830251224</v>
      </c>
      <c r="C175" s="5" t="s">
        <v>23</v>
      </c>
    </row>
    <row r="176" spans="1:3" x14ac:dyDescent="0.2">
      <c r="A176" s="5">
        <v>174</v>
      </c>
      <c r="B176" s="5">
        <f t="shared" ca="1" si="2"/>
        <v>0.52944036852869947</v>
      </c>
      <c r="C176" s="5" t="s">
        <v>24</v>
      </c>
    </row>
    <row r="177" spans="1:3" x14ac:dyDescent="0.2">
      <c r="A177" s="5">
        <v>175</v>
      </c>
      <c r="B177" s="5">
        <f t="shared" ca="1" si="2"/>
        <v>0.97960089298084363</v>
      </c>
      <c r="C177" s="5" t="s">
        <v>23</v>
      </c>
    </row>
    <row r="178" spans="1:3" x14ac:dyDescent="0.2">
      <c r="A178" s="5">
        <v>176</v>
      </c>
      <c r="B178" s="5">
        <f t="shared" ca="1" si="2"/>
        <v>0.99563156531000108</v>
      </c>
      <c r="C178" s="5" t="s">
        <v>23</v>
      </c>
    </row>
    <row r="179" spans="1:3" x14ac:dyDescent="0.2">
      <c r="A179" s="5">
        <v>177</v>
      </c>
      <c r="B179" s="5">
        <f t="shared" ca="1" si="2"/>
        <v>0.45117218420456551</v>
      </c>
      <c r="C179" s="5" t="s">
        <v>24</v>
      </c>
    </row>
    <row r="180" spans="1:3" x14ac:dyDescent="0.2">
      <c r="A180" s="5">
        <v>178</v>
      </c>
      <c r="B180" s="5">
        <f t="shared" ca="1" si="2"/>
        <v>0.48655190425521161</v>
      </c>
      <c r="C180" s="5" t="s">
        <v>24</v>
      </c>
    </row>
    <row r="181" spans="1:3" x14ac:dyDescent="0.2">
      <c r="A181" s="5">
        <v>179</v>
      </c>
      <c r="B181" s="5">
        <f t="shared" ca="1" si="2"/>
        <v>0.83881564277981058</v>
      </c>
      <c r="C181" s="5" t="s">
        <v>23</v>
      </c>
    </row>
    <row r="182" spans="1:3" x14ac:dyDescent="0.2">
      <c r="A182" s="5">
        <v>180</v>
      </c>
      <c r="B182" s="5">
        <f t="shared" ca="1" si="2"/>
        <v>0.84142219688003606</v>
      </c>
      <c r="C182" s="5" t="s">
        <v>23</v>
      </c>
    </row>
    <row r="183" spans="1:3" x14ac:dyDescent="0.2">
      <c r="A183" s="5">
        <v>181</v>
      </c>
      <c r="B183" s="5">
        <f t="shared" ca="1" si="2"/>
        <v>0.82295888317031807</v>
      </c>
      <c r="C183" s="5" t="s">
        <v>23</v>
      </c>
    </row>
    <row r="184" spans="1:3" x14ac:dyDescent="0.2">
      <c r="A184" s="5">
        <v>182</v>
      </c>
      <c r="B184" s="5">
        <f t="shared" ca="1" si="2"/>
        <v>0.70185761866862661</v>
      </c>
      <c r="C184" s="5" t="s">
        <v>23</v>
      </c>
    </row>
    <row r="185" spans="1:3" x14ac:dyDescent="0.2">
      <c r="A185" s="5">
        <v>183</v>
      </c>
      <c r="B185" s="5">
        <f t="shared" ca="1" si="2"/>
        <v>0.71813058639512106</v>
      </c>
      <c r="C185" s="5" t="s">
        <v>24</v>
      </c>
    </row>
    <row r="186" spans="1:3" x14ac:dyDescent="0.2">
      <c r="A186" s="5">
        <v>184</v>
      </c>
      <c r="B186" s="5">
        <f t="shared" ca="1" si="2"/>
        <v>0.66474280431868826</v>
      </c>
      <c r="C186" s="5" t="s">
        <v>23</v>
      </c>
    </row>
    <row r="187" spans="1:3" x14ac:dyDescent="0.2">
      <c r="A187" s="5">
        <v>185</v>
      </c>
      <c r="B187" s="5">
        <f t="shared" ca="1" si="2"/>
        <v>0.68947030334078019</v>
      </c>
      <c r="C187" s="5" t="s">
        <v>24</v>
      </c>
    </row>
    <row r="188" spans="1:3" x14ac:dyDescent="0.2">
      <c r="A188" s="5">
        <v>186</v>
      </c>
      <c r="B188" s="5">
        <f t="shared" ca="1" si="2"/>
        <v>0.74502312029390283</v>
      </c>
      <c r="C188" s="5" t="s">
        <v>23</v>
      </c>
    </row>
    <row r="189" spans="1:3" x14ac:dyDescent="0.2">
      <c r="A189" s="5">
        <v>187</v>
      </c>
      <c r="B189" s="5">
        <f t="shared" ca="1" si="2"/>
        <v>0.68858980709788553</v>
      </c>
      <c r="C189" s="5" t="s">
        <v>24</v>
      </c>
    </row>
    <row r="190" spans="1:3" x14ac:dyDescent="0.2">
      <c r="A190" s="5">
        <v>188</v>
      </c>
      <c r="B190" s="5">
        <f t="shared" ca="1" si="2"/>
        <v>0.72524522668162605</v>
      </c>
      <c r="C190" s="5" t="s">
        <v>23</v>
      </c>
    </row>
    <row r="191" spans="1:3" x14ac:dyDescent="0.2">
      <c r="A191" s="5">
        <v>189</v>
      </c>
      <c r="B191" s="5">
        <f t="shared" ca="1" si="2"/>
        <v>0.47631521977369751</v>
      </c>
      <c r="C191" s="5" t="s">
        <v>23</v>
      </c>
    </row>
    <row r="192" spans="1:3" x14ac:dyDescent="0.2">
      <c r="A192" s="5">
        <v>190</v>
      </c>
      <c r="B192" s="5">
        <f t="shared" ca="1" si="2"/>
        <v>0.50571171533057124</v>
      </c>
      <c r="C192" s="5" t="s">
        <v>24</v>
      </c>
    </row>
    <row r="193" spans="1:3" x14ac:dyDescent="0.2">
      <c r="A193" s="5">
        <v>191</v>
      </c>
      <c r="B193" s="5">
        <f t="shared" ca="1" si="2"/>
        <v>0.62326580849334223</v>
      </c>
      <c r="C193" s="5" t="s">
        <v>23</v>
      </c>
    </row>
    <row r="194" spans="1:3" x14ac:dyDescent="0.2">
      <c r="A194" s="5">
        <v>192</v>
      </c>
      <c r="B194" s="5">
        <f t="shared" ca="1" si="2"/>
        <v>0.48010166584601482</v>
      </c>
      <c r="C194" s="5" t="s">
        <v>24</v>
      </c>
    </row>
    <row r="195" spans="1:3" x14ac:dyDescent="0.2">
      <c r="A195" s="5">
        <v>193</v>
      </c>
      <c r="B195" s="5">
        <f t="shared" ca="1" si="2"/>
        <v>0.61066151423855475</v>
      </c>
      <c r="C195" s="5" t="s">
        <v>23</v>
      </c>
    </row>
    <row r="196" spans="1:3" x14ac:dyDescent="0.2">
      <c r="A196" s="5">
        <v>194</v>
      </c>
      <c r="B196" s="5">
        <f t="shared" ref="B196:B259" ca="1" si="3">IF(C196="Bomb",_xlfn.NORM.INV(RAND(),0.7,0.1),_xlfn.NORM.INV(RAND(),0.6,0.15))</f>
        <v>0.74795035751578509</v>
      </c>
      <c r="C196" s="5" t="s">
        <v>24</v>
      </c>
    </row>
    <row r="197" spans="1:3" x14ac:dyDescent="0.2">
      <c r="A197" s="5">
        <v>195</v>
      </c>
      <c r="B197" s="5">
        <f t="shared" ca="1" si="3"/>
        <v>0.39325623872680227</v>
      </c>
      <c r="C197" s="5" t="s">
        <v>24</v>
      </c>
    </row>
    <row r="198" spans="1:3" x14ac:dyDescent="0.2">
      <c r="A198" s="5">
        <v>196</v>
      </c>
      <c r="B198" s="5">
        <f t="shared" ca="1" si="3"/>
        <v>0.66274974412567267</v>
      </c>
      <c r="C198" s="5" t="s">
        <v>23</v>
      </c>
    </row>
    <row r="199" spans="1:3" x14ac:dyDescent="0.2">
      <c r="A199" s="5">
        <v>197</v>
      </c>
      <c r="B199" s="5">
        <f t="shared" ca="1" si="3"/>
        <v>0.71931263182948013</v>
      </c>
      <c r="C199" s="5" t="s">
        <v>24</v>
      </c>
    </row>
    <row r="200" spans="1:3" x14ac:dyDescent="0.2">
      <c r="A200" s="5">
        <v>198</v>
      </c>
      <c r="B200" s="5">
        <f t="shared" ca="1" si="3"/>
        <v>0.72055780009805881</v>
      </c>
      <c r="C200" s="5" t="s">
        <v>23</v>
      </c>
    </row>
    <row r="201" spans="1:3" x14ac:dyDescent="0.2">
      <c r="A201" s="5">
        <v>199</v>
      </c>
      <c r="B201" s="5">
        <f t="shared" ca="1" si="3"/>
        <v>0.67749051174314134</v>
      </c>
      <c r="C201" s="5" t="s">
        <v>24</v>
      </c>
    </row>
    <row r="202" spans="1:3" x14ac:dyDescent="0.2">
      <c r="A202" s="5">
        <v>200</v>
      </c>
      <c r="B202" s="5">
        <f t="shared" ca="1" si="3"/>
        <v>0.76366570275602019</v>
      </c>
      <c r="C202" s="5" t="s">
        <v>23</v>
      </c>
    </row>
    <row r="203" spans="1:3" x14ac:dyDescent="0.2">
      <c r="A203" s="5">
        <v>201</v>
      </c>
      <c r="B203" s="5">
        <f t="shared" ca="1" si="3"/>
        <v>0.70280541525090057</v>
      </c>
      <c r="C203" s="5" t="s">
        <v>24</v>
      </c>
    </row>
    <row r="204" spans="1:3" x14ac:dyDescent="0.2">
      <c r="A204" s="5">
        <v>202</v>
      </c>
      <c r="B204" s="5">
        <f t="shared" ca="1" si="3"/>
        <v>0.72005446538411599</v>
      </c>
      <c r="C204" s="5" t="s">
        <v>23</v>
      </c>
    </row>
    <row r="205" spans="1:3" x14ac:dyDescent="0.2">
      <c r="A205" s="5">
        <v>203</v>
      </c>
      <c r="B205" s="5">
        <f t="shared" ca="1" si="3"/>
        <v>0.47991536167546606</v>
      </c>
      <c r="C205" s="5" t="s">
        <v>24</v>
      </c>
    </row>
    <row r="206" spans="1:3" x14ac:dyDescent="0.2">
      <c r="A206" s="5">
        <v>204</v>
      </c>
      <c r="B206" s="5">
        <f t="shared" ca="1" si="3"/>
        <v>0.54312063872994432</v>
      </c>
      <c r="C206" s="5" t="s">
        <v>24</v>
      </c>
    </row>
    <row r="207" spans="1:3" x14ac:dyDescent="0.2">
      <c r="A207" s="5">
        <v>205</v>
      </c>
      <c r="B207" s="5">
        <f t="shared" ca="1" si="3"/>
        <v>0.76581136262202421</v>
      </c>
      <c r="C207" s="5" t="s">
        <v>24</v>
      </c>
    </row>
    <row r="208" spans="1:3" x14ac:dyDescent="0.2">
      <c r="A208" s="5">
        <v>206</v>
      </c>
      <c r="B208" s="5">
        <f t="shared" ca="1" si="3"/>
        <v>0.68334564586840407</v>
      </c>
      <c r="C208" s="5" t="s">
        <v>23</v>
      </c>
    </row>
    <row r="209" spans="1:3" x14ac:dyDescent="0.2">
      <c r="A209" s="5">
        <v>207</v>
      </c>
      <c r="B209" s="5">
        <f t="shared" ca="1" si="3"/>
        <v>0.72966337979289264</v>
      </c>
      <c r="C209" s="5" t="s">
        <v>23</v>
      </c>
    </row>
    <row r="210" spans="1:3" x14ac:dyDescent="0.2">
      <c r="A210" s="5">
        <v>208</v>
      </c>
      <c r="B210" s="5">
        <f t="shared" ca="1" si="3"/>
        <v>0.57079790203623793</v>
      </c>
      <c r="C210" s="5" t="s">
        <v>23</v>
      </c>
    </row>
    <row r="211" spans="1:3" x14ac:dyDescent="0.2">
      <c r="A211" s="5">
        <v>209</v>
      </c>
      <c r="B211" s="5">
        <f t="shared" ca="1" si="3"/>
        <v>0.52654503921301388</v>
      </c>
      <c r="C211" s="5" t="s">
        <v>24</v>
      </c>
    </row>
    <row r="212" spans="1:3" x14ac:dyDescent="0.2">
      <c r="A212" s="5">
        <v>210</v>
      </c>
      <c r="B212" s="5">
        <f t="shared" ca="1" si="3"/>
        <v>0.73850619467816125</v>
      </c>
      <c r="C212" s="5" t="s">
        <v>24</v>
      </c>
    </row>
    <row r="213" spans="1:3" x14ac:dyDescent="0.2">
      <c r="A213" s="5">
        <v>211</v>
      </c>
      <c r="B213" s="5">
        <f t="shared" ca="1" si="3"/>
        <v>0.66367574273856356</v>
      </c>
      <c r="C213" s="5" t="s">
        <v>24</v>
      </c>
    </row>
    <row r="214" spans="1:3" x14ac:dyDescent="0.2">
      <c r="A214" s="5">
        <v>212</v>
      </c>
      <c r="B214" s="5">
        <f t="shared" ca="1" si="3"/>
        <v>0.6662404433652398</v>
      </c>
      <c r="C214" s="5" t="s">
        <v>24</v>
      </c>
    </row>
    <row r="215" spans="1:3" x14ac:dyDescent="0.2">
      <c r="A215" s="5">
        <v>213</v>
      </c>
      <c r="B215" s="5">
        <f t="shared" ca="1" si="3"/>
        <v>0.59157898633098249</v>
      </c>
      <c r="C215" s="5" t="s">
        <v>24</v>
      </c>
    </row>
    <row r="216" spans="1:3" x14ac:dyDescent="0.2">
      <c r="A216" s="5">
        <v>214</v>
      </c>
      <c r="B216" s="5">
        <f t="shared" ca="1" si="3"/>
        <v>0.59479347011356254</v>
      </c>
      <c r="C216" s="5" t="s">
        <v>24</v>
      </c>
    </row>
    <row r="217" spans="1:3" x14ac:dyDescent="0.2">
      <c r="A217" s="5">
        <v>215</v>
      </c>
      <c r="B217" s="5">
        <f t="shared" ca="1" si="3"/>
        <v>0.66301163515664419</v>
      </c>
      <c r="C217" s="5" t="s">
        <v>23</v>
      </c>
    </row>
    <row r="218" spans="1:3" x14ac:dyDescent="0.2">
      <c r="A218" s="5">
        <v>216</v>
      </c>
      <c r="B218" s="5">
        <f t="shared" ca="1" si="3"/>
        <v>0.619146230565506</v>
      </c>
      <c r="C218" s="5" t="s">
        <v>23</v>
      </c>
    </row>
    <row r="219" spans="1:3" x14ac:dyDescent="0.2">
      <c r="A219" s="5">
        <v>217</v>
      </c>
      <c r="B219" s="5">
        <f t="shared" ca="1" si="3"/>
        <v>0.65483911741518108</v>
      </c>
      <c r="C219" s="5" t="s">
        <v>23</v>
      </c>
    </row>
    <row r="220" spans="1:3" x14ac:dyDescent="0.2">
      <c r="A220" s="5">
        <v>218</v>
      </c>
      <c r="B220" s="5">
        <f t="shared" ca="1" si="3"/>
        <v>0.7197739450726619</v>
      </c>
      <c r="C220" s="5" t="s">
        <v>24</v>
      </c>
    </row>
    <row r="221" spans="1:3" x14ac:dyDescent="0.2">
      <c r="A221" s="5">
        <v>219</v>
      </c>
      <c r="B221" s="5">
        <f t="shared" ca="1" si="3"/>
        <v>0.77545708387956502</v>
      </c>
      <c r="C221" s="5" t="s">
        <v>23</v>
      </c>
    </row>
    <row r="222" spans="1:3" x14ac:dyDescent="0.2">
      <c r="A222" s="5">
        <v>220</v>
      </c>
      <c r="B222" s="5">
        <f t="shared" ca="1" si="3"/>
        <v>0.76223674059922519</v>
      </c>
      <c r="C222" s="5" t="s">
        <v>24</v>
      </c>
    </row>
    <row r="223" spans="1:3" x14ac:dyDescent="0.2">
      <c r="A223" s="5">
        <v>221</v>
      </c>
      <c r="B223" s="5">
        <f t="shared" ca="1" si="3"/>
        <v>0.79903979777874756</v>
      </c>
      <c r="C223" s="5" t="s">
        <v>23</v>
      </c>
    </row>
    <row r="224" spans="1:3" x14ac:dyDescent="0.2">
      <c r="A224" s="5">
        <v>222</v>
      </c>
      <c r="B224" s="5">
        <f t="shared" ca="1" si="3"/>
        <v>0.67887593160846249</v>
      </c>
      <c r="C224" s="5" t="s">
        <v>23</v>
      </c>
    </row>
    <row r="225" spans="1:3" x14ac:dyDescent="0.2">
      <c r="A225" s="5">
        <v>223</v>
      </c>
      <c r="B225" s="5">
        <f t="shared" ca="1" si="3"/>
        <v>0.58526583776005381</v>
      </c>
      <c r="C225" s="5" t="s">
        <v>24</v>
      </c>
    </row>
    <row r="226" spans="1:3" x14ac:dyDescent="0.2">
      <c r="A226" s="5">
        <v>224</v>
      </c>
      <c r="B226" s="5">
        <f t="shared" ca="1" si="3"/>
        <v>0.56765209086197677</v>
      </c>
      <c r="C226" s="5" t="s">
        <v>24</v>
      </c>
    </row>
    <row r="227" spans="1:3" x14ac:dyDescent="0.2">
      <c r="A227" s="5">
        <v>225</v>
      </c>
      <c r="B227" s="5">
        <f t="shared" ca="1" si="3"/>
        <v>0.61970224765538628</v>
      </c>
      <c r="C227" s="5" t="s">
        <v>23</v>
      </c>
    </row>
    <row r="228" spans="1:3" x14ac:dyDescent="0.2">
      <c r="A228" s="5">
        <v>226</v>
      </c>
      <c r="B228" s="5">
        <f t="shared" ca="1" si="3"/>
        <v>0.96742642105590537</v>
      </c>
      <c r="C228" s="5" t="s">
        <v>24</v>
      </c>
    </row>
    <row r="229" spans="1:3" x14ac:dyDescent="0.2">
      <c r="A229" s="5">
        <v>227</v>
      </c>
      <c r="B229" s="5">
        <f t="shared" ca="1" si="3"/>
        <v>0.42927839339159668</v>
      </c>
      <c r="C229" s="5" t="s">
        <v>24</v>
      </c>
    </row>
    <row r="230" spans="1:3" x14ac:dyDescent="0.2">
      <c r="A230" s="5">
        <v>228</v>
      </c>
      <c r="B230" s="5">
        <f t="shared" ca="1" si="3"/>
        <v>0.60237618145622118</v>
      </c>
      <c r="C230" s="5" t="s">
        <v>24</v>
      </c>
    </row>
    <row r="231" spans="1:3" x14ac:dyDescent="0.2">
      <c r="A231" s="5">
        <v>229</v>
      </c>
      <c r="B231" s="5">
        <f t="shared" ca="1" si="3"/>
        <v>0.87814656486783282</v>
      </c>
      <c r="C231" s="5" t="s">
        <v>24</v>
      </c>
    </row>
    <row r="232" spans="1:3" x14ac:dyDescent="0.2">
      <c r="A232" s="5">
        <v>230</v>
      </c>
      <c r="B232" s="5">
        <f t="shared" ca="1" si="3"/>
        <v>0.87065261495589219</v>
      </c>
      <c r="C232" s="5" t="s">
        <v>23</v>
      </c>
    </row>
    <row r="233" spans="1:3" x14ac:dyDescent="0.2">
      <c r="A233" s="5">
        <v>231</v>
      </c>
      <c r="B233" s="5">
        <f t="shared" ca="1" si="3"/>
        <v>0.65082822191506562</v>
      </c>
      <c r="C233" s="5" t="s">
        <v>23</v>
      </c>
    </row>
    <row r="234" spans="1:3" x14ac:dyDescent="0.2">
      <c r="A234" s="5">
        <v>232</v>
      </c>
      <c r="B234" s="5">
        <f t="shared" ca="1" si="3"/>
        <v>0.45773763520124933</v>
      </c>
      <c r="C234" s="5" t="s">
        <v>24</v>
      </c>
    </row>
    <row r="235" spans="1:3" x14ac:dyDescent="0.2">
      <c r="A235" s="5">
        <v>233</v>
      </c>
      <c r="B235" s="5">
        <f t="shared" ca="1" si="3"/>
        <v>0.59292891662402558</v>
      </c>
      <c r="C235" s="5" t="s">
        <v>24</v>
      </c>
    </row>
    <row r="236" spans="1:3" x14ac:dyDescent="0.2">
      <c r="A236" s="5">
        <v>234</v>
      </c>
      <c r="B236" s="5">
        <f t="shared" ca="1" si="3"/>
        <v>0.72846920075068533</v>
      </c>
      <c r="C236" s="5" t="s">
        <v>23</v>
      </c>
    </row>
    <row r="237" spans="1:3" x14ac:dyDescent="0.2">
      <c r="A237" s="5">
        <v>235</v>
      </c>
      <c r="B237" s="5">
        <f t="shared" ca="1" si="3"/>
        <v>1.0188074745928728</v>
      </c>
      <c r="C237" s="5" t="s">
        <v>24</v>
      </c>
    </row>
    <row r="238" spans="1:3" x14ac:dyDescent="0.2">
      <c r="A238" s="5">
        <v>236</v>
      </c>
      <c r="B238" s="5">
        <f t="shared" ca="1" si="3"/>
        <v>0.7895329633408591</v>
      </c>
      <c r="C238" s="5" t="s">
        <v>23</v>
      </c>
    </row>
    <row r="239" spans="1:3" x14ac:dyDescent="0.2">
      <c r="A239" s="5">
        <v>237</v>
      </c>
      <c r="B239" s="5">
        <f t="shared" ca="1" si="3"/>
        <v>0.77610708882796753</v>
      </c>
      <c r="C239" s="5" t="s">
        <v>24</v>
      </c>
    </row>
    <row r="240" spans="1:3" x14ac:dyDescent="0.2">
      <c r="A240" s="5">
        <v>238</v>
      </c>
      <c r="B240" s="5">
        <f t="shared" ca="1" si="3"/>
        <v>0.74839770356177771</v>
      </c>
      <c r="C240" s="5" t="s">
        <v>23</v>
      </c>
    </row>
    <row r="241" spans="1:3" x14ac:dyDescent="0.2">
      <c r="A241" s="5">
        <v>239</v>
      </c>
      <c r="B241" s="5">
        <f t="shared" ca="1" si="3"/>
        <v>0.70350987011652244</v>
      </c>
      <c r="C241" s="5" t="s">
        <v>24</v>
      </c>
    </row>
    <row r="242" spans="1:3" x14ac:dyDescent="0.2">
      <c r="A242" s="5">
        <v>240</v>
      </c>
      <c r="B242" s="5">
        <f t="shared" ca="1" si="3"/>
        <v>0.72442980746840702</v>
      </c>
      <c r="C242" s="5" t="s">
        <v>24</v>
      </c>
    </row>
    <row r="243" spans="1:3" x14ac:dyDescent="0.2">
      <c r="A243" s="5">
        <v>241</v>
      </c>
      <c r="B243" s="5">
        <f t="shared" ca="1" si="3"/>
        <v>0.68702982479698882</v>
      </c>
      <c r="C243" s="5" t="s">
        <v>23</v>
      </c>
    </row>
    <row r="244" spans="1:3" x14ac:dyDescent="0.2">
      <c r="A244" s="5">
        <v>242</v>
      </c>
      <c r="B244" s="5">
        <f t="shared" ca="1" si="3"/>
        <v>0.7315400493248877</v>
      </c>
      <c r="C244" s="5" t="s">
        <v>23</v>
      </c>
    </row>
    <row r="245" spans="1:3" x14ac:dyDescent="0.2">
      <c r="A245" s="5">
        <v>243</v>
      </c>
      <c r="B245" s="5">
        <f t="shared" ca="1" si="3"/>
        <v>0.61183338885535754</v>
      </c>
      <c r="C245" s="5" t="s">
        <v>23</v>
      </c>
    </row>
    <row r="246" spans="1:3" x14ac:dyDescent="0.2">
      <c r="A246" s="5">
        <v>244</v>
      </c>
      <c r="B246" s="5">
        <f t="shared" ca="1" si="3"/>
        <v>0.50425494565303597</v>
      </c>
      <c r="C246" s="5" t="s">
        <v>24</v>
      </c>
    </row>
    <row r="247" spans="1:3" x14ac:dyDescent="0.2">
      <c r="A247" s="5">
        <v>245</v>
      </c>
      <c r="B247" s="5">
        <f t="shared" ca="1" si="3"/>
        <v>0.83084374080314949</v>
      </c>
      <c r="C247" s="5" t="s">
        <v>23</v>
      </c>
    </row>
    <row r="248" spans="1:3" x14ac:dyDescent="0.2">
      <c r="A248" s="5">
        <v>246</v>
      </c>
      <c r="B248" s="5">
        <f t="shared" ca="1" si="3"/>
        <v>0.81031074322073104</v>
      </c>
      <c r="C248" s="5" t="s">
        <v>23</v>
      </c>
    </row>
    <row r="249" spans="1:3" x14ac:dyDescent="0.2">
      <c r="A249" s="5">
        <v>247</v>
      </c>
      <c r="B249" s="5">
        <f t="shared" ca="1" si="3"/>
        <v>0.6323202331581339</v>
      </c>
      <c r="C249" s="5" t="s">
        <v>24</v>
      </c>
    </row>
    <row r="250" spans="1:3" x14ac:dyDescent="0.2">
      <c r="A250" s="5">
        <v>248</v>
      </c>
      <c r="B250" s="5">
        <f t="shared" ca="1" si="3"/>
        <v>0.69197431735532855</v>
      </c>
      <c r="C250" s="5" t="s">
        <v>23</v>
      </c>
    </row>
    <row r="251" spans="1:3" x14ac:dyDescent="0.2">
      <c r="A251" s="5">
        <v>249</v>
      </c>
      <c r="B251" s="5">
        <f t="shared" ca="1" si="3"/>
        <v>0.62506234809858385</v>
      </c>
      <c r="C251" s="5" t="s">
        <v>24</v>
      </c>
    </row>
    <row r="252" spans="1:3" x14ac:dyDescent="0.2">
      <c r="A252" s="5">
        <v>250</v>
      </c>
      <c r="B252" s="5">
        <f t="shared" ca="1" si="3"/>
        <v>0.88515326061750077</v>
      </c>
      <c r="C252" s="5" t="s">
        <v>23</v>
      </c>
    </row>
    <row r="253" spans="1:3" x14ac:dyDescent="0.2">
      <c r="A253" s="5">
        <v>251</v>
      </c>
      <c r="B253" s="5">
        <f t="shared" ca="1" si="3"/>
        <v>0.6797070321639187</v>
      </c>
      <c r="C253" s="5" t="s">
        <v>24</v>
      </c>
    </row>
    <row r="254" spans="1:3" x14ac:dyDescent="0.2">
      <c r="A254" s="5">
        <v>252</v>
      </c>
      <c r="B254" s="5">
        <f t="shared" ca="1" si="3"/>
        <v>0.58034864405114273</v>
      </c>
      <c r="C254" s="5" t="s">
        <v>23</v>
      </c>
    </row>
    <row r="255" spans="1:3" x14ac:dyDescent="0.2">
      <c r="A255" s="5">
        <v>253</v>
      </c>
      <c r="B255" s="5">
        <f t="shared" ca="1" si="3"/>
        <v>0.83082874968100384</v>
      </c>
      <c r="C255" s="5" t="s">
        <v>23</v>
      </c>
    </row>
    <row r="256" spans="1:3" x14ac:dyDescent="0.2">
      <c r="A256" s="5">
        <v>254</v>
      </c>
      <c r="B256" s="5">
        <f t="shared" ca="1" si="3"/>
        <v>0.6886945353910342</v>
      </c>
      <c r="C256" s="5" t="s">
        <v>23</v>
      </c>
    </row>
    <row r="257" spans="1:3" x14ac:dyDescent="0.2">
      <c r="A257" s="5">
        <v>255</v>
      </c>
      <c r="B257" s="5">
        <f t="shared" ca="1" si="3"/>
        <v>0.40400642295572842</v>
      </c>
      <c r="C257" s="5" t="s">
        <v>24</v>
      </c>
    </row>
    <row r="258" spans="1:3" x14ac:dyDescent="0.2">
      <c r="A258" s="5">
        <v>256</v>
      </c>
      <c r="B258" s="5">
        <f t="shared" ca="1" si="3"/>
        <v>0.73576440840632706</v>
      </c>
      <c r="C258" s="5" t="s">
        <v>24</v>
      </c>
    </row>
    <row r="259" spans="1:3" x14ac:dyDescent="0.2">
      <c r="A259" s="5">
        <v>257</v>
      </c>
      <c r="B259" s="5">
        <f t="shared" ca="1" si="3"/>
        <v>0.7043142999198142</v>
      </c>
      <c r="C259" s="5" t="s">
        <v>24</v>
      </c>
    </row>
    <row r="260" spans="1:3" x14ac:dyDescent="0.2">
      <c r="A260" s="5">
        <v>258</v>
      </c>
      <c r="B260" s="5">
        <f t="shared" ref="B260:B323" ca="1" si="4">IF(C260="Bomb",_xlfn.NORM.INV(RAND(),0.7,0.1),_xlfn.NORM.INV(RAND(),0.6,0.15))</f>
        <v>0.6078547917782976</v>
      </c>
      <c r="C260" s="5" t="s">
        <v>24</v>
      </c>
    </row>
    <row r="261" spans="1:3" x14ac:dyDescent="0.2">
      <c r="A261" s="5">
        <v>259</v>
      </c>
      <c r="B261" s="5">
        <f t="shared" ca="1" si="4"/>
        <v>0.70152177877890043</v>
      </c>
      <c r="C261" s="5" t="s">
        <v>24</v>
      </c>
    </row>
    <row r="262" spans="1:3" x14ac:dyDescent="0.2">
      <c r="A262" s="5">
        <v>260</v>
      </c>
      <c r="B262" s="5">
        <f t="shared" ca="1" si="4"/>
        <v>0.73391110275116522</v>
      </c>
      <c r="C262" s="5" t="s">
        <v>23</v>
      </c>
    </row>
    <row r="263" spans="1:3" x14ac:dyDescent="0.2">
      <c r="A263" s="5">
        <v>261</v>
      </c>
      <c r="B263" s="5">
        <f t="shared" ca="1" si="4"/>
        <v>0.58227918258172873</v>
      </c>
      <c r="C263" s="5" t="s">
        <v>23</v>
      </c>
    </row>
    <row r="264" spans="1:3" x14ac:dyDescent="0.2">
      <c r="A264" s="5">
        <v>262</v>
      </c>
      <c r="B264" s="5">
        <f t="shared" ca="1" si="4"/>
        <v>0.71917771313495304</v>
      </c>
      <c r="C264" s="5" t="s">
        <v>23</v>
      </c>
    </row>
    <row r="265" spans="1:3" x14ac:dyDescent="0.2">
      <c r="A265" s="5">
        <v>263</v>
      </c>
      <c r="B265" s="5">
        <f t="shared" ca="1" si="4"/>
        <v>0.58348972537205035</v>
      </c>
      <c r="C265" s="5" t="s">
        <v>23</v>
      </c>
    </row>
    <row r="266" spans="1:3" x14ac:dyDescent="0.2">
      <c r="A266" s="5">
        <v>264</v>
      </c>
      <c r="B266" s="5">
        <f t="shared" ca="1" si="4"/>
        <v>0.89296578620814304</v>
      </c>
      <c r="C266" s="5" t="s">
        <v>24</v>
      </c>
    </row>
    <row r="267" spans="1:3" x14ac:dyDescent="0.2">
      <c r="A267" s="5">
        <v>265</v>
      </c>
      <c r="B267" s="5">
        <f t="shared" ca="1" si="4"/>
        <v>0.69888686177597437</v>
      </c>
      <c r="C267" s="5" t="s">
        <v>23</v>
      </c>
    </row>
    <row r="268" spans="1:3" x14ac:dyDescent="0.2">
      <c r="A268" s="5">
        <v>266</v>
      </c>
      <c r="B268" s="5">
        <f t="shared" ca="1" si="4"/>
        <v>0.78253889746457328</v>
      </c>
      <c r="C268" s="5" t="s">
        <v>23</v>
      </c>
    </row>
    <row r="269" spans="1:3" x14ac:dyDescent="0.2">
      <c r="A269" s="5">
        <v>267</v>
      </c>
      <c r="B269" s="5">
        <f t="shared" ca="1" si="4"/>
        <v>0.41712935511744731</v>
      </c>
      <c r="C269" s="5" t="s">
        <v>24</v>
      </c>
    </row>
    <row r="270" spans="1:3" x14ac:dyDescent="0.2">
      <c r="A270" s="5">
        <v>268</v>
      </c>
      <c r="B270" s="5">
        <f t="shared" ca="1" si="4"/>
        <v>0.51728255234598775</v>
      </c>
      <c r="C270" s="5" t="s">
        <v>24</v>
      </c>
    </row>
    <row r="271" spans="1:3" x14ac:dyDescent="0.2">
      <c r="A271" s="5">
        <v>269</v>
      </c>
      <c r="B271" s="5">
        <f t="shared" ca="1" si="4"/>
        <v>0.59703678061464238</v>
      </c>
      <c r="C271" s="5" t="s">
        <v>23</v>
      </c>
    </row>
    <row r="272" spans="1:3" x14ac:dyDescent="0.2">
      <c r="A272" s="5">
        <v>270</v>
      </c>
      <c r="B272" s="5">
        <f t="shared" ca="1" si="4"/>
        <v>0.71089603323131612</v>
      </c>
      <c r="C272" s="5" t="s">
        <v>23</v>
      </c>
    </row>
    <row r="273" spans="1:3" x14ac:dyDescent="0.2">
      <c r="A273" s="5">
        <v>271</v>
      </c>
      <c r="B273" s="5">
        <f t="shared" ca="1" si="4"/>
        <v>0.50048371286652038</v>
      </c>
      <c r="C273" s="5" t="s">
        <v>24</v>
      </c>
    </row>
    <row r="274" spans="1:3" x14ac:dyDescent="0.2">
      <c r="A274" s="5">
        <v>272</v>
      </c>
      <c r="B274" s="5">
        <f t="shared" ca="1" si="4"/>
        <v>0.58392965476097913</v>
      </c>
      <c r="C274" s="5" t="s">
        <v>24</v>
      </c>
    </row>
    <row r="275" spans="1:3" x14ac:dyDescent="0.2">
      <c r="A275" s="5">
        <v>273</v>
      </c>
      <c r="B275" s="5">
        <f t="shared" ca="1" si="4"/>
        <v>0.69758214980988564</v>
      </c>
      <c r="C275" s="5" t="s">
        <v>23</v>
      </c>
    </row>
    <row r="276" spans="1:3" x14ac:dyDescent="0.2">
      <c r="A276" s="5">
        <v>274</v>
      </c>
      <c r="B276" s="5">
        <f t="shared" ca="1" si="4"/>
        <v>0.41577587562023255</v>
      </c>
      <c r="C276" s="5" t="s">
        <v>24</v>
      </c>
    </row>
    <row r="277" spans="1:3" x14ac:dyDescent="0.2">
      <c r="A277" s="5">
        <v>275</v>
      </c>
      <c r="B277" s="5">
        <f t="shared" ca="1" si="4"/>
        <v>0.76131831632001412</v>
      </c>
      <c r="C277" s="5" t="s">
        <v>24</v>
      </c>
    </row>
    <row r="278" spans="1:3" x14ac:dyDescent="0.2">
      <c r="A278" s="5">
        <v>276</v>
      </c>
      <c r="B278" s="5">
        <f t="shared" ca="1" si="4"/>
        <v>0.58397373271590047</v>
      </c>
      <c r="C278" s="5" t="s">
        <v>23</v>
      </c>
    </row>
    <row r="279" spans="1:3" x14ac:dyDescent="0.2">
      <c r="A279" s="5">
        <v>277</v>
      </c>
      <c r="B279" s="5">
        <f t="shared" ca="1" si="4"/>
        <v>0.58669452994597848</v>
      </c>
      <c r="C279" s="5" t="s">
        <v>23</v>
      </c>
    </row>
    <row r="280" spans="1:3" x14ac:dyDescent="0.2">
      <c r="A280" s="5">
        <v>278</v>
      </c>
      <c r="B280" s="5">
        <f t="shared" ca="1" si="4"/>
        <v>0.6832990235074301</v>
      </c>
      <c r="C280" s="5" t="s">
        <v>24</v>
      </c>
    </row>
    <row r="281" spans="1:3" x14ac:dyDescent="0.2">
      <c r="A281" s="5">
        <v>279</v>
      </c>
      <c r="B281" s="5">
        <f t="shared" ca="1" si="4"/>
        <v>0.34388880940383088</v>
      </c>
      <c r="C281" s="5" t="s">
        <v>24</v>
      </c>
    </row>
    <row r="282" spans="1:3" x14ac:dyDescent="0.2">
      <c r="A282" s="5">
        <v>280</v>
      </c>
      <c r="B282" s="5">
        <f t="shared" ca="1" si="4"/>
        <v>0.37063554935482951</v>
      </c>
      <c r="C282" s="5" t="s">
        <v>24</v>
      </c>
    </row>
    <row r="283" spans="1:3" x14ac:dyDescent="0.2">
      <c r="A283" s="5">
        <v>281</v>
      </c>
      <c r="B283" s="5">
        <f t="shared" ca="1" si="4"/>
        <v>0.59828809329635568</v>
      </c>
      <c r="C283" s="5" t="s">
        <v>24</v>
      </c>
    </row>
    <row r="284" spans="1:3" x14ac:dyDescent="0.2">
      <c r="A284" s="5">
        <v>282</v>
      </c>
      <c r="B284" s="5">
        <f t="shared" ca="1" si="4"/>
        <v>0.6958615286124642</v>
      </c>
      <c r="C284" s="5" t="s">
        <v>23</v>
      </c>
    </row>
    <row r="285" spans="1:3" x14ac:dyDescent="0.2">
      <c r="A285" s="5">
        <v>283</v>
      </c>
      <c r="B285" s="5">
        <f t="shared" ca="1" si="4"/>
        <v>0.6721858780483001</v>
      </c>
      <c r="C285" s="5" t="s">
        <v>23</v>
      </c>
    </row>
    <row r="286" spans="1:3" x14ac:dyDescent="0.2">
      <c r="A286" s="5">
        <v>284</v>
      </c>
      <c r="B286" s="5">
        <f t="shared" ca="1" si="4"/>
        <v>0.87487507808171316</v>
      </c>
      <c r="C286" s="5" t="s">
        <v>23</v>
      </c>
    </row>
    <row r="287" spans="1:3" x14ac:dyDescent="0.2">
      <c r="A287" s="5">
        <v>285</v>
      </c>
      <c r="B287" s="5">
        <f t="shared" ca="1" si="4"/>
        <v>0.40922787545838646</v>
      </c>
      <c r="C287" s="5" t="s">
        <v>24</v>
      </c>
    </row>
    <row r="288" spans="1:3" x14ac:dyDescent="0.2">
      <c r="A288" s="5">
        <v>286</v>
      </c>
      <c r="B288" s="5">
        <f t="shared" ca="1" si="4"/>
        <v>0.78247325682512336</v>
      </c>
      <c r="C288" s="5" t="s">
        <v>23</v>
      </c>
    </row>
    <row r="289" spans="1:3" x14ac:dyDescent="0.2">
      <c r="A289" s="5">
        <v>287</v>
      </c>
      <c r="B289" s="5">
        <f t="shared" ca="1" si="4"/>
        <v>0.70102055067163094</v>
      </c>
      <c r="C289" s="5" t="s">
        <v>23</v>
      </c>
    </row>
    <row r="290" spans="1:3" x14ac:dyDescent="0.2">
      <c r="A290" s="5">
        <v>288</v>
      </c>
      <c r="B290" s="5">
        <f t="shared" ca="1" si="4"/>
        <v>0.65816361382624744</v>
      </c>
      <c r="C290" s="5" t="s">
        <v>23</v>
      </c>
    </row>
    <row r="291" spans="1:3" x14ac:dyDescent="0.2">
      <c r="A291" s="5">
        <v>289</v>
      </c>
      <c r="B291" s="5">
        <f t="shared" ca="1" si="4"/>
        <v>0.7624200773034473</v>
      </c>
      <c r="C291" s="5" t="s">
        <v>23</v>
      </c>
    </row>
    <row r="292" spans="1:3" x14ac:dyDescent="0.2">
      <c r="A292" s="5">
        <v>290</v>
      </c>
      <c r="B292" s="5">
        <f t="shared" ca="1" si="4"/>
        <v>0.63319838042138654</v>
      </c>
      <c r="C292" s="5" t="s">
        <v>24</v>
      </c>
    </row>
    <row r="293" spans="1:3" x14ac:dyDescent="0.2">
      <c r="A293" s="5">
        <v>291</v>
      </c>
      <c r="B293" s="5">
        <f t="shared" ca="1" si="4"/>
        <v>0.78267269051021127</v>
      </c>
      <c r="C293" s="5" t="s">
        <v>23</v>
      </c>
    </row>
    <row r="294" spans="1:3" x14ac:dyDescent="0.2">
      <c r="A294" s="5">
        <v>292</v>
      </c>
      <c r="B294" s="5">
        <f t="shared" ca="1" si="4"/>
        <v>0.60845584363175542</v>
      </c>
      <c r="C294" s="5" t="s">
        <v>24</v>
      </c>
    </row>
    <row r="295" spans="1:3" x14ac:dyDescent="0.2">
      <c r="A295" s="5">
        <v>293</v>
      </c>
      <c r="B295" s="5">
        <f t="shared" ca="1" si="4"/>
        <v>0.70004201415121636</v>
      </c>
      <c r="C295" s="5" t="s">
        <v>23</v>
      </c>
    </row>
    <row r="296" spans="1:3" x14ac:dyDescent="0.2">
      <c r="A296" s="5">
        <v>294</v>
      </c>
      <c r="B296" s="5">
        <f t="shared" ca="1" si="4"/>
        <v>0.56807793002403828</v>
      </c>
      <c r="C296" s="5" t="s">
        <v>24</v>
      </c>
    </row>
    <row r="297" spans="1:3" x14ac:dyDescent="0.2">
      <c r="A297" s="5">
        <v>295</v>
      </c>
      <c r="B297" s="5">
        <f t="shared" ca="1" si="4"/>
        <v>0.72525860414597321</v>
      </c>
      <c r="C297" s="5" t="s">
        <v>24</v>
      </c>
    </row>
    <row r="298" spans="1:3" x14ac:dyDescent="0.2">
      <c r="A298" s="5">
        <v>296</v>
      </c>
      <c r="B298" s="5">
        <f t="shared" ca="1" si="4"/>
        <v>0.7297034208497849</v>
      </c>
      <c r="C298" s="5" t="s">
        <v>23</v>
      </c>
    </row>
    <row r="299" spans="1:3" x14ac:dyDescent="0.2">
      <c r="A299" s="5">
        <v>297</v>
      </c>
      <c r="B299" s="5">
        <f t="shared" ca="1" si="4"/>
        <v>0.71751790038201768</v>
      </c>
      <c r="C299" s="5" t="s">
        <v>23</v>
      </c>
    </row>
    <row r="300" spans="1:3" x14ac:dyDescent="0.2">
      <c r="A300" s="5">
        <v>298</v>
      </c>
      <c r="B300" s="5">
        <f t="shared" ca="1" si="4"/>
        <v>0.65958174033026384</v>
      </c>
      <c r="C300" s="5" t="s">
        <v>24</v>
      </c>
    </row>
    <row r="301" spans="1:3" x14ac:dyDescent="0.2">
      <c r="A301" s="5">
        <v>299</v>
      </c>
      <c r="B301" s="5">
        <f t="shared" ca="1" si="4"/>
        <v>0.50563893020699302</v>
      </c>
      <c r="C301" s="5" t="s">
        <v>23</v>
      </c>
    </row>
    <row r="302" spans="1:3" x14ac:dyDescent="0.2">
      <c r="A302" s="5">
        <v>300</v>
      </c>
      <c r="B302" s="5">
        <f t="shared" ca="1" si="4"/>
        <v>0.7697729078276806</v>
      </c>
      <c r="C302" s="5" t="s">
        <v>23</v>
      </c>
    </row>
    <row r="303" spans="1:3" x14ac:dyDescent="0.2">
      <c r="A303" s="5">
        <v>301</v>
      </c>
      <c r="B303" s="5">
        <f t="shared" ca="1" si="4"/>
        <v>0.4964421132198959</v>
      </c>
      <c r="C303" s="5" t="s">
        <v>23</v>
      </c>
    </row>
    <row r="304" spans="1:3" x14ac:dyDescent="0.2">
      <c r="A304" s="5">
        <v>302</v>
      </c>
      <c r="B304" s="5">
        <f t="shared" ca="1" si="4"/>
        <v>0.57541858053813522</v>
      </c>
      <c r="C304" s="5" t="s">
        <v>23</v>
      </c>
    </row>
    <row r="305" spans="1:3" x14ac:dyDescent="0.2">
      <c r="A305" s="5">
        <v>303</v>
      </c>
      <c r="B305" s="5">
        <f t="shared" ca="1" si="4"/>
        <v>0.70430381529371877</v>
      </c>
      <c r="C305" s="5" t="s">
        <v>23</v>
      </c>
    </row>
    <row r="306" spans="1:3" x14ac:dyDescent="0.2">
      <c r="A306" s="5">
        <v>304</v>
      </c>
      <c r="B306" s="5">
        <f t="shared" ca="1" si="4"/>
        <v>0.6826070761005083</v>
      </c>
      <c r="C306" s="5" t="s">
        <v>23</v>
      </c>
    </row>
    <row r="307" spans="1:3" x14ac:dyDescent="0.2">
      <c r="A307" s="5">
        <v>305</v>
      </c>
      <c r="B307" s="5">
        <f t="shared" ca="1" si="4"/>
        <v>0.43437056468713109</v>
      </c>
      <c r="C307" s="5" t="s">
        <v>24</v>
      </c>
    </row>
    <row r="308" spans="1:3" x14ac:dyDescent="0.2">
      <c r="A308" s="5">
        <v>306</v>
      </c>
      <c r="B308" s="5">
        <f t="shared" ca="1" si="4"/>
        <v>0.75377077147283367</v>
      </c>
      <c r="C308" s="5" t="s">
        <v>23</v>
      </c>
    </row>
    <row r="309" spans="1:3" x14ac:dyDescent="0.2">
      <c r="A309" s="5">
        <v>307</v>
      </c>
      <c r="B309" s="5">
        <f t="shared" ca="1" si="4"/>
        <v>0.72611595490120184</v>
      </c>
      <c r="C309" s="5" t="s">
        <v>24</v>
      </c>
    </row>
    <row r="310" spans="1:3" x14ac:dyDescent="0.2">
      <c r="A310" s="5">
        <v>308</v>
      </c>
      <c r="B310" s="5">
        <f t="shared" ca="1" si="4"/>
        <v>0.60398103404211601</v>
      </c>
      <c r="C310" s="5" t="s">
        <v>23</v>
      </c>
    </row>
    <row r="311" spans="1:3" x14ac:dyDescent="0.2">
      <c r="A311" s="5">
        <v>309</v>
      </c>
      <c r="B311" s="5">
        <f t="shared" ca="1" si="4"/>
        <v>0.60698957153712829</v>
      </c>
      <c r="C311" s="5" t="s">
        <v>23</v>
      </c>
    </row>
    <row r="312" spans="1:3" x14ac:dyDescent="0.2">
      <c r="A312" s="5">
        <v>310</v>
      </c>
      <c r="B312" s="5">
        <f t="shared" ca="1" si="4"/>
        <v>0.72886497306606712</v>
      </c>
      <c r="C312" s="5" t="s">
        <v>24</v>
      </c>
    </row>
    <row r="313" spans="1:3" x14ac:dyDescent="0.2">
      <c r="A313" s="5">
        <v>311</v>
      </c>
      <c r="B313" s="5">
        <f t="shared" ca="1" si="4"/>
        <v>0.66858321553873024</v>
      </c>
      <c r="C313" s="5" t="s">
        <v>23</v>
      </c>
    </row>
    <row r="314" spans="1:3" x14ac:dyDescent="0.2">
      <c r="A314" s="5">
        <v>312</v>
      </c>
      <c r="B314" s="5">
        <f t="shared" ca="1" si="4"/>
        <v>0.92266104217100731</v>
      </c>
      <c r="C314" s="5" t="s">
        <v>23</v>
      </c>
    </row>
    <row r="315" spans="1:3" x14ac:dyDescent="0.2">
      <c r="A315" s="5">
        <v>313</v>
      </c>
      <c r="B315" s="5">
        <f t="shared" ca="1" si="4"/>
        <v>0.62965492204431905</v>
      </c>
      <c r="C315" s="5" t="s">
        <v>24</v>
      </c>
    </row>
    <row r="316" spans="1:3" x14ac:dyDescent="0.2">
      <c r="A316" s="5">
        <v>314</v>
      </c>
      <c r="B316" s="5">
        <f t="shared" ca="1" si="4"/>
        <v>0.59250335460521242</v>
      </c>
      <c r="C316" s="5" t="s">
        <v>24</v>
      </c>
    </row>
    <row r="317" spans="1:3" x14ac:dyDescent="0.2">
      <c r="A317" s="5">
        <v>315</v>
      </c>
      <c r="B317" s="5">
        <f t="shared" ca="1" si="4"/>
        <v>0.6338860927039256</v>
      </c>
      <c r="C317" s="5" t="s">
        <v>23</v>
      </c>
    </row>
    <row r="318" spans="1:3" x14ac:dyDescent="0.2">
      <c r="A318" s="5">
        <v>316</v>
      </c>
      <c r="B318" s="5">
        <f t="shared" ca="1" si="4"/>
        <v>0.61262587842470317</v>
      </c>
      <c r="C318" s="5" t="s">
        <v>23</v>
      </c>
    </row>
    <row r="319" spans="1:3" x14ac:dyDescent="0.2">
      <c r="A319" s="5">
        <v>317</v>
      </c>
      <c r="B319" s="5">
        <f t="shared" ca="1" si="4"/>
        <v>0.7461166979755347</v>
      </c>
      <c r="C319" s="5" t="s">
        <v>24</v>
      </c>
    </row>
    <row r="320" spans="1:3" x14ac:dyDescent="0.2">
      <c r="A320" s="5">
        <v>318</v>
      </c>
      <c r="B320" s="5">
        <f t="shared" ca="1" si="4"/>
        <v>0.64649199797796919</v>
      </c>
      <c r="C320" s="5" t="s">
        <v>23</v>
      </c>
    </row>
    <row r="321" spans="1:3" x14ac:dyDescent="0.2">
      <c r="A321" s="5">
        <v>319</v>
      </c>
      <c r="B321" s="5">
        <f t="shared" ca="1" si="4"/>
        <v>0.58805805003581957</v>
      </c>
      <c r="C321" s="5" t="s">
        <v>24</v>
      </c>
    </row>
    <row r="322" spans="1:3" x14ac:dyDescent="0.2">
      <c r="A322" s="5">
        <v>320</v>
      </c>
      <c r="B322" s="5">
        <f t="shared" ca="1" si="4"/>
        <v>0.5810946388459165</v>
      </c>
      <c r="C322" s="5" t="s">
        <v>24</v>
      </c>
    </row>
    <row r="323" spans="1:3" x14ac:dyDescent="0.2">
      <c r="A323" s="5">
        <v>321</v>
      </c>
      <c r="B323" s="5">
        <f t="shared" ca="1" si="4"/>
        <v>0.6321600543817012</v>
      </c>
      <c r="C323" s="5" t="s">
        <v>23</v>
      </c>
    </row>
    <row r="324" spans="1:3" x14ac:dyDescent="0.2">
      <c r="A324" s="5">
        <v>322</v>
      </c>
      <c r="B324" s="5">
        <f t="shared" ref="B324:B387" ca="1" si="5">IF(C324="Bomb",_xlfn.NORM.INV(RAND(),0.7,0.1),_xlfn.NORM.INV(RAND(),0.6,0.15))</f>
        <v>0.65370095957500518</v>
      </c>
      <c r="C324" s="5" t="s">
        <v>23</v>
      </c>
    </row>
    <row r="325" spans="1:3" x14ac:dyDescent="0.2">
      <c r="A325" s="5">
        <v>323</v>
      </c>
      <c r="B325" s="5">
        <f t="shared" ca="1" si="5"/>
        <v>0.8170264417280958</v>
      </c>
      <c r="C325" s="5" t="s">
        <v>23</v>
      </c>
    </row>
    <row r="326" spans="1:3" x14ac:dyDescent="0.2">
      <c r="A326" s="5">
        <v>324</v>
      </c>
      <c r="B326" s="5">
        <f t="shared" ca="1" si="5"/>
        <v>0.72904407827518147</v>
      </c>
      <c r="C326" s="5" t="s">
        <v>24</v>
      </c>
    </row>
    <row r="327" spans="1:3" x14ac:dyDescent="0.2">
      <c r="A327" s="5">
        <v>325</v>
      </c>
      <c r="B327" s="5">
        <f t="shared" ca="1" si="5"/>
        <v>0.34670080582973717</v>
      </c>
      <c r="C327" s="5" t="s">
        <v>24</v>
      </c>
    </row>
    <row r="328" spans="1:3" x14ac:dyDescent="0.2">
      <c r="A328" s="5">
        <v>326</v>
      </c>
      <c r="B328" s="5">
        <f t="shared" ca="1" si="5"/>
        <v>0.79908343973658758</v>
      </c>
      <c r="C328" s="5" t="s">
        <v>23</v>
      </c>
    </row>
    <row r="329" spans="1:3" x14ac:dyDescent="0.2">
      <c r="A329" s="5">
        <v>327</v>
      </c>
      <c r="B329" s="5">
        <f t="shared" ca="1" si="5"/>
        <v>0.65670903919267432</v>
      </c>
      <c r="C329" s="5" t="s">
        <v>24</v>
      </c>
    </row>
    <row r="330" spans="1:3" x14ac:dyDescent="0.2">
      <c r="A330" s="5">
        <v>328</v>
      </c>
      <c r="B330" s="5">
        <f t="shared" ca="1" si="5"/>
        <v>0.31626954986743155</v>
      </c>
      <c r="C330" s="5" t="s">
        <v>24</v>
      </c>
    </row>
    <row r="331" spans="1:3" x14ac:dyDescent="0.2">
      <c r="A331" s="5">
        <v>329</v>
      </c>
      <c r="B331" s="5">
        <f t="shared" ca="1" si="5"/>
        <v>0.62807369208395525</v>
      </c>
      <c r="C331" s="5" t="s">
        <v>23</v>
      </c>
    </row>
    <row r="332" spans="1:3" x14ac:dyDescent="0.2">
      <c r="A332" s="5">
        <v>330</v>
      </c>
      <c r="B332" s="5">
        <f t="shared" ca="1" si="5"/>
        <v>0.24087972478481706</v>
      </c>
      <c r="C332" s="5" t="s">
        <v>24</v>
      </c>
    </row>
    <row r="333" spans="1:3" x14ac:dyDescent="0.2">
      <c r="A333" s="5">
        <v>331</v>
      </c>
      <c r="B333" s="5">
        <f t="shared" ca="1" si="5"/>
        <v>0.47062211422761691</v>
      </c>
      <c r="C333" s="5" t="s">
        <v>24</v>
      </c>
    </row>
    <row r="334" spans="1:3" x14ac:dyDescent="0.2">
      <c r="A334" s="5">
        <v>332</v>
      </c>
      <c r="B334" s="5">
        <f t="shared" ca="1" si="5"/>
        <v>0.70419499691064269</v>
      </c>
      <c r="C334" s="5" t="s">
        <v>23</v>
      </c>
    </row>
    <row r="335" spans="1:3" x14ac:dyDescent="0.2">
      <c r="A335" s="5">
        <v>333</v>
      </c>
      <c r="B335" s="5">
        <f t="shared" ca="1" si="5"/>
        <v>0.80851201955830898</v>
      </c>
      <c r="C335" s="5" t="s">
        <v>24</v>
      </c>
    </row>
    <row r="336" spans="1:3" x14ac:dyDescent="0.2">
      <c r="A336" s="5">
        <v>334</v>
      </c>
      <c r="B336" s="5">
        <f t="shared" ca="1" si="5"/>
        <v>0.81446522358347351</v>
      </c>
      <c r="C336" s="5" t="s">
        <v>24</v>
      </c>
    </row>
    <row r="337" spans="1:3" x14ac:dyDescent="0.2">
      <c r="A337" s="5">
        <v>335</v>
      </c>
      <c r="B337" s="5">
        <f t="shared" ca="1" si="5"/>
        <v>0.82009989726179433</v>
      </c>
      <c r="C337" s="5" t="s">
        <v>24</v>
      </c>
    </row>
    <row r="338" spans="1:3" x14ac:dyDescent="0.2">
      <c r="A338" s="5">
        <v>336</v>
      </c>
      <c r="B338" s="5">
        <f t="shared" ca="1" si="5"/>
        <v>0.84641365724009099</v>
      </c>
      <c r="C338" s="5" t="s">
        <v>23</v>
      </c>
    </row>
    <row r="339" spans="1:3" x14ac:dyDescent="0.2">
      <c r="A339" s="5">
        <v>337</v>
      </c>
      <c r="B339" s="5">
        <f t="shared" ca="1" si="5"/>
        <v>0.66087915703880562</v>
      </c>
      <c r="C339" s="5" t="s">
        <v>23</v>
      </c>
    </row>
    <row r="340" spans="1:3" x14ac:dyDescent="0.2">
      <c r="A340" s="5">
        <v>338</v>
      </c>
      <c r="B340" s="5">
        <f t="shared" ca="1" si="5"/>
        <v>0.73408023218262786</v>
      </c>
      <c r="C340" s="5" t="s">
        <v>23</v>
      </c>
    </row>
    <row r="341" spans="1:3" x14ac:dyDescent="0.2">
      <c r="A341" s="5">
        <v>339</v>
      </c>
      <c r="B341" s="5">
        <f t="shared" ca="1" si="5"/>
        <v>0.59510685836846799</v>
      </c>
      <c r="C341" s="5" t="s">
        <v>24</v>
      </c>
    </row>
    <row r="342" spans="1:3" x14ac:dyDescent="0.2">
      <c r="A342" s="5">
        <v>340</v>
      </c>
      <c r="B342" s="5">
        <f t="shared" ca="1" si="5"/>
        <v>0.70890618688271689</v>
      </c>
      <c r="C342" s="5" t="s">
        <v>24</v>
      </c>
    </row>
    <row r="343" spans="1:3" x14ac:dyDescent="0.2">
      <c r="A343" s="5">
        <v>341</v>
      </c>
      <c r="B343" s="5">
        <f t="shared" ca="1" si="5"/>
        <v>0.24318092952637466</v>
      </c>
      <c r="C343" s="5" t="s">
        <v>24</v>
      </c>
    </row>
    <row r="344" spans="1:3" x14ac:dyDescent="0.2">
      <c r="A344" s="5">
        <v>342</v>
      </c>
      <c r="B344" s="5">
        <f t="shared" ca="1" si="5"/>
        <v>0.61351475371458575</v>
      </c>
      <c r="C344" s="5" t="s">
        <v>24</v>
      </c>
    </row>
    <row r="345" spans="1:3" x14ac:dyDescent="0.2">
      <c r="A345" s="5">
        <v>343</v>
      </c>
      <c r="B345" s="5">
        <f t="shared" ca="1" si="5"/>
        <v>0.60978281640408383</v>
      </c>
      <c r="C345" s="5" t="s">
        <v>23</v>
      </c>
    </row>
    <row r="346" spans="1:3" x14ac:dyDescent="0.2">
      <c r="A346" s="5">
        <v>344</v>
      </c>
      <c r="B346" s="5">
        <f t="shared" ca="1" si="5"/>
        <v>0.68200606434658451</v>
      </c>
      <c r="C346" s="5" t="s">
        <v>23</v>
      </c>
    </row>
    <row r="347" spans="1:3" x14ac:dyDescent="0.2">
      <c r="A347" s="5">
        <v>345</v>
      </c>
      <c r="B347" s="5">
        <f t="shared" ca="1" si="5"/>
        <v>0.77069529702567785</v>
      </c>
      <c r="C347" s="5" t="s">
        <v>24</v>
      </c>
    </row>
    <row r="348" spans="1:3" x14ac:dyDescent="0.2">
      <c r="A348" s="5">
        <v>346</v>
      </c>
      <c r="B348" s="5">
        <f t="shared" ca="1" si="5"/>
        <v>0.61070047725625209</v>
      </c>
      <c r="C348" s="5" t="s">
        <v>23</v>
      </c>
    </row>
    <row r="349" spans="1:3" x14ac:dyDescent="0.2">
      <c r="A349" s="5">
        <v>347</v>
      </c>
      <c r="B349" s="5">
        <f t="shared" ca="1" si="5"/>
        <v>0.62037055137871466</v>
      </c>
      <c r="C349" s="5" t="s">
        <v>24</v>
      </c>
    </row>
    <row r="350" spans="1:3" x14ac:dyDescent="0.2">
      <c r="A350" s="5">
        <v>348</v>
      </c>
      <c r="B350" s="5">
        <f t="shared" ca="1" si="5"/>
        <v>0.60976720255552264</v>
      </c>
      <c r="C350" s="5" t="s">
        <v>23</v>
      </c>
    </row>
    <row r="351" spans="1:3" x14ac:dyDescent="0.2">
      <c r="A351" s="5">
        <v>349</v>
      </c>
      <c r="B351" s="5">
        <f t="shared" ca="1" si="5"/>
        <v>0.63975498604972425</v>
      </c>
      <c r="C351" s="5" t="s">
        <v>23</v>
      </c>
    </row>
    <row r="352" spans="1:3" x14ac:dyDescent="0.2">
      <c r="A352" s="5">
        <v>350</v>
      </c>
      <c r="B352" s="5">
        <f t="shared" ca="1" si="5"/>
        <v>0.36765229988197201</v>
      </c>
      <c r="C352" s="5" t="s">
        <v>24</v>
      </c>
    </row>
    <row r="353" spans="1:3" x14ac:dyDescent="0.2">
      <c r="A353" s="5">
        <v>351</v>
      </c>
      <c r="B353" s="5">
        <f t="shared" ca="1" si="5"/>
        <v>0.62333021395703581</v>
      </c>
      <c r="C353" s="5" t="s">
        <v>24</v>
      </c>
    </row>
    <row r="354" spans="1:3" x14ac:dyDescent="0.2">
      <c r="A354" s="5">
        <v>352</v>
      </c>
      <c r="B354" s="5">
        <f t="shared" ca="1" si="5"/>
        <v>0.66386751854775172</v>
      </c>
      <c r="C354" s="5" t="s">
        <v>24</v>
      </c>
    </row>
    <row r="355" spans="1:3" x14ac:dyDescent="0.2">
      <c r="A355" s="5">
        <v>353</v>
      </c>
      <c r="B355" s="5">
        <f t="shared" ca="1" si="5"/>
        <v>0.64029771012497183</v>
      </c>
      <c r="C355" s="5" t="s">
        <v>23</v>
      </c>
    </row>
    <row r="356" spans="1:3" x14ac:dyDescent="0.2">
      <c r="A356" s="5">
        <v>354</v>
      </c>
      <c r="B356" s="5">
        <f t="shared" ca="1" si="5"/>
        <v>0.79682382191092926</v>
      </c>
      <c r="C356" s="5" t="s">
        <v>23</v>
      </c>
    </row>
    <row r="357" spans="1:3" x14ac:dyDescent="0.2">
      <c r="A357" s="5">
        <v>355</v>
      </c>
      <c r="B357" s="5">
        <f t="shared" ca="1" si="5"/>
        <v>0.53914055713152731</v>
      </c>
      <c r="C357" s="5" t="s">
        <v>23</v>
      </c>
    </row>
    <row r="358" spans="1:3" x14ac:dyDescent="0.2">
      <c r="A358" s="5">
        <v>356</v>
      </c>
      <c r="B358" s="5">
        <f t="shared" ca="1" si="5"/>
        <v>0.57735716345883481</v>
      </c>
      <c r="C358" s="5" t="s">
        <v>23</v>
      </c>
    </row>
    <row r="359" spans="1:3" x14ac:dyDescent="0.2">
      <c r="A359" s="5">
        <v>357</v>
      </c>
      <c r="B359" s="5">
        <f t="shared" ca="1" si="5"/>
        <v>0.57565634141833488</v>
      </c>
      <c r="C359" s="5" t="s">
        <v>24</v>
      </c>
    </row>
    <row r="360" spans="1:3" x14ac:dyDescent="0.2">
      <c r="A360" s="5">
        <v>358</v>
      </c>
      <c r="B360" s="5">
        <f t="shared" ca="1" si="5"/>
        <v>0.55672016036006666</v>
      </c>
      <c r="C360" s="5" t="s">
        <v>23</v>
      </c>
    </row>
    <row r="361" spans="1:3" x14ac:dyDescent="0.2">
      <c r="A361" s="5">
        <v>359</v>
      </c>
      <c r="B361" s="5">
        <f t="shared" ca="1" si="5"/>
        <v>0.71199813584289051</v>
      </c>
      <c r="C361" s="5" t="s">
        <v>24</v>
      </c>
    </row>
    <row r="362" spans="1:3" x14ac:dyDescent="0.2">
      <c r="A362" s="5">
        <v>360</v>
      </c>
      <c r="B362" s="5">
        <f t="shared" ca="1" si="5"/>
        <v>0.56357568798183599</v>
      </c>
      <c r="C362" s="5" t="s">
        <v>24</v>
      </c>
    </row>
    <row r="363" spans="1:3" x14ac:dyDescent="0.2">
      <c r="A363" s="5">
        <v>361</v>
      </c>
      <c r="B363" s="5">
        <f t="shared" ca="1" si="5"/>
        <v>0.79130911624388856</v>
      </c>
      <c r="C363" s="5" t="s">
        <v>23</v>
      </c>
    </row>
    <row r="364" spans="1:3" x14ac:dyDescent="0.2">
      <c r="A364" s="5">
        <v>362</v>
      </c>
      <c r="B364" s="5">
        <f t="shared" ca="1" si="5"/>
        <v>0.54148323909846807</v>
      </c>
      <c r="C364" s="5" t="s">
        <v>23</v>
      </c>
    </row>
    <row r="365" spans="1:3" x14ac:dyDescent="0.2">
      <c r="A365" s="5">
        <v>363</v>
      </c>
      <c r="B365" s="5">
        <f t="shared" ca="1" si="5"/>
        <v>0.6158363557162474</v>
      </c>
      <c r="C365" s="5" t="s">
        <v>24</v>
      </c>
    </row>
    <row r="366" spans="1:3" x14ac:dyDescent="0.2">
      <c r="A366" s="5">
        <v>364</v>
      </c>
      <c r="B366" s="5">
        <f t="shared" ca="1" si="5"/>
        <v>0.66647627216347927</v>
      </c>
      <c r="C366" s="5" t="s">
        <v>23</v>
      </c>
    </row>
    <row r="367" spans="1:3" x14ac:dyDescent="0.2">
      <c r="A367" s="5">
        <v>365</v>
      </c>
      <c r="B367" s="5">
        <f t="shared" ca="1" si="5"/>
        <v>0.5315756883843431</v>
      </c>
      <c r="C367" s="5" t="s">
        <v>24</v>
      </c>
    </row>
    <row r="368" spans="1:3" x14ac:dyDescent="0.2">
      <c r="A368" s="5">
        <v>366</v>
      </c>
      <c r="B368" s="5">
        <f t="shared" ca="1" si="5"/>
        <v>0.83019667549012366</v>
      </c>
      <c r="C368" s="5" t="s">
        <v>24</v>
      </c>
    </row>
    <row r="369" spans="1:3" x14ac:dyDescent="0.2">
      <c r="A369" s="5">
        <v>367</v>
      </c>
      <c r="B369" s="5">
        <f t="shared" ca="1" si="5"/>
        <v>0.5433119466565175</v>
      </c>
      <c r="C369" s="5" t="s">
        <v>23</v>
      </c>
    </row>
    <row r="370" spans="1:3" x14ac:dyDescent="0.2">
      <c r="A370" s="5">
        <v>368</v>
      </c>
      <c r="B370" s="5">
        <f t="shared" ca="1" si="5"/>
        <v>0.55218213652990045</v>
      </c>
      <c r="C370" s="5" t="s">
        <v>23</v>
      </c>
    </row>
    <row r="371" spans="1:3" x14ac:dyDescent="0.2">
      <c r="A371" s="5">
        <v>369</v>
      </c>
      <c r="B371" s="5">
        <f t="shared" ca="1" si="5"/>
        <v>0.41938888898583665</v>
      </c>
      <c r="C371" s="5" t="s">
        <v>24</v>
      </c>
    </row>
    <row r="372" spans="1:3" x14ac:dyDescent="0.2">
      <c r="A372" s="5">
        <v>370</v>
      </c>
      <c r="B372" s="5">
        <f t="shared" ca="1" si="5"/>
        <v>0.76999646932283738</v>
      </c>
      <c r="C372" s="5" t="s">
        <v>23</v>
      </c>
    </row>
    <row r="373" spans="1:3" x14ac:dyDescent="0.2">
      <c r="A373" s="5">
        <v>371</v>
      </c>
      <c r="B373" s="5">
        <f t="shared" ca="1" si="5"/>
        <v>0.73771524998429738</v>
      </c>
      <c r="C373" s="5" t="s">
        <v>23</v>
      </c>
    </row>
    <row r="374" spans="1:3" x14ac:dyDescent="0.2">
      <c r="A374" s="5">
        <v>372</v>
      </c>
      <c r="B374" s="5">
        <f t="shared" ca="1" si="5"/>
        <v>0.62564516719903851</v>
      </c>
      <c r="C374" s="5" t="s">
        <v>24</v>
      </c>
    </row>
    <row r="375" spans="1:3" x14ac:dyDescent="0.2">
      <c r="A375" s="5">
        <v>373</v>
      </c>
      <c r="B375" s="5">
        <f t="shared" ca="1" si="5"/>
        <v>0.8623726496814299</v>
      </c>
      <c r="C375" s="5" t="s">
        <v>23</v>
      </c>
    </row>
    <row r="376" spans="1:3" x14ac:dyDescent="0.2">
      <c r="A376" s="5">
        <v>374</v>
      </c>
      <c r="B376" s="5">
        <f t="shared" ca="1" si="5"/>
        <v>0.68942829781208825</v>
      </c>
      <c r="C376" s="5" t="s">
        <v>23</v>
      </c>
    </row>
    <row r="377" spans="1:3" x14ac:dyDescent="0.2">
      <c r="A377" s="5">
        <v>375</v>
      </c>
      <c r="B377" s="5">
        <f t="shared" ca="1" si="5"/>
        <v>0.68332447568892007</v>
      </c>
      <c r="C377" s="5" t="s">
        <v>24</v>
      </c>
    </row>
    <row r="378" spans="1:3" x14ac:dyDescent="0.2">
      <c r="A378" s="5">
        <v>376</v>
      </c>
      <c r="B378" s="5">
        <f t="shared" ca="1" si="5"/>
        <v>0.7743049316885916</v>
      </c>
      <c r="C378" s="5" t="s">
        <v>23</v>
      </c>
    </row>
    <row r="379" spans="1:3" x14ac:dyDescent="0.2">
      <c r="A379" s="5">
        <v>377</v>
      </c>
      <c r="B379" s="5">
        <f t="shared" ca="1" si="5"/>
        <v>0.730984810593166</v>
      </c>
      <c r="C379" s="5" t="s">
        <v>23</v>
      </c>
    </row>
    <row r="380" spans="1:3" x14ac:dyDescent="0.2">
      <c r="A380" s="5">
        <v>378</v>
      </c>
      <c r="B380" s="5">
        <f t="shared" ca="1" si="5"/>
        <v>0.83082477523834541</v>
      </c>
      <c r="C380" s="5" t="s">
        <v>23</v>
      </c>
    </row>
    <row r="381" spans="1:3" x14ac:dyDescent="0.2">
      <c r="A381" s="5">
        <v>379</v>
      </c>
      <c r="B381" s="5">
        <f t="shared" ca="1" si="5"/>
        <v>0.76673558518431151</v>
      </c>
      <c r="C381" s="5" t="s">
        <v>23</v>
      </c>
    </row>
    <row r="382" spans="1:3" x14ac:dyDescent="0.2">
      <c r="A382" s="5">
        <v>380</v>
      </c>
      <c r="B382" s="5">
        <f t="shared" ca="1" si="5"/>
        <v>0.6613856364936801</v>
      </c>
      <c r="C382" s="5" t="s">
        <v>23</v>
      </c>
    </row>
    <row r="383" spans="1:3" x14ac:dyDescent="0.2">
      <c r="A383" s="5">
        <v>381</v>
      </c>
      <c r="B383" s="5">
        <f t="shared" ca="1" si="5"/>
        <v>0.71932494676211067</v>
      </c>
      <c r="C383" s="5" t="s">
        <v>23</v>
      </c>
    </row>
    <row r="384" spans="1:3" x14ac:dyDescent="0.2">
      <c r="A384" s="5">
        <v>382</v>
      </c>
      <c r="B384" s="5">
        <f t="shared" ca="1" si="5"/>
        <v>0.70562744114173981</v>
      </c>
      <c r="C384" s="5" t="s">
        <v>23</v>
      </c>
    </row>
    <row r="385" spans="1:3" x14ac:dyDescent="0.2">
      <c r="A385" s="5">
        <v>383</v>
      </c>
      <c r="B385" s="5">
        <f t="shared" ca="1" si="5"/>
        <v>0.35726602700486904</v>
      </c>
      <c r="C385" s="5" t="s">
        <v>24</v>
      </c>
    </row>
    <row r="386" spans="1:3" x14ac:dyDescent="0.2">
      <c r="A386" s="5">
        <v>384</v>
      </c>
      <c r="B386" s="5">
        <f t="shared" ca="1" si="5"/>
        <v>0.69416126464239802</v>
      </c>
      <c r="C386" s="5" t="s">
        <v>23</v>
      </c>
    </row>
    <row r="387" spans="1:3" x14ac:dyDescent="0.2">
      <c r="A387" s="5">
        <v>385</v>
      </c>
      <c r="B387" s="5">
        <f t="shared" ca="1" si="5"/>
        <v>0.46515717241850923</v>
      </c>
      <c r="C387" s="5" t="s">
        <v>24</v>
      </c>
    </row>
    <row r="388" spans="1:3" x14ac:dyDescent="0.2">
      <c r="A388" s="5">
        <v>386</v>
      </c>
      <c r="B388" s="5">
        <f t="shared" ref="B388:B451" ca="1" si="6">IF(C388="Bomb",_xlfn.NORM.INV(RAND(),0.7,0.1),_xlfn.NORM.INV(RAND(),0.6,0.15))</f>
        <v>0.55814445884675834</v>
      </c>
      <c r="C388" s="5" t="s">
        <v>24</v>
      </c>
    </row>
    <row r="389" spans="1:3" x14ac:dyDescent="0.2">
      <c r="A389" s="5">
        <v>387</v>
      </c>
      <c r="B389" s="5">
        <f t="shared" ca="1" si="6"/>
        <v>0.43308010502132488</v>
      </c>
      <c r="C389" s="5" t="s">
        <v>24</v>
      </c>
    </row>
    <row r="390" spans="1:3" x14ac:dyDescent="0.2">
      <c r="A390" s="5">
        <v>388</v>
      </c>
      <c r="B390" s="5">
        <f t="shared" ca="1" si="6"/>
        <v>0.89568645930490054</v>
      </c>
      <c r="C390" s="5" t="s">
        <v>24</v>
      </c>
    </row>
    <row r="391" spans="1:3" x14ac:dyDescent="0.2">
      <c r="A391" s="5">
        <v>389</v>
      </c>
      <c r="B391" s="5">
        <f t="shared" ca="1" si="6"/>
        <v>0.51327440074469499</v>
      </c>
      <c r="C391" s="5" t="s">
        <v>24</v>
      </c>
    </row>
    <row r="392" spans="1:3" x14ac:dyDescent="0.2">
      <c r="A392" s="5">
        <v>390</v>
      </c>
      <c r="B392" s="5">
        <f t="shared" ca="1" si="6"/>
        <v>0.61699473548177663</v>
      </c>
      <c r="C392" s="5" t="s">
        <v>23</v>
      </c>
    </row>
    <row r="393" spans="1:3" x14ac:dyDescent="0.2">
      <c r="A393" s="5">
        <v>391</v>
      </c>
      <c r="B393" s="5">
        <f t="shared" ca="1" si="6"/>
        <v>0.76281219885785045</v>
      </c>
      <c r="C393" s="5" t="s">
        <v>23</v>
      </c>
    </row>
    <row r="394" spans="1:3" x14ac:dyDescent="0.2">
      <c r="A394" s="5">
        <v>392</v>
      </c>
      <c r="B394" s="5">
        <f t="shared" ca="1" si="6"/>
        <v>0.5351614263199479</v>
      </c>
      <c r="C394" s="5" t="s">
        <v>24</v>
      </c>
    </row>
    <row r="395" spans="1:3" x14ac:dyDescent="0.2">
      <c r="A395" s="5">
        <v>393</v>
      </c>
      <c r="B395" s="5">
        <f t="shared" ca="1" si="6"/>
        <v>0.46651690590351724</v>
      </c>
      <c r="C395" s="5" t="s">
        <v>24</v>
      </c>
    </row>
    <row r="396" spans="1:3" x14ac:dyDescent="0.2">
      <c r="A396" s="5">
        <v>394</v>
      </c>
      <c r="B396" s="5">
        <f t="shared" ca="1" si="6"/>
        <v>0.895050901350949</v>
      </c>
      <c r="C396" s="5" t="s">
        <v>24</v>
      </c>
    </row>
    <row r="397" spans="1:3" x14ac:dyDescent="0.2">
      <c r="A397" s="5">
        <v>395</v>
      </c>
      <c r="B397" s="5">
        <f t="shared" ca="1" si="6"/>
        <v>0.58715061050017558</v>
      </c>
      <c r="C397" s="5" t="s">
        <v>23</v>
      </c>
    </row>
    <row r="398" spans="1:3" x14ac:dyDescent="0.2">
      <c r="A398" s="5">
        <v>396</v>
      </c>
      <c r="B398" s="5">
        <f t="shared" ca="1" si="6"/>
        <v>0.6397178631854924</v>
      </c>
      <c r="C398" s="5" t="s">
        <v>23</v>
      </c>
    </row>
    <row r="399" spans="1:3" x14ac:dyDescent="0.2">
      <c r="A399" s="5">
        <v>397</v>
      </c>
      <c r="B399" s="5">
        <f t="shared" ca="1" si="6"/>
        <v>0.54738218125340432</v>
      </c>
      <c r="C399" s="5" t="s">
        <v>24</v>
      </c>
    </row>
    <row r="400" spans="1:3" x14ac:dyDescent="0.2">
      <c r="A400" s="5">
        <v>398</v>
      </c>
      <c r="B400" s="5">
        <f t="shared" ca="1" si="6"/>
        <v>0.79870628549165512</v>
      </c>
      <c r="C400" s="5" t="s">
        <v>23</v>
      </c>
    </row>
    <row r="401" spans="1:3" x14ac:dyDescent="0.2">
      <c r="A401" s="5">
        <v>399</v>
      </c>
      <c r="B401" s="5">
        <f t="shared" ca="1" si="6"/>
        <v>0.72098188647595607</v>
      </c>
      <c r="C401" s="5" t="s">
        <v>24</v>
      </c>
    </row>
    <row r="402" spans="1:3" x14ac:dyDescent="0.2">
      <c r="A402" s="5">
        <v>400</v>
      </c>
      <c r="B402" s="5">
        <f t="shared" ca="1" si="6"/>
        <v>0.677759348762077</v>
      </c>
      <c r="C402" s="5" t="s">
        <v>23</v>
      </c>
    </row>
    <row r="403" spans="1:3" x14ac:dyDescent="0.2">
      <c r="A403" s="5">
        <v>401</v>
      </c>
      <c r="B403" s="5">
        <f t="shared" ca="1" si="6"/>
        <v>0.71504742570126378</v>
      </c>
      <c r="C403" s="5" t="s">
        <v>24</v>
      </c>
    </row>
    <row r="404" spans="1:3" x14ac:dyDescent="0.2">
      <c r="A404" s="5">
        <v>402</v>
      </c>
      <c r="B404" s="5">
        <f t="shared" ca="1" si="6"/>
        <v>0.76333104233262894</v>
      </c>
      <c r="C404" s="5" t="s">
        <v>24</v>
      </c>
    </row>
    <row r="405" spans="1:3" x14ac:dyDescent="0.2">
      <c r="A405" s="5">
        <v>403</v>
      </c>
      <c r="B405" s="5">
        <f t="shared" ca="1" si="6"/>
        <v>0.7851619684139316</v>
      </c>
      <c r="C405" s="5" t="s">
        <v>24</v>
      </c>
    </row>
    <row r="406" spans="1:3" x14ac:dyDescent="0.2">
      <c r="A406" s="5">
        <v>404</v>
      </c>
      <c r="B406" s="5">
        <f t="shared" ca="1" si="6"/>
        <v>0.67245289973577371</v>
      </c>
      <c r="C406" s="5" t="s">
        <v>23</v>
      </c>
    </row>
    <row r="407" spans="1:3" x14ac:dyDescent="0.2">
      <c r="A407" s="5">
        <v>405</v>
      </c>
      <c r="B407" s="5">
        <f t="shared" ca="1" si="6"/>
        <v>0.85024558163698827</v>
      </c>
      <c r="C407" s="5" t="s">
        <v>23</v>
      </c>
    </row>
    <row r="408" spans="1:3" x14ac:dyDescent="0.2">
      <c r="A408" s="5">
        <v>406</v>
      </c>
      <c r="B408" s="5">
        <f t="shared" ca="1" si="6"/>
        <v>0.66212301498462245</v>
      </c>
      <c r="C408" s="5" t="s">
        <v>24</v>
      </c>
    </row>
    <row r="409" spans="1:3" x14ac:dyDescent="0.2">
      <c r="A409" s="5">
        <v>407</v>
      </c>
      <c r="B409" s="5">
        <f t="shared" ca="1" si="6"/>
        <v>0.52967393606093349</v>
      </c>
      <c r="C409" s="5" t="s">
        <v>24</v>
      </c>
    </row>
    <row r="410" spans="1:3" x14ac:dyDescent="0.2">
      <c r="A410" s="5">
        <v>408</v>
      </c>
      <c r="B410" s="5">
        <f t="shared" ca="1" si="6"/>
        <v>0.54061330883481984</v>
      </c>
      <c r="C410" s="5" t="s">
        <v>23</v>
      </c>
    </row>
    <row r="411" spans="1:3" x14ac:dyDescent="0.2">
      <c r="A411" s="5">
        <v>409</v>
      </c>
      <c r="B411" s="5">
        <f t="shared" ca="1" si="6"/>
        <v>0.78061632347858945</v>
      </c>
      <c r="C411" s="5" t="s">
        <v>23</v>
      </c>
    </row>
    <row r="412" spans="1:3" x14ac:dyDescent="0.2">
      <c r="A412" s="5">
        <v>410</v>
      </c>
      <c r="B412" s="5">
        <f t="shared" ca="1" si="6"/>
        <v>0.7121057417054375</v>
      </c>
      <c r="C412" s="5" t="s">
        <v>23</v>
      </c>
    </row>
    <row r="413" spans="1:3" x14ac:dyDescent="0.2">
      <c r="A413" s="5">
        <v>411</v>
      </c>
      <c r="B413" s="5">
        <f t="shared" ca="1" si="6"/>
        <v>0.7365290822945445</v>
      </c>
      <c r="C413" s="5" t="s">
        <v>24</v>
      </c>
    </row>
    <row r="414" spans="1:3" x14ac:dyDescent="0.2">
      <c r="A414" s="5">
        <v>412</v>
      </c>
      <c r="B414" s="5">
        <f t="shared" ca="1" si="6"/>
        <v>0.60415677512575205</v>
      </c>
      <c r="C414" s="5" t="s">
        <v>24</v>
      </c>
    </row>
    <row r="415" spans="1:3" x14ac:dyDescent="0.2">
      <c r="A415" s="5">
        <v>413</v>
      </c>
      <c r="B415" s="5">
        <f t="shared" ca="1" si="6"/>
        <v>0.61243614950150604</v>
      </c>
      <c r="C415" s="5" t="s">
        <v>23</v>
      </c>
    </row>
    <row r="416" spans="1:3" x14ac:dyDescent="0.2">
      <c r="A416" s="5">
        <v>414</v>
      </c>
      <c r="B416" s="5">
        <f t="shared" ca="1" si="6"/>
        <v>0.73326968560639427</v>
      </c>
      <c r="C416" s="5" t="s">
        <v>23</v>
      </c>
    </row>
    <row r="417" spans="1:3" x14ac:dyDescent="0.2">
      <c r="A417" s="5">
        <v>415</v>
      </c>
      <c r="B417" s="5">
        <f t="shared" ca="1" si="6"/>
        <v>0.61295197252973455</v>
      </c>
      <c r="C417" s="5" t="s">
        <v>24</v>
      </c>
    </row>
    <row r="418" spans="1:3" x14ac:dyDescent="0.2">
      <c r="A418" s="5">
        <v>416</v>
      </c>
      <c r="B418" s="5">
        <f t="shared" ca="1" si="6"/>
        <v>0.71017265359462467</v>
      </c>
      <c r="C418" s="5" t="s">
        <v>23</v>
      </c>
    </row>
    <row r="419" spans="1:3" x14ac:dyDescent="0.2">
      <c r="A419" s="5">
        <v>417</v>
      </c>
      <c r="B419" s="5">
        <f t="shared" ca="1" si="6"/>
        <v>0.88111557167442778</v>
      </c>
      <c r="C419" s="5" t="s">
        <v>23</v>
      </c>
    </row>
    <row r="420" spans="1:3" x14ac:dyDescent="0.2">
      <c r="A420" s="5">
        <v>418</v>
      </c>
      <c r="B420" s="5">
        <f t="shared" ca="1" si="6"/>
        <v>0.51723347093315997</v>
      </c>
      <c r="C420" s="5" t="s">
        <v>24</v>
      </c>
    </row>
    <row r="421" spans="1:3" x14ac:dyDescent="0.2">
      <c r="A421" s="5">
        <v>419</v>
      </c>
      <c r="B421" s="5">
        <f t="shared" ca="1" si="6"/>
        <v>0.40699409969778966</v>
      </c>
      <c r="C421" s="5" t="s">
        <v>24</v>
      </c>
    </row>
    <row r="422" spans="1:3" x14ac:dyDescent="0.2">
      <c r="A422" s="5">
        <v>420</v>
      </c>
      <c r="B422" s="5">
        <f t="shared" ca="1" si="6"/>
        <v>0.61670451909338031</v>
      </c>
      <c r="C422" s="5" t="s">
        <v>23</v>
      </c>
    </row>
    <row r="423" spans="1:3" x14ac:dyDescent="0.2">
      <c r="A423" s="5">
        <v>421</v>
      </c>
      <c r="B423" s="5">
        <f t="shared" ca="1" si="6"/>
        <v>0.77510430781818085</v>
      </c>
      <c r="C423" s="5" t="s">
        <v>23</v>
      </c>
    </row>
    <row r="424" spans="1:3" x14ac:dyDescent="0.2">
      <c r="A424" s="5">
        <v>422</v>
      </c>
      <c r="B424" s="5">
        <f t="shared" ca="1" si="6"/>
        <v>0.62527435796363107</v>
      </c>
      <c r="C424" s="5" t="s">
        <v>24</v>
      </c>
    </row>
    <row r="425" spans="1:3" x14ac:dyDescent="0.2">
      <c r="A425" s="5">
        <v>423</v>
      </c>
      <c r="B425" s="5">
        <f t="shared" ca="1" si="6"/>
        <v>0.4751392660284901</v>
      </c>
      <c r="C425" s="5" t="s">
        <v>24</v>
      </c>
    </row>
    <row r="426" spans="1:3" x14ac:dyDescent="0.2">
      <c r="A426" s="5">
        <v>424</v>
      </c>
      <c r="B426" s="5">
        <f t="shared" ca="1" si="6"/>
        <v>0.77319984747315662</v>
      </c>
      <c r="C426" s="5" t="s">
        <v>24</v>
      </c>
    </row>
    <row r="427" spans="1:3" x14ac:dyDescent="0.2">
      <c r="A427" s="5">
        <v>425</v>
      </c>
      <c r="B427" s="5">
        <f t="shared" ca="1" si="6"/>
        <v>0.68333716127272393</v>
      </c>
      <c r="C427" s="5" t="s">
        <v>23</v>
      </c>
    </row>
    <row r="428" spans="1:3" x14ac:dyDescent="0.2">
      <c r="A428" s="5">
        <v>426</v>
      </c>
      <c r="B428" s="5">
        <f t="shared" ca="1" si="6"/>
        <v>0.52984742620898972</v>
      </c>
      <c r="C428" s="5" t="s">
        <v>24</v>
      </c>
    </row>
    <row r="429" spans="1:3" x14ac:dyDescent="0.2">
      <c r="A429" s="5">
        <v>427</v>
      </c>
      <c r="B429" s="5">
        <f t="shared" ca="1" si="6"/>
        <v>0.99657961571045472</v>
      </c>
      <c r="C429" s="5" t="s">
        <v>23</v>
      </c>
    </row>
    <row r="430" spans="1:3" x14ac:dyDescent="0.2">
      <c r="A430" s="5">
        <v>428</v>
      </c>
      <c r="B430" s="5">
        <f t="shared" ca="1" si="6"/>
        <v>0.7228631647447129</v>
      </c>
      <c r="C430" s="5" t="s">
        <v>24</v>
      </c>
    </row>
    <row r="431" spans="1:3" x14ac:dyDescent="0.2">
      <c r="A431" s="5">
        <v>429</v>
      </c>
      <c r="B431" s="5">
        <f t="shared" ca="1" si="6"/>
        <v>0.83346932891957493</v>
      </c>
      <c r="C431" s="5" t="s">
        <v>24</v>
      </c>
    </row>
    <row r="432" spans="1:3" x14ac:dyDescent="0.2">
      <c r="A432" s="5">
        <v>430</v>
      </c>
      <c r="B432" s="5">
        <f t="shared" ca="1" si="6"/>
        <v>0.65146524780036896</v>
      </c>
      <c r="C432" s="5" t="s">
        <v>23</v>
      </c>
    </row>
    <row r="433" spans="1:3" x14ac:dyDescent="0.2">
      <c r="A433" s="5">
        <v>431</v>
      </c>
      <c r="B433" s="5">
        <f t="shared" ca="1" si="6"/>
        <v>0.72767776531591288</v>
      </c>
      <c r="C433" s="5" t="s">
        <v>23</v>
      </c>
    </row>
    <row r="434" spans="1:3" x14ac:dyDescent="0.2">
      <c r="A434" s="5">
        <v>432</v>
      </c>
      <c r="B434" s="5">
        <f t="shared" ca="1" si="6"/>
        <v>0.34997714755067416</v>
      </c>
      <c r="C434" s="5" t="s">
        <v>24</v>
      </c>
    </row>
    <row r="435" spans="1:3" x14ac:dyDescent="0.2">
      <c r="A435" s="5">
        <v>433</v>
      </c>
      <c r="B435" s="5">
        <f t="shared" ca="1" si="6"/>
        <v>0.66605445679615449</v>
      </c>
      <c r="C435" s="5" t="s">
        <v>23</v>
      </c>
    </row>
    <row r="436" spans="1:3" x14ac:dyDescent="0.2">
      <c r="A436" s="5">
        <v>434</v>
      </c>
      <c r="B436" s="5">
        <f t="shared" ca="1" si="6"/>
        <v>0.54617262879283723</v>
      </c>
      <c r="C436" s="5" t="s">
        <v>24</v>
      </c>
    </row>
    <row r="437" spans="1:3" x14ac:dyDescent="0.2">
      <c r="A437" s="5">
        <v>435</v>
      </c>
      <c r="B437" s="5">
        <f t="shared" ca="1" si="6"/>
        <v>0.7817702061636238</v>
      </c>
      <c r="C437" s="5" t="s">
        <v>23</v>
      </c>
    </row>
    <row r="438" spans="1:3" x14ac:dyDescent="0.2">
      <c r="A438" s="5">
        <v>436</v>
      </c>
      <c r="B438" s="5">
        <f t="shared" ca="1" si="6"/>
        <v>0.75803837210401981</v>
      </c>
      <c r="C438" s="5" t="s">
        <v>23</v>
      </c>
    </row>
    <row r="439" spans="1:3" x14ac:dyDescent="0.2">
      <c r="A439" s="5">
        <v>437</v>
      </c>
      <c r="B439" s="5">
        <f t="shared" ca="1" si="6"/>
        <v>0.34424271948592566</v>
      </c>
      <c r="C439" s="5" t="s">
        <v>24</v>
      </c>
    </row>
    <row r="440" spans="1:3" x14ac:dyDescent="0.2">
      <c r="A440" s="5">
        <v>438</v>
      </c>
      <c r="B440" s="5">
        <f t="shared" ca="1" si="6"/>
        <v>0.77175118492763595</v>
      </c>
      <c r="C440" s="5" t="s">
        <v>23</v>
      </c>
    </row>
    <row r="441" spans="1:3" x14ac:dyDescent="0.2">
      <c r="A441" s="5">
        <v>439</v>
      </c>
      <c r="B441" s="5">
        <f t="shared" ca="1" si="6"/>
        <v>0.62754689934906327</v>
      </c>
      <c r="C441" s="5" t="s">
        <v>23</v>
      </c>
    </row>
    <row r="442" spans="1:3" x14ac:dyDescent="0.2">
      <c r="A442" s="5">
        <v>440</v>
      </c>
      <c r="B442" s="5">
        <f t="shared" ca="1" si="6"/>
        <v>0.82821445056889931</v>
      </c>
      <c r="C442" s="5" t="s">
        <v>23</v>
      </c>
    </row>
    <row r="443" spans="1:3" x14ac:dyDescent="0.2">
      <c r="A443" s="5">
        <v>441</v>
      </c>
      <c r="B443" s="5">
        <f t="shared" ca="1" si="6"/>
        <v>0.58525243303578878</v>
      </c>
      <c r="C443" s="5" t="s">
        <v>23</v>
      </c>
    </row>
    <row r="444" spans="1:3" x14ac:dyDescent="0.2">
      <c r="A444" s="5">
        <v>442</v>
      </c>
      <c r="B444" s="5">
        <f t="shared" ca="1" si="6"/>
        <v>0.66921952960094289</v>
      </c>
      <c r="C444" s="5" t="s">
        <v>23</v>
      </c>
    </row>
    <row r="445" spans="1:3" x14ac:dyDescent="0.2">
      <c r="A445" s="5">
        <v>443</v>
      </c>
      <c r="B445" s="5">
        <f t="shared" ca="1" si="6"/>
        <v>0.87156410253337624</v>
      </c>
      <c r="C445" s="5" t="s">
        <v>23</v>
      </c>
    </row>
    <row r="446" spans="1:3" x14ac:dyDescent="0.2">
      <c r="A446" s="5">
        <v>444</v>
      </c>
      <c r="B446" s="5">
        <f t="shared" ca="1" si="6"/>
        <v>0.61241969151392539</v>
      </c>
      <c r="C446" s="5" t="s">
        <v>24</v>
      </c>
    </row>
    <row r="447" spans="1:3" x14ac:dyDescent="0.2">
      <c r="A447" s="5">
        <v>445</v>
      </c>
      <c r="B447" s="5">
        <f t="shared" ca="1" si="6"/>
        <v>0.27403746959183189</v>
      </c>
      <c r="C447" s="5" t="s">
        <v>24</v>
      </c>
    </row>
    <row r="448" spans="1:3" x14ac:dyDescent="0.2">
      <c r="A448" s="5">
        <v>446</v>
      </c>
      <c r="B448" s="5">
        <f t="shared" ca="1" si="6"/>
        <v>0.69988180610204409</v>
      </c>
      <c r="C448" s="5" t="s">
        <v>23</v>
      </c>
    </row>
    <row r="449" spans="1:3" x14ac:dyDescent="0.2">
      <c r="A449" s="5">
        <v>447</v>
      </c>
      <c r="B449" s="5">
        <f t="shared" ca="1" si="6"/>
        <v>0.6187852620598342</v>
      </c>
      <c r="C449" s="5" t="s">
        <v>24</v>
      </c>
    </row>
    <row r="450" spans="1:3" x14ac:dyDescent="0.2">
      <c r="A450" s="5">
        <v>448</v>
      </c>
      <c r="B450" s="5">
        <f t="shared" ca="1" si="6"/>
        <v>0.57825493509847681</v>
      </c>
      <c r="C450" s="5" t="s">
        <v>23</v>
      </c>
    </row>
    <row r="451" spans="1:3" x14ac:dyDescent="0.2">
      <c r="A451" s="5">
        <v>449</v>
      </c>
      <c r="B451" s="5">
        <f t="shared" ca="1" si="6"/>
        <v>0.65914797581865503</v>
      </c>
      <c r="C451" s="5" t="s">
        <v>23</v>
      </c>
    </row>
    <row r="452" spans="1:3" x14ac:dyDescent="0.2">
      <c r="A452" s="5">
        <v>450</v>
      </c>
      <c r="B452" s="5">
        <f t="shared" ref="B452:B515" ca="1" si="7">IF(C452="Bomb",_xlfn.NORM.INV(RAND(),0.7,0.1),_xlfn.NORM.INV(RAND(),0.6,0.15))</f>
        <v>0.73767748291239132</v>
      </c>
      <c r="C452" s="5" t="s">
        <v>24</v>
      </c>
    </row>
    <row r="453" spans="1:3" x14ac:dyDescent="0.2">
      <c r="A453" s="5">
        <v>451</v>
      </c>
      <c r="B453" s="5">
        <f t="shared" ca="1" si="7"/>
        <v>0.64434907428474109</v>
      </c>
      <c r="C453" s="5" t="s">
        <v>23</v>
      </c>
    </row>
    <row r="454" spans="1:3" x14ac:dyDescent="0.2">
      <c r="A454" s="5">
        <v>452</v>
      </c>
      <c r="B454" s="5">
        <f t="shared" ca="1" si="7"/>
        <v>0.78122921310650684</v>
      </c>
      <c r="C454" s="5" t="s">
        <v>23</v>
      </c>
    </row>
    <row r="455" spans="1:3" x14ac:dyDescent="0.2">
      <c r="A455" s="5">
        <v>453</v>
      </c>
      <c r="B455" s="5">
        <f t="shared" ca="1" si="7"/>
        <v>0.43825563175736437</v>
      </c>
      <c r="C455" s="5" t="s">
        <v>24</v>
      </c>
    </row>
    <row r="456" spans="1:3" x14ac:dyDescent="0.2">
      <c r="A456" s="5">
        <v>454</v>
      </c>
      <c r="B456" s="5">
        <f t="shared" ca="1" si="7"/>
        <v>0.61662026736570696</v>
      </c>
      <c r="C456" s="5" t="s">
        <v>23</v>
      </c>
    </row>
    <row r="457" spans="1:3" x14ac:dyDescent="0.2">
      <c r="A457" s="5">
        <v>455</v>
      </c>
      <c r="B457" s="5">
        <f t="shared" ca="1" si="7"/>
        <v>0.50131447479409408</v>
      </c>
      <c r="C457" s="5" t="s">
        <v>24</v>
      </c>
    </row>
    <row r="458" spans="1:3" x14ac:dyDescent="0.2">
      <c r="A458" s="5">
        <v>456</v>
      </c>
      <c r="B458" s="5">
        <f t="shared" ca="1" si="7"/>
        <v>0.52984912275232909</v>
      </c>
      <c r="C458" s="5" t="s">
        <v>24</v>
      </c>
    </row>
    <row r="459" spans="1:3" x14ac:dyDescent="0.2">
      <c r="A459" s="5">
        <v>457</v>
      </c>
      <c r="B459" s="5">
        <f t="shared" ca="1" si="7"/>
        <v>0.55969316727028984</v>
      </c>
      <c r="C459" s="5" t="s">
        <v>24</v>
      </c>
    </row>
    <row r="460" spans="1:3" x14ac:dyDescent="0.2">
      <c r="A460" s="5">
        <v>458</v>
      </c>
      <c r="B460" s="5">
        <f t="shared" ca="1" si="7"/>
        <v>0.57455289046227276</v>
      </c>
      <c r="C460" s="5" t="s">
        <v>24</v>
      </c>
    </row>
    <row r="461" spans="1:3" x14ac:dyDescent="0.2">
      <c r="A461" s="5">
        <v>459</v>
      </c>
      <c r="B461" s="5">
        <f t="shared" ca="1" si="7"/>
        <v>0.4156078877614216</v>
      </c>
      <c r="C461" s="5" t="s">
        <v>23</v>
      </c>
    </row>
    <row r="462" spans="1:3" x14ac:dyDescent="0.2">
      <c r="A462" s="5">
        <v>460</v>
      </c>
      <c r="B462" s="5">
        <f t="shared" ca="1" si="7"/>
        <v>0.73941776016400618</v>
      </c>
      <c r="C462" s="5" t="s">
        <v>23</v>
      </c>
    </row>
    <row r="463" spans="1:3" x14ac:dyDescent="0.2">
      <c r="A463" s="5">
        <v>461</v>
      </c>
      <c r="B463" s="5">
        <f t="shared" ca="1" si="7"/>
        <v>0.44057657793057037</v>
      </c>
      <c r="C463" s="5" t="s">
        <v>24</v>
      </c>
    </row>
    <row r="464" spans="1:3" x14ac:dyDescent="0.2">
      <c r="A464" s="5">
        <v>462</v>
      </c>
      <c r="B464" s="5">
        <f t="shared" ca="1" si="7"/>
        <v>0.59069673259411759</v>
      </c>
      <c r="C464" s="5" t="s">
        <v>23</v>
      </c>
    </row>
    <row r="465" spans="1:3" x14ac:dyDescent="0.2">
      <c r="A465" s="5">
        <v>463</v>
      </c>
      <c r="B465" s="5">
        <f t="shared" ca="1" si="7"/>
        <v>0.72944010944145521</v>
      </c>
      <c r="C465" s="5" t="s">
        <v>23</v>
      </c>
    </row>
    <row r="466" spans="1:3" x14ac:dyDescent="0.2">
      <c r="A466" s="5">
        <v>464</v>
      </c>
      <c r="B466" s="5">
        <f t="shared" ca="1" si="7"/>
        <v>0.57266268002820131</v>
      </c>
      <c r="C466" s="5" t="s">
        <v>23</v>
      </c>
    </row>
    <row r="467" spans="1:3" x14ac:dyDescent="0.2">
      <c r="A467" s="5">
        <v>465</v>
      </c>
      <c r="B467" s="5">
        <f t="shared" ca="1" si="7"/>
        <v>0.67284682256858463</v>
      </c>
      <c r="C467" s="5" t="s">
        <v>23</v>
      </c>
    </row>
    <row r="468" spans="1:3" x14ac:dyDescent="0.2">
      <c r="A468" s="5">
        <v>466</v>
      </c>
      <c r="B468" s="5">
        <f t="shared" ca="1" si="7"/>
        <v>0.87804038772155835</v>
      </c>
      <c r="C468" s="5" t="s">
        <v>24</v>
      </c>
    </row>
    <row r="469" spans="1:3" x14ac:dyDescent="0.2">
      <c r="A469" s="5">
        <v>467</v>
      </c>
      <c r="B469" s="5">
        <f t="shared" ca="1" si="7"/>
        <v>0.32247548674053222</v>
      </c>
      <c r="C469" s="5" t="s">
        <v>24</v>
      </c>
    </row>
    <row r="470" spans="1:3" x14ac:dyDescent="0.2">
      <c r="A470" s="5">
        <v>468</v>
      </c>
      <c r="B470" s="5">
        <f t="shared" ca="1" si="7"/>
        <v>0.73811725038813381</v>
      </c>
      <c r="C470" s="5" t="s">
        <v>24</v>
      </c>
    </row>
    <row r="471" spans="1:3" x14ac:dyDescent="0.2">
      <c r="A471" s="5">
        <v>469</v>
      </c>
      <c r="B471" s="5">
        <f t="shared" ca="1" si="7"/>
        <v>0.66149383856908361</v>
      </c>
      <c r="C471" s="5" t="s">
        <v>23</v>
      </c>
    </row>
    <row r="472" spans="1:3" x14ac:dyDescent="0.2">
      <c r="A472" s="5">
        <v>470</v>
      </c>
      <c r="B472" s="5">
        <f t="shared" ca="1" si="7"/>
        <v>0.67904034635059951</v>
      </c>
      <c r="C472" s="5" t="s">
        <v>24</v>
      </c>
    </row>
    <row r="473" spans="1:3" x14ac:dyDescent="0.2">
      <c r="A473" s="5">
        <v>471</v>
      </c>
      <c r="B473" s="5">
        <f t="shared" ca="1" si="7"/>
        <v>0.73352972849773923</v>
      </c>
      <c r="C473" s="5" t="s">
        <v>23</v>
      </c>
    </row>
    <row r="474" spans="1:3" x14ac:dyDescent="0.2">
      <c r="A474" s="5">
        <v>472</v>
      </c>
      <c r="B474" s="5">
        <f t="shared" ca="1" si="7"/>
        <v>0.85461381658001545</v>
      </c>
      <c r="C474" s="5" t="s">
        <v>23</v>
      </c>
    </row>
    <row r="475" spans="1:3" x14ac:dyDescent="0.2">
      <c r="A475" s="5">
        <v>473</v>
      </c>
      <c r="B475" s="5">
        <f t="shared" ca="1" si="7"/>
        <v>0.75245829494596039</v>
      </c>
      <c r="C475" s="5" t="s">
        <v>23</v>
      </c>
    </row>
    <row r="476" spans="1:3" x14ac:dyDescent="0.2">
      <c r="A476" s="5">
        <v>474</v>
      </c>
      <c r="B476" s="5">
        <f t="shared" ca="1" si="7"/>
        <v>0.58628262704338718</v>
      </c>
      <c r="C476" s="5" t="s">
        <v>24</v>
      </c>
    </row>
    <row r="477" spans="1:3" x14ac:dyDescent="0.2">
      <c r="A477" s="5">
        <v>475</v>
      </c>
      <c r="B477" s="5">
        <f t="shared" ca="1" si="7"/>
        <v>0.76399802799629313</v>
      </c>
      <c r="C477" s="5" t="s">
        <v>23</v>
      </c>
    </row>
    <row r="478" spans="1:3" x14ac:dyDescent="0.2">
      <c r="A478" s="5">
        <v>476</v>
      </c>
      <c r="B478" s="5">
        <f t="shared" ca="1" si="7"/>
        <v>0.71647080409842789</v>
      </c>
      <c r="C478" s="5" t="s">
        <v>23</v>
      </c>
    </row>
    <row r="479" spans="1:3" x14ac:dyDescent="0.2">
      <c r="A479" s="5">
        <v>477</v>
      </c>
      <c r="B479" s="5">
        <f t="shared" ca="1" si="7"/>
        <v>0.62136564874410494</v>
      </c>
      <c r="C479" s="5" t="s">
        <v>24</v>
      </c>
    </row>
    <row r="480" spans="1:3" x14ac:dyDescent="0.2">
      <c r="A480" s="5">
        <v>478</v>
      </c>
      <c r="B480" s="5">
        <f t="shared" ca="1" si="7"/>
        <v>0.43612261461921009</v>
      </c>
      <c r="C480" s="5" t="s">
        <v>24</v>
      </c>
    </row>
    <row r="481" spans="1:3" x14ac:dyDescent="0.2">
      <c r="A481" s="5">
        <v>479</v>
      </c>
      <c r="B481" s="5">
        <f t="shared" ca="1" si="7"/>
        <v>0.65053069520051643</v>
      </c>
      <c r="C481" s="5" t="s">
        <v>23</v>
      </c>
    </row>
    <row r="482" spans="1:3" x14ac:dyDescent="0.2">
      <c r="A482" s="5">
        <v>480</v>
      </c>
      <c r="B482" s="5">
        <f t="shared" ca="1" si="7"/>
        <v>0.72676005032237023</v>
      </c>
      <c r="C482" s="5" t="s">
        <v>23</v>
      </c>
    </row>
    <row r="483" spans="1:3" x14ac:dyDescent="0.2">
      <c r="A483" s="5">
        <v>481</v>
      </c>
      <c r="B483" s="5">
        <f t="shared" ca="1" si="7"/>
        <v>0.55424621710958244</v>
      </c>
      <c r="C483" s="5" t="s">
        <v>24</v>
      </c>
    </row>
    <row r="484" spans="1:3" x14ac:dyDescent="0.2">
      <c r="A484" s="5">
        <v>482</v>
      </c>
      <c r="B484" s="5">
        <f t="shared" ca="1" si="7"/>
        <v>0.72789033318882335</v>
      </c>
      <c r="C484" s="5" t="s">
        <v>24</v>
      </c>
    </row>
    <row r="485" spans="1:3" x14ac:dyDescent="0.2">
      <c r="A485" s="5">
        <v>483</v>
      </c>
      <c r="B485" s="5">
        <f t="shared" ca="1" si="7"/>
        <v>0.50348518483971905</v>
      </c>
      <c r="C485" s="5" t="s">
        <v>23</v>
      </c>
    </row>
    <row r="486" spans="1:3" x14ac:dyDescent="0.2">
      <c r="A486" s="5">
        <v>484</v>
      </c>
      <c r="B486" s="5">
        <f t="shared" ca="1" si="7"/>
        <v>0.67261567080558216</v>
      </c>
      <c r="C486" s="5" t="s">
        <v>23</v>
      </c>
    </row>
    <row r="487" spans="1:3" x14ac:dyDescent="0.2">
      <c r="A487" s="5">
        <v>485</v>
      </c>
      <c r="B487" s="5">
        <f t="shared" ca="1" si="7"/>
        <v>0.59888429173064939</v>
      </c>
      <c r="C487" s="5" t="s">
        <v>23</v>
      </c>
    </row>
    <row r="488" spans="1:3" x14ac:dyDescent="0.2">
      <c r="A488" s="5">
        <v>486</v>
      </c>
      <c r="B488" s="5">
        <f t="shared" ca="1" si="7"/>
        <v>0.58427026644473667</v>
      </c>
      <c r="C488" s="5" t="s">
        <v>24</v>
      </c>
    </row>
    <row r="489" spans="1:3" x14ac:dyDescent="0.2">
      <c r="A489" s="5">
        <v>487</v>
      </c>
      <c r="B489" s="5">
        <f t="shared" ca="1" si="7"/>
        <v>0.72169902345596204</v>
      </c>
      <c r="C489" s="5" t="s">
        <v>23</v>
      </c>
    </row>
    <row r="490" spans="1:3" x14ac:dyDescent="0.2">
      <c r="A490" s="5">
        <v>488</v>
      </c>
      <c r="B490" s="5">
        <f t="shared" ca="1" si="7"/>
        <v>0.6406295510662755</v>
      </c>
      <c r="C490" s="5" t="s">
        <v>24</v>
      </c>
    </row>
    <row r="491" spans="1:3" x14ac:dyDescent="0.2">
      <c r="A491" s="5">
        <v>489</v>
      </c>
      <c r="B491" s="5">
        <f t="shared" ca="1" si="7"/>
        <v>0.55609810742386967</v>
      </c>
      <c r="C491" s="5" t="s">
        <v>24</v>
      </c>
    </row>
    <row r="492" spans="1:3" x14ac:dyDescent="0.2">
      <c r="A492" s="5">
        <v>490</v>
      </c>
      <c r="B492" s="5">
        <f t="shared" ca="1" si="7"/>
        <v>0.6870067438928481</v>
      </c>
      <c r="C492" s="5" t="s">
        <v>23</v>
      </c>
    </row>
    <row r="493" spans="1:3" x14ac:dyDescent="0.2">
      <c r="A493" s="5">
        <v>491</v>
      </c>
      <c r="B493" s="5">
        <f t="shared" ca="1" si="7"/>
        <v>0.62550119553323957</v>
      </c>
      <c r="C493" s="5" t="s">
        <v>24</v>
      </c>
    </row>
    <row r="494" spans="1:3" x14ac:dyDescent="0.2">
      <c r="A494" s="5">
        <v>492</v>
      </c>
      <c r="B494" s="5">
        <f t="shared" ca="1" si="7"/>
        <v>0.61439179691092105</v>
      </c>
      <c r="C494" s="5" t="s">
        <v>23</v>
      </c>
    </row>
    <row r="495" spans="1:3" x14ac:dyDescent="0.2">
      <c r="A495" s="5">
        <v>493</v>
      </c>
      <c r="B495" s="5">
        <f t="shared" ca="1" si="7"/>
        <v>0.44158303350337691</v>
      </c>
      <c r="C495" s="5" t="s">
        <v>24</v>
      </c>
    </row>
    <row r="496" spans="1:3" x14ac:dyDescent="0.2">
      <c r="A496" s="5">
        <v>494</v>
      </c>
      <c r="B496" s="5">
        <f t="shared" ca="1" si="7"/>
        <v>0.29930574683535355</v>
      </c>
      <c r="C496" s="5" t="s">
        <v>24</v>
      </c>
    </row>
    <row r="497" spans="1:3" x14ac:dyDescent="0.2">
      <c r="A497" s="5">
        <v>495</v>
      </c>
      <c r="B497" s="5">
        <f t="shared" ca="1" si="7"/>
        <v>0.66387579210634429</v>
      </c>
      <c r="C497" s="5" t="s">
        <v>23</v>
      </c>
    </row>
    <row r="498" spans="1:3" x14ac:dyDescent="0.2">
      <c r="A498" s="5">
        <v>496</v>
      </c>
      <c r="B498" s="5">
        <f t="shared" ca="1" si="7"/>
        <v>0.58254080318180435</v>
      </c>
      <c r="C498" s="5" t="s">
        <v>23</v>
      </c>
    </row>
    <row r="499" spans="1:3" x14ac:dyDescent="0.2">
      <c r="A499" s="5">
        <v>497</v>
      </c>
      <c r="B499" s="5">
        <f t="shared" ca="1" si="7"/>
        <v>0.77023751029558085</v>
      </c>
      <c r="C499" s="5" t="s">
        <v>23</v>
      </c>
    </row>
    <row r="500" spans="1:3" x14ac:dyDescent="0.2">
      <c r="A500" s="5">
        <v>498</v>
      </c>
      <c r="B500" s="5">
        <f t="shared" ca="1" si="7"/>
        <v>0.50784498411119483</v>
      </c>
      <c r="C500" s="5" t="s">
        <v>24</v>
      </c>
    </row>
    <row r="501" spans="1:3" x14ac:dyDescent="0.2">
      <c r="A501" s="5">
        <v>499</v>
      </c>
      <c r="B501" s="5">
        <f t="shared" ca="1" si="7"/>
        <v>0.69615233718278435</v>
      </c>
      <c r="C501" s="5" t="s">
        <v>23</v>
      </c>
    </row>
    <row r="502" spans="1:3" x14ac:dyDescent="0.2">
      <c r="A502" s="5">
        <v>500</v>
      </c>
      <c r="B502" s="5">
        <f t="shared" ca="1" si="7"/>
        <v>0.63845398101598472</v>
      </c>
      <c r="C502" s="5" t="s">
        <v>23</v>
      </c>
    </row>
    <row r="503" spans="1:3" x14ac:dyDescent="0.2">
      <c r="A503" s="5">
        <v>501</v>
      </c>
      <c r="B503" s="5">
        <f t="shared" ca="1" si="7"/>
        <v>0.58796710112195427</v>
      </c>
      <c r="C503" s="5" t="s">
        <v>24</v>
      </c>
    </row>
    <row r="504" spans="1:3" x14ac:dyDescent="0.2">
      <c r="A504" s="5">
        <v>502</v>
      </c>
      <c r="B504" s="5">
        <f t="shared" ca="1" si="7"/>
        <v>0.77144871600644382</v>
      </c>
      <c r="C504" s="5" t="s">
        <v>24</v>
      </c>
    </row>
    <row r="505" spans="1:3" x14ac:dyDescent="0.2">
      <c r="A505" s="5">
        <v>503</v>
      </c>
      <c r="B505" s="5">
        <f t="shared" ca="1" si="7"/>
        <v>0.64335638549027419</v>
      </c>
      <c r="C505" s="5" t="s">
        <v>24</v>
      </c>
    </row>
    <row r="506" spans="1:3" x14ac:dyDescent="0.2">
      <c r="A506" s="5">
        <v>504</v>
      </c>
      <c r="B506" s="5">
        <f t="shared" ca="1" si="7"/>
        <v>0.59696398591329736</v>
      </c>
      <c r="C506" s="5" t="s">
        <v>24</v>
      </c>
    </row>
    <row r="507" spans="1:3" x14ac:dyDescent="0.2">
      <c r="A507" s="5">
        <v>505</v>
      </c>
      <c r="B507" s="5">
        <f t="shared" ca="1" si="7"/>
        <v>0.63818877336544255</v>
      </c>
      <c r="C507" s="5" t="s">
        <v>23</v>
      </c>
    </row>
    <row r="508" spans="1:3" x14ac:dyDescent="0.2">
      <c r="A508" s="5">
        <v>506</v>
      </c>
      <c r="B508" s="5">
        <f t="shared" ca="1" si="7"/>
        <v>0.67222573827267817</v>
      </c>
      <c r="C508" s="5" t="s">
        <v>23</v>
      </c>
    </row>
    <row r="509" spans="1:3" x14ac:dyDescent="0.2">
      <c r="A509" s="5">
        <v>507</v>
      </c>
      <c r="B509" s="5">
        <f t="shared" ca="1" si="7"/>
        <v>0.79122707343248289</v>
      </c>
      <c r="C509" s="5" t="s">
        <v>23</v>
      </c>
    </row>
    <row r="510" spans="1:3" x14ac:dyDescent="0.2">
      <c r="A510" s="5">
        <v>508</v>
      </c>
      <c r="B510" s="5">
        <f t="shared" ca="1" si="7"/>
        <v>0.68737195513271443</v>
      </c>
      <c r="C510" s="5" t="s">
        <v>24</v>
      </c>
    </row>
    <row r="511" spans="1:3" x14ac:dyDescent="0.2">
      <c r="A511" s="5">
        <v>509</v>
      </c>
      <c r="B511" s="5">
        <f t="shared" ca="1" si="7"/>
        <v>0.69006423117597793</v>
      </c>
      <c r="C511" s="5" t="s">
        <v>23</v>
      </c>
    </row>
    <row r="512" spans="1:3" x14ac:dyDescent="0.2">
      <c r="A512" s="5">
        <v>510</v>
      </c>
      <c r="B512" s="5">
        <f t="shared" ca="1" si="7"/>
        <v>0.68169563054315285</v>
      </c>
      <c r="C512" s="5" t="s">
        <v>23</v>
      </c>
    </row>
    <row r="513" spans="1:3" x14ac:dyDescent="0.2">
      <c r="A513" s="5">
        <v>511</v>
      </c>
      <c r="B513" s="5">
        <f t="shared" ca="1" si="7"/>
        <v>0.56764895313503261</v>
      </c>
      <c r="C513" s="5" t="s">
        <v>23</v>
      </c>
    </row>
    <row r="514" spans="1:3" x14ac:dyDescent="0.2">
      <c r="A514" s="5">
        <v>512</v>
      </c>
      <c r="B514" s="5">
        <f t="shared" ca="1" si="7"/>
        <v>0.73057061625909769</v>
      </c>
      <c r="C514" s="5" t="s">
        <v>23</v>
      </c>
    </row>
    <row r="515" spans="1:3" x14ac:dyDescent="0.2">
      <c r="A515" s="5">
        <v>513</v>
      </c>
      <c r="B515" s="5">
        <f t="shared" ca="1" si="7"/>
        <v>0.91964177840622641</v>
      </c>
      <c r="C515" s="5" t="s">
        <v>23</v>
      </c>
    </row>
    <row r="516" spans="1:3" x14ac:dyDescent="0.2">
      <c r="A516" s="5">
        <v>514</v>
      </c>
      <c r="B516" s="5">
        <f t="shared" ref="B516:B579" ca="1" si="8">IF(C516="Bomb",_xlfn.NORM.INV(RAND(),0.7,0.1),_xlfn.NORM.INV(RAND(),0.6,0.15))</f>
        <v>0.36981463941440323</v>
      </c>
      <c r="C516" s="5" t="s">
        <v>24</v>
      </c>
    </row>
    <row r="517" spans="1:3" x14ac:dyDescent="0.2">
      <c r="A517" s="5">
        <v>515</v>
      </c>
      <c r="B517" s="5">
        <f t="shared" ca="1" si="8"/>
        <v>0.80968717573105042</v>
      </c>
      <c r="C517" s="5" t="s">
        <v>23</v>
      </c>
    </row>
    <row r="518" spans="1:3" x14ac:dyDescent="0.2">
      <c r="A518" s="5">
        <v>516</v>
      </c>
      <c r="B518" s="5">
        <f t="shared" ca="1" si="8"/>
        <v>0.83213476107772044</v>
      </c>
      <c r="C518" s="5" t="s">
        <v>23</v>
      </c>
    </row>
    <row r="519" spans="1:3" x14ac:dyDescent="0.2">
      <c r="A519" s="5">
        <v>517</v>
      </c>
      <c r="B519" s="5">
        <f t="shared" ca="1" si="8"/>
        <v>0.75218137370608507</v>
      </c>
      <c r="C519" s="5" t="s">
        <v>23</v>
      </c>
    </row>
    <row r="520" spans="1:3" x14ac:dyDescent="0.2">
      <c r="A520" s="5">
        <v>518</v>
      </c>
      <c r="B520" s="5">
        <f t="shared" ca="1" si="8"/>
        <v>0.35479220859919142</v>
      </c>
      <c r="C520" s="5" t="s">
        <v>24</v>
      </c>
    </row>
    <row r="521" spans="1:3" x14ac:dyDescent="0.2">
      <c r="A521" s="5">
        <v>519</v>
      </c>
      <c r="B521" s="5">
        <f t="shared" ca="1" si="8"/>
        <v>0.56520844802096371</v>
      </c>
      <c r="C521" s="5" t="s">
        <v>23</v>
      </c>
    </row>
    <row r="522" spans="1:3" x14ac:dyDescent="0.2">
      <c r="A522" s="5">
        <v>520</v>
      </c>
      <c r="B522" s="5">
        <f t="shared" ca="1" si="8"/>
        <v>0.85288448579213361</v>
      </c>
      <c r="C522" s="5" t="s">
        <v>24</v>
      </c>
    </row>
    <row r="523" spans="1:3" x14ac:dyDescent="0.2">
      <c r="A523" s="5">
        <v>521</v>
      </c>
      <c r="B523" s="5">
        <f t="shared" ca="1" si="8"/>
        <v>0.39054916238522153</v>
      </c>
      <c r="C523" s="5" t="s">
        <v>24</v>
      </c>
    </row>
    <row r="524" spans="1:3" x14ac:dyDescent="0.2">
      <c r="A524" s="5">
        <v>522</v>
      </c>
      <c r="B524" s="5">
        <f t="shared" ca="1" si="8"/>
        <v>0.61020200279142567</v>
      </c>
      <c r="C524" s="5" t="s">
        <v>23</v>
      </c>
    </row>
    <row r="525" spans="1:3" x14ac:dyDescent="0.2">
      <c r="A525" s="5">
        <v>523</v>
      </c>
      <c r="B525" s="5">
        <f t="shared" ca="1" si="8"/>
        <v>0.74281841372772717</v>
      </c>
      <c r="C525" s="5" t="s">
        <v>23</v>
      </c>
    </row>
    <row r="526" spans="1:3" x14ac:dyDescent="0.2">
      <c r="A526" s="5">
        <v>524</v>
      </c>
      <c r="B526" s="5">
        <f t="shared" ca="1" si="8"/>
        <v>0.67442326400981112</v>
      </c>
      <c r="C526" s="5" t="s">
        <v>24</v>
      </c>
    </row>
    <row r="527" spans="1:3" x14ac:dyDescent="0.2">
      <c r="A527" s="5">
        <v>525</v>
      </c>
      <c r="B527" s="5">
        <f t="shared" ca="1" si="8"/>
        <v>0.6912159477419848</v>
      </c>
      <c r="C527" s="5" t="s">
        <v>23</v>
      </c>
    </row>
    <row r="528" spans="1:3" x14ac:dyDescent="0.2">
      <c r="A528" s="5">
        <v>526</v>
      </c>
      <c r="B528" s="5">
        <f t="shared" ca="1" si="8"/>
        <v>0.56746107672734947</v>
      </c>
      <c r="C528" s="5" t="s">
        <v>24</v>
      </c>
    </row>
    <row r="529" spans="1:3" x14ac:dyDescent="0.2">
      <c r="A529" s="5">
        <v>527</v>
      </c>
      <c r="B529" s="5">
        <f t="shared" ca="1" si="8"/>
        <v>0.61494030133027544</v>
      </c>
      <c r="C529" s="5" t="s">
        <v>24</v>
      </c>
    </row>
    <row r="530" spans="1:3" x14ac:dyDescent="0.2">
      <c r="A530" s="5">
        <v>528</v>
      </c>
      <c r="B530" s="5">
        <f t="shared" ca="1" si="8"/>
        <v>0.57244529070514494</v>
      </c>
      <c r="C530" s="5" t="s">
        <v>23</v>
      </c>
    </row>
    <row r="531" spans="1:3" x14ac:dyDescent="0.2">
      <c r="A531" s="5">
        <v>529</v>
      </c>
      <c r="B531" s="5">
        <f t="shared" ca="1" si="8"/>
        <v>0.88533084281060437</v>
      </c>
      <c r="C531" s="5" t="s">
        <v>23</v>
      </c>
    </row>
    <row r="532" spans="1:3" x14ac:dyDescent="0.2">
      <c r="A532" s="5">
        <v>530</v>
      </c>
      <c r="B532" s="5">
        <f t="shared" ca="1" si="8"/>
        <v>0.58048010807139694</v>
      </c>
      <c r="C532" s="5" t="s">
        <v>24</v>
      </c>
    </row>
    <row r="533" spans="1:3" x14ac:dyDescent="0.2">
      <c r="A533" s="5">
        <v>531</v>
      </c>
      <c r="B533" s="5">
        <f t="shared" ca="1" si="8"/>
        <v>0.71231025027964645</v>
      </c>
      <c r="C533" s="5" t="s">
        <v>23</v>
      </c>
    </row>
    <row r="534" spans="1:3" x14ac:dyDescent="0.2">
      <c r="A534" s="5">
        <v>532</v>
      </c>
      <c r="B534" s="5">
        <f t="shared" ca="1" si="8"/>
        <v>0.63753501812807756</v>
      </c>
      <c r="C534" s="5" t="s">
        <v>24</v>
      </c>
    </row>
    <row r="535" spans="1:3" x14ac:dyDescent="0.2">
      <c r="A535" s="5">
        <v>533</v>
      </c>
      <c r="B535" s="5">
        <f t="shared" ca="1" si="8"/>
        <v>0.64265295977738668</v>
      </c>
      <c r="C535" s="5" t="s">
        <v>24</v>
      </c>
    </row>
    <row r="536" spans="1:3" x14ac:dyDescent="0.2">
      <c r="A536" s="5">
        <v>534</v>
      </c>
      <c r="B536" s="5">
        <f t="shared" ca="1" si="8"/>
        <v>0.71956678304978672</v>
      </c>
      <c r="C536" s="5" t="s">
        <v>23</v>
      </c>
    </row>
    <row r="537" spans="1:3" x14ac:dyDescent="0.2">
      <c r="A537" s="5">
        <v>535</v>
      </c>
      <c r="B537" s="5">
        <f t="shared" ca="1" si="8"/>
        <v>0.70380620353342827</v>
      </c>
      <c r="C537" s="5" t="s">
        <v>24</v>
      </c>
    </row>
    <row r="538" spans="1:3" x14ac:dyDescent="0.2">
      <c r="A538" s="5">
        <v>536</v>
      </c>
      <c r="B538" s="5">
        <f t="shared" ca="1" si="8"/>
        <v>0.71111880881296519</v>
      </c>
      <c r="C538" s="5" t="s">
        <v>24</v>
      </c>
    </row>
    <row r="539" spans="1:3" x14ac:dyDescent="0.2">
      <c r="A539" s="5">
        <v>537</v>
      </c>
      <c r="B539" s="5">
        <f t="shared" ca="1" si="8"/>
        <v>0.91162860288563285</v>
      </c>
      <c r="C539" s="5" t="s">
        <v>24</v>
      </c>
    </row>
    <row r="540" spans="1:3" x14ac:dyDescent="0.2">
      <c r="A540" s="5">
        <v>538</v>
      </c>
      <c r="B540" s="5">
        <f t="shared" ca="1" si="8"/>
        <v>0.57639452657379553</v>
      </c>
      <c r="C540" s="5" t="s">
        <v>23</v>
      </c>
    </row>
    <row r="541" spans="1:3" x14ac:dyDescent="0.2">
      <c r="A541" s="5">
        <v>539</v>
      </c>
      <c r="B541" s="5">
        <f t="shared" ca="1" si="8"/>
        <v>0.53195051079418521</v>
      </c>
      <c r="C541" s="5" t="s">
        <v>24</v>
      </c>
    </row>
    <row r="542" spans="1:3" x14ac:dyDescent="0.2">
      <c r="A542" s="5">
        <v>540</v>
      </c>
      <c r="B542" s="5">
        <f t="shared" ca="1" si="8"/>
        <v>0.65735988243299825</v>
      </c>
      <c r="C542" s="5" t="s">
        <v>24</v>
      </c>
    </row>
    <row r="543" spans="1:3" x14ac:dyDescent="0.2">
      <c r="A543" s="5">
        <v>541</v>
      </c>
      <c r="B543" s="5">
        <f t="shared" ca="1" si="8"/>
        <v>0.71957789737373901</v>
      </c>
      <c r="C543" s="5" t="s">
        <v>24</v>
      </c>
    </row>
    <row r="544" spans="1:3" x14ac:dyDescent="0.2">
      <c r="A544" s="5">
        <v>542</v>
      </c>
      <c r="B544" s="5">
        <f t="shared" ca="1" si="8"/>
        <v>0.70318258804666833</v>
      </c>
      <c r="C544" s="5" t="s">
        <v>23</v>
      </c>
    </row>
    <row r="545" spans="1:3" x14ac:dyDescent="0.2">
      <c r="A545" s="5">
        <v>543</v>
      </c>
      <c r="B545" s="5">
        <f t="shared" ca="1" si="8"/>
        <v>0.71425527390717847</v>
      </c>
      <c r="C545" s="5" t="s">
        <v>23</v>
      </c>
    </row>
    <row r="546" spans="1:3" x14ac:dyDescent="0.2">
      <c r="A546" s="5">
        <v>544</v>
      </c>
      <c r="B546" s="5">
        <f t="shared" ca="1" si="8"/>
        <v>0.69990624126686807</v>
      </c>
      <c r="C546" s="5" t="s">
        <v>23</v>
      </c>
    </row>
    <row r="547" spans="1:3" x14ac:dyDescent="0.2">
      <c r="A547" s="5">
        <v>545</v>
      </c>
      <c r="B547" s="5">
        <f t="shared" ca="1" si="8"/>
        <v>0.73772529022561317</v>
      </c>
      <c r="C547" s="5" t="s">
        <v>24</v>
      </c>
    </row>
    <row r="548" spans="1:3" x14ac:dyDescent="0.2">
      <c r="A548" s="5">
        <v>546</v>
      </c>
      <c r="B548" s="5">
        <f t="shared" ca="1" si="8"/>
        <v>0.42930510270755073</v>
      </c>
      <c r="C548" s="5" t="s">
        <v>24</v>
      </c>
    </row>
    <row r="549" spans="1:3" x14ac:dyDescent="0.2">
      <c r="A549" s="5">
        <v>547</v>
      </c>
      <c r="B549" s="5">
        <f t="shared" ca="1" si="8"/>
        <v>0.68818751990181792</v>
      </c>
      <c r="C549" s="5" t="s">
        <v>23</v>
      </c>
    </row>
    <row r="550" spans="1:3" x14ac:dyDescent="0.2">
      <c r="A550" s="5">
        <v>548</v>
      </c>
      <c r="B550" s="5">
        <f t="shared" ca="1" si="8"/>
        <v>0.78864052095312542</v>
      </c>
      <c r="C550" s="5" t="s">
        <v>23</v>
      </c>
    </row>
    <row r="551" spans="1:3" x14ac:dyDescent="0.2">
      <c r="A551" s="5">
        <v>549</v>
      </c>
      <c r="B551" s="5">
        <f t="shared" ca="1" si="8"/>
        <v>0.58877896679597286</v>
      </c>
      <c r="C551" s="5" t="s">
        <v>24</v>
      </c>
    </row>
    <row r="552" spans="1:3" x14ac:dyDescent="0.2">
      <c r="A552" s="5">
        <v>550</v>
      </c>
      <c r="B552" s="5">
        <f t="shared" ca="1" si="8"/>
        <v>0.62188202510566293</v>
      </c>
      <c r="C552" s="5" t="s">
        <v>23</v>
      </c>
    </row>
    <row r="553" spans="1:3" x14ac:dyDescent="0.2">
      <c r="A553" s="5">
        <v>551</v>
      </c>
      <c r="B553" s="5">
        <f t="shared" ca="1" si="8"/>
        <v>0.47309981947153734</v>
      </c>
      <c r="C553" s="5" t="s">
        <v>24</v>
      </c>
    </row>
    <row r="554" spans="1:3" x14ac:dyDescent="0.2">
      <c r="A554" s="5">
        <v>552</v>
      </c>
      <c r="B554" s="5">
        <f t="shared" ca="1" si="8"/>
        <v>0.64390076980591915</v>
      </c>
      <c r="C554" s="5" t="s">
        <v>24</v>
      </c>
    </row>
    <row r="555" spans="1:3" x14ac:dyDescent="0.2">
      <c r="A555" s="5">
        <v>553</v>
      </c>
      <c r="B555" s="5">
        <f t="shared" ca="1" si="8"/>
        <v>0.77497764878010544</v>
      </c>
      <c r="C555" s="5" t="s">
        <v>24</v>
      </c>
    </row>
    <row r="556" spans="1:3" x14ac:dyDescent="0.2">
      <c r="A556" s="5">
        <v>554</v>
      </c>
      <c r="B556" s="5">
        <f t="shared" ca="1" si="8"/>
        <v>0.69795378896427396</v>
      </c>
      <c r="C556" s="5" t="s">
        <v>23</v>
      </c>
    </row>
    <row r="557" spans="1:3" x14ac:dyDescent="0.2">
      <c r="A557" s="5">
        <v>555</v>
      </c>
      <c r="B557" s="5">
        <f t="shared" ca="1" si="8"/>
        <v>0.710310197786442</v>
      </c>
      <c r="C557" s="5" t="s">
        <v>24</v>
      </c>
    </row>
    <row r="558" spans="1:3" x14ac:dyDescent="0.2">
      <c r="A558" s="5">
        <v>556</v>
      </c>
      <c r="B558" s="5">
        <f t="shared" ca="1" si="8"/>
        <v>0.89626613159263147</v>
      </c>
      <c r="C558" s="5" t="s">
        <v>23</v>
      </c>
    </row>
    <row r="559" spans="1:3" x14ac:dyDescent="0.2">
      <c r="A559" s="5">
        <v>557</v>
      </c>
      <c r="B559" s="5">
        <f t="shared" ca="1" si="8"/>
        <v>0.61384579391179916</v>
      </c>
      <c r="C559" s="5" t="s">
        <v>23</v>
      </c>
    </row>
    <row r="560" spans="1:3" x14ac:dyDescent="0.2">
      <c r="A560" s="5">
        <v>558</v>
      </c>
      <c r="B560" s="5">
        <f t="shared" ca="1" si="8"/>
        <v>0.59585607894057002</v>
      </c>
      <c r="C560" s="5" t="s">
        <v>24</v>
      </c>
    </row>
    <row r="561" spans="1:3" x14ac:dyDescent="0.2">
      <c r="A561" s="5">
        <v>559</v>
      </c>
      <c r="B561" s="5">
        <f t="shared" ca="1" si="8"/>
        <v>0.66789528358135242</v>
      </c>
      <c r="C561" s="5" t="s">
        <v>23</v>
      </c>
    </row>
    <row r="562" spans="1:3" x14ac:dyDescent="0.2">
      <c r="A562" s="5">
        <v>560</v>
      </c>
      <c r="B562" s="5">
        <f t="shared" ca="1" si="8"/>
        <v>0.604409143533577</v>
      </c>
      <c r="C562" s="5" t="s">
        <v>24</v>
      </c>
    </row>
    <row r="563" spans="1:3" x14ac:dyDescent="0.2">
      <c r="A563" s="5">
        <v>561</v>
      </c>
      <c r="B563" s="5">
        <f t="shared" ca="1" si="8"/>
        <v>0.60944534188967125</v>
      </c>
      <c r="C563" s="5" t="s">
        <v>24</v>
      </c>
    </row>
    <row r="564" spans="1:3" x14ac:dyDescent="0.2">
      <c r="A564" s="5">
        <v>562</v>
      </c>
      <c r="B564" s="5">
        <f t="shared" ca="1" si="8"/>
        <v>1.0786898176754773</v>
      </c>
      <c r="C564" s="5" t="s">
        <v>24</v>
      </c>
    </row>
    <row r="565" spans="1:3" x14ac:dyDescent="0.2">
      <c r="A565" s="5">
        <v>563</v>
      </c>
      <c r="B565" s="5">
        <f t="shared" ca="1" si="8"/>
        <v>0.58000711941445227</v>
      </c>
      <c r="C565" s="5" t="s">
        <v>24</v>
      </c>
    </row>
    <row r="566" spans="1:3" x14ac:dyDescent="0.2">
      <c r="A566" s="5">
        <v>564</v>
      </c>
      <c r="B566" s="5">
        <f t="shared" ca="1" si="8"/>
        <v>0.49429150200043237</v>
      </c>
      <c r="C566" s="5" t="s">
        <v>24</v>
      </c>
    </row>
    <row r="567" spans="1:3" x14ac:dyDescent="0.2">
      <c r="A567" s="5">
        <v>565</v>
      </c>
      <c r="B567" s="5">
        <f t="shared" ca="1" si="8"/>
        <v>0.74934375423712551</v>
      </c>
      <c r="C567" s="5" t="s">
        <v>24</v>
      </c>
    </row>
    <row r="568" spans="1:3" x14ac:dyDescent="0.2">
      <c r="A568" s="5">
        <v>566</v>
      </c>
      <c r="B568" s="5">
        <f t="shared" ca="1" si="8"/>
        <v>0.68488254767363665</v>
      </c>
      <c r="C568" s="5" t="s">
        <v>23</v>
      </c>
    </row>
    <row r="569" spans="1:3" x14ac:dyDescent="0.2">
      <c r="A569" s="5">
        <v>567</v>
      </c>
      <c r="B569" s="5">
        <f t="shared" ca="1" si="8"/>
        <v>0.63178195363102718</v>
      </c>
      <c r="C569" s="5" t="s">
        <v>23</v>
      </c>
    </row>
    <row r="570" spans="1:3" x14ac:dyDescent="0.2">
      <c r="A570" s="5">
        <v>568</v>
      </c>
      <c r="B570" s="5">
        <f t="shared" ca="1" si="8"/>
        <v>0.71192743301300887</v>
      </c>
      <c r="C570" s="5" t="s">
        <v>23</v>
      </c>
    </row>
    <row r="571" spans="1:3" x14ac:dyDescent="0.2">
      <c r="A571" s="5">
        <v>569</v>
      </c>
      <c r="B571" s="5">
        <f t="shared" ca="1" si="8"/>
        <v>0.59226180677380835</v>
      </c>
      <c r="C571" s="5" t="s">
        <v>24</v>
      </c>
    </row>
    <row r="572" spans="1:3" x14ac:dyDescent="0.2">
      <c r="A572" s="5">
        <v>570</v>
      </c>
      <c r="B572" s="5">
        <f t="shared" ca="1" si="8"/>
        <v>0.73745043521849973</v>
      </c>
      <c r="C572" s="5" t="s">
        <v>23</v>
      </c>
    </row>
    <row r="573" spans="1:3" x14ac:dyDescent="0.2">
      <c r="A573" s="5">
        <v>571</v>
      </c>
      <c r="B573" s="5">
        <f t="shared" ca="1" si="8"/>
        <v>0.55272258671770713</v>
      </c>
      <c r="C573" s="5" t="s">
        <v>24</v>
      </c>
    </row>
    <row r="574" spans="1:3" x14ac:dyDescent="0.2">
      <c r="A574" s="5">
        <v>572</v>
      </c>
      <c r="B574" s="5">
        <f t="shared" ca="1" si="8"/>
        <v>0.64019384496775433</v>
      </c>
      <c r="C574" s="5" t="s">
        <v>23</v>
      </c>
    </row>
    <row r="575" spans="1:3" x14ac:dyDescent="0.2">
      <c r="A575" s="5">
        <v>573</v>
      </c>
      <c r="B575" s="5">
        <f t="shared" ca="1" si="8"/>
        <v>0.69125788294364743</v>
      </c>
      <c r="C575" s="5" t="s">
        <v>23</v>
      </c>
    </row>
    <row r="576" spans="1:3" x14ac:dyDescent="0.2">
      <c r="A576" s="5">
        <v>574</v>
      </c>
      <c r="B576" s="5">
        <f t="shared" ca="1" si="8"/>
        <v>0.61743659851676425</v>
      </c>
      <c r="C576" s="5" t="s">
        <v>23</v>
      </c>
    </row>
    <row r="577" spans="1:3" x14ac:dyDescent="0.2">
      <c r="A577" s="5">
        <v>575</v>
      </c>
      <c r="B577" s="5">
        <f t="shared" ca="1" si="8"/>
        <v>0.35851845027924911</v>
      </c>
      <c r="C577" s="5" t="s">
        <v>24</v>
      </c>
    </row>
    <row r="578" spans="1:3" x14ac:dyDescent="0.2">
      <c r="A578" s="5">
        <v>576</v>
      </c>
      <c r="B578" s="5">
        <f t="shared" ca="1" si="8"/>
        <v>0.54358488038590025</v>
      </c>
      <c r="C578" s="5" t="s">
        <v>24</v>
      </c>
    </row>
    <row r="579" spans="1:3" x14ac:dyDescent="0.2">
      <c r="A579" s="5">
        <v>577</v>
      </c>
      <c r="B579" s="5">
        <f t="shared" ca="1" si="8"/>
        <v>0.63828435986003829</v>
      </c>
      <c r="C579" s="5" t="s">
        <v>24</v>
      </c>
    </row>
    <row r="580" spans="1:3" x14ac:dyDescent="0.2">
      <c r="A580" s="5">
        <v>578</v>
      </c>
      <c r="B580" s="5">
        <f t="shared" ref="B580:B643" ca="1" si="9">IF(C580="Bomb",_xlfn.NORM.INV(RAND(),0.7,0.1),_xlfn.NORM.INV(RAND(),0.6,0.15))</f>
        <v>0.68846581730913292</v>
      </c>
      <c r="C580" s="5" t="s">
        <v>23</v>
      </c>
    </row>
    <row r="581" spans="1:3" x14ac:dyDescent="0.2">
      <c r="A581" s="5">
        <v>579</v>
      </c>
      <c r="B581" s="5">
        <f t="shared" ca="1" si="9"/>
        <v>0.64732234719572357</v>
      </c>
      <c r="C581" s="5" t="s">
        <v>23</v>
      </c>
    </row>
    <row r="582" spans="1:3" x14ac:dyDescent="0.2">
      <c r="A582" s="5">
        <v>580</v>
      </c>
      <c r="B582" s="5">
        <f t="shared" ca="1" si="9"/>
        <v>0.54662392527813863</v>
      </c>
      <c r="C582" s="5" t="s">
        <v>23</v>
      </c>
    </row>
    <row r="583" spans="1:3" x14ac:dyDescent="0.2">
      <c r="A583" s="5">
        <v>581</v>
      </c>
      <c r="B583" s="5">
        <f t="shared" ca="1" si="9"/>
        <v>0.71614075745684069</v>
      </c>
      <c r="C583" s="5" t="s">
        <v>24</v>
      </c>
    </row>
    <row r="584" spans="1:3" x14ac:dyDescent="0.2">
      <c r="A584" s="5">
        <v>582</v>
      </c>
      <c r="B584" s="5">
        <f t="shared" ca="1" si="9"/>
        <v>0.62452848545600037</v>
      </c>
      <c r="C584" s="5" t="s">
        <v>23</v>
      </c>
    </row>
    <row r="585" spans="1:3" x14ac:dyDescent="0.2">
      <c r="A585" s="5">
        <v>583</v>
      </c>
      <c r="B585" s="5">
        <f t="shared" ca="1" si="9"/>
        <v>0.81268619315687829</v>
      </c>
      <c r="C585" s="5" t="s">
        <v>24</v>
      </c>
    </row>
    <row r="586" spans="1:3" x14ac:dyDescent="0.2">
      <c r="A586" s="5">
        <v>584</v>
      </c>
      <c r="B586" s="5">
        <f t="shared" ca="1" si="9"/>
        <v>0.71912254862610769</v>
      </c>
      <c r="C586" s="5" t="s">
        <v>23</v>
      </c>
    </row>
    <row r="587" spans="1:3" x14ac:dyDescent="0.2">
      <c r="A587" s="5">
        <v>585</v>
      </c>
      <c r="B587" s="5">
        <f t="shared" ca="1" si="9"/>
        <v>0.4697127706606794</v>
      </c>
      <c r="C587" s="5" t="s">
        <v>24</v>
      </c>
    </row>
    <row r="588" spans="1:3" x14ac:dyDescent="0.2">
      <c r="A588" s="5">
        <v>586</v>
      </c>
      <c r="B588" s="5">
        <f t="shared" ca="1" si="9"/>
        <v>0.66954081444482605</v>
      </c>
      <c r="C588" s="5" t="s">
        <v>24</v>
      </c>
    </row>
    <row r="589" spans="1:3" x14ac:dyDescent="0.2">
      <c r="A589" s="5">
        <v>587</v>
      </c>
      <c r="B589" s="5">
        <f t="shared" ca="1" si="9"/>
        <v>0.71861482323064962</v>
      </c>
      <c r="C589" s="5" t="s">
        <v>23</v>
      </c>
    </row>
    <row r="590" spans="1:3" x14ac:dyDescent="0.2">
      <c r="A590" s="5">
        <v>588</v>
      </c>
      <c r="B590" s="5">
        <f t="shared" ca="1" si="9"/>
        <v>0.43981780814679505</v>
      </c>
      <c r="C590" s="5" t="s">
        <v>24</v>
      </c>
    </row>
    <row r="591" spans="1:3" x14ac:dyDescent="0.2">
      <c r="A591" s="5">
        <v>589</v>
      </c>
      <c r="B591" s="5">
        <f t="shared" ca="1" si="9"/>
        <v>0.75682285316468367</v>
      </c>
      <c r="C591" s="5" t="s">
        <v>24</v>
      </c>
    </row>
    <row r="592" spans="1:3" x14ac:dyDescent="0.2">
      <c r="A592" s="5">
        <v>590</v>
      </c>
      <c r="B592" s="5">
        <f t="shared" ca="1" si="9"/>
        <v>0.5208701664291564</v>
      </c>
      <c r="C592" s="5" t="s">
        <v>23</v>
      </c>
    </row>
    <row r="593" spans="1:3" x14ac:dyDescent="0.2">
      <c r="A593" s="5">
        <v>591</v>
      </c>
      <c r="B593" s="5">
        <f t="shared" ca="1" si="9"/>
        <v>0.47950296530921327</v>
      </c>
      <c r="C593" s="5" t="s">
        <v>24</v>
      </c>
    </row>
    <row r="594" spans="1:3" x14ac:dyDescent="0.2">
      <c r="A594" s="5">
        <v>592</v>
      </c>
      <c r="B594" s="5">
        <f t="shared" ca="1" si="9"/>
        <v>1.001330819164854</v>
      </c>
      <c r="C594" s="5" t="s">
        <v>23</v>
      </c>
    </row>
    <row r="595" spans="1:3" x14ac:dyDescent="0.2">
      <c r="A595" s="5">
        <v>593</v>
      </c>
      <c r="B595" s="5">
        <f t="shared" ca="1" si="9"/>
        <v>0.65321655572105497</v>
      </c>
      <c r="C595" s="5" t="s">
        <v>24</v>
      </c>
    </row>
    <row r="596" spans="1:3" x14ac:dyDescent="0.2">
      <c r="A596" s="5">
        <v>594</v>
      </c>
      <c r="B596" s="5">
        <f t="shared" ca="1" si="9"/>
        <v>0.66787143427700746</v>
      </c>
      <c r="C596" s="5" t="s">
        <v>23</v>
      </c>
    </row>
    <row r="597" spans="1:3" x14ac:dyDescent="0.2">
      <c r="A597" s="5">
        <v>595</v>
      </c>
      <c r="B597" s="5">
        <f t="shared" ca="1" si="9"/>
        <v>0.73711282734280337</v>
      </c>
      <c r="C597" s="5" t="s">
        <v>23</v>
      </c>
    </row>
    <row r="598" spans="1:3" x14ac:dyDescent="0.2">
      <c r="A598" s="5">
        <v>596</v>
      </c>
      <c r="B598" s="5">
        <f t="shared" ca="1" si="9"/>
        <v>0.95278133225061512</v>
      </c>
      <c r="C598" s="5" t="s">
        <v>23</v>
      </c>
    </row>
    <row r="599" spans="1:3" x14ac:dyDescent="0.2">
      <c r="A599" s="5">
        <v>597</v>
      </c>
      <c r="B599" s="5">
        <f t="shared" ca="1" si="9"/>
        <v>0.60639094887451028</v>
      </c>
      <c r="C599" s="5" t="s">
        <v>23</v>
      </c>
    </row>
    <row r="600" spans="1:3" x14ac:dyDescent="0.2">
      <c r="A600" s="5">
        <v>598</v>
      </c>
      <c r="B600" s="5">
        <f t="shared" ca="1" si="9"/>
        <v>0.48125445628616592</v>
      </c>
      <c r="C600" s="5" t="s">
        <v>24</v>
      </c>
    </row>
    <row r="601" spans="1:3" x14ac:dyDescent="0.2">
      <c r="A601" s="5">
        <v>599</v>
      </c>
      <c r="B601" s="5">
        <f t="shared" ca="1" si="9"/>
        <v>0.70846657023671611</v>
      </c>
      <c r="C601" s="5" t="s">
        <v>23</v>
      </c>
    </row>
    <row r="602" spans="1:3" x14ac:dyDescent="0.2">
      <c r="A602" s="5">
        <v>600</v>
      </c>
      <c r="B602" s="5">
        <f t="shared" ca="1" si="9"/>
        <v>0.78967159589245994</v>
      </c>
      <c r="C602" s="5" t="s">
        <v>23</v>
      </c>
    </row>
    <row r="603" spans="1:3" x14ac:dyDescent="0.2">
      <c r="A603" s="5">
        <v>601</v>
      </c>
      <c r="B603" s="5">
        <f t="shared" ca="1" si="9"/>
        <v>0.42562448431452216</v>
      </c>
      <c r="C603" s="5" t="s">
        <v>24</v>
      </c>
    </row>
    <row r="604" spans="1:3" x14ac:dyDescent="0.2">
      <c r="A604" s="5">
        <v>602</v>
      </c>
      <c r="B604" s="5">
        <f t="shared" ca="1" si="9"/>
        <v>0.74453020807845582</v>
      </c>
      <c r="C604" s="5" t="s">
        <v>24</v>
      </c>
    </row>
    <row r="605" spans="1:3" x14ac:dyDescent="0.2">
      <c r="A605" s="5">
        <v>603</v>
      </c>
      <c r="B605" s="5">
        <f t="shared" ca="1" si="9"/>
        <v>0.45056496824677833</v>
      </c>
      <c r="C605" s="5" t="s">
        <v>24</v>
      </c>
    </row>
    <row r="606" spans="1:3" x14ac:dyDescent="0.2">
      <c r="A606" s="5">
        <v>604</v>
      </c>
      <c r="B606" s="5">
        <f t="shared" ca="1" si="9"/>
        <v>0.74721426492473508</v>
      </c>
      <c r="C606" s="5" t="s">
        <v>23</v>
      </c>
    </row>
    <row r="607" spans="1:3" x14ac:dyDescent="0.2">
      <c r="A607" s="5">
        <v>605</v>
      </c>
      <c r="B607" s="5">
        <f t="shared" ca="1" si="9"/>
        <v>0.6451398577421722</v>
      </c>
      <c r="C607" s="5" t="s">
        <v>24</v>
      </c>
    </row>
    <row r="608" spans="1:3" x14ac:dyDescent="0.2">
      <c r="A608" s="5">
        <v>606</v>
      </c>
      <c r="B608" s="5">
        <f t="shared" ca="1" si="9"/>
        <v>0.67010099656111333</v>
      </c>
      <c r="C608" s="5" t="s">
        <v>23</v>
      </c>
    </row>
    <row r="609" spans="1:3" x14ac:dyDescent="0.2">
      <c r="A609" s="5">
        <v>607</v>
      </c>
      <c r="B609" s="5">
        <f t="shared" ca="1" si="9"/>
        <v>0.64207692858729426</v>
      </c>
      <c r="C609" s="5" t="s">
        <v>24</v>
      </c>
    </row>
    <row r="610" spans="1:3" x14ac:dyDescent="0.2">
      <c r="A610" s="5">
        <v>608</v>
      </c>
      <c r="B610" s="5">
        <f t="shared" ca="1" si="9"/>
        <v>0.8117945188321285</v>
      </c>
      <c r="C610" s="5" t="s">
        <v>23</v>
      </c>
    </row>
    <row r="611" spans="1:3" x14ac:dyDescent="0.2">
      <c r="A611" s="5">
        <v>609</v>
      </c>
      <c r="B611" s="5">
        <f t="shared" ca="1" si="9"/>
        <v>0.57738356362652399</v>
      </c>
      <c r="C611" s="5" t="s">
        <v>24</v>
      </c>
    </row>
    <row r="612" spans="1:3" x14ac:dyDescent="0.2">
      <c r="A612" s="5">
        <v>610</v>
      </c>
      <c r="B612" s="5">
        <f t="shared" ca="1" si="9"/>
        <v>0.63286120811188462</v>
      </c>
      <c r="C612" s="5" t="s">
        <v>24</v>
      </c>
    </row>
    <row r="613" spans="1:3" x14ac:dyDescent="0.2">
      <c r="A613" s="5">
        <v>611</v>
      </c>
      <c r="B613" s="5">
        <f t="shared" ca="1" si="9"/>
        <v>0.54818811535485656</v>
      </c>
      <c r="C613" s="5" t="s">
        <v>23</v>
      </c>
    </row>
    <row r="614" spans="1:3" x14ac:dyDescent="0.2">
      <c r="A614" s="5">
        <v>612</v>
      </c>
      <c r="B614" s="5">
        <f t="shared" ca="1" si="9"/>
        <v>0.78565976663985682</v>
      </c>
      <c r="C614" s="5" t="s">
        <v>23</v>
      </c>
    </row>
    <row r="615" spans="1:3" x14ac:dyDescent="0.2">
      <c r="A615" s="5">
        <v>613</v>
      </c>
      <c r="B615" s="5">
        <f t="shared" ca="1" si="9"/>
        <v>0.65577520946457157</v>
      </c>
      <c r="C615" s="5" t="s">
        <v>24</v>
      </c>
    </row>
    <row r="616" spans="1:3" x14ac:dyDescent="0.2">
      <c r="A616" s="5">
        <v>614</v>
      </c>
      <c r="B616" s="5">
        <f t="shared" ca="1" si="9"/>
        <v>0.53048701841326062</v>
      </c>
      <c r="C616" s="5" t="s">
        <v>24</v>
      </c>
    </row>
    <row r="617" spans="1:3" x14ac:dyDescent="0.2">
      <c r="A617" s="5">
        <v>615</v>
      </c>
      <c r="B617" s="5">
        <f t="shared" ca="1" si="9"/>
        <v>0.9381469600956629</v>
      </c>
      <c r="C617" s="5" t="s">
        <v>24</v>
      </c>
    </row>
    <row r="618" spans="1:3" x14ac:dyDescent="0.2">
      <c r="A618" s="5">
        <v>616</v>
      </c>
      <c r="B618" s="5">
        <f t="shared" ca="1" si="9"/>
        <v>0.7033650905286416</v>
      </c>
      <c r="C618" s="5" t="s">
        <v>23</v>
      </c>
    </row>
    <row r="619" spans="1:3" x14ac:dyDescent="0.2">
      <c r="A619" s="5">
        <v>617</v>
      </c>
      <c r="B619" s="5">
        <f t="shared" ca="1" si="9"/>
        <v>0.78870389499960847</v>
      </c>
      <c r="C619" s="5" t="s">
        <v>23</v>
      </c>
    </row>
    <row r="620" spans="1:3" x14ac:dyDescent="0.2">
      <c r="A620" s="5">
        <v>618</v>
      </c>
      <c r="B620" s="5">
        <f t="shared" ca="1" si="9"/>
        <v>0.71841369041183767</v>
      </c>
      <c r="C620" s="5" t="s">
        <v>23</v>
      </c>
    </row>
    <row r="621" spans="1:3" x14ac:dyDescent="0.2">
      <c r="A621" s="5">
        <v>619</v>
      </c>
      <c r="B621" s="5">
        <f t="shared" ca="1" si="9"/>
        <v>0.73803788058974651</v>
      </c>
      <c r="C621" s="5" t="s">
        <v>24</v>
      </c>
    </row>
    <row r="622" spans="1:3" x14ac:dyDescent="0.2">
      <c r="A622" s="5">
        <v>620</v>
      </c>
      <c r="B622" s="5">
        <f t="shared" ca="1" si="9"/>
        <v>0.70155958078552072</v>
      </c>
      <c r="C622" s="5" t="s">
        <v>24</v>
      </c>
    </row>
    <row r="623" spans="1:3" x14ac:dyDescent="0.2">
      <c r="A623" s="5">
        <v>621</v>
      </c>
      <c r="B623" s="5">
        <f t="shared" ca="1" si="9"/>
        <v>0.42055110118555389</v>
      </c>
      <c r="C623" s="5" t="s">
        <v>23</v>
      </c>
    </row>
    <row r="624" spans="1:3" x14ac:dyDescent="0.2">
      <c r="A624" s="5">
        <v>622</v>
      </c>
      <c r="B624" s="5">
        <f t="shared" ca="1" si="9"/>
        <v>0.77597131296135868</v>
      </c>
      <c r="C624" s="5" t="s">
        <v>23</v>
      </c>
    </row>
    <row r="625" spans="1:3" x14ac:dyDescent="0.2">
      <c r="A625" s="5">
        <v>623</v>
      </c>
      <c r="B625" s="5">
        <f t="shared" ca="1" si="9"/>
        <v>0.70237629532127566</v>
      </c>
      <c r="C625" s="5" t="s">
        <v>23</v>
      </c>
    </row>
    <row r="626" spans="1:3" x14ac:dyDescent="0.2">
      <c r="A626" s="5">
        <v>624</v>
      </c>
      <c r="B626" s="5">
        <f t="shared" ca="1" si="9"/>
        <v>0.41702097520376025</v>
      </c>
      <c r="C626" s="5" t="s">
        <v>24</v>
      </c>
    </row>
    <row r="627" spans="1:3" x14ac:dyDescent="0.2">
      <c r="A627" s="5">
        <v>625</v>
      </c>
      <c r="B627" s="5">
        <f t="shared" ca="1" si="9"/>
        <v>0.65165647172292607</v>
      </c>
      <c r="C627" s="5" t="s">
        <v>23</v>
      </c>
    </row>
    <row r="628" spans="1:3" x14ac:dyDescent="0.2">
      <c r="A628" s="5">
        <v>626</v>
      </c>
      <c r="B628" s="5">
        <f t="shared" ca="1" si="9"/>
        <v>0.60181188897672167</v>
      </c>
      <c r="C628" s="5" t="s">
        <v>24</v>
      </c>
    </row>
    <row r="629" spans="1:3" x14ac:dyDescent="0.2">
      <c r="A629" s="5">
        <v>627</v>
      </c>
      <c r="B629" s="5">
        <f t="shared" ca="1" si="9"/>
        <v>0.30952365187823344</v>
      </c>
      <c r="C629" s="5" t="s">
        <v>24</v>
      </c>
    </row>
    <row r="630" spans="1:3" x14ac:dyDescent="0.2">
      <c r="A630" s="5">
        <v>628</v>
      </c>
      <c r="B630" s="5">
        <f t="shared" ca="1" si="9"/>
        <v>0.73983576677826191</v>
      </c>
      <c r="C630" s="5" t="s">
        <v>24</v>
      </c>
    </row>
    <row r="631" spans="1:3" x14ac:dyDescent="0.2">
      <c r="A631" s="5">
        <v>629</v>
      </c>
      <c r="B631" s="5">
        <f t="shared" ca="1" si="9"/>
        <v>0.68692487866884422</v>
      </c>
      <c r="C631" s="5" t="s">
        <v>24</v>
      </c>
    </row>
    <row r="632" spans="1:3" x14ac:dyDescent="0.2">
      <c r="A632" s="5">
        <v>630</v>
      </c>
      <c r="B632" s="5">
        <f t="shared" ca="1" si="9"/>
        <v>0.59278677831600757</v>
      </c>
      <c r="C632" s="5" t="s">
        <v>23</v>
      </c>
    </row>
    <row r="633" spans="1:3" x14ac:dyDescent="0.2">
      <c r="A633" s="5">
        <v>631</v>
      </c>
      <c r="B633" s="5">
        <f t="shared" ca="1" si="9"/>
        <v>0.94738761122122095</v>
      </c>
      <c r="C633" s="5" t="s">
        <v>23</v>
      </c>
    </row>
    <row r="634" spans="1:3" x14ac:dyDescent="0.2">
      <c r="A634" s="5">
        <v>632</v>
      </c>
      <c r="B634" s="5">
        <f t="shared" ca="1" si="9"/>
        <v>0.64398574640880257</v>
      </c>
      <c r="C634" s="5" t="s">
        <v>24</v>
      </c>
    </row>
    <row r="635" spans="1:3" x14ac:dyDescent="0.2">
      <c r="A635" s="5">
        <v>633</v>
      </c>
      <c r="B635" s="5">
        <f t="shared" ca="1" si="9"/>
        <v>0.78062380848618718</v>
      </c>
      <c r="C635" s="5" t="s">
        <v>23</v>
      </c>
    </row>
    <row r="636" spans="1:3" x14ac:dyDescent="0.2">
      <c r="A636" s="5">
        <v>634</v>
      </c>
      <c r="B636" s="5">
        <f t="shared" ca="1" si="9"/>
        <v>0.64017520770903746</v>
      </c>
      <c r="C636" s="5" t="s">
        <v>23</v>
      </c>
    </row>
    <row r="637" spans="1:3" x14ac:dyDescent="0.2">
      <c r="A637" s="5">
        <v>635</v>
      </c>
      <c r="B637" s="5">
        <f t="shared" ca="1" si="9"/>
        <v>0.68699864645565678</v>
      </c>
      <c r="C637" s="5" t="s">
        <v>23</v>
      </c>
    </row>
    <row r="638" spans="1:3" x14ac:dyDescent="0.2">
      <c r="A638" s="5">
        <v>636</v>
      </c>
      <c r="B638" s="5">
        <f t="shared" ca="1" si="9"/>
        <v>0.51978281463874521</v>
      </c>
      <c r="C638" s="5" t="s">
        <v>24</v>
      </c>
    </row>
    <row r="639" spans="1:3" x14ac:dyDescent="0.2">
      <c r="A639" s="5">
        <v>637</v>
      </c>
      <c r="B639" s="5">
        <f t="shared" ca="1" si="9"/>
        <v>0.57234013359082414</v>
      </c>
      <c r="C639" s="5" t="s">
        <v>24</v>
      </c>
    </row>
    <row r="640" spans="1:3" x14ac:dyDescent="0.2">
      <c r="A640" s="5">
        <v>638</v>
      </c>
      <c r="B640" s="5">
        <f t="shared" ca="1" si="9"/>
        <v>0.66516964706915604</v>
      </c>
      <c r="C640" s="5" t="s">
        <v>23</v>
      </c>
    </row>
    <row r="641" spans="1:3" x14ac:dyDescent="0.2">
      <c r="A641" s="5">
        <v>639</v>
      </c>
      <c r="B641" s="5">
        <f t="shared" ca="1" si="9"/>
        <v>0.84537593174745107</v>
      </c>
      <c r="C641" s="5" t="s">
        <v>24</v>
      </c>
    </row>
    <row r="642" spans="1:3" x14ac:dyDescent="0.2">
      <c r="A642" s="5">
        <v>640</v>
      </c>
      <c r="B642" s="5">
        <f t="shared" ca="1" si="9"/>
        <v>0.71892365645140288</v>
      </c>
      <c r="C642" s="5" t="s">
        <v>23</v>
      </c>
    </row>
    <row r="643" spans="1:3" x14ac:dyDescent="0.2">
      <c r="A643" s="5">
        <v>641</v>
      </c>
      <c r="B643" s="5">
        <f t="shared" ca="1" si="9"/>
        <v>0.69178372626789442</v>
      </c>
      <c r="C643" s="5" t="s">
        <v>23</v>
      </c>
    </row>
    <row r="644" spans="1:3" x14ac:dyDescent="0.2">
      <c r="A644" s="5">
        <v>642</v>
      </c>
      <c r="B644" s="5">
        <f t="shared" ref="B644:B707" ca="1" si="10">IF(C644="Bomb",_xlfn.NORM.INV(RAND(),0.7,0.1),_xlfn.NORM.INV(RAND(),0.6,0.15))</f>
        <v>0.67087950044832023</v>
      </c>
      <c r="C644" s="5" t="s">
        <v>24</v>
      </c>
    </row>
    <row r="645" spans="1:3" x14ac:dyDescent="0.2">
      <c r="A645" s="5">
        <v>643</v>
      </c>
      <c r="B645" s="5">
        <f t="shared" ca="1" si="10"/>
        <v>0.49723541339714783</v>
      </c>
      <c r="C645" s="5" t="s">
        <v>23</v>
      </c>
    </row>
    <row r="646" spans="1:3" x14ac:dyDescent="0.2">
      <c r="A646" s="5">
        <v>644</v>
      </c>
      <c r="B646" s="5">
        <f t="shared" ca="1" si="10"/>
        <v>0.73152551369171559</v>
      </c>
      <c r="C646" s="5" t="s">
        <v>24</v>
      </c>
    </row>
    <row r="647" spans="1:3" x14ac:dyDescent="0.2">
      <c r="A647" s="5">
        <v>645</v>
      </c>
      <c r="B647" s="5">
        <f t="shared" ca="1" si="10"/>
        <v>0.26011673217719278</v>
      </c>
      <c r="C647" s="5" t="s">
        <v>24</v>
      </c>
    </row>
    <row r="648" spans="1:3" x14ac:dyDescent="0.2">
      <c r="A648" s="5">
        <v>646</v>
      </c>
      <c r="B648" s="5">
        <f t="shared" ca="1" si="10"/>
        <v>0.52479456340982644</v>
      </c>
      <c r="C648" s="5" t="s">
        <v>24</v>
      </c>
    </row>
    <row r="649" spans="1:3" x14ac:dyDescent="0.2">
      <c r="A649" s="5">
        <v>647</v>
      </c>
      <c r="B649" s="5">
        <f t="shared" ca="1" si="10"/>
        <v>0.77245564819840018</v>
      </c>
      <c r="C649" s="5" t="s">
        <v>23</v>
      </c>
    </row>
    <row r="650" spans="1:3" x14ac:dyDescent="0.2">
      <c r="A650" s="5">
        <v>648</v>
      </c>
      <c r="B650" s="5">
        <f t="shared" ca="1" si="10"/>
        <v>0.53074371290417877</v>
      </c>
      <c r="C650" s="5" t="s">
        <v>23</v>
      </c>
    </row>
    <row r="651" spans="1:3" x14ac:dyDescent="0.2">
      <c r="A651" s="5">
        <v>649</v>
      </c>
      <c r="B651" s="5">
        <f t="shared" ca="1" si="10"/>
        <v>0.55680501627197532</v>
      </c>
      <c r="C651" s="5" t="s">
        <v>23</v>
      </c>
    </row>
    <row r="652" spans="1:3" x14ac:dyDescent="0.2">
      <c r="A652" s="5">
        <v>650</v>
      </c>
      <c r="B652" s="5">
        <f t="shared" ca="1" si="10"/>
        <v>0.65298311030301071</v>
      </c>
      <c r="C652" s="5" t="s">
        <v>23</v>
      </c>
    </row>
    <row r="653" spans="1:3" x14ac:dyDescent="0.2">
      <c r="A653" s="5">
        <v>651</v>
      </c>
      <c r="B653" s="5">
        <f t="shared" ca="1" si="10"/>
        <v>0.48566929484507138</v>
      </c>
      <c r="C653" s="5" t="s">
        <v>24</v>
      </c>
    </row>
    <row r="654" spans="1:3" x14ac:dyDescent="0.2">
      <c r="A654" s="5">
        <v>652</v>
      </c>
      <c r="B654" s="5">
        <f t="shared" ca="1" si="10"/>
        <v>0.77193896499970016</v>
      </c>
      <c r="C654" s="5" t="s">
        <v>24</v>
      </c>
    </row>
    <row r="655" spans="1:3" x14ac:dyDescent="0.2">
      <c r="A655" s="5">
        <v>653</v>
      </c>
      <c r="B655" s="5">
        <f t="shared" ca="1" si="10"/>
        <v>0.98832832561847295</v>
      </c>
      <c r="C655" s="5" t="s">
        <v>24</v>
      </c>
    </row>
    <row r="656" spans="1:3" x14ac:dyDescent="0.2">
      <c r="A656" s="5">
        <v>654</v>
      </c>
      <c r="B656" s="5">
        <f t="shared" ca="1" si="10"/>
        <v>0.8082757654737116</v>
      </c>
      <c r="C656" s="5" t="s">
        <v>24</v>
      </c>
    </row>
    <row r="657" spans="1:3" x14ac:dyDescent="0.2">
      <c r="A657" s="5">
        <v>655</v>
      </c>
      <c r="B657" s="5">
        <f t="shared" ca="1" si="10"/>
        <v>0.58066653390907008</v>
      </c>
      <c r="C657" s="5" t="s">
        <v>24</v>
      </c>
    </row>
    <row r="658" spans="1:3" x14ac:dyDescent="0.2">
      <c r="A658" s="5">
        <v>656</v>
      </c>
      <c r="B658" s="5">
        <f t="shared" ca="1" si="10"/>
        <v>0.47398231589388989</v>
      </c>
      <c r="C658" s="5" t="s">
        <v>24</v>
      </c>
    </row>
    <row r="659" spans="1:3" x14ac:dyDescent="0.2">
      <c r="A659" s="5">
        <v>657</v>
      </c>
      <c r="B659" s="5">
        <f t="shared" ca="1" si="10"/>
        <v>0.63262768148567738</v>
      </c>
      <c r="C659" s="5" t="s">
        <v>23</v>
      </c>
    </row>
    <row r="660" spans="1:3" x14ac:dyDescent="0.2">
      <c r="A660" s="5">
        <v>658</v>
      </c>
      <c r="B660" s="5">
        <f t="shared" ca="1" si="10"/>
        <v>0.46980379316576182</v>
      </c>
      <c r="C660" s="5" t="s">
        <v>24</v>
      </c>
    </row>
    <row r="661" spans="1:3" x14ac:dyDescent="0.2">
      <c r="A661" s="5">
        <v>659</v>
      </c>
      <c r="B661" s="5">
        <f t="shared" ca="1" si="10"/>
        <v>0.75920333351847891</v>
      </c>
      <c r="C661" s="5" t="s">
        <v>23</v>
      </c>
    </row>
    <row r="662" spans="1:3" x14ac:dyDescent="0.2">
      <c r="A662" s="5">
        <v>660</v>
      </c>
      <c r="B662" s="5">
        <f t="shared" ca="1" si="10"/>
        <v>0.36500171318252289</v>
      </c>
      <c r="C662" s="5" t="s">
        <v>24</v>
      </c>
    </row>
    <row r="663" spans="1:3" x14ac:dyDescent="0.2">
      <c r="A663" s="5">
        <v>661</v>
      </c>
      <c r="B663" s="5">
        <f t="shared" ca="1" si="10"/>
        <v>0.59168518569480122</v>
      </c>
      <c r="C663" s="5" t="s">
        <v>23</v>
      </c>
    </row>
    <row r="664" spans="1:3" x14ac:dyDescent="0.2">
      <c r="A664" s="5">
        <v>662</v>
      </c>
      <c r="B664" s="5">
        <f t="shared" ca="1" si="10"/>
        <v>0.59678156043355668</v>
      </c>
      <c r="C664" s="5" t="s">
        <v>24</v>
      </c>
    </row>
    <row r="665" spans="1:3" x14ac:dyDescent="0.2">
      <c r="A665" s="5">
        <v>663</v>
      </c>
      <c r="B665" s="5">
        <f t="shared" ca="1" si="10"/>
        <v>0.44664055624986077</v>
      </c>
      <c r="C665" s="5" t="s">
        <v>24</v>
      </c>
    </row>
    <row r="666" spans="1:3" x14ac:dyDescent="0.2">
      <c r="A666" s="5">
        <v>664</v>
      </c>
      <c r="B666" s="5">
        <f t="shared" ca="1" si="10"/>
        <v>0.65397671254066247</v>
      </c>
      <c r="C666" s="5" t="s">
        <v>23</v>
      </c>
    </row>
    <row r="667" spans="1:3" x14ac:dyDescent="0.2">
      <c r="A667" s="5">
        <v>665</v>
      </c>
      <c r="B667" s="5">
        <f t="shared" ca="1" si="10"/>
        <v>0.55630433077277197</v>
      </c>
      <c r="C667" s="5" t="s">
        <v>24</v>
      </c>
    </row>
    <row r="668" spans="1:3" x14ac:dyDescent="0.2">
      <c r="A668" s="5">
        <v>666</v>
      </c>
      <c r="B668" s="5">
        <f t="shared" ca="1" si="10"/>
        <v>0.52846282558285684</v>
      </c>
      <c r="C668" s="5" t="s">
        <v>24</v>
      </c>
    </row>
    <row r="669" spans="1:3" x14ac:dyDescent="0.2">
      <c r="A669" s="5">
        <v>667</v>
      </c>
      <c r="B669" s="5">
        <f t="shared" ca="1" si="10"/>
        <v>0.69100724484912857</v>
      </c>
      <c r="C669" s="5" t="s">
        <v>23</v>
      </c>
    </row>
    <row r="670" spans="1:3" x14ac:dyDescent="0.2">
      <c r="A670" s="5">
        <v>668</v>
      </c>
      <c r="B670" s="5">
        <f t="shared" ca="1" si="10"/>
        <v>0.91546493015322061</v>
      </c>
      <c r="C670" s="5" t="s">
        <v>24</v>
      </c>
    </row>
    <row r="671" spans="1:3" x14ac:dyDescent="0.2">
      <c r="A671" s="5">
        <v>669</v>
      </c>
      <c r="B671" s="5">
        <f t="shared" ca="1" si="10"/>
        <v>0.78366865390530815</v>
      </c>
      <c r="C671" s="5" t="s">
        <v>24</v>
      </c>
    </row>
    <row r="672" spans="1:3" x14ac:dyDescent="0.2">
      <c r="A672" s="5">
        <v>670</v>
      </c>
      <c r="B672" s="5">
        <f t="shared" ca="1" si="10"/>
        <v>0.80711310120641577</v>
      </c>
      <c r="C672" s="5" t="s">
        <v>24</v>
      </c>
    </row>
    <row r="673" spans="1:3" x14ac:dyDescent="0.2">
      <c r="A673" s="5">
        <v>671</v>
      </c>
      <c r="B673" s="5">
        <f t="shared" ca="1" si="10"/>
        <v>0.56173561349321433</v>
      </c>
      <c r="C673" s="5" t="s">
        <v>24</v>
      </c>
    </row>
    <row r="674" spans="1:3" x14ac:dyDescent="0.2">
      <c r="A674" s="5">
        <v>672</v>
      </c>
      <c r="B674" s="5">
        <f t="shared" ca="1" si="10"/>
        <v>0.55947369821419712</v>
      </c>
      <c r="C674" s="5" t="s">
        <v>24</v>
      </c>
    </row>
    <row r="675" spans="1:3" x14ac:dyDescent="0.2">
      <c r="A675" s="5">
        <v>673</v>
      </c>
      <c r="B675" s="5">
        <f t="shared" ca="1" si="10"/>
        <v>0.62384099084110833</v>
      </c>
      <c r="C675" s="5" t="s">
        <v>24</v>
      </c>
    </row>
    <row r="676" spans="1:3" x14ac:dyDescent="0.2">
      <c r="A676" s="5">
        <v>674</v>
      </c>
      <c r="B676" s="5">
        <f t="shared" ca="1" si="10"/>
        <v>0.77276322541973264</v>
      </c>
      <c r="C676" s="5" t="s">
        <v>23</v>
      </c>
    </row>
    <row r="677" spans="1:3" x14ac:dyDescent="0.2">
      <c r="A677" s="5">
        <v>675</v>
      </c>
      <c r="B677" s="5">
        <f t="shared" ca="1" si="10"/>
        <v>0.43798358657998693</v>
      </c>
      <c r="C677" s="5" t="s">
        <v>24</v>
      </c>
    </row>
    <row r="678" spans="1:3" x14ac:dyDescent="0.2">
      <c r="A678" s="5">
        <v>676</v>
      </c>
      <c r="B678" s="5">
        <f t="shared" ca="1" si="10"/>
        <v>0.70867186711923769</v>
      </c>
      <c r="C678" s="5" t="s">
        <v>23</v>
      </c>
    </row>
    <row r="679" spans="1:3" x14ac:dyDescent="0.2">
      <c r="A679" s="5">
        <v>677</v>
      </c>
      <c r="B679" s="5">
        <f t="shared" ca="1" si="10"/>
        <v>0.54793553449035104</v>
      </c>
      <c r="C679" s="5" t="s">
        <v>24</v>
      </c>
    </row>
    <row r="680" spans="1:3" x14ac:dyDescent="0.2">
      <c r="A680" s="5">
        <v>678</v>
      </c>
      <c r="B680" s="5">
        <f t="shared" ca="1" si="10"/>
        <v>0.67661232075208566</v>
      </c>
      <c r="C680" s="5" t="s">
        <v>23</v>
      </c>
    </row>
    <row r="681" spans="1:3" x14ac:dyDescent="0.2">
      <c r="A681" s="5">
        <v>679</v>
      </c>
      <c r="B681" s="5">
        <f t="shared" ca="1" si="10"/>
        <v>0.45241472653594084</v>
      </c>
      <c r="C681" s="5" t="s">
        <v>24</v>
      </c>
    </row>
    <row r="682" spans="1:3" x14ac:dyDescent="0.2">
      <c r="A682" s="5">
        <v>680</v>
      </c>
      <c r="B682" s="5">
        <f t="shared" ca="1" si="10"/>
        <v>0.8169641441553368</v>
      </c>
      <c r="C682" s="5" t="s">
        <v>24</v>
      </c>
    </row>
    <row r="683" spans="1:3" x14ac:dyDescent="0.2">
      <c r="A683" s="5">
        <v>681</v>
      </c>
      <c r="B683" s="5">
        <f t="shared" ca="1" si="10"/>
        <v>0.42646869699146805</v>
      </c>
      <c r="C683" s="5" t="s">
        <v>24</v>
      </c>
    </row>
    <row r="684" spans="1:3" x14ac:dyDescent="0.2">
      <c r="A684" s="5">
        <v>682</v>
      </c>
      <c r="B684" s="5">
        <f t="shared" ca="1" si="10"/>
        <v>0.56329631314692041</v>
      </c>
      <c r="C684" s="5" t="s">
        <v>24</v>
      </c>
    </row>
    <row r="685" spans="1:3" x14ac:dyDescent="0.2">
      <c r="A685" s="5">
        <v>683</v>
      </c>
      <c r="B685" s="5">
        <f t="shared" ca="1" si="10"/>
        <v>0.48658454931158041</v>
      </c>
      <c r="C685" s="5" t="s">
        <v>24</v>
      </c>
    </row>
    <row r="686" spans="1:3" x14ac:dyDescent="0.2">
      <c r="A686" s="5">
        <v>684</v>
      </c>
      <c r="B686" s="5">
        <f t="shared" ca="1" si="10"/>
        <v>0.47211808949997391</v>
      </c>
      <c r="C686" s="5" t="s">
        <v>24</v>
      </c>
    </row>
    <row r="687" spans="1:3" x14ac:dyDescent="0.2">
      <c r="A687" s="5">
        <v>685</v>
      </c>
      <c r="B687" s="5">
        <f t="shared" ca="1" si="10"/>
        <v>0.56979049454916597</v>
      </c>
      <c r="C687" s="5" t="s">
        <v>23</v>
      </c>
    </row>
    <row r="688" spans="1:3" x14ac:dyDescent="0.2">
      <c r="A688" s="5">
        <v>686</v>
      </c>
      <c r="B688" s="5">
        <f t="shared" ca="1" si="10"/>
        <v>0.50350335959636694</v>
      </c>
      <c r="C688" s="5" t="s">
        <v>24</v>
      </c>
    </row>
    <row r="689" spans="1:3" x14ac:dyDescent="0.2">
      <c r="A689" s="5">
        <v>687</v>
      </c>
      <c r="B689" s="5">
        <f t="shared" ca="1" si="10"/>
        <v>0.62135537537046659</v>
      </c>
      <c r="C689" s="5" t="s">
        <v>24</v>
      </c>
    </row>
    <row r="690" spans="1:3" x14ac:dyDescent="0.2">
      <c r="A690" s="5">
        <v>688</v>
      </c>
      <c r="B690" s="5">
        <f t="shared" ca="1" si="10"/>
        <v>0.5636001902932275</v>
      </c>
      <c r="C690" s="5" t="s">
        <v>24</v>
      </c>
    </row>
    <row r="691" spans="1:3" x14ac:dyDescent="0.2">
      <c r="A691" s="5">
        <v>689</v>
      </c>
      <c r="B691" s="5">
        <f t="shared" ca="1" si="10"/>
        <v>0.40839590014713945</v>
      </c>
      <c r="C691" s="5" t="s">
        <v>24</v>
      </c>
    </row>
    <row r="692" spans="1:3" x14ac:dyDescent="0.2">
      <c r="A692" s="5">
        <v>690</v>
      </c>
      <c r="B692" s="5">
        <f t="shared" ca="1" si="10"/>
        <v>0.85160879017722912</v>
      </c>
      <c r="C692" s="5" t="s">
        <v>23</v>
      </c>
    </row>
    <row r="693" spans="1:3" x14ac:dyDescent="0.2">
      <c r="A693" s="5">
        <v>691</v>
      </c>
      <c r="B693" s="5">
        <f t="shared" ca="1" si="10"/>
        <v>0.73271331262917228</v>
      </c>
      <c r="C693" s="5" t="s">
        <v>23</v>
      </c>
    </row>
    <row r="694" spans="1:3" x14ac:dyDescent="0.2">
      <c r="A694" s="5">
        <v>692</v>
      </c>
      <c r="B694" s="5">
        <f t="shared" ca="1" si="10"/>
        <v>0.81386227681507128</v>
      </c>
      <c r="C694" s="5" t="s">
        <v>23</v>
      </c>
    </row>
    <row r="695" spans="1:3" x14ac:dyDescent="0.2">
      <c r="A695" s="5">
        <v>693</v>
      </c>
      <c r="B695" s="5">
        <f t="shared" ca="1" si="10"/>
        <v>0.72234876517554358</v>
      </c>
      <c r="C695" s="5" t="s">
        <v>23</v>
      </c>
    </row>
    <row r="696" spans="1:3" x14ac:dyDescent="0.2">
      <c r="A696" s="5">
        <v>694</v>
      </c>
      <c r="B696" s="5">
        <f t="shared" ca="1" si="10"/>
        <v>0.54396788215928937</v>
      </c>
      <c r="C696" s="5" t="s">
        <v>24</v>
      </c>
    </row>
    <row r="697" spans="1:3" x14ac:dyDescent="0.2">
      <c r="A697" s="5">
        <v>695</v>
      </c>
      <c r="B697" s="5">
        <f t="shared" ca="1" si="10"/>
        <v>0.64717388240545948</v>
      </c>
      <c r="C697" s="5" t="s">
        <v>24</v>
      </c>
    </row>
    <row r="698" spans="1:3" x14ac:dyDescent="0.2">
      <c r="A698" s="5">
        <v>696</v>
      </c>
      <c r="B698" s="5">
        <f t="shared" ca="1" si="10"/>
        <v>0.64121002662696314</v>
      </c>
      <c r="C698" s="5" t="s">
        <v>24</v>
      </c>
    </row>
    <row r="699" spans="1:3" x14ac:dyDescent="0.2">
      <c r="A699" s="5">
        <v>697</v>
      </c>
      <c r="B699" s="5">
        <f t="shared" ca="1" si="10"/>
        <v>0.71737307052128363</v>
      </c>
      <c r="C699" s="5" t="s">
        <v>24</v>
      </c>
    </row>
    <row r="700" spans="1:3" x14ac:dyDescent="0.2">
      <c r="A700" s="5">
        <v>698</v>
      </c>
      <c r="B700" s="5">
        <f t="shared" ca="1" si="10"/>
        <v>0.80379644473758427</v>
      </c>
      <c r="C700" s="5" t="s">
        <v>23</v>
      </c>
    </row>
    <row r="701" spans="1:3" x14ac:dyDescent="0.2">
      <c r="A701" s="5">
        <v>699</v>
      </c>
      <c r="B701" s="5">
        <f t="shared" ca="1" si="10"/>
        <v>0.93812746975124117</v>
      </c>
      <c r="C701" s="5" t="s">
        <v>24</v>
      </c>
    </row>
    <row r="702" spans="1:3" x14ac:dyDescent="0.2">
      <c r="A702" s="5">
        <v>700</v>
      </c>
      <c r="B702" s="5">
        <f t="shared" ca="1" si="10"/>
        <v>0.51408847935065505</v>
      </c>
      <c r="C702" s="5" t="s">
        <v>24</v>
      </c>
    </row>
    <row r="703" spans="1:3" x14ac:dyDescent="0.2">
      <c r="A703" s="5">
        <v>701</v>
      </c>
      <c r="B703" s="5">
        <f t="shared" ca="1" si="10"/>
        <v>0.52070265759714085</v>
      </c>
      <c r="C703" s="5" t="s">
        <v>24</v>
      </c>
    </row>
    <row r="704" spans="1:3" x14ac:dyDescent="0.2">
      <c r="A704" s="5">
        <v>702</v>
      </c>
      <c r="B704" s="5">
        <f t="shared" ca="1" si="10"/>
        <v>0.57512670205719207</v>
      </c>
      <c r="C704" s="5" t="s">
        <v>24</v>
      </c>
    </row>
    <row r="705" spans="1:3" x14ac:dyDescent="0.2">
      <c r="A705" s="5">
        <v>703</v>
      </c>
      <c r="B705" s="5">
        <f t="shared" ca="1" si="10"/>
        <v>0.68373970435819598</v>
      </c>
      <c r="C705" s="5" t="s">
        <v>23</v>
      </c>
    </row>
    <row r="706" spans="1:3" x14ac:dyDescent="0.2">
      <c r="A706" s="5">
        <v>704</v>
      </c>
      <c r="B706" s="5">
        <f t="shared" ca="1" si="10"/>
        <v>0.66853020396552942</v>
      </c>
      <c r="C706" s="5" t="s">
        <v>23</v>
      </c>
    </row>
    <row r="707" spans="1:3" x14ac:dyDescent="0.2">
      <c r="A707" s="5">
        <v>705</v>
      </c>
      <c r="B707" s="5">
        <f t="shared" ca="1" si="10"/>
        <v>0.61202564007869809</v>
      </c>
      <c r="C707" s="5" t="s">
        <v>24</v>
      </c>
    </row>
    <row r="708" spans="1:3" x14ac:dyDescent="0.2">
      <c r="A708" s="5">
        <v>706</v>
      </c>
      <c r="B708" s="5">
        <f t="shared" ref="B708:B771" ca="1" si="11">IF(C708="Bomb",_xlfn.NORM.INV(RAND(),0.7,0.1),_xlfn.NORM.INV(RAND(),0.6,0.15))</f>
        <v>0.56813329490616638</v>
      </c>
      <c r="C708" s="5" t="s">
        <v>24</v>
      </c>
    </row>
    <row r="709" spans="1:3" x14ac:dyDescent="0.2">
      <c r="A709" s="5">
        <v>707</v>
      </c>
      <c r="B709" s="5">
        <f t="shared" ca="1" si="11"/>
        <v>0.57238228818557368</v>
      </c>
      <c r="C709" s="5" t="s">
        <v>24</v>
      </c>
    </row>
    <row r="710" spans="1:3" x14ac:dyDescent="0.2">
      <c r="A710" s="5">
        <v>708</v>
      </c>
      <c r="B710" s="5">
        <f t="shared" ca="1" si="11"/>
        <v>0.84056719777706224</v>
      </c>
      <c r="C710" s="5" t="s">
        <v>23</v>
      </c>
    </row>
    <row r="711" spans="1:3" x14ac:dyDescent="0.2">
      <c r="A711" s="5">
        <v>709</v>
      </c>
      <c r="B711" s="5">
        <f t="shared" ca="1" si="11"/>
        <v>0.5407963316095038</v>
      </c>
      <c r="C711" s="5" t="s">
        <v>23</v>
      </c>
    </row>
    <row r="712" spans="1:3" x14ac:dyDescent="0.2">
      <c r="A712" s="5">
        <v>710</v>
      </c>
      <c r="B712" s="5">
        <f t="shared" ca="1" si="11"/>
        <v>0.74317186301519977</v>
      </c>
      <c r="C712" s="5" t="s">
        <v>23</v>
      </c>
    </row>
    <row r="713" spans="1:3" x14ac:dyDescent="0.2">
      <c r="A713" s="5">
        <v>711</v>
      </c>
      <c r="B713" s="5">
        <f t="shared" ca="1" si="11"/>
        <v>0.50406354320678248</v>
      </c>
      <c r="C713" s="5" t="s">
        <v>24</v>
      </c>
    </row>
    <row r="714" spans="1:3" x14ac:dyDescent="0.2">
      <c r="A714" s="5">
        <v>712</v>
      </c>
      <c r="B714" s="5">
        <f t="shared" ca="1" si="11"/>
        <v>0.69131311089621827</v>
      </c>
      <c r="C714" s="5" t="s">
        <v>23</v>
      </c>
    </row>
    <row r="715" spans="1:3" x14ac:dyDescent="0.2">
      <c r="A715" s="5">
        <v>713</v>
      </c>
      <c r="B715" s="5">
        <f t="shared" ca="1" si="11"/>
        <v>0.48145388053474292</v>
      </c>
      <c r="C715" s="5" t="s">
        <v>24</v>
      </c>
    </row>
    <row r="716" spans="1:3" x14ac:dyDescent="0.2">
      <c r="A716" s="5">
        <v>714</v>
      </c>
      <c r="B716" s="5">
        <f t="shared" ca="1" si="11"/>
        <v>0.31456496147175728</v>
      </c>
      <c r="C716" s="5" t="s">
        <v>24</v>
      </c>
    </row>
    <row r="717" spans="1:3" x14ac:dyDescent="0.2">
      <c r="A717" s="5">
        <v>715</v>
      </c>
      <c r="B717" s="5">
        <f t="shared" ca="1" si="11"/>
        <v>0.8661406300898864</v>
      </c>
      <c r="C717" s="5" t="s">
        <v>24</v>
      </c>
    </row>
    <row r="718" spans="1:3" x14ac:dyDescent="0.2">
      <c r="A718" s="5">
        <v>716</v>
      </c>
      <c r="B718" s="5">
        <f t="shared" ca="1" si="11"/>
        <v>0.76693817561210065</v>
      </c>
      <c r="C718" s="5" t="s">
        <v>23</v>
      </c>
    </row>
    <row r="719" spans="1:3" x14ac:dyDescent="0.2">
      <c r="A719" s="5">
        <v>717</v>
      </c>
      <c r="B719" s="5">
        <f t="shared" ca="1" si="11"/>
        <v>0.69505926870119172</v>
      </c>
      <c r="C719" s="5" t="s">
        <v>24</v>
      </c>
    </row>
    <row r="720" spans="1:3" x14ac:dyDescent="0.2">
      <c r="A720" s="5">
        <v>718</v>
      </c>
      <c r="B720" s="5">
        <f t="shared" ca="1" si="11"/>
        <v>0.62232378655644527</v>
      </c>
      <c r="C720" s="5" t="s">
        <v>24</v>
      </c>
    </row>
    <row r="721" spans="1:3" x14ac:dyDescent="0.2">
      <c r="A721" s="5">
        <v>719</v>
      </c>
      <c r="B721" s="5">
        <f t="shared" ca="1" si="11"/>
        <v>0.46952126445161269</v>
      </c>
      <c r="C721" s="5" t="s">
        <v>24</v>
      </c>
    </row>
    <row r="722" spans="1:3" x14ac:dyDescent="0.2">
      <c r="A722" s="5">
        <v>720</v>
      </c>
      <c r="B722" s="5">
        <f t="shared" ca="1" si="11"/>
        <v>0.78101676338251991</v>
      </c>
      <c r="C722" s="5" t="s">
        <v>24</v>
      </c>
    </row>
    <row r="723" spans="1:3" x14ac:dyDescent="0.2">
      <c r="A723" s="5">
        <v>721</v>
      </c>
      <c r="B723" s="5">
        <f t="shared" ca="1" si="11"/>
        <v>0.70293666554011724</v>
      </c>
      <c r="C723" s="5" t="s">
        <v>23</v>
      </c>
    </row>
    <row r="724" spans="1:3" x14ac:dyDescent="0.2">
      <c r="A724" s="5">
        <v>722</v>
      </c>
      <c r="B724" s="5">
        <f t="shared" ca="1" si="11"/>
        <v>0.55756730711833058</v>
      </c>
      <c r="C724" s="5" t="s">
        <v>24</v>
      </c>
    </row>
    <row r="725" spans="1:3" x14ac:dyDescent="0.2">
      <c r="A725" s="5">
        <v>723</v>
      </c>
      <c r="B725" s="5">
        <f t="shared" ca="1" si="11"/>
        <v>0.57932387474499347</v>
      </c>
      <c r="C725" s="5" t="s">
        <v>23</v>
      </c>
    </row>
    <row r="726" spans="1:3" x14ac:dyDescent="0.2">
      <c r="A726" s="5">
        <v>724</v>
      </c>
      <c r="B726" s="5">
        <f t="shared" ca="1" si="11"/>
        <v>0.88099311352559184</v>
      </c>
      <c r="C726" s="5" t="s">
        <v>23</v>
      </c>
    </row>
    <row r="727" spans="1:3" x14ac:dyDescent="0.2">
      <c r="A727" s="5">
        <v>725</v>
      </c>
      <c r="B727" s="5">
        <f t="shared" ca="1" si="11"/>
        <v>0.58888297902341746</v>
      </c>
      <c r="C727" s="5" t="s">
        <v>24</v>
      </c>
    </row>
    <row r="728" spans="1:3" x14ac:dyDescent="0.2">
      <c r="A728" s="5">
        <v>726</v>
      </c>
      <c r="B728" s="5">
        <f t="shared" ca="1" si="11"/>
        <v>0.57251401945608382</v>
      </c>
      <c r="C728" s="5" t="s">
        <v>24</v>
      </c>
    </row>
    <row r="729" spans="1:3" x14ac:dyDescent="0.2">
      <c r="A729" s="5">
        <v>727</v>
      </c>
      <c r="B729" s="5">
        <f t="shared" ca="1" si="11"/>
        <v>0.70489535894504129</v>
      </c>
      <c r="C729" s="5" t="s">
        <v>23</v>
      </c>
    </row>
    <row r="730" spans="1:3" x14ac:dyDescent="0.2">
      <c r="A730" s="5">
        <v>728</v>
      </c>
      <c r="B730" s="5">
        <f t="shared" ca="1" si="11"/>
        <v>0.71312763000236534</v>
      </c>
      <c r="C730" s="5" t="s">
        <v>24</v>
      </c>
    </row>
    <row r="731" spans="1:3" x14ac:dyDescent="0.2">
      <c r="A731" s="5">
        <v>729</v>
      </c>
      <c r="B731" s="5">
        <f t="shared" ca="1" si="11"/>
        <v>0.59086531956620825</v>
      </c>
      <c r="C731" s="5" t="s">
        <v>23</v>
      </c>
    </row>
    <row r="732" spans="1:3" x14ac:dyDescent="0.2">
      <c r="A732" s="5">
        <v>730</v>
      </c>
      <c r="B732" s="5">
        <f t="shared" ca="1" si="11"/>
        <v>0.70945932416616397</v>
      </c>
      <c r="C732" s="5" t="s">
        <v>23</v>
      </c>
    </row>
    <row r="733" spans="1:3" x14ac:dyDescent="0.2">
      <c r="A733" s="5">
        <v>731</v>
      </c>
      <c r="B733" s="5">
        <f t="shared" ca="1" si="11"/>
        <v>0.66909811662137542</v>
      </c>
      <c r="C733" s="5" t="s">
        <v>23</v>
      </c>
    </row>
    <row r="734" spans="1:3" x14ac:dyDescent="0.2">
      <c r="A734" s="5">
        <v>732</v>
      </c>
      <c r="B734" s="5">
        <f t="shared" ca="1" si="11"/>
        <v>0.55589255312426333</v>
      </c>
      <c r="C734" s="5" t="s">
        <v>24</v>
      </c>
    </row>
    <row r="735" spans="1:3" x14ac:dyDescent="0.2">
      <c r="A735" s="5">
        <v>733</v>
      </c>
      <c r="B735" s="5">
        <f t="shared" ca="1" si="11"/>
        <v>0.53774931366000089</v>
      </c>
      <c r="C735" s="5" t="s">
        <v>24</v>
      </c>
    </row>
    <row r="736" spans="1:3" x14ac:dyDescent="0.2">
      <c r="A736" s="5">
        <v>734</v>
      </c>
      <c r="B736" s="5">
        <f t="shared" ca="1" si="11"/>
        <v>0.64583694759996546</v>
      </c>
      <c r="C736" s="5" t="s">
        <v>24</v>
      </c>
    </row>
    <row r="737" spans="1:3" x14ac:dyDescent="0.2">
      <c r="A737" s="5">
        <v>735</v>
      </c>
      <c r="B737" s="5">
        <f t="shared" ca="1" si="11"/>
        <v>0.60827719224549892</v>
      </c>
      <c r="C737" s="5" t="s">
        <v>23</v>
      </c>
    </row>
    <row r="738" spans="1:3" x14ac:dyDescent="0.2">
      <c r="A738" s="5">
        <v>736</v>
      </c>
      <c r="B738" s="5">
        <f t="shared" ca="1" si="11"/>
        <v>0.55285860591395886</v>
      </c>
      <c r="C738" s="5" t="s">
        <v>23</v>
      </c>
    </row>
    <row r="739" spans="1:3" x14ac:dyDescent="0.2">
      <c r="A739" s="5">
        <v>737</v>
      </c>
      <c r="B739" s="5">
        <f t="shared" ca="1" si="11"/>
        <v>0.47150750213668968</v>
      </c>
      <c r="C739" s="5" t="s">
        <v>24</v>
      </c>
    </row>
    <row r="740" spans="1:3" x14ac:dyDescent="0.2">
      <c r="A740" s="5">
        <v>738</v>
      </c>
      <c r="B740" s="5">
        <f t="shared" ca="1" si="11"/>
        <v>0.69002367726005709</v>
      </c>
      <c r="C740" s="5" t="s">
        <v>24</v>
      </c>
    </row>
    <row r="741" spans="1:3" x14ac:dyDescent="0.2">
      <c r="A741" s="5">
        <v>739</v>
      </c>
      <c r="B741" s="5">
        <f t="shared" ca="1" si="11"/>
        <v>0.85536249968811584</v>
      </c>
      <c r="C741" s="5" t="s">
        <v>23</v>
      </c>
    </row>
    <row r="742" spans="1:3" x14ac:dyDescent="0.2">
      <c r="A742" s="5">
        <v>740</v>
      </c>
      <c r="B742" s="5">
        <f t="shared" ca="1" si="11"/>
        <v>0.75918880106090092</v>
      </c>
      <c r="C742" s="5" t="s">
        <v>24</v>
      </c>
    </row>
    <row r="743" spans="1:3" x14ac:dyDescent="0.2">
      <c r="A743" s="5">
        <v>741</v>
      </c>
      <c r="B743" s="5">
        <f t="shared" ca="1" si="11"/>
        <v>0.38089843274359708</v>
      </c>
      <c r="C743" s="5" t="s">
        <v>24</v>
      </c>
    </row>
    <row r="744" spans="1:3" x14ac:dyDescent="0.2">
      <c r="A744" s="5">
        <v>742</v>
      </c>
      <c r="B744" s="5">
        <f t="shared" ca="1" si="11"/>
        <v>0.66835517555783297</v>
      </c>
      <c r="C744" s="5" t="s">
        <v>24</v>
      </c>
    </row>
    <row r="745" spans="1:3" x14ac:dyDescent="0.2">
      <c r="A745" s="5">
        <v>743</v>
      </c>
      <c r="B745" s="5">
        <f t="shared" ca="1" si="11"/>
        <v>0.60253362532389165</v>
      </c>
      <c r="C745" s="5" t="s">
        <v>24</v>
      </c>
    </row>
    <row r="746" spans="1:3" x14ac:dyDescent="0.2">
      <c r="A746" s="5">
        <v>744</v>
      </c>
      <c r="B746" s="5">
        <f t="shared" ca="1" si="11"/>
        <v>0.82518340899135378</v>
      </c>
      <c r="C746" s="5" t="s">
        <v>24</v>
      </c>
    </row>
    <row r="747" spans="1:3" x14ac:dyDescent="0.2">
      <c r="A747" s="5">
        <v>745</v>
      </c>
      <c r="B747" s="5">
        <f t="shared" ca="1" si="11"/>
        <v>0.75926105627463125</v>
      </c>
      <c r="C747" s="5" t="s">
        <v>24</v>
      </c>
    </row>
    <row r="748" spans="1:3" x14ac:dyDescent="0.2">
      <c r="A748" s="5">
        <v>746</v>
      </c>
      <c r="B748" s="5">
        <f t="shared" ca="1" si="11"/>
        <v>0.59351327270839505</v>
      </c>
      <c r="C748" s="5" t="s">
        <v>23</v>
      </c>
    </row>
    <row r="749" spans="1:3" x14ac:dyDescent="0.2">
      <c r="A749" s="5">
        <v>747</v>
      </c>
      <c r="B749" s="5">
        <f t="shared" ca="1" si="11"/>
        <v>0.89180922812240626</v>
      </c>
      <c r="C749" s="5" t="s">
        <v>23</v>
      </c>
    </row>
    <row r="750" spans="1:3" x14ac:dyDescent="0.2">
      <c r="A750" s="5">
        <v>748</v>
      </c>
      <c r="B750" s="5">
        <f t="shared" ca="1" si="11"/>
        <v>0.69329475612009062</v>
      </c>
      <c r="C750" s="5" t="s">
        <v>24</v>
      </c>
    </row>
    <row r="751" spans="1:3" x14ac:dyDescent="0.2">
      <c r="A751" s="5">
        <v>749</v>
      </c>
      <c r="B751" s="5">
        <f t="shared" ca="1" si="11"/>
        <v>0.74772314074486912</v>
      </c>
      <c r="C751" s="5" t="s">
        <v>23</v>
      </c>
    </row>
    <row r="752" spans="1:3" x14ac:dyDescent="0.2">
      <c r="A752" s="5">
        <v>750</v>
      </c>
      <c r="B752" s="5">
        <f t="shared" ca="1" si="11"/>
        <v>0.31445006203907733</v>
      </c>
      <c r="C752" s="5" t="s">
        <v>24</v>
      </c>
    </row>
    <row r="753" spans="1:3" x14ac:dyDescent="0.2">
      <c r="A753" s="5">
        <v>751</v>
      </c>
      <c r="B753" s="5">
        <f t="shared" ca="1" si="11"/>
        <v>0.83608187046820248</v>
      </c>
      <c r="C753" s="5" t="s">
        <v>23</v>
      </c>
    </row>
    <row r="754" spans="1:3" x14ac:dyDescent="0.2">
      <c r="A754" s="5">
        <v>752</v>
      </c>
      <c r="B754" s="5">
        <f t="shared" ca="1" si="11"/>
        <v>0.92746170492198299</v>
      </c>
      <c r="C754" s="5" t="s">
        <v>23</v>
      </c>
    </row>
    <row r="755" spans="1:3" x14ac:dyDescent="0.2">
      <c r="A755" s="5">
        <v>753</v>
      </c>
      <c r="B755" s="5">
        <f t="shared" ca="1" si="11"/>
        <v>0.75239722314998836</v>
      </c>
      <c r="C755" s="5" t="s">
        <v>23</v>
      </c>
    </row>
    <row r="756" spans="1:3" x14ac:dyDescent="0.2">
      <c r="A756" s="5">
        <v>754</v>
      </c>
      <c r="B756" s="5">
        <f t="shared" ca="1" si="11"/>
        <v>0.5850031861483237</v>
      </c>
      <c r="C756" s="5" t="s">
        <v>23</v>
      </c>
    </row>
    <row r="757" spans="1:3" x14ac:dyDescent="0.2">
      <c r="A757" s="5">
        <v>755</v>
      </c>
      <c r="B757" s="5">
        <f t="shared" ca="1" si="11"/>
        <v>0.64351667862974593</v>
      </c>
      <c r="C757" s="5" t="s">
        <v>24</v>
      </c>
    </row>
    <row r="758" spans="1:3" x14ac:dyDescent="0.2">
      <c r="A758" s="5">
        <v>756</v>
      </c>
      <c r="B758" s="5">
        <f t="shared" ca="1" si="11"/>
        <v>0.70183717978499427</v>
      </c>
      <c r="C758" s="5" t="s">
        <v>23</v>
      </c>
    </row>
    <row r="759" spans="1:3" x14ac:dyDescent="0.2">
      <c r="A759" s="5">
        <v>757</v>
      </c>
      <c r="B759" s="5">
        <f t="shared" ca="1" si="11"/>
        <v>0.74899894062935823</v>
      </c>
      <c r="C759" s="5" t="s">
        <v>23</v>
      </c>
    </row>
    <row r="760" spans="1:3" x14ac:dyDescent="0.2">
      <c r="A760" s="5">
        <v>758</v>
      </c>
      <c r="B760" s="5">
        <f t="shared" ca="1" si="11"/>
        <v>0.7235950707255262</v>
      </c>
      <c r="C760" s="5" t="s">
        <v>23</v>
      </c>
    </row>
    <row r="761" spans="1:3" x14ac:dyDescent="0.2">
      <c r="A761" s="5">
        <v>759</v>
      </c>
      <c r="B761" s="5">
        <f t="shared" ca="1" si="11"/>
        <v>0.61159860685739942</v>
      </c>
      <c r="C761" s="5" t="s">
        <v>24</v>
      </c>
    </row>
    <row r="762" spans="1:3" x14ac:dyDescent="0.2">
      <c r="A762" s="5">
        <v>760</v>
      </c>
      <c r="B762" s="5">
        <f t="shared" ca="1" si="11"/>
        <v>0.7085511767731083</v>
      </c>
      <c r="C762" s="5" t="s">
        <v>23</v>
      </c>
    </row>
    <row r="763" spans="1:3" x14ac:dyDescent="0.2">
      <c r="A763" s="5">
        <v>761</v>
      </c>
      <c r="B763" s="5">
        <f t="shared" ca="1" si="11"/>
        <v>0.4594731358956583</v>
      </c>
      <c r="C763" s="5" t="s">
        <v>24</v>
      </c>
    </row>
    <row r="764" spans="1:3" x14ac:dyDescent="0.2">
      <c r="A764" s="5">
        <v>762</v>
      </c>
      <c r="B764" s="5">
        <f t="shared" ca="1" si="11"/>
        <v>0.67315085175893385</v>
      </c>
      <c r="C764" s="5" t="s">
        <v>24</v>
      </c>
    </row>
    <row r="765" spans="1:3" x14ac:dyDescent="0.2">
      <c r="A765" s="5">
        <v>763</v>
      </c>
      <c r="B765" s="5">
        <f t="shared" ca="1" si="11"/>
        <v>0.71334083456252739</v>
      </c>
      <c r="C765" s="5" t="s">
        <v>24</v>
      </c>
    </row>
    <row r="766" spans="1:3" x14ac:dyDescent="0.2">
      <c r="A766" s="5">
        <v>764</v>
      </c>
      <c r="B766" s="5">
        <f t="shared" ca="1" si="11"/>
        <v>0.59008847740292514</v>
      </c>
      <c r="C766" s="5" t="s">
        <v>24</v>
      </c>
    </row>
    <row r="767" spans="1:3" x14ac:dyDescent="0.2">
      <c r="A767" s="5">
        <v>765</v>
      </c>
      <c r="B767" s="5">
        <f t="shared" ca="1" si="11"/>
        <v>0.58405604654146903</v>
      </c>
      <c r="C767" s="5" t="s">
        <v>24</v>
      </c>
    </row>
    <row r="768" spans="1:3" x14ac:dyDescent="0.2">
      <c r="A768" s="5">
        <v>766</v>
      </c>
      <c r="B768" s="5">
        <f t="shared" ca="1" si="11"/>
        <v>0.45565185947974868</v>
      </c>
      <c r="C768" s="5" t="s">
        <v>24</v>
      </c>
    </row>
    <row r="769" spans="1:3" x14ac:dyDescent="0.2">
      <c r="A769" s="5">
        <v>767</v>
      </c>
      <c r="B769" s="5">
        <f t="shared" ca="1" si="11"/>
        <v>0.647352759413651</v>
      </c>
      <c r="C769" s="5" t="s">
        <v>23</v>
      </c>
    </row>
    <row r="770" spans="1:3" x14ac:dyDescent="0.2">
      <c r="A770" s="5">
        <v>768</v>
      </c>
      <c r="B770" s="5">
        <f t="shared" ca="1" si="11"/>
        <v>0.73423855368198521</v>
      </c>
      <c r="C770" s="5" t="s">
        <v>23</v>
      </c>
    </row>
    <row r="771" spans="1:3" x14ac:dyDescent="0.2">
      <c r="A771" s="5">
        <v>769</v>
      </c>
      <c r="B771" s="5">
        <f t="shared" ca="1" si="11"/>
        <v>0.52551217911899561</v>
      </c>
      <c r="C771" s="5" t="s">
        <v>24</v>
      </c>
    </row>
    <row r="772" spans="1:3" x14ac:dyDescent="0.2">
      <c r="A772" s="5">
        <v>770</v>
      </c>
      <c r="B772" s="5">
        <f t="shared" ref="B772:B835" ca="1" si="12">IF(C772="Bomb",_xlfn.NORM.INV(RAND(),0.7,0.1),_xlfn.NORM.INV(RAND(),0.6,0.15))</f>
        <v>0.82179553724226295</v>
      </c>
      <c r="C772" s="5" t="s">
        <v>23</v>
      </c>
    </row>
    <row r="773" spans="1:3" x14ac:dyDescent="0.2">
      <c r="A773" s="5">
        <v>771</v>
      </c>
      <c r="B773" s="5">
        <f t="shared" ca="1" si="12"/>
        <v>0.69399763907846324</v>
      </c>
      <c r="C773" s="5" t="s">
        <v>24</v>
      </c>
    </row>
    <row r="774" spans="1:3" x14ac:dyDescent="0.2">
      <c r="A774" s="5">
        <v>772</v>
      </c>
      <c r="B774" s="5">
        <f t="shared" ca="1" si="12"/>
        <v>0.71288858869711524</v>
      </c>
      <c r="C774" s="5" t="s">
        <v>24</v>
      </c>
    </row>
    <row r="775" spans="1:3" x14ac:dyDescent="0.2">
      <c r="A775" s="5">
        <v>773</v>
      </c>
      <c r="B775" s="5">
        <f t="shared" ca="1" si="12"/>
        <v>0.42596564235821088</v>
      </c>
      <c r="C775" s="5" t="s">
        <v>24</v>
      </c>
    </row>
    <row r="776" spans="1:3" x14ac:dyDescent="0.2">
      <c r="A776" s="5">
        <v>774</v>
      </c>
      <c r="B776" s="5">
        <f t="shared" ca="1" si="12"/>
        <v>0.6058432104624123</v>
      </c>
      <c r="C776" s="5" t="s">
        <v>24</v>
      </c>
    </row>
    <row r="777" spans="1:3" x14ac:dyDescent="0.2">
      <c r="A777" s="5">
        <v>775</v>
      </c>
      <c r="B777" s="5">
        <f t="shared" ca="1" si="12"/>
        <v>0.60257195617890336</v>
      </c>
      <c r="C777" s="5" t="s">
        <v>23</v>
      </c>
    </row>
    <row r="778" spans="1:3" x14ac:dyDescent="0.2">
      <c r="A778" s="5">
        <v>776</v>
      </c>
      <c r="B778" s="5">
        <f t="shared" ca="1" si="12"/>
        <v>0.7258236189263898</v>
      </c>
      <c r="C778" s="5" t="s">
        <v>24</v>
      </c>
    </row>
    <row r="779" spans="1:3" x14ac:dyDescent="0.2">
      <c r="A779" s="5">
        <v>777</v>
      </c>
      <c r="B779" s="5">
        <f t="shared" ca="1" si="12"/>
        <v>0.73024750131654093</v>
      </c>
      <c r="C779" s="5" t="s">
        <v>23</v>
      </c>
    </row>
    <row r="780" spans="1:3" x14ac:dyDescent="0.2">
      <c r="A780" s="5">
        <v>778</v>
      </c>
      <c r="B780" s="5">
        <f t="shared" ca="1" si="12"/>
        <v>0.52631615094565076</v>
      </c>
      <c r="C780" s="5" t="s">
        <v>23</v>
      </c>
    </row>
    <row r="781" spans="1:3" x14ac:dyDescent="0.2">
      <c r="A781" s="5">
        <v>779</v>
      </c>
      <c r="B781" s="5">
        <f t="shared" ca="1" si="12"/>
        <v>0.60230482838815369</v>
      </c>
      <c r="C781" s="5" t="s">
        <v>23</v>
      </c>
    </row>
    <row r="782" spans="1:3" x14ac:dyDescent="0.2">
      <c r="A782" s="5">
        <v>780</v>
      </c>
      <c r="B782" s="5">
        <f t="shared" ca="1" si="12"/>
        <v>0.70797219862359384</v>
      </c>
      <c r="C782" s="5" t="s">
        <v>23</v>
      </c>
    </row>
    <row r="783" spans="1:3" x14ac:dyDescent="0.2">
      <c r="A783" s="5">
        <v>781</v>
      </c>
      <c r="B783" s="5">
        <f t="shared" ca="1" si="12"/>
        <v>0.75893003817791627</v>
      </c>
      <c r="C783" s="5" t="s">
        <v>23</v>
      </c>
    </row>
    <row r="784" spans="1:3" x14ac:dyDescent="0.2">
      <c r="A784" s="5">
        <v>782</v>
      </c>
      <c r="B784" s="5">
        <f t="shared" ca="1" si="12"/>
        <v>0.74134286913911074</v>
      </c>
      <c r="C784" s="5" t="s">
        <v>23</v>
      </c>
    </row>
    <row r="785" spans="1:3" x14ac:dyDescent="0.2">
      <c r="A785" s="5">
        <v>783</v>
      </c>
      <c r="B785" s="5">
        <f t="shared" ca="1" si="12"/>
        <v>0.74679344841543838</v>
      </c>
      <c r="C785" s="5" t="s">
        <v>23</v>
      </c>
    </row>
    <row r="786" spans="1:3" x14ac:dyDescent="0.2">
      <c r="A786" s="5">
        <v>784</v>
      </c>
      <c r="B786" s="5">
        <f t="shared" ca="1" si="12"/>
        <v>0.9574321228631264</v>
      </c>
      <c r="C786" s="5" t="s">
        <v>24</v>
      </c>
    </row>
    <row r="787" spans="1:3" x14ac:dyDescent="0.2">
      <c r="A787" s="5">
        <v>785</v>
      </c>
      <c r="B787" s="5">
        <f t="shared" ca="1" si="12"/>
        <v>0.67849573630359827</v>
      </c>
      <c r="C787" s="5" t="s">
        <v>24</v>
      </c>
    </row>
    <row r="788" spans="1:3" x14ac:dyDescent="0.2">
      <c r="A788" s="5">
        <v>786</v>
      </c>
      <c r="B788" s="5">
        <f t="shared" ca="1" si="12"/>
        <v>0.46152959732950893</v>
      </c>
      <c r="C788" s="5" t="s">
        <v>24</v>
      </c>
    </row>
    <row r="789" spans="1:3" x14ac:dyDescent="0.2">
      <c r="A789" s="5">
        <v>787</v>
      </c>
      <c r="B789" s="5">
        <f t="shared" ca="1" si="12"/>
        <v>0.61223296305976738</v>
      </c>
      <c r="C789" s="5" t="s">
        <v>23</v>
      </c>
    </row>
    <row r="790" spans="1:3" x14ac:dyDescent="0.2">
      <c r="A790" s="5">
        <v>788</v>
      </c>
      <c r="B790" s="5">
        <f t="shared" ca="1" si="12"/>
        <v>0.65012189449284885</v>
      </c>
      <c r="C790" s="5" t="s">
        <v>24</v>
      </c>
    </row>
    <row r="791" spans="1:3" x14ac:dyDescent="0.2">
      <c r="A791" s="5">
        <v>789</v>
      </c>
      <c r="B791" s="5">
        <f t="shared" ca="1" si="12"/>
        <v>0.68708586856823062</v>
      </c>
      <c r="C791" s="5" t="s">
        <v>23</v>
      </c>
    </row>
    <row r="792" spans="1:3" x14ac:dyDescent="0.2">
      <c r="A792" s="5">
        <v>790</v>
      </c>
      <c r="B792" s="5">
        <f t="shared" ca="1" si="12"/>
        <v>0.64651284243260099</v>
      </c>
      <c r="C792" s="5" t="s">
        <v>23</v>
      </c>
    </row>
    <row r="793" spans="1:3" x14ac:dyDescent="0.2">
      <c r="A793" s="5">
        <v>791</v>
      </c>
      <c r="B793" s="5">
        <f t="shared" ca="1" si="12"/>
        <v>0.78065796726385761</v>
      </c>
      <c r="C793" s="5" t="s">
        <v>24</v>
      </c>
    </row>
    <row r="794" spans="1:3" x14ac:dyDescent="0.2">
      <c r="A794" s="5">
        <v>792</v>
      </c>
      <c r="B794" s="5">
        <f t="shared" ca="1" si="12"/>
        <v>0.85804854232544048</v>
      </c>
      <c r="C794" s="5" t="s">
        <v>24</v>
      </c>
    </row>
    <row r="795" spans="1:3" x14ac:dyDescent="0.2">
      <c r="A795" s="5">
        <v>793</v>
      </c>
      <c r="B795" s="5">
        <f t="shared" ca="1" si="12"/>
        <v>0.9153030664769739</v>
      </c>
      <c r="C795" s="5" t="s">
        <v>23</v>
      </c>
    </row>
    <row r="796" spans="1:3" x14ac:dyDescent="0.2">
      <c r="A796" s="5">
        <v>794</v>
      </c>
      <c r="B796" s="5">
        <f t="shared" ca="1" si="12"/>
        <v>0.50718373829953567</v>
      </c>
      <c r="C796" s="5" t="s">
        <v>24</v>
      </c>
    </row>
    <row r="797" spans="1:3" x14ac:dyDescent="0.2">
      <c r="A797" s="5">
        <v>795</v>
      </c>
      <c r="B797" s="5">
        <f t="shared" ca="1" si="12"/>
        <v>0.84087243109553522</v>
      </c>
      <c r="C797" s="5" t="s">
        <v>24</v>
      </c>
    </row>
    <row r="798" spans="1:3" x14ac:dyDescent="0.2">
      <c r="A798" s="5">
        <v>796</v>
      </c>
      <c r="B798" s="5">
        <f t="shared" ca="1" si="12"/>
        <v>0.38904738322029453</v>
      </c>
      <c r="C798" s="5" t="s">
        <v>24</v>
      </c>
    </row>
    <row r="799" spans="1:3" x14ac:dyDescent="0.2">
      <c r="A799" s="5">
        <v>797</v>
      </c>
      <c r="B799" s="5">
        <f t="shared" ca="1" si="12"/>
        <v>0.35446794537821358</v>
      </c>
      <c r="C799" s="5" t="s">
        <v>24</v>
      </c>
    </row>
    <row r="800" spans="1:3" x14ac:dyDescent="0.2">
      <c r="A800" s="5">
        <v>798</v>
      </c>
      <c r="B800" s="5">
        <f t="shared" ca="1" si="12"/>
        <v>0.53108834651497183</v>
      </c>
      <c r="C800" s="5" t="s">
        <v>23</v>
      </c>
    </row>
    <row r="801" spans="1:3" x14ac:dyDescent="0.2">
      <c r="A801" s="5">
        <v>799</v>
      </c>
      <c r="B801" s="5">
        <f t="shared" ca="1" si="12"/>
        <v>0.35734211439089747</v>
      </c>
      <c r="C801" s="5" t="s">
        <v>24</v>
      </c>
    </row>
    <row r="802" spans="1:3" x14ac:dyDescent="0.2">
      <c r="A802" s="5">
        <v>800</v>
      </c>
      <c r="B802" s="5">
        <f t="shared" ca="1" si="12"/>
        <v>0.36657950532216699</v>
      </c>
      <c r="C802" s="5" t="s">
        <v>24</v>
      </c>
    </row>
    <row r="803" spans="1:3" x14ac:dyDescent="0.2">
      <c r="A803" s="5">
        <v>801</v>
      </c>
      <c r="B803" s="5">
        <f t="shared" ca="1" si="12"/>
        <v>0.63755757448484629</v>
      </c>
      <c r="C803" s="5" t="s">
        <v>24</v>
      </c>
    </row>
    <row r="804" spans="1:3" x14ac:dyDescent="0.2">
      <c r="A804" s="5">
        <v>802</v>
      </c>
      <c r="B804" s="5">
        <f t="shared" ca="1" si="12"/>
        <v>0.52383357098349925</v>
      </c>
      <c r="C804" s="5" t="s">
        <v>24</v>
      </c>
    </row>
    <row r="805" spans="1:3" x14ac:dyDescent="0.2">
      <c r="A805" s="5">
        <v>803</v>
      </c>
      <c r="B805" s="5">
        <f t="shared" ca="1" si="12"/>
        <v>0.90522086163290671</v>
      </c>
      <c r="C805" s="5" t="s">
        <v>23</v>
      </c>
    </row>
    <row r="806" spans="1:3" x14ac:dyDescent="0.2">
      <c r="A806" s="5">
        <v>804</v>
      </c>
      <c r="B806" s="5">
        <f t="shared" ca="1" si="12"/>
        <v>0.68208853406169123</v>
      </c>
      <c r="C806" s="5" t="s">
        <v>24</v>
      </c>
    </row>
    <row r="807" spans="1:3" x14ac:dyDescent="0.2">
      <c r="A807" s="5">
        <v>805</v>
      </c>
      <c r="B807" s="5">
        <f t="shared" ca="1" si="12"/>
        <v>0.72641131934007075</v>
      </c>
      <c r="C807" s="5" t="s">
        <v>23</v>
      </c>
    </row>
    <row r="808" spans="1:3" x14ac:dyDescent="0.2">
      <c r="A808" s="5">
        <v>806</v>
      </c>
      <c r="B808" s="5">
        <f t="shared" ca="1" si="12"/>
        <v>0.62780192112539568</v>
      </c>
      <c r="C808" s="5" t="s">
        <v>24</v>
      </c>
    </row>
    <row r="809" spans="1:3" x14ac:dyDescent="0.2">
      <c r="A809" s="5">
        <v>807</v>
      </c>
      <c r="B809" s="5">
        <f t="shared" ca="1" si="12"/>
        <v>0.76581198082495328</v>
      </c>
      <c r="C809" s="5" t="s">
        <v>23</v>
      </c>
    </row>
    <row r="810" spans="1:3" x14ac:dyDescent="0.2">
      <c r="A810" s="5">
        <v>808</v>
      </c>
      <c r="B810" s="5">
        <f t="shared" ca="1" si="12"/>
        <v>0.61600777883103131</v>
      </c>
      <c r="C810" s="5" t="s">
        <v>23</v>
      </c>
    </row>
    <row r="811" spans="1:3" x14ac:dyDescent="0.2">
      <c r="A811" s="5">
        <v>809</v>
      </c>
      <c r="B811" s="5">
        <f t="shared" ca="1" si="12"/>
        <v>0.67207708235418262</v>
      </c>
      <c r="C811" s="5" t="s">
        <v>23</v>
      </c>
    </row>
    <row r="812" spans="1:3" x14ac:dyDescent="0.2">
      <c r="A812" s="5">
        <v>810</v>
      </c>
      <c r="B812" s="5">
        <f t="shared" ca="1" si="12"/>
        <v>0.58014707598514337</v>
      </c>
      <c r="C812" s="5" t="s">
        <v>23</v>
      </c>
    </row>
    <row r="813" spans="1:3" x14ac:dyDescent="0.2">
      <c r="A813" s="5">
        <v>811</v>
      </c>
      <c r="B813" s="5">
        <f t="shared" ca="1" si="12"/>
        <v>0.66055584506383802</v>
      </c>
      <c r="C813" s="5" t="s">
        <v>24</v>
      </c>
    </row>
    <row r="814" spans="1:3" x14ac:dyDescent="0.2">
      <c r="A814" s="5">
        <v>812</v>
      </c>
      <c r="B814" s="5">
        <f t="shared" ca="1" si="12"/>
        <v>0.69169077942013046</v>
      </c>
      <c r="C814" s="5" t="s">
        <v>23</v>
      </c>
    </row>
    <row r="815" spans="1:3" x14ac:dyDescent="0.2">
      <c r="A815" s="5">
        <v>813</v>
      </c>
      <c r="B815" s="5">
        <f t="shared" ca="1" si="12"/>
        <v>0.67920194405538836</v>
      </c>
      <c r="C815" s="5" t="s">
        <v>23</v>
      </c>
    </row>
    <row r="816" spans="1:3" x14ac:dyDescent="0.2">
      <c r="A816" s="5">
        <v>814</v>
      </c>
      <c r="B816" s="5">
        <f t="shared" ca="1" si="12"/>
        <v>0.52893133236983181</v>
      </c>
      <c r="C816" s="5" t="s">
        <v>24</v>
      </c>
    </row>
    <row r="817" spans="1:3" x14ac:dyDescent="0.2">
      <c r="A817" s="5">
        <v>815</v>
      </c>
      <c r="B817" s="5">
        <f t="shared" ca="1" si="12"/>
        <v>0.58032967728434748</v>
      </c>
      <c r="C817" s="5" t="s">
        <v>24</v>
      </c>
    </row>
    <row r="818" spans="1:3" x14ac:dyDescent="0.2">
      <c r="A818" s="5">
        <v>816</v>
      </c>
      <c r="B818" s="5">
        <f t="shared" ca="1" si="12"/>
        <v>0.6555448848030494</v>
      </c>
      <c r="C818" s="5" t="s">
        <v>24</v>
      </c>
    </row>
    <row r="819" spans="1:3" x14ac:dyDescent="0.2">
      <c r="A819" s="5">
        <v>817</v>
      </c>
      <c r="B819" s="5">
        <f t="shared" ca="1" si="12"/>
        <v>0.4924207159423164</v>
      </c>
      <c r="C819" s="5" t="s">
        <v>24</v>
      </c>
    </row>
    <row r="820" spans="1:3" x14ac:dyDescent="0.2">
      <c r="A820" s="5">
        <v>818</v>
      </c>
      <c r="B820" s="5">
        <f t="shared" ca="1" si="12"/>
        <v>0.66166827892662394</v>
      </c>
      <c r="C820" s="5" t="s">
        <v>24</v>
      </c>
    </row>
    <row r="821" spans="1:3" x14ac:dyDescent="0.2">
      <c r="A821" s="5">
        <v>819</v>
      </c>
      <c r="B821" s="5">
        <f t="shared" ca="1" si="12"/>
        <v>0.50632582947483307</v>
      </c>
      <c r="C821" s="5" t="s">
        <v>24</v>
      </c>
    </row>
    <row r="822" spans="1:3" x14ac:dyDescent="0.2">
      <c r="A822" s="5">
        <v>820</v>
      </c>
      <c r="B822" s="5">
        <f t="shared" ca="1" si="12"/>
        <v>0.54100088925906997</v>
      </c>
      <c r="C822" s="5" t="s">
        <v>24</v>
      </c>
    </row>
    <row r="823" spans="1:3" x14ac:dyDescent="0.2">
      <c r="A823" s="5">
        <v>821</v>
      </c>
      <c r="B823" s="5">
        <f t="shared" ca="1" si="12"/>
        <v>0.77636212552090811</v>
      </c>
      <c r="C823" s="5" t="s">
        <v>23</v>
      </c>
    </row>
    <row r="824" spans="1:3" x14ac:dyDescent="0.2">
      <c r="A824" s="5">
        <v>822</v>
      </c>
      <c r="B824" s="5">
        <f t="shared" ca="1" si="12"/>
        <v>0.57272279680971816</v>
      </c>
      <c r="C824" s="5" t="s">
        <v>24</v>
      </c>
    </row>
    <row r="825" spans="1:3" x14ac:dyDescent="0.2">
      <c r="A825" s="5">
        <v>823</v>
      </c>
      <c r="B825" s="5">
        <f t="shared" ca="1" si="12"/>
        <v>0.71367571851988321</v>
      </c>
      <c r="C825" s="5" t="s">
        <v>23</v>
      </c>
    </row>
    <row r="826" spans="1:3" x14ac:dyDescent="0.2">
      <c r="A826" s="5">
        <v>824</v>
      </c>
      <c r="B826" s="5">
        <f t="shared" ca="1" si="12"/>
        <v>0.67103803891513236</v>
      </c>
      <c r="C826" s="5" t="s">
        <v>23</v>
      </c>
    </row>
    <row r="827" spans="1:3" x14ac:dyDescent="0.2">
      <c r="A827" s="5">
        <v>825</v>
      </c>
      <c r="B827" s="5">
        <f t="shared" ca="1" si="12"/>
        <v>0.79103396568206263</v>
      </c>
      <c r="C827" s="5" t="s">
        <v>23</v>
      </c>
    </row>
    <row r="828" spans="1:3" x14ac:dyDescent="0.2">
      <c r="A828" s="5">
        <v>826</v>
      </c>
      <c r="B828" s="5">
        <f t="shared" ca="1" si="12"/>
        <v>0.58636565398162455</v>
      </c>
      <c r="C828" s="5" t="s">
        <v>24</v>
      </c>
    </row>
    <row r="829" spans="1:3" x14ac:dyDescent="0.2">
      <c r="A829" s="5">
        <v>827</v>
      </c>
      <c r="B829" s="5">
        <f t="shared" ca="1" si="12"/>
        <v>0.54837563083027074</v>
      </c>
      <c r="C829" s="5" t="s">
        <v>24</v>
      </c>
    </row>
    <row r="830" spans="1:3" x14ac:dyDescent="0.2">
      <c r="A830" s="5">
        <v>828</v>
      </c>
      <c r="B830" s="5">
        <f t="shared" ca="1" si="12"/>
        <v>0.43752489986056542</v>
      </c>
      <c r="C830" s="5" t="s">
        <v>24</v>
      </c>
    </row>
    <row r="831" spans="1:3" x14ac:dyDescent="0.2">
      <c r="A831" s="5">
        <v>829</v>
      </c>
      <c r="B831" s="5">
        <f t="shared" ca="1" si="12"/>
        <v>0.67947377667352971</v>
      </c>
      <c r="C831" s="5" t="s">
        <v>23</v>
      </c>
    </row>
    <row r="832" spans="1:3" x14ac:dyDescent="0.2">
      <c r="A832" s="5">
        <v>830</v>
      </c>
      <c r="B832" s="5">
        <f t="shared" ca="1" si="12"/>
        <v>0.53688841383401842</v>
      </c>
      <c r="C832" s="5" t="s">
        <v>24</v>
      </c>
    </row>
    <row r="833" spans="1:3" x14ac:dyDescent="0.2">
      <c r="A833" s="5">
        <v>831</v>
      </c>
      <c r="B833" s="5">
        <f t="shared" ca="1" si="12"/>
        <v>0.32243671893769371</v>
      </c>
      <c r="C833" s="5" t="s">
        <v>24</v>
      </c>
    </row>
    <row r="834" spans="1:3" x14ac:dyDescent="0.2">
      <c r="A834" s="5">
        <v>832</v>
      </c>
      <c r="B834" s="5">
        <f t="shared" ca="1" si="12"/>
        <v>0.71972794183548561</v>
      </c>
      <c r="C834" s="5" t="s">
        <v>24</v>
      </c>
    </row>
    <row r="835" spans="1:3" x14ac:dyDescent="0.2">
      <c r="A835" s="5">
        <v>833</v>
      </c>
      <c r="B835" s="5">
        <f t="shared" ca="1" si="12"/>
        <v>0.57886826570019867</v>
      </c>
      <c r="C835" s="5" t="s">
        <v>23</v>
      </c>
    </row>
    <row r="836" spans="1:3" x14ac:dyDescent="0.2">
      <c r="A836" s="5">
        <v>834</v>
      </c>
      <c r="B836" s="5">
        <f t="shared" ref="B836:B899" ca="1" si="13">IF(C836="Bomb",_xlfn.NORM.INV(RAND(),0.7,0.1),_xlfn.NORM.INV(RAND(),0.6,0.15))</f>
        <v>0.61736764173465419</v>
      </c>
      <c r="C836" s="5" t="s">
        <v>24</v>
      </c>
    </row>
    <row r="837" spans="1:3" x14ac:dyDescent="0.2">
      <c r="A837" s="5">
        <v>835</v>
      </c>
      <c r="B837" s="5">
        <f t="shared" ca="1" si="13"/>
        <v>0.79972905541013373</v>
      </c>
      <c r="C837" s="5" t="s">
        <v>23</v>
      </c>
    </row>
    <row r="838" spans="1:3" x14ac:dyDescent="0.2">
      <c r="A838" s="5">
        <v>836</v>
      </c>
      <c r="B838" s="5">
        <f t="shared" ca="1" si="13"/>
        <v>0.75893468773584494</v>
      </c>
      <c r="C838" s="5" t="s">
        <v>24</v>
      </c>
    </row>
    <row r="839" spans="1:3" x14ac:dyDescent="0.2">
      <c r="A839" s="5">
        <v>837</v>
      </c>
      <c r="B839" s="5">
        <f t="shared" ca="1" si="13"/>
        <v>0.6623897194522177</v>
      </c>
      <c r="C839" s="5" t="s">
        <v>23</v>
      </c>
    </row>
    <row r="840" spans="1:3" x14ac:dyDescent="0.2">
      <c r="A840" s="5">
        <v>838</v>
      </c>
      <c r="B840" s="5">
        <f t="shared" ca="1" si="13"/>
        <v>0.38191347607036047</v>
      </c>
      <c r="C840" s="5" t="s">
        <v>24</v>
      </c>
    </row>
    <row r="841" spans="1:3" x14ac:dyDescent="0.2">
      <c r="A841" s="5">
        <v>839</v>
      </c>
      <c r="B841" s="5">
        <f t="shared" ca="1" si="13"/>
        <v>0.74056402429431356</v>
      </c>
      <c r="C841" s="5" t="s">
        <v>23</v>
      </c>
    </row>
    <row r="842" spans="1:3" x14ac:dyDescent="0.2">
      <c r="A842" s="5">
        <v>840</v>
      </c>
      <c r="B842" s="5">
        <f t="shared" ca="1" si="13"/>
        <v>0.80743733848903754</v>
      </c>
      <c r="C842" s="5" t="s">
        <v>23</v>
      </c>
    </row>
    <row r="843" spans="1:3" x14ac:dyDescent="0.2">
      <c r="A843" s="5">
        <v>841</v>
      </c>
      <c r="B843" s="5">
        <f t="shared" ca="1" si="13"/>
        <v>0.83801224848290867</v>
      </c>
      <c r="C843" s="5" t="s">
        <v>23</v>
      </c>
    </row>
    <row r="844" spans="1:3" x14ac:dyDescent="0.2">
      <c r="A844" s="5">
        <v>842</v>
      </c>
      <c r="B844" s="5">
        <f t="shared" ca="1" si="13"/>
        <v>0.37529427463370968</v>
      </c>
      <c r="C844" s="5" t="s">
        <v>24</v>
      </c>
    </row>
    <row r="845" spans="1:3" x14ac:dyDescent="0.2">
      <c r="A845" s="5">
        <v>843</v>
      </c>
      <c r="B845" s="5">
        <f t="shared" ca="1" si="13"/>
        <v>0.38381872624967517</v>
      </c>
      <c r="C845" s="5" t="s">
        <v>24</v>
      </c>
    </row>
    <row r="846" spans="1:3" x14ac:dyDescent="0.2">
      <c r="A846" s="5">
        <v>844</v>
      </c>
      <c r="B846" s="5">
        <f t="shared" ca="1" si="13"/>
        <v>0.85659190875866398</v>
      </c>
      <c r="C846" s="5" t="s">
        <v>24</v>
      </c>
    </row>
    <row r="847" spans="1:3" x14ac:dyDescent="0.2">
      <c r="A847" s="5">
        <v>845</v>
      </c>
      <c r="B847" s="5">
        <f t="shared" ca="1" si="13"/>
        <v>0.85632185424832497</v>
      </c>
      <c r="C847" s="5" t="s">
        <v>24</v>
      </c>
    </row>
    <row r="848" spans="1:3" x14ac:dyDescent="0.2">
      <c r="A848" s="5">
        <v>846</v>
      </c>
      <c r="B848" s="5">
        <f t="shared" ca="1" si="13"/>
        <v>0.71005831404069197</v>
      </c>
      <c r="C848" s="5" t="s">
        <v>24</v>
      </c>
    </row>
    <row r="849" spans="1:3" x14ac:dyDescent="0.2">
      <c r="A849" s="5">
        <v>847</v>
      </c>
      <c r="B849" s="5">
        <f t="shared" ca="1" si="13"/>
        <v>0.66073819599807004</v>
      </c>
      <c r="C849" s="5" t="s">
        <v>23</v>
      </c>
    </row>
    <row r="850" spans="1:3" x14ac:dyDescent="0.2">
      <c r="A850" s="5">
        <v>848</v>
      </c>
      <c r="B850" s="5">
        <f t="shared" ca="1" si="13"/>
        <v>0.51120023296936901</v>
      </c>
      <c r="C850" s="5" t="s">
        <v>24</v>
      </c>
    </row>
    <row r="851" spans="1:3" x14ac:dyDescent="0.2">
      <c r="A851" s="5">
        <v>849</v>
      </c>
      <c r="B851" s="5">
        <f t="shared" ca="1" si="13"/>
        <v>0.60492925045784585</v>
      </c>
      <c r="C851" s="5" t="s">
        <v>23</v>
      </c>
    </row>
    <row r="852" spans="1:3" x14ac:dyDescent="0.2">
      <c r="A852" s="5">
        <v>850</v>
      </c>
      <c r="B852" s="5">
        <f t="shared" ca="1" si="13"/>
        <v>0.60930376848196965</v>
      </c>
      <c r="C852" s="5" t="s">
        <v>24</v>
      </c>
    </row>
    <row r="853" spans="1:3" x14ac:dyDescent="0.2">
      <c r="A853" s="5">
        <v>851</v>
      </c>
      <c r="B853" s="5">
        <f t="shared" ca="1" si="13"/>
        <v>0.80665026793894445</v>
      </c>
      <c r="C853" s="5" t="s">
        <v>24</v>
      </c>
    </row>
    <row r="854" spans="1:3" x14ac:dyDescent="0.2">
      <c r="A854" s="5">
        <v>852</v>
      </c>
      <c r="B854" s="5">
        <f t="shared" ca="1" si="13"/>
        <v>0.57486390517764319</v>
      </c>
      <c r="C854" s="5" t="s">
        <v>24</v>
      </c>
    </row>
    <row r="855" spans="1:3" x14ac:dyDescent="0.2">
      <c r="A855" s="5">
        <v>853</v>
      </c>
      <c r="B855" s="5">
        <f t="shared" ca="1" si="13"/>
        <v>0.70035311513772924</v>
      </c>
      <c r="C855" s="5" t="s">
        <v>24</v>
      </c>
    </row>
    <row r="856" spans="1:3" x14ac:dyDescent="0.2">
      <c r="A856" s="5">
        <v>854</v>
      </c>
      <c r="B856" s="5">
        <f t="shared" ca="1" si="13"/>
        <v>0.82986625913906675</v>
      </c>
      <c r="C856" s="5" t="s">
        <v>24</v>
      </c>
    </row>
    <row r="857" spans="1:3" x14ac:dyDescent="0.2">
      <c r="A857" s="5">
        <v>855</v>
      </c>
      <c r="B857" s="5">
        <f t="shared" ca="1" si="13"/>
        <v>0.70399605546775379</v>
      </c>
      <c r="C857" s="5" t="s">
        <v>23</v>
      </c>
    </row>
    <row r="858" spans="1:3" x14ac:dyDescent="0.2">
      <c r="A858" s="5">
        <v>856</v>
      </c>
      <c r="B858" s="5">
        <f t="shared" ca="1" si="13"/>
        <v>0.48963406117400621</v>
      </c>
      <c r="C858" s="5" t="s">
        <v>23</v>
      </c>
    </row>
    <row r="859" spans="1:3" x14ac:dyDescent="0.2">
      <c r="A859" s="5">
        <v>857</v>
      </c>
      <c r="B859" s="5">
        <f t="shared" ca="1" si="13"/>
        <v>0.42561059561277031</v>
      </c>
      <c r="C859" s="5" t="s">
        <v>24</v>
      </c>
    </row>
    <row r="860" spans="1:3" x14ac:dyDescent="0.2">
      <c r="A860" s="5">
        <v>858</v>
      </c>
      <c r="B860" s="5">
        <f t="shared" ca="1" si="13"/>
        <v>0.72135333090915621</v>
      </c>
      <c r="C860" s="5" t="s">
        <v>24</v>
      </c>
    </row>
    <row r="861" spans="1:3" x14ac:dyDescent="0.2">
      <c r="A861" s="5">
        <v>859</v>
      </c>
      <c r="B861" s="5">
        <f t="shared" ca="1" si="13"/>
        <v>0.62520849379542687</v>
      </c>
      <c r="C861" s="5" t="s">
        <v>24</v>
      </c>
    </row>
    <row r="862" spans="1:3" x14ac:dyDescent="0.2">
      <c r="A862" s="5">
        <v>860</v>
      </c>
      <c r="B862" s="5">
        <f t="shared" ca="1" si="13"/>
        <v>0.61474769695152298</v>
      </c>
      <c r="C862" s="5" t="s">
        <v>24</v>
      </c>
    </row>
    <row r="863" spans="1:3" x14ac:dyDescent="0.2">
      <c r="A863" s="5">
        <v>861</v>
      </c>
      <c r="B863" s="5">
        <f t="shared" ca="1" si="13"/>
        <v>0.77469824411389721</v>
      </c>
      <c r="C863" s="5" t="s">
        <v>23</v>
      </c>
    </row>
    <row r="864" spans="1:3" x14ac:dyDescent="0.2">
      <c r="A864" s="5">
        <v>862</v>
      </c>
      <c r="B864" s="5">
        <f t="shared" ca="1" si="13"/>
        <v>0.46097786586828693</v>
      </c>
      <c r="C864" s="5" t="s">
        <v>24</v>
      </c>
    </row>
    <row r="865" spans="1:3" x14ac:dyDescent="0.2">
      <c r="A865" s="5">
        <v>863</v>
      </c>
      <c r="B865" s="5">
        <f t="shared" ca="1" si="13"/>
        <v>0.58394191554613639</v>
      </c>
      <c r="C865" s="5" t="s">
        <v>24</v>
      </c>
    </row>
    <row r="866" spans="1:3" x14ac:dyDescent="0.2">
      <c r="A866" s="5">
        <v>864</v>
      </c>
      <c r="B866" s="5">
        <f t="shared" ca="1" si="13"/>
        <v>0.66418886737597904</v>
      </c>
      <c r="C866" s="5" t="s">
        <v>24</v>
      </c>
    </row>
    <row r="867" spans="1:3" x14ac:dyDescent="0.2">
      <c r="A867" s="5">
        <v>865</v>
      </c>
      <c r="B867" s="5">
        <f t="shared" ca="1" si="13"/>
        <v>0.55486560459279388</v>
      </c>
      <c r="C867" s="5" t="s">
        <v>24</v>
      </c>
    </row>
    <row r="868" spans="1:3" x14ac:dyDescent="0.2">
      <c r="A868" s="5">
        <v>866</v>
      </c>
      <c r="B868" s="5">
        <f t="shared" ca="1" si="13"/>
        <v>0.72437491714106028</v>
      </c>
      <c r="C868" s="5" t="s">
        <v>24</v>
      </c>
    </row>
    <row r="869" spans="1:3" x14ac:dyDescent="0.2">
      <c r="A869" s="5">
        <v>867</v>
      </c>
      <c r="B869" s="5">
        <f t="shared" ca="1" si="13"/>
        <v>0.54152846765936258</v>
      </c>
      <c r="C869" s="5" t="s">
        <v>24</v>
      </c>
    </row>
    <row r="870" spans="1:3" x14ac:dyDescent="0.2">
      <c r="A870" s="5">
        <v>868</v>
      </c>
      <c r="B870" s="5">
        <f t="shared" ca="1" si="13"/>
        <v>0.57002023512882904</v>
      </c>
      <c r="C870" s="5" t="s">
        <v>24</v>
      </c>
    </row>
    <row r="871" spans="1:3" x14ac:dyDescent="0.2">
      <c r="A871" s="5">
        <v>869</v>
      </c>
      <c r="B871" s="5">
        <f t="shared" ca="1" si="13"/>
        <v>0.40159051120250594</v>
      </c>
      <c r="C871" s="5" t="s">
        <v>24</v>
      </c>
    </row>
    <row r="872" spans="1:3" x14ac:dyDescent="0.2">
      <c r="A872" s="5">
        <v>870</v>
      </c>
      <c r="B872" s="5">
        <f t="shared" ca="1" si="13"/>
        <v>0.77239915147743021</v>
      </c>
      <c r="C872" s="5" t="s">
        <v>24</v>
      </c>
    </row>
    <row r="873" spans="1:3" x14ac:dyDescent="0.2">
      <c r="A873" s="5">
        <v>871</v>
      </c>
      <c r="B873" s="5">
        <f t="shared" ca="1" si="13"/>
        <v>0.79128816653366307</v>
      </c>
      <c r="C873" s="5" t="s">
        <v>23</v>
      </c>
    </row>
    <row r="874" spans="1:3" x14ac:dyDescent="0.2">
      <c r="A874" s="5">
        <v>872</v>
      </c>
      <c r="B874" s="5">
        <f t="shared" ca="1" si="13"/>
        <v>0.64872340713878485</v>
      </c>
      <c r="C874" s="5" t="s">
        <v>23</v>
      </c>
    </row>
    <row r="875" spans="1:3" x14ac:dyDescent="0.2">
      <c r="A875" s="5">
        <v>873</v>
      </c>
      <c r="B875" s="5">
        <f t="shared" ca="1" si="13"/>
        <v>0.68816436878558662</v>
      </c>
      <c r="C875" s="5" t="s">
        <v>23</v>
      </c>
    </row>
    <row r="876" spans="1:3" x14ac:dyDescent="0.2">
      <c r="A876" s="5">
        <v>874</v>
      </c>
      <c r="B876" s="5">
        <f t="shared" ca="1" si="13"/>
        <v>0.50924375233138242</v>
      </c>
      <c r="C876" s="5" t="s">
        <v>24</v>
      </c>
    </row>
    <row r="877" spans="1:3" x14ac:dyDescent="0.2">
      <c r="A877" s="5">
        <v>875</v>
      </c>
      <c r="B877" s="5">
        <f t="shared" ca="1" si="13"/>
        <v>0.61164629857843289</v>
      </c>
      <c r="C877" s="5" t="s">
        <v>24</v>
      </c>
    </row>
    <row r="878" spans="1:3" x14ac:dyDescent="0.2">
      <c r="A878" s="5">
        <v>876</v>
      </c>
      <c r="B878" s="5">
        <f t="shared" ca="1" si="13"/>
        <v>0.71142431303704634</v>
      </c>
      <c r="C878" s="5" t="s">
        <v>23</v>
      </c>
    </row>
    <row r="879" spans="1:3" x14ac:dyDescent="0.2">
      <c r="A879" s="5">
        <v>877</v>
      </c>
      <c r="B879" s="5">
        <f t="shared" ca="1" si="13"/>
        <v>0.6128094502049154</v>
      </c>
      <c r="C879" s="5" t="s">
        <v>24</v>
      </c>
    </row>
    <row r="880" spans="1:3" x14ac:dyDescent="0.2">
      <c r="A880" s="5">
        <v>878</v>
      </c>
      <c r="B880" s="5">
        <f t="shared" ca="1" si="13"/>
        <v>0.64635355576289077</v>
      </c>
      <c r="C880" s="5" t="s">
        <v>24</v>
      </c>
    </row>
    <row r="881" spans="1:3" x14ac:dyDescent="0.2">
      <c r="A881" s="5">
        <v>879</v>
      </c>
      <c r="B881" s="5">
        <f t="shared" ca="1" si="13"/>
        <v>0.58926672634270916</v>
      </c>
      <c r="C881" s="5" t="s">
        <v>23</v>
      </c>
    </row>
    <row r="882" spans="1:3" x14ac:dyDescent="0.2">
      <c r="A882" s="5">
        <v>880</v>
      </c>
      <c r="B882" s="5">
        <f t="shared" ca="1" si="13"/>
        <v>0.78505474922433616</v>
      </c>
      <c r="C882" s="5" t="s">
        <v>23</v>
      </c>
    </row>
    <row r="883" spans="1:3" x14ac:dyDescent="0.2">
      <c r="A883" s="5">
        <v>881</v>
      </c>
      <c r="B883" s="5">
        <f t="shared" ca="1" si="13"/>
        <v>0.62104987810874945</v>
      </c>
      <c r="C883" s="5" t="s">
        <v>23</v>
      </c>
    </row>
    <row r="884" spans="1:3" x14ac:dyDescent="0.2">
      <c r="A884" s="5">
        <v>882</v>
      </c>
      <c r="B884" s="5">
        <f t="shared" ca="1" si="13"/>
        <v>0.80755172516285412</v>
      </c>
      <c r="C884" s="5" t="s">
        <v>23</v>
      </c>
    </row>
    <row r="885" spans="1:3" x14ac:dyDescent="0.2">
      <c r="A885" s="5">
        <v>883</v>
      </c>
      <c r="B885" s="5">
        <f t="shared" ca="1" si="13"/>
        <v>0.48366242904058027</v>
      </c>
      <c r="C885" s="5" t="s">
        <v>24</v>
      </c>
    </row>
    <row r="886" spans="1:3" x14ac:dyDescent="0.2">
      <c r="A886" s="5">
        <v>884</v>
      </c>
      <c r="B886" s="5">
        <f t="shared" ca="1" si="13"/>
        <v>0.47661359490281463</v>
      </c>
      <c r="C886" s="5" t="s">
        <v>24</v>
      </c>
    </row>
    <row r="887" spans="1:3" x14ac:dyDescent="0.2">
      <c r="A887" s="5">
        <v>885</v>
      </c>
      <c r="B887" s="5">
        <f t="shared" ca="1" si="13"/>
        <v>0.74832834239774304</v>
      </c>
      <c r="C887" s="5" t="s">
        <v>24</v>
      </c>
    </row>
    <row r="888" spans="1:3" x14ac:dyDescent="0.2">
      <c r="A888" s="5">
        <v>886</v>
      </c>
      <c r="B888" s="5">
        <f t="shared" ca="1" si="13"/>
        <v>0.63520288903550615</v>
      </c>
      <c r="C888" s="5" t="s">
        <v>23</v>
      </c>
    </row>
    <row r="889" spans="1:3" x14ac:dyDescent="0.2">
      <c r="A889" s="5">
        <v>887</v>
      </c>
      <c r="B889" s="5">
        <f t="shared" ca="1" si="13"/>
        <v>0.65383440954957417</v>
      </c>
      <c r="C889" s="5" t="s">
        <v>23</v>
      </c>
    </row>
    <row r="890" spans="1:3" x14ac:dyDescent="0.2">
      <c r="A890" s="5">
        <v>888</v>
      </c>
      <c r="B890" s="5">
        <f t="shared" ca="1" si="13"/>
        <v>0.80009303581054525</v>
      </c>
      <c r="C890" s="5" t="s">
        <v>23</v>
      </c>
    </row>
    <row r="891" spans="1:3" x14ac:dyDescent="0.2">
      <c r="A891" s="5">
        <v>889</v>
      </c>
      <c r="B891" s="5">
        <f t="shared" ca="1" si="13"/>
        <v>0.83306709378977106</v>
      </c>
      <c r="C891" s="5" t="s">
        <v>24</v>
      </c>
    </row>
    <row r="892" spans="1:3" x14ac:dyDescent="0.2">
      <c r="A892" s="5">
        <v>890</v>
      </c>
      <c r="B892" s="5">
        <f t="shared" ca="1" si="13"/>
        <v>0.47229625906950456</v>
      </c>
      <c r="C892" s="5" t="s">
        <v>24</v>
      </c>
    </row>
    <row r="893" spans="1:3" x14ac:dyDescent="0.2">
      <c r="A893" s="5">
        <v>891</v>
      </c>
      <c r="B893" s="5">
        <f t="shared" ca="1" si="13"/>
        <v>0.79679624314987429</v>
      </c>
      <c r="C893" s="5" t="s">
        <v>24</v>
      </c>
    </row>
    <row r="894" spans="1:3" x14ac:dyDescent="0.2">
      <c r="A894" s="5">
        <v>892</v>
      </c>
      <c r="B894" s="5">
        <f t="shared" ca="1" si="13"/>
        <v>0.65401263909556628</v>
      </c>
      <c r="C894" s="5" t="s">
        <v>23</v>
      </c>
    </row>
    <row r="895" spans="1:3" x14ac:dyDescent="0.2">
      <c r="A895" s="5">
        <v>893</v>
      </c>
      <c r="B895" s="5">
        <f t="shared" ca="1" si="13"/>
        <v>0.60387522216019995</v>
      </c>
      <c r="C895" s="5" t="s">
        <v>24</v>
      </c>
    </row>
    <row r="896" spans="1:3" x14ac:dyDescent="0.2">
      <c r="A896" s="5">
        <v>894</v>
      </c>
      <c r="B896" s="5">
        <f t="shared" ca="1" si="13"/>
        <v>0.6959896480988006</v>
      </c>
      <c r="C896" s="5" t="s">
        <v>23</v>
      </c>
    </row>
    <row r="897" spans="1:3" x14ac:dyDescent="0.2">
      <c r="A897" s="5">
        <v>895</v>
      </c>
      <c r="B897" s="5">
        <f t="shared" ca="1" si="13"/>
        <v>0.44567917096667231</v>
      </c>
      <c r="C897" s="5" t="s">
        <v>24</v>
      </c>
    </row>
    <row r="898" spans="1:3" x14ac:dyDescent="0.2">
      <c r="A898" s="5">
        <v>896</v>
      </c>
      <c r="B898" s="5">
        <f t="shared" ca="1" si="13"/>
        <v>0.72602160414871786</v>
      </c>
      <c r="C898" s="5" t="s">
        <v>23</v>
      </c>
    </row>
    <row r="899" spans="1:3" x14ac:dyDescent="0.2">
      <c r="A899" s="5">
        <v>897</v>
      </c>
      <c r="B899" s="5">
        <f t="shared" ca="1" si="13"/>
        <v>0.74607883349071669</v>
      </c>
      <c r="C899" s="5" t="s">
        <v>23</v>
      </c>
    </row>
    <row r="900" spans="1:3" x14ac:dyDescent="0.2">
      <c r="A900" s="5">
        <v>898</v>
      </c>
      <c r="B900" s="5">
        <f t="shared" ref="B900:B963" ca="1" si="14">IF(C900="Bomb",_xlfn.NORM.INV(RAND(),0.7,0.1),_xlfn.NORM.INV(RAND(),0.6,0.15))</f>
        <v>0.6477875940997595</v>
      </c>
      <c r="C900" s="5" t="s">
        <v>23</v>
      </c>
    </row>
    <row r="901" spans="1:3" x14ac:dyDescent="0.2">
      <c r="A901" s="5">
        <v>899</v>
      </c>
      <c r="B901" s="5">
        <f t="shared" ca="1" si="14"/>
        <v>0.59648374550663141</v>
      </c>
      <c r="C901" s="5" t="s">
        <v>24</v>
      </c>
    </row>
    <row r="902" spans="1:3" x14ac:dyDescent="0.2">
      <c r="A902" s="5">
        <v>900</v>
      </c>
      <c r="B902" s="5">
        <f t="shared" ca="1" si="14"/>
        <v>0.65300885785492979</v>
      </c>
      <c r="C902" s="5" t="s">
        <v>23</v>
      </c>
    </row>
    <row r="903" spans="1:3" x14ac:dyDescent="0.2">
      <c r="A903" s="5">
        <v>901</v>
      </c>
      <c r="B903" s="5">
        <f t="shared" ca="1" si="14"/>
        <v>0.66357179649865106</v>
      </c>
      <c r="C903" s="5" t="s">
        <v>23</v>
      </c>
    </row>
    <row r="904" spans="1:3" x14ac:dyDescent="0.2">
      <c r="A904" s="5">
        <v>902</v>
      </c>
      <c r="B904" s="5">
        <f t="shared" ca="1" si="14"/>
        <v>0.6415530822656611</v>
      </c>
      <c r="C904" s="5" t="s">
        <v>23</v>
      </c>
    </row>
    <row r="905" spans="1:3" x14ac:dyDescent="0.2">
      <c r="A905" s="5">
        <v>903</v>
      </c>
      <c r="B905" s="5">
        <f t="shared" ca="1" si="14"/>
        <v>0.75323793335668643</v>
      </c>
      <c r="C905" s="5" t="s">
        <v>23</v>
      </c>
    </row>
    <row r="906" spans="1:3" x14ac:dyDescent="0.2">
      <c r="A906" s="5">
        <v>904</v>
      </c>
      <c r="B906" s="5">
        <f t="shared" ca="1" si="14"/>
        <v>0.63403726725749432</v>
      </c>
      <c r="C906" s="5" t="s">
        <v>23</v>
      </c>
    </row>
    <row r="907" spans="1:3" x14ac:dyDescent="0.2">
      <c r="A907" s="5">
        <v>905</v>
      </c>
      <c r="B907" s="5">
        <f t="shared" ca="1" si="14"/>
        <v>0.77615686560589958</v>
      </c>
      <c r="C907" s="5" t="s">
        <v>24</v>
      </c>
    </row>
    <row r="908" spans="1:3" x14ac:dyDescent="0.2">
      <c r="A908" s="5">
        <v>906</v>
      </c>
      <c r="B908" s="5">
        <f t="shared" ca="1" si="14"/>
        <v>0.86459556092060974</v>
      </c>
      <c r="C908" s="5" t="s">
        <v>24</v>
      </c>
    </row>
    <row r="909" spans="1:3" x14ac:dyDescent="0.2">
      <c r="A909" s="5">
        <v>907</v>
      </c>
      <c r="B909" s="5">
        <f t="shared" ca="1" si="14"/>
        <v>0.95207503133630089</v>
      </c>
      <c r="C909" s="5" t="s">
        <v>24</v>
      </c>
    </row>
    <row r="910" spans="1:3" x14ac:dyDescent="0.2">
      <c r="A910" s="5">
        <v>908</v>
      </c>
      <c r="B910" s="5">
        <f t="shared" ca="1" si="14"/>
        <v>0.65639940843828082</v>
      </c>
      <c r="C910" s="5" t="s">
        <v>24</v>
      </c>
    </row>
    <row r="911" spans="1:3" x14ac:dyDescent="0.2">
      <c r="A911" s="5">
        <v>909</v>
      </c>
      <c r="B911" s="5">
        <f t="shared" ca="1" si="14"/>
        <v>0.66765689344847234</v>
      </c>
      <c r="C911" s="5" t="s">
        <v>24</v>
      </c>
    </row>
    <row r="912" spans="1:3" x14ac:dyDescent="0.2">
      <c r="A912" s="5">
        <v>910</v>
      </c>
      <c r="B912" s="5">
        <f t="shared" ca="1" si="14"/>
        <v>0.92327506624863753</v>
      </c>
      <c r="C912" s="5" t="s">
        <v>23</v>
      </c>
    </row>
    <row r="913" spans="1:3" x14ac:dyDescent="0.2">
      <c r="A913" s="5">
        <v>911</v>
      </c>
      <c r="B913" s="5">
        <f t="shared" ca="1" si="14"/>
        <v>0.49879212287037983</v>
      </c>
      <c r="C913" s="5" t="s">
        <v>24</v>
      </c>
    </row>
    <row r="914" spans="1:3" x14ac:dyDescent="0.2">
      <c r="A914" s="5">
        <v>912</v>
      </c>
      <c r="B914" s="5">
        <f t="shared" ca="1" si="14"/>
        <v>0.61476054931572399</v>
      </c>
      <c r="C914" s="5" t="s">
        <v>24</v>
      </c>
    </row>
    <row r="915" spans="1:3" x14ac:dyDescent="0.2">
      <c r="A915" s="5">
        <v>913</v>
      </c>
      <c r="B915" s="5">
        <f t="shared" ca="1" si="14"/>
        <v>0.68587199670459653</v>
      </c>
      <c r="C915" s="5" t="s">
        <v>24</v>
      </c>
    </row>
    <row r="916" spans="1:3" x14ac:dyDescent="0.2">
      <c r="A916" s="5">
        <v>914</v>
      </c>
      <c r="B916" s="5">
        <f t="shared" ca="1" si="14"/>
        <v>0.65426801963362624</v>
      </c>
      <c r="C916" s="5" t="s">
        <v>23</v>
      </c>
    </row>
    <row r="917" spans="1:3" x14ac:dyDescent="0.2">
      <c r="A917" s="5">
        <v>915</v>
      </c>
      <c r="B917" s="5">
        <f t="shared" ca="1" si="14"/>
        <v>0.72091898218698025</v>
      </c>
      <c r="C917" s="5" t="s">
        <v>24</v>
      </c>
    </row>
    <row r="918" spans="1:3" x14ac:dyDescent="0.2">
      <c r="A918" s="5">
        <v>916</v>
      </c>
      <c r="B918" s="5">
        <f t="shared" ca="1" si="14"/>
        <v>0.77922337373110939</v>
      </c>
      <c r="C918" s="5" t="s">
        <v>23</v>
      </c>
    </row>
    <row r="919" spans="1:3" x14ac:dyDescent="0.2">
      <c r="A919" s="5">
        <v>917</v>
      </c>
      <c r="B919" s="5">
        <f t="shared" ca="1" si="14"/>
        <v>0.30164890822064083</v>
      </c>
      <c r="C919" s="5" t="s">
        <v>24</v>
      </c>
    </row>
    <row r="920" spans="1:3" x14ac:dyDescent="0.2">
      <c r="A920" s="5">
        <v>918</v>
      </c>
      <c r="B920" s="5">
        <f t="shared" ca="1" si="14"/>
        <v>0.77610152429988277</v>
      </c>
      <c r="C920" s="5" t="s">
        <v>23</v>
      </c>
    </row>
    <row r="921" spans="1:3" x14ac:dyDescent="0.2">
      <c r="A921" s="5">
        <v>919</v>
      </c>
      <c r="B921" s="5">
        <f t="shared" ca="1" si="14"/>
        <v>0.76660056708889412</v>
      </c>
      <c r="C921" s="5" t="s">
        <v>24</v>
      </c>
    </row>
    <row r="922" spans="1:3" x14ac:dyDescent="0.2">
      <c r="A922" s="5">
        <v>920</v>
      </c>
      <c r="B922" s="5">
        <f t="shared" ca="1" si="14"/>
        <v>0.74044094302201169</v>
      </c>
      <c r="C922" s="5" t="s">
        <v>23</v>
      </c>
    </row>
    <row r="923" spans="1:3" x14ac:dyDescent="0.2">
      <c r="A923" s="5">
        <v>921</v>
      </c>
      <c r="B923" s="5">
        <f t="shared" ca="1" si="14"/>
        <v>0.68821612141332134</v>
      </c>
      <c r="C923" s="5" t="s">
        <v>23</v>
      </c>
    </row>
    <row r="924" spans="1:3" x14ac:dyDescent="0.2">
      <c r="A924" s="5">
        <v>922</v>
      </c>
      <c r="B924" s="5">
        <f t="shared" ca="1" si="14"/>
        <v>0.51421468169623352</v>
      </c>
      <c r="C924" s="5" t="s">
        <v>24</v>
      </c>
    </row>
    <row r="925" spans="1:3" x14ac:dyDescent="0.2">
      <c r="A925" s="5">
        <v>923</v>
      </c>
      <c r="B925" s="5">
        <f t="shared" ca="1" si="14"/>
        <v>0.73104163340568384</v>
      </c>
      <c r="C925" s="5" t="s">
        <v>24</v>
      </c>
    </row>
    <row r="926" spans="1:3" x14ac:dyDescent="0.2">
      <c r="A926" s="5">
        <v>924</v>
      </c>
      <c r="B926" s="5">
        <f t="shared" ca="1" si="14"/>
        <v>0.41610293320137703</v>
      </c>
      <c r="C926" s="5" t="s">
        <v>24</v>
      </c>
    </row>
    <row r="927" spans="1:3" x14ac:dyDescent="0.2">
      <c r="A927" s="5">
        <v>925</v>
      </c>
      <c r="B927" s="5">
        <f t="shared" ca="1" si="14"/>
        <v>0.68173188315989453</v>
      </c>
      <c r="C927" s="5" t="s">
        <v>23</v>
      </c>
    </row>
    <row r="928" spans="1:3" x14ac:dyDescent="0.2">
      <c r="A928" s="5">
        <v>926</v>
      </c>
      <c r="B928" s="5">
        <f t="shared" ca="1" si="14"/>
        <v>0.72992584149103756</v>
      </c>
      <c r="C928" s="5" t="s">
        <v>23</v>
      </c>
    </row>
    <row r="929" spans="1:3" x14ac:dyDescent="0.2">
      <c r="A929" s="5">
        <v>927</v>
      </c>
      <c r="B929" s="5">
        <f t="shared" ca="1" si="14"/>
        <v>0.61649739290154026</v>
      </c>
      <c r="C929" s="5" t="s">
        <v>23</v>
      </c>
    </row>
    <row r="930" spans="1:3" x14ac:dyDescent="0.2">
      <c r="A930" s="5">
        <v>928</v>
      </c>
      <c r="B930" s="5">
        <f t="shared" ca="1" si="14"/>
        <v>0.56301899748104767</v>
      </c>
      <c r="C930" s="5" t="s">
        <v>23</v>
      </c>
    </row>
    <row r="931" spans="1:3" x14ac:dyDescent="0.2">
      <c r="A931" s="5">
        <v>929</v>
      </c>
      <c r="B931" s="5">
        <f t="shared" ca="1" si="14"/>
        <v>0.79412919373471103</v>
      </c>
      <c r="C931" s="5" t="s">
        <v>23</v>
      </c>
    </row>
    <row r="932" spans="1:3" x14ac:dyDescent="0.2">
      <c r="A932" s="5">
        <v>930</v>
      </c>
      <c r="B932" s="5">
        <f t="shared" ca="1" si="14"/>
        <v>0.72407411359196916</v>
      </c>
      <c r="C932" s="5" t="s">
        <v>23</v>
      </c>
    </row>
    <row r="933" spans="1:3" x14ac:dyDescent="0.2">
      <c r="A933" s="5">
        <v>931</v>
      </c>
      <c r="B933" s="5">
        <f t="shared" ca="1" si="14"/>
        <v>0.35307225021033894</v>
      </c>
      <c r="C933" s="5" t="s">
        <v>24</v>
      </c>
    </row>
    <row r="934" spans="1:3" x14ac:dyDescent="0.2">
      <c r="A934" s="5">
        <v>932</v>
      </c>
      <c r="B934" s="5">
        <f t="shared" ca="1" si="14"/>
        <v>0.75357060520214092</v>
      </c>
      <c r="C934" s="5" t="s">
        <v>23</v>
      </c>
    </row>
    <row r="935" spans="1:3" x14ac:dyDescent="0.2">
      <c r="A935" s="5">
        <v>933</v>
      </c>
      <c r="B935" s="5">
        <f t="shared" ca="1" si="14"/>
        <v>0.67168055471641086</v>
      </c>
      <c r="C935" s="5" t="s">
        <v>24</v>
      </c>
    </row>
    <row r="936" spans="1:3" x14ac:dyDescent="0.2">
      <c r="A936" s="5">
        <v>934</v>
      </c>
      <c r="B936" s="5">
        <f t="shared" ca="1" si="14"/>
        <v>0.66562502271626001</v>
      </c>
      <c r="C936" s="5" t="s">
        <v>23</v>
      </c>
    </row>
    <row r="937" spans="1:3" x14ac:dyDescent="0.2">
      <c r="A937" s="5">
        <v>935</v>
      </c>
      <c r="B937" s="5">
        <f t="shared" ca="1" si="14"/>
        <v>0.66737064526651291</v>
      </c>
      <c r="C937" s="5" t="s">
        <v>23</v>
      </c>
    </row>
    <row r="938" spans="1:3" x14ac:dyDescent="0.2">
      <c r="A938" s="5">
        <v>936</v>
      </c>
      <c r="B938" s="5">
        <f t="shared" ca="1" si="14"/>
        <v>0.54756230036769959</v>
      </c>
      <c r="C938" s="5" t="s">
        <v>24</v>
      </c>
    </row>
    <row r="939" spans="1:3" x14ac:dyDescent="0.2">
      <c r="A939" s="5">
        <v>937</v>
      </c>
      <c r="B939" s="5">
        <f t="shared" ca="1" si="14"/>
        <v>0.61518353192310149</v>
      </c>
      <c r="C939" s="5" t="s">
        <v>24</v>
      </c>
    </row>
    <row r="940" spans="1:3" x14ac:dyDescent="0.2">
      <c r="A940" s="5">
        <v>938</v>
      </c>
      <c r="B940" s="5">
        <f t="shared" ca="1" si="14"/>
        <v>0.48197711631557338</v>
      </c>
      <c r="C940" s="5" t="s">
        <v>23</v>
      </c>
    </row>
    <row r="941" spans="1:3" x14ac:dyDescent="0.2">
      <c r="A941" s="5">
        <v>939</v>
      </c>
      <c r="B941" s="5">
        <f t="shared" ca="1" si="14"/>
        <v>0.69274058330574673</v>
      </c>
      <c r="C941" s="5" t="s">
        <v>23</v>
      </c>
    </row>
    <row r="942" spans="1:3" x14ac:dyDescent="0.2">
      <c r="A942" s="5">
        <v>940</v>
      </c>
      <c r="B942" s="5">
        <f t="shared" ca="1" si="14"/>
        <v>0.58649402173553433</v>
      </c>
      <c r="C942" s="5" t="s">
        <v>24</v>
      </c>
    </row>
    <row r="943" spans="1:3" x14ac:dyDescent="0.2">
      <c r="A943" s="5">
        <v>941</v>
      </c>
      <c r="B943" s="5">
        <f t="shared" ca="1" si="14"/>
        <v>0.73897629066583981</v>
      </c>
      <c r="C943" s="5" t="s">
        <v>24</v>
      </c>
    </row>
    <row r="944" spans="1:3" x14ac:dyDescent="0.2">
      <c r="A944" s="5">
        <v>942</v>
      </c>
      <c r="B944" s="5">
        <f t="shared" ca="1" si="14"/>
        <v>0.26802878572738198</v>
      </c>
      <c r="C944" s="5" t="s">
        <v>24</v>
      </c>
    </row>
    <row r="945" spans="1:3" x14ac:dyDescent="0.2">
      <c r="A945" s="5">
        <v>943</v>
      </c>
      <c r="B945" s="5">
        <f t="shared" ca="1" si="14"/>
        <v>0.4502560801690515</v>
      </c>
      <c r="C945" s="5" t="s">
        <v>24</v>
      </c>
    </row>
    <row r="946" spans="1:3" x14ac:dyDescent="0.2">
      <c r="A946" s="5">
        <v>944</v>
      </c>
      <c r="B946" s="5">
        <f t="shared" ca="1" si="14"/>
        <v>0.71190353805201434</v>
      </c>
      <c r="C946" s="5" t="s">
        <v>24</v>
      </c>
    </row>
    <row r="947" spans="1:3" x14ac:dyDescent="0.2">
      <c r="A947" s="5">
        <v>945</v>
      </c>
      <c r="B947" s="5">
        <f t="shared" ca="1" si="14"/>
        <v>0.77735997731764905</v>
      </c>
      <c r="C947" s="5" t="s">
        <v>23</v>
      </c>
    </row>
    <row r="948" spans="1:3" x14ac:dyDescent="0.2">
      <c r="A948" s="5">
        <v>946</v>
      </c>
      <c r="B948" s="5">
        <f t="shared" ca="1" si="14"/>
        <v>0.31943465954405942</v>
      </c>
      <c r="C948" s="5" t="s">
        <v>24</v>
      </c>
    </row>
    <row r="949" spans="1:3" x14ac:dyDescent="0.2">
      <c r="A949" s="5">
        <v>947</v>
      </c>
      <c r="B949" s="5">
        <f t="shared" ca="1" si="14"/>
        <v>0.8026115335216053</v>
      </c>
      <c r="C949" s="5" t="s">
        <v>23</v>
      </c>
    </row>
    <row r="950" spans="1:3" x14ac:dyDescent="0.2">
      <c r="A950" s="5">
        <v>948</v>
      </c>
      <c r="B950" s="5">
        <f t="shared" ca="1" si="14"/>
        <v>0.74522921628454042</v>
      </c>
      <c r="C950" s="5" t="s">
        <v>24</v>
      </c>
    </row>
    <row r="951" spans="1:3" x14ac:dyDescent="0.2">
      <c r="A951" s="5">
        <v>949</v>
      </c>
      <c r="B951" s="5">
        <f t="shared" ca="1" si="14"/>
        <v>0.54937819470042459</v>
      </c>
      <c r="C951" s="5" t="s">
        <v>23</v>
      </c>
    </row>
    <row r="952" spans="1:3" x14ac:dyDescent="0.2">
      <c r="A952" s="5">
        <v>950</v>
      </c>
      <c r="B952" s="5">
        <f t="shared" ca="1" si="14"/>
        <v>0.70784530300743065</v>
      </c>
      <c r="C952" s="5" t="s">
        <v>23</v>
      </c>
    </row>
    <row r="953" spans="1:3" x14ac:dyDescent="0.2">
      <c r="A953" s="5">
        <v>951</v>
      </c>
      <c r="B953" s="5">
        <f t="shared" ca="1" si="14"/>
        <v>0.43418830533821984</v>
      </c>
      <c r="C953" s="5" t="s">
        <v>24</v>
      </c>
    </row>
    <row r="954" spans="1:3" x14ac:dyDescent="0.2">
      <c r="A954" s="5">
        <v>952</v>
      </c>
      <c r="B954" s="5">
        <f t="shared" ca="1" si="14"/>
        <v>0.60204418494129575</v>
      </c>
      <c r="C954" s="5" t="s">
        <v>24</v>
      </c>
    </row>
    <row r="955" spans="1:3" x14ac:dyDescent="0.2">
      <c r="A955" s="5">
        <v>953</v>
      </c>
      <c r="B955" s="5">
        <f t="shared" ca="1" si="14"/>
        <v>0.86254396874346462</v>
      </c>
      <c r="C955" s="5" t="s">
        <v>23</v>
      </c>
    </row>
    <row r="956" spans="1:3" x14ac:dyDescent="0.2">
      <c r="A956" s="5">
        <v>954</v>
      </c>
      <c r="B956" s="5">
        <f t="shared" ca="1" si="14"/>
        <v>0.29383773413521619</v>
      </c>
      <c r="C956" s="5" t="s">
        <v>24</v>
      </c>
    </row>
    <row r="957" spans="1:3" x14ac:dyDescent="0.2">
      <c r="A957" s="5">
        <v>955</v>
      </c>
      <c r="B957" s="5">
        <f t="shared" ca="1" si="14"/>
        <v>0.84370069368654221</v>
      </c>
      <c r="C957" s="5" t="s">
        <v>23</v>
      </c>
    </row>
    <row r="958" spans="1:3" x14ac:dyDescent="0.2">
      <c r="A958" s="5">
        <v>956</v>
      </c>
      <c r="B958" s="5">
        <f t="shared" ca="1" si="14"/>
        <v>0.69351324181382212</v>
      </c>
      <c r="C958" s="5" t="s">
        <v>23</v>
      </c>
    </row>
    <row r="959" spans="1:3" x14ac:dyDescent="0.2">
      <c r="A959" s="5">
        <v>957</v>
      </c>
      <c r="B959" s="5">
        <f t="shared" ca="1" si="14"/>
        <v>0.65809035489664036</v>
      </c>
      <c r="C959" s="5" t="s">
        <v>24</v>
      </c>
    </row>
    <row r="960" spans="1:3" x14ac:dyDescent="0.2">
      <c r="A960" s="5">
        <v>958</v>
      </c>
      <c r="B960" s="5">
        <f t="shared" ca="1" si="14"/>
        <v>0.58675157307582815</v>
      </c>
      <c r="C960" s="5" t="s">
        <v>23</v>
      </c>
    </row>
    <row r="961" spans="1:3" x14ac:dyDescent="0.2">
      <c r="A961" s="5">
        <v>959</v>
      </c>
      <c r="B961" s="5">
        <f t="shared" ca="1" si="14"/>
        <v>0.41234223615766685</v>
      </c>
      <c r="C961" s="5" t="s">
        <v>24</v>
      </c>
    </row>
    <row r="962" spans="1:3" x14ac:dyDescent="0.2">
      <c r="A962" s="5">
        <v>960</v>
      </c>
      <c r="B962" s="5">
        <f t="shared" ca="1" si="14"/>
        <v>0.68839530298984664</v>
      </c>
      <c r="C962" s="5" t="s">
        <v>24</v>
      </c>
    </row>
    <row r="963" spans="1:3" x14ac:dyDescent="0.2">
      <c r="A963" s="5">
        <v>961</v>
      </c>
      <c r="B963" s="5">
        <f t="shared" ca="1" si="14"/>
        <v>0.72790893950474844</v>
      </c>
      <c r="C963" s="5" t="s">
        <v>23</v>
      </c>
    </row>
    <row r="964" spans="1:3" x14ac:dyDescent="0.2">
      <c r="A964" s="5">
        <v>962</v>
      </c>
      <c r="B964" s="5">
        <f t="shared" ref="B964:B1002" ca="1" si="15">IF(C964="Bomb",_xlfn.NORM.INV(RAND(),0.7,0.1),_xlfn.NORM.INV(RAND(),0.6,0.15))</f>
        <v>0.55919418416400435</v>
      </c>
      <c r="C964" s="5" t="s">
        <v>23</v>
      </c>
    </row>
    <row r="965" spans="1:3" x14ac:dyDescent="0.2">
      <c r="A965" s="5">
        <v>963</v>
      </c>
      <c r="B965" s="5">
        <f t="shared" ca="1" si="15"/>
        <v>0.64100536467643665</v>
      </c>
      <c r="C965" s="5" t="s">
        <v>23</v>
      </c>
    </row>
    <row r="966" spans="1:3" x14ac:dyDescent="0.2">
      <c r="A966" s="5">
        <v>964</v>
      </c>
      <c r="B966" s="5">
        <f t="shared" ca="1" si="15"/>
        <v>0.67688470850969129</v>
      </c>
      <c r="C966" s="5" t="s">
        <v>23</v>
      </c>
    </row>
    <row r="967" spans="1:3" x14ac:dyDescent="0.2">
      <c r="A967" s="5">
        <v>965</v>
      </c>
      <c r="B967" s="5">
        <f t="shared" ca="1" si="15"/>
        <v>0.6428632251711649</v>
      </c>
      <c r="C967" s="5" t="s">
        <v>23</v>
      </c>
    </row>
    <row r="968" spans="1:3" x14ac:dyDescent="0.2">
      <c r="A968" s="5">
        <v>966</v>
      </c>
      <c r="B968" s="5">
        <f t="shared" ca="1" si="15"/>
        <v>0.89122860962129069</v>
      </c>
      <c r="C968" s="5" t="s">
        <v>23</v>
      </c>
    </row>
    <row r="969" spans="1:3" x14ac:dyDescent="0.2">
      <c r="A969" s="5">
        <v>967</v>
      </c>
      <c r="B969" s="5">
        <f t="shared" ca="1" si="15"/>
        <v>0.73653242377938799</v>
      </c>
      <c r="C969" s="5" t="s">
        <v>23</v>
      </c>
    </row>
    <row r="970" spans="1:3" x14ac:dyDescent="0.2">
      <c r="A970" s="5">
        <v>968</v>
      </c>
      <c r="B970" s="5">
        <f t="shared" ca="1" si="15"/>
        <v>0.65964178549905061</v>
      </c>
      <c r="C970" s="5" t="s">
        <v>23</v>
      </c>
    </row>
    <row r="971" spans="1:3" x14ac:dyDescent="0.2">
      <c r="A971" s="5">
        <v>969</v>
      </c>
      <c r="B971" s="5">
        <f t="shared" ca="1" si="15"/>
        <v>0.41111928962399436</v>
      </c>
      <c r="C971" s="5" t="s">
        <v>24</v>
      </c>
    </row>
    <row r="972" spans="1:3" x14ac:dyDescent="0.2">
      <c r="A972" s="5">
        <v>970</v>
      </c>
      <c r="B972" s="5">
        <f t="shared" ca="1" si="15"/>
        <v>0.69232295524513066</v>
      </c>
      <c r="C972" s="5" t="s">
        <v>24</v>
      </c>
    </row>
    <row r="973" spans="1:3" x14ac:dyDescent="0.2">
      <c r="A973" s="5">
        <v>971</v>
      </c>
      <c r="B973" s="5">
        <f t="shared" ca="1" si="15"/>
        <v>0.70399384607852489</v>
      </c>
      <c r="C973" s="5" t="s">
        <v>23</v>
      </c>
    </row>
    <row r="974" spans="1:3" x14ac:dyDescent="0.2">
      <c r="A974" s="5">
        <v>972</v>
      </c>
      <c r="B974" s="5">
        <f t="shared" ca="1" si="15"/>
        <v>0.47797020056712719</v>
      </c>
      <c r="C974" s="5" t="s">
        <v>24</v>
      </c>
    </row>
    <row r="975" spans="1:3" x14ac:dyDescent="0.2">
      <c r="A975" s="5">
        <v>973</v>
      </c>
      <c r="B975" s="5">
        <f t="shared" ca="1" si="15"/>
        <v>0.68429404733124344</v>
      </c>
      <c r="C975" s="5" t="s">
        <v>23</v>
      </c>
    </row>
    <row r="976" spans="1:3" x14ac:dyDescent="0.2">
      <c r="A976" s="5">
        <v>974</v>
      </c>
      <c r="B976" s="5">
        <f t="shared" ca="1" si="15"/>
        <v>0.88462090666193027</v>
      </c>
      <c r="C976" s="5" t="s">
        <v>23</v>
      </c>
    </row>
    <row r="977" spans="1:3" x14ac:dyDescent="0.2">
      <c r="A977" s="5">
        <v>975</v>
      </c>
      <c r="B977" s="5">
        <f t="shared" ca="1" si="15"/>
        <v>0.75007602017858432</v>
      </c>
      <c r="C977" s="5" t="s">
        <v>23</v>
      </c>
    </row>
    <row r="978" spans="1:3" x14ac:dyDescent="0.2">
      <c r="A978" s="5">
        <v>976</v>
      </c>
      <c r="B978" s="5">
        <f t="shared" ca="1" si="15"/>
        <v>0.6398931759562253</v>
      </c>
      <c r="C978" s="5" t="s">
        <v>23</v>
      </c>
    </row>
    <row r="979" spans="1:3" x14ac:dyDescent="0.2">
      <c r="A979" s="5">
        <v>977</v>
      </c>
      <c r="B979" s="5">
        <f t="shared" ca="1" si="15"/>
        <v>0.59605256272322404</v>
      </c>
      <c r="C979" s="5" t="s">
        <v>23</v>
      </c>
    </row>
    <row r="980" spans="1:3" x14ac:dyDescent="0.2">
      <c r="A980" s="5">
        <v>978</v>
      </c>
      <c r="B980" s="5">
        <f t="shared" ca="1" si="15"/>
        <v>0.67651474511802434</v>
      </c>
      <c r="C980" s="5" t="s">
        <v>23</v>
      </c>
    </row>
    <row r="981" spans="1:3" x14ac:dyDescent="0.2">
      <c r="A981" s="5">
        <v>979</v>
      </c>
      <c r="B981" s="5">
        <f t="shared" ca="1" si="15"/>
        <v>0.60165593886264657</v>
      </c>
      <c r="C981" s="5" t="s">
        <v>23</v>
      </c>
    </row>
    <row r="982" spans="1:3" x14ac:dyDescent="0.2">
      <c r="A982" s="5">
        <v>980</v>
      </c>
      <c r="B982" s="5">
        <f t="shared" ca="1" si="15"/>
        <v>0.40242332326489511</v>
      </c>
      <c r="C982" s="5" t="s">
        <v>24</v>
      </c>
    </row>
    <row r="983" spans="1:3" x14ac:dyDescent="0.2">
      <c r="A983" s="5">
        <v>981</v>
      </c>
      <c r="B983" s="5">
        <f t="shared" ca="1" si="15"/>
        <v>0.4381334612486808</v>
      </c>
      <c r="C983" s="5" t="s">
        <v>24</v>
      </c>
    </row>
    <row r="984" spans="1:3" x14ac:dyDescent="0.2">
      <c r="A984" s="5">
        <v>982</v>
      </c>
      <c r="B984" s="5">
        <f t="shared" ca="1" si="15"/>
        <v>0.64865702835751327</v>
      </c>
      <c r="C984" s="5" t="s">
        <v>23</v>
      </c>
    </row>
    <row r="985" spans="1:3" x14ac:dyDescent="0.2">
      <c r="A985" s="5">
        <v>983</v>
      </c>
      <c r="B985" s="5">
        <f t="shared" ca="1" si="15"/>
        <v>0.68480416004447919</v>
      </c>
      <c r="C985" s="5" t="s">
        <v>23</v>
      </c>
    </row>
    <row r="986" spans="1:3" x14ac:dyDescent="0.2">
      <c r="A986" s="5">
        <v>984</v>
      </c>
      <c r="B986" s="5">
        <f t="shared" ca="1" si="15"/>
        <v>0.64097810376295983</v>
      </c>
      <c r="C986" s="5" t="s">
        <v>24</v>
      </c>
    </row>
    <row r="987" spans="1:3" x14ac:dyDescent="0.2">
      <c r="A987" s="5">
        <v>985</v>
      </c>
      <c r="B987" s="5">
        <f t="shared" ca="1" si="15"/>
        <v>0.54447779405367003</v>
      </c>
      <c r="C987" s="5" t="s">
        <v>24</v>
      </c>
    </row>
    <row r="988" spans="1:3" x14ac:dyDescent="0.2">
      <c r="A988" s="5">
        <v>986</v>
      </c>
      <c r="B988" s="5">
        <f t="shared" ca="1" si="15"/>
        <v>0.63046451965333061</v>
      </c>
      <c r="C988" s="5" t="s">
        <v>23</v>
      </c>
    </row>
    <row r="989" spans="1:3" x14ac:dyDescent="0.2">
      <c r="A989" s="5">
        <v>987</v>
      </c>
      <c r="B989" s="5">
        <f t="shared" ca="1" si="15"/>
        <v>0.48248371616532382</v>
      </c>
      <c r="C989" s="5" t="s">
        <v>24</v>
      </c>
    </row>
    <row r="990" spans="1:3" x14ac:dyDescent="0.2">
      <c r="A990" s="5">
        <v>988</v>
      </c>
      <c r="B990" s="5">
        <f t="shared" ca="1" si="15"/>
        <v>0.70468371134812591</v>
      </c>
      <c r="C990" s="5" t="s">
        <v>24</v>
      </c>
    </row>
    <row r="991" spans="1:3" x14ac:dyDescent="0.2">
      <c r="A991" s="5">
        <v>989</v>
      </c>
      <c r="B991" s="5">
        <f t="shared" ca="1" si="15"/>
        <v>0.81337525600599236</v>
      </c>
      <c r="C991" s="5" t="s">
        <v>23</v>
      </c>
    </row>
    <row r="992" spans="1:3" x14ac:dyDescent="0.2">
      <c r="A992" s="5">
        <v>990</v>
      </c>
      <c r="B992" s="5">
        <f t="shared" ca="1" si="15"/>
        <v>0.4644278792696519</v>
      </c>
      <c r="C992" s="5" t="s">
        <v>24</v>
      </c>
    </row>
    <row r="993" spans="1:3" x14ac:dyDescent="0.2">
      <c r="A993" s="5">
        <v>991</v>
      </c>
      <c r="B993" s="5">
        <f t="shared" ca="1" si="15"/>
        <v>0.86012834791226389</v>
      </c>
      <c r="C993" s="5" t="s">
        <v>23</v>
      </c>
    </row>
    <row r="994" spans="1:3" x14ac:dyDescent="0.2">
      <c r="A994" s="5">
        <v>992</v>
      </c>
      <c r="B994" s="5">
        <f t="shared" ca="1" si="15"/>
        <v>0.51147104841233526</v>
      </c>
      <c r="C994" s="5" t="s">
        <v>24</v>
      </c>
    </row>
    <row r="995" spans="1:3" x14ac:dyDescent="0.2">
      <c r="A995" s="5">
        <v>993</v>
      </c>
      <c r="B995" s="5">
        <f t="shared" ca="1" si="15"/>
        <v>0.69240906917618561</v>
      </c>
      <c r="C995" s="5" t="s">
        <v>23</v>
      </c>
    </row>
    <row r="996" spans="1:3" x14ac:dyDescent="0.2">
      <c r="A996" s="5">
        <v>994</v>
      </c>
      <c r="B996" s="5">
        <f t="shared" ca="1" si="15"/>
        <v>0.68766943471004183</v>
      </c>
      <c r="C996" s="5" t="s">
        <v>23</v>
      </c>
    </row>
    <row r="997" spans="1:3" x14ac:dyDescent="0.2">
      <c r="A997" s="5">
        <v>995</v>
      </c>
      <c r="B997" s="5">
        <f t="shared" ca="1" si="15"/>
        <v>0.49913089323121412</v>
      </c>
      <c r="C997" s="5" t="s">
        <v>24</v>
      </c>
    </row>
    <row r="998" spans="1:3" x14ac:dyDescent="0.2">
      <c r="A998" s="5">
        <v>996</v>
      </c>
      <c r="B998" s="5">
        <f t="shared" ca="1" si="15"/>
        <v>0.59283692802537113</v>
      </c>
      <c r="C998" s="5" t="s">
        <v>23</v>
      </c>
    </row>
    <row r="999" spans="1:3" x14ac:dyDescent="0.2">
      <c r="A999" s="5">
        <v>997</v>
      </c>
      <c r="B999" s="5">
        <f t="shared" ca="1" si="15"/>
        <v>0.70156096053786487</v>
      </c>
      <c r="C999" s="5" t="s">
        <v>24</v>
      </c>
    </row>
    <row r="1000" spans="1:3" x14ac:dyDescent="0.2">
      <c r="A1000" s="5">
        <v>998</v>
      </c>
      <c r="B1000" s="5">
        <f t="shared" ca="1" si="15"/>
        <v>0.66356382675636694</v>
      </c>
      <c r="C1000" s="5" t="s">
        <v>24</v>
      </c>
    </row>
    <row r="1001" spans="1:3" x14ac:dyDescent="0.2">
      <c r="A1001" s="5">
        <v>999</v>
      </c>
      <c r="B1001" s="5">
        <f t="shared" ca="1" si="15"/>
        <v>0.42359169941208097</v>
      </c>
      <c r="C1001" s="5" t="s">
        <v>24</v>
      </c>
    </row>
    <row r="1002" spans="1:3" x14ac:dyDescent="0.2">
      <c r="A1002" s="5">
        <v>1000</v>
      </c>
      <c r="B1002" s="5">
        <f t="shared" ca="1" si="15"/>
        <v>0.73734625383111241</v>
      </c>
      <c r="C1002" s="5" t="s">
        <v>24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E6A96-1048-844A-B684-5BD79593FBB9}">
  <sheetPr codeName="Sheet5">
    <tabColor rgb="FFC00000"/>
  </sheetPr>
  <dimension ref="B3:M18"/>
  <sheetViews>
    <sheetView workbookViewId="0"/>
  </sheetViews>
  <sheetFormatPr baseColWidth="10" defaultRowHeight="26" x14ac:dyDescent="0.3"/>
  <cols>
    <col min="1" max="2" width="10.83203125" style="1"/>
    <col min="3" max="3" width="30" style="26" bestFit="1" customWidth="1"/>
    <col min="4" max="4" width="10.83203125" style="1"/>
    <col min="5" max="5" width="19.6640625" style="1" bestFit="1" customWidth="1"/>
    <col min="6" max="6" width="10.83203125" style="1"/>
    <col min="7" max="7" width="23.83203125" style="1" bestFit="1" customWidth="1"/>
    <col min="8" max="8" width="10.83203125" style="1"/>
    <col min="9" max="9" width="23.83203125" style="1" bestFit="1" customWidth="1"/>
    <col min="10" max="10" width="10.83203125" style="1"/>
    <col min="11" max="11" width="11.1640625" style="1" bestFit="1" customWidth="1"/>
    <col min="12" max="12" width="10.83203125" style="1"/>
    <col min="13" max="13" width="30.6640625" style="1" bestFit="1" customWidth="1"/>
    <col min="14" max="16384" width="10.83203125" style="1"/>
  </cols>
  <sheetData>
    <row r="3" spans="2:3" x14ac:dyDescent="0.3">
      <c r="B3" s="1" t="s">
        <v>120</v>
      </c>
    </row>
    <row r="4" spans="2:3" x14ac:dyDescent="0.3">
      <c r="B4" s="1" t="s">
        <v>121</v>
      </c>
    </row>
    <row r="5" spans="2:3" x14ac:dyDescent="0.3">
      <c r="B5" s="1" t="s">
        <v>122</v>
      </c>
    </row>
    <row r="7" spans="2:3" x14ac:dyDescent="0.3">
      <c r="B7" s="1" t="s">
        <v>123</v>
      </c>
    </row>
    <row r="8" spans="2:3" x14ac:dyDescent="0.3">
      <c r="B8" s="1" t="s">
        <v>124</v>
      </c>
    </row>
    <row r="9" spans="2:3" x14ac:dyDescent="0.3">
      <c r="B9" s="1" t="s">
        <v>125</v>
      </c>
    </row>
    <row r="11" spans="2:3" x14ac:dyDescent="0.3">
      <c r="C11" s="41">
        <v>1</v>
      </c>
    </row>
    <row r="12" spans="2:3" x14ac:dyDescent="0.3">
      <c r="C12" s="26" t="s">
        <v>134</v>
      </c>
    </row>
    <row r="14" spans="2:3" x14ac:dyDescent="0.3">
      <c r="C14" s="41">
        <v>1</v>
      </c>
    </row>
    <row r="15" spans="2:3" x14ac:dyDescent="0.3">
      <c r="C15" s="26" t="s">
        <v>126</v>
      </c>
    </row>
    <row r="17" spans="3:13" ht="31" x14ac:dyDescent="0.4">
      <c r="C17" s="41">
        <v>2</v>
      </c>
      <c r="E17" s="41">
        <v>2</v>
      </c>
      <c r="G17" s="41" t="s">
        <v>130</v>
      </c>
      <c r="I17" s="41" t="s">
        <v>130</v>
      </c>
      <c r="K17" s="41" t="s">
        <v>130</v>
      </c>
      <c r="M17" s="26" t="s">
        <v>133</v>
      </c>
    </row>
    <row r="18" spans="3:13" ht="30" x14ac:dyDescent="0.4">
      <c r="C18" s="26" t="s">
        <v>127</v>
      </c>
      <c r="E18" s="26" t="s">
        <v>128</v>
      </c>
      <c r="G18" s="26" t="s">
        <v>129</v>
      </c>
      <c r="I18" s="26" t="s">
        <v>131</v>
      </c>
      <c r="K18" s="26" t="s">
        <v>132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F71BC-A657-E647-B4F6-07AB8EAC205D}">
  <sheetPr codeName="Sheet14">
    <tabColor rgb="FFC00000"/>
  </sheetPr>
  <dimension ref="B2:B9"/>
  <sheetViews>
    <sheetView workbookViewId="0"/>
  </sheetViews>
  <sheetFormatPr baseColWidth="10" defaultRowHeight="26" x14ac:dyDescent="0.3"/>
  <cols>
    <col min="1" max="16384" width="10.83203125" style="1"/>
  </cols>
  <sheetData>
    <row r="2" spans="2:2" ht="92" x14ac:dyDescent="1">
      <c r="B2" s="46" t="s">
        <v>147</v>
      </c>
    </row>
    <row r="4" spans="2:2" x14ac:dyDescent="0.3">
      <c r="B4" s="1" t="s">
        <v>142</v>
      </c>
    </row>
    <row r="5" spans="2:2" x14ac:dyDescent="0.3">
      <c r="B5" s="1" t="s">
        <v>143</v>
      </c>
    </row>
    <row r="7" spans="2:2" x14ac:dyDescent="0.3">
      <c r="B7" s="1" t="s">
        <v>144</v>
      </c>
    </row>
    <row r="8" spans="2:2" x14ac:dyDescent="0.3">
      <c r="B8" s="1" t="s">
        <v>146</v>
      </c>
    </row>
    <row r="9" spans="2:2" x14ac:dyDescent="0.3">
      <c r="B9" s="1" t="s">
        <v>145</v>
      </c>
    </row>
  </sheetData>
  <pageMargins left="0.7" right="0.7" top="0.75" bottom="0.75" header="0.3" footer="0.3"/>
  <pageSetup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D9316-9E83-AD4E-9347-44F825D984FB}">
  <sheetPr codeName="Sheet7">
    <tabColor rgb="FFFF0000"/>
  </sheetPr>
  <dimension ref="B2:D9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153</v>
      </c>
    </row>
    <row r="3" spans="2:4" x14ac:dyDescent="0.3">
      <c r="B3" s="3" t="s">
        <v>154</v>
      </c>
    </row>
    <row r="6" spans="2:4" x14ac:dyDescent="0.3">
      <c r="C6" s="1" t="s">
        <v>155</v>
      </c>
    </row>
    <row r="7" spans="2:4" x14ac:dyDescent="0.3">
      <c r="C7" s="1" t="s">
        <v>156</v>
      </c>
    </row>
    <row r="8" spans="2:4" x14ac:dyDescent="0.3">
      <c r="D8" s="1" t="s">
        <v>157</v>
      </c>
    </row>
    <row r="9" spans="2:4" x14ac:dyDescent="0.3">
      <c r="D9" s="1" t="s">
        <v>158</v>
      </c>
    </row>
  </sheetData>
  <hyperlinks>
    <hyperlink ref="B3" r:id="rId1" xr:uid="{5147AC51-3D20-2347-988A-5B9B21BBB079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0A43-D95A-1248-AB13-4187ABA0CF79}">
  <sheetPr codeName="Sheet9">
    <tabColor rgb="FFFF0000"/>
  </sheetPr>
  <dimension ref="B2:D12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159</v>
      </c>
    </row>
    <row r="4" spans="2:4" x14ac:dyDescent="0.3">
      <c r="B4" s="1" t="s">
        <v>160</v>
      </c>
    </row>
    <row r="6" spans="2:4" x14ac:dyDescent="0.3">
      <c r="C6" s="26" t="s">
        <v>161</v>
      </c>
      <c r="D6" s="26" t="s">
        <v>162</v>
      </c>
    </row>
    <row r="7" spans="2:4" x14ac:dyDescent="0.3">
      <c r="C7" s="48">
        <v>1</v>
      </c>
      <c r="D7" s="48" t="s">
        <v>163</v>
      </c>
    </row>
    <row r="8" spans="2:4" x14ac:dyDescent="0.3">
      <c r="C8" s="48">
        <v>0</v>
      </c>
      <c r="D8" s="48" t="s">
        <v>164</v>
      </c>
    </row>
    <row r="11" spans="2:4" x14ac:dyDescent="0.3">
      <c r="B11" s="1" t="s">
        <v>165</v>
      </c>
      <c r="C11" s="49" t="s">
        <v>166</v>
      </c>
    </row>
    <row r="12" spans="2:4" ht="29" x14ac:dyDescent="0.3">
      <c r="B12" s="1" t="s">
        <v>167</v>
      </c>
      <c r="C12" s="49" t="s">
        <v>168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6"/>
  <sheetViews>
    <sheetView workbookViewId="0"/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33</v>
      </c>
    </row>
    <row r="2" spans="1:4" x14ac:dyDescent="0.25">
      <c r="A2" s="2" t="s">
        <v>34</v>
      </c>
      <c r="B2" s="3"/>
    </row>
    <row r="3" spans="1:4" x14ac:dyDescent="0.25">
      <c r="A3" s="2" t="s">
        <v>35</v>
      </c>
    </row>
    <row r="4" spans="1:4" x14ac:dyDescent="0.25">
      <c r="A4" s="2" t="s">
        <v>36</v>
      </c>
    </row>
    <row r="5" spans="1:4" x14ac:dyDescent="0.25">
      <c r="A5" s="2" t="s">
        <v>37</v>
      </c>
    </row>
    <row r="6" spans="1:4" x14ac:dyDescent="0.25">
      <c r="B6" s="4"/>
      <c r="D6" s="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FF0000"/>
  </sheetPr>
  <dimension ref="B3:D10"/>
  <sheetViews>
    <sheetView workbookViewId="0"/>
  </sheetViews>
  <sheetFormatPr baseColWidth="10" defaultRowHeight="26" x14ac:dyDescent="0.3"/>
  <cols>
    <col min="1" max="16384" width="10.83203125" style="13"/>
  </cols>
  <sheetData>
    <row r="3" spans="2:4" x14ac:dyDescent="0.3">
      <c r="B3" s="13" t="s">
        <v>38</v>
      </c>
    </row>
    <row r="4" spans="2:4" x14ac:dyDescent="0.3">
      <c r="C4" s="13" t="s">
        <v>39</v>
      </c>
    </row>
    <row r="5" spans="2:4" x14ac:dyDescent="0.3">
      <c r="D5" s="14" t="s">
        <v>40</v>
      </c>
    </row>
    <row r="6" spans="2:4" x14ac:dyDescent="0.3">
      <c r="D6" s="14" t="s">
        <v>41</v>
      </c>
    </row>
    <row r="7" spans="2:4" x14ac:dyDescent="0.3">
      <c r="D7" s="14" t="s">
        <v>42</v>
      </c>
    </row>
    <row r="8" spans="2:4" x14ac:dyDescent="0.3">
      <c r="C8" s="13" t="s">
        <v>43</v>
      </c>
    </row>
    <row r="9" spans="2:4" x14ac:dyDescent="0.3">
      <c r="D9" s="14" t="s">
        <v>44</v>
      </c>
    </row>
    <row r="10" spans="2:4" x14ac:dyDescent="0.3">
      <c r="D10" s="14" t="s">
        <v>45</v>
      </c>
    </row>
  </sheetData>
  <hyperlinks>
    <hyperlink ref="D9" location="L4_YourTurn!A1" display="Your Turn" xr:uid="{021A1DAB-E08B-4047-8957-C888DEBD8DBB}"/>
    <hyperlink ref="D10" location="Ex1_iris_data!A1" display="Example" xr:uid="{97C6BBF7-9571-474C-B9F3-075C6CC7CEEC}"/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FF0000"/>
  </sheetPr>
  <dimension ref="A1:F151"/>
  <sheetViews>
    <sheetView workbookViewId="0"/>
  </sheetViews>
  <sheetFormatPr baseColWidth="10" defaultRowHeight="16" x14ac:dyDescent="0.2"/>
  <cols>
    <col min="1" max="16384" width="10.83203125" style="15"/>
  </cols>
  <sheetData>
    <row r="1" spans="1:6" x14ac:dyDescent="0.2">
      <c r="B1" s="15" t="s">
        <v>51</v>
      </c>
      <c r="C1" s="15" t="s">
        <v>52</v>
      </c>
      <c r="D1" s="15" t="s">
        <v>53</v>
      </c>
      <c r="E1" s="15" t="s">
        <v>54</v>
      </c>
      <c r="F1" s="15" t="s">
        <v>55</v>
      </c>
    </row>
    <row r="2" spans="1:6" x14ac:dyDescent="0.2">
      <c r="A2" s="15">
        <v>1</v>
      </c>
      <c r="B2" s="15">
        <v>5.0999999999999996</v>
      </c>
      <c r="C2" s="15">
        <v>3.5</v>
      </c>
      <c r="D2" s="15">
        <v>1.4</v>
      </c>
      <c r="E2" s="15">
        <v>0.2</v>
      </c>
      <c r="F2" s="15" t="s">
        <v>56</v>
      </c>
    </row>
    <row r="3" spans="1:6" x14ac:dyDescent="0.2">
      <c r="A3" s="15">
        <v>2</v>
      </c>
      <c r="B3" s="15">
        <v>4.9000000000000004</v>
      </c>
      <c r="C3" s="15">
        <v>3</v>
      </c>
      <c r="D3" s="15">
        <v>1.4</v>
      </c>
      <c r="E3" s="15">
        <v>0.2</v>
      </c>
      <c r="F3" s="15" t="s">
        <v>56</v>
      </c>
    </row>
    <row r="4" spans="1:6" x14ac:dyDescent="0.2">
      <c r="A4" s="15">
        <v>3</v>
      </c>
      <c r="B4" s="15">
        <v>4.7</v>
      </c>
      <c r="C4" s="15">
        <v>3.2</v>
      </c>
      <c r="D4" s="15">
        <v>1.3</v>
      </c>
      <c r="E4" s="15">
        <v>0.2</v>
      </c>
      <c r="F4" s="15" t="s">
        <v>56</v>
      </c>
    </row>
    <row r="5" spans="1:6" x14ac:dyDescent="0.2">
      <c r="A5" s="15">
        <v>4</v>
      </c>
      <c r="B5" s="15">
        <v>4.5999999999999996</v>
      </c>
      <c r="C5" s="15">
        <v>3.1</v>
      </c>
      <c r="D5" s="15">
        <v>1.5</v>
      </c>
      <c r="E5" s="15">
        <v>0.2</v>
      </c>
      <c r="F5" s="15" t="s">
        <v>56</v>
      </c>
    </row>
    <row r="6" spans="1:6" x14ac:dyDescent="0.2">
      <c r="A6" s="15">
        <v>5</v>
      </c>
      <c r="B6" s="15">
        <v>5</v>
      </c>
      <c r="C6" s="15">
        <v>3.6</v>
      </c>
      <c r="D6" s="15">
        <v>1.4</v>
      </c>
      <c r="E6" s="15">
        <v>0.2</v>
      </c>
      <c r="F6" s="15" t="s">
        <v>56</v>
      </c>
    </row>
    <row r="7" spans="1:6" x14ac:dyDescent="0.2">
      <c r="A7" s="15">
        <v>6</v>
      </c>
      <c r="B7" s="15">
        <v>5.4</v>
      </c>
      <c r="C7" s="15">
        <v>3.9</v>
      </c>
      <c r="D7" s="15">
        <v>1.7</v>
      </c>
      <c r="E7" s="15">
        <v>0.4</v>
      </c>
      <c r="F7" s="15" t="s">
        <v>56</v>
      </c>
    </row>
    <row r="8" spans="1:6" x14ac:dyDescent="0.2">
      <c r="A8" s="15">
        <v>7</v>
      </c>
      <c r="B8" s="15">
        <v>4.5999999999999996</v>
      </c>
      <c r="C8" s="15">
        <v>3.4</v>
      </c>
      <c r="D8" s="15">
        <v>1.4</v>
      </c>
      <c r="E8" s="15">
        <v>0.3</v>
      </c>
      <c r="F8" s="15" t="s">
        <v>56</v>
      </c>
    </row>
    <row r="9" spans="1:6" x14ac:dyDescent="0.2">
      <c r="A9" s="15">
        <v>8</v>
      </c>
      <c r="B9" s="15">
        <v>5</v>
      </c>
      <c r="C9" s="15">
        <v>3.4</v>
      </c>
      <c r="D9" s="15">
        <v>1.5</v>
      </c>
      <c r="E9" s="15">
        <v>0.2</v>
      </c>
      <c r="F9" s="15" t="s">
        <v>56</v>
      </c>
    </row>
    <row r="10" spans="1:6" x14ac:dyDescent="0.2">
      <c r="A10" s="15">
        <v>9</v>
      </c>
      <c r="B10" s="15">
        <v>4.4000000000000004</v>
      </c>
      <c r="C10" s="15">
        <v>2.9</v>
      </c>
      <c r="D10" s="15">
        <v>1.4</v>
      </c>
      <c r="E10" s="15">
        <v>0.2</v>
      </c>
      <c r="F10" s="15" t="s">
        <v>56</v>
      </c>
    </row>
    <row r="11" spans="1:6" x14ac:dyDescent="0.2">
      <c r="A11" s="15">
        <v>10</v>
      </c>
      <c r="B11" s="15">
        <v>4.9000000000000004</v>
      </c>
      <c r="C11" s="15">
        <v>3.1</v>
      </c>
      <c r="D11" s="15">
        <v>1.5</v>
      </c>
      <c r="E11" s="15">
        <v>0.1</v>
      </c>
      <c r="F11" s="15" t="s">
        <v>56</v>
      </c>
    </row>
    <row r="12" spans="1:6" x14ac:dyDescent="0.2">
      <c r="A12" s="15">
        <v>11</v>
      </c>
      <c r="B12" s="15">
        <v>5.4</v>
      </c>
      <c r="C12" s="15">
        <v>3.7</v>
      </c>
      <c r="D12" s="15">
        <v>1.5</v>
      </c>
      <c r="E12" s="15">
        <v>0.2</v>
      </c>
      <c r="F12" s="15" t="s">
        <v>56</v>
      </c>
    </row>
    <row r="13" spans="1:6" x14ac:dyDescent="0.2">
      <c r="A13" s="15">
        <v>12</v>
      </c>
      <c r="B13" s="15">
        <v>4.8</v>
      </c>
      <c r="C13" s="15">
        <v>3.4</v>
      </c>
      <c r="D13" s="15">
        <v>1.6</v>
      </c>
      <c r="E13" s="15">
        <v>0.2</v>
      </c>
      <c r="F13" s="15" t="s">
        <v>56</v>
      </c>
    </row>
    <row r="14" spans="1:6" x14ac:dyDescent="0.2">
      <c r="A14" s="15">
        <v>13</v>
      </c>
      <c r="B14" s="15">
        <v>4.8</v>
      </c>
      <c r="C14" s="15">
        <v>3</v>
      </c>
      <c r="D14" s="15">
        <v>1.4</v>
      </c>
      <c r="E14" s="15">
        <v>0.1</v>
      </c>
      <c r="F14" s="15" t="s">
        <v>56</v>
      </c>
    </row>
    <row r="15" spans="1:6" x14ac:dyDescent="0.2">
      <c r="A15" s="15">
        <v>14</v>
      </c>
      <c r="B15" s="15">
        <v>4.3</v>
      </c>
      <c r="C15" s="15">
        <v>3</v>
      </c>
      <c r="D15" s="15">
        <v>1.1000000000000001</v>
      </c>
      <c r="E15" s="15">
        <v>0.1</v>
      </c>
      <c r="F15" s="15" t="s">
        <v>56</v>
      </c>
    </row>
    <row r="16" spans="1:6" x14ac:dyDescent="0.2">
      <c r="A16" s="15">
        <v>15</v>
      </c>
      <c r="B16" s="15">
        <v>5.8</v>
      </c>
      <c r="C16" s="15">
        <v>4</v>
      </c>
      <c r="D16" s="15">
        <v>1.2</v>
      </c>
      <c r="E16" s="15">
        <v>0.2</v>
      </c>
      <c r="F16" s="15" t="s">
        <v>56</v>
      </c>
    </row>
    <row r="17" spans="1:6" x14ac:dyDescent="0.2">
      <c r="A17" s="15">
        <v>16</v>
      </c>
      <c r="B17" s="15">
        <v>5.7</v>
      </c>
      <c r="C17" s="15">
        <v>4.4000000000000004</v>
      </c>
      <c r="D17" s="15">
        <v>1.5</v>
      </c>
      <c r="E17" s="15">
        <v>0.4</v>
      </c>
      <c r="F17" s="15" t="s">
        <v>56</v>
      </c>
    </row>
    <row r="18" spans="1:6" x14ac:dyDescent="0.2">
      <c r="A18" s="15">
        <v>17</v>
      </c>
      <c r="B18" s="15">
        <v>5.4</v>
      </c>
      <c r="C18" s="15">
        <v>3.9</v>
      </c>
      <c r="D18" s="15">
        <v>1.3</v>
      </c>
      <c r="E18" s="15">
        <v>0.4</v>
      </c>
      <c r="F18" s="15" t="s">
        <v>56</v>
      </c>
    </row>
    <row r="19" spans="1:6" x14ac:dyDescent="0.2">
      <c r="A19" s="15">
        <v>18</v>
      </c>
      <c r="B19" s="15">
        <v>5.0999999999999996</v>
      </c>
      <c r="C19" s="15">
        <v>3.5</v>
      </c>
      <c r="D19" s="15">
        <v>1.4</v>
      </c>
      <c r="E19" s="15">
        <v>0.3</v>
      </c>
      <c r="F19" s="15" t="s">
        <v>56</v>
      </c>
    </row>
    <row r="20" spans="1:6" x14ac:dyDescent="0.2">
      <c r="A20" s="15">
        <v>19</v>
      </c>
      <c r="B20" s="15">
        <v>5.7</v>
      </c>
      <c r="C20" s="15">
        <v>3.8</v>
      </c>
      <c r="D20" s="15">
        <v>1.7</v>
      </c>
      <c r="E20" s="15">
        <v>0.3</v>
      </c>
      <c r="F20" s="15" t="s">
        <v>56</v>
      </c>
    </row>
    <row r="21" spans="1:6" x14ac:dyDescent="0.2">
      <c r="A21" s="15">
        <v>20</v>
      </c>
      <c r="B21" s="15">
        <v>5.0999999999999996</v>
      </c>
      <c r="C21" s="15">
        <v>3.8</v>
      </c>
      <c r="D21" s="15">
        <v>1.5</v>
      </c>
      <c r="E21" s="15">
        <v>0.3</v>
      </c>
      <c r="F21" s="15" t="s">
        <v>56</v>
      </c>
    </row>
    <row r="22" spans="1:6" x14ac:dyDescent="0.2">
      <c r="A22" s="15">
        <v>21</v>
      </c>
      <c r="B22" s="15">
        <v>5.4</v>
      </c>
      <c r="C22" s="15">
        <v>3.4</v>
      </c>
      <c r="D22" s="15">
        <v>1.7</v>
      </c>
      <c r="E22" s="15">
        <v>0.2</v>
      </c>
      <c r="F22" s="15" t="s">
        <v>56</v>
      </c>
    </row>
    <row r="23" spans="1:6" x14ac:dyDescent="0.2">
      <c r="A23" s="15">
        <v>22</v>
      </c>
      <c r="B23" s="15">
        <v>5.0999999999999996</v>
      </c>
      <c r="C23" s="15">
        <v>3.7</v>
      </c>
      <c r="D23" s="15">
        <v>1.5</v>
      </c>
      <c r="E23" s="15">
        <v>0.4</v>
      </c>
      <c r="F23" s="15" t="s">
        <v>56</v>
      </c>
    </row>
    <row r="24" spans="1:6" x14ac:dyDescent="0.2">
      <c r="A24" s="15">
        <v>23</v>
      </c>
      <c r="B24" s="15">
        <v>4.5999999999999996</v>
      </c>
      <c r="C24" s="15">
        <v>3.6</v>
      </c>
      <c r="D24" s="15">
        <v>1</v>
      </c>
      <c r="E24" s="15">
        <v>0.2</v>
      </c>
      <c r="F24" s="15" t="s">
        <v>56</v>
      </c>
    </row>
    <row r="25" spans="1:6" x14ac:dyDescent="0.2">
      <c r="A25" s="15">
        <v>24</v>
      </c>
      <c r="B25" s="15">
        <v>5.0999999999999996</v>
      </c>
      <c r="C25" s="15">
        <v>3.3</v>
      </c>
      <c r="D25" s="15">
        <v>1.7</v>
      </c>
      <c r="E25" s="15">
        <v>0.5</v>
      </c>
      <c r="F25" s="15" t="s">
        <v>56</v>
      </c>
    </row>
    <row r="26" spans="1:6" x14ac:dyDescent="0.2">
      <c r="A26" s="15">
        <v>25</v>
      </c>
      <c r="B26" s="15">
        <v>4.8</v>
      </c>
      <c r="C26" s="15">
        <v>3.4</v>
      </c>
      <c r="D26" s="15">
        <v>1.9</v>
      </c>
      <c r="E26" s="15">
        <v>0.2</v>
      </c>
      <c r="F26" s="15" t="s">
        <v>56</v>
      </c>
    </row>
    <row r="27" spans="1:6" x14ac:dyDescent="0.2">
      <c r="A27" s="15">
        <v>26</v>
      </c>
      <c r="B27" s="15">
        <v>5</v>
      </c>
      <c r="C27" s="15">
        <v>3</v>
      </c>
      <c r="D27" s="15">
        <v>1.6</v>
      </c>
      <c r="E27" s="15">
        <v>0.2</v>
      </c>
      <c r="F27" s="15" t="s">
        <v>56</v>
      </c>
    </row>
    <row r="28" spans="1:6" x14ac:dyDescent="0.2">
      <c r="A28" s="15">
        <v>27</v>
      </c>
      <c r="B28" s="15">
        <v>5</v>
      </c>
      <c r="C28" s="15">
        <v>3.4</v>
      </c>
      <c r="D28" s="15">
        <v>1.6</v>
      </c>
      <c r="E28" s="15">
        <v>0.4</v>
      </c>
      <c r="F28" s="15" t="s">
        <v>56</v>
      </c>
    </row>
    <row r="29" spans="1:6" x14ac:dyDescent="0.2">
      <c r="A29" s="15">
        <v>28</v>
      </c>
      <c r="B29" s="15">
        <v>5.2</v>
      </c>
      <c r="C29" s="15">
        <v>3.5</v>
      </c>
      <c r="D29" s="15">
        <v>1.5</v>
      </c>
      <c r="E29" s="15">
        <v>0.2</v>
      </c>
      <c r="F29" s="15" t="s">
        <v>56</v>
      </c>
    </row>
    <row r="30" spans="1:6" x14ac:dyDescent="0.2">
      <c r="A30" s="15">
        <v>29</v>
      </c>
      <c r="B30" s="15">
        <v>5.2</v>
      </c>
      <c r="C30" s="15">
        <v>3.4</v>
      </c>
      <c r="D30" s="15">
        <v>1.4</v>
      </c>
      <c r="E30" s="15">
        <v>0.2</v>
      </c>
      <c r="F30" s="15" t="s">
        <v>56</v>
      </c>
    </row>
    <row r="31" spans="1:6" x14ac:dyDescent="0.2">
      <c r="A31" s="15">
        <v>30</v>
      </c>
      <c r="B31" s="15">
        <v>4.7</v>
      </c>
      <c r="C31" s="15">
        <v>3.2</v>
      </c>
      <c r="D31" s="15">
        <v>1.6</v>
      </c>
      <c r="E31" s="15">
        <v>0.2</v>
      </c>
      <c r="F31" s="15" t="s">
        <v>56</v>
      </c>
    </row>
    <row r="32" spans="1:6" x14ac:dyDescent="0.2">
      <c r="A32" s="15">
        <v>31</v>
      </c>
      <c r="B32" s="15">
        <v>4.8</v>
      </c>
      <c r="C32" s="15">
        <v>3.1</v>
      </c>
      <c r="D32" s="15">
        <v>1.6</v>
      </c>
      <c r="E32" s="15">
        <v>0.2</v>
      </c>
      <c r="F32" s="15" t="s">
        <v>56</v>
      </c>
    </row>
    <row r="33" spans="1:6" x14ac:dyDescent="0.2">
      <c r="A33" s="15">
        <v>32</v>
      </c>
      <c r="B33" s="15">
        <v>5.4</v>
      </c>
      <c r="C33" s="15">
        <v>3.4</v>
      </c>
      <c r="D33" s="15">
        <v>1.5</v>
      </c>
      <c r="E33" s="15">
        <v>0.4</v>
      </c>
      <c r="F33" s="15" t="s">
        <v>56</v>
      </c>
    </row>
    <row r="34" spans="1:6" x14ac:dyDescent="0.2">
      <c r="A34" s="15">
        <v>33</v>
      </c>
      <c r="B34" s="15">
        <v>5.2</v>
      </c>
      <c r="C34" s="15">
        <v>4.0999999999999996</v>
      </c>
      <c r="D34" s="15">
        <v>1.5</v>
      </c>
      <c r="E34" s="15">
        <v>0.1</v>
      </c>
      <c r="F34" s="15" t="s">
        <v>56</v>
      </c>
    </row>
    <row r="35" spans="1:6" x14ac:dyDescent="0.2">
      <c r="A35" s="15">
        <v>34</v>
      </c>
      <c r="B35" s="15">
        <v>5.5</v>
      </c>
      <c r="C35" s="15">
        <v>4.2</v>
      </c>
      <c r="D35" s="15">
        <v>1.4</v>
      </c>
      <c r="E35" s="15">
        <v>0.2</v>
      </c>
      <c r="F35" s="15" t="s">
        <v>56</v>
      </c>
    </row>
    <row r="36" spans="1:6" x14ac:dyDescent="0.2">
      <c r="A36" s="15">
        <v>35</v>
      </c>
      <c r="B36" s="15">
        <v>4.9000000000000004</v>
      </c>
      <c r="C36" s="15">
        <v>3.1</v>
      </c>
      <c r="D36" s="15">
        <v>1.5</v>
      </c>
      <c r="E36" s="15">
        <v>0.2</v>
      </c>
      <c r="F36" s="15" t="s">
        <v>56</v>
      </c>
    </row>
    <row r="37" spans="1:6" x14ac:dyDescent="0.2">
      <c r="A37" s="15">
        <v>36</v>
      </c>
      <c r="B37" s="15">
        <v>5</v>
      </c>
      <c r="C37" s="15">
        <v>3.2</v>
      </c>
      <c r="D37" s="15">
        <v>1.2</v>
      </c>
      <c r="E37" s="15">
        <v>0.2</v>
      </c>
      <c r="F37" s="15" t="s">
        <v>56</v>
      </c>
    </row>
    <row r="38" spans="1:6" x14ac:dyDescent="0.2">
      <c r="A38" s="15">
        <v>37</v>
      </c>
      <c r="B38" s="15">
        <v>5.5</v>
      </c>
      <c r="C38" s="15">
        <v>3.5</v>
      </c>
      <c r="D38" s="15">
        <v>1.3</v>
      </c>
      <c r="E38" s="15">
        <v>0.2</v>
      </c>
      <c r="F38" s="15" t="s">
        <v>56</v>
      </c>
    </row>
    <row r="39" spans="1:6" x14ac:dyDescent="0.2">
      <c r="A39" s="15">
        <v>38</v>
      </c>
      <c r="B39" s="15">
        <v>4.9000000000000004</v>
      </c>
      <c r="C39" s="15">
        <v>3.6</v>
      </c>
      <c r="D39" s="15">
        <v>1.4</v>
      </c>
      <c r="E39" s="15">
        <v>0.1</v>
      </c>
      <c r="F39" s="15" t="s">
        <v>56</v>
      </c>
    </row>
    <row r="40" spans="1:6" x14ac:dyDescent="0.2">
      <c r="A40" s="15">
        <v>39</v>
      </c>
      <c r="B40" s="15">
        <v>4.4000000000000004</v>
      </c>
      <c r="C40" s="15">
        <v>3</v>
      </c>
      <c r="D40" s="15">
        <v>1.3</v>
      </c>
      <c r="E40" s="15">
        <v>0.2</v>
      </c>
      <c r="F40" s="15" t="s">
        <v>56</v>
      </c>
    </row>
    <row r="41" spans="1:6" x14ac:dyDescent="0.2">
      <c r="A41" s="15">
        <v>40</v>
      </c>
      <c r="B41" s="15">
        <v>5.0999999999999996</v>
      </c>
      <c r="C41" s="15">
        <v>3.4</v>
      </c>
      <c r="D41" s="15">
        <v>1.5</v>
      </c>
      <c r="E41" s="15">
        <v>0.2</v>
      </c>
      <c r="F41" s="15" t="s">
        <v>56</v>
      </c>
    </row>
    <row r="42" spans="1:6" x14ac:dyDescent="0.2">
      <c r="A42" s="15">
        <v>41</v>
      </c>
      <c r="B42" s="15">
        <v>5</v>
      </c>
      <c r="C42" s="15">
        <v>3.5</v>
      </c>
      <c r="D42" s="15">
        <v>1.3</v>
      </c>
      <c r="E42" s="15">
        <v>0.3</v>
      </c>
      <c r="F42" s="15" t="s">
        <v>56</v>
      </c>
    </row>
    <row r="43" spans="1:6" x14ac:dyDescent="0.2">
      <c r="A43" s="15">
        <v>42</v>
      </c>
      <c r="B43" s="15">
        <v>4.5</v>
      </c>
      <c r="C43" s="15">
        <v>2.2999999999999998</v>
      </c>
      <c r="D43" s="15">
        <v>1.3</v>
      </c>
      <c r="E43" s="15">
        <v>0.3</v>
      </c>
      <c r="F43" s="15" t="s">
        <v>56</v>
      </c>
    </row>
    <row r="44" spans="1:6" x14ac:dyDescent="0.2">
      <c r="A44" s="15">
        <v>43</v>
      </c>
      <c r="B44" s="15">
        <v>4.4000000000000004</v>
      </c>
      <c r="C44" s="15">
        <v>3.2</v>
      </c>
      <c r="D44" s="15">
        <v>1.3</v>
      </c>
      <c r="E44" s="15">
        <v>0.2</v>
      </c>
      <c r="F44" s="15" t="s">
        <v>56</v>
      </c>
    </row>
    <row r="45" spans="1:6" x14ac:dyDescent="0.2">
      <c r="A45" s="15">
        <v>44</v>
      </c>
      <c r="B45" s="15">
        <v>5</v>
      </c>
      <c r="C45" s="15">
        <v>3.5</v>
      </c>
      <c r="D45" s="15">
        <v>1.6</v>
      </c>
      <c r="E45" s="15">
        <v>0.6</v>
      </c>
      <c r="F45" s="15" t="s">
        <v>56</v>
      </c>
    </row>
    <row r="46" spans="1:6" x14ac:dyDescent="0.2">
      <c r="A46" s="15">
        <v>45</v>
      </c>
      <c r="B46" s="15">
        <v>5.0999999999999996</v>
      </c>
      <c r="C46" s="15">
        <v>3.8</v>
      </c>
      <c r="D46" s="15">
        <v>1.9</v>
      </c>
      <c r="E46" s="15">
        <v>0.4</v>
      </c>
      <c r="F46" s="15" t="s">
        <v>56</v>
      </c>
    </row>
    <row r="47" spans="1:6" x14ac:dyDescent="0.2">
      <c r="A47" s="15">
        <v>46</v>
      </c>
      <c r="B47" s="15">
        <v>4.8</v>
      </c>
      <c r="C47" s="15">
        <v>3</v>
      </c>
      <c r="D47" s="15">
        <v>1.4</v>
      </c>
      <c r="E47" s="15">
        <v>0.3</v>
      </c>
      <c r="F47" s="15" t="s">
        <v>56</v>
      </c>
    </row>
    <row r="48" spans="1:6" x14ac:dyDescent="0.2">
      <c r="A48" s="15">
        <v>47</v>
      </c>
      <c r="B48" s="15">
        <v>5.0999999999999996</v>
      </c>
      <c r="C48" s="15">
        <v>3.8</v>
      </c>
      <c r="D48" s="15">
        <v>1.6</v>
      </c>
      <c r="E48" s="15">
        <v>0.2</v>
      </c>
      <c r="F48" s="15" t="s">
        <v>56</v>
      </c>
    </row>
    <row r="49" spans="1:6" x14ac:dyDescent="0.2">
      <c r="A49" s="15">
        <v>48</v>
      </c>
      <c r="B49" s="15">
        <v>4.5999999999999996</v>
      </c>
      <c r="C49" s="15">
        <v>3.2</v>
      </c>
      <c r="D49" s="15">
        <v>1.4</v>
      </c>
      <c r="E49" s="15">
        <v>0.2</v>
      </c>
      <c r="F49" s="15" t="s">
        <v>56</v>
      </c>
    </row>
    <row r="50" spans="1:6" x14ac:dyDescent="0.2">
      <c r="A50" s="15">
        <v>49</v>
      </c>
      <c r="B50" s="15">
        <v>5.3</v>
      </c>
      <c r="C50" s="15">
        <v>3.7</v>
      </c>
      <c r="D50" s="15">
        <v>1.5</v>
      </c>
      <c r="E50" s="15">
        <v>0.2</v>
      </c>
      <c r="F50" s="15" t="s">
        <v>56</v>
      </c>
    </row>
    <row r="51" spans="1:6" x14ac:dyDescent="0.2">
      <c r="A51" s="15">
        <v>50</v>
      </c>
      <c r="B51" s="15">
        <v>5</v>
      </c>
      <c r="C51" s="15">
        <v>3.3</v>
      </c>
      <c r="D51" s="15">
        <v>1.4</v>
      </c>
      <c r="E51" s="15">
        <v>0.2</v>
      </c>
      <c r="F51" s="15" t="s">
        <v>56</v>
      </c>
    </row>
    <row r="52" spans="1:6" x14ac:dyDescent="0.2">
      <c r="A52" s="15">
        <v>51</v>
      </c>
      <c r="B52" s="15">
        <v>7</v>
      </c>
      <c r="C52" s="15">
        <v>3.2</v>
      </c>
      <c r="D52" s="15">
        <v>4.7</v>
      </c>
      <c r="E52" s="15">
        <v>1.4</v>
      </c>
      <c r="F52" s="15" t="s">
        <v>57</v>
      </c>
    </row>
    <row r="53" spans="1:6" x14ac:dyDescent="0.2">
      <c r="A53" s="15">
        <v>52</v>
      </c>
      <c r="B53" s="15">
        <v>6.4</v>
      </c>
      <c r="C53" s="15">
        <v>3.2</v>
      </c>
      <c r="D53" s="15">
        <v>4.5</v>
      </c>
      <c r="E53" s="15">
        <v>1.5</v>
      </c>
      <c r="F53" s="15" t="s">
        <v>57</v>
      </c>
    </row>
    <row r="54" spans="1:6" x14ac:dyDescent="0.2">
      <c r="A54" s="15">
        <v>53</v>
      </c>
      <c r="B54" s="15">
        <v>6.9</v>
      </c>
      <c r="C54" s="15">
        <v>3.1</v>
      </c>
      <c r="D54" s="15">
        <v>4.9000000000000004</v>
      </c>
      <c r="E54" s="15">
        <v>1.5</v>
      </c>
      <c r="F54" s="15" t="s">
        <v>57</v>
      </c>
    </row>
    <row r="55" spans="1:6" x14ac:dyDescent="0.2">
      <c r="A55" s="15">
        <v>54</v>
      </c>
      <c r="B55" s="15">
        <v>5.5</v>
      </c>
      <c r="C55" s="15">
        <v>2.2999999999999998</v>
      </c>
      <c r="D55" s="15">
        <v>4</v>
      </c>
      <c r="E55" s="15">
        <v>1.3</v>
      </c>
      <c r="F55" s="15" t="s">
        <v>57</v>
      </c>
    </row>
    <row r="56" spans="1:6" x14ac:dyDescent="0.2">
      <c r="A56" s="15">
        <v>55</v>
      </c>
      <c r="B56" s="15">
        <v>6.5</v>
      </c>
      <c r="C56" s="15">
        <v>2.8</v>
      </c>
      <c r="D56" s="15">
        <v>4.5999999999999996</v>
      </c>
      <c r="E56" s="15">
        <v>1.5</v>
      </c>
      <c r="F56" s="15" t="s">
        <v>57</v>
      </c>
    </row>
    <row r="57" spans="1:6" x14ac:dyDescent="0.2">
      <c r="A57" s="15">
        <v>56</v>
      </c>
      <c r="B57" s="15">
        <v>5.7</v>
      </c>
      <c r="C57" s="15">
        <v>2.8</v>
      </c>
      <c r="D57" s="15">
        <v>4.5</v>
      </c>
      <c r="E57" s="15">
        <v>1.3</v>
      </c>
      <c r="F57" s="15" t="s">
        <v>57</v>
      </c>
    </row>
    <row r="58" spans="1:6" x14ac:dyDescent="0.2">
      <c r="A58" s="15">
        <v>57</v>
      </c>
      <c r="B58" s="15">
        <v>6.3</v>
      </c>
      <c r="C58" s="15">
        <v>3.3</v>
      </c>
      <c r="D58" s="15">
        <v>4.7</v>
      </c>
      <c r="E58" s="15">
        <v>1.6</v>
      </c>
      <c r="F58" s="15" t="s">
        <v>57</v>
      </c>
    </row>
    <row r="59" spans="1:6" x14ac:dyDescent="0.2">
      <c r="A59" s="15">
        <v>58</v>
      </c>
      <c r="B59" s="15">
        <v>4.9000000000000004</v>
      </c>
      <c r="C59" s="15">
        <v>2.4</v>
      </c>
      <c r="D59" s="15">
        <v>3.3</v>
      </c>
      <c r="E59" s="15">
        <v>1</v>
      </c>
      <c r="F59" s="15" t="s">
        <v>57</v>
      </c>
    </row>
    <row r="60" spans="1:6" x14ac:dyDescent="0.2">
      <c r="A60" s="15">
        <v>59</v>
      </c>
      <c r="B60" s="15">
        <v>6.6</v>
      </c>
      <c r="C60" s="15">
        <v>2.9</v>
      </c>
      <c r="D60" s="15">
        <v>4.5999999999999996</v>
      </c>
      <c r="E60" s="15">
        <v>1.3</v>
      </c>
      <c r="F60" s="15" t="s">
        <v>57</v>
      </c>
    </row>
    <row r="61" spans="1:6" x14ac:dyDescent="0.2">
      <c r="A61" s="15">
        <v>60</v>
      </c>
      <c r="B61" s="15">
        <v>5.2</v>
      </c>
      <c r="C61" s="15">
        <v>2.7</v>
      </c>
      <c r="D61" s="15">
        <v>3.9</v>
      </c>
      <c r="E61" s="15">
        <v>1.4</v>
      </c>
      <c r="F61" s="15" t="s">
        <v>57</v>
      </c>
    </row>
    <row r="62" spans="1:6" x14ac:dyDescent="0.2">
      <c r="A62" s="15">
        <v>61</v>
      </c>
      <c r="B62" s="15">
        <v>5</v>
      </c>
      <c r="C62" s="15">
        <v>2</v>
      </c>
      <c r="D62" s="15">
        <v>3.5</v>
      </c>
      <c r="E62" s="15">
        <v>1</v>
      </c>
      <c r="F62" s="15" t="s">
        <v>57</v>
      </c>
    </row>
    <row r="63" spans="1:6" x14ac:dyDescent="0.2">
      <c r="A63" s="15">
        <v>62</v>
      </c>
      <c r="B63" s="15">
        <v>5.9</v>
      </c>
      <c r="C63" s="15">
        <v>3</v>
      </c>
      <c r="D63" s="15">
        <v>4.2</v>
      </c>
      <c r="E63" s="15">
        <v>1.5</v>
      </c>
      <c r="F63" s="15" t="s">
        <v>57</v>
      </c>
    </row>
    <row r="64" spans="1:6" x14ac:dyDescent="0.2">
      <c r="A64" s="15">
        <v>63</v>
      </c>
      <c r="B64" s="15">
        <v>6</v>
      </c>
      <c r="C64" s="15">
        <v>2.2000000000000002</v>
      </c>
      <c r="D64" s="15">
        <v>4</v>
      </c>
      <c r="E64" s="15">
        <v>1</v>
      </c>
      <c r="F64" s="15" t="s">
        <v>57</v>
      </c>
    </row>
    <row r="65" spans="1:6" x14ac:dyDescent="0.2">
      <c r="A65" s="15">
        <v>64</v>
      </c>
      <c r="B65" s="15">
        <v>6.1</v>
      </c>
      <c r="C65" s="15">
        <v>2.9</v>
      </c>
      <c r="D65" s="15">
        <v>4.7</v>
      </c>
      <c r="E65" s="15">
        <v>1.4</v>
      </c>
      <c r="F65" s="15" t="s">
        <v>57</v>
      </c>
    </row>
    <row r="66" spans="1:6" x14ac:dyDescent="0.2">
      <c r="A66" s="15">
        <v>65</v>
      </c>
      <c r="B66" s="15">
        <v>5.6</v>
      </c>
      <c r="C66" s="15">
        <v>2.9</v>
      </c>
      <c r="D66" s="15">
        <v>3.6</v>
      </c>
      <c r="E66" s="15">
        <v>1.3</v>
      </c>
      <c r="F66" s="15" t="s">
        <v>57</v>
      </c>
    </row>
    <row r="67" spans="1:6" x14ac:dyDescent="0.2">
      <c r="A67" s="15">
        <v>66</v>
      </c>
      <c r="B67" s="15">
        <v>6.7</v>
      </c>
      <c r="C67" s="15">
        <v>3.1</v>
      </c>
      <c r="D67" s="15">
        <v>4.4000000000000004</v>
      </c>
      <c r="E67" s="15">
        <v>1.4</v>
      </c>
      <c r="F67" s="15" t="s">
        <v>57</v>
      </c>
    </row>
    <row r="68" spans="1:6" x14ac:dyDescent="0.2">
      <c r="A68" s="15">
        <v>67</v>
      </c>
      <c r="B68" s="15">
        <v>5.6</v>
      </c>
      <c r="C68" s="15">
        <v>3</v>
      </c>
      <c r="D68" s="15">
        <v>4.5</v>
      </c>
      <c r="E68" s="15">
        <v>1.5</v>
      </c>
      <c r="F68" s="15" t="s">
        <v>57</v>
      </c>
    </row>
    <row r="69" spans="1:6" x14ac:dyDescent="0.2">
      <c r="A69" s="15">
        <v>68</v>
      </c>
      <c r="B69" s="15">
        <v>5.8</v>
      </c>
      <c r="C69" s="15">
        <v>2.7</v>
      </c>
      <c r="D69" s="15">
        <v>4.0999999999999996</v>
      </c>
      <c r="E69" s="15">
        <v>1</v>
      </c>
      <c r="F69" s="15" t="s">
        <v>57</v>
      </c>
    </row>
    <row r="70" spans="1:6" x14ac:dyDescent="0.2">
      <c r="A70" s="15">
        <v>69</v>
      </c>
      <c r="B70" s="15">
        <v>6.2</v>
      </c>
      <c r="C70" s="15">
        <v>2.2000000000000002</v>
      </c>
      <c r="D70" s="15">
        <v>4.5</v>
      </c>
      <c r="E70" s="15">
        <v>1.5</v>
      </c>
      <c r="F70" s="15" t="s">
        <v>57</v>
      </c>
    </row>
    <row r="71" spans="1:6" x14ac:dyDescent="0.2">
      <c r="A71" s="15">
        <v>70</v>
      </c>
      <c r="B71" s="15">
        <v>5.6</v>
      </c>
      <c r="C71" s="15">
        <v>2.5</v>
      </c>
      <c r="D71" s="15">
        <v>3.9</v>
      </c>
      <c r="E71" s="15">
        <v>1.1000000000000001</v>
      </c>
      <c r="F71" s="15" t="s">
        <v>57</v>
      </c>
    </row>
    <row r="72" spans="1:6" x14ac:dyDescent="0.2">
      <c r="A72" s="15">
        <v>71</v>
      </c>
      <c r="B72" s="15">
        <v>5.9</v>
      </c>
      <c r="C72" s="15">
        <v>3.2</v>
      </c>
      <c r="D72" s="15">
        <v>4.8</v>
      </c>
      <c r="E72" s="15">
        <v>1.8</v>
      </c>
      <c r="F72" s="15" t="s">
        <v>57</v>
      </c>
    </row>
    <row r="73" spans="1:6" x14ac:dyDescent="0.2">
      <c r="A73" s="15">
        <v>72</v>
      </c>
      <c r="B73" s="15">
        <v>6.1</v>
      </c>
      <c r="C73" s="15">
        <v>2.8</v>
      </c>
      <c r="D73" s="15">
        <v>4</v>
      </c>
      <c r="E73" s="15">
        <v>1.3</v>
      </c>
      <c r="F73" s="15" t="s">
        <v>57</v>
      </c>
    </row>
    <row r="74" spans="1:6" x14ac:dyDescent="0.2">
      <c r="A74" s="15">
        <v>73</v>
      </c>
      <c r="B74" s="15">
        <v>6.3</v>
      </c>
      <c r="C74" s="15">
        <v>2.5</v>
      </c>
      <c r="D74" s="15">
        <v>4.9000000000000004</v>
      </c>
      <c r="E74" s="15">
        <v>1.5</v>
      </c>
      <c r="F74" s="15" t="s">
        <v>57</v>
      </c>
    </row>
    <row r="75" spans="1:6" x14ac:dyDescent="0.2">
      <c r="A75" s="15">
        <v>74</v>
      </c>
      <c r="B75" s="15">
        <v>6.1</v>
      </c>
      <c r="C75" s="15">
        <v>2.8</v>
      </c>
      <c r="D75" s="15">
        <v>4.7</v>
      </c>
      <c r="E75" s="15">
        <v>1.2</v>
      </c>
      <c r="F75" s="15" t="s">
        <v>57</v>
      </c>
    </row>
    <row r="76" spans="1:6" x14ac:dyDescent="0.2">
      <c r="A76" s="15">
        <v>75</v>
      </c>
      <c r="B76" s="15">
        <v>6.4</v>
      </c>
      <c r="C76" s="15">
        <v>2.9</v>
      </c>
      <c r="D76" s="15">
        <v>4.3</v>
      </c>
      <c r="E76" s="15">
        <v>1.3</v>
      </c>
      <c r="F76" s="15" t="s">
        <v>57</v>
      </c>
    </row>
    <row r="77" spans="1:6" x14ac:dyDescent="0.2">
      <c r="A77" s="15">
        <v>76</v>
      </c>
      <c r="B77" s="15">
        <v>6.6</v>
      </c>
      <c r="C77" s="15">
        <v>3</v>
      </c>
      <c r="D77" s="15">
        <v>4.4000000000000004</v>
      </c>
      <c r="E77" s="15">
        <v>1.4</v>
      </c>
      <c r="F77" s="15" t="s">
        <v>57</v>
      </c>
    </row>
    <row r="78" spans="1:6" x14ac:dyDescent="0.2">
      <c r="A78" s="15">
        <v>77</v>
      </c>
      <c r="B78" s="15">
        <v>6.8</v>
      </c>
      <c r="C78" s="15">
        <v>2.8</v>
      </c>
      <c r="D78" s="15">
        <v>4.8</v>
      </c>
      <c r="E78" s="15">
        <v>1.4</v>
      </c>
      <c r="F78" s="15" t="s">
        <v>57</v>
      </c>
    </row>
    <row r="79" spans="1:6" x14ac:dyDescent="0.2">
      <c r="A79" s="15">
        <v>78</v>
      </c>
      <c r="B79" s="15">
        <v>6.7</v>
      </c>
      <c r="C79" s="15">
        <v>3</v>
      </c>
      <c r="D79" s="15">
        <v>5</v>
      </c>
      <c r="E79" s="15">
        <v>1.7</v>
      </c>
      <c r="F79" s="15" t="s">
        <v>57</v>
      </c>
    </row>
    <row r="80" spans="1:6" x14ac:dyDescent="0.2">
      <c r="A80" s="15">
        <v>79</v>
      </c>
      <c r="B80" s="15">
        <v>6</v>
      </c>
      <c r="C80" s="15">
        <v>2.9</v>
      </c>
      <c r="D80" s="15">
        <v>4.5</v>
      </c>
      <c r="E80" s="15">
        <v>1.5</v>
      </c>
      <c r="F80" s="15" t="s">
        <v>57</v>
      </c>
    </row>
    <row r="81" spans="1:6" x14ac:dyDescent="0.2">
      <c r="A81" s="15">
        <v>80</v>
      </c>
      <c r="B81" s="15">
        <v>5.7</v>
      </c>
      <c r="C81" s="15">
        <v>2.6</v>
      </c>
      <c r="D81" s="15">
        <v>3.5</v>
      </c>
      <c r="E81" s="15">
        <v>1</v>
      </c>
      <c r="F81" s="15" t="s">
        <v>57</v>
      </c>
    </row>
    <row r="82" spans="1:6" x14ac:dyDescent="0.2">
      <c r="A82" s="15">
        <v>81</v>
      </c>
      <c r="B82" s="15">
        <v>5.5</v>
      </c>
      <c r="C82" s="15">
        <v>2.4</v>
      </c>
      <c r="D82" s="15">
        <v>3.8</v>
      </c>
      <c r="E82" s="15">
        <v>1.1000000000000001</v>
      </c>
      <c r="F82" s="15" t="s">
        <v>57</v>
      </c>
    </row>
    <row r="83" spans="1:6" x14ac:dyDescent="0.2">
      <c r="A83" s="15">
        <v>82</v>
      </c>
      <c r="B83" s="15">
        <v>5.5</v>
      </c>
      <c r="C83" s="15">
        <v>2.4</v>
      </c>
      <c r="D83" s="15">
        <v>3.7</v>
      </c>
      <c r="E83" s="15">
        <v>1</v>
      </c>
      <c r="F83" s="15" t="s">
        <v>57</v>
      </c>
    </row>
    <row r="84" spans="1:6" x14ac:dyDescent="0.2">
      <c r="A84" s="15">
        <v>83</v>
      </c>
      <c r="B84" s="15">
        <v>5.8</v>
      </c>
      <c r="C84" s="15">
        <v>2.7</v>
      </c>
      <c r="D84" s="15">
        <v>3.9</v>
      </c>
      <c r="E84" s="15">
        <v>1.2</v>
      </c>
      <c r="F84" s="15" t="s">
        <v>57</v>
      </c>
    </row>
    <row r="85" spans="1:6" x14ac:dyDescent="0.2">
      <c r="A85" s="15">
        <v>84</v>
      </c>
      <c r="B85" s="15">
        <v>6</v>
      </c>
      <c r="C85" s="15">
        <v>2.7</v>
      </c>
      <c r="D85" s="15">
        <v>5.0999999999999996</v>
      </c>
      <c r="E85" s="15">
        <v>1.6</v>
      </c>
      <c r="F85" s="15" t="s">
        <v>57</v>
      </c>
    </row>
    <row r="86" spans="1:6" x14ac:dyDescent="0.2">
      <c r="A86" s="15">
        <v>85</v>
      </c>
      <c r="B86" s="15">
        <v>5.4</v>
      </c>
      <c r="C86" s="15">
        <v>3</v>
      </c>
      <c r="D86" s="15">
        <v>4.5</v>
      </c>
      <c r="E86" s="15">
        <v>1.5</v>
      </c>
      <c r="F86" s="15" t="s">
        <v>57</v>
      </c>
    </row>
    <row r="87" spans="1:6" x14ac:dyDescent="0.2">
      <c r="A87" s="15">
        <v>86</v>
      </c>
      <c r="B87" s="15">
        <v>6</v>
      </c>
      <c r="C87" s="15">
        <v>3.4</v>
      </c>
      <c r="D87" s="15">
        <v>4.5</v>
      </c>
      <c r="E87" s="15">
        <v>1.6</v>
      </c>
      <c r="F87" s="15" t="s">
        <v>57</v>
      </c>
    </row>
    <row r="88" spans="1:6" x14ac:dyDescent="0.2">
      <c r="A88" s="15">
        <v>87</v>
      </c>
      <c r="B88" s="15">
        <v>6.7</v>
      </c>
      <c r="C88" s="15">
        <v>3.1</v>
      </c>
      <c r="D88" s="15">
        <v>4.7</v>
      </c>
      <c r="E88" s="15">
        <v>1.5</v>
      </c>
      <c r="F88" s="15" t="s">
        <v>57</v>
      </c>
    </row>
    <row r="89" spans="1:6" x14ac:dyDescent="0.2">
      <c r="A89" s="15">
        <v>88</v>
      </c>
      <c r="B89" s="15">
        <v>6.3</v>
      </c>
      <c r="C89" s="15">
        <v>2.2999999999999998</v>
      </c>
      <c r="D89" s="15">
        <v>4.4000000000000004</v>
      </c>
      <c r="E89" s="15">
        <v>1.3</v>
      </c>
      <c r="F89" s="15" t="s">
        <v>57</v>
      </c>
    </row>
    <row r="90" spans="1:6" x14ac:dyDescent="0.2">
      <c r="A90" s="15">
        <v>89</v>
      </c>
      <c r="B90" s="15">
        <v>5.6</v>
      </c>
      <c r="C90" s="15">
        <v>3</v>
      </c>
      <c r="D90" s="15">
        <v>4.0999999999999996</v>
      </c>
      <c r="E90" s="15">
        <v>1.3</v>
      </c>
      <c r="F90" s="15" t="s">
        <v>57</v>
      </c>
    </row>
    <row r="91" spans="1:6" x14ac:dyDescent="0.2">
      <c r="A91" s="15">
        <v>90</v>
      </c>
      <c r="B91" s="15">
        <v>5.5</v>
      </c>
      <c r="C91" s="15">
        <v>2.5</v>
      </c>
      <c r="D91" s="15">
        <v>4</v>
      </c>
      <c r="E91" s="15">
        <v>1.3</v>
      </c>
      <c r="F91" s="15" t="s">
        <v>57</v>
      </c>
    </row>
    <row r="92" spans="1:6" x14ac:dyDescent="0.2">
      <c r="A92" s="15">
        <v>91</v>
      </c>
      <c r="B92" s="15">
        <v>5.5</v>
      </c>
      <c r="C92" s="15">
        <v>2.6</v>
      </c>
      <c r="D92" s="15">
        <v>4.4000000000000004</v>
      </c>
      <c r="E92" s="15">
        <v>1.2</v>
      </c>
      <c r="F92" s="15" t="s">
        <v>57</v>
      </c>
    </row>
    <row r="93" spans="1:6" x14ac:dyDescent="0.2">
      <c r="A93" s="15">
        <v>92</v>
      </c>
      <c r="B93" s="15">
        <v>6.1</v>
      </c>
      <c r="C93" s="15">
        <v>3</v>
      </c>
      <c r="D93" s="15">
        <v>4.5999999999999996</v>
      </c>
      <c r="E93" s="15">
        <v>1.4</v>
      </c>
      <c r="F93" s="15" t="s">
        <v>57</v>
      </c>
    </row>
    <row r="94" spans="1:6" x14ac:dyDescent="0.2">
      <c r="A94" s="15">
        <v>93</v>
      </c>
      <c r="B94" s="15">
        <v>5.8</v>
      </c>
      <c r="C94" s="15">
        <v>2.6</v>
      </c>
      <c r="D94" s="15">
        <v>4</v>
      </c>
      <c r="E94" s="15">
        <v>1.2</v>
      </c>
      <c r="F94" s="15" t="s">
        <v>57</v>
      </c>
    </row>
    <row r="95" spans="1:6" x14ac:dyDescent="0.2">
      <c r="A95" s="15">
        <v>94</v>
      </c>
      <c r="B95" s="15">
        <v>5</v>
      </c>
      <c r="C95" s="15">
        <v>2.2999999999999998</v>
      </c>
      <c r="D95" s="15">
        <v>3.3</v>
      </c>
      <c r="E95" s="15">
        <v>1</v>
      </c>
      <c r="F95" s="15" t="s">
        <v>57</v>
      </c>
    </row>
    <row r="96" spans="1:6" x14ac:dyDescent="0.2">
      <c r="A96" s="15">
        <v>95</v>
      </c>
      <c r="B96" s="15">
        <v>5.6</v>
      </c>
      <c r="C96" s="15">
        <v>2.7</v>
      </c>
      <c r="D96" s="15">
        <v>4.2</v>
      </c>
      <c r="E96" s="15">
        <v>1.3</v>
      </c>
      <c r="F96" s="15" t="s">
        <v>57</v>
      </c>
    </row>
    <row r="97" spans="1:6" x14ac:dyDescent="0.2">
      <c r="A97" s="15">
        <v>96</v>
      </c>
      <c r="B97" s="15">
        <v>5.7</v>
      </c>
      <c r="C97" s="15">
        <v>3</v>
      </c>
      <c r="D97" s="15">
        <v>4.2</v>
      </c>
      <c r="E97" s="15">
        <v>1.2</v>
      </c>
      <c r="F97" s="15" t="s">
        <v>57</v>
      </c>
    </row>
    <row r="98" spans="1:6" x14ac:dyDescent="0.2">
      <c r="A98" s="15">
        <v>97</v>
      </c>
      <c r="B98" s="15">
        <v>5.7</v>
      </c>
      <c r="C98" s="15">
        <v>2.9</v>
      </c>
      <c r="D98" s="15">
        <v>4.2</v>
      </c>
      <c r="E98" s="15">
        <v>1.3</v>
      </c>
      <c r="F98" s="15" t="s">
        <v>57</v>
      </c>
    </row>
    <row r="99" spans="1:6" x14ac:dyDescent="0.2">
      <c r="A99" s="15">
        <v>98</v>
      </c>
      <c r="B99" s="15">
        <v>6.2</v>
      </c>
      <c r="C99" s="15">
        <v>2.9</v>
      </c>
      <c r="D99" s="15">
        <v>4.3</v>
      </c>
      <c r="E99" s="15">
        <v>1.3</v>
      </c>
      <c r="F99" s="15" t="s">
        <v>57</v>
      </c>
    </row>
    <row r="100" spans="1:6" x14ac:dyDescent="0.2">
      <c r="A100" s="15">
        <v>99</v>
      </c>
      <c r="B100" s="15">
        <v>5.0999999999999996</v>
      </c>
      <c r="C100" s="15">
        <v>2.5</v>
      </c>
      <c r="D100" s="15">
        <v>3</v>
      </c>
      <c r="E100" s="15">
        <v>1.1000000000000001</v>
      </c>
      <c r="F100" s="15" t="s">
        <v>57</v>
      </c>
    </row>
    <row r="101" spans="1:6" x14ac:dyDescent="0.2">
      <c r="A101" s="15">
        <v>100</v>
      </c>
      <c r="B101" s="15">
        <v>5.7</v>
      </c>
      <c r="C101" s="15">
        <v>2.8</v>
      </c>
      <c r="D101" s="15">
        <v>4.0999999999999996</v>
      </c>
      <c r="E101" s="15">
        <v>1.3</v>
      </c>
      <c r="F101" s="15" t="s">
        <v>57</v>
      </c>
    </row>
    <row r="102" spans="1:6" x14ac:dyDescent="0.2">
      <c r="A102" s="15">
        <v>101</v>
      </c>
      <c r="B102" s="15">
        <v>6.3</v>
      </c>
      <c r="C102" s="15">
        <v>3.3</v>
      </c>
      <c r="D102" s="15">
        <v>6</v>
      </c>
      <c r="E102" s="15">
        <v>2.5</v>
      </c>
      <c r="F102" s="15" t="s">
        <v>58</v>
      </c>
    </row>
    <row r="103" spans="1:6" x14ac:dyDescent="0.2">
      <c r="A103" s="15">
        <v>102</v>
      </c>
      <c r="B103" s="15">
        <v>5.8</v>
      </c>
      <c r="C103" s="15">
        <v>2.7</v>
      </c>
      <c r="D103" s="15">
        <v>5.0999999999999996</v>
      </c>
      <c r="E103" s="15">
        <v>1.9</v>
      </c>
      <c r="F103" s="15" t="s">
        <v>58</v>
      </c>
    </row>
    <row r="104" spans="1:6" x14ac:dyDescent="0.2">
      <c r="A104" s="15">
        <v>103</v>
      </c>
      <c r="B104" s="15">
        <v>7.1</v>
      </c>
      <c r="C104" s="15">
        <v>3</v>
      </c>
      <c r="D104" s="15">
        <v>5.9</v>
      </c>
      <c r="E104" s="15">
        <v>2.1</v>
      </c>
      <c r="F104" s="15" t="s">
        <v>58</v>
      </c>
    </row>
    <row r="105" spans="1:6" x14ac:dyDescent="0.2">
      <c r="A105" s="15">
        <v>104</v>
      </c>
      <c r="B105" s="15">
        <v>6.3</v>
      </c>
      <c r="C105" s="15">
        <v>2.9</v>
      </c>
      <c r="D105" s="15">
        <v>5.6</v>
      </c>
      <c r="E105" s="15">
        <v>1.8</v>
      </c>
      <c r="F105" s="15" t="s">
        <v>58</v>
      </c>
    </row>
    <row r="106" spans="1:6" x14ac:dyDescent="0.2">
      <c r="A106" s="15">
        <v>105</v>
      </c>
      <c r="B106" s="15">
        <v>6.5</v>
      </c>
      <c r="C106" s="15">
        <v>3</v>
      </c>
      <c r="D106" s="15">
        <v>5.8</v>
      </c>
      <c r="E106" s="15">
        <v>2.2000000000000002</v>
      </c>
      <c r="F106" s="15" t="s">
        <v>58</v>
      </c>
    </row>
    <row r="107" spans="1:6" x14ac:dyDescent="0.2">
      <c r="A107" s="15">
        <v>106</v>
      </c>
      <c r="B107" s="15">
        <v>7.6</v>
      </c>
      <c r="C107" s="15">
        <v>3</v>
      </c>
      <c r="D107" s="15">
        <v>6.6</v>
      </c>
      <c r="E107" s="15">
        <v>2.1</v>
      </c>
      <c r="F107" s="15" t="s">
        <v>58</v>
      </c>
    </row>
    <row r="108" spans="1:6" x14ac:dyDescent="0.2">
      <c r="A108" s="15">
        <v>107</v>
      </c>
      <c r="B108" s="15">
        <v>4.9000000000000004</v>
      </c>
      <c r="C108" s="15">
        <v>2.5</v>
      </c>
      <c r="D108" s="15">
        <v>4.5</v>
      </c>
      <c r="E108" s="15">
        <v>1.7</v>
      </c>
      <c r="F108" s="15" t="s">
        <v>58</v>
      </c>
    </row>
    <row r="109" spans="1:6" x14ac:dyDescent="0.2">
      <c r="A109" s="15">
        <v>108</v>
      </c>
      <c r="B109" s="15">
        <v>7.3</v>
      </c>
      <c r="C109" s="15">
        <v>2.9</v>
      </c>
      <c r="D109" s="15">
        <v>6.3</v>
      </c>
      <c r="E109" s="15">
        <v>1.8</v>
      </c>
      <c r="F109" s="15" t="s">
        <v>58</v>
      </c>
    </row>
    <row r="110" spans="1:6" x14ac:dyDescent="0.2">
      <c r="A110" s="15">
        <v>109</v>
      </c>
      <c r="B110" s="15">
        <v>6.7</v>
      </c>
      <c r="C110" s="15">
        <v>2.5</v>
      </c>
      <c r="D110" s="15">
        <v>5.8</v>
      </c>
      <c r="E110" s="15">
        <v>1.8</v>
      </c>
      <c r="F110" s="15" t="s">
        <v>58</v>
      </c>
    </row>
    <row r="111" spans="1:6" x14ac:dyDescent="0.2">
      <c r="A111" s="15">
        <v>110</v>
      </c>
      <c r="B111" s="15">
        <v>7.2</v>
      </c>
      <c r="C111" s="15">
        <v>3.6</v>
      </c>
      <c r="D111" s="15">
        <v>6.1</v>
      </c>
      <c r="E111" s="15">
        <v>2.5</v>
      </c>
      <c r="F111" s="15" t="s">
        <v>58</v>
      </c>
    </row>
    <row r="112" spans="1:6" x14ac:dyDescent="0.2">
      <c r="A112" s="15">
        <v>111</v>
      </c>
      <c r="B112" s="15">
        <v>6.5</v>
      </c>
      <c r="C112" s="15">
        <v>3.2</v>
      </c>
      <c r="D112" s="15">
        <v>5.0999999999999996</v>
      </c>
      <c r="E112" s="15">
        <v>2</v>
      </c>
      <c r="F112" s="15" t="s">
        <v>58</v>
      </c>
    </row>
    <row r="113" spans="1:6" x14ac:dyDescent="0.2">
      <c r="A113" s="15">
        <v>112</v>
      </c>
      <c r="B113" s="15">
        <v>6.4</v>
      </c>
      <c r="C113" s="15">
        <v>2.7</v>
      </c>
      <c r="D113" s="15">
        <v>5.3</v>
      </c>
      <c r="E113" s="15">
        <v>1.9</v>
      </c>
      <c r="F113" s="15" t="s">
        <v>58</v>
      </c>
    </row>
    <row r="114" spans="1:6" x14ac:dyDescent="0.2">
      <c r="A114" s="15">
        <v>113</v>
      </c>
      <c r="B114" s="15">
        <v>6.8</v>
      </c>
      <c r="C114" s="15">
        <v>3</v>
      </c>
      <c r="D114" s="15">
        <v>5.5</v>
      </c>
      <c r="E114" s="15">
        <v>2.1</v>
      </c>
      <c r="F114" s="15" t="s">
        <v>58</v>
      </c>
    </row>
    <row r="115" spans="1:6" x14ac:dyDescent="0.2">
      <c r="A115" s="15">
        <v>114</v>
      </c>
      <c r="B115" s="15">
        <v>5.7</v>
      </c>
      <c r="C115" s="15">
        <v>2.5</v>
      </c>
      <c r="D115" s="15">
        <v>5</v>
      </c>
      <c r="E115" s="15">
        <v>2</v>
      </c>
      <c r="F115" s="15" t="s">
        <v>58</v>
      </c>
    </row>
    <row r="116" spans="1:6" x14ac:dyDescent="0.2">
      <c r="A116" s="15">
        <v>115</v>
      </c>
      <c r="B116" s="15">
        <v>5.8</v>
      </c>
      <c r="C116" s="15">
        <v>2.8</v>
      </c>
      <c r="D116" s="15">
        <v>5.0999999999999996</v>
      </c>
      <c r="E116" s="15">
        <v>2.4</v>
      </c>
      <c r="F116" s="15" t="s">
        <v>58</v>
      </c>
    </row>
    <row r="117" spans="1:6" x14ac:dyDescent="0.2">
      <c r="A117" s="15">
        <v>116</v>
      </c>
      <c r="B117" s="15">
        <v>6.4</v>
      </c>
      <c r="C117" s="15">
        <v>3.2</v>
      </c>
      <c r="D117" s="15">
        <v>5.3</v>
      </c>
      <c r="E117" s="15">
        <v>2.2999999999999998</v>
      </c>
      <c r="F117" s="15" t="s">
        <v>58</v>
      </c>
    </row>
    <row r="118" spans="1:6" x14ac:dyDescent="0.2">
      <c r="A118" s="15">
        <v>117</v>
      </c>
      <c r="B118" s="15">
        <v>6.5</v>
      </c>
      <c r="C118" s="15">
        <v>3</v>
      </c>
      <c r="D118" s="15">
        <v>5.5</v>
      </c>
      <c r="E118" s="15">
        <v>1.8</v>
      </c>
      <c r="F118" s="15" t="s">
        <v>58</v>
      </c>
    </row>
    <row r="119" spans="1:6" x14ac:dyDescent="0.2">
      <c r="A119" s="15">
        <v>118</v>
      </c>
      <c r="B119" s="15">
        <v>7.7</v>
      </c>
      <c r="C119" s="15">
        <v>3.8</v>
      </c>
      <c r="D119" s="15">
        <v>6.7</v>
      </c>
      <c r="E119" s="15">
        <v>2.2000000000000002</v>
      </c>
      <c r="F119" s="15" t="s">
        <v>58</v>
      </c>
    </row>
    <row r="120" spans="1:6" x14ac:dyDescent="0.2">
      <c r="A120" s="15">
        <v>119</v>
      </c>
      <c r="B120" s="15">
        <v>7.7</v>
      </c>
      <c r="C120" s="15">
        <v>2.6</v>
      </c>
      <c r="D120" s="15">
        <v>6.9</v>
      </c>
      <c r="E120" s="15">
        <v>2.2999999999999998</v>
      </c>
      <c r="F120" s="15" t="s">
        <v>58</v>
      </c>
    </row>
    <row r="121" spans="1:6" x14ac:dyDescent="0.2">
      <c r="A121" s="15">
        <v>120</v>
      </c>
      <c r="B121" s="15">
        <v>6</v>
      </c>
      <c r="C121" s="15">
        <v>2.2000000000000002</v>
      </c>
      <c r="D121" s="15">
        <v>5</v>
      </c>
      <c r="E121" s="15">
        <v>1.5</v>
      </c>
      <c r="F121" s="15" t="s">
        <v>58</v>
      </c>
    </row>
    <row r="122" spans="1:6" x14ac:dyDescent="0.2">
      <c r="A122" s="15">
        <v>121</v>
      </c>
      <c r="B122" s="15">
        <v>6.9</v>
      </c>
      <c r="C122" s="15">
        <v>3.2</v>
      </c>
      <c r="D122" s="15">
        <v>5.7</v>
      </c>
      <c r="E122" s="15">
        <v>2.2999999999999998</v>
      </c>
      <c r="F122" s="15" t="s">
        <v>58</v>
      </c>
    </row>
    <row r="123" spans="1:6" x14ac:dyDescent="0.2">
      <c r="A123" s="15">
        <v>122</v>
      </c>
      <c r="B123" s="15">
        <v>5.6</v>
      </c>
      <c r="C123" s="15">
        <v>2.8</v>
      </c>
      <c r="D123" s="15">
        <v>4.9000000000000004</v>
      </c>
      <c r="E123" s="15">
        <v>2</v>
      </c>
      <c r="F123" s="15" t="s">
        <v>58</v>
      </c>
    </row>
    <row r="124" spans="1:6" x14ac:dyDescent="0.2">
      <c r="A124" s="15">
        <v>123</v>
      </c>
      <c r="B124" s="15">
        <v>7.7</v>
      </c>
      <c r="C124" s="15">
        <v>2.8</v>
      </c>
      <c r="D124" s="15">
        <v>6.7</v>
      </c>
      <c r="E124" s="15">
        <v>2</v>
      </c>
      <c r="F124" s="15" t="s">
        <v>58</v>
      </c>
    </row>
    <row r="125" spans="1:6" x14ac:dyDescent="0.2">
      <c r="A125" s="15">
        <v>124</v>
      </c>
      <c r="B125" s="15">
        <v>6.3</v>
      </c>
      <c r="C125" s="15">
        <v>2.7</v>
      </c>
      <c r="D125" s="15">
        <v>4.9000000000000004</v>
      </c>
      <c r="E125" s="15">
        <v>1.8</v>
      </c>
      <c r="F125" s="15" t="s">
        <v>58</v>
      </c>
    </row>
    <row r="126" spans="1:6" x14ac:dyDescent="0.2">
      <c r="A126" s="15">
        <v>125</v>
      </c>
      <c r="B126" s="15">
        <v>6.7</v>
      </c>
      <c r="C126" s="15">
        <v>3.3</v>
      </c>
      <c r="D126" s="15">
        <v>5.7</v>
      </c>
      <c r="E126" s="15">
        <v>2.1</v>
      </c>
      <c r="F126" s="15" t="s">
        <v>58</v>
      </c>
    </row>
    <row r="127" spans="1:6" x14ac:dyDescent="0.2">
      <c r="A127" s="15">
        <v>126</v>
      </c>
      <c r="B127" s="15">
        <v>7.2</v>
      </c>
      <c r="C127" s="15">
        <v>3.2</v>
      </c>
      <c r="D127" s="15">
        <v>6</v>
      </c>
      <c r="E127" s="15">
        <v>1.8</v>
      </c>
      <c r="F127" s="15" t="s">
        <v>58</v>
      </c>
    </row>
    <row r="128" spans="1:6" x14ac:dyDescent="0.2">
      <c r="A128" s="15">
        <v>127</v>
      </c>
      <c r="B128" s="15">
        <v>6.2</v>
      </c>
      <c r="C128" s="15">
        <v>2.8</v>
      </c>
      <c r="D128" s="15">
        <v>4.8</v>
      </c>
      <c r="E128" s="15">
        <v>1.8</v>
      </c>
      <c r="F128" s="15" t="s">
        <v>58</v>
      </c>
    </row>
    <row r="129" spans="1:6" x14ac:dyDescent="0.2">
      <c r="A129" s="15">
        <v>128</v>
      </c>
      <c r="B129" s="15">
        <v>6.1</v>
      </c>
      <c r="C129" s="15">
        <v>3</v>
      </c>
      <c r="D129" s="15">
        <v>4.9000000000000004</v>
      </c>
      <c r="E129" s="15">
        <v>1.8</v>
      </c>
      <c r="F129" s="15" t="s">
        <v>58</v>
      </c>
    </row>
    <row r="130" spans="1:6" x14ac:dyDescent="0.2">
      <c r="A130" s="15">
        <v>129</v>
      </c>
      <c r="B130" s="15">
        <v>6.4</v>
      </c>
      <c r="C130" s="15">
        <v>2.8</v>
      </c>
      <c r="D130" s="15">
        <v>5.6</v>
      </c>
      <c r="E130" s="15">
        <v>2.1</v>
      </c>
      <c r="F130" s="15" t="s">
        <v>58</v>
      </c>
    </row>
    <row r="131" spans="1:6" x14ac:dyDescent="0.2">
      <c r="A131" s="15">
        <v>130</v>
      </c>
      <c r="B131" s="15">
        <v>7.2</v>
      </c>
      <c r="C131" s="15">
        <v>3</v>
      </c>
      <c r="D131" s="15">
        <v>5.8</v>
      </c>
      <c r="E131" s="15">
        <v>1.6</v>
      </c>
      <c r="F131" s="15" t="s">
        <v>58</v>
      </c>
    </row>
    <row r="132" spans="1:6" x14ac:dyDescent="0.2">
      <c r="A132" s="15">
        <v>131</v>
      </c>
      <c r="B132" s="15">
        <v>7.4</v>
      </c>
      <c r="C132" s="15">
        <v>2.8</v>
      </c>
      <c r="D132" s="15">
        <v>6.1</v>
      </c>
      <c r="E132" s="15">
        <v>1.9</v>
      </c>
      <c r="F132" s="15" t="s">
        <v>58</v>
      </c>
    </row>
    <row r="133" spans="1:6" x14ac:dyDescent="0.2">
      <c r="A133" s="15">
        <v>132</v>
      </c>
      <c r="B133" s="15">
        <v>7.9</v>
      </c>
      <c r="C133" s="15">
        <v>3.8</v>
      </c>
      <c r="D133" s="15">
        <v>6.4</v>
      </c>
      <c r="E133" s="15">
        <v>2</v>
      </c>
      <c r="F133" s="15" t="s">
        <v>58</v>
      </c>
    </row>
    <row r="134" spans="1:6" x14ac:dyDescent="0.2">
      <c r="A134" s="15">
        <v>133</v>
      </c>
      <c r="B134" s="15">
        <v>6.4</v>
      </c>
      <c r="C134" s="15">
        <v>2.8</v>
      </c>
      <c r="D134" s="15">
        <v>5.6</v>
      </c>
      <c r="E134" s="15">
        <v>2.2000000000000002</v>
      </c>
      <c r="F134" s="15" t="s">
        <v>58</v>
      </c>
    </row>
    <row r="135" spans="1:6" x14ac:dyDescent="0.2">
      <c r="A135" s="15">
        <v>134</v>
      </c>
      <c r="B135" s="15">
        <v>6.3</v>
      </c>
      <c r="C135" s="15">
        <v>2.8</v>
      </c>
      <c r="D135" s="15">
        <v>5.0999999999999996</v>
      </c>
      <c r="E135" s="15">
        <v>1.5</v>
      </c>
      <c r="F135" s="15" t="s">
        <v>58</v>
      </c>
    </row>
    <row r="136" spans="1:6" x14ac:dyDescent="0.2">
      <c r="A136" s="15">
        <v>135</v>
      </c>
      <c r="B136" s="15">
        <v>6.1</v>
      </c>
      <c r="C136" s="15">
        <v>2.6</v>
      </c>
      <c r="D136" s="15">
        <v>5.6</v>
      </c>
      <c r="E136" s="15">
        <v>1.4</v>
      </c>
      <c r="F136" s="15" t="s">
        <v>58</v>
      </c>
    </row>
    <row r="137" spans="1:6" x14ac:dyDescent="0.2">
      <c r="A137" s="15">
        <v>136</v>
      </c>
      <c r="B137" s="15">
        <v>7.7</v>
      </c>
      <c r="C137" s="15">
        <v>3</v>
      </c>
      <c r="D137" s="15">
        <v>6.1</v>
      </c>
      <c r="E137" s="15">
        <v>2.2999999999999998</v>
      </c>
      <c r="F137" s="15" t="s">
        <v>58</v>
      </c>
    </row>
    <row r="138" spans="1:6" x14ac:dyDescent="0.2">
      <c r="A138" s="15">
        <v>137</v>
      </c>
      <c r="B138" s="15">
        <v>6.3</v>
      </c>
      <c r="C138" s="15">
        <v>3.4</v>
      </c>
      <c r="D138" s="15">
        <v>5.6</v>
      </c>
      <c r="E138" s="15">
        <v>2.4</v>
      </c>
      <c r="F138" s="15" t="s">
        <v>58</v>
      </c>
    </row>
    <row r="139" spans="1:6" x14ac:dyDescent="0.2">
      <c r="A139" s="15">
        <v>138</v>
      </c>
      <c r="B139" s="15">
        <v>6.4</v>
      </c>
      <c r="C139" s="15">
        <v>3.1</v>
      </c>
      <c r="D139" s="15">
        <v>5.5</v>
      </c>
      <c r="E139" s="15">
        <v>1.8</v>
      </c>
      <c r="F139" s="15" t="s">
        <v>58</v>
      </c>
    </row>
    <row r="140" spans="1:6" x14ac:dyDescent="0.2">
      <c r="A140" s="15">
        <v>139</v>
      </c>
      <c r="B140" s="15">
        <v>6</v>
      </c>
      <c r="C140" s="15">
        <v>3</v>
      </c>
      <c r="D140" s="15">
        <v>4.8</v>
      </c>
      <c r="E140" s="15">
        <v>1.8</v>
      </c>
      <c r="F140" s="15" t="s">
        <v>58</v>
      </c>
    </row>
    <row r="141" spans="1:6" x14ac:dyDescent="0.2">
      <c r="A141" s="15">
        <v>140</v>
      </c>
      <c r="B141" s="15">
        <v>6.9</v>
      </c>
      <c r="C141" s="15">
        <v>3.1</v>
      </c>
      <c r="D141" s="15">
        <v>5.4</v>
      </c>
      <c r="E141" s="15">
        <v>2.1</v>
      </c>
      <c r="F141" s="15" t="s">
        <v>58</v>
      </c>
    </row>
    <row r="142" spans="1:6" x14ac:dyDescent="0.2">
      <c r="A142" s="15">
        <v>141</v>
      </c>
      <c r="B142" s="15">
        <v>6.7</v>
      </c>
      <c r="C142" s="15">
        <v>3.1</v>
      </c>
      <c r="D142" s="15">
        <v>5.6</v>
      </c>
      <c r="E142" s="15">
        <v>2.4</v>
      </c>
      <c r="F142" s="15" t="s">
        <v>58</v>
      </c>
    </row>
    <row r="143" spans="1:6" x14ac:dyDescent="0.2">
      <c r="A143" s="15">
        <v>142</v>
      </c>
      <c r="B143" s="15">
        <v>6.9</v>
      </c>
      <c r="C143" s="15">
        <v>3.1</v>
      </c>
      <c r="D143" s="15">
        <v>5.0999999999999996</v>
      </c>
      <c r="E143" s="15">
        <v>2.2999999999999998</v>
      </c>
      <c r="F143" s="15" t="s">
        <v>58</v>
      </c>
    </row>
    <row r="144" spans="1:6" x14ac:dyDescent="0.2">
      <c r="A144" s="15">
        <v>143</v>
      </c>
      <c r="B144" s="15">
        <v>5.8</v>
      </c>
      <c r="C144" s="15">
        <v>2.7</v>
      </c>
      <c r="D144" s="15">
        <v>5.0999999999999996</v>
      </c>
      <c r="E144" s="15">
        <v>1.9</v>
      </c>
      <c r="F144" s="15" t="s">
        <v>58</v>
      </c>
    </row>
    <row r="145" spans="1:6" x14ac:dyDescent="0.2">
      <c r="A145" s="15">
        <v>144</v>
      </c>
      <c r="B145" s="15">
        <v>6.8</v>
      </c>
      <c r="C145" s="15">
        <v>3.2</v>
      </c>
      <c r="D145" s="15">
        <v>5.9</v>
      </c>
      <c r="E145" s="15">
        <v>2.2999999999999998</v>
      </c>
      <c r="F145" s="15" t="s">
        <v>58</v>
      </c>
    </row>
    <row r="146" spans="1:6" x14ac:dyDescent="0.2">
      <c r="A146" s="15">
        <v>145</v>
      </c>
      <c r="B146" s="15">
        <v>6.7</v>
      </c>
      <c r="C146" s="15">
        <v>3.3</v>
      </c>
      <c r="D146" s="15">
        <v>5.7</v>
      </c>
      <c r="E146" s="15">
        <v>2.5</v>
      </c>
      <c r="F146" s="15" t="s">
        <v>58</v>
      </c>
    </row>
    <row r="147" spans="1:6" x14ac:dyDescent="0.2">
      <c r="A147" s="15">
        <v>146</v>
      </c>
      <c r="B147" s="15">
        <v>6.7</v>
      </c>
      <c r="C147" s="15">
        <v>3</v>
      </c>
      <c r="D147" s="15">
        <v>5.2</v>
      </c>
      <c r="E147" s="15">
        <v>2.2999999999999998</v>
      </c>
      <c r="F147" s="15" t="s">
        <v>58</v>
      </c>
    </row>
    <row r="148" spans="1:6" x14ac:dyDescent="0.2">
      <c r="A148" s="15">
        <v>147</v>
      </c>
      <c r="B148" s="15">
        <v>6.3</v>
      </c>
      <c r="C148" s="15">
        <v>2.5</v>
      </c>
      <c r="D148" s="15">
        <v>5</v>
      </c>
      <c r="E148" s="15">
        <v>1.9</v>
      </c>
      <c r="F148" s="15" t="s">
        <v>58</v>
      </c>
    </row>
    <row r="149" spans="1:6" x14ac:dyDescent="0.2">
      <c r="A149" s="15">
        <v>148</v>
      </c>
      <c r="B149" s="15">
        <v>6.5</v>
      </c>
      <c r="C149" s="15">
        <v>3</v>
      </c>
      <c r="D149" s="15">
        <v>5.2</v>
      </c>
      <c r="E149" s="15">
        <v>2</v>
      </c>
      <c r="F149" s="15" t="s">
        <v>58</v>
      </c>
    </row>
    <row r="150" spans="1:6" x14ac:dyDescent="0.2">
      <c r="A150" s="15">
        <v>149</v>
      </c>
      <c r="B150" s="15">
        <v>6.2</v>
      </c>
      <c r="C150" s="15">
        <v>3.4</v>
      </c>
      <c r="D150" s="15">
        <v>5.4</v>
      </c>
      <c r="E150" s="15">
        <v>2.2999999999999998</v>
      </c>
      <c r="F150" s="15" t="s">
        <v>58</v>
      </c>
    </row>
    <row r="151" spans="1:6" x14ac:dyDescent="0.2">
      <c r="A151" s="15">
        <v>150</v>
      </c>
      <c r="B151" s="15">
        <v>5.9</v>
      </c>
      <c r="C151" s="15">
        <v>3</v>
      </c>
      <c r="D151" s="15">
        <v>5.0999999999999996</v>
      </c>
      <c r="E151" s="15">
        <v>1.8</v>
      </c>
      <c r="F151" s="15" t="s">
        <v>58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FFC000"/>
  </sheetPr>
  <dimension ref="B3:L61"/>
  <sheetViews>
    <sheetView workbookViewId="0"/>
  </sheetViews>
  <sheetFormatPr baseColWidth="10" defaultRowHeight="26" x14ac:dyDescent="0.3"/>
  <cols>
    <col min="1" max="6" width="10.83203125" style="17"/>
    <col min="7" max="7" width="15" style="17" bestFit="1" customWidth="1"/>
    <col min="8" max="8" width="10.83203125" style="17"/>
    <col min="9" max="10" width="23.5" style="17" bestFit="1" customWidth="1"/>
    <col min="11" max="11" width="11.83203125" style="17" bestFit="1" customWidth="1"/>
    <col min="12" max="12" width="15.33203125" style="17" bestFit="1" customWidth="1"/>
    <col min="13" max="16384" width="10.83203125" style="17"/>
  </cols>
  <sheetData>
    <row r="3" spans="2:12" s="16" customFormat="1" x14ac:dyDescent="0.3">
      <c r="H3" s="16" t="s">
        <v>59</v>
      </c>
      <c r="K3" s="16" t="s">
        <v>50</v>
      </c>
    </row>
    <row r="4" spans="2:12" x14ac:dyDescent="0.3">
      <c r="G4" s="17" t="s">
        <v>60</v>
      </c>
      <c r="H4" s="17">
        <v>0</v>
      </c>
      <c r="K4" s="17">
        <f t="array" ref="K4">SUM(LN(K12:K61+0.00000000001))</f>
        <v>-1266.4218011467253</v>
      </c>
    </row>
    <row r="5" spans="2:12" x14ac:dyDescent="0.3">
      <c r="G5" s="17" t="s">
        <v>46</v>
      </c>
      <c r="H5" s="17">
        <v>0</v>
      </c>
    </row>
    <row r="6" spans="2:12" x14ac:dyDescent="0.3">
      <c r="G6" s="17" t="s">
        <v>47</v>
      </c>
      <c r="H6" s="17">
        <v>0</v>
      </c>
    </row>
    <row r="7" spans="2:12" x14ac:dyDescent="0.3">
      <c r="G7" s="17" t="s">
        <v>61</v>
      </c>
      <c r="H7" s="17">
        <v>0</v>
      </c>
    </row>
    <row r="8" spans="2:12" x14ac:dyDescent="0.3">
      <c r="G8" s="17" t="s">
        <v>62</v>
      </c>
      <c r="H8" s="17">
        <v>1.5482559354478314</v>
      </c>
    </row>
    <row r="11" spans="2:12" s="16" customFormat="1" x14ac:dyDescent="0.3">
      <c r="B11" s="16" t="s">
        <v>48</v>
      </c>
      <c r="C11" s="16" t="s">
        <v>49</v>
      </c>
      <c r="D11" s="16" t="s">
        <v>17</v>
      </c>
      <c r="E11" s="16" t="s">
        <v>19</v>
      </c>
      <c r="F11" s="16" t="s">
        <v>63</v>
      </c>
      <c r="G11" s="16" t="s">
        <v>64</v>
      </c>
      <c r="H11" s="16" t="s">
        <v>18</v>
      </c>
      <c r="I11" s="16" t="s">
        <v>65</v>
      </c>
      <c r="J11" s="16" t="s">
        <v>66</v>
      </c>
      <c r="K11" s="16" t="s">
        <v>67</v>
      </c>
      <c r="L11" s="16" t="s">
        <v>16</v>
      </c>
    </row>
    <row r="12" spans="2:12" x14ac:dyDescent="0.3">
      <c r="B12" s="17" cm="1">
        <f t="array" aca="1" ref="B12:G36" ca="1">OFFSET(Iris_Data!A1,1,0,25,6)</f>
        <v>1</v>
      </c>
      <c r="C12" s="17">
        <f ca="1"/>
        <v>5.0999999999999996</v>
      </c>
      <c r="D12" s="17">
        <f ca="1"/>
        <v>3.5</v>
      </c>
      <c r="E12" s="17">
        <f ca="1"/>
        <v>1.4</v>
      </c>
      <c r="F12" s="17">
        <f ca="1"/>
        <v>0.2</v>
      </c>
      <c r="G12" s="17" t="str">
        <f ca="1"/>
        <v>setosa</v>
      </c>
      <c r="H12" s="17">
        <f t="shared" ref="H12:H61" ca="1" si="0">(G12="versicolor")+0</f>
        <v>0</v>
      </c>
      <c r="I12" s="21"/>
      <c r="J12" s="21"/>
      <c r="K12" s="21"/>
      <c r="L12" s="21"/>
    </row>
    <row r="13" spans="2:12" x14ac:dyDescent="0.3">
      <c r="B13" s="17">
        <f ca="1"/>
        <v>2</v>
      </c>
      <c r="C13" s="17">
        <f ca="1"/>
        <v>4.9000000000000004</v>
      </c>
      <c r="D13" s="17">
        <f ca="1"/>
        <v>3</v>
      </c>
      <c r="E13" s="17">
        <f ca="1"/>
        <v>1.4</v>
      </c>
      <c r="F13" s="17">
        <f ca="1"/>
        <v>0.2</v>
      </c>
      <c r="G13" s="17" t="str">
        <f ca="1"/>
        <v>setosa</v>
      </c>
      <c r="H13" s="17">
        <f t="shared" ca="1" si="0"/>
        <v>0</v>
      </c>
      <c r="I13" s="21"/>
      <c r="J13" s="21"/>
      <c r="K13" s="21"/>
      <c r="L13" s="21"/>
    </row>
    <row r="14" spans="2:12" x14ac:dyDescent="0.3">
      <c r="B14" s="17">
        <f ca="1"/>
        <v>3</v>
      </c>
      <c r="C14" s="17">
        <f ca="1"/>
        <v>4.7</v>
      </c>
      <c r="D14" s="17">
        <f ca="1"/>
        <v>3.2</v>
      </c>
      <c r="E14" s="17">
        <f ca="1"/>
        <v>1.3</v>
      </c>
      <c r="F14" s="17">
        <f ca="1"/>
        <v>0.2</v>
      </c>
      <c r="G14" s="17" t="str">
        <f ca="1"/>
        <v>setosa</v>
      </c>
      <c r="H14" s="17">
        <f t="shared" ca="1" si="0"/>
        <v>0</v>
      </c>
      <c r="I14" s="21"/>
      <c r="J14" s="21"/>
      <c r="K14" s="21"/>
      <c r="L14" s="21"/>
    </row>
    <row r="15" spans="2:12" x14ac:dyDescent="0.3">
      <c r="B15" s="17">
        <f ca="1"/>
        <v>4</v>
      </c>
      <c r="C15" s="17">
        <f ca="1"/>
        <v>4.5999999999999996</v>
      </c>
      <c r="D15" s="17">
        <f ca="1"/>
        <v>3.1</v>
      </c>
      <c r="E15" s="17">
        <f ca="1"/>
        <v>1.5</v>
      </c>
      <c r="F15" s="17">
        <f ca="1"/>
        <v>0.2</v>
      </c>
      <c r="G15" s="17" t="str">
        <f ca="1"/>
        <v>setosa</v>
      </c>
      <c r="H15" s="17">
        <f t="shared" ca="1" si="0"/>
        <v>0</v>
      </c>
      <c r="I15" s="21"/>
      <c r="J15" s="21"/>
      <c r="K15" s="21"/>
      <c r="L15" s="21"/>
    </row>
    <row r="16" spans="2:12" x14ac:dyDescent="0.3">
      <c r="B16" s="17">
        <f ca="1"/>
        <v>5</v>
      </c>
      <c r="C16" s="17">
        <f ca="1"/>
        <v>5</v>
      </c>
      <c r="D16" s="17">
        <f ca="1"/>
        <v>3.6</v>
      </c>
      <c r="E16" s="17">
        <f ca="1"/>
        <v>1.4</v>
      </c>
      <c r="F16" s="17">
        <f ca="1"/>
        <v>0.2</v>
      </c>
      <c r="G16" s="17" t="str">
        <f ca="1"/>
        <v>setosa</v>
      </c>
      <c r="H16" s="17">
        <f t="shared" ca="1" si="0"/>
        <v>0</v>
      </c>
      <c r="I16" s="21"/>
      <c r="J16" s="21"/>
      <c r="K16" s="21"/>
      <c r="L16" s="21"/>
    </row>
    <row r="17" spans="2:12" x14ac:dyDescent="0.3">
      <c r="B17" s="17">
        <f ca="1"/>
        <v>6</v>
      </c>
      <c r="C17" s="17">
        <f ca="1"/>
        <v>5.4</v>
      </c>
      <c r="D17" s="17">
        <f ca="1"/>
        <v>3.9</v>
      </c>
      <c r="E17" s="17">
        <f ca="1"/>
        <v>1.7</v>
      </c>
      <c r="F17" s="17">
        <f ca="1"/>
        <v>0.4</v>
      </c>
      <c r="G17" s="17" t="str">
        <f ca="1"/>
        <v>setosa</v>
      </c>
      <c r="H17" s="17">
        <f t="shared" ca="1" si="0"/>
        <v>0</v>
      </c>
      <c r="I17" s="21"/>
      <c r="J17" s="21"/>
      <c r="K17" s="21"/>
      <c r="L17" s="21"/>
    </row>
    <row r="18" spans="2:12" x14ac:dyDescent="0.3">
      <c r="B18" s="17">
        <f ca="1"/>
        <v>7</v>
      </c>
      <c r="C18" s="17">
        <f ca="1"/>
        <v>4.5999999999999996</v>
      </c>
      <c r="D18" s="17">
        <f ca="1"/>
        <v>3.4</v>
      </c>
      <c r="E18" s="17">
        <f ca="1"/>
        <v>1.4</v>
      </c>
      <c r="F18" s="17">
        <f ca="1"/>
        <v>0.3</v>
      </c>
      <c r="G18" s="17" t="str">
        <f ca="1"/>
        <v>setosa</v>
      </c>
      <c r="H18" s="17">
        <f t="shared" ca="1" si="0"/>
        <v>0</v>
      </c>
      <c r="I18" s="21"/>
      <c r="J18" s="21"/>
      <c r="K18" s="21"/>
      <c r="L18" s="21"/>
    </row>
    <row r="19" spans="2:12" x14ac:dyDescent="0.3">
      <c r="B19" s="17">
        <f ca="1"/>
        <v>8</v>
      </c>
      <c r="C19" s="17">
        <f ca="1"/>
        <v>5</v>
      </c>
      <c r="D19" s="17">
        <f ca="1"/>
        <v>3.4</v>
      </c>
      <c r="E19" s="17">
        <f ca="1"/>
        <v>1.5</v>
      </c>
      <c r="F19" s="17">
        <f ca="1"/>
        <v>0.2</v>
      </c>
      <c r="G19" s="17" t="str">
        <f ca="1"/>
        <v>setosa</v>
      </c>
      <c r="H19" s="17">
        <f t="shared" ca="1" si="0"/>
        <v>0</v>
      </c>
      <c r="I19" s="21"/>
      <c r="J19" s="21"/>
      <c r="K19" s="21"/>
      <c r="L19" s="21"/>
    </row>
    <row r="20" spans="2:12" x14ac:dyDescent="0.3">
      <c r="B20" s="17">
        <f ca="1"/>
        <v>9</v>
      </c>
      <c r="C20" s="17">
        <f ca="1"/>
        <v>4.4000000000000004</v>
      </c>
      <c r="D20" s="17">
        <f ca="1"/>
        <v>2.9</v>
      </c>
      <c r="E20" s="17">
        <f ca="1"/>
        <v>1.4</v>
      </c>
      <c r="F20" s="17">
        <f ca="1"/>
        <v>0.2</v>
      </c>
      <c r="G20" s="17" t="str">
        <f ca="1"/>
        <v>setosa</v>
      </c>
      <c r="H20" s="17">
        <f t="shared" ca="1" si="0"/>
        <v>0</v>
      </c>
      <c r="I20" s="21"/>
      <c r="J20" s="21"/>
      <c r="K20" s="21"/>
      <c r="L20" s="21"/>
    </row>
    <row r="21" spans="2:12" x14ac:dyDescent="0.3">
      <c r="B21" s="17">
        <f ca="1"/>
        <v>10</v>
      </c>
      <c r="C21" s="17">
        <f ca="1"/>
        <v>4.9000000000000004</v>
      </c>
      <c r="D21" s="17">
        <f ca="1"/>
        <v>3.1</v>
      </c>
      <c r="E21" s="17">
        <f ca="1"/>
        <v>1.5</v>
      </c>
      <c r="F21" s="17">
        <f ca="1"/>
        <v>0.1</v>
      </c>
      <c r="G21" s="17" t="str">
        <f ca="1"/>
        <v>setosa</v>
      </c>
      <c r="H21" s="17">
        <f t="shared" ca="1" si="0"/>
        <v>0</v>
      </c>
      <c r="I21" s="21"/>
      <c r="J21" s="21"/>
      <c r="K21" s="21"/>
      <c r="L21" s="21"/>
    </row>
    <row r="22" spans="2:12" x14ac:dyDescent="0.3">
      <c r="B22" s="17">
        <f ca="1"/>
        <v>11</v>
      </c>
      <c r="C22" s="17">
        <f ca="1"/>
        <v>5.4</v>
      </c>
      <c r="D22" s="17">
        <f ca="1"/>
        <v>3.7</v>
      </c>
      <c r="E22" s="17">
        <f ca="1"/>
        <v>1.5</v>
      </c>
      <c r="F22" s="17">
        <f ca="1"/>
        <v>0.2</v>
      </c>
      <c r="G22" s="17" t="str">
        <f ca="1"/>
        <v>setosa</v>
      </c>
      <c r="H22" s="17">
        <f t="shared" ca="1" si="0"/>
        <v>0</v>
      </c>
      <c r="I22" s="21"/>
      <c r="J22" s="21"/>
      <c r="K22" s="21"/>
      <c r="L22" s="21"/>
    </row>
    <row r="23" spans="2:12" x14ac:dyDescent="0.3">
      <c r="B23" s="17">
        <f ca="1"/>
        <v>12</v>
      </c>
      <c r="C23" s="17">
        <f ca="1"/>
        <v>4.8</v>
      </c>
      <c r="D23" s="17">
        <f ca="1"/>
        <v>3.4</v>
      </c>
      <c r="E23" s="17">
        <f ca="1"/>
        <v>1.6</v>
      </c>
      <c r="F23" s="17">
        <f ca="1"/>
        <v>0.2</v>
      </c>
      <c r="G23" s="17" t="str">
        <f ca="1"/>
        <v>setosa</v>
      </c>
      <c r="H23" s="17">
        <f t="shared" ca="1" si="0"/>
        <v>0</v>
      </c>
      <c r="I23" s="21"/>
      <c r="J23" s="21"/>
      <c r="K23" s="21"/>
      <c r="L23" s="21"/>
    </row>
    <row r="24" spans="2:12" x14ac:dyDescent="0.3">
      <c r="B24" s="17">
        <f ca="1"/>
        <v>13</v>
      </c>
      <c r="C24" s="17">
        <f ca="1"/>
        <v>4.8</v>
      </c>
      <c r="D24" s="17">
        <f ca="1"/>
        <v>3</v>
      </c>
      <c r="E24" s="17">
        <f ca="1"/>
        <v>1.4</v>
      </c>
      <c r="F24" s="17">
        <f ca="1"/>
        <v>0.1</v>
      </c>
      <c r="G24" s="17" t="str">
        <f ca="1"/>
        <v>setosa</v>
      </c>
      <c r="H24" s="17">
        <f t="shared" ca="1" si="0"/>
        <v>0</v>
      </c>
      <c r="I24" s="21"/>
      <c r="J24" s="21"/>
      <c r="K24" s="21"/>
      <c r="L24" s="21"/>
    </row>
    <row r="25" spans="2:12" x14ac:dyDescent="0.3">
      <c r="B25" s="17">
        <f ca="1"/>
        <v>14</v>
      </c>
      <c r="C25" s="17">
        <f ca="1"/>
        <v>4.3</v>
      </c>
      <c r="D25" s="17">
        <f ca="1"/>
        <v>3</v>
      </c>
      <c r="E25" s="17">
        <f ca="1"/>
        <v>1.1000000000000001</v>
      </c>
      <c r="F25" s="17">
        <f ca="1"/>
        <v>0.1</v>
      </c>
      <c r="G25" s="17" t="str">
        <f ca="1"/>
        <v>setosa</v>
      </c>
      <c r="H25" s="17">
        <f t="shared" ca="1" si="0"/>
        <v>0</v>
      </c>
      <c r="I25" s="21"/>
      <c r="J25" s="21"/>
      <c r="K25" s="21"/>
      <c r="L25" s="21"/>
    </row>
    <row r="26" spans="2:12" x14ac:dyDescent="0.3">
      <c r="B26" s="17">
        <f ca="1"/>
        <v>15</v>
      </c>
      <c r="C26" s="17">
        <f ca="1"/>
        <v>5.8</v>
      </c>
      <c r="D26" s="17">
        <f ca="1"/>
        <v>4</v>
      </c>
      <c r="E26" s="17">
        <f ca="1"/>
        <v>1.2</v>
      </c>
      <c r="F26" s="17">
        <f ca="1"/>
        <v>0.2</v>
      </c>
      <c r="G26" s="17" t="str">
        <f ca="1"/>
        <v>setosa</v>
      </c>
      <c r="H26" s="17">
        <f t="shared" ca="1" si="0"/>
        <v>0</v>
      </c>
      <c r="I26" s="21"/>
      <c r="J26" s="21"/>
      <c r="K26" s="21"/>
      <c r="L26" s="21"/>
    </row>
    <row r="27" spans="2:12" x14ac:dyDescent="0.3">
      <c r="B27" s="17">
        <f ca="1"/>
        <v>16</v>
      </c>
      <c r="C27" s="17">
        <f ca="1"/>
        <v>5.7</v>
      </c>
      <c r="D27" s="17">
        <f ca="1"/>
        <v>4.4000000000000004</v>
      </c>
      <c r="E27" s="17">
        <f ca="1"/>
        <v>1.5</v>
      </c>
      <c r="F27" s="17">
        <f ca="1"/>
        <v>0.4</v>
      </c>
      <c r="G27" s="17" t="str">
        <f ca="1"/>
        <v>setosa</v>
      </c>
      <c r="H27" s="17">
        <f t="shared" ca="1" si="0"/>
        <v>0</v>
      </c>
      <c r="I27" s="21"/>
      <c r="J27" s="21"/>
      <c r="K27" s="21"/>
      <c r="L27" s="21"/>
    </row>
    <row r="28" spans="2:12" x14ac:dyDescent="0.3">
      <c r="B28" s="17">
        <f ca="1"/>
        <v>17</v>
      </c>
      <c r="C28" s="17">
        <f ca="1"/>
        <v>5.4</v>
      </c>
      <c r="D28" s="17">
        <f ca="1"/>
        <v>3.9</v>
      </c>
      <c r="E28" s="17">
        <f ca="1"/>
        <v>1.3</v>
      </c>
      <c r="F28" s="17">
        <f ca="1"/>
        <v>0.4</v>
      </c>
      <c r="G28" s="17" t="str">
        <f ca="1"/>
        <v>setosa</v>
      </c>
      <c r="H28" s="17">
        <f t="shared" ca="1" si="0"/>
        <v>0</v>
      </c>
      <c r="I28" s="21"/>
      <c r="J28" s="21"/>
      <c r="K28" s="21"/>
      <c r="L28" s="21"/>
    </row>
    <row r="29" spans="2:12" x14ac:dyDescent="0.3">
      <c r="B29" s="17">
        <f ca="1"/>
        <v>18</v>
      </c>
      <c r="C29" s="17">
        <f ca="1"/>
        <v>5.0999999999999996</v>
      </c>
      <c r="D29" s="17">
        <f ca="1"/>
        <v>3.5</v>
      </c>
      <c r="E29" s="17">
        <f ca="1"/>
        <v>1.4</v>
      </c>
      <c r="F29" s="17">
        <f ca="1"/>
        <v>0.3</v>
      </c>
      <c r="G29" s="17" t="str">
        <f ca="1"/>
        <v>setosa</v>
      </c>
      <c r="H29" s="17">
        <f t="shared" ca="1" si="0"/>
        <v>0</v>
      </c>
      <c r="I29" s="21"/>
      <c r="J29" s="21"/>
      <c r="K29" s="21"/>
      <c r="L29" s="21"/>
    </row>
    <row r="30" spans="2:12" x14ac:dyDescent="0.3">
      <c r="B30" s="17">
        <f ca="1"/>
        <v>19</v>
      </c>
      <c r="C30" s="17">
        <f ca="1"/>
        <v>5.7</v>
      </c>
      <c r="D30" s="17">
        <f ca="1"/>
        <v>3.8</v>
      </c>
      <c r="E30" s="17">
        <f ca="1"/>
        <v>1.7</v>
      </c>
      <c r="F30" s="17">
        <f ca="1"/>
        <v>0.3</v>
      </c>
      <c r="G30" s="17" t="str">
        <f ca="1"/>
        <v>setosa</v>
      </c>
      <c r="H30" s="17">
        <f t="shared" ca="1" si="0"/>
        <v>0</v>
      </c>
      <c r="I30" s="21"/>
      <c r="J30" s="21"/>
      <c r="K30" s="21"/>
      <c r="L30" s="21"/>
    </row>
    <row r="31" spans="2:12" x14ac:dyDescent="0.3">
      <c r="B31" s="17">
        <f ca="1"/>
        <v>20</v>
      </c>
      <c r="C31" s="17">
        <f ca="1"/>
        <v>5.0999999999999996</v>
      </c>
      <c r="D31" s="17">
        <f ca="1"/>
        <v>3.8</v>
      </c>
      <c r="E31" s="17">
        <f ca="1"/>
        <v>1.5</v>
      </c>
      <c r="F31" s="17">
        <f ca="1"/>
        <v>0.3</v>
      </c>
      <c r="G31" s="17" t="str">
        <f ca="1"/>
        <v>setosa</v>
      </c>
      <c r="H31" s="17">
        <f t="shared" ca="1" si="0"/>
        <v>0</v>
      </c>
      <c r="I31" s="21"/>
      <c r="J31" s="21"/>
      <c r="K31" s="21"/>
      <c r="L31" s="21"/>
    </row>
    <row r="32" spans="2:12" x14ac:dyDescent="0.3">
      <c r="B32" s="17">
        <f ca="1"/>
        <v>21</v>
      </c>
      <c r="C32" s="17">
        <f ca="1"/>
        <v>5.4</v>
      </c>
      <c r="D32" s="17">
        <f ca="1"/>
        <v>3.4</v>
      </c>
      <c r="E32" s="17">
        <f ca="1"/>
        <v>1.7</v>
      </c>
      <c r="F32" s="17">
        <f ca="1"/>
        <v>0.2</v>
      </c>
      <c r="G32" s="17" t="str">
        <f ca="1"/>
        <v>setosa</v>
      </c>
      <c r="H32" s="17">
        <f t="shared" ca="1" si="0"/>
        <v>0</v>
      </c>
      <c r="I32" s="21"/>
      <c r="J32" s="21"/>
      <c r="K32" s="21"/>
      <c r="L32" s="21"/>
    </row>
    <row r="33" spans="2:12" x14ac:dyDescent="0.3">
      <c r="B33" s="17">
        <f ca="1"/>
        <v>22</v>
      </c>
      <c r="C33" s="17">
        <f ca="1"/>
        <v>5.0999999999999996</v>
      </c>
      <c r="D33" s="17">
        <f ca="1"/>
        <v>3.7</v>
      </c>
      <c r="E33" s="17">
        <f ca="1"/>
        <v>1.5</v>
      </c>
      <c r="F33" s="17">
        <f ca="1"/>
        <v>0.4</v>
      </c>
      <c r="G33" s="17" t="str">
        <f ca="1"/>
        <v>setosa</v>
      </c>
      <c r="H33" s="17">
        <f t="shared" ca="1" si="0"/>
        <v>0</v>
      </c>
      <c r="I33" s="21"/>
      <c r="J33" s="21"/>
      <c r="K33" s="21"/>
      <c r="L33" s="21"/>
    </row>
    <row r="34" spans="2:12" x14ac:dyDescent="0.3">
      <c r="B34" s="17">
        <f ca="1"/>
        <v>23</v>
      </c>
      <c r="C34" s="17">
        <f ca="1"/>
        <v>4.5999999999999996</v>
      </c>
      <c r="D34" s="17">
        <f ca="1"/>
        <v>3.6</v>
      </c>
      <c r="E34" s="17">
        <f ca="1"/>
        <v>1</v>
      </c>
      <c r="F34" s="17">
        <f ca="1"/>
        <v>0.2</v>
      </c>
      <c r="G34" s="17" t="str">
        <f ca="1"/>
        <v>setosa</v>
      </c>
      <c r="H34" s="17">
        <f t="shared" ca="1" si="0"/>
        <v>0</v>
      </c>
      <c r="I34" s="21"/>
      <c r="J34" s="21"/>
      <c r="K34" s="21"/>
      <c r="L34" s="21"/>
    </row>
    <row r="35" spans="2:12" x14ac:dyDescent="0.3">
      <c r="B35" s="17">
        <f ca="1"/>
        <v>24</v>
      </c>
      <c r="C35" s="17">
        <f ca="1"/>
        <v>5.0999999999999996</v>
      </c>
      <c r="D35" s="17">
        <f ca="1"/>
        <v>3.3</v>
      </c>
      <c r="E35" s="17">
        <f ca="1"/>
        <v>1.7</v>
      </c>
      <c r="F35" s="17">
        <f ca="1"/>
        <v>0.5</v>
      </c>
      <c r="G35" s="17" t="str">
        <f ca="1"/>
        <v>setosa</v>
      </c>
      <c r="H35" s="17">
        <f t="shared" ca="1" si="0"/>
        <v>0</v>
      </c>
      <c r="I35" s="21"/>
      <c r="J35" s="21"/>
      <c r="K35" s="21"/>
      <c r="L35" s="21"/>
    </row>
    <row r="36" spans="2:12" x14ac:dyDescent="0.3">
      <c r="B36" s="17">
        <f ca="1"/>
        <v>25</v>
      </c>
      <c r="C36" s="17">
        <f ca="1"/>
        <v>4.8</v>
      </c>
      <c r="D36" s="17">
        <f ca="1"/>
        <v>3.4</v>
      </c>
      <c r="E36" s="17">
        <f ca="1"/>
        <v>1.9</v>
      </c>
      <c r="F36" s="17">
        <f ca="1"/>
        <v>0.2</v>
      </c>
      <c r="G36" s="17" t="str">
        <f ca="1"/>
        <v>setosa</v>
      </c>
      <c r="H36" s="17">
        <f t="shared" ca="1" si="0"/>
        <v>0</v>
      </c>
      <c r="I36" s="21"/>
      <c r="J36" s="21"/>
      <c r="K36" s="21"/>
      <c r="L36" s="21"/>
    </row>
    <row r="37" spans="2:12" x14ac:dyDescent="0.3">
      <c r="B37" s="17" cm="1">
        <f t="array" aca="1" ref="B37:G61" ca="1">OFFSET(Iris_Data!A76,1,0,25,6)</f>
        <v>76</v>
      </c>
      <c r="C37" s="17">
        <f ca="1"/>
        <v>6.6</v>
      </c>
      <c r="D37" s="17">
        <f ca="1"/>
        <v>3</v>
      </c>
      <c r="E37" s="17">
        <f ca="1"/>
        <v>4.4000000000000004</v>
      </c>
      <c r="F37" s="17">
        <f ca="1"/>
        <v>1.4</v>
      </c>
      <c r="G37" s="17" t="str">
        <f ca="1"/>
        <v>versicolor</v>
      </c>
      <c r="H37" s="17">
        <f t="shared" ca="1" si="0"/>
        <v>1</v>
      </c>
      <c r="I37" s="21"/>
      <c r="J37" s="21"/>
      <c r="K37" s="21"/>
      <c r="L37" s="21"/>
    </row>
    <row r="38" spans="2:12" x14ac:dyDescent="0.3">
      <c r="B38" s="17">
        <f ca="1"/>
        <v>77</v>
      </c>
      <c r="C38" s="17">
        <f ca="1"/>
        <v>6.8</v>
      </c>
      <c r="D38" s="17">
        <f ca="1"/>
        <v>2.8</v>
      </c>
      <c r="E38" s="17">
        <f ca="1"/>
        <v>4.8</v>
      </c>
      <c r="F38" s="17">
        <f ca="1"/>
        <v>1.4</v>
      </c>
      <c r="G38" s="17" t="str">
        <f ca="1"/>
        <v>versicolor</v>
      </c>
      <c r="H38" s="17">
        <f t="shared" ca="1" si="0"/>
        <v>1</v>
      </c>
      <c r="I38" s="21"/>
      <c r="J38" s="21"/>
      <c r="K38" s="21"/>
      <c r="L38" s="21"/>
    </row>
    <row r="39" spans="2:12" x14ac:dyDescent="0.3">
      <c r="B39" s="17">
        <f ca="1"/>
        <v>78</v>
      </c>
      <c r="C39" s="17">
        <f ca="1"/>
        <v>6.7</v>
      </c>
      <c r="D39" s="17">
        <f ca="1"/>
        <v>3</v>
      </c>
      <c r="E39" s="17">
        <f ca="1"/>
        <v>5</v>
      </c>
      <c r="F39" s="17">
        <f ca="1"/>
        <v>1.7</v>
      </c>
      <c r="G39" s="17" t="str">
        <f ca="1"/>
        <v>versicolor</v>
      </c>
      <c r="H39" s="17">
        <f t="shared" ca="1" si="0"/>
        <v>1</v>
      </c>
      <c r="I39" s="21"/>
      <c r="J39" s="21"/>
      <c r="K39" s="21"/>
      <c r="L39" s="21"/>
    </row>
    <row r="40" spans="2:12" x14ac:dyDescent="0.3">
      <c r="B40" s="17">
        <f ca="1"/>
        <v>79</v>
      </c>
      <c r="C40" s="17">
        <f ca="1"/>
        <v>6</v>
      </c>
      <c r="D40" s="17">
        <f ca="1"/>
        <v>2.9</v>
      </c>
      <c r="E40" s="17">
        <f ca="1"/>
        <v>4.5</v>
      </c>
      <c r="F40" s="17">
        <f ca="1"/>
        <v>1.5</v>
      </c>
      <c r="G40" s="17" t="str">
        <f ca="1"/>
        <v>versicolor</v>
      </c>
      <c r="H40" s="17">
        <f t="shared" ca="1" si="0"/>
        <v>1</v>
      </c>
      <c r="I40" s="21"/>
      <c r="J40" s="21"/>
      <c r="K40" s="21"/>
      <c r="L40" s="21"/>
    </row>
    <row r="41" spans="2:12" x14ac:dyDescent="0.3">
      <c r="B41" s="17">
        <f ca="1"/>
        <v>80</v>
      </c>
      <c r="C41" s="17">
        <f ca="1"/>
        <v>5.7</v>
      </c>
      <c r="D41" s="17">
        <f ca="1"/>
        <v>2.6</v>
      </c>
      <c r="E41" s="17">
        <f ca="1"/>
        <v>3.5</v>
      </c>
      <c r="F41" s="17">
        <f ca="1"/>
        <v>1</v>
      </c>
      <c r="G41" s="17" t="str">
        <f ca="1"/>
        <v>versicolor</v>
      </c>
      <c r="H41" s="17">
        <f t="shared" ca="1" si="0"/>
        <v>1</v>
      </c>
      <c r="I41" s="21"/>
      <c r="J41" s="21"/>
      <c r="K41" s="21"/>
      <c r="L41" s="21"/>
    </row>
    <row r="42" spans="2:12" x14ac:dyDescent="0.3">
      <c r="B42" s="17">
        <f ca="1"/>
        <v>81</v>
      </c>
      <c r="C42" s="17">
        <f ca="1"/>
        <v>5.5</v>
      </c>
      <c r="D42" s="17">
        <f ca="1"/>
        <v>2.4</v>
      </c>
      <c r="E42" s="17">
        <f ca="1"/>
        <v>3.8</v>
      </c>
      <c r="F42" s="17">
        <f ca="1"/>
        <v>1.1000000000000001</v>
      </c>
      <c r="G42" s="17" t="str">
        <f ca="1"/>
        <v>versicolor</v>
      </c>
      <c r="H42" s="17">
        <f t="shared" ca="1" si="0"/>
        <v>1</v>
      </c>
      <c r="I42" s="21"/>
      <c r="J42" s="21"/>
      <c r="K42" s="21"/>
      <c r="L42" s="21"/>
    </row>
    <row r="43" spans="2:12" x14ac:dyDescent="0.3">
      <c r="B43" s="17">
        <f ca="1"/>
        <v>82</v>
      </c>
      <c r="C43" s="17">
        <f ca="1"/>
        <v>5.5</v>
      </c>
      <c r="D43" s="17">
        <f ca="1"/>
        <v>2.4</v>
      </c>
      <c r="E43" s="17">
        <f ca="1"/>
        <v>3.7</v>
      </c>
      <c r="F43" s="17">
        <f ca="1"/>
        <v>1</v>
      </c>
      <c r="G43" s="17" t="str">
        <f ca="1"/>
        <v>versicolor</v>
      </c>
      <c r="H43" s="17">
        <f t="shared" ca="1" si="0"/>
        <v>1</v>
      </c>
      <c r="I43" s="21"/>
      <c r="J43" s="21"/>
      <c r="K43" s="21"/>
      <c r="L43" s="21"/>
    </row>
    <row r="44" spans="2:12" x14ac:dyDescent="0.3">
      <c r="B44" s="17">
        <f ca="1"/>
        <v>83</v>
      </c>
      <c r="C44" s="17">
        <f ca="1"/>
        <v>5.8</v>
      </c>
      <c r="D44" s="17">
        <f ca="1"/>
        <v>2.7</v>
      </c>
      <c r="E44" s="17">
        <f ca="1"/>
        <v>3.9</v>
      </c>
      <c r="F44" s="17">
        <f ca="1"/>
        <v>1.2</v>
      </c>
      <c r="G44" s="17" t="str">
        <f ca="1"/>
        <v>versicolor</v>
      </c>
      <c r="H44" s="17">
        <f t="shared" ca="1" si="0"/>
        <v>1</v>
      </c>
      <c r="I44" s="21"/>
      <c r="J44" s="21"/>
      <c r="K44" s="21"/>
      <c r="L44" s="21"/>
    </row>
    <row r="45" spans="2:12" x14ac:dyDescent="0.3">
      <c r="B45" s="17">
        <f ca="1"/>
        <v>84</v>
      </c>
      <c r="C45" s="17">
        <f ca="1"/>
        <v>6</v>
      </c>
      <c r="D45" s="17">
        <f ca="1"/>
        <v>2.7</v>
      </c>
      <c r="E45" s="17">
        <f ca="1"/>
        <v>5.0999999999999996</v>
      </c>
      <c r="F45" s="17">
        <f ca="1"/>
        <v>1.6</v>
      </c>
      <c r="G45" s="17" t="str">
        <f ca="1"/>
        <v>versicolor</v>
      </c>
      <c r="H45" s="17">
        <f t="shared" ca="1" si="0"/>
        <v>1</v>
      </c>
      <c r="I45" s="21"/>
      <c r="J45" s="21"/>
      <c r="K45" s="21"/>
      <c r="L45" s="21"/>
    </row>
    <row r="46" spans="2:12" x14ac:dyDescent="0.3">
      <c r="B46" s="17">
        <f ca="1"/>
        <v>85</v>
      </c>
      <c r="C46" s="17">
        <f ca="1"/>
        <v>5.4</v>
      </c>
      <c r="D46" s="17">
        <f ca="1"/>
        <v>3</v>
      </c>
      <c r="E46" s="17">
        <f ca="1"/>
        <v>4.5</v>
      </c>
      <c r="F46" s="17">
        <f ca="1"/>
        <v>1.5</v>
      </c>
      <c r="G46" s="17" t="str">
        <f ca="1"/>
        <v>versicolor</v>
      </c>
      <c r="H46" s="17">
        <f t="shared" ca="1" si="0"/>
        <v>1</v>
      </c>
      <c r="I46" s="21"/>
      <c r="J46" s="21"/>
      <c r="K46" s="21"/>
      <c r="L46" s="21"/>
    </row>
    <row r="47" spans="2:12" x14ac:dyDescent="0.3">
      <c r="B47" s="17">
        <f ca="1"/>
        <v>86</v>
      </c>
      <c r="C47" s="17">
        <f ca="1"/>
        <v>6</v>
      </c>
      <c r="D47" s="17">
        <f ca="1"/>
        <v>3.4</v>
      </c>
      <c r="E47" s="17">
        <f ca="1"/>
        <v>4.5</v>
      </c>
      <c r="F47" s="17">
        <f ca="1"/>
        <v>1.6</v>
      </c>
      <c r="G47" s="17" t="str">
        <f ca="1"/>
        <v>versicolor</v>
      </c>
      <c r="H47" s="17">
        <f t="shared" ca="1" si="0"/>
        <v>1</v>
      </c>
      <c r="I47" s="21"/>
      <c r="J47" s="21"/>
      <c r="K47" s="21"/>
      <c r="L47" s="21"/>
    </row>
    <row r="48" spans="2:12" x14ac:dyDescent="0.3">
      <c r="B48" s="17">
        <f ca="1"/>
        <v>87</v>
      </c>
      <c r="C48" s="17">
        <f ca="1"/>
        <v>6.7</v>
      </c>
      <c r="D48" s="17">
        <f ca="1"/>
        <v>3.1</v>
      </c>
      <c r="E48" s="17">
        <f ca="1"/>
        <v>4.7</v>
      </c>
      <c r="F48" s="17">
        <f ca="1"/>
        <v>1.5</v>
      </c>
      <c r="G48" s="17" t="str">
        <f ca="1"/>
        <v>versicolor</v>
      </c>
      <c r="H48" s="17">
        <f t="shared" ca="1" si="0"/>
        <v>1</v>
      </c>
      <c r="I48" s="21"/>
      <c r="J48" s="21"/>
      <c r="K48" s="21"/>
      <c r="L48" s="21"/>
    </row>
    <row r="49" spans="2:12" x14ac:dyDescent="0.3">
      <c r="B49" s="17">
        <f ca="1"/>
        <v>88</v>
      </c>
      <c r="C49" s="17">
        <f ca="1"/>
        <v>6.3</v>
      </c>
      <c r="D49" s="17">
        <f ca="1"/>
        <v>2.2999999999999998</v>
      </c>
      <c r="E49" s="17">
        <f ca="1"/>
        <v>4.4000000000000004</v>
      </c>
      <c r="F49" s="17">
        <f ca="1"/>
        <v>1.3</v>
      </c>
      <c r="G49" s="17" t="str">
        <f ca="1"/>
        <v>versicolor</v>
      </c>
      <c r="H49" s="17">
        <f t="shared" ca="1" si="0"/>
        <v>1</v>
      </c>
      <c r="I49" s="21"/>
      <c r="J49" s="21"/>
      <c r="K49" s="21"/>
      <c r="L49" s="21"/>
    </row>
    <row r="50" spans="2:12" x14ac:dyDescent="0.3">
      <c r="B50" s="17">
        <f ca="1"/>
        <v>89</v>
      </c>
      <c r="C50" s="17">
        <f ca="1"/>
        <v>5.6</v>
      </c>
      <c r="D50" s="17">
        <f ca="1"/>
        <v>3</v>
      </c>
      <c r="E50" s="17">
        <f ca="1"/>
        <v>4.0999999999999996</v>
      </c>
      <c r="F50" s="17">
        <f ca="1"/>
        <v>1.3</v>
      </c>
      <c r="G50" s="17" t="str">
        <f ca="1"/>
        <v>versicolor</v>
      </c>
      <c r="H50" s="17">
        <f t="shared" ca="1" si="0"/>
        <v>1</v>
      </c>
      <c r="I50" s="21"/>
      <c r="J50" s="21"/>
      <c r="K50" s="21"/>
      <c r="L50" s="21"/>
    </row>
    <row r="51" spans="2:12" x14ac:dyDescent="0.3">
      <c r="B51" s="17">
        <f ca="1"/>
        <v>90</v>
      </c>
      <c r="C51" s="17">
        <f ca="1"/>
        <v>5.5</v>
      </c>
      <c r="D51" s="17">
        <f ca="1"/>
        <v>2.5</v>
      </c>
      <c r="E51" s="17">
        <f ca="1"/>
        <v>4</v>
      </c>
      <c r="F51" s="17">
        <f ca="1"/>
        <v>1.3</v>
      </c>
      <c r="G51" s="17" t="str">
        <f ca="1"/>
        <v>versicolor</v>
      </c>
      <c r="H51" s="17">
        <f t="shared" ca="1" si="0"/>
        <v>1</v>
      </c>
      <c r="I51" s="21"/>
      <c r="J51" s="21"/>
      <c r="K51" s="21"/>
      <c r="L51" s="21"/>
    </row>
    <row r="52" spans="2:12" x14ac:dyDescent="0.3">
      <c r="B52" s="17">
        <f ca="1"/>
        <v>91</v>
      </c>
      <c r="C52" s="17">
        <f ca="1"/>
        <v>5.5</v>
      </c>
      <c r="D52" s="17">
        <f ca="1"/>
        <v>2.6</v>
      </c>
      <c r="E52" s="17">
        <f ca="1"/>
        <v>4.4000000000000004</v>
      </c>
      <c r="F52" s="17">
        <f ca="1"/>
        <v>1.2</v>
      </c>
      <c r="G52" s="17" t="str">
        <f ca="1"/>
        <v>versicolor</v>
      </c>
      <c r="H52" s="17">
        <f t="shared" ca="1" si="0"/>
        <v>1</v>
      </c>
      <c r="I52" s="21"/>
      <c r="J52" s="21"/>
      <c r="K52" s="21"/>
      <c r="L52" s="21"/>
    </row>
    <row r="53" spans="2:12" x14ac:dyDescent="0.3">
      <c r="B53" s="17">
        <f ca="1"/>
        <v>92</v>
      </c>
      <c r="C53" s="17">
        <f ca="1"/>
        <v>6.1</v>
      </c>
      <c r="D53" s="17">
        <f ca="1"/>
        <v>3</v>
      </c>
      <c r="E53" s="17">
        <f ca="1"/>
        <v>4.5999999999999996</v>
      </c>
      <c r="F53" s="17">
        <f ca="1"/>
        <v>1.4</v>
      </c>
      <c r="G53" s="17" t="str">
        <f ca="1"/>
        <v>versicolor</v>
      </c>
      <c r="H53" s="17">
        <f t="shared" ca="1" si="0"/>
        <v>1</v>
      </c>
      <c r="I53" s="21"/>
      <c r="J53" s="21"/>
      <c r="K53" s="21"/>
      <c r="L53" s="21"/>
    </row>
    <row r="54" spans="2:12" x14ac:dyDescent="0.3">
      <c r="B54" s="17">
        <f ca="1"/>
        <v>93</v>
      </c>
      <c r="C54" s="17">
        <f ca="1"/>
        <v>5.8</v>
      </c>
      <c r="D54" s="17">
        <f ca="1"/>
        <v>2.6</v>
      </c>
      <c r="E54" s="17">
        <f ca="1"/>
        <v>4</v>
      </c>
      <c r="F54" s="17">
        <f ca="1"/>
        <v>1.2</v>
      </c>
      <c r="G54" s="17" t="str">
        <f ca="1"/>
        <v>versicolor</v>
      </c>
      <c r="H54" s="17">
        <f t="shared" ca="1" si="0"/>
        <v>1</v>
      </c>
      <c r="I54" s="21"/>
      <c r="J54" s="21"/>
      <c r="K54" s="21"/>
      <c r="L54" s="21"/>
    </row>
    <row r="55" spans="2:12" x14ac:dyDescent="0.3">
      <c r="B55" s="17">
        <f ca="1"/>
        <v>94</v>
      </c>
      <c r="C55" s="17">
        <f ca="1"/>
        <v>5</v>
      </c>
      <c r="D55" s="17">
        <f ca="1"/>
        <v>2.2999999999999998</v>
      </c>
      <c r="E55" s="17">
        <f ca="1"/>
        <v>3.3</v>
      </c>
      <c r="F55" s="17">
        <f ca="1"/>
        <v>1</v>
      </c>
      <c r="G55" s="17" t="str">
        <f ca="1"/>
        <v>versicolor</v>
      </c>
      <c r="H55" s="17">
        <f t="shared" ca="1" si="0"/>
        <v>1</v>
      </c>
      <c r="I55" s="21"/>
      <c r="J55" s="21"/>
      <c r="K55" s="21"/>
      <c r="L55" s="21"/>
    </row>
    <row r="56" spans="2:12" x14ac:dyDescent="0.3">
      <c r="B56" s="17">
        <f ca="1"/>
        <v>95</v>
      </c>
      <c r="C56" s="17">
        <f ca="1"/>
        <v>5.6</v>
      </c>
      <c r="D56" s="17">
        <f ca="1"/>
        <v>2.7</v>
      </c>
      <c r="E56" s="17">
        <f ca="1"/>
        <v>4.2</v>
      </c>
      <c r="F56" s="17">
        <f ca="1"/>
        <v>1.3</v>
      </c>
      <c r="G56" s="17" t="str">
        <f ca="1"/>
        <v>versicolor</v>
      </c>
      <c r="H56" s="17">
        <f t="shared" ca="1" si="0"/>
        <v>1</v>
      </c>
      <c r="I56" s="21"/>
      <c r="J56" s="21"/>
      <c r="K56" s="21"/>
      <c r="L56" s="21"/>
    </row>
    <row r="57" spans="2:12" x14ac:dyDescent="0.3">
      <c r="B57" s="17">
        <f ca="1"/>
        <v>96</v>
      </c>
      <c r="C57" s="17">
        <f ca="1"/>
        <v>5.7</v>
      </c>
      <c r="D57" s="17">
        <f ca="1"/>
        <v>3</v>
      </c>
      <c r="E57" s="17">
        <f ca="1"/>
        <v>4.2</v>
      </c>
      <c r="F57" s="17">
        <f ca="1"/>
        <v>1.2</v>
      </c>
      <c r="G57" s="17" t="str">
        <f ca="1"/>
        <v>versicolor</v>
      </c>
      <c r="H57" s="17">
        <f t="shared" ca="1" si="0"/>
        <v>1</v>
      </c>
      <c r="I57" s="21"/>
      <c r="J57" s="21"/>
      <c r="K57" s="21"/>
      <c r="L57" s="21"/>
    </row>
    <row r="58" spans="2:12" x14ac:dyDescent="0.3">
      <c r="B58" s="17">
        <f ca="1"/>
        <v>97</v>
      </c>
      <c r="C58" s="17">
        <f ca="1"/>
        <v>5.7</v>
      </c>
      <c r="D58" s="17">
        <f ca="1"/>
        <v>2.9</v>
      </c>
      <c r="E58" s="17">
        <f ca="1"/>
        <v>4.2</v>
      </c>
      <c r="F58" s="17">
        <f ca="1"/>
        <v>1.3</v>
      </c>
      <c r="G58" s="17" t="str">
        <f ca="1"/>
        <v>versicolor</v>
      </c>
      <c r="H58" s="17">
        <f t="shared" ca="1" si="0"/>
        <v>1</v>
      </c>
      <c r="I58" s="21"/>
      <c r="J58" s="21"/>
      <c r="K58" s="21"/>
      <c r="L58" s="21"/>
    </row>
    <row r="59" spans="2:12" x14ac:dyDescent="0.3">
      <c r="B59" s="17">
        <f ca="1"/>
        <v>98</v>
      </c>
      <c r="C59" s="17">
        <f ca="1"/>
        <v>6.2</v>
      </c>
      <c r="D59" s="17">
        <f ca="1"/>
        <v>2.9</v>
      </c>
      <c r="E59" s="17">
        <f ca="1"/>
        <v>4.3</v>
      </c>
      <c r="F59" s="17">
        <f ca="1"/>
        <v>1.3</v>
      </c>
      <c r="G59" s="17" t="str">
        <f ca="1"/>
        <v>versicolor</v>
      </c>
      <c r="H59" s="17">
        <f t="shared" ca="1" si="0"/>
        <v>1</v>
      </c>
      <c r="I59" s="21"/>
      <c r="J59" s="21"/>
      <c r="K59" s="21"/>
      <c r="L59" s="21"/>
    </row>
    <row r="60" spans="2:12" x14ac:dyDescent="0.3">
      <c r="B60" s="17">
        <f ca="1"/>
        <v>99</v>
      </c>
      <c r="C60" s="17">
        <f ca="1"/>
        <v>5.0999999999999996</v>
      </c>
      <c r="D60" s="17">
        <f ca="1"/>
        <v>2.5</v>
      </c>
      <c r="E60" s="17">
        <f ca="1"/>
        <v>3</v>
      </c>
      <c r="F60" s="17">
        <f ca="1"/>
        <v>1.1000000000000001</v>
      </c>
      <c r="G60" s="17" t="str">
        <f ca="1"/>
        <v>versicolor</v>
      </c>
      <c r="H60" s="17">
        <f t="shared" ca="1" si="0"/>
        <v>1</v>
      </c>
      <c r="I60" s="21"/>
      <c r="J60" s="21"/>
      <c r="K60" s="21"/>
      <c r="L60" s="21"/>
    </row>
    <row r="61" spans="2:12" x14ac:dyDescent="0.3">
      <c r="B61" s="17">
        <f ca="1"/>
        <v>100</v>
      </c>
      <c r="C61" s="17">
        <f ca="1"/>
        <v>5.7</v>
      </c>
      <c r="D61" s="17">
        <f ca="1"/>
        <v>2.8</v>
      </c>
      <c r="E61" s="17">
        <f ca="1"/>
        <v>4.0999999999999996</v>
      </c>
      <c r="F61" s="17">
        <f ca="1"/>
        <v>1.3</v>
      </c>
      <c r="G61" s="17" t="str">
        <f ca="1"/>
        <v>versicolor</v>
      </c>
      <c r="H61" s="17">
        <f t="shared" ca="1" si="0"/>
        <v>1</v>
      </c>
      <c r="I61" s="21"/>
      <c r="J61" s="21"/>
      <c r="K61" s="21"/>
      <c r="L61" s="21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FF0000"/>
  </sheetPr>
  <dimension ref="B3:L61"/>
  <sheetViews>
    <sheetView workbookViewId="0"/>
  </sheetViews>
  <sheetFormatPr baseColWidth="10" defaultRowHeight="26" x14ac:dyDescent="0.3"/>
  <cols>
    <col min="1" max="6" width="10.83203125" style="17"/>
    <col min="7" max="7" width="15" style="17" bestFit="1" customWidth="1"/>
    <col min="8" max="8" width="10.83203125" style="17"/>
    <col min="9" max="10" width="23.5" style="17" bestFit="1" customWidth="1"/>
    <col min="11" max="11" width="11.83203125" style="17" bestFit="1" customWidth="1"/>
    <col min="12" max="12" width="15.33203125" style="17" bestFit="1" customWidth="1"/>
    <col min="13" max="16384" width="10.83203125" style="17"/>
  </cols>
  <sheetData>
    <row r="3" spans="2:12" s="16" customFormat="1" x14ac:dyDescent="0.3">
      <c r="H3" s="16" t="s">
        <v>59</v>
      </c>
      <c r="K3" s="17"/>
    </row>
    <row r="4" spans="2:12" x14ac:dyDescent="0.3">
      <c r="G4" s="17" t="s">
        <v>60</v>
      </c>
      <c r="H4" s="17" cm="1">
        <f t="array" ref="H4:H8">Iris_Fit!H4:H8</f>
        <v>0</v>
      </c>
    </row>
    <row r="5" spans="2:12" x14ac:dyDescent="0.3">
      <c r="G5" s="17" t="s">
        <v>46</v>
      </c>
      <c r="H5" s="17">
        <v>0</v>
      </c>
    </row>
    <row r="6" spans="2:12" x14ac:dyDescent="0.3">
      <c r="G6" s="17" t="s">
        <v>47</v>
      </c>
      <c r="H6" s="17">
        <v>0</v>
      </c>
    </row>
    <row r="7" spans="2:12" x14ac:dyDescent="0.3">
      <c r="G7" s="17" t="s">
        <v>61</v>
      </c>
      <c r="H7" s="17">
        <v>0</v>
      </c>
    </row>
    <row r="8" spans="2:12" x14ac:dyDescent="0.3">
      <c r="G8" s="17" t="s">
        <v>62</v>
      </c>
      <c r="H8" s="17">
        <v>1.5482559354478314</v>
      </c>
    </row>
    <row r="11" spans="2:12" s="16" customFormat="1" x14ac:dyDescent="0.3">
      <c r="B11" s="16" t="s">
        <v>48</v>
      </c>
      <c r="C11" s="16" t="s">
        <v>49</v>
      </c>
      <c r="D11" s="16" t="s">
        <v>17</v>
      </c>
      <c r="E11" s="16" t="s">
        <v>19</v>
      </c>
      <c r="F11" s="16" t="s">
        <v>63</v>
      </c>
      <c r="G11" s="16" t="s">
        <v>64</v>
      </c>
      <c r="H11" s="16" t="s">
        <v>18</v>
      </c>
      <c r="I11" s="16" t="s">
        <v>65</v>
      </c>
      <c r="J11" s="16" t="s">
        <v>66</v>
      </c>
      <c r="K11" s="16" t="s">
        <v>67</v>
      </c>
      <c r="L11" s="16" t="s">
        <v>16</v>
      </c>
    </row>
    <row r="12" spans="2:12" x14ac:dyDescent="0.3">
      <c r="B12" s="17" cm="1">
        <f t="array" aca="1" ref="B12:G61" ca="1">OFFSET(Iris_Data!A26,1,0,50,6)</f>
        <v>26</v>
      </c>
      <c r="C12" s="17">
        <f ca="1"/>
        <v>5</v>
      </c>
      <c r="D12" s="17">
        <f ca="1"/>
        <v>3</v>
      </c>
      <c r="E12" s="17">
        <f ca="1"/>
        <v>1.6</v>
      </c>
      <c r="F12" s="17">
        <f ca="1"/>
        <v>0.2</v>
      </c>
      <c r="G12" s="17" t="str">
        <f ca="1"/>
        <v>setosa</v>
      </c>
      <c r="H12" s="17">
        <f t="shared" ref="H12:H61" ca="1" si="0">(G12="versicolor")+0</f>
        <v>0</v>
      </c>
      <c r="I12" s="17">
        <f t="array" aca="1" ref="I12:I61" ca="1">H4+MMULT(C12:F61,H5:H8)</f>
        <v>0.30965118708956629</v>
      </c>
      <c r="J12" s="17">
        <f t="shared" ref="J12:J61" ca="1" si="1">1/(1+EXP(-I12))</f>
        <v>0.57680011757476135</v>
      </c>
      <c r="K12" s="17">
        <f t="shared" ref="K12:K61" ca="1" si="2">IF(H12,J12,1-J12)</f>
        <v>0.42319988242523865</v>
      </c>
      <c r="L12" s="17">
        <f t="shared" ref="L12:L61" ca="1" si="3">ROUND(K12,0)</f>
        <v>0</v>
      </c>
    </row>
    <row r="13" spans="2:12" x14ac:dyDescent="0.3">
      <c r="B13" s="17">
        <f ca="1"/>
        <v>27</v>
      </c>
      <c r="C13" s="17">
        <f ca="1"/>
        <v>5</v>
      </c>
      <c r="D13" s="17">
        <f ca="1"/>
        <v>3.4</v>
      </c>
      <c r="E13" s="17">
        <f ca="1"/>
        <v>1.6</v>
      </c>
      <c r="F13" s="17">
        <f ca="1"/>
        <v>0.4</v>
      </c>
      <c r="G13" s="17" t="str">
        <f ca="1"/>
        <v>setosa</v>
      </c>
      <c r="H13" s="17">
        <f t="shared" ca="1" si="0"/>
        <v>0</v>
      </c>
      <c r="I13" s="17">
        <f ca="1"/>
        <v>0.61930237417913259</v>
      </c>
      <c r="J13" s="17">
        <f t="shared" ca="1" si="1"/>
        <v>0.65005986784971603</v>
      </c>
      <c r="K13" s="17">
        <f t="shared" ca="1" si="2"/>
        <v>0.34994013215028397</v>
      </c>
      <c r="L13" s="17">
        <f t="shared" ca="1" si="3"/>
        <v>0</v>
      </c>
    </row>
    <row r="14" spans="2:12" x14ac:dyDescent="0.3">
      <c r="B14" s="17">
        <f ca="1"/>
        <v>28</v>
      </c>
      <c r="C14" s="17">
        <f ca="1"/>
        <v>5.2</v>
      </c>
      <c r="D14" s="17">
        <f ca="1"/>
        <v>3.5</v>
      </c>
      <c r="E14" s="17">
        <f ca="1"/>
        <v>1.5</v>
      </c>
      <c r="F14" s="17">
        <f ca="1"/>
        <v>0.2</v>
      </c>
      <c r="G14" s="17" t="str">
        <f ca="1"/>
        <v>setosa</v>
      </c>
      <c r="H14" s="17">
        <f t="shared" ca="1" si="0"/>
        <v>0</v>
      </c>
      <c r="I14" s="17">
        <f ca="1"/>
        <v>0.30965118708956629</v>
      </c>
      <c r="J14" s="17">
        <f t="shared" ca="1" si="1"/>
        <v>0.57680011757476135</v>
      </c>
      <c r="K14" s="17">
        <f t="shared" ca="1" si="2"/>
        <v>0.42319988242523865</v>
      </c>
      <c r="L14" s="17">
        <f t="shared" ca="1" si="3"/>
        <v>0</v>
      </c>
    </row>
    <row r="15" spans="2:12" x14ac:dyDescent="0.3">
      <c r="B15" s="17">
        <f ca="1"/>
        <v>29</v>
      </c>
      <c r="C15" s="17">
        <f ca="1"/>
        <v>5.2</v>
      </c>
      <c r="D15" s="17">
        <f ca="1"/>
        <v>3.4</v>
      </c>
      <c r="E15" s="17">
        <f ca="1"/>
        <v>1.4</v>
      </c>
      <c r="F15" s="17">
        <f ca="1"/>
        <v>0.2</v>
      </c>
      <c r="G15" s="17" t="str">
        <f ca="1"/>
        <v>setosa</v>
      </c>
      <c r="H15" s="17">
        <f t="shared" ca="1" si="0"/>
        <v>0</v>
      </c>
      <c r="I15" s="17">
        <f ca="1"/>
        <v>0.30965118708956629</v>
      </c>
      <c r="J15" s="17">
        <f t="shared" ca="1" si="1"/>
        <v>0.57680011757476135</v>
      </c>
      <c r="K15" s="17">
        <f t="shared" ca="1" si="2"/>
        <v>0.42319988242523865</v>
      </c>
      <c r="L15" s="17">
        <f t="shared" ca="1" si="3"/>
        <v>0</v>
      </c>
    </row>
    <row r="16" spans="2:12" x14ac:dyDescent="0.3">
      <c r="B16" s="17">
        <f ca="1"/>
        <v>30</v>
      </c>
      <c r="C16" s="17">
        <f ca="1"/>
        <v>4.7</v>
      </c>
      <c r="D16" s="17">
        <f ca="1"/>
        <v>3.2</v>
      </c>
      <c r="E16" s="17">
        <f ca="1"/>
        <v>1.6</v>
      </c>
      <c r="F16" s="17">
        <f ca="1"/>
        <v>0.2</v>
      </c>
      <c r="G16" s="17" t="str">
        <f ca="1"/>
        <v>setosa</v>
      </c>
      <c r="H16" s="17">
        <f t="shared" ca="1" si="0"/>
        <v>0</v>
      </c>
      <c r="I16" s="17">
        <f ca="1"/>
        <v>0.30965118708956629</v>
      </c>
      <c r="J16" s="17">
        <f t="shared" ca="1" si="1"/>
        <v>0.57680011757476135</v>
      </c>
      <c r="K16" s="17">
        <f t="shared" ca="1" si="2"/>
        <v>0.42319988242523865</v>
      </c>
      <c r="L16" s="17">
        <f t="shared" ca="1" si="3"/>
        <v>0</v>
      </c>
    </row>
    <row r="17" spans="2:12" x14ac:dyDescent="0.3">
      <c r="B17" s="17">
        <f ca="1"/>
        <v>31</v>
      </c>
      <c r="C17" s="17">
        <f ca="1"/>
        <v>4.8</v>
      </c>
      <c r="D17" s="17">
        <f ca="1"/>
        <v>3.1</v>
      </c>
      <c r="E17" s="17">
        <f ca="1"/>
        <v>1.6</v>
      </c>
      <c r="F17" s="17">
        <f ca="1"/>
        <v>0.2</v>
      </c>
      <c r="G17" s="17" t="str">
        <f ca="1"/>
        <v>setosa</v>
      </c>
      <c r="H17" s="17">
        <f t="shared" ca="1" si="0"/>
        <v>0</v>
      </c>
      <c r="I17" s="17">
        <f ca="1"/>
        <v>0.30965118708956629</v>
      </c>
      <c r="J17" s="17">
        <f t="shared" ca="1" si="1"/>
        <v>0.57680011757476135</v>
      </c>
      <c r="K17" s="17">
        <f t="shared" ca="1" si="2"/>
        <v>0.42319988242523865</v>
      </c>
      <c r="L17" s="17">
        <f t="shared" ca="1" si="3"/>
        <v>0</v>
      </c>
    </row>
    <row r="18" spans="2:12" x14ac:dyDescent="0.3">
      <c r="B18" s="17">
        <f ca="1"/>
        <v>32</v>
      </c>
      <c r="C18" s="17">
        <f ca="1"/>
        <v>5.4</v>
      </c>
      <c r="D18" s="17">
        <f ca="1"/>
        <v>3.4</v>
      </c>
      <c r="E18" s="17">
        <f ca="1"/>
        <v>1.5</v>
      </c>
      <c r="F18" s="17">
        <f ca="1"/>
        <v>0.4</v>
      </c>
      <c r="G18" s="17" t="str">
        <f ca="1"/>
        <v>setosa</v>
      </c>
      <c r="H18" s="17">
        <f t="shared" ca="1" si="0"/>
        <v>0</v>
      </c>
      <c r="I18" s="17">
        <f ca="1"/>
        <v>0.61930237417913259</v>
      </c>
      <c r="J18" s="17">
        <f t="shared" ca="1" si="1"/>
        <v>0.65005986784971603</v>
      </c>
      <c r="K18" s="17">
        <f t="shared" ca="1" si="2"/>
        <v>0.34994013215028397</v>
      </c>
      <c r="L18" s="17">
        <f t="shared" ca="1" si="3"/>
        <v>0</v>
      </c>
    </row>
    <row r="19" spans="2:12" x14ac:dyDescent="0.3">
      <c r="B19" s="17">
        <f ca="1"/>
        <v>33</v>
      </c>
      <c r="C19" s="17">
        <f ca="1"/>
        <v>5.2</v>
      </c>
      <c r="D19" s="17">
        <f ca="1"/>
        <v>4.0999999999999996</v>
      </c>
      <c r="E19" s="17">
        <f ca="1"/>
        <v>1.5</v>
      </c>
      <c r="F19" s="17">
        <f ca="1"/>
        <v>0.1</v>
      </c>
      <c r="G19" s="17" t="str">
        <f ca="1"/>
        <v>setosa</v>
      </c>
      <c r="H19" s="17">
        <f t="shared" ca="1" si="0"/>
        <v>0</v>
      </c>
      <c r="I19" s="17">
        <f ca="1"/>
        <v>0.15482559354478315</v>
      </c>
      <c r="J19" s="17">
        <f t="shared" ca="1" si="1"/>
        <v>0.53862926413761969</v>
      </c>
      <c r="K19" s="17">
        <f t="shared" ca="1" si="2"/>
        <v>0.46137073586238031</v>
      </c>
      <c r="L19" s="17">
        <f t="shared" ca="1" si="3"/>
        <v>0</v>
      </c>
    </row>
    <row r="20" spans="2:12" x14ac:dyDescent="0.3">
      <c r="B20" s="17">
        <f ca="1"/>
        <v>34</v>
      </c>
      <c r="C20" s="17">
        <f ca="1"/>
        <v>5.5</v>
      </c>
      <c r="D20" s="17">
        <f ca="1"/>
        <v>4.2</v>
      </c>
      <c r="E20" s="17">
        <f ca="1"/>
        <v>1.4</v>
      </c>
      <c r="F20" s="17">
        <f ca="1"/>
        <v>0.2</v>
      </c>
      <c r="G20" s="17" t="str">
        <f ca="1"/>
        <v>setosa</v>
      </c>
      <c r="H20" s="17">
        <f t="shared" ca="1" si="0"/>
        <v>0</v>
      </c>
      <c r="I20" s="17">
        <f ca="1"/>
        <v>0.30965118708956629</v>
      </c>
      <c r="J20" s="17">
        <f t="shared" ca="1" si="1"/>
        <v>0.57680011757476135</v>
      </c>
      <c r="K20" s="17">
        <f t="shared" ca="1" si="2"/>
        <v>0.42319988242523865</v>
      </c>
      <c r="L20" s="17">
        <f t="shared" ca="1" si="3"/>
        <v>0</v>
      </c>
    </row>
    <row r="21" spans="2:12" x14ac:dyDescent="0.3">
      <c r="B21" s="17">
        <f ca="1"/>
        <v>35</v>
      </c>
      <c r="C21" s="17">
        <f ca="1"/>
        <v>4.9000000000000004</v>
      </c>
      <c r="D21" s="17">
        <f ca="1"/>
        <v>3.1</v>
      </c>
      <c r="E21" s="17">
        <f ca="1"/>
        <v>1.5</v>
      </c>
      <c r="F21" s="17">
        <f ca="1"/>
        <v>0.2</v>
      </c>
      <c r="G21" s="17" t="str">
        <f ca="1"/>
        <v>setosa</v>
      </c>
      <c r="H21" s="17">
        <f t="shared" ca="1" si="0"/>
        <v>0</v>
      </c>
      <c r="I21" s="17">
        <f ca="1"/>
        <v>0.30965118708956629</v>
      </c>
      <c r="J21" s="17">
        <f t="shared" ca="1" si="1"/>
        <v>0.57680011757476135</v>
      </c>
      <c r="K21" s="17">
        <f t="shared" ca="1" si="2"/>
        <v>0.42319988242523865</v>
      </c>
      <c r="L21" s="17">
        <f t="shared" ca="1" si="3"/>
        <v>0</v>
      </c>
    </row>
    <row r="22" spans="2:12" x14ac:dyDescent="0.3">
      <c r="B22" s="17">
        <f ca="1"/>
        <v>36</v>
      </c>
      <c r="C22" s="17">
        <f ca="1"/>
        <v>5</v>
      </c>
      <c r="D22" s="17">
        <f ca="1"/>
        <v>3.2</v>
      </c>
      <c r="E22" s="17">
        <f ca="1"/>
        <v>1.2</v>
      </c>
      <c r="F22" s="17">
        <f ca="1"/>
        <v>0.2</v>
      </c>
      <c r="G22" s="17" t="str">
        <f ca="1"/>
        <v>setosa</v>
      </c>
      <c r="H22" s="17">
        <f t="shared" ca="1" si="0"/>
        <v>0</v>
      </c>
      <c r="I22" s="17">
        <f ca="1"/>
        <v>0.30965118708956629</v>
      </c>
      <c r="J22" s="17">
        <f t="shared" ca="1" si="1"/>
        <v>0.57680011757476135</v>
      </c>
      <c r="K22" s="17">
        <f t="shared" ca="1" si="2"/>
        <v>0.42319988242523865</v>
      </c>
      <c r="L22" s="17">
        <f t="shared" ca="1" si="3"/>
        <v>0</v>
      </c>
    </row>
    <row r="23" spans="2:12" x14ac:dyDescent="0.3">
      <c r="B23" s="17">
        <f ca="1"/>
        <v>37</v>
      </c>
      <c r="C23" s="17">
        <f ca="1"/>
        <v>5.5</v>
      </c>
      <c r="D23" s="17">
        <f ca="1"/>
        <v>3.5</v>
      </c>
      <c r="E23" s="17">
        <f ca="1"/>
        <v>1.3</v>
      </c>
      <c r="F23" s="17">
        <f ca="1"/>
        <v>0.2</v>
      </c>
      <c r="G23" s="17" t="str">
        <f ca="1"/>
        <v>setosa</v>
      </c>
      <c r="H23" s="17">
        <f t="shared" ca="1" si="0"/>
        <v>0</v>
      </c>
      <c r="I23" s="17">
        <f ca="1"/>
        <v>0.30965118708956629</v>
      </c>
      <c r="J23" s="17">
        <f t="shared" ca="1" si="1"/>
        <v>0.57680011757476135</v>
      </c>
      <c r="K23" s="17">
        <f t="shared" ca="1" si="2"/>
        <v>0.42319988242523865</v>
      </c>
      <c r="L23" s="17">
        <f t="shared" ca="1" si="3"/>
        <v>0</v>
      </c>
    </row>
    <row r="24" spans="2:12" x14ac:dyDescent="0.3">
      <c r="B24" s="17">
        <f ca="1"/>
        <v>38</v>
      </c>
      <c r="C24" s="17">
        <f ca="1"/>
        <v>4.9000000000000004</v>
      </c>
      <c r="D24" s="17">
        <f ca="1"/>
        <v>3.6</v>
      </c>
      <c r="E24" s="17">
        <f ca="1"/>
        <v>1.4</v>
      </c>
      <c r="F24" s="17">
        <f ca="1"/>
        <v>0.1</v>
      </c>
      <c r="G24" s="17" t="str">
        <f ca="1"/>
        <v>setosa</v>
      </c>
      <c r="H24" s="17">
        <f t="shared" ca="1" si="0"/>
        <v>0</v>
      </c>
      <c r="I24" s="17">
        <f ca="1"/>
        <v>0.15482559354478315</v>
      </c>
      <c r="J24" s="17">
        <f t="shared" ca="1" si="1"/>
        <v>0.53862926413761969</v>
      </c>
      <c r="K24" s="17">
        <f t="shared" ca="1" si="2"/>
        <v>0.46137073586238031</v>
      </c>
      <c r="L24" s="17">
        <f t="shared" ca="1" si="3"/>
        <v>0</v>
      </c>
    </row>
    <row r="25" spans="2:12" x14ac:dyDescent="0.3">
      <c r="B25" s="17">
        <f ca="1"/>
        <v>39</v>
      </c>
      <c r="C25" s="17">
        <f ca="1"/>
        <v>4.4000000000000004</v>
      </c>
      <c r="D25" s="17">
        <f ca="1"/>
        <v>3</v>
      </c>
      <c r="E25" s="17">
        <f ca="1"/>
        <v>1.3</v>
      </c>
      <c r="F25" s="17">
        <f ca="1"/>
        <v>0.2</v>
      </c>
      <c r="G25" s="17" t="str">
        <f ca="1"/>
        <v>setosa</v>
      </c>
      <c r="H25" s="17">
        <f t="shared" ca="1" si="0"/>
        <v>0</v>
      </c>
      <c r="I25" s="17">
        <f ca="1"/>
        <v>0.30965118708956629</v>
      </c>
      <c r="J25" s="17">
        <f t="shared" ca="1" si="1"/>
        <v>0.57680011757476135</v>
      </c>
      <c r="K25" s="17">
        <f t="shared" ca="1" si="2"/>
        <v>0.42319988242523865</v>
      </c>
      <c r="L25" s="17">
        <f t="shared" ca="1" si="3"/>
        <v>0</v>
      </c>
    </row>
    <row r="26" spans="2:12" x14ac:dyDescent="0.3">
      <c r="B26" s="17">
        <f ca="1"/>
        <v>40</v>
      </c>
      <c r="C26" s="17">
        <f ca="1"/>
        <v>5.0999999999999996</v>
      </c>
      <c r="D26" s="17">
        <f ca="1"/>
        <v>3.4</v>
      </c>
      <c r="E26" s="17">
        <f ca="1"/>
        <v>1.5</v>
      </c>
      <c r="F26" s="17">
        <f ca="1"/>
        <v>0.2</v>
      </c>
      <c r="G26" s="17" t="str">
        <f ca="1"/>
        <v>setosa</v>
      </c>
      <c r="H26" s="17">
        <f t="shared" ca="1" si="0"/>
        <v>0</v>
      </c>
      <c r="I26" s="17">
        <f ca="1"/>
        <v>0.30965118708956629</v>
      </c>
      <c r="J26" s="17">
        <f t="shared" ca="1" si="1"/>
        <v>0.57680011757476135</v>
      </c>
      <c r="K26" s="17">
        <f t="shared" ca="1" si="2"/>
        <v>0.42319988242523865</v>
      </c>
      <c r="L26" s="17">
        <f t="shared" ca="1" si="3"/>
        <v>0</v>
      </c>
    </row>
    <row r="27" spans="2:12" x14ac:dyDescent="0.3">
      <c r="B27" s="17">
        <f ca="1"/>
        <v>41</v>
      </c>
      <c r="C27" s="17">
        <f ca="1"/>
        <v>5</v>
      </c>
      <c r="D27" s="17">
        <f ca="1"/>
        <v>3.5</v>
      </c>
      <c r="E27" s="17">
        <f ca="1"/>
        <v>1.3</v>
      </c>
      <c r="F27" s="17">
        <f ca="1"/>
        <v>0.3</v>
      </c>
      <c r="G27" s="17" t="str">
        <f ca="1"/>
        <v>setosa</v>
      </c>
      <c r="H27" s="17">
        <f t="shared" ca="1" si="0"/>
        <v>0</v>
      </c>
      <c r="I27" s="17">
        <f ca="1"/>
        <v>0.46447678063434938</v>
      </c>
      <c r="J27" s="17">
        <f t="shared" ca="1" si="1"/>
        <v>0.61407565412572618</v>
      </c>
      <c r="K27" s="17">
        <f t="shared" ca="1" si="2"/>
        <v>0.38592434587427382</v>
      </c>
      <c r="L27" s="17">
        <f t="shared" ca="1" si="3"/>
        <v>0</v>
      </c>
    </row>
    <row r="28" spans="2:12" x14ac:dyDescent="0.3">
      <c r="B28" s="17">
        <f ca="1"/>
        <v>42</v>
      </c>
      <c r="C28" s="17">
        <f ca="1"/>
        <v>4.5</v>
      </c>
      <c r="D28" s="17">
        <f ca="1"/>
        <v>2.2999999999999998</v>
      </c>
      <c r="E28" s="17">
        <f ca="1"/>
        <v>1.3</v>
      </c>
      <c r="F28" s="17">
        <f ca="1"/>
        <v>0.3</v>
      </c>
      <c r="G28" s="17" t="str">
        <f ca="1"/>
        <v>setosa</v>
      </c>
      <c r="H28" s="17">
        <f t="shared" ca="1" si="0"/>
        <v>0</v>
      </c>
      <c r="I28" s="17">
        <f ca="1"/>
        <v>0.46447678063434938</v>
      </c>
      <c r="J28" s="17">
        <f t="shared" ca="1" si="1"/>
        <v>0.61407565412572618</v>
      </c>
      <c r="K28" s="17">
        <f t="shared" ca="1" si="2"/>
        <v>0.38592434587427382</v>
      </c>
      <c r="L28" s="17">
        <f t="shared" ca="1" si="3"/>
        <v>0</v>
      </c>
    </row>
    <row r="29" spans="2:12" x14ac:dyDescent="0.3">
      <c r="B29" s="17">
        <f ca="1"/>
        <v>43</v>
      </c>
      <c r="C29" s="17">
        <f ca="1"/>
        <v>4.4000000000000004</v>
      </c>
      <c r="D29" s="17">
        <f ca="1"/>
        <v>3.2</v>
      </c>
      <c r="E29" s="17">
        <f ca="1"/>
        <v>1.3</v>
      </c>
      <c r="F29" s="17">
        <f ca="1"/>
        <v>0.2</v>
      </c>
      <c r="G29" s="17" t="str">
        <f ca="1"/>
        <v>setosa</v>
      </c>
      <c r="H29" s="17">
        <f t="shared" ca="1" si="0"/>
        <v>0</v>
      </c>
      <c r="I29" s="17">
        <f ca="1"/>
        <v>0.30965118708956629</v>
      </c>
      <c r="J29" s="17">
        <f t="shared" ca="1" si="1"/>
        <v>0.57680011757476135</v>
      </c>
      <c r="K29" s="17">
        <f t="shared" ca="1" si="2"/>
        <v>0.42319988242523865</v>
      </c>
      <c r="L29" s="17">
        <f t="shared" ca="1" si="3"/>
        <v>0</v>
      </c>
    </row>
    <row r="30" spans="2:12" x14ac:dyDescent="0.3">
      <c r="B30" s="17">
        <f ca="1"/>
        <v>44</v>
      </c>
      <c r="C30" s="17">
        <f ca="1"/>
        <v>5</v>
      </c>
      <c r="D30" s="17">
        <f ca="1"/>
        <v>3.5</v>
      </c>
      <c r="E30" s="17">
        <f ca="1"/>
        <v>1.6</v>
      </c>
      <c r="F30" s="17">
        <f ca="1"/>
        <v>0.6</v>
      </c>
      <c r="G30" s="17" t="str">
        <f ca="1"/>
        <v>setosa</v>
      </c>
      <c r="H30" s="17">
        <f t="shared" ca="1" si="0"/>
        <v>0</v>
      </c>
      <c r="I30" s="17">
        <f ca="1"/>
        <v>0.92895356126869877</v>
      </c>
      <c r="J30" s="17">
        <f t="shared" ca="1" si="1"/>
        <v>0.71686293754400465</v>
      </c>
      <c r="K30" s="17">
        <f t="shared" ca="1" si="2"/>
        <v>0.28313706245599535</v>
      </c>
      <c r="L30" s="17">
        <f t="shared" ca="1" si="3"/>
        <v>0</v>
      </c>
    </row>
    <row r="31" spans="2:12" x14ac:dyDescent="0.3">
      <c r="B31" s="17">
        <f ca="1"/>
        <v>45</v>
      </c>
      <c r="C31" s="17">
        <f ca="1"/>
        <v>5.0999999999999996</v>
      </c>
      <c r="D31" s="17">
        <f ca="1"/>
        <v>3.8</v>
      </c>
      <c r="E31" s="17">
        <f ca="1"/>
        <v>1.9</v>
      </c>
      <c r="F31" s="17">
        <f ca="1"/>
        <v>0.4</v>
      </c>
      <c r="G31" s="17" t="str">
        <f ca="1"/>
        <v>setosa</v>
      </c>
      <c r="H31" s="17">
        <f t="shared" ca="1" si="0"/>
        <v>0</v>
      </c>
      <c r="I31" s="17">
        <f ca="1"/>
        <v>0.61930237417913259</v>
      </c>
      <c r="J31" s="17">
        <f t="shared" ca="1" si="1"/>
        <v>0.65005986784971603</v>
      </c>
      <c r="K31" s="17">
        <f t="shared" ca="1" si="2"/>
        <v>0.34994013215028397</v>
      </c>
      <c r="L31" s="17">
        <f t="shared" ca="1" si="3"/>
        <v>0</v>
      </c>
    </row>
    <row r="32" spans="2:12" x14ac:dyDescent="0.3">
      <c r="B32" s="17">
        <f ca="1"/>
        <v>46</v>
      </c>
      <c r="C32" s="17">
        <f ca="1"/>
        <v>4.8</v>
      </c>
      <c r="D32" s="17">
        <f ca="1"/>
        <v>3</v>
      </c>
      <c r="E32" s="17">
        <f ca="1"/>
        <v>1.4</v>
      </c>
      <c r="F32" s="17">
        <f ca="1"/>
        <v>0.3</v>
      </c>
      <c r="G32" s="17" t="str">
        <f ca="1"/>
        <v>setosa</v>
      </c>
      <c r="H32" s="17">
        <f t="shared" ca="1" si="0"/>
        <v>0</v>
      </c>
      <c r="I32" s="17">
        <f ca="1"/>
        <v>0.46447678063434938</v>
      </c>
      <c r="J32" s="17">
        <f t="shared" ca="1" si="1"/>
        <v>0.61407565412572618</v>
      </c>
      <c r="K32" s="17">
        <f t="shared" ca="1" si="2"/>
        <v>0.38592434587427382</v>
      </c>
      <c r="L32" s="17">
        <f t="shared" ca="1" si="3"/>
        <v>0</v>
      </c>
    </row>
    <row r="33" spans="2:12" x14ac:dyDescent="0.3">
      <c r="B33" s="17">
        <f ca="1"/>
        <v>47</v>
      </c>
      <c r="C33" s="17">
        <f ca="1"/>
        <v>5.0999999999999996</v>
      </c>
      <c r="D33" s="17">
        <f ca="1"/>
        <v>3.8</v>
      </c>
      <c r="E33" s="17">
        <f ca="1"/>
        <v>1.6</v>
      </c>
      <c r="F33" s="17">
        <f ca="1"/>
        <v>0.2</v>
      </c>
      <c r="G33" s="17" t="str">
        <f ca="1"/>
        <v>setosa</v>
      </c>
      <c r="H33" s="17">
        <f t="shared" ca="1" si="0"/>
        <v>0</v>
      </c>
      <c r="I33" s="17">
        <f ca="1"/>
        <v>0.30965118708956629</v>
      </c>
      <c r="J33" s="17">
        <f t="shared" ca="1" si="1"/>
        <v>0.57680011757476135</v>
      </c>
      <c r="K33" s="17">
        <f t="shared" ca="1" si="2"/>
        <v>0.42319988242523865</v>
      </c>
      <c r="L33" s="17">
        <f t="shared" ca="1" si="3"/>
        <v>0</v>
      </c>
    </row>
    <row r="34" spans="2:12" x14ac:dyDescent="0.3">
      <c r="B34" s="17">
        <f ca="1"/>
        <v>48</v>
      </c>
      <c r="C34" s="17">
        <f ca="1"/>
        <v>4.5999999999999996</v>
      </c>
      <c r="D34" s="17">
        <f ca="1"/>
        <v>3.2</v>
      </c>
      <c r="E34" s="17">
        <f ca="1"/>
        <v>1.4</v>
      </c>
      <c r="F34" s="17">
        <f ca="1"/>
        <v>0.2</v>
      </c>
      <c r="G34" s="17" t="str">
        <f ca="1"/>
        <v>setosa</v>
      </c>
      <c r="H34" s="17">
        <f t="shared" ca="1" si="0"/>
        <v>0</v>
      </c>
      <c r="I34" s="17">
        <f ca="1"/>
        <v>0.30965118708956629</v>
      </c>
      <c r="J34" s="17">
        <f t="shared" ca="1" si="1"/>
        <v>0.57680011757476135</v>
      </c>
      <c r="K34" s="17">
        <f t="shared" ca="1" si="2"/>
        <v>0.42319988242523865</v>
      </c>
      <c r="L34" s="17">
        <f t="shared" ca="1" si="3"/>
        <v>0</v>
      </c>
    </row>
    <row r="35" spans="2:12" x14ac:dyDescent="0.3">
      <c r="B35" s="17">
        <f ca="1"/>
        <v>49</v>
      </c>
      <c r="C35" s="17">
        <f ca="1"/>
        <v>5.3</v>
      </c>
      <c r="D35" s="17">
        <f ca="1"/>
        <v>3.7</v>
      </c>
      <c r="E35" s="17">
        <f ca="1"/>
        <v>1.5</v>
      </c>
      <c r="F35" s="17">
        <f ca="1"/>
        <v>0.2</v>
      </c>
      <c r="G35" s="17" t="str">
        <f ca="1"/>
        <v>setosa</v>
      </c>
      <c r="H35" s="17">
        <f t="shared" ca="1" si="0"/>
        <v>0</v>
      </c>
      <c r="I35" s="17">
        <f ca="1"/>
        <v>0.30965118708956629</v>
      </c>
      <c r="J35" s="17">
        <f t="shared" ca="1" si="1"/>
        <v>0.57680011757476135</v>
      </c>
      <c r="K35" s="17">
        <f t="shared" ca="1" si="2"/>
        <v>0.42319988242523865</v>
      </c>
      <c r="L35" s="17">
        <f t="shared" ca="1" si="3"/>
        <v>0</v>
      </c>
    </row>
    <row r="36" spans="2:12" x14ac:dyDescent="0.3">
      <c r="B36" s="17">
        <f ca="1"/>
        <v>50</v>
      </c>
      <c r="C36" s="17">
        <f ca="1"/>
        <v>5</v>
      </c>
      <c r="D36" s="17">
        <f ca="1"/>
        <v>3.3</v>
      </c>
      <c r="E36" s="17">
        <f ca="1"/>
        <v>1.4</v>
      </c>
      <c r="F36" s="17">
        <f ca="1"/>
        <v>0.2</v>
      </c>
      <c r="G36" s="17" t="str">
        <f ca="1"/>
        <v>setosa</v>
      </c>
      <c r="H36" s="17">
        <f t="shared" ca="1" si="0"/>
        <v>0</v>
      </c>
      <c r="I36" s="17">
        <f ca="1"/>
        <v>0.30965118708956629</v>
      </c>
      <c r="J36" s="17">
        <f t="shared" ca="1" si="1"/>
        <v>0.57680011757476135</v>
      </c>
      <c r="K36" s="17">
        <f t="shared" ca="1" si="2"/>
        <v>0.42319988242523865</v>
      </c>
      <c r="L36" s="17">
        <f t="shared" ca="1" si="3"/>
        <v>0</v>
      </c>
    </row>
    <row r="37" spans="2:12" x14ac:dyDescent="0.3">
      <c r="B37" s="17">
        <f ca="1"/>
        <v>51</v>
      </c>
      <c r="C37" s="17">
        <f ca="1"/>
        <v>7</v>
      </c>
      <c r="D37" s="17">
        <f ca="1"/>
        <v>3.2</v>
      </c>
      <c r="E37" s="17">
        <f ca="1"/>
        <v>4.7</v>
      </c>
      <c r="F37" s="17">
        <f ca="1"/>
        <v>1.4</v>
      </c>
      <c r="G37" s="17" t="str">
        <f ca="1"/>
        <v>versicolor</v>
      </c>
      <c r="H37" s="17">
        <f t="shared" ca="1" si="0"/>
        <v>1</v>
      </c>
      <c r="I37" s="17">
        <f ca="1"/>
        <v>2.1675583096269637</v>
      </c>
      <c r="J37" s="17">
        <f t="shared" ca="1" si="1"/>
        <v>0.89729817280539836</v>
      </c>
      <c r="K37" s="17">
        <f t="shared" ca="1" si="2"/>
        <v>0.89729817280539836</v>
      </c>
      <c r="L37" s="17">
        <f t="shared" ca="1" si="3"/>
        <v>1</v>
      </c>
    </row>
    <row r="38" spans="2:12" x14ac:dyDescent="0.3">
      <c r="B38" s="17">
        <f ca="1"/>
        <v>52</v>
      </c>
      <c r="C38" s="17">
        <f ca="1"/>
        <v>6.4</v>
      </c>
      <c r="D38" s="17">
        <f ca="1"/>
        <v>3.2</v>
      </c>
      <c r="E38" s="17">
        <f ca="1"/>
        <v>4.5</v>
      </c>
      <c r="F38" s="17">
        <f ca="1"/>
        <v>1.5</v>
      </c>
      <c r="G38" s="17" t="str">
        <f ca="1"/>
        <v>versicolor</v>
      </c>
      <c r="H38" s="17">
        <f t="shared" ca="1" si="0"/>
        <v>1</v>
      </c>
      <c r="I38" s="17">
        <f ca="1"/>
        <v>2.322383903171747</v>
      </c>
      <c r="J38" s="17">
        <f t="shared" ca="1" si="1"/>
        <v>0.91071397532948406</v>
      </c>
      <c r="K38" s="17">
        <f t="shared" ca="1" si="2"/>
        <v>0.91071397532948406</v>
      </c>
      <c r="L38" s="17">
        <f t="shared" ca="1" si="3"/>
        <v>1</v>
      </c>
    </row>
    <row r="39" spans="2:12" x14ac:dyDescent="0.3">
      <c r="B39" s="17">
        <f ca="1"/>
        <v>53</v>
      </c>
      <c r="C39" s="17">
        <f ca="1"/>
        <v>6.9</v>
      </c>
      <c r="D39" s="17">
        <f ca="1"/>
        <v>3.1</v>
      </c>
      <c r="E39" s="17">
        <f ca="1"/>
        <v>4.9000000000000004</v>
      </c>
      <c r="F39" s="17">
        <f ca="1"/>
        <v>1.5</v>
      </c>
      <c r="G39" s="17" t="str">
        <f ca="1"/>
        <v>versicolor</v>
      </c>
      <c r="H39" s="17">
        <f t="shared" ca="1" si="0"/>
        <v>1</v>
      </c>
      <c r="I39" s="17">
        <f ca="1"/>
        <v>2.322383903171747</v>
      </c>
      <c r="J39" s="17">
        <f t="shared" ca="1" si="1"/>
        <v>0.91071397532948406</v>
      </c>
      <c r="K39" s="17">
        <f t="shared" ca="1" si="2"/>
        <v>0.91071397532948406</v>
      </c>
      <c r="L39" s="17">
        <f t="shared" ca="1" si="3"/>
        <v>1</v>
      </c>
    </row>
    <row r="40" spans="2:12" x14ac:dyDescent="0.3">
      <c r="B40" s="17">
        <f ca="1"/>
        <v>54</v>
      </c>
      <c r="C40" s="17">
        <f ca="1"/>
        <v>5.5</v>
      </c>
      <c r="D40" s="17">
        <f ca="1"/>
        <v>2.2999999999999998</v>
      </c>
      <c r="E40" s="17">
        <f ca="1"/>
        <v>4</v>
      </c>
      <c r="F40" s="17">
        <f ca="1"/>
        <v>1.3</v>
      </c>
      <c r="G40" s="17" t="str">
        <f ca="1"/>
        <v>versicolor</v>
      </c>
      <c r="H40" s="17">
        <f t="shared" ca="1" si="0"/>
        <v>1</v>
      </c>
      <c r="I40" s="17">
        <f ca="1"/>
        <v>2.0127327160821809</v>
      </c>
      <c r="J40" s="17">
        <f t="shared" ca="1" si="1"/>
        <v>0.88212746303776468</v>
      </c>
      <c r="K40" s="17">
        <f t="shared" ca="1" si="2"/>
        <v>0.88212746303776468</v>
      </c>
      <c r="L40" s="17">
        <f t="shared" ca="1" si="3"/>
        <v>1</v>
      </c>
    </row>
    <row r="41" spans="2:12" x14ac:dyDescent="0.3">
      <c r="B41" s="17">
        <f ca="1"/>
        <v>55</v>
      </c>
      <c r="C41" s="17">
        <f ca="1"/>
        <v>6.5</v>
      </c>
      <c r="D41" s="17">
        <f ca="1"/>
        <v>2.8</v>
      </c>
      <c r="E41" s="17">
        <f ca="1"/>
        <v>4.5999999999999996</v>
      </c>
      <c r="F41" s="17">
        <f ca="1"/>
        <v>1.5</v>
      </c>
      <c r="G41" s="17" t="str">
        <f ca="1"/>
        <v>versicolor</v>
      </c>
      <c r="H41" s="17">
        <f t="shared" ca="1" si="0"/>
        <v>1</v>
      </c>
      <c r="I41" s="17">
        <f ca="1"/>
        <v>2.322383903171747</v>
      </c>
      <c r="J41" s="17">
        <f t="shared" ca="1" si="1"/>
        <v>0.91071397532948406</v>
      </c>
      <c r="K41" s="17">
        <f t="shared" ca="1" si="2"/>
        <v>0.91071397532948406</v>
      </c>
      <c r="L41" s="17">
        <f t="shared" ca="1" si="3"/>
        <v>1</v>
      </c>
    </row>
    <row r="42" spans="2:12" x14ac:dyDescent="0.3">
      <c r="B42" s="17">
        <f ca="1"/>
        <v>56</v>
      </c>
      <c r="C42" s="17">
        <f ca="1"/>
        <v>5.7</v>
      </c>
      <c r="D42" s="17">
        <f ca="1"/>
        <v>2.8</v>
      </c>
      <c r="E42" s="17">
        <f ca="1"/>
        <v>4.5</v>
      </c>
      <c r="F42" s="17">
        <f ca="1"/>
        <v>1.3</v>
      </c>
      <c r="G42" s="17" t="str">
        <f ca="1"/>
        <v>versicolor</v>
      </c>
      <c r="H42" s="17">
        <f t="shared" ca="1" si="0"/>
        <v>1</v>
      </c>
      <c r="I42" s="17">
        <f ca="1"/>
        <v>2.0127327160821809</v>
      </c>
      <c r="J42" s="17">
        <f t="shared" ca="1" si="1"/>
        <v>0.88212746303776468</v>
      </c>
      <c r="K42" s="17">
        <f t="shared" ca="1" si="2"/>
        <v>0.88212746303776468</v>
      </c>
      <c r="L42" s="17">
        <f t="shared" ca="1" si="3"/>
        <v>1</v>
      </c>
    </row>
    <row r="43" spans="2:12" x14ac:dyDescent="0.3">
      <c r="B43" s="17">
        <f ca="1"/>
        <v>57</v>
      </c>
      <c r="C43" s="17">
        <f ca="1"/>
        <v>6.3</v>
      </c>
      <c r="D43" s="17">
        <f ca="1"/>
        <v>3.3</v>
      </c>
      <c r="E43" s="17">
        <f ca="1"/>
        <v>4.7</v>
      </c>
      <c r="F43" s="17">
        <f ca="1"/>
        <v>1.6</v>
      </c>
      <c r="G43" s="17" t="str">
        <f ca="1"/>
        <v>versicolor</v>
      </c>
      <c r="H43" s="17">
        <f t="shared" ca="1" si="0"/>
        <v>1</v>
      </c>
      <c r="I43" s="17">
        <f ca="1"/>
        <v>2.4772094967165303</v>
      </c>
      <c r="J43" s="17">
        <f t="shared" ca="1" si="1"/>
        <v>0.92252859675274168</v>
      </c>
      <c r="K43" s="17">
        <f t="shared" ca="1" si="2"/>
        <v>0.92252859675274168</v>
      </c>
      <c r="L43" s="17">
        <f t="shared" ca="1" si="3"/>
        <v>1</v>
      </c>
    </row>
    <row r="44" spans="2:12" x14ac:dyDescent="0.3">
      <c r="B44" s="17">
        <f ca="1"/>
        <v>58</v>
      </c>
      <c r="C44" s="17">
        <f ca="1"/>
        <v>4.9000000000000004</v>
      </c>
      <c r="D44" s="17">
        <f ca="1"/>
        <v>2.4</v>
      </c>
      <c r="E44" s="17">
        <f ca="1"/>
        <v>3.3</v>
      </c>
      <c r="F44" s="17">
        <f ca="1"/>
        <v>1</v>
      </c>
      <c r="G44" s="17" t="str">
        <f ca="1"/>
        <v>versicolor</v>
      </c>
      <c r="H44" s="17">
        <f t="shared" ca="1" si="0"/>
        <v>1</v>
      </c>
      <c r="I44" s="17">
        <f ca="1"/>
        <v>1.5482559354478314</v>
      </c>
      <c r="J44" s="17">
        <f t="shared" ca="1" si="1"/>
        <v>0.82466169197233596</v>
      </c>
      <c r="K44" s="17">
        <f t="shared" ca="1" si="2"/>
        <v>0.82466169197233596</v>
      </c>
      <c r="L44" s="17">
        <f t="shared" ca="1" si="3"/>
        <v>1</v>
      </c>
    </row>
    <row r="45" spans="2:12" x14ac:dyDescent="0.3">
      <c r="B45" s="17">
        <f ca="1"/>
        <v>59</v>
      </c>
      <c r="C45" s="17">
        <f ca="1"/>
        <v>6.6</v>
      </c>
      <c r="D45" s="17">
        <f ca="1"/>
        <v>2.9</v>
      </c>
      <c r="E45" s="17">
        <f ca="1"/>
        <v>4.5999999999999996</v>
      </c>
      <c r="F45" s="17">
        <f ca="1"/>
        <v>1.3</v>
      </c>
      <c r="G45" s="17" t="str">
        <f ca="1"/>
        <v>versicolor</v>
      </c>
      <c r="H45" s="17">
        <f t="shared" ca="1" si="0"/>
        <v>1</v>
      </c>
      <c r="I45" s="17">
        <f ca="1"/>
        <v>2.0127327160821809</v>
      </c>
      <c r="J45" s="17">
        <f t="shared" ca="1" si="1"/>
        <v>0.88212746303776468</v>
      </c>
      <c r="K45" s="17">
        <f t="shared" ca="1" si="2"/>
        <v>0.88212746303776468</v>
      </c>
      <c r="L45" s="17">
        <f t="shared" ca="1" si="3"/>
        <v>1</v>
      </c>
    </row>
    <row r="46" spans="2:12" x14ac:dyDescent="0.3">
      <c r="B46" s="17">
        <f ca="1"/>
        <v>60</v>
      </c>
      <c r="C46" s="17">
        <f ca="1"/>
        <v>5.2</v>
      </c>
      <c r="D46" s="17">
        <f ca="1"/>
        <v>2.7</v>
      </c>
      <c r="E46" s="17">
        <f ca="1"/>
        <v>3.9</v>
      </c>
      <c r="F46" s="17">
        <f ca="1"/>
        <v>1.4</v>
      </c>
      <c r="G46" s="17" t="str">
        <f ca="1"/>
        <v>versicolor</v>
      </c>
      <c r="H46" s="17">
        <f t="shared" ca="1" si="0"/>
        <v>1</v>
      </c>
      <c r="I46" s="17">
        <f ca="1"/>
        <v>2.1675583096269637</v>
      </c>
      <c r="J46" s="17">
        <f t="shared" ca="1" si="1"/>
        <v>0.89729817280539836</v>
      </c>
      <c r="K46" s="17">
        <f t="shared" ca="1" si="2"/>
        <v>0.89729817280539836</v>
      </c>
      <c r="L46" s="17">
        <f t="shared" ca="1" si="3"/>
        <v>1</v>
      </c>
    </row>
    <row r="47" spans="2:12" x14ac:dyDescent="0.3">
      <c r="B47" s="17">
        <f ca="1"/>
        <v>61</v>
      </c>
      <c r="C47" s="17">
        <f ca="1"/>
        <v>5</v>
      </c>
      <c r="D47" s="17">
        <f ca="1"/>
        <v>2</v>
      </c>
      <c r="E47" s="17">
        <f ca="1"/>
        <v>3.5</v>
      </c>
      <c r="F47" s="17">
        <f ca="1"/>
        <v>1</v>
      </c>
      <c r="G47" s="17" t="str">
        <f ca="1"/>
        <v>versicolor</v>
      </c>
      <c r="H47" s="17">
        <f t="shared" ca="1" si="0"/>
        <v>1</v>
      </c>
      <c r="I47" s="17">
        <f ca="1"/>
        <v>1.5482559354478314</v>
      </c>
      <c r="J47" s="17">
        <f t="shared" ca="1" si="1"/>
        <v>0.82466169197233596</v>
      </c>
      <c r="K47" s="17">
        <f t="shared" ca="1" si="2"/>
        <v>0.82466169197233596</v>
      </c>
      <c r="L47" s="17">
        <f t="shared" ca="1" si="3"/>
        <v>1</v>
      </c>
    </row>
    <row r="48" spans="2:12" x14ac:dyDescent="0.3">
      <c r="B48" s="17">
        <f ca="1"/>
        <v>62</v>
      </c>
      <c r="C48" s="17">
        <f ca="1"/>
        <v>5.9</v>
      </c>
      <c r="D48" s="17">
        <f ca="1"/>
        <v>3</v>
      </c>
      <c r="E48" s="17">
        <f ca="1"/>
        <v>4.2</v>
      </c>
      <c r="F48" s="17">
        <f ca="1"/>
        <v>1.5</v>
      </c>
      <c r="G48" s="17" t="str">
        <f ca="1"/>
        <v>versicolor</v>
      </c>
      <c r="H48" s="17">
        <f t="shared" ca="1" si="0"/>
        <v>1</v>
      </c>
      <c r="I48" s="17">
        <f ca="1"/>
        <v>2.322383903171747</v>
      </c>
      <c r="J48" s="17">
        <f t="shared" ca="1" si="1"/>
        <v>0.91071397532948406</v>
      </c>
      <c r="K48" s="17">
        <f t="shared" ca="1" si="2"/>
        <v>0.91071397532948406</v>
      </c>
      <c r="L48" s="17">
        <f t="shared" ca="1" si="3"/>
        <v>1</v>
      </c>
    </row>
    <row r="49" spans="2:12" x14ac:dyDescent="0.3">
      <c r="B49" s="17">
        <f ca="1"/>
        <v>63</v>
      </c>
      <c r="C49" s="17">
        <f ca="1"/>
        <v>6</v>
      </c>
      <c r="D49" s="17">
        <f ca="1"/>
        <v>2.2000000000000002</v>
      </c>
      <c r="E49" s="17">
        <f ca="1"/>
        <v>4</v>
      </c>
      <c r="F49" s="17">
        <f ca="1"/>
        <v>1</v>
      </c>
      <c r="G49" s="17" t="str">
        <f ca="1"/>
        <v>versicolor</v>
      </c>
      <c r="H49" s="17">
        <f t="shared" ca="1" si="0"/>
        <v>1</v>
      </c>
      <c r="I49" s="17">
        <f ca="1"/>
        <v>1.5482559354478314</v>
      </c>
      <c r="J49" s="17">
        <f t="shared" ca="1" si="1"/>
        <v>0.82466169197233596</v>
      </c>
      <c r="K49" s="17">
        <f t="shared" ca="1" si="2"/>
        <v>0.82466169197233596</v>
      </c>
      <c r="L49" s="17">
        <f t="shared" ca="1" si="3"/>
        <v>1</v>
      </c>
    </row>
    <row r="50" spans="2:12" x14ac:dyDescent="0.3">
      <c r="B50" s="17">
        <f ca="1"/>
        <v>64</v>
      </c>
      <c r="C50" s="17">
        <f ca="1"/>
        <v>6.1</v>
      </c>
      <c r="D50" s="17">
        <f ca="1"/>
        <v>2.9</v>
      </c>
      <c r="E50" s="17">
        <f ca="1"/>
        <v>4.7</v>
      </c>
      <c r="F50" s="17">
        <f ca="1"/>
        <v>1.4</v>
      </c>
      <c r="G50" s="17" t="str">
        <f ca="1"/>
        <v>versicolor</v>
      </c>
      <c r="H50" s="17">
        <f t="shared" ca="1" si="0"/>
        <v>1</v>
      </c>
      <c r="I50" s="17">
        <f ca="1"/>
        <v>2.1675583096269637</v>
      </c>
      <c r="J50" s="17">
        <f t="shared" ca="1" si="1"/>
        <v>0.89729817280539836</v>
      </c>
      <c r="K50" s="17">
        <f t="shared" ca="1" si="2"/>
        <v>0.89729817280539836</v>
      </c>
      <c r="L50" s="17">
        <f t="shared" ca="1" si="3"/>
        <v>1</v>
      </c>
    </row>
    <row r="51" spans="2:12" x14ac:dyDescent="0.3">
      <c r="B51" s="17">
        <f ca="1"/>
        <v>65</v>
      </c>
      <c r="C51" s="17">
        <f ca="1"/>
        <v>5.6</v>
      </c>
      <c r="D51" s="17">
        <f ca="1"/>
        <v>2.9</v>
      </c>
      <c r="E51" s="17">
        <f ca="1"/>
        <v>3.6</v>
      </c>
      <c r="F51" s="17">
        <f ca="1"/>
        <v>1.3</v>
      </c>
      <c r="G51" s="17" t="str">
        <f ca="1"/>
        <v>versicolor</v>
      </c>
      <c r="H51" s="17">
        <f t="shared" ca="1" si="0"/>
        <v>1</v>
      </c>
      <c r="I51" s="17">
        <f ca="1"/>
        <v>2.0127327160821809</v>
      </c>
      <c r="J51" s="17">
        <f t="shared" ca="1" si="1"/>
        <v>0.88212746303776468</v>
      </c>
      <c r="K51" s="17">
        <f t="shared" ca="1" si="2"/>
        <v>0.88212746303776468</v>
      </c>
      <c r="L51" s="17">
        <f t="shared" ca="1" si="3"/>
        <v>1</v>
      </c>
    </row>
    <row r="52" spans="2:12" x14ac:dyDescent="0.3">
      <c r="B52" s="17">
        <f ca="1"/>
        <v>66</v>
      </c>
      <c r="C52" s="17">
        <f ca="1"/>
        <v>6.7</v>
      </c>
      <c r="D52" s="17">
        <f ca="1"/>
        <v>3.1</v>
      </c>
      <c r="E52" s="17">
        <f ca="1"/>
        <v>4.4000000000000004</v>
      </c>
      <c r="F52" s="17">
        <f ca="1"/>
        <v>1.4</v>
      </c>
      <c r="G52" s="17" t="str">
        <f ca="1"/>
        <v>versicolor</v>
      </c>
      <c r="H52" s="17">
        <f t="shared" ca="1" si="0"/>
        <v>1</v>
      </c>
      <c r="I52" s="17">
        <f ca="1"/>
        <v>2.1675583096269637</v>
      </c>
      <c r="J52" s="17">
        <f t="shared" ca="1" si="1"/>
        <v>0.89729817280539836</v>
      </c>
      <c r="K52" s="17">
        <f t="shared" ca="1" si="2"/>
        <v>0.89729817280539836</v>
      </c>
      <c r="L52" s="17">
        <f t="shared" ca="1" si="3"/>
        <v>1</v>
      </c>
    </row>
    <row r="53" spans="2:12" x14ac:dyDescent="0.3">
      <c r="B53" s="17">
        <f ca="1"/>
        <v>67</v>
      </c>
      <c r="C53" s="17">
        <f ca="1"/>
        <v>5.6</v>
      </c>
      <c r="D53" s="17">
        <f ca="1"/>
        <v>3</v>
      </c>
      <c r="E53" s="17">
        <f ca="1"/>
        <v>4.5</v>
      </c>
      <c r="F53" s="17">
        <f ca="1"/>
        <v>1.5</v>
      </c>
      <c r="G53" s="17" t="str">
        <f ca="1"/>
        <v>versicolor</v>
      </c>
      <c r="H53" s="17">
        <f t="shared" ca="1" si="0"/>
        <v>1</v>
      </c>
      <c r="I53" s="17">
        <f ca="1"/>
        <v>2.322383903171747</v>
      </c>
      <c r="J53" s="17">
        <f t="shared" ca="1" si="1"/>
        <v>0.91071397532948406</v>
      </c>
      <c r="K53" s="17">
        <f t="shared" ca="1" si="2"/>
        <v>0.91071397532948406</v>
      </c>
      <c r="L53" s="17">
        <f t="shared" ca="1" si="3"/>
        <v>1</v>
      </c>
    </row>
    <row r="54" spans="2:12" x14ac:dyDescent="0.3">
      <c r="B54" s="17">
        <f ca="1"/>
        <v>68</v>
      </c>
      <c r="C54" s="17">
        <f ca="1"/>
        <v>5.8</v>
      </c>
      <c r="D54" s="17">
        <f ca="1"/>
        <v>2.7</v>
      </c>
      <c r="E54" s="17">
        <f ca="1"/>
        <v>4.0999999999999996</v>
      </c>
      <c r="F54" s="17">
        <f ca="1"/>
        <v>1</v>
      </c>
      <c r="G54" s="17" t="str">
        <f ca="1"/>
        <v>versicolor</v>
      </c>
      <c r="H54" s="17">
        <f t="shared" ca="1" si="0"/>
        <v>1</v>
      </c>
      <c r="I54" s="17">
        <f ca="1"/>
        <v>1.5482559354478314</v>
      </c>
      <c r="J54" s="17">
        <f t="shared" ca="1" si="1"/>
        <v>0.82466169197233596</v>
      </c>
      <c r="K54" s="17">
        <f t="shared" ca="1" si="2"/>
        <v>0.82466169197233596</v>
      </c>
      <c r="L54" s="17">
        <f t="shared" ca="1" si="3"/>
        <v>1</v>
      </c>
    </row>
    <row r="55" spans="2:12" x14ac:dyDescent="0.3">
      <c r="B55" s="17">
        <f ca="1"/>
        <v>69</v>
      </c>
      <c r="C55" s="17">
        <f ca="1"/>
        <v>6.2</v>
      </c>
      <c r="D55" s="17">
        <f ca="1"/>
        <v>2.2000000000000002</v>
      </c>
      <c r="E55" s="17">
        <f ca="1"/>
        <v>4.5</v>
      </c>
      <c r="F55" s="17">
        <f ca="1"/>
        <v>1.5</v>
      </c>
      <c r="G55" s="17" t="str">
        <f ca="1"/>
        <v>versicolor</v>
      </c>
      <c r="H55" s="17">
        <f t="shared" ca="1" si="0"/>
        <v>1</v>
      </c>
      <c r="I55" s="17">
        <f ca="1"/>
        <v>2.322383903171747</v>
      </c>
      <c r="J55" s="17">
        <f t="shared" ca="1" si="1"/>
        <v>0.91071397532948406</v>
      </c>
      <c r="K55" s="17">
        <f t="shared" ca="1" si="2"/>
        <v>0.91071397532948406</v>
      </c>
      <c r="L55" s="17">
        <f t="shared" ca="1" si="3"/>
        <v>1</v>
      </c>
    </row>
    <row r="56" spans="2:12" x14ac:dyDescent="0.3">
      <c r="B56" s="17">
        <f ca="1"/>
        <v>70</v>
      </c>
      <c r="C56" s="17">
        <f ca="1"/>
        <v>5.6</v>
      </c>
      <c r="D56" s="17">
        <f ca="1"/>
        <v>2.5</v>
      </c>
      <c r="E56" s="17">
        <f ca="1"/>
        <v>3.9</v>
      </c>
      <c r="F56" s="17">
        <f ca="1"/>
        <v>1.1000000000000001</v>
      </c>
      <c r="G56" s="17" t="str">
        <f ca="1"/>
        <v>versicolor</v>
      </c>
      <c r="H56" s="17">
        <f t="shared" ca="1" si="0"/>
        <v>1</v>
      </c>
      <c r="I56" s="17">
        <f ca="1"/>
        <v>1.7030815289926147</v>
      </c>
      <c r="J56" s="17">
        <f t="shared" ca="1" si="1"/>
        <v>0.84593677191513728</v>
      </c>
      <c r="K56" s="17">
        <f t="shared" ca="1" si="2"/>
        <v>0.84593677191513728</v>
      </c>
      <c r="L56" s="17">
        <f t="shared" ca="1" si="3"/>
        <v>1</v>
      </c>
    </row>
    <row r="57" spans="2:12" x14ac:dyDescent="0.3">
      <c r="B57" s="17">
        <f ca="1"/>
        <v>71</v>
      </c>
      <c r="C57" s="17">
        <f ca="1"/>
        <v>5.9</v>
      </c>
      <c r="D57" s="17">
        <f ca="1"/>
        <v>3.2</v>
      </c>
      <c r="E57" s="17">
        <f ca="1"/>
        <v>4.8</v>
      </c>
      <c r="F57" s="17">
        <f ca="1"/>
        <v>1.8</v>
      </c>
      <c r="G57" s="17" t="str">
        <f ca="1"/>
        <v>versicolor</v>
      </c>
      <c r="H57" s="17">
        <f t="shared" ca="1" si="0"/>
        <v>1</v>
      </c>
      <c r="I57" s="17">
        <f ca="1"/>
        <v>2.7868606838060965</v>
      </c>
      <c r="J57" s="17">
        <f t="shared" ca="1" si="1"/>
        <v>0.94196165657422537</v>
      </c>
      <c r="K57" s="17">
        <f t="shared" ca="1" si="2"/>
        <v>0.94196165657422537</v>
      </c>
      <c r="L57" s="17">
        <f t="shared" ca="1" si="3"/>
        <v>1</v>
      </c>
    </row>
    <row r="58" spans="2:12" x14ac:dyDescent="0.3">
      <c r="B58" s="17">
        <f ca="1"/>
        <v>72</v>
      </c>
      <c r="C58" s="17">
        <f ca="1"/>
        <v>6.1</v>
      </c>
      <c r="D58" s="17">
        <f ca="1"/>
        <v>2.8</v>
      </c>
      <c r="E58" s="17">
        <f ca="1"/>
        <v>4</v>
      </c>
      <c r="F58" s="17">
        <f ca="1"/>
        <v>1.3</v>
      </c>
      <c r="G58" s="17" t="str">
        <f ca="1"/>
        <v>versicolor</v>
      </c>
      <c r="H58" s="17">
        <f t="shared" ca="1" si="0"/>
        <v>1</v>
      </c>
      <c r="I58" s="17">
        <f ca="1"/>
        <v>2.0127327160821809</v>
      </c>
      <c r="J58" s="17">
        <f t="shared" ca="1" si="1"/>
        <v>0.88212746303776468</v>
      </c>
      <c r="K58" s="17">
        <f t="shared" ca="1" si="2"/>
        <v>0.88212746303776468</v>
      </c>
      <c r="L58" s="17">
        <f t="shared" ca="1" si="3"/>
        <v>1</v>
      </c>
    </row>
    <row r="59" spans="2:12" x14ac:dyDescent="0.3">
      <c r="B59" s="17">
        <f ca="1"/>
        <v>73</v>
      </c>
      <c r="C59" s="17">
        <f ca="1"/>
        <v>6.3</v>
      </c>
      <c r="D59" s="17">
        <f ca="1"/>
        <v>2.5</v>
      </c>
      <c r="E59" s="17">
        <f ca="1"/>
        <v>4.9000000000000004</v>
      </c>
      <c r="F59" s="17">
        <f ca="1"/>
        <v>1.5</v>
      </c>
      <c r="G59" s="17" t="str">
        <f ca="1"/>
        <v>versicolor</v>
      </c>
      <c r="H59" s="17">
        <f t="shared" ca="1" si="0"/>
        <v>1</v>
      </c>
      <c r="I59" s="17">
        <f ca="1"/>
        <v>2.322383903171747</v>
      </c>
      <c r="J59" s="17">
        <f t="shared" ca="1" si="1"/>
        <v>0.91071397532948406</v>
      </c>
      <c r="K59" s="17">
        <f t="shared" ca="1" si="2"/>
        <v>0.91071397532948406</v>
      </c>
      <c r="L59" s="17">
        <f t="shared" ca="1" si="3"/>
        <v>1</v>
      </c>
    </row>
    <row r="60" spans="2:12" x14ac:dyDescent="0.3">
      <c r="B60" s="17">
        <f ca="1"/>
        <v>74</v>
      </c>
      <c r="C60" s="17">
        <f ca="1"/>
        <v>6.1</v>
      </c>
      <c r="D60" s="17">
        <f ca="1"/>
        <v>2.8</v>
      </c>
      <c r="E60" s="17">
        <f ca="1"/>
        <v>4.7</v>
      </c>
      <c r="F60" s="17">
        <f ca="1"/>
        <v>1.2</v>
      </c>
      <c r="G60" s="17" t="str">
        <f ca="1"/>
        <v>versicolor</v>
      </c>
      <c r="H60" s="17">
        <f t="shared" ca="1" si="0"/>
        <v>1</v>
      </c>
      <c r="I60" s="17">
        <f ca="1"/>
        <v>1.8579071225373975</v>
      </c>
      <c r="J60" s="17">
        <f t="shared" ca="1" si="1"/>
        <v>0.86505281959180802</v>
      </c>
      <c r="K60" s="17">
        <f t="shared" ca="1" si="2"/>
        <v>0.86505281959180802</v>
      </c>
      <c r="L60" s="17">
        <f t="shared" ca="1" si="3"/>
        <v>1</v>
      </c>
    </row>
    <row r="61" spans="2:12" x14ac:dyDescent="0.3">
      <c r="B61" s="17">
        <f ca="1"/>
        <v>75</v>
      </c>
      <c r="C61" s="17">
        <f ca="1"/>
        <v>6.4</v>
      </c>
      <c r="D61" s="17">
        <f ca="1"/>
        <v>2.9</v>
      </c>
      <c r="E61" s="17">
        <f ca="1"/>
        <v>4.3</v>
      </c>
      <c r="F61" s="17">
        <f ca="1"/>
        <v>1.3</v>
      </c>
      <c r="G61" s="17" t="str">
        <f ca="1"/>
        <v>versicolor</v>
      </c>
      <c r="H61" s="17">
        <f t="shared" ca="1" si="0"/>
        <v>1</v>
      </c>
      <c r="I61" s="17">
        <f ca="1"/>
        <v>2.0127327160821809</v>
      </c>
      <c r="J61" s="17">
        <f t="shared" ca="1" si="1"/>
        <v>0.88212746303776468</v>
      </c>
      <c r="K61" s="17">
        <f t="shared" ca="1" si="2"/>
        <v>0.88212746303776468</v>
      </c>
      <c r="L61" s="17">
        <f t="shared" ca="1" si="3"/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FF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17"/>
  </cols>
  <sheetData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F0251-887A-264B-B5D0-B114572E090B}">
  <sheetPr codeName="Sheet39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69</v>
      </c>
    </row>
    <row r="2" spans="1:1" x14ac:dyDescent="0.3">
      <c r="A2" s="1" t="s">
        <v>70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D239F-3BB2-D746-A078-AACBDEE01B63}">
  <sheetPr codeName="Sheet41">
    <tabColor rgb="FFFF0000"/>
  </sheetPr>
  <dimension ref="D3:K8"/>
  <sheetViews>
    <sheetView workbookViewId="0">
      <selection activeCell="I4" sqref="I4:I7"/>
    </sheetView>
  </sheetViews>
  <sheetFormatPr baseColWidth="10" defaultRowHeight="47" x14ac:dyDescent="0.55000000000000004"/>
  <cols>
    <col min="1" max="4" width="10.83203125" style="42"/>
    <col min="5" max="9" width="12.6640625" style="42" bestFit="1" customWidth="1"/>
    <col min="10" max="10" width="10.83203125" style="42"/>
    <col min="11" max="11" width="12.6640625" style="42" bestFit="1" customWidth="1"/>
    <col min="12" max="16384" width="10.83203125" style="42"/>
  </cols>
  <sheetData>
    <row r="3" spans="4:11" x14ac:dyDescent="0.55000000000000004">
      <c r="E3" s="42" t="s">
        <v>137</v>
      </c>
      <c r="F3" s="42" t="s">
        <v>138</v>
      </c>
      <c r="G3" s="42" t="s">
        <v>139</v>
      </c>
      <c r="H3" s="42" t="s">
        <v>140</v>
      </c>
      <c r="I3" s="42" t="s">
        <v>141</v>
      </c>
    </row>
    <row r="4" spans="4:11" x14ac:dyDescent="0.55000000000000004">
      <c r="D4" s="42" t="s">
        <v>137</v>
      </c>
      <c r="E4" s="43"/>
      <c r="F4" s="43">
        <f ca="1">RAND()</f>
        <v>9.6238830372819217E-2</v>
      </c>
      <c r="G4" s="43">
        <f t="shared" ref="G4:I7" ca="1" si="0">RAND()</f>
        <v>0.16268437767637467</v>
      </c>
      <c r="H4" s="43">
        <f t="shared" ca="1" si="0"/>
        <v>0.62282534928527811</v>
      </c>
      <c r="I4" s="43">
        <f t="shared" ca="1" si="0"/>
        <v>0.54671645577830008</v>
      </c>
      <c r="K4" s="45">
        <f ca="1">AVERAGE(E4:I4)</f>
        <v>0.35711625327819302</v>
      </c>
    </row>
    <row r="5" spans="4:11" x14ac:dyDescent="0.55000000000000004">
      <c r="D5" s="42" t="s">
        <v>138</v>
      </c>
      <c r="E5" s="44">
        <f ca="1">1-F4</f>
        <v>0.90376116962718078</v>
      </c>
      <c r="F5" s="43"/>
      <c r="G5" s="43">
        <f t="shared" ca="1" si="0"/>
        <v>0.73370306019245124</v>
      </c>
      <c r="H5" s="43">
        <f t="shared" ca="1" si="0"/>
        <v>0.32212901922000481</v>
      </c>
      <c r="I5" s="43">
        <f t="shared" ca="1" si="0"/>
        <v>0.91102774046620294</v>
      </c>
      <c r="K5" s="45">
        <f t="shared" ref="K5:K8" ca="1" si="1">AVERAGE(E5:I5)</f>
        <v>0.71765524737645991</v>
      </c>
    </row>
    <row r="6" spans="4:11" x14ac:dyDescent="0.55000000000000004">
      <c r="D6" s="42" t="s">
        <v>139</v>
      </c>
      <c r="E6" s="44">
        <f ca="1">1-G4</f>
        <v>0.83731562232362533</v>
      </c>
      <c r="F6" s="44">
        <f ca="1">1-G5</f>
        <v>0.26629693980754876</v>
      </c>
      <c r="G6" s="43"/>
      <c r="H6" s="43">
        <f t="shared" ca="1" si="0"/>
        <v>0.5331964986428529</v>
      </c>
      <c r="I6" s="43">
        <f t="shared" ca="1" si="0"/>
        <v>0.98933263217909206</v>
      </c>
      <c r="K6" s="45">
        <f t="shared" ca="1" si="1"/>
        <v>0.65653542323827985</v>
      </c>
    </row>
    <row r="7" spans="4:11" x14ac:dyDescent="0.55000000000000004">
      <c r="D7" s="42" t="s">
        <v>140</v>
      </c>
      <c r="E7" s="44">
        <f ca="1">1-H4</f>
        <v>0.37717465071472189</v>
      </c>
      <c r="F7" s="44">
        <f ca="1">1-H5</f>
        <v>0.67787098077999519</v>
      </c>
      <c r="G7" s="44">
        <f ca="1">1-H6</f>
        <v>0.4668035013571471</v>
      </c>
      <c r="H7" s="43"/>
      <c r="I7" s="43">
        <f t="shared" ca="1" si="0"/>
        <v>0.67498903142405364</v>
      </c>
      <c r="K7" s="45">
        <f t="shared" ca="1" si="1"/>
        <v>0.54920954106897946</v>
      </c>
    </row>
    <row r="8" spans="4:11" x14ac:dyDescent="0.55000000000000004">
      <c r="D8" s="42" t="s">
        <v>141</v>
      </c>
      <c r="E8" s="44">
        <f ca="1">1-I4</f>
        <v>0.45328354422169992</v>
      </c>
      <c r="F8" s="44">
        <f ca="1">1-I5</f>
        <v>8.897225953379706E-2</v>
      </c>
      <c r="G8" s="44">
        <f ca="1">1-I6</f>
        <v>1.0667367820907936E-2</v>
      </c>
      <c r="H8" s="44">
        <f ca="1">1-I7</f>
        <v>0.32501096857594636</v>
      </c>
      <c r="I8" s="43"/>
      <c r="K8" s="45">
        <f t="shared" ca="1" si="1"/>
        <v>0.21948353503808782</v>
      </c>
    </row>
  </sheetData>
  <conditionalFormatting sqref="K4:K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10FF9-8EE9-1A4B-8A8E-C04D6194516D}">
  <sheetPr codeName="Sheet42">
    <tabColor rgb="FFFF0000"/>
  </sheetPr>
  <dimension ref="D3:E8"/>
  <sheetViews>
    <sheetView workbookViewId="0"/>
  </sheetViews>
  <sheetFormatPr baseColWidth="10" defaultRowHeight="47" x14ac:dyDescent="0.55000000000000004"/>
  <cols>
    <col min="1" max="4" width="10.83203125" style="42"/>
    <col min="5" max="5" width="12.6640625" style="42" customWidth="1"/>
    <col min="6" max="16384" width="10.83203125" style="42"/>
  </cols>
  <sheetData>
    <row r="3" spans="4:5" x14ac:dyDescent="0.55000000000000004">
      <c r="E3" s="42" t="s">
        <v>151</v>
      </c>
    </row>
    <row r="4" spans="4:5" x14ac:dyDescent="0.55000000000000004">
      <c r="D4" s="42" t="s">
        <v>137</v>
      </c>
      <c r="E4" s="43">
        <f ca="1">RAND()</f>
        <v>6.5183219995278319E-2</v>
      </c>
    </row>
    <row r="5" spans="4:5" x14ac:dyDescent="0.55000000000000004">
      <c r="D5" s="42" t="s">
        <v>138</v>
      </c>
      <c r="E5" s="43">
        <f t="shared" ref="E5:E8" ca="1" si="0">RAND()</f>
        <v>0.80432941432710936</v>
      </c>
    </row>
    <row r="6" spans="4:5" x14ac:dyDescent="0.55000000000000004">
      <c r="D6" s="42" t="s">
        <v>139</v>
      </c>
      <c r="E6" s="43">
        <f t="shared" ca="1" si="0"/>
        <v>0.83096505990430825</v>
      </c>
    </row>
    <row r="7" spans="4:5" x14ac:dyDescent="0.55000000000000004">
      <c r="D7" s="42" t="s">
        <v>140</v>
      </c>
      <c r="E7" s="43">
        <f t="shared" ca="1" si="0"/>
        <v>0.82830005045841903</v>
      </c>
    </row>
    <row r="8" spans="4:5" x14ac:dyDescent="0.55000000000000004">
      <c r="D8" s="42" t="s">
        <v>141</v>
      </c>
      <c r="E8" s="43">
        <f t="shared" ca="1" si="0"/>
        <v>0.31822523578236039</v>
      </c>
    </row>
  </sheetData>
  <conditionalFormatting sqref="E4:E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FAC15-D51A-0740-9835-9B2C65FC0713}">
  <sheetPr codeName="Sheet8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102</v>
      </c>
    </row>
    <row r="2" spans="1:1" x14ac:dyDescent="0.3">
      <c r="A2" s="1" t="s">
        <v>103</v>
      </c>
    </row>
    <row r="3" spans="1:1" x14ac:dyDescent="0.3">
      <c r="A3" s="1" t="s">
        <v>104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527A8-710A-2947-84D1-5DC870BE6D5E}">
  <sheetPr codeName="Sheet1">
    <tabColor rgb="FFFF0000"/>
  </sheetPr>
  <dimension ref="A1:H33"/>
  <sheetViews>
    <sheetView zoomScaleNormal="100" workbookViewId="0">
      <selection activeCell="H7" sqref="H7"/>
    </sheetView>
  </sheetViews>
  <sheetFormatPr baseColWidth="10" defaultRowHeight="26" x14ac:dyDescent="0.3"/>
  <cols>
    <col min="1" max="6" width="10.83203125" style="1"/>
    <col min="7" max="7" width="13.33203125" style="1" bestFit="1" customWidth="1"/>
    <col min="8" max="16384" width="10.83203125" style="1"/>
  </cols>
  <sheetData>
    <row r="1" spans="1:8" x14ac:dyDescent="0.3">
      <c r="A1" s="23" t="s">
        <v>79</v>
      </c>
    </row>
    <row r="3" spans="1:8" x14ac:dyDescent="0.3">
      <c r="B3" s="24" t="s">
        <v>48</v>
      </c>
      <c r="C3" s="24" t="s">
        <v>80</v>
      </c>
      <c r="D3" s="24" t="s">
        <v>81</v>
      </c>
      <c r="E3" s="24" t="s">
        <v>82</v>
      </c>
      <c r="F3" s="24" t="s">
        <v>83</v>
      </c>
      <c r="G3" s="24" t="s">
        <v>84</v>
      </c>
      <c r="H3" s="24" t="s">
        <v>85</v>
      </c>
    </row>
    <row r="4" spans="1:8" x14ac:dyDescent="0.3">
      <c r="B4" s="1">
        <v>1</v>
      </c>
      <c r="C4" s="1">
        <v>4</v>
      </c>
      <c r="D4" s="1">
        <v>0.5</v>
      </c>
      <c r="E4" s="1">
        <v>6</v>
      </c>
      <c r="F4" s="1">
        <v>0.25</v>
      </c>
      <c r="G4" s="1">
        <f ca="1">_xlfn.NORM.INV(RAND(),C4,D4)</f>
        <v>3.6326748112324045</v>
      </c>
      <c r="H4" s="1">
        <f ca="1">_xlfn.NORM.INV(RAND(),E4,F4)</f>
        <v>6.0634376866183857</v>
      </c>
    </row>
    <row r="5" spans="1:8" x14ac:dyDescent="0.3">
      <c r="B5" s="1">
        <v>2</v>
      </c>
      <c r="C5" s="1">
        <v>4</v>
      </c>
      <c r="D5" s="1">
        <v>0.5</v>
      </c>
      <c r="E5" s="1">
        <v>6</v>
      </c>
      <c r="F5" s="1">
        <v>0.25</v>
      </c>
      <c r="G5" s="1">
        <f t="shared" ref="G5:G33" ca="1" si="0">_xlfn.NORM.INV(RAND(),C5,D5)</f>
        <v>3.1041767745190176</v>
      </c>
      <c r="H5" s="1">
        <f t="shared" ref="H5:H33" ca="1" si="1">_xlfn.NORM.INV(RAND(),E5,F5)</f>
        <v>5.7583043625687731</v>
      </c>
    </row>
    <row r="6" spans="1:8" x14ac:dyDescent="0.3">
      <c r="B6" s="1">
        <v>3</v>
      </c>
      <c r="C6" s="1">
        <v>4</v>
      </c>
      <c r="D6" s="1">
        <v>0.5</v>
      </c>
      <c r="E6" s="1">
        <v>6</v>
      </c>
      <c r="F6" s="1">
        <v>0.25</v>
      </c>
      <c r="G6" s="1">
        <f t="shared" ca="1" si="0"/>
        <v>4.2508483906288381</v>
      </c>
      <c r="H6" s="1">
        <f t="shared" ca="1" si="1"/>
        <v>5.996800894782087</v>
      </c>
    </row>
    <row r="7" spans="1:8" x14ac:dyDescent="0.3">
      <c r="B7" s="1">
        <v>4</v>
      </c>
      <c r="C7" s="1">
        <v>4</v>
      </c>
      <c r="D7" s="1">
        <v>0.5</v>
      </c>
      <c r="E7" s="1">
        <v>6</v>
      </c>
      <c r="F7" s="1">
        <v>0.25</v>
      </c>
      <c r="G7" s="1">
        <f t="shared" ca="1" si="0"/>
        <v>3.8898933629168937</v>
      </c>
      <c r="H7" s="1">
        <f t="shared" ca="1" si="1"/>
        <v>6.3511411801370175</v>
      </c>
    </row>
    <row r="8" spans="1:8" x14ac:dyDescent="0.3">
      <c r="B8" s="1">
        <v>5</v>
      </c>
      <c r="C8" s="1">
        <v>4</v>
      </c>
      <c r="D8" s="1">
        <v>0.5</v>
      </c>
      <c r="E8" s="1">
        <v>6</v>
      </c>
      <c r="F8" s="1">
        <v>0.25</v>
      </c>
      <c r="G8" s="1">
        <f t="shared" ca="1" si="0"/>
        <v>3.5110876966285254</v>
      </c>
      <c r="H8" s="1">
        <f t="shared" ca="1" si="1"/>
        <v>5.8142829157199802</v>
      </c>
    </row>
    <row r="9" spans="1:8" x14ac:dyDescent="0.3">
      <c r="B9" s="1">
        <v>6</v>
      </c>
      <c r="C9" s="1">
        <v>4</v>
      </c>
      <c r="D9" s="1">
        <v>0.5</v>
      </c>
      <c r="E9" s="1">
        <v>6</v>
      </c>
      <c r="F9" s="1">
        <v>0.25</v>
      </c>
      <c r="G9" s="1">
        <f t="shared" ca="1" si="0"/>
        <v>3.3808470899598841</v>
      </c>
      <c r="H9" s="1">
        <f t="shared" ca="1" si="1"/>
        <v>5.6364193598635808</v>
      </c>
    </row>
    <row r="10" spans="1:8" x14ac:dyDescent="0.3">
      <c r="B10" s="1">
        <v>7</v>
      </c>
      <c r="C10" s="1">
        <v>4</v>
      </c>
      <c r="D10" s="1">
        <v>0.5</v>
      </c>
      <c r="E10" s="1">
        <v>6</v>
      </c>
      <c r="F10" s="1">
        <v>0.25</v>
      </c>
      <c r="G10" s="1">
        <f t="shared" ca="1" si="0"/>
        <v>4.3190117594065844</v>
      </c>
      <c r="H10" s="1">
        <f t="shared" ca="1" si="1"/>
        <v>6.005186994263414</v>
      </c>
    </row>
    <row r="11" spans="1:8" x14ac:dyDescent="0.3">
      <c r="B11" s="1">
        <v>8</v>
      </c>
      <c r="C11" s="1">
        <v>4</v>
      </c>
      <c r="D11" s="1">
        <v>0.5</v>
      </c>
      <c r="E11" s="1">
        <v>6</v>
      </c>
      <c r="F11" s="1">
        <v>0.25</v>
      </c>
      <c r="G11" s="1">
        <f t="shared" ca="1" si="0"/>
        <v>3.6109822544034564</v>
      </c>
      <c r="H11" s="1">
        <f t="shared" ca="1" si="1"/>
        <v>6.134640674625059</v>
      </c>
    </row>
    <row r="12" spans="1:8" x14ac:dyDescent="0.3">
      <c r="B12" s="1">
        <v>9</v>
      </c>
      <c r="C12" s="1">
        <v>4</v>
      </c>
      <c r="D12" s="1">
        <v>0.5</v>
      </c>
      <c r="E12" s="1">
        <v>6</v>
      </c>
      <c r="F12" s="1">
        <v>0.25</v>
      </c>
      <c r="G12" s="1">
        <f t="shared" ca="1" si="0"/>
        <v>4.0360511988676544</v>
      </c>
      <c r="H12" s="1">
        <f t="shared" ca="1" si="1"/>
        <v>6.2684861875254505</v>
      </c>
    </row>
    <row r="13" spans="1:8" x14ac:dyDescent="0.3">
      <c r="B13" s="1">
        <v>10</v>
      </c>
      <c r="C13" s="1">
        <v>4</v>
      </c>
      <c r="D13" s="1">
        <v>0.5</v>
      </c>
      <c r="E13" s="1">
        <v>6</v>
      </c>
      <c r="F13" s="1">
        <v>0.25</v>
      </c>
      <c r="G13" s="1">
        <f t="shared" ca="1" si="0"/>
        <v>4.3914411625469922</v>
      </c>
      <c r="H13" s="1">
        <f t="shared" ca="1" si="1"/>
        <v>6.2181845314261821</v>
      </c>
    </row>
    <row r="14" spans="1:8" x14ac:dyDescent="0.3">
      <c r="B14" s="1">
        <v>11</v>
      </c>
      <c r="C14" s="1">
        <v>2</v>
      </c>
      <c r="D14" s="1">
        <v>0.25</v>
      </c>
      <c r="E14" s="1">
        <v>2</v>
      </c>
      <c r="F14" s="1">
        <v>0.25</v>
      </c>
      <c r="G14" s="1">
        <f t="shared" ca="1" si="0"/>
        <v>2.1459181787911614</v>
      </c>
      <c r="H14" s="1">
        <f t="shared" ca="1" si="1"/>
        <v>2.1520132003543373</v>
      </c>
    </row>
    <row r="15" spans="1:8" x14ac:dyDescent="0.3">
      <c r="B15" s="1">
        <v>12</v>
      </c>
      <c r="C15" s="1">
        <v>2</v>
      </c>
      <c r="D15" s="1">
        <v>0.25</v>
      </c>
      <c r="E15" s="1">
        <v>2</v>
      </c>
      <c r="F15" s="1">
        <v>0.25</v>
      </c>
      <c r="G15" s="1">
        <f t="shared" ca="1" si="0"/>
        <v>1.7123957841529696</v>
      </c>
      <c r="H15" s="1">
        <f t="shared" ca="1" si="1"/>
        <v>1.8568842717874643</v>
      </c>
    </row>
    <row r="16" spans="1:8" x14ac:dyDescent="0.3">
      <c r="B16" s="1">
        <v>13</v>
      </c>
      <c r="C16" s="1">
        <v>2</v>
      </c>
      <c r="D16" s="1">
        <v>0.25</v>
      </c>
      <c r="E16" s="1">
        <v>2</v>
      </c>
      <c r="F16" s="1">
        <v>0.25</v>
      </c>
      <c r="G16" s="1">
        <f t="shared" ca="1" si="0"/>
        <v>2.4043585163981307</v>
      </c>
      <c r="H16" s="1">
        <f t="shared" ca="1" si="1"/>
        <v>1.8376965073028468</v>
      </c>
    </row>
    <row r="17" spans="2:8" x14ac:dyDescent="0.3">
      <c r="B17" s="1">
        <v>14</v>
      </c>
      <c r="C17" s="1">
        <v>2</v>
      </c>
      <c r="D17" s="1">
        <v>0.25</v>
      </c>
      <c r="E17" s="1">
        <v>2</v>
      </c>
      <c r="F17" s="1">
        <v>0.25</v>
      </c>
      <c r="G17" s="1">
        <f t="shared" ca="1" si="0"/>
        <v>1.9790836141318138</v>
      </c>
      <c r="H17" s="1">
        <f t="shared" ca="1" si="1"/>
        <v>1.825490056161621</v>
      </c>
    </row>
    <row r="18" spans="2:8" x14ac:dyDescent="0.3">
      <c r="B18" s="1">
        <v>15</v>
      </c>
      <c r="C18" s="1">
        <v>2</v>
      </c>
      <c r="D18" s="1">
        <v>0.25</v>
      </c>
      <c r="E18" s="1">
        <v>2</v>
      </c>
      <c r="F18" s="1">
        <v>0.25</v>
      </c>
      <c r="G18" s="1">
        <f t="shared" ca="1" si="0"/>
        <v>2.1174825350456263</v>
      </c>
      <c r="H18" s="1">
        <f t="shared" ca="1" si="1"/>
        <v>1.9978948173032594</v>
      </c>
    </row>
    <row r="19" spans="2:8" x14ac:dyDescent="0.3">
      <c r="B19" s="1">
        <v>16</v>
      </c>
      <c r="C19" s="1">
        <v>2</v>
      </c>
      <c r="D19" s="1">
        <v>0.25</v>
      </c>
      <c r="E19" s="1">
        <v>2</v>
      </c>
      <c r="F19" s="1">
        <v>0.25</v>
      </c>
      <c r="G19" s="1">
        <f t="shared" ca="1" si="0"/>
        <v>1.8637011066445102</v>
      </c>
      <c r="H19" s="1">
        <f t="shared" ca="1" si="1"/>
        <v>1.5494480701258735</v>
      </c>
    </row>
    <row r="20" spans="2:8" x14ac:dyDescent="0.3">
      <c r="B20" s="1">
        <v>17</v>
      </c>
      <c r="C20" s="1">
        <v>2</v>
      </c>
      <c r="D20" s="1">
        <v>0.25</v>
      </c>
      <c r="E20" s="1">
        <v>2</v>
      </c>
      <c r="F20" s="1">
        <v>0.25</v>
      </c>
      <c r="G20" s="1">
        <f t="shared" ca="1" si="0"/>
        <v>2.1170998494950348</v>
      </c>
      <c r="H20" s="1">
        <f t="shared" ca="1" si="1"/>
        <v>1.6775886601048557</v>
      </c>
    </row>
    <row r="21" spans="2:8" x14ac:dyDescent="0.3">
      <c r="B21" s="1">
        <v>18</v>
      </c>
      <c r="C21" s="1">
        <v>2</v>
      </c>
      <c r="D21" s="1">
        <v>0.25</v>
      </c>
      <c r="E21" s="1">
        <v>2</v>
      </c>
      <c r="F21" s="1">
        <v>0.25</v>
      </c>
      <c r="G21" s="1">
        <f t="shared" ca="1" si="0"/>
        <v>1.8171560573342562</v>
      </c>
      <c r="H21" s="1">
        <f t="shared" ca="1" si="1"/>
        <v>1.642119758485413</v>
      </c>
    </row>
    <row r="22" spans="2:8" x14ac:dyDescent="0.3">
      <c r="B22" s="1">
        <v>19</v>
      </c>
      <c r="C22" s="1">
        <v>2</v>
      </c>
      <c r="D22" s="1">
        <v>0.25</v>
      </c>
      <c r="E22" s="1">
        <v>2</v>
      </c>
      <c r="F22" s="1">
        <v>0.25</v>
      </c>
      <c r="G22" s="1">
        <f t="shared" ca="1" si="0"/>
        <v>2.0877681824521646</v>
      </c>
      <c r="H22" s="1">
        <f t="shared" ca="1" si="1"/>
        <v>2.4967120399118627</v>
      </c>
    </row>
    <row r="23" spans="2:8" x14ac:dyDescent="0.3">
      <c r="B23" s="1">
        <v>20</v>
      </c>
      <c r="C23" s="1">
        <v>2</v>
      </c>
      <c r="D23" s="1">
        <v>0.25</v>
      </c>
      <c r="E23" s="1">
        <v>2</v>
      </c>
      <c r="F23" s="1">
        <v>0.25</v>
      </c>
      <c r="G23" s="1">
        <f t="shared" ca="1" si="0"/>
        <v>2.2762577983401844</v>
      </c>
      <c r="H23" s="1">
        <f t="shared" ca="1" si="1"/>
        <v>1.9491011019982571</v>
      </c>
    </row>
    <row r="24" spans="2:8" x14ac:dyDescent="0.3">
      <c r="B24" s="1">
        <v>21</v>
      </c>
      <c r="C24" s="1">
        <v>2</v>
      </c>
      <c r="D24" s="1">
        <v>0.25</v>
      </c>
      <c r="E24" s="1">
        <v>7</v>
      </c>
      <c r="F24" s="1">
        <v>0.75</v>
      </c>
      <c r="G24" s="1">
        <f t="shared" ca="1" si="0"/>
        <v>1.8979982637865778</v>
      </c>
      <c r="H24" s="1">
        <f t="shared" ca="1" si="1"/>
        <v>7.2526751935663851</v>
      </c>
    </row>
    <row r="25" spans="2:8" x14ac:dyDescent="0.3">
      <c r="B25" s="1">
        <v>22</v>
      </c>
      <c r="C25" s="1">
        <v>2</v>
      </c>
      <c r="D25" s="1">
        <v>0.25</v>
      </c>
      <c r="E25" s="1">
        <v>7</v>
      </c>
      <c r="F25" s="1">
        <v>0.75</v>
      </c>
      <c r="G25" s="1">
        <f t="shared" ca="1" si="0"/>
        <v>2.4185713348107001</v>
      </c>
      <c r="H25" s="1">
        <f t="shared" ca="1" si="1"/>
        <v>7.2554759138068423</v>
      </c>
    </row>
    <row r="26" spans="2:8" x14ac:dyDescent="0.3">
      <c r="B26" s="1">
        <v>23</v>
      </c>
      <c r="C26" s="1">
        <v>2</v>
      </c>
      <c r="D26" s="1">
        <v>0.25</v>
      </c>
      <c r="E26" s="1">
        <v>7</v>
      </c>
      <c r="F26" s="1">
        <v>0.75</v>
      </c>
      <c r="G26" s="1">
        <f t="shared" ca="1" si="0"/>
        <v>2.0779367436836247</v>
      </c>
      <c r="H26" s="1">
        <f t="shared" ca="1" si="1"/>
        <v>6.0978885027585807</v>
      </c>
    </row>
    <row r="27" spans="2:8" x14ac:dyDescent="0.3">
      <c r="B27" s="1">
        <v>24</v>
      </c>
      <c r="C27" s="1">
        <v>2</v>
      </c>
      <c r="D27" s="1">
        <v>0.25</v>
      </c>
      <c r="E27" s="1">
        <v>7</v>
      </c>
      <c r="F27" s="1">
        <v>0.75</v>
      </c>
      <c r="G27" s="1">
        <f t="shared" ca="1" si="0"/>
        <v>1.8532670375904543</v>
      </c>
      <c r="H27" s="1">
        <f t="shared" ca="1" si="1"/>
        <v>7.153881794670915</v>
      </c>
    </row>
    <row r="28" spans="2:8" x14ac:dyDescent="0.3">
      <c r="B28" s="1">
        <v>25</v>
      </c>
      <c r="C28" s="1">
        <v>2</v>
      </c>
      <c r="D28" s="1">
        <v>0.25</v>
      </c>
      <c r="E28" s="1">
        <v>7</v>
      </c>
      <c r="F28" s="1">
        <v>0.75</v>
      </c>
      <c r="G28" s="1">
        <f t="shared" ca="1" si="0"/>
        <v>2.2180576895532007</v>
      </c>
      <c r="H28" s="1">
        <f t="shared" ca="1" si="1"/>
        <v>7.6525079612091877</v>
      </c>
    </row>
    <row r="29" spans="2:8" x14ac:dyDescent="0.3">
      <c r="B29" s="1">
        <v>26</v>
      </c>
      <c r="C29" s="1">
        <v>2</v>
      </c>
      <c r="D29" s="1">
        <v>0.25</v>
      </c>
      <c r="E29" s="1">
        <v>7</v>
      </c>
      <c r="F29" s="1">
        <v>0.75</v>
      </c>
      <c r="G29" s="1">
        <f t="shared" ca="1" si="0"/>
        <v>1.9985756717837468</v>
      </c>
      <c r="H29" s="1">
        <f t="shared" ca="1" si="1"/>
        <v>6.6111143896908153</v>
      </c>
    </row>
    <row r="30" spans="2:8" x14ac:dyDescent="0.3">
      <c r="B30" s="1">
        <v>27</v>
      </c>
      <c r="C30" s="1">
        <v>2</v>
      </c>
      <c r="D30" s="1">
        <v>0.25</v>
      </c>
      <c r="E30" s="1">
        <v>7</v>
      </c>
      <c r="F30" s="1">
        <v>0.75</v>
      </c>
      <c r="G30" s="1">
        <f t="shared" ca="1" si="0"/>
        <v>1.7801404951276378</v>
      </c>
      <c r="H30" s="1">
        <f t="shared" ca="1" si="1"/>
        <v>6.9432717905317363</v>
      </c>
    </row>
    <row r="31" spans="2:8" x14ac:dyDescent="0.3">
      <c r="B31" s="1">
        <v>28</v>
      </c>
      <c r="C31" s="1">
        <v>2</v>
      </c>
      <c r="D31" s="1">
        <v>0.25</v>
      </c>
      <c r="E31" s="1">
        <v>7</v>
      </c>
      <c r="F31" s="1">
        <v>0.75</v>
      </c>
      <c r="G31" s="1">
        <f t="shared" ca="1" si="0"/>
        <v>1.173286096335771</v>
      </c>
      <c r="H31" s="1">
        <f t="shared" ca="1" si="1"/>
        <v>6.6295775544275477</v>
      </c>
    </row>
    <row r="32" spans="2:8" x14ac:dyDescent="0.3">
      <c r="B32" s="1">
        <v>29</v>
      </c>
      <c r="C32" s="1">
        <v>2</v>
      </c>
      <c r="D32" s="1">
        <v>0.25</v>
      </c>
      <c r="E32" s="1">
        <v>7</v>
      </c>
      <c r="F32" s="1">
        <v>0.75</v>
      </c>
      <c r="G32" s="1">
        <f t="shared" ca="1" si="0"/>
        <v>1.9095491116256693</v>
      </c>
      <c r="H32" s="1">
        <f t="shared" ca="1" si="1"/>
        <v>5.6900615608901584</v>
      </c>
    </row>
    <row r="33" spans="2:8" x14ac:dyDescent="0.3">
      <c r="B33" s="1">
        <v>30</v>
      </c>
      <c r="C33" s="1">
        <v>2</v>
      </c>
      <c r="D33" s="1">
        <v>0.25</v>
      </c>
      <c r="E33" s="1">
        <v>7</v>
      </c>
      <c r="F33" s="1">
        <v>0.75</v>
      </c>
      <c r="G33" s="1">
        <f t="shared" ca="1" si="0"/>
        <v>2.3706655613433552</v>
      </c>
      <c r="H33" s="1">
        <f t="shared" ca="1" si="1"/>
        <v>7.6117597884679249</v>
      </c>
    </row>
  </sheetData>
  <hyperlinks>
    <hyperlink ref="A1" r:id="rId1" xr:uid="{A93B6C05-1081-4942-94C3-C347CAEF6AC5}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3F4A7-4068-364E-A0E2-059A197CDFFE}">
  <sheetPr codeName="Sheet10">
    <tabColor rgb="FFFF0000"/>
  </sheetPr>
  <dimension ref="A2:H21"/>
  <sheetViews>
    <sheetView workbookViewId="0">
      <selection activeCell="F22" sqref="F22"/>
    </sheetView>
  </sheetViews>
  <sheetFormatPr baseColWidth="10" defaultRowHeight="26" x14ac:dyDescent="0.3"/>
  <cols>
    <col min="1" max="1" width="10.83203125" style="26" customWidth="1"/>
    <col min="2" max="8" width="10.83203125" style="26"/>
    <col min="9" max="9" width="13.33203125" style="26" bestFit="1" customWidth="1"/>
    <col min="10" max="16384" width="10.83203125" style="26"/>
  </cols>
  <sheetData>
    <row r="2" spans="2:8" x14ac:dyDescent="0.3">
      <c r="B2" s="25" t="s">
        <v>86</v>
      </c>
    </row>
    <row r="5" spans="2:8" x14ac:dyDescent="0.3">
      <c r="B5" s="27" t="s">
        <v>87</v>
      </c>
      <c r="C5" s="26">
        <v>1</v>
      </c>
      <c r="D5" s="26">
        <v>1</v>
      </c>
    </row>
    <row r="6" spans="2:8" x14ac:dyDescent="0.3">
      <c r="B6" s="27" t="s">
        <v>88</v>
      </c>
      <c r="C6" s="26">
        <v>5</v>
      </c>
      <c r="D6" s="26">
        <v>5</v>
      </c>
    </row>
    <row r="7" spans="2:8" x14ac:dyDescent="0.3">
      <c r="B7" s="27" t="s">
        <v>89</v>
      </c>
      <c r="C7" s="26">
        <v>10</v>
      </c>
      <c r="D7" s="26">
        <v>10</v>
      </c>
    </row>
    <row r="9" spans="2:8" x14ac:dyDescent="0.3">
      <c r="B9" s="26" t="s">
        <v>90</v>
      </c>
      <c r="C9" s="26">
        <f ca="1">_xlfn.NORM.INV(RAND(),2,1)</f>
        <v>2.4228165775517971</v>
      </c>
      <c r="D9" s="26">
        <f ca="1">_xlfn.NORM.INV(RAND(),2,1)</f>
        <v>3.0952571413383119</v>
      </c>
      <c r="E9" s="26" cm="1">
        <f t="array" aca="1" ref="E9" ca="1">SUMSQ(C9:D9-C$5:D$5)</f>
        <v>6.4145095016854032</v>
      </c>
      <c r="F9" s="26" cm="1">
        <f t="array" aca="1" ref="F9" ca="1">SUMSQ(C9:D9-C$6:D$6)</f>
        <v>10.269919750564533</v>
      </c>
      <c r="G9" s="26" cm="1">
        <f t="array" aca="1" ref="G9" ca="1">SUMSQ(C9:D9-C$7:D$7)</f>
        <v>105.08918256166343</v>
      </c>
      <c r="H9" s="26">
        <f ca="1">MATCH(MIN(E9:G9),E9:G9,0)</f>
        <v>1</v>
      </c>
    </row>
    <row r="10" spans="2:8" x14ac:dyDescent="0.3">
      <c r="B10" s="26" t="s">
        <v>91</v>
      </c>
      <c r="C10" s="26">
        <f t="shared" ref="C10:D11" ca="1" si="0">_xlfn.NORM.INV(RAND(),2,1)</f>
        <v>0.27572409058781444</v>
      </c>
      <c r="D10" s="26">
        <f t="shared" ca="1" si="0"/>
        <v>2.7973534986207982</v>
      </c>
      <c r="E10" s="26" cm="1">
        <f t="array" aca="1" ref="E10" ca="1">SUMSQ(C10:D10-C$5:D$5)</f>
        <v>3.7550551919592721</v>
      </c>
      <c r="F10" s="26" cm="1">
        <f t="array" aca="1" ref="F10" ca="1">SUMSQ(C10:D10-C$6:D$6)</f>
        <v>27.170434478290368</v>
      </c>
      <c r="G10" s="26" cm="1">
        <f t="array" aca="1" ref="G10" ca="1">SUMSQ(C10:D10-C$7:D$7)</f>
        <v>146.43965858620425</v>
      </c>
      <c r="H10" s="26">
        <f t="shared" ref="H10:H17" ca="1" si="1">MATCH(MIN(E10:G10),E10:G10,0)</f>
        <v>1</v>
      </c>
    </row>
    <row r="11" spans="2:8" x14ac:dyDescent="0.3">
      <c r="B11" s="26" t="s">
        <v>92</v>
      </c>
      <c r="C11" s="26">
        <f t="shared" ca="1" si="0"/>
        <v>2.265077190704345</v>
      </c>
      <c r="D11" s="26">
        <f t="shared" ca="1" si="0"/>
        <v>0.83528805995209399</v>
      </c>
      <c r="E11" s="26" cm="1">
        <f t="array" aca="1" ref="E11" ca="1">SUMSQ(C11:D11-C$5:D$5)</f>
        <v>1.6275503216347427</v>
      </c>
      <c r="F11" s="26" cm="1">
        <f t="array" aca="1" ref="F11" ca="1">SUMSQ(C11:D11-C$6:D$6)</f>
        <v>24.82462831638323</v>
      </c>
      <c r="G11" s="26" cm="1">
        <f t="array" aca="1" ref="G11" ca="1">SUMSQ(C11:D11-C$7:D$7)</f>
        <v>143.82097580981886</v>
      </c>
      <c r="H11" s="26">
        <f t="shared" ca="1" si="1"/>
        <v>1</v>
      </c>
    </row>
    <row r="12" spans="2:8" x14ac:dyDescent="0.3">
      <c r="B12" s="26" t="s">
        <v>93</v>
      </c>
      <c r="C12" s="26">
        <f ca="1">_xlfn.NORM.INV(RAND(),4,1)</f>
        <v>3.145363032231745</v>
      </c>
      <c r="D12" s="26">
        <f ca="1">_xlfn.NORM.INV(RAND(),4,1)</f>
        <v>4.6472413678923639</v>
      </c>
      <c r="E12" s="26" cm="1">
        <f t="array" aca="1" ref="E12" ca="1">SUMSQ(C12:D12-C$5:D$5)</f>
        <v>17.904952135731946</v>
      </c>
      <c r="F12" s="26" cm="1">
        <f t="array" aca="1" ref="F12" ca="1">SUMSQ(C12:D12-C$6:D$6)</f>
        <v>3.564116934739078</v>
      </c>
      <c r="G12" s="26" cm="1">
        <f t="array" aca="1" ref="G12" ca="1">SUMSQ(C12:D12-C$7:D$7)</f>
        <v>75.638072933497995</v>
      </c>
      <c r="H12" s="26">
        <f t="shared" ca="1" si="1"/>
        <v>2</v>
      </c>
    </row>
    <row r="13" spans="2:8" x14ac:dyDescent="0.3">
      <c r="B13" s="26" t="s">
        <v>94</v>
      </c>
      <c r="C13" s="26">
        <f t="shared" ref="C13:D14" ca="1" si="2">_xlfn.NORM.INV(RAND(),4,1)</f>
        <v>4.9702568122453137</v>
      </c>
      <c r="D13" s="26">
        <f t="shared" ca="1" si="2"/>
        <v>3.7207256111809808</v>
      </c>
      <c r="E13" s="26" cm="1">
        <f t="array" aca="1" ref="E13" ca="1">SUMSQ(C13:D13-C$5:D$5)</f>
        <v>23.16528700651644</v>
      </c>
      <c r="F13" s="26" cm="1">
        <f t="array" aca="1" ref="F13" ca="1">SUMSQ(C13:D13-C$6:D$6)</f>
        <v>1.6374276191060857</v>
      </c>
      <c r="G13" s="26" cm="1">
        <f t="array" aca="1" ref="G13" ca="1">SUMSQ(C13:D13-C$7:D$7)</f>
        <v>64.727603384843135</v>
      </c>
      <c r="H13" s="26">
        <f t="shared" ca="1" si="1"/>
        <v>2</v>
      </c>
    </row>
    <row r="14" spans="2:8" x14ac:dyDescent="0.3">
      <c r="B14" s="26" t="s">
        <v>95</v>
      </c>
      <c r="C14" s="26">
        <f t="shared" ca="1" si="2"/>
        <v>4.654151500012401</v>
      </c>
      <c r="D14" s="26">
        <f t="shared" ca="1" si="2"/>
        <v>3.9475191897996664</v>
      </c>
      <c r="E14" s="26" cm="1">
        <f t="array" aca="1" ref="E14" ca="1">SUMSQ(C14:D14-C$5:D$5)</f>
        <v>22.04069255928016</v>
      </c>
      <c r="F14" s="26" cm="1">
        <f t="array" aca="1" ref="F14" ca="1">SUMSQ(C14:D14-C$6:D$6)</f>
        <v>1.2273270407836228</v>
      </c>
      <c r="G14" s="26" cm="1">
        <f t="array" aca="1" ref="G14" ca="1">SUMSQ(C14:D14-C$7:D$7)</f>
        <v>65.210620142662947</v>
      </c>
      <c r="H14" s="26">
        <f t="shared" ca="1" si="1"/>
        <v>2</v>
      </c>
    </row>
    <row r="15" spans="2:8" x14ac:dyDescent="0.3">
      <c r="B15" s="26" t="s">
        <v>96</v>
      </c>
      <c r="C15" s="26">
        <f ca="1">_xlfn.NORM.INV(RAND(),8,1)</f>
        <v>8.7684073497419028</v>
      </c>
      <c r="D15" s="26">
        <f ca="1">_xlfn.NORM.INV(RAND(),8,1)</f>
        <v>7.9847310819756858</v>
      </c>
      <c r="E15" s="26" cm="1">
        <f t="array" aca="1" ref="E15" ca="1">SUMSQ(C15:D15-C$5:D$5)</f>
        <v>109.13462103904125</v>
      </c>
      <c r="F15" s="26" cm="1">
        <f t="array" aca="1" ref="F15" ca="1">SUMSQ(C15:D15-C$6:D$6)</f>
        <v>23.10951358530054</v>
      </c>
      <c r="G15" s="26" cm="1">
        <f t="array" aca="1" ref="G15" ca="1">SUMSQ(C15:D15-C$7:D$7)</f>
        <v>5.5781292681246537</v>
      </c>
      <c r="H15" s="26">
        <f t="shared" ca="1" si="1"/>
        <v>3</v>
      </c>
    </row>
    <row r="16" spans="2:8" x14ac:dyDescent="0.3">
      <c r="B16" s="26" t="s">
        <v>97</v>
      </c>
      <c r="C16" s="26">
        <f t="shared" ref="C16:D17" ca="1" si="3">_xlfn.NORM.INV(RAND(),8,1)</f>
        <v>7.6351766084476775</v>
      </c>
      <c r="D16" s="26">
        <f t="shared" ca="1" si="3"/>
        <v>9.568369121106775</v>
      </c>
      <c r="E16" s="26" cm="1">
        <f t="array" aca="1" ref="E16" ca="1">SUMSQ(C16:D16-C$5:D$5)</f>
        <v>117.44251802082732</v>
      </c>
      <c r="F16" s="26" cm="1">
        <f t="array" aca="1" ref="F16" ca="1">SUMSQ(C16:D16-C$6:D$6)</f>
        <v>27.814152184391691</v>
      </c>
      <c r="G16" s="26" cm="1">
        <f t="array" aca="1" ref="G16" ca="1">SUMSQ(C16:D16-C$7:D$7)</f>
        <v>5.7786948888471672</v>
      </c>
      <c r="H16" s="26">
        <f t="shared" ca="1" si="1"/>
        <v>3</v>
      </c>
    </row>
    <row r="17" spans="1:8" x14ac:dyDescent="0.3">
      <c r="B17" s="26" t="s">
        <v>98</v>
      </c>
      <c r="C17" s="26">
        <f t="shared" ca="1" si="3"/>
        <v>8.2641100134683985</v>
      </c>
      <c r="D17" s="26">
        <f t="shared" ca="1" si="3"/>
        <v>8.5318846665545109</v>
      </c>
      <c r="E17" s="26" cm="1">
        <f t="array" aca="1" ref="E17" ca="1">SUMSQ(C17:D17-C$5:D$5)</f>
        <v>109.49658091805081</v>
      </c>
      <c r="F17" s="26" cm="1">
        <f t="array" aca="1" ref="F17" ca="1">SUMSQ(C17:D17-C$6:D$6)</f>
        <v>23.128623477867535</v>
      </c>
      <c r="G17" s="26" cm="1">
        <f t="array" aca="1" ref="G17" ca="1">SUMSQ(C17:D17-C$7:D$7)</f>
        <v>5.1686766776384436</v>
      </c>
      <c r="H17" s="26">
        <f t="shared" ca="1" si="1"/>
        <v>3</v>
      </c>
    </row>
    <row r="19" spans="1:8" x14ac:dyDescent="0.3">
      <c r="A19" s="26">
        <v>1</v>
      </c>
      <c r="B19" s="28" t="s">
        <v>87</v>
      </c>
      <c r="C19" s="26">
        <f ca="1">AVERAGEIF($H$9:$H$17,A19,$C$9:$C$17)</f>
        <v>1.6545392862813191</v>
      </c>
      <c r="D19" s="26">
        <f ca="1">AVERAGEIF($H$9:$H$17,A19,$D$9:$D$17)</f>
        <v>2.2426328999704013</v>
      </c>
    </row>
    <row r="20" spans="1:8" x14ac:dyDescent="0.3">
      <c r="A20" s="26">
        <v>2</v>
      </c>
      <c r="B20" s="28" t="s">
        <v>88</v>
      </c>
      <c r="C20" s="26">
        <f ca="1">AVERAGEIF($H$9:$H$17,A20,$C$9:$C$17)</f>
        <v>4.2565904481631529</v>
      </c>
      <c r="D20" s="26">
        <f ca="1">AVERAGEIF($H$9:$H$17,A20,$D$9:$D$17)</f>
        <v>4.1051620562910038</v>
      </c>
    </row>
    <row r="21" spans="1:8" x14ac:dyDescent="0.3">
      <c r="A21" s="26">
        <v>3</v>
      </c>
      <c r="B21" s="28" t="s">
        <v>89</v>
      </c>
      <c r="C21" s="26">
        <f ca="1">AVERAGEIF($H$9:$H$17,A21,$C$9:$C$17)</f>
        <v>8.2225646572193245</v>
      </c>
      <c r="D21" s="26">
        <f ca="1">AVERAGEIF($H$9:$H$17,A21,$D$9:$D$17)</f>
        <v>8.6949949565456581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BE7F-0CD0-6347-A936-9872C9FC0F08}">
  <sheetPr codeName="Sheet11">
    <tabColor rgb="FFFF0000"/>
  </sheetPr>
  <dimension ref="A1"/>
  <sheetViews>
    <sheetView workbookViewId="0">
      <selection activeCell="F22" sqref="F22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5CF3C-4822-9B4B-AFA0-7924F97C0688}">
  <sheetPr codeName="Sheet27">
    <tabColor rgb="FF002060"/>
  </sheetPr>
  <dimension ref="A1:A7"/>
  <sheetViews>
    <sheetView workbookViewId="0">
      <selection sqref="A1:A7"/>
    </sheetView>
  </sheetViews>
  <sheetFormatPr baseColWidth="10" defaultRowHeight="26" x14ac:dyDescent="0.3"/>
  <cols>
    <col min="1" max="16384" width="10.83203125" style="124"/>
  </cols>
  <sheetData>
    <row r="1" spans="1:1" x14ac:dyDescent="0.3">
      <c r="A1" s="124" t="s">
        <v>334</v>
      </c>
    </row>
    <row r="2" spans="1:1" x14ac:dyDescent="0.3">
      <c r="A2" s="124" t="s">
        <v>335</v>
      </c>
    </row>
    <row r="3" spans="1:1" x14ac:dyDescent="0.3">
      <c r="A3" s="124" t="s">
        <v>336</v>
      </c>
    </row>
    <row r="4" spans="1:1" x14ac:dyDescent="0.3">
      <c r="A4" s="124" t="s">
        <v>337</v>
      </c>
    </row>
    <row r="5" spans="1:1" x14ac:dyDescent="0.3">
      <c r="A5" s="124" t="s">
        <v>338</v>
      </c>
    </row>
    <row r="6" spans="1:1" x14ac:dyDescent="0.3">
      <c r="A6" s="124" t="s">
        <v>339</v>
      </c>
    </row>
    <row r="7" spans="1:1" x14ac:dyDescent="0.3">
      <c r="A7" s="124" t="s">
        <v>340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1B425-9C6F-6045-919A-C49E076779FE}">
  <sheetPr codeName="Sheet32">
    <tabColor rgb="FFFF0000"/>
  </sheetPr>
  <dimension ref="A2:C32"/>
  <sheetViews>
    <sheetView workbookViewId="0"/>
  </sheetViews>
  <sheetFormatPr baseColWidth="10" defaultRowHeight="19" x14ac:dyDescent="0.25"/>
  <cols>
    <col min="1" max="16384" width="10.83203125" style="50"/>
  </cols>
  <sheetData>
    <row r="2" spans="1:3" x14ac:dyDescent="0.25">
      <c r="B2" s="50" t="s">
        <v>169</v>
      </c>
      <c r="C2" s="50" t="s">
        <v>18</v>
      </c>
    </row>
    <row r="3" spans="1:3" x14ac:dyDescent="0.25">
      <c r="A3" s="50">
        <v>1</v>
      </c>
      <c r="B3" s="50">
        <v>0.20943951023931953</v>
      </c>
      <c r="C3" s="50">
        <v>-1.0584942919841807</v>
      </c>
    </row>
    <row r="4" spans="1:3" x14ac:dyDescent="0.25">
      <c r="A4" s="50">
        <v>2</v>
      </c>
      <c r="B4" s="50">
        <v>0.41887902047863906</v>
      </c>
      <c r="C4" s="50">
        <v>-1.0115837814668849</v>
      </c>
    </row>
    <row r="5" spans="1:3" x14ac:dyDescent="0.25">
      <c r="A5" s="50">
        <v>3</v>
      </c>
      <c r="B5" s="50">
        <v>0.62831853071795862</v>
      </c>
      <c r="C5" s="50">
        <v>-0.67059413777823096</v>
      </c>
    </row>
    <row r="6" spans="1:3" x14ac:dyDescent="0.25">
      <c r="A6" s="50">
        <v>4</v>
      </c>
      <c r="B6" s="50">
        <v>0.83775804095727813</v>
      </c>
      <c r="C6" s="50">
        <v>-7.8907528339460575E-2</v>
      </c>
    </row>
    <row r="7" spans="1:3" x14ac:dyDescent="0.25">
      <c r="A7" s="50">
        <v>5</v>
      </c>
      <c r="B7" s="50">
        <v>1.0471975511965976</v>
      </c>
      <c r="C7" s="50">
        <v>0.19372967770232674</v>
      </c>
    </row>
    <row r="8" spans="1:3" x14ac:dyDescent="0.25">
      <c r="A8" s="50">
        <v>6</v>
      </c>
      <c r="B8" s="50">
        <v>1.2566370614359172</v>
      </c>
      <c r="C8" s="50">
        <v>0.71211759028393917</v>
      </c>
    </row>
    <row r="9" spans="1:3" x14ac:dyDescent="0.25">
      <c r="A9" s="50">
        <v>7</v>
      </c>
      <c r="B9" s="50">
        <v>1.4660765716752369</v>
      </c>
      <c r="C9" s="50">
        <v>0.46458641028249809</v>
      </c>
    </row>
    <row r="10" spans="1:3" x14ac:dyDescent="0.25">
      <c r="A10" s="50">
        <v>8</v>
      </c>
      <c r="B10" s="50">
        <v>1.6755160819145563</v>
      </c>
      <c r="C10" s="50">
        <v>1.0904375200021745</v>
      </c>
    </row>
    <row r="11" spans="1:3" x14ac:dyDescent="0.25">
      <c r="A11" s="50">
        <v>9</v>
      </c>
      <c r="B11" s="50">
        <v>1.8849555921538759</v>
      </c>
      <c r="C11" s="50">
        <v>0.73460352450894062</v>
      </c>
    </row>
    <row r="12" spans="1:3" x14ac:dyDescent="0.25">
      <c r="A12" s="50">
        <v>10</v>
      </c>
      <c r="B12" s="50">
        <v>2.0943951023931953</v>
      </c>
      <c r="C12" s="50">
        <v>0.65405740699127635</v>
      </c>
    </row>
    <row r="13" spans="1:3" x14ac:dyDescent="0.25">
      <c r="A13" s="50">
        <v>11</v>
      </c>
      <c r="B13" s="50">
        <v>2.3038346126325147</v>
      </c>
      <c r="C13" s="50">
        <v>0.57004534084851322</v>
      </c>
    </row>
    <row r="14" spans="1:3" x14ac:dyDescent="0.25">
      <c r="A14" s="50">
        <v>12</v>
      </c>
      <c r="B14" s="50">
        <v>2.5132741228718345</v>
      </c>
      <c r="C14" s="50">
        <v>-0.15194780570688993</v>
      </c>
    </row>
    <row r="15" spans="1:3" x14ac:dyDescent="0.25">
      <c r="A15" s="50">
        <v>13</v>
      </c>
      <c r="B15" s="50">
        <v>2.7227136331111543</v>
      </c>
      <c r="C15" s="50">
        <v>4.9191643383140769E-2</v>
      </c>
    </row>
    <row r="16" spans="1:3" x14ac:dyDescent="0.25">
      <c r="A16" s="50">
        <v>14</v>
      </c>
      <c r="B16" s="50">
        <v>2.9321531433504737</v>
      </c>
      <c r="C16" s="50">
        <v>-0.23766540139636769</v>
      </c>
    </row>
    <row r="17" spans="1:3" x14ac:dyDescent="0.25">
      <c r="A17" s="50">
        <v>15</v>
      </c>
      <c r="B17" s="50">
        <v>3.1415926535897927</v>
      </c>
      <c r="C17" s="50">
        <v>7.2641248128490127E-2</v>
      </c>
    </row>
    <row r="18" spans="1:3" x14ac:dyDescent="0.25">
      <c r="A18" s="50">
        <v>16</v>
      </c>
      <c r="B18" s="50">
        <v>3.3510321638291125</v>
      </c>
      <c r="C18" s="50">
        <v>2.1344472249498331E-2</v>
      </c>
    </row>
    <row r="19" spans="1:3" x14ac:dyDescent="0.25">
      <c r="A19" s="50">
        <v>17</v>
      </c>
      <c r="B19" s="50">
        <v>3.5604716740684323</v>
      </c>
      <c r="C19" s="50">
        <v>4.3416060207188134E-4</v>
      </c>
    </row>
    <row r="20" spans="1:3" x14ac:dyDescent="0.25">
      <c r="A20" s="50">
        <v>18</v>
      </c>
      <c r="B20" s="50">
        <v>3.7699111843077517</v>
      </c>
      <c r="C20" s="50">
        <v>-0.48127635421609938</v>
      </c>
    </row>
    <row r="21" spans="1:3" x14ac:dyDescent="0.25">
      <c r="A21" s="50">
        <v>19</v>
      </c>
      <c r="B21" s="50">
        <v>3.9793506945470711</v>
      </c>
      <c r="C21" s="50">
        <v>-0.33927941399176736</v>
      </c>
    </row>
    <row r="22" spans="1:3" x14ac:dyDescent="0.25">
      <c r="A22" s="50">
        <v>20</v>
      </c>
      <c r="B22" s="50">
        <v>4.1887902047863905</v>
      </c>
      <c r="C22" s="50">
        <v>-0.66663393104980051</v>
      </c>
    </row>
    <row r="23" spans="1:3" x14ac:dyDescent="0.25">
      <c r="A23" s="50">
        <v>21</v>
      </c>
      <c r="B23" s="50">
        <v>4.3982297150257104</v>
      </c>
      <c r="C23" s="50">
        <v>-0.82049127729304749</v>
      </c>
    </row>
    <row r="24" spans="1:3" x14ac:dyDescent="0.25">
      <c r="A24" s="50">
        <v>22</v>
      </c>
      <c r="B24" s="50">
        <v>4.6076692252650293</v>
      </c>
      <c r="C24" s="50">
        <v>-0.93606956280844389</v>
      </c>
    </row>
    <row r="25" spans="1:3" x14ac:dyDescent="0.25">
      <c r="A25" s="50">
        <v>23</v>
      </c>
      <c r="B25" s="50">
        <v>4.8171087355043491</v>
      </c>
      <c r="C25" s="50">
        <v>-0.70020245579705642</v>
      </c>
    </row>
    <row r="26" spans="1:3" x14ac:dyDescent="0.25">
      <c r="A26" s="50">
        <v>24</v>
      </c>
      <c r="B26" s="50">
        <v>5.026548245743669</v>
      </c>
      <c r="C26" s="50">
        <v>-0.48320257654754589</v>
      </c>
    </row>
    <row r="27" spans="1:3" x14ac:dyDescent="0.25">
      <c r="A27" s="50">
        <v>25</v>
      </c>
      <c r="B27" s="50">
        <v>5.2359877559829888</v>
      </c>
      <c r="C27" s="50">
        <v>2.507130588071016E-2</v>
      </c>
    </row>
    <row r="28" spans="1:3" x14ac:dyDescent="0.25">
      <c r="A28" s="50">
        <v>26</v>
      </c>
      <c r="B28" s="50">
        <v>5.4454272662223087</v>
      </c>
      <c r="C28" s="50">
        <v>0.14363276847356277</v>
      </c>
    </row>
    <row r="29" spans="1:3" x14ac:dyDescent="0.25">
      <c r="A29" s="50">
        <v>27</v>
      </c>
      <c r="B29" s="50">
        <v>5.6548667764616276</v>
      </c>
      <c r="C29" s="50">
        <v>0.25366487237671459</v>
      </c>
    </row>
    <row r="30" spans="1:3" x14ac:dyDescent="0.25">
      <c r="A30" s="50">
        <v>28</v>
      </c>
      <c r="B30" s="50">
        <v>5.8643062867009474</v>
      </c>
      <c r="C30" s="50">
        <v>1.2946583886008181</v>
      </c>
    </row>
    <row r="31" spans="1:3" x14ac:dyDescent="0.25">
      <c r="A31" s="50">
        <v>29</v>
      </c>
      <c r="B31" s="50">
        <v>6.0737457969402673</v>
      </c>
      <c r="C31" s="50">
        <v>1.2745794914650472</v>
      </c>
    </row>
    <row r="32" spans="1:3" x14ac:dyDescent="0.25">
      <c r="A32" s="50">
        <v>30</v>
      </c>
      <c r="B32" s="50">
        <v>6.2831853071795853</v>
      </c>
      <c r="C32" s="50">
        <v>1.3982376248155151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639B0-3060-3A41-B4B7-F0CACC65CD6C}">
  <sheetPr codeName="Sheet3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50"/>
  </cols>
  <sheetData>
    <row r="2" spans="1:10" x14ac:dyDescent="0.25">
      <c r="B2" s="50" t="s">
        <v>169</v>
      </c>
      <c r="C2" s="50" t="s">
        <v>17</v>
      </c>
      <c r="D2" s="50" t="s">
        <v>19</v>
      </c>
      <c r="E2" s="50" t="s">
        <v>18</v>
      </c>
      <c r="F2" s="50" t="s">
        <v>16</v>
      </c>
    </row>
    <row r="3" spans="1:10" x14ac:dyDescent="0.25">
      <c r="A3" s="50">
        <v>1</v>
      </c>
      <c r="B3" s="50">
        <v>0.20943951023931953</v>
      </c>
      <c r="C3" s="50">
        <f t="shared" ref="C3:C32" si="0">B3^2</f>
        <v>4.3864908449286033E-2</v>
      </c>
      <c r="D3" s="50">
        <f t="shared" ref="D3:D32" si="1">B3^3</f>
        <v>9.1870449423110557E-3</v>
      </c>
      <c r="E3" s="50">
        <v>-1.0584942919841807</v>
      </c>
      <c r="F3" s="50" cm="1">
        <f t="array" ref="F3:F32">TREND(E3:E32,B3:D32,B3:D32,1)</f>
        <v>-1.2888007502634404</v>
      </c>
      <c r="G3" s="50" cm="1">
        <f t="array" ref="G3:J7">LINEST(E3:E32,B3:D32,1,1)</f>
        <v>0.13072680831182865</v>
      </c>
      <c r="H3" s="50">
        <v>-1.2322254546610762</v>
      </c>
      <c r="I3" s="50">
        <v>3.1805413197669328</v>
      </c>
      <c r="J3" s="50">
        <v>-1.9020813028768835</v>
      </c>
    </row>
    <row r="4" spans="1:10" x14ac:dyDescent="0.25">
      <c r="A4" s="50">
        <v>2</v>
      </c>
      <c r="B4" s="50">
        <v>0.41887902047863906</v>
      </c>
      <c r="C4" s="50">
        <f t="shared" si="0"/>
        <v>0.17545963379714413</v>
      </c>
      <c r="D4" s="50">
        <f t="shared" si="1"/>
        <v>7.3496359538488445E-2</v>
      </c>
      <c r="E4" s="50">
        <v>-1.0115837814668849</v>
      </c>
      <c r="F4" s="50">
        <v>-0.77641715278641943</v>
      </c>
      <c r="G4" s="50">
        <v>1.0984176298449744E-2</v>
      </c>
      <c r="H4" s="50">
        <v>0.10838182968397431</v>
      </c>
      <c r="I4" s="50">
        <v>0.3054826840308264</v>
      </c>
      <c r="J4" s="50">
        <v>0.23282406038839545</v>
      </c>
    </row>
    <row r="5" spans="1:10" x14ac:dyDescent="0.25">
      <c r="A5" s="50">
        <v>3</v>
      </c>
      <c r="B5" s="50">
        <v>0.62831853071795862</v>
      </c>
      <c r="C5" s="50">
        <f t="shared" si="0"/>
        <v>0.3947841760435743</v>
      </c>
      <c r="D5" s="50">
        <f t="shared" si="1"/>
        <v>0.24805021344239853</v>
      </c>
      <c r="E5" s="50">
        <v>-0.67059413777823096</v>
      </c>
      <c r="F5" s="50">
        <v>-0.35772455206706644</v>
      </c>
      <c r="G5" s="50">
        <v>0.85739799271598294</v>
      </c>
      <c r="H5" s="50">
        <v>0.27983217634102292</v>
      </c>
      <c r="I5" s="50" t="e">
        <v>#N/A</v>
      </c>
      <c r="J5" s="50" t="e">
        <v>#N/A</v>
      </c>
    </row>
    <row r="6" spans="1:10" x14ac:dyDescent="0.25">
      <c r="A6" s="50">
        <v>4</v>
      </c>
      <c r="B6" s="50">
        <v>0.83775804095727813</v>
      </c>
      <c r="C6" s="50">
        <f t="shared" si="0"/>
        <v>0.70183853518857653</v>
      </c>
      <c r="D6" s="50">
        <f t="shared" si="1"/>
        <v>0.58797087630790756</v>
      </c>
      <c r="E6" s="50">
        <v>-7.8907528339460575E-2</v>
      </c>
      <c r="F6" s="50">
        <v>-2.5516989726627637E-2</v>
      </c>
      <c r="G6" s="50">
        <v>52.108541422834264</v>
      </c>
      <c r="H6" s="50">
        <v>26</v>
      </c>
      <c r="I6" s="50" t="e">
        <v>#N/A</v>
      </c>
      <c r="J6" s="50" t="e">
        <v>#N/A</v>
      </c>
    </row>
    <row r="7" spans="1:10" x14ac:dyDescent="0.25">
      <c r="A7" s="50">
        <v>5</v>
      </c>
      <c r="B7" s="50">
        <v>1.0471975511965976</v>
      </c>
      <c r="C7" s="50">
        <f t="shared" si="0"/>
        <v>1.0966227112321507</v>
      </c>
      <c r="D7" s="50">
        <f t="shared" si="1"/>
        <v>1.1483806177888818</v>
      </c>
      <c r="E7" s="50">
        <v>0.19372967770232674</v>
      </c>
      <c r="F7" s="50">
        <v>0.22741149261365079</v>
      </c>
      <c r="G7" s="50">
        <v>12.241241668103809</v>
      </c>
      <c r="H7" s="50">
        <v>2.0359572198095872</v>
      </c>
      <c r="I7" s="50" t="e">
        <v>#N/A</v>
      </c>
      <c r="J7" s="50" t="e">
        <v>#N/A</v>
      </c>
    </row>
    <row r="8" spans="1:10" x14ac:dyDescent="0.25">
      <c r="A8" s="50">
        <v>6</v>
      </c>
      <c r="B8" s="50">
        <v>1.2566370614359172</v>
      </c>
      <c r="C8" s="50">
        <f t="shared" si="0"/>
        <v>1.5791367041742972</v>
      </c>
      <c r="D8" s="50">
        <f t="shared" si="1"/>
        <v>1.9844017075391882</v>
      </c>
      <c r="E8" s="50">
        <v>0.71211759028393917</v>
      </c>
      <c r="F8" s="50">
        <v>0.40826685333252311</v>
      </c>
    </row>
    <row r="9" spans="1:10" x14ac:dyDescent="0.25">
      <c r="A9" s="50">
        <v>7</v>
      </c>
      <c r="B9" s="50">
        <v>1.4660765716752369</v>
      </c>
      <c r="C9" s="50">
        <f t="shared" si="0"/>
        <v>2.1493805140150157</v>
      </c>
      <c r="D9" s="50">
        <f t="shared" si="1"/>
        <v>3.1511564152126925</v>
      </c>
      <c r="E9" s="50">
        <v>0.46458641028249809</v>
      </c>
      <c r="F9" s="50">
        <v>0.52425505080874224</v>
      </c>
    </row>
    <row r="10" spans="1:10" x14ac:dyDescent="0.25">
      <c r="A10" s="50">
        <v>8</v>
      </c>
      <c r="B10" s="50">
        <v>1.6755160819145563</v>
      </c>
      <c r="C10" s="50">
        <f t="shared" si="0"/>
        <v>2.8073541407543061</v>
      </c>
      <c r="D10" s="50">
        <f t="shared" si="1"/>
        <v>4.7037670104632605</v>
      </c>
      <c r="E10" s="50">
        <v>1.0904375200021745</v>
      </c>
      <c r="F10" s="50">
        <v>0.58258204342106357</v>
      </c>
    </row>
    <row r="11" spans="1:10" x14ac:dyDescent="0.25">
      <c r="A11" s="50">
        <v>9</v>
      </c>
      <c r="B11" s="50">
        <v>1.8849555921538759</v>
      </c>
      <c r="C11" s="50">
        <f t="shared" si="0"/>
        <v>3.5530575843921688</v>
      </c>
      <c r="D11" s="50">
        <f t="shared" si="1"/>
        <v>6.6973557629447606</v>
      </c>
      <c r="E11" s="50">
        <v>0.73460352450894062</v>
      </c>
      <c r="F11" s="50">
        <v>0.59045378954824024</v>
      </c>
    </row>
    <row r="12" spans="1:10" x14ac:dyDescent="0.25">
      <c r="A12" s="50">
        <v>10</v>
      </c>
      <c r="B12" s="50">
        <v>2.0943951023931953</v>
      </c>
      <c r="C12" s="50">
        <f t="shared" si="0"/>
        <v>4.3864908449286029</v>
      </c>
      <c r="D12" s="50">
        <f t="shared" si="1"/>
        <v>9.1870449423110543</v>
      </c>
      <c r="E12" s="50">
        <v>0.65405740699127635</v>
      </c>
      <c r="F12" s="50">
        <v>0.5550762475690254</v>
      </c>
    </row>
    <row r="13" spans="1:10" x14ac:dyDescent="0.25">
      <c r="A13" s="50">
        <v>11</v>
      </c>
      <c r="B13" s="50">
        <v>2.3038346126325147</v>
      </c>
      <c r="C13" s="50">
        <f t="shared" si="0"/>
        <v>5.3076539223636088</v>
      </c>
      <c r="D13" s="50">
        <f t="shared" si="1"/>
        <v>12.227956818216011</v>
      </c>
      <c r="E13" s="50">
        <v>0.57004534084851322</v>
      </c>
      <c r="F13" s="50">
        <v>0.48365537586217577</v>
      </c>
    </row>
    <row r="14" spans="1:10" x14ac:dyDescent="0.25">
      <c r="A14" s="50">
        <v>12</v>
      </c>
      <c r="B14" s="50">
        <v>2.5132741228718345</v>
      </c>
      <c r="C14" s="50">
        <f t="shared" si="0"/>
        <v>6.3165468166971888</v>
      </c>
      <c r="D14" s="50">
        <f t="shared" si="1"/>
        <v>15.875213660313506</v>
      </c>
      <c r="E14" s="50">
        <v>-0.15194780570688993</v>
      </c>
      <c r="F14" s="50">
        <v>0.38339713280644183</v>
      </c>
    </row>
    <row r="15" spans="1:10" x14ac:dyDescent="0.25">
      <c r="A15" s="50">
        <v>13</v>
      </c>
      <c r="B15" s="50">
        <v>2.7227136331111543</v>
      </c>
      <c r="C15" s="50">
        <f t="shared" si="0"/>
        <v>7.4131695279293419</v>
      </c>
      <c r="D15" s="50">
        <f t="shared" si="1"/>
        <v>20.183937738257399</v>
      </c>
      <c r="E15" s="50">
        <v>4.9191643383140769E-2</v>
      </c>
      <c r="F15" s="50">
        <v>0.26150747678057851</v>
      </c>
    </row>
    <row r="16" spans="1:10" x14ac:dyDescent="0.25">
      <c r="A16" s="50">
        <v>14</v>
      </c>
      <c r="B16" s="50">
        <v>2.9321531433504737</v>
      </c>
      <c r="C16" s="50">
        <f t="shared" si="0"/>
        <v>8.5975220560600629</v>
      </c>
      <c r="D16" s="50">
        <f t="shared" si="1"/>
        <v>25.20925132170154</v>
      </c>
      <c r="E16" s="50">
        <v>-0.23766540139636769</v>
      </c>
      <c r="F16" s="50">
        <v>0.12519236616333984</v>
      </c>
    </row>
    <row r="17" spans="1:6" x14ac:dyDescent="0.25">
      <c r="A17" s="50">
        <v>15</v>
      </c>
      <c r="B17" s="50">
        <v>3.1415926535897927</v>
      </c>
      <c r="C17" s="50">
        <f t="shared" si="0"/>
        <v>9.8696044010893544</v>
      </c>
      <c r="D17" s="50">
        <f t="shared" si="1"/>
        <v>31.006276680299802</v>
      </c>
      <c r="E17" s="50">
        <v>7.2641248128490127E-2</v>
      </c>
      <c r="F17" s="50">
        <v>-1.8342240666517462E-2</v>
      </c>
    </row>
    <row r="18" spans="1:6" x14ac:dyDescent="0.25">
      <c r="A18" s="50">
        <v>16</v>
      </c>
      <c r="B18" s="50">
        <v>3.3510321638291125</v>
      </c>
      <c r="C18" s="50">
        <f t="shared" si="0"/>
        <v>11.229416563017224</v>
      </c>
      <c r="D18" s="50">
        <f t="shared" si="1"/>
        <v>37.630136083706084</v>
      </c>
      <c r="E18" s="50">
        <v>2.1344472249498331E-2</v>
      </c>
      <c r="F18" s="50">
        <v>-0.16189038533024558</v>
      </c>
    </row>
    <row r="19" spans="1:6" x14ac:dyDescent="0.25">
      <c r="A19" s="50">
        <v>17</v>
      </c>
      <c r="B19" s="50">
        <v>3.5604716740684323</v>
      </c>
      <c r="C19" s="50">
        <f t="shared" si="0"/>
        <v>12.676958541843666</v>
      </c>
      <c r="D19" s="50">
        <f t="shared" si="1"/>
        <v>45.13595180157423</v>
      </c>
      <c r="E19" s="50">
        <v>4.3416060207188134E-4</v>
      </c>
      <c r="F19" s="50">
        <v>-0.29824610944908514</v>
      </c>
    </row>
    <row r="20" spans="1:6" x14ac:dyDescent="0.25">
      <c r="A20" s="50">
        <v>18</v>
      </c>
      <c r="B20" s="50">
        <v>3.7699111843077517</v>
      </c>
      <c r="C20" s="50">
        <f t="shared" si="0"/>
        <v>14.212230337568675</v>
      </c>
      <c r="D20" s="50">
        <f t="shared" si="1"/>
        <v>53.578846103558085</v>
      </c>
      <c r="E20" s="50">
        <v>-0.48127635421609938</v>
      </c>
      <c r="F20" s="50">
        <v>-0.4202034546442821</v>
      </c>
    </row>
    <row r="21" spans="1:6" x14ac:dyDescent="0.25">
      <c r="A21" s="50">
        <v>19</v>
      </c>
      <c r="B21" s="50">
        <v>3.9793506945470711</v>
      </c>
      <c r="C21" s="50">
        <f t="shared" si="0"/>
        <v>15.835231950192258</v>
      </c>
      <c r="D21" s="50">
        <f t="shared" si="1"/>
        <v>63.01394125931153</v>
      </c>
      <c r="E21" s="50">
        <v>-0.33927941399176736</v>
      </c>
      <c r="F21" s="50">
        <v>-0.52055646253708687</v>
      </c>
    </row>
    <row r="22" spans="1:6" x14ac:dyDescent="0.25">
      <c r="A22" s="50">
        <v>20</v>
      </c>
      <c r="B22" s="50">
        <v>4.1887902047863905</v>
      </c>
      <c r="C22" s="50">
        <f t="shared" si="0"/>
        <v>17.545963379714411</v>
      </c>
      <c r="D22" s="50">
        <f t="shared" si="1"/>
        <v>73.496359538488434</v>
      </c>
      <c r="E22" s="50">
        <v>-0.66663393104980051</v>
      </c>
      <c r="F22" s="50">
        <v>-0.59209917474874629</v>
      </c>
    </row>
    <row r="23" spans="1:6" x14ac:dyDescent="0.25">
      <c r="A23" s="50">
        <v>21</v>
      </c>
      <c r="B23" s="50">
        <v>4.3982297150257104</v>
      </c>
      <c r="C23" s="50">
        <f t="shared" si="0"/>
        <v>19.34442462613514</v>
      </c>
      <c r="D23" s="50">
        <f t="shared" si="1"/>
        <v>85.081223210742692</v>
      </c>
      <c r="E23" s="50">
        <v>-0.82049127729304749</v>
      </c>
      <c r="F23" s="50">
        <v>-0.62762563290049656</v>
      </c>
    </row>
    <row r="24" spans="1:6" x14ac:dyDescent="0.25">
      <c r="A24" s="50">
        <v>22</v>
      </c>
      <c r="B24" s="50">
        <v>4.6076692252650293</v>
      </c>
      <c r="C24" s="50">
        <f t="shared" si="0"/>
        <v>21.230615689454435</v>
      </c>
      <c r="D24" s="50">
        <f t="shared" si="1"/>
        <v>97.82365454572809</v>
      </c>
      <c r="E24" s="50">
        <v>-0.93606956280844389</v>
      </c>
      <c r="F24" s="50">
        <v>-0.61992987861359516</v>
      </c>
    </row>
    <row r="25" spans="1:6" x14ac:dyDescent="0.25">
      <c r="A25" s="50">
        <v>23</v>
      </c>
      <c r="B25" s="50">
        <v>4.8171087355043491</v>
      </c>
      <c r="C25" s="50">
        <f t="shared" si="0"/>
        <v>23.20453656967231</v>
      </c>
      <c r="D25" s="50">
        <f t="shared" si="1"/>
        <v>111.7787758130986</v>
      </c>
      <c r="E25" s="50">
        <v>-0.70020245579705642</v>
      </c>
      <c r="F25" s="50">
        <v>-0.56180595350928364</v>
      </c>
    </row>
    <row r="26" spans="1:6" x14ac:dyDescent="0.25">
      <c r="A26" s="50">
        <v>24</v>
      </c>
      <c r="B26" s="50">
        <v>5.026548245743669</v>
      </c>
      <c r="C26" s="50">
        <f t="shared" si="0"/>
        <v>25.266187266788755</v>
      </c>
      <c r="D26" s="50">
        <f t="shared" si="1"/>
        <v>127.00170928250805</v>
      </c>
      <c r="E26" s="50">
        <v>-0.48320257654754589</v>
      </c>
      <c r="F26" s="50">
        <v>-0.4460478992088035</v>
      </c>
    </row>
    <row r="27" spans="1:6" x14ac:dyDescent="0.25">
      <c r="A27" s="50">
        <v>25</v>
      </c>
      <c r="B27" s="50">
        <v>5.2359877559829888</v>
      </c>
      <c r="C27" s="50">
        <f t="shared" si="0"/>
        <v>27.415567780803777</v>
      </c>
      <c r="D27" s="50">
        <f t="shared" si="1"/>
        <v>143.54757722361029</v>
      </c>
      <c r="E27" s="50">
        <v>2.507130588071016E-2</v>
      </c>
      <c r="F27" s="50">
        <v>-0.26544975733341403</v>
      </c>
    </row>
    <row r="28" spans="1:6" x14ac:dyDescent="0.25">
      <c r="A28" s="50">
        <v>26</v>
      </c>
      <c r="B28" s="50">
        <v>5.4454272662223087</v>
      </c>
      <c r="C28" s="50">
        <f t="shared" si="0"/>
        <v>29.652678111717368</v>
      </c>
      <c r="D28" s="50">
        <f t="shared" si="1"/>
        <v>161.47150190605919</v>
      </c>
      <c r="E28" s="50">
        <v>0.14363276847356277</v>
      </c>
      <c r="F28" s="50">
        <v>-1.2805569504340752E-2</v>
      </c>
    </row>
    <row r="29" spans="1:6" x14ac:dyDescent="0.25">
      <c r="A29" s="50">
        <v>27</v>
      </c>
      <c r="B29" s="50">
        <v>5.6548667764616276</v>
      </c>
      <c r="C29" s="50">
        <f t="shared" si="0"/>
        <v>31.977518259529518</v>
      </c>
      <c r="D29" s="50">
        <f t="shared" si="1"/>
        <v>180.82860559950853</v>
      </c>
      <c r="E29" s="50">
        <v>0.25366487237671459</v>
      </c>
      <c r="F29" s="50">
        <v>0.31909062265715349</v>
      </c>
    </row>
    <row r="30" spans="1:6" x14ac:dyDescent="0.25">
      <c r="A30" s="50">
        <v>28</v>
      </c>
      <c r="B30" s="50">
        <v>5.8643062867009474</v>
      </c>
      <c r="C30" s="50">
        <f t="shared" si="0"/>
        <v>34.390088224240252</v>
      </c>
      <c r="D30" s="50">
        <f t="shared" si="1"/>
        <v>201.67401057361232</v>
      </c>
      <c r="E30" s="50">
        <v>1.2946583886008181</v>
      </c>
      <c r="F30" s="50">
        <v>0.73744477752982007</v>
      </c>
    </row>
    <row r="31" spans="1:6" x14ac:dyDescent="0.25">
      <c r="A31" s="50">
        <v>29</v>
      </c>
      <c r="B31" s="50">
        <v>6.0737457969402673</v>
      </c>
      <c r="C31" s="50">
        <f t="shared" si="0"/>
        <v>36.890388005849566</v>
      </c>
      <c r="D31" s="50">
        <f t="shared" si="1"/>
        <v>224.06283909802445</v>
      </c>
      <c r="E31" s="50">
        <v>1.2745794914650472</v>
      </c>
      <c r="F31" s="50">
        <v>1.2494628534924281</v>
      </c>
    </row>
    <row r="32" spans="1:6" x14ac:dyDescent="0.25">
      <c r="A32" s="50">
        <v>30</v>
      </c>
      <c r="B32" s="50">
        <v>6.2831853071795853</v>
      </c>
      <c r="C32" s="50">
        <f t="shared" si="0"/>
        <v>39.478417604357418</v>
      </c>
      <c r="D32" s="50">
        <f t="shared" si="1"/>
        <v>248.05021344239842</v>
      </c>
      <c r="E32" s="50">
        <v>1.3982376248155151</v>
      </c>
      <c r="F32" s="50">
        <v>1.8623508089237184</v>
      </c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1BCA2-EFFF-C14F-8EC3-1E15BDBFDC66}">
  <sheetPr codeName="Sheet34">
    <tabColor rgb="FFFF0000"/>
  </sheetPr>
  <dimension ref="A2:G32"/>
  <sheetViews>
    <sheetView workbookViewId="0"/>
  </sheetViews>
  <sheetFormatPr baseColWidth="10" defaultRowHeight="19" x14ac:dyDescent="0.25"/>
  <cols>
    <col min="1" max="16384" width="10.83203125" style="50"/>
  </cols>
  <sheetData>
    <row r="2" spans="1:7" s="51" customFormat="1" x14ac:dyDescent="0.25">
      <c r="B2" s="51" t="s">
        <v>169</v>
      </c>
      <c r="C2" s="51" t="s">
        <v>172</v>
      </c>
      <c r="D2" s="51" t="s">
        <v>171</v>
      </c>
      <c r="E2" s="51" t="s">
        <v>170</v>
      </c>
      <c r="F2" s="51" t="s">
        <v>18</v>
      </c>
      <c r="G2" s="51" t="s">
        <v>16</v>
      </c>
    </row>
    <row r="3" spans="1:7" x14ac:dyDescent="0.25">
      <c r="A3" s="50">
        <v>1</v>
      </c>
      <c r="B3" s="50">
        <v>0.20943951023931953</v>
      </c>
      <c r="C3" s="50">
        <v>1</v>
      </c>
      <c r="D3" s="50">
        <v>0</v>
      </c>
      <c r="E3" s="50">
        <v>0</v>
      </c>
      <c r="F3" s="50">
        <v>-1.0584942919841807</v>
      </c>
      <c r="G3" s="50" cm="1">
        <f t="array" ref="G3:G32">TREND(F3:F32,C3:E32,C3:E32,FALSE)</f>
        <v>0.10299523902023984</v>
      </c>
    </row>
    <row r="4" spans="1:7" x14ac:dyDescent="0.25">
      <c r="A4" s="50">
        <v>2</v>
      </c>
      <c r="B4" s="50">
        <v>0.41887902047863906</v>
      </c>
      <c r="C4" s="50">
        <v>1</v>
      </c>
      <c r="D4" s="50">
        <v>0</v>
      </c>
      <c r="E4" s="50">
        <v>0</v>
      </c>
      <c r="F4" s="50">
        <v>-1.0115837814668849</v>
      </c>
      <c r="G4" s="50">
        <v>0.10299523902023984</v>
      </c>
    </row>
    <row r="5" spans="1:7" x14ac:dyDescent="0.25">
      <c r="A5" s="50">
        <v>3</v>
      </c>
      <c r="B5" s="50">
        <v>0.62831853071795862</v>
      </c>
      <c r="C5" s="50">
        <v>1</v>
      </c>
      <c r="D5" s="50">
        <v>0</v>
      </c>
      <c r="E5" s="50">
        <v>0</v>
      </c>
      <c r="F5" s="50">
        <v>-0.67059413777823096</v>
      </c>
      <c r="G5" s="50">
        <v>0.10299523902023984</v>
      </c>
    </row>
    <row r="6" spans="1:7" x14ac:dyDescent="0.25">
      <c r="A6" s="50">
        <v>4</v>
      </c>
      <c r="B6" s="50">
        <v>0.83775804095727813</v>
      </c>
      <c r="C6" s="50">
        <v>1</v>
      </c>
      <c r="D6" s="50">
        <v>0</v>
      </c>
      <c r="E6" s="50">
        <v>0</v>
      </c>
      <c r="F6" s="50">
        <v>-7.8907528339460575E-2</v>
      </c>
      <c r="G6" s="50">
        <v>0.10299523902023984</v>
      </c>
    </row>
    <row r="7" spans="1:7" x14ac:dyDescent="0.25">
      <c r="A7" s="50">
        <v>5</v>
      </c>
      <c r="B7" s="50">
        <v>1.0471975511965976</v>
      </c>
      <c r="C7" s="50">
        <v>1</v>
      </c>
      <c r="D7" s="50">
        <v>0</v>
      </c>
      <c r="E7" s="50">
        <v>0</v>
      </c>
      <c r="F7" s="50">
        <v>0.19372967770232674</v>
      </c>
      <c r="G7" s="50">
        <v>0.10299523902023984</v>
      </c>
    </row>
    <row r="8" spans="1:7" x14ac:dyDescent="0.25">
      <c r="A8" s="50">
        <v>6</v>
      </c>
      <c r="B8" s="50">
        <v>1.2566370614359172</v>
      </c>
      <c r="C8" s="50">
        <v>1</v>
      </c>
      <c r="D8" s="50">
        <v>0</v>
      </c>
      <c r="E8" s="50">
        <v>0</v>
      </c>
      <c r="F8" s="50">
        <v>0.71211759028393917</v>
      </c>
      <c r="G8" s="50">
        <v>0.10299523902023984</v>
      </c>
    </row>
    <row r="9" spans="1:7" x14ac:dyDescent="0.25">
      <c r="A9" s="50">
        <v>7</v>
      </c>
      <c r="B9" s="50">
        <v>1.4660765716752369</v>
      </c>
      <c r="C9" s="50">
        <v>1</v>
      </c>
      <c r="D9" s="50">
        <v>0</v>
      </c>
      <c r="E9" s="50">
        <v>0</v>
      </c>
      <c r="F9" s="50">
        <v>0.46458641028249809</v>
      </c>
      <c r="G9" s="50">
        <v>0.10299523902023984</v>
      </c>
    </row>
    <row r="10" spans="1:7" x14ac:dyDescent="0.25">
      <c r="A10" s="50">
        <v>8</v>
      </c>
      <c r="B10" s="50">
        <v>1.6755160819145563</v>
      </c>
      <c r="C10" s="50">
        <v>1</v>
      </c>
      <c r="D10" s="50">
        <v>0</v>
      </c>
      <c r="E10" s="50">
        <v>0</v>
      </c>
      <c r="F10" s="50">
        <v>1.0904375200021745</v>
      </c>
      <c r="G10" s="50">
        <v>0.10299523902023984</v>
      </c>
    </row>
    <row r="11" spans="1:7" x14ac:dyDescent="0.25">
      <c r="A11" s="50">
        <v>9</v>
      </c>
      <c r="B11" s="50">
        <v>1.8849555921538759</v>
      </c>
      <c r="C11" s="50">
        <v>1</v>
      </c>
      <c r="D11" s="50">
        <v>0</v>
      </c>
      <c r="E11" s="50">
        <v>0</v>
      </c>
      <c r="F11" s="50">
        <v>0.73460352450894062</v>
      </c>
      <c r="G11" s="50">
        <v>0.10299523902023984</v>
      </c>
    </row>
    <row r="12" spans="1:7" x14ac:dyDescent="0.25">
      <c r="A12" s="50">
        <v>10</v>
      </c>
      <c r="B12" s="50">
        <v>2.0943951023931953</v>
      </c>
      <c r="C12" s="50">
        <v>1</v>
      </c>
      <c r="D12" s="50">
        <v>0</v>
      </c>
      <c r="E12" s="50">
        <v>0</v>
      </c>
      <c r="F12" s="50">
        <v>0.65405740699127635</v>
      </c>
      <c r="G12" s="50">
        <v>0.10299523902023984</v>
      </c>
    </row>
    <row r="13" spans="1:7" x14ac:dyDescent="0.25">
      <c r="A13" s="50">
        <v>11</v>
      </c>
      <c r="B13" s="50">
        <v>2.3038346126325147</v>
      </c>
      <c r="C13" s="50">
        <v>0</v>
      </c>
      <c r="D13" s="50">
        <v>1</v>
      </c>
      <c r="E13" s="50">
        <v>0</v>
      </c>
      <c r="F13" s="50">
        <v>0.57004534084851322</v>
      </c>
      <c r="G13" s="50">
        <v>-0.11631460411492099</v>
      </c>
    </row>
    <row r="14" spans="1:7" x14ac:dyDescent="0.25">
      <c r="A14" s="50">
        <v>12</v>
      </c>
      <c r="B14" s="50">
        <v>2.5132741228718345</v>
      </c>
      <c r="C14" s="50">
        <v>0</v>
      </c>
      <c r="D14" s="50">
        <v>1</v>
      </c>
      <c r="E14" s="50">
        <v>0</v>
      </c>
      <c r="F14" s="50">
        <v>-0.15194780570688993</v>
      </c>
      <c r="G14" s="50">
        <v>-0.11631460411492099</v>
      </c>
    </row>
    <row r="15" spans="1:7" x14ac:dyDescent="0.25">
      <c r="A15" s="50">
        <v>13</v>
      </c>
      <c r="B15" s="50">
        <v>2.7227136331111543</v>
      </c>
      <c r="C15" s="50">
        <v>0</v>
      </c>
      <c r="D15" s="50">
        <v>1</v>
      </c>
      <c r="E15" s="50">
        <v>0</v>
      </c>
      <c r="F15" s="50">
        <v>4.9191643383140769E-2</v>
      </c>
      <c r="G15" s="50">
        <v>-0.11631460411492099</v>
      </c>
    </row>
    <row r="16" spans="1:7" x14ac:dyDescent="0.25">
      <c r="A16" s="50">
        <v>14</v>
      </c>
      <c r="B16" s="50">
        <v>2.9321531433504737</v>
      </c>
      <c r="C16" s="50">
        <v>0</v>
      </c>
      <c r="D16" s="50">
        <v>1</v>
      </c>
      <c r="E16" s="50">
        <v>0</v>
      </c>
      <c r="F16" s="50">
        <v>-0.23766540139636769</v>
      </c>
      <c r="G16" s="50">
        <v>-0.11631460411492099</v>
      </c>
    </row>
    <row r="17" spans="1:7" x14ac:dyDescent="0.25">
      <c r="A17" s="50">
        <v>15</v>
      </c>
      <c r="B17" s="50">
        <v>3.1415926535897927</v>
      </c>
      <c r="C17" s="50">
        <v>0</v>
      </c>
      <c r="D17" s="50">
        <v>1</v>
      </c>
      <c r="E17" s="50">
        <v>0</v>
      </c>
      <c r="F17" s="50">
        <v>7.2641248128490127E-2</v>
      </c>
      <c r="G17" s="50">
        <v>-0.11631460411492099</v>
      </c>
    </row>
    <row r="18" spans="1:7" x14ac:dyDescent="0.25">
      <c r="A18" s="50">
        <v>16</v>
      </c>
      <c r="B18" s="50">
        <v>3.3510321638291125</v>
      </c>
      <c r="C18" s="50">
        <v>0</v>
      </c>
      <c r="D18" s="50">
        <v>1</v>
      </c>
      <c r="E18" s="50">
        <v>0</v>
      </c>
      <c r="F18" s="50">
        <v>2.1344472249498331E-2</v>
      </c>
      <c r="G18" s="50">
        <v>-0.11631460411492099</v>
      </c>
    </row>
    <row r="19" spans="1:7" x14ac:dyDescent="0.25">
      <c r="A19" s="50">
        <v>17</v>
      </c>
      <c r="B19" s="50">
        <v>3.5604716740684323</v>
      </c>
      <c r="C19" s="50">
        <v>0</v>
      </c>
      <c r="D19" s="50">
        <v>1</v>
      </c>
      <c r="E19" s="50">
        <v>0</v>
      </c>
      <c r="F19" s="50">
        <v>4.3416060207188134E-4</v>
      </c>
      <c r="G19" s="50">
        <v>-0.11631460411492099</v>
      </c>
    </row>
    <row r="20" spans="1:7" x14ac:dyDescent="0.25">
      <c r="A20" s="50">
        <v>18</v>
      </c>
      <c r="B20" s="50">
        <v>3.7699111843077517</v>
      </c>
      <c r="C20" s="50">
        <v>0</v>
      </c>
      <c r="D20" s="50">
        <v>1</v>
      </c>
      <c r="E20" s="50">
        <v>0</v>
      </c>
      <c r="F20" s="50">
        <v>-0.48127635421609938</v>
      </c>
      <c r="G20" s="50">
        <v>-0.11631460411492099</v>
      </c>
    </row>
    <row r="21" spans="1:7" x14ac:dyDescent="0.25">
      <c r="A21" s="50">
        <v>19</v>
      </c>
      <c r="B21" s="50">
        <v>3.9793506945470711</v>
      </c>
      <c r="C21" s="50">
        <v>0</v>
      </c>
      <c r="D21" s="50">
        <v>1</v>
      </c>
      <c r="E21" s="50">
        <v>0</v>
      </c>
      <c r="F21" s="50">
        <v>-0.33927941399176736</v>
      </c>
      <c r="G21" s="50">
        <v>-0.11631460411492099</v>
      </c>
    </row>
    <row r="22" spans="1:7" x14ac:dyDescent="0.25">
      <c r="A22" s="50">
        <v>20</v>
      </c>
      <c r="B22" s="50">
        <v>4.1887902047863905</v>
      </c>
      <c r="C22" s="50">
        <v>0</v>
      </c>
      <c r="D22" s="50">
        <v>1</v>
      </c>
      <c r="E22" s="50">
        <v>0</v>
      </c>
      <c r="F22" s="50">
        <v>-0.66663393104980051</v>
      </c>
      <c r="G22" s="50">
        <v>-0.11631460411492099</v>
      </c>
    </row>
    <row r="23" spans="1:7" x14ac:dyDescent="0.25">
      <c r="A23" s="50">
        <v>21</v>
      </c>
      <c r="B23" s="50">
        <v>4.3982297150257104</v>
      </c>
      <c r="C23" s="50">
        <v>0</v>
      </c>
      <c r="D23" s="50">
        <v>0</v>
      </c>
      <c r="E23" s="50">
        <v>1</v>
      </c>
      <c r="F23" s="50">
        <v>-0.82049127729304749</v>
      </c>
      <c r="G23" s="50">
        <v>0.14498785791662738</v>
      </c>
    </row>
    <row r="24" spans="1:7" x14ac:dyDescent="0.25">
      <c r="A24" s="50">
        <v>22</v>
      </c>
      <c r="B24" s="50">
        <v>4.6076692252650293</v>
      </c>
      <c r="C24" s="50">
        <v>0</v>
      </c>
      <c r="D24" s="50">
        <v>0</v>
      </c>
      <c r="E24" s="50">
        <v>1</v>
      </c>
      <c r="F24" s="50">
        <v>-0.93606956280844389</v>
      </c>
      <c r="G24" s="50">
        <v>0.14498785791662738</v>
      </c>
    </row>
    <row r="25" spans="1:7" x14ac:dyDescent="0.25">
      <c r="A25" s="50">
        <v>23</v>
      </c>
      <c r="B25" s="50">
        <v>4.8171087355043491</v>
      </c>
      <c r="C25" s="50">
        <v>0</v>
      </c>
      <c r="D25" s="50">
        <v>0</v>
      </c>
      <c r="E25" s="50">
        <v>1</v>
      </c>
      <c r="F25" s="50">
        <v>-0.70020245579705642</v>
      </c>
      <c r="G25" s="50">
        <v>0.14498785791662738</v>
      </c>
    </row>
    <row r="26" spans="1:7" x14ac:dyDescent="0.25">
      <c r="A26" s="50">
        <v>24</v>
      </c>
      <c r="B26" s="50">
        <v>5.026548245743669</v>
      </c>
      <c r="C26" s="50">
        <v>0</v>
      </c>
      <c r="D26" s="50">
        <v>0</v>
      </c>
      <c r="E26" s="50">
        <v>1</v>
      </c>
      <c r="F26" s="50">
        <v>-0.48320257654754589</v>
      </c>
      <c r="G26" s="50">
        <v>0.14498785791662738</v>
      </c>
    </row>
    <row r="27" spans="1:7" x14ac:dyDescent="0.25">
      <c r="A27" s="50">
        <v>25</v>
      </c>
      <c r="B27" s="50">
        <v>5.2359877559829888</v>
      </c>
      <c r="C27" s="50">
        <v>0</v>
      </c>
      <c r="D27" s="50">
        <v>0</v>
      </c>
      <c r="E27" s="50">
        <v>1</v>
      </c>
      <c r="F27" s="50">
        <v>2.507130588071016E-2</v>
      </c>
      <c r="G27" s="50">
        <v>0.14498785791662738</v>
      </c>
    </row>
    <row r="28" spans="1:7" x14ac:dyDescent="0.25">
      <c r="A28" s="50">
        <v>26</v>
      </c>
      <c r="B28" s="50">
        <v>5.4454272662223087</v>
      </c>
      <c r="C28" s="50">
        <v>0</v>
      </c>
      <c r="D28" s="50">
        <v>0</v>
      </c>
      <c r="E28" s="50">
        <v>1</v>
      </c>
      <c r="F28" s="50">
        <v>0.14363276847356277</v>
      </c>
      <c r="G28" s="50">
        <v>0.14498785791662738</v>
      </c>
    </row>
    <row r="29" spans="1:7" x14ac:dyDescent="0.25">
      <c r="A29" s="50">
        <v>27</v>
      </c>
      <c r="B29" s="50">
        <v>5.6548667764616276</v>
      </c>
      <c r="C29" s="50">
        <v>0</v>
      </c>
      <c r="D29" s="50">
        <v>0</v>
      </c>
      <c r="E29" s="50">
        <v>1</v>
      </c>
      <c r="F29" s="50">
        <v>0.25366487237671459</v>
      </c>
      <c r="G29" s="50">
        <v>0.14498785791662738</v>
      </c>
    </row>
    <row r="30" spans="1:7" x14ac:dyDescent="0.25">
      <c r="A30" s="50">
        <v>28</v>
      </c>
      <c r="B30" s="50">
        <v>5.8643062867009474</v>
      </c>
      <c r="C30" s="50">
        <v>0</v>
      </c>
      <c r="D30" s="50">
        <v>0</v>
      </c>
      <c r="E30" s="50">
        <v>1</v>
      </c>
      <c r="F30" s="50">
        <v>1.2946583886008181</v>
      </c>
      <c r="G30" s="50">
        <v>0.14498785791662738</v>
      </c>
    </row>
    <row r="31" spans="1:7" x14ac:dyDescent="0.25">
      <c r="A31" s="50">
        <v>29</v>
      </c>
      <c r="B31" s="50">
        <v>6.0737457969402673</v>
      </c>
      <c r="C31" s="50">
        <v>0</v>
      </c>
      <c r="D31" s="50">
        <v>0</v>
      </c>
      <c r="E31" s="50">
        <v>1</v>
      </c>
      <c r="F31" s="50">
        <v>1.2745794914650472</v>
      </c>
      <c r="G31" s="50">
        <v>0.14498785791662738</v>
      </c>
    </row>
    <row r="32" spans="1:7" x14ac:dyDescent="0.25">
      <c r="A32" s="50">
        <v>30</v>
      </c>
      <c r="B32" s="50">
        <v>6.2831853071795853</v>
      </c>
      <c r="C32" s="50">
        <v>0</v>
      </c>
      <c r="D32" s="50">
        <v>0</v>
      </c>
      <c r="E32" s="50">
        <v>1</v>
      </c>
      <c r="F32" s="50">
        <v>1.3982376248155151</v>
      </c>
      <c r="G32" s="50">
        <v>0.14498785791662738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A066E-4B01-E34B-B080-5EEC4D1B4FA4}">
  <sheetPr codeName="Sheet35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50"/>
  </cols>
  <sheetData>
    <row r="2" spans="1:10" s="51" customFormat="1" x14ac:dyDescent="0.25">
      <c r="B2" s="51" t="s">
        <v>169</v>
      </c>
      <c r="C2" s="51" t="s">
        <v>172</v>
      </c>
      <c r="D2" s="51" t="s">
        <v>171</v>
      </c>
      <c r="E2" s="51" t="s">
        <v>170</v>
      </c>
      <c r="F2" s="51" t="s">
        <v>175</v>
      </c>
      <c r="G2" s="51" t="s">
        <v>174</v>
      </c>
      <c r="H2" s="51" t="s">
        <v>173</v>
      </c>
      <c r="I2" s="51" t="s">
        <v>18</v>
      </c>
      <c r="J2" s="51" t="s">
        <v>16</v>
      </c>
    </row>
    <row r="3" spans="1:10" x14ac:dyDescent="0.25">
      <c r="A3" s="50">
        <v>1</v>
      </c>
      <c r="B3" s="50">
        <v>0.20943951023931953</v>
      </c>
      <c r="C3" s="50">
        <v>1</v>
      </c>
      <c r="D3" s="50">
        <v>0</v>
      </c>
      <c r="E3" s="50">
        <v>0</v>
      </c>
      <c r="F3" s="50">
        <f t="shared" ref="F3:F32" si="0">$B3*C3</f>
        <v>0.20943951023931953</v>
      </c>
      <c r="G3" s="50">
        <f t="shared" ref="G3:G32" si="1">$B3*D3</f>
        <v>0</v>
      </c>
      <c r="H3" s="50">
        <f t="shared" ref="H3:H32" si="2">$B3*E3</f>
        <v>0</v>
      </c>
      <c r="I3" s="50">
        <v>-1.0584942919841807</v>
      </c>
      <c r="J3" s="50" cm="1">
        <f t="array" ref="J3:J32">TREND(I3:I32,C3:H32,C3:H32,FALSE)</f>
        <v>-0.94946760961501697</v>
      </c>
    </row>
    <row r="4" spans="1:10" x14ac:dyDescent="0.25">
      <c r="A4" s="50">
        <v>2</v>
      </c>
      <c r="B4" s="50">
        <v>0.41887902047863906</v>
      </c>
      <c r="C4" s="50">
        <v>1</v>
      </c>
      <c r="D4" s="50">
        <v>0</v>
      </c>
      <c r="E4" s="50">
        <v>0</v>
      </c>
      <c r="F4" s="50">
        <f t="shared" si="0"/>
        <v>0.41887902047863906</v>
      </c>
      <c r="G4" s="50">
        <f t="shared" si="1"/>
        <v>0</v>
      </c>
      <c r="H4" s="50">
        <f t="shared" si="2"/>
        <v>0</v>
      </c>
      <c r="I4" s="50">
        <v>-1.0115837814668849</v>
      </c>
      <c r="J4" s="50">
        <v>-0.71558697658496018</v>
      </c>
    </row>
    <row r="5" spans="1:10" x14ac:dyDescent="0.25">
      <c r="A5" s="50">
        <v>3</v>
      </c>
      <c r="B5" s="50">
        <v>0.62831853071795862</v>
      </c>
      <c r="C5" s="50">
        <v>1</v>
      </c>
      <c r="D5" s="50">
        <v>0</v>
      </c>
      <c r="E5" s="50">
        <v>0</v>
      </c>
      <c r="F5" s="50">
        <f t="shared" si="0"/>
        <v>0.62831853071795862</v>
      </c>
      <c r="G5" s="50">
        <f t="shared" si="1"/>
        <v>0</v>
      </c>
      <c r="H5" s="50">
        <f t="shared" si="2"/>
        <v>0</v>
      </c>
      <c r="I5" s="50">
        <v>-0.67059413777823096</v>
      </c>
      <c r="J5" s="50">
        <v>-0.48170634355490327</v>
      </c>
    </row>
    <row r="6" spans="1:10" x14ac:dyDescent="0.25">
      <c r="A6" s="50">
        <v>4</v>
      </c>
      <c r="B6" s="50">
        <v>0.83775804095727813</v>
      </c>
      <c r="C6" s="50">
        <v>1</v>
      </c>
      <c r="D6" s="50">
        <v>0</v>
      </c>
      <c r="E6" s="50">
        <v>0</v>
      </c>
      <c r="F6" s="50">
        <f t="shared" si="0"/>
        <v>0.83775804095727813</v>
      </c>
      <c r="G6" s="50">
        <f t="shared" si="1"/>
        <v>0</v>
      </c>
      <c r="H6" s="50">
        <f t="shared" si="2"/>
        <v>0</v>
      </c>
      <c r="I6" s="50">
        <v>-7.8907528339460575E-2</v>
      </c>
      <c r="J6" s="50">
        <v>-0.24782571052484648</v>
      </c>
    </row>
    <row r="7" spans="1:10" x14ac:dyDescent="0.25">
      <c r="A7" s="50">
        <v>5</v>
      </c>
      <c r="B7" s="50">
        <v>1.0471975511965976</v>
      </c>
      <c r="C7" s="50">
        <v>1</v>
      </c>
      <c r="D7" s="50">
        <v>0</v>
      </c>
      <c r="E7" s="50">
        <v>0</v>
      </c>
      <c r="F7" s="50">
        <f t="shared" si="0"/>
        <v>1.0471975511965976</v>
      </c>
      <c r="G7" s="50">
        <f t="shared" si="1"/>
        <v>0</v>
      </c>
      <c r="H7" s="50">
        <f t="shared" si="2"/>
        <v>0</v>
      </c>
      <c r="I7" s="50">
        <v>0.19372967770232674</v>
      </c>
      <c r="J7" s="50">
        <v>-1.3945077494789571E-2</v>
      </c>
    </row>
    <row r="8" spans="1:10" x14ac:dyDescent="0.25">
      <c r="A8" s="50">
        <v>6</v>
      </c>
      <c r="B8" s="50">
        <v>1.2566370614359172</v>
      </c>
      <c r="C8" s="50">
        <v>1</v>
      </c>
      <c r="D8" s="50">
        <v>0</v>
      </c>
      <c r="E8" s="50">
        <v>0</v>
      </c>
      <c r="F8" s="50">
        <f t="shared" si="0"/>
        <v>1.2566370614359172</v>
      </c>
      <c r="G8" s="50">
        <f t="shared" si="1"/>
        <v>0</v>
      </c>
      <c r="H8" s="50">
        <f t="shared" si="2"/>
        <v>0</v>
      </c>
      <c r="I8" s="50">
        <v>0.71211759028393917</v>
      </c>
      <c r="J8" s="50">
        <v>0.21993555553526734</v>
      </c>
    </row>
    <row r="9" spans="1:10" x14ac:dyDescent="0.25">
      <c r="A9" s="50">
        <v>7</v>
      </c>
      <c r="B9" s="50">
        <v>1.4660765716752369</v>
      </c>
      <c r="C9" s="50">
        <v>1</v>
      </c>
      <c r="D9" s="50">
        <v>0</v>
      </c>
      <c r="E9" s="50">
        <v>0</v>
      </c>
      <c r="F9" s="50">
        <f t="shared" si="0"/>
        <v>1.4660765716752369</v>
      </c>
      <c r="G9" s="50">
        <f t="shared" si="1"/>
        <v>0</v>
      </c>
      <c r="H9" s="50">
        <f t="shared" si="2"/>
        <v>0</v>
      </c>
      <c r="I9" s="50">
        <v>0.46458641028249809</v>
      </c>
      <c r="J9" s="50">
        <v>0.45381618856532424</v>
      </c>
    </row>
    <row r="10" spans="1:10" x14ac:dyDescent="0.25">
      <c r="A10" s="50">
        <v>8</v>
      </c>
      <c r="B10" s="50">
        <v>1.6755160819145563</v>
      </c>
      <c r="C10" s="50">
        <v>1</v>
      </c>
      <c r="D10" s="50">
        <v>0</v>
      </c>
      <c r="E10" s="50">
        <v>0</v>
      </c>
      <c r="F10" s="50">
        <f t="shared" si="0"/>
        <v>1.6755160819145563</v>
      </c>
      <c r="G10" s="50">
        <f t="shared" si="1"/>
        <v>0</v>
      </c>
      <c r="H10" s="50">
        <f t="shared" si="2"/>
        <v>0</v>
      </c>
      <c r="I10" s="50">
        <v>1.0904375200021745</v>
      </c>
      <c r="J10" s="50">
        <v>0.68769682159538092</v>
      </c>
    </row>
    <row r="11" spans="1:10" x14ac:dyDescent="0.25">
      <c r="A11" s="50">
        <v>9</v>
      </c>
      <c r="B11" s="50">
        <v>1.8849555921538759</v>
      </c>
      <c r="C11" s="50">
        <v>1</v>
      </c>
      <c r="D11" s="50">
        <v>0</v>
      </c>
      <c r="E11" s="50">
        <v>0</v>
      </c>
      <c r="F11" s="50">
        <f t="shared" si="0"/>
        <v>1.8849555921538759</v>
      </c>
      <c r="G11" s="50">
        <f t="shared" si="1"/>
        <v>0</v>
      </c>
      <c r="H11" s="50">
        <f t="shared" si="2"/>
        <v>0</v>
      </c>
      <c r="I11" s="50">
        <v>0.73460352450894062</v>
      </c>
      <c r="J11" s="50">
        <v>0.92157745462543783</v>
      </c>
    </row>
    <row r="12" spans="1:10" x14ac:dyDescent="0.25">
      <c r="A12" s="50">
        <v>10</v>
      </c>
      <c r="B12" s="50">
        <v>2.0943951023931953</v>
      </c>
      <c r="C12" s="50">
        <v>1</v>
      </c>
      <c r="D12" s="50">
        <v>0</v>
      </c>
      <c r="E12" s="50">
        <v>0</v>
      </c>
      <c r="F12" s="50">
        <f t="shared" si="0"/>
        <v>2.0943951023931953</v>
      </c>
      <c r="G12" s="50">
        <f t="shared" si="1"/>
        <v>0</v>
      </c>
      <c r="H12" s="50">
        <f t="shared" si="2"/>
        <v>0</v>
      </c>
      <c r="I12" s="50">
        <v>0.65405740699127635</v>
      </c>
      <c r="J12" s="50">
        <v>1.1554580876554947</v>
      </c>
    </row>
    <row r="13" spans="1:10" x14ac:dyDescent="0.25">
      <c r="A13" s="50">
        <v>11</v>
      </c>
      <c r="B13" s="50">
        <v>2.3038346126325147</v>
      </c>
      <c r="C13" s="50">
        <v>0</v>
      </c>
      <c r="D13" s="50">
        <v>1</v>
      </c>
      <c r="E13" s="50">
        <v>0</v>
      </c>
      <c r="F13" s="50">
        <f t="shared" si="0"/>
        <v>0</v>
      </c>
      <c r="G13" s="50">
        <f t="shared" si="1"/>
        <v>2.3038346126325147</v>
      </c>
      <c r="H13" s="50">
        <f t="shared" si="2"/>
        <v>0</v>
      </c>
      <c r="I13" s="50">
        <v>0.57004534084851322</v>
      </c>
      <c r="J13" s="50">
        <v>0.2772519263294112</v>
      </c>
    </row>
    <row r="14" spans="1:10" x14ac:dyDescent="0.25">
      <c r="A14" s="50">
        <v>12</v>
      </c>
      <c r="B14" s="50">
        <v>2.5132741228718345</v>
      </c>
      <c r="C14" s="50">
        <v>0</v>
      </c>
      <c r="D14" s="50">
        <v>1</v>
      </c>
      <c r="E14" s="50">
        <v>0</v>
      </c>
      <c r="F14" s="50">
        <f t="shared" si="0"/>
        <v>0</v>
      </c>
      <c r="G14" s="50">
        <f t="shared" si="1"/>
        <v>2.5132741228718345</v>
      </c>
      <c r="H14" s="50">
        <f t="shared" si="2"/>
        <v>0</v>
      </c>
      <c r="I14" s="50">
        <v>-0.15194780570688993</v>
      </c>
      <c r="J14" s="50">
        <v>0.18979269734178184</v>
      </c>
    </row>
    <row r="15" spans="1:10" x14ac:dyDescent="0.25">
      <c r="A15" s="50">
        <v>13</v>
      </c>
      <c r="B15" s="50">
        <v>2.7227136331111543</v>
      </c>
      <c r="C15" s="50">
        <v>0</v>
      </c>
      <c r="D15" s="50">
        <v>1</v>
      </c>
      <c r="E15" s="50">
        <v>0</v>
      </c>
      <c r="F15" s="50">
        <f t="shared" si="0"/>
        <v>0</v>
      </c>
      <c r="G15" s="50">
        <f t="shared" si="1"/>
        <v>2.7227136331111543</v>
      </c>
      <c r="H15" s="50">
        <f t="shared" si="2"/>
        <v>0</v>
      </c>
      <c r="I15" s="50">
        <v>4.9191643383140769E-2</v>
      </c>
      <c r="J15" s="50">
        <v>0.10233346835415236</v>
      </c>
    </row>
    <row r="16" spans="1:10" x14ac:dyDescent="0.25">
      <c r="A16" s="50">
        <v>14</v>
      </c>
      <c r="B16" s="50">
        <v>2.9321531433504737</v>
      </c>
      <c r="C16" s="50">
        <v>0</v>
      </c>
      <c r="D16" s="50">
        <v>1</v>
      </c>
      <c r="E16" s="50">
        <v>0</v>
      </c>
      <c r="F16" s="50">
        <f t="shared" si="0"/>
        <v>0</v>
      </c>
      <c r="G16" s="50">
        <f t="shared" si="1"/>
        <v>2.9321531433504737</v>
      </c>
      <c r="H16" s="50">
        <f t="shared" si="2"/>
        <v>0</v>
      </c>
      <c r="I16" s="50">
        <v>-0.23766540139636769</v>
      </c>
      <c r="J16" s="50">
        <v>1.4874239366523101E-2</v>
      </c>
    </row>
    <row r="17" spans="1:10" x14ac:dyDescent="0.25">
      <c r="A17" s="50">
        <v>15</v>
      </c>
      <c r="B17" s="50">
        <v>3.1415926535897927</v>
      </c>
      <c r="C17" s="50">
        <v>0</v>
      </c>
      <c r="D17" s="50">
        <v>1</v>
      </c>
      <c r="E17" s="50">
        <v>0</v>
      </c>
      <c r="F17" s="50">
        <f t="shared" si="0"/>
        <v>0</v>
      </c>
      <c r="G17" s="50">
        <f t="shared" si="1"/>
        <v>3.1415926535897927</v>
      </c>
      <c r="H17" s="50">
        <f t="shared" si="2"/>
        <v>0</v>
      </c>
      <c r="I17" s="50">
        <v>7.2641248128490127E-2</v>
      </c>
      <c r="J17" s="50">
        <v>-7.2584989621106155E-2</v>
      </c>
    </row>
    <row r="18" spans="1:10" x14ac:dyDescent="0.25">
      <c r="A18" s="50">
        <v>16</v>
      </c>
      <c r="B18" s="50">
        <v>3.3510321638291125</v>
      </c>
      <c r="C18" s="50">
        <v>0</v>
      </c>
      <c r="D18" s="50">
        <v>1</v>
      </c>
      <c r="E18" s="50">
        <v>0</v>
      </c>
      <c r="F18" s="50">
        <f t="shared" si="0"/>
        <v>0</v>
      </c>
      <c r="G18" s="50">
        <f t="shared" si="1"/>
        <v>3.3510321638291125</v>
      </c>
      <c r="H18" s="50">
        <f t="shared" si="2"/>
        <v>0</v>
      </c>
      <c r="I18" s="50">
        <v>2.1344472249498331E-2</v>
      </c>
      <c r="J18" s="50">
        <v>-0.16004421860873541</v>
      </c>
    </row>
    <row r="19" spans="1:10" x14ac:dyDescent="0.25">
      <c r="A19" s="50">
        <v>17</v>
      </c>
      <c r="B19" s="50">
        <v>3.5604716740684323</v>
      </c>
      <c r="C19" s="50">
        <v>0</v>
      </c>
      <c r="D19" s="50">
        <v>1</v>
      </c>
      <c r="E19" s="50">
        <v>0</v>
      </c>
      <c r="F19" s="50">
        <f t="shared" si="0"/>
        <v>0</v>
      </c>
      <c r="G19" s="50">
        <f t="shared" si="1"/>
        <v>3.5604716740684323</v>
      </c>
      <c r="H19" s="50">
        <f t="shared" si="2"/>
        <v>0</v>
      </c>
      <c r="I19" s="50">
        <v>4.3416060207188134E-4</v>
      </c>
      <c r="J19" s="50">
        <v>-0.24750344759636489</v>
      </c>
    </row>
    <row r="20" spans="1:10" x14ac:dyDescent="0.25">
      <c r="A20" s="50">
        <v>18</v>
      </c>
      <c r="B20" s="50">
        <v>3.7699111843077517</v>
      </c>
      <c r="C20" s="50">
        <v>0</v>
      </c>
      <c r="D20" s="50">
        <v>1</v>
      </c>
      <c r="E20" s="50">
        <v>0</v>
      </c>
      <c r="F20" s="50">
        <f t="shared" si="0"/>
        <v>0</v>
      </c>
      <c r="G20" s="50">
        <f t="shared" si="1"/>
        <v>3.7699111843077517</v>
      </c>
      <c r="H20" s="50">
        <f t="shared" si="2"/>
        <v>0</v>
      </c>
      <c r="I20" s="50">
        <v>-0.48127635421609938</v>
      </c>
      <c r="J20" s="50">
        <v>-0.33496267658399415</v>
      </c>
    </row>
    <row r="21" spans="1:10" x14ac:dyDescent="0.25">
      <c r="A21" s="50">
        <v>19</v>
      </c>
      <c r="B21" s="50">
        <v>3.9793506945470711</v>
      </c>
      <c r="C21" s="50">
        <v>0</v>
      </c>
      <c r="D21" s="50">
        <v>1</v>
      </c>
      <c r="E21" s="50">
        <v>0</v>
      </c>
      <c r="F21" s="50">
        <f t="shared" si="0"/>
        <v>0</v>
      </c>
      <c r="G21" s="50">
        <f t="shared" si="1"/>
        <v>3.9793506945470711</v>
      </c>
      <c r="H21" s="50">
        <f t="shared" si="2"/>
        <v>0</v>
      </c>
      <c r="I21" s="50">
        <v>-0.33927941399176736</v>
      </c>
      <c r="J21" s="50">
        <v>-0.4224219055716234</v>
      </c>
    </row>
    <row r="22" spans="1:10" x14ac:dyDescent="0.25">
      <c r="A22" s="50">
        <v>20</v>
      </c>
      <c r="B22" s="50">
        <v>4.1887902047863905</v>
      </c>
      <c r="C22" s="50">
        <v>0</v>
      </c>
      <c r="D22" s="50">
        <v>1</v>
      </c>
      <c r="E22" s="50">
        <v>0</v>
      </c>
      <c r="F22" s="50">
        <f t="shared" si="0"/>
        <v>0</v>
      </c>
      <c r="G22" s="50">
        <f t="shared" si="1"/>
        <v>4.1887902047863905</v>
      </c>
      <c r="H22" s="50">
        <f t="shared" si="2"/>
        <v>0</v>
      </c>
      <c r="I22" s="50">
        <v>-0.66663393104980051</v>
      </c>
      <c r="J22" s="50">
        <v>-0.50988113455925266</v>
      </c>
    </row>
    <row r="23" spans="1:10" x14ac:dyDescent="0.25">
      <c r="A23" s="50">
        <v>21</v>
      </c>
      <c r="B23" s="50">
        <v>4.3982297150257104</v>
      </c>
      <c r="C23" s="50">
        <v>0</v>
      </c>
      <c r="D23" s="50">
        <v>0</v>
      </c>
      <c r="E23" s="50">
        <v>1</v>
      </c>
      <c r="F23" s="50">
        <f t="shared" si="0"/>
        <v>0</v>
      </c>
      <c r="G23" s="50">
        <f t="shared" si="1"/>
        <v>0</v>
      </c>
      <c r="H23" s="50">
        <f t="shared" si="2"/>
        <v>4.3982297150257104</v>
      </c>
      <c r="I23" s="50">
        <v>-0.82049127729304749</v>
      </c>
      <c r="J23" s="50">
        <v>-1.1571913656355504</v>
      </c>
    </row>
    <row r="24" spans="1:10" x14ac:dyDescent="0.25">
      <c r="A24" s="50">
        <v>22</v>
      </c>
      <c r="B24" s="50">
        <v>4.6076692252650293</v>
      </c>
      <c r="C24" s="50">
        <v>0</v>
      </c>
      <c r="D24" s="50">
        <v>0</v>
      </c>
      <c r="E24" s="50">
        <v>1</v>
      </c>
      <c r="F24" s="50">
        <f t="shared" si="0"/>
        <v>0</v>
      </c>
      <c r="G24" s="50">
        <f t="shared" si="1"/>
        <v>0</v>
      </c>
      <c r="H24" s="50">
        <f t="shared" si="2"/>
        <v>4.6076692252650293</v>
      </c>
      <c r="I24" s="50">
        <v>-0.93606956280844389</v>
      </c>
      <c r="J24" s="50">
        <v>-0.867818204846178</v>
      </c>
    </row>
    <row r="25" spans="1:10" x14ac:dyDescent="0.25">
      <c r="A25" s="50">
        <v>23</v>
      </c>
      <c r="B25" s="50">
        <v>4.8171087355043491</v>
      </c>
      <c r="C25" s="50">
        <v>0</v>
      </c>
      <c r="D25" s="50">
        <v>0</v>
      </c>
      <c r="E25" s="50">
        <v>1</v>
      </c>
      <c r="F25" s="50">
        <f t="shared" si="0"/>
        <v>0</v>
      </c>
      <c r="G25" s="50">
        <f t="shared" si="1"/>
        <v>0</v>
      </c>
      <c r="H25" s="50">
        <f t="shared" si="2"/>
        <v>4.8171087355043491</v>
      </c>
      <c r="I25" s="50">
        <v>-0.70020245579705642</v>
      </c>
      <c r="J25" s="50">
        <v>-0.57844504405680475</v>
      </c>
    </row>
    <row r="26" spans="1:10" x14ac:dyDescent="0.25">
      <c r="A26" s="50">
        <v>24</v>
      </c>
      <c r="B26" s="50">
        <v>5.026548245743669</v>
      </c>
      <c r="C26" s="50">
        <v>0</v>
      </c>
      <c r="D26" s="50">
        <v>0</v>
      </c>
      <c r="E26" s="50">
        <v>1</v>
      </c>
      <c r="F26" s="50">
        <f t="shared" si="0"/>
        <v>0</v>
      </c>
      <c r="G26" s="50">
        <f t="shared" si="1"/>
        <v>0</v>
      </c>
      <c r="H26" s="50">
        <f t="shared" si="2"/>
        <v>5.026548245743669</v>
      </c>
      <c r="I26" s="50">
        <v>-0.48320257654754589</v>
      </c>
      <c r="J26" s="50">
        <v>-0.2890718832674315</v>
      </c>
    </row>
    <row r="27" spans="1:10" x14ac:dyDescent="0.25">
      <c r="A27" s="50">
        <v>25</v>
      </c>
      <c r="B27" s="50">
        <v>5.2359877559829888</v>
      </c>
      <c r="C27" s="50">
        <v>0</v>
      </c>
      <c r="D27" s="50">
        <v>0</v>
      </c>
      <c r="E27" s="50">
        <v>1</v>
      </c>
      <c r="F27" s="50">
        <f t="shared" si="0"/>
        <v>0</v>
      </c>
      <c r="G27" s="50">
        <f t="shared" si="1"/>
        <v>0</v>
      </c>
      <c r="H27" s="50">
        <f t="shared" si="2"/>
        <v>5.2359877559829888</v>
      </c>
      <c r="I27" s="50">
        <v>2.507130588071016E-2</v>
      </c>
      <c r="J27" s="50">
        <v>3.0127752194175628E-4</v>
      </c>
    </row>
    <row r="28" spans="1:10" x14ac:dyDescent="0.25">
      <c r="A28" s="50">
        <v>26</v>
      </c>
      <c r="B28" s="50">
        <v>5.4454272662223087</v>
      </c>
      <c r="C28" s="50">
        <v>0</v>
      </c>
      <c r="D28" s="50">
        <v>0</v>
      </c>
      <c r="E28" s="50">
        <v>1</v>
      </c>
      <c r="F28" s="50">
        <f t="shared" si="0"/>
        <v>0</v>
      </c>
      <c r="G28" s="50">
        <f t="shared" si="1"/>
        <v>0</v>
      </c>
      <c r="H28" s="50">
        <f t="shared" si="2"/>
        <v>5.4454272662223087</v>
      </c>
      <c r="I28" s="50">
        <v>0.14363276847356277</v>
      </c>
      <c r="J28" s="50">
        <v>0.28967443831131501</v>
      </c>
    </row>
    <row r="29" spans="1:10" x14ac:dyDescent="0.25">
      <c r="A29" s="50">
        <v>27</v>
      </c>
      <c r="B29" s="50">
        <v>5.6548667764616276</v>
      </c>
      <c r="C29" s="50">
        <v>0</v>
      </c>
      <c r="D29" s="50">
        <v>0</v>
      </c>
      <c r="E29" s="50">
        <v>1</v>
      </c>
      <c r="F29" s="50">
        <f t="shared" si="0"/>
        <v>0</v>
      </c>
      <c r="G29" s="50">
        <f t="shared" si="1"/>
        <v>0</v>
      </c>
      <c r="H29" s="50">
        <f t="shared" si="2"/>
        <v>5.6548667764616276</v>
      </c>
      <c r="I29" s="50">
        <v>0.25366487237671459</v>
      </c>
      <c r="J29" s="50">
        <v>0.57904759910068648</v>
      </c>
    </row>
    <row r="30" spans="1:10" x14ac:dyDescent="0.25">
      <c r="A30" s="50">
        <v>28</v>
      </c>
      <c r="B30" s="50">
        <v>5.8643062867009474</v>
      </c>
      <c r="C30" s="50">
        <v>0</v>
      </c>
      <c r="D30" s="50">
        <v>0</v>
      </c>
      <c r="E30" s="50">
        <v>1</v>
      </c>
      <c r="F30" s="50">
        <f t="shared" si="0"/>
        <v>0</v>
      </c>
      <c r="G30" s="50">
        <f t="shared" si="1"/>
        <v>0</v>
      </c>
      <c r="H30" s="50">
        <f t="shared" si="2"/>
        <v>5.8643062867009474</v>
      </c>
      <c r="I30" s="50">
        <v>1.2946583886008181</v>
      </c>
      <c r="J30" s="50">
        <v>0.86842075989006062</v>
      </c>
    </row>
    <row r="31" spans="1:10" x14ac:dyDescent="0.25">
      <c r="A31" s="50">
        <v>29</v>
      </c>
      <c r="B31" s="50">
        <v>6.0737457969402673</v>
      </c>
      <c r="C31" s="50">
        <v>0</v>
      </c>
      <c r="D31" s="50">
        <v>0</v>
      </c>
      <c r="E31" s="50">
        <v>1</v>
      </c>
      <c r="F31" s="50">
        <f t="shared" si="0"/>
        <v>0</v>
      </c>
      <c r="G31" s="50">
        <f t="shared" si="1"/>
        <v>0</v>
      </c>
      <c r="H31" s="50">
        <f t="shared" si="2"/>
        <v>6.0737457969402673</v>
      </c>
      <c r="I31" s="50">
        <v>1.2745794914650472</v>
      </c>
      <c r="J31" s="50">
        <v>1.157793920679433</v>
      </c>
    </row>
    <row r="32" spans="1:10" x14ac:dyDescent="0.25">
      <c r="A32" s="50">
        <v>30</v>
      </c>
      <c r="B32" s="50">
        <v>6.2831853071795853</v>
      </c>
      <c r="C32" s="50">
        <v>0</v>
      </c>
      <c r="D32" s="50">
        <v>0</v>
      </c>
      <c r="E32" s="50">
        <v>1</v>
      </c>
      <c r="F32" s="50">
        <f t="shared" si="0"/>
        <v>0</v>
      </c>
      <c r="G32" s="50">
        <f t="shared" si="1"/>
        <v>0</v>
      </c>
      <c r="H32" s="50">
        <f t="shared" si="2"/>
        <v>6.2831853071795853</v>
      </c>
      <c r="I32" s="50">
        <v>1.3982376248155151</v>
      </c>
      <c r="J32" s="50">
        <v>1.4471670814688036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21F0-E6C1-5141-A121-D10195750260}">
  <sheetPr codeName="Sheet36">
    <tabColor rgb="FFFF0000"/>
  </sheetPr>
  <dimension ref="A2:Q32"/>
  <sheetViews>
    <sheetView workbookViewId="0"/>
  </sheetViews>
  <sheetFormatPr baseColWidth="10" defaultRowHeight="19" x14ac:dyDescent="0.25"/>
  <cols>
    <col min="1" max="16384" width="10.83203125" style="50"/>
  </cols>
  <sheetData>
    <row r="2" spans="1:17" s="51" customFormat="1" x14ac:dyDescent="0.25">
      <c r="B2" s="51" t="s">
        <v>169</v>
      </c>
      <c r="C2" s="51" t="s">
        <v>172</v>
      </c>
      <c r="D2" s="51" t="s">
        <v>171</v>
      </c>
      <c r="E2" s="51" t="s">
        <v>170</v>
      </c>
      <c r="F2" s="51" t="s">
        <v>175</v>
      </c>
      <c r="G2" s="51" t="s">
        <v>174</v>
      </c>
      <c r="H2" s="51" t="s">
        <v>173</v>
      </c>
      <c r="I2" s="51" t="s">
        <v>18</v>
      </c>
      <c r="J2" s="51" t="s">
        <v>16</v>
      </c>
    </row>
    <row r="3" spans="1:17" x14ac:dyDescent="0.25">
      <c r="A3" s="50">
        <v>1</v>
      </c>
      <c r="B3" s="50">
        <v>0.20943951023931953</v>
      </c>
      <c r="C3" s="50">
        <v>1</v>
      </c>
      <c r="D3" s="50">
        <v>0</v>
      </c>
      <c r="E3" s="50">
        <v>0</v>
      </c>
      <c r="F3" s="50">
        <f t="shared" ref="F3:F32" si="0">$B3*C3</f>
        <v>0.20943951023931953</v>
      </c>
      <c r="G3" s="50">
        <f t="shared" ref="G3:G32" si="1">$B3*D3</f>
        <v>0</v>
      </c>
      <c r="H3" s="50">
        <f t="shared" ref="H3:H32" si="2">$B3*E3</f>
        <v>0</v>
      </c>
      <c r="I3" s="50">
        <v>-1.0584942919841807</v>
      </c>
      <c r="J3" s="50" cm="1">
        <f t="array" ref="J3:J32">TREND(I3:I32,C3:H32,C3:H32,FALSE)</f>
        <v>-0.94946760961501697</v>
      </c>
      <c r="K3" s="50" cm="1">
        <f t="array" ref="K3:Q7">LINEST(I3:I32,C3:H32,FALSE,TRUE)</f>
        <v>1.3816550681326354</v>
      </c>
      <c r="L3" s="50">
        <v>-0.41758705837161564</v>
      </c>
      <c r="M3" s="50">
        <v>1.1166977652058547</v>
      </c>
      <c r="N3" s="50">
        <v>-7.2340277422123798</v>
      </c>
      <c r="O3" s="50">
        <v>1.2393034451933336</v>
      </c>
      <c r="P3" s="50">
        <v>-1.1833482426450739</v>
      </c>
      <c r="Q3" s="50">
        <v>0</v>
      </c>
    </row>
    <row r="4" spans="1:17" x14ac:dyDescent="0.25">
      <c r="A4" s="50">
        <v>2</v>
      </c>
      <c r="B4" s="50">
        <v>0.41887902047863906</v>
      </c>
      <c r="C4" s="50">
        <v>1</v>
      </c>
      <c r="D4" s="50">
        <v>0</v>
      </c>
      <c r="E4" s="50">
        <v>0</v>
      </c>
      <c r="F4" s="50">
        <f t="shared" si="0"/>
        <v>0.41887902047863906</v>
      </c>
      <c r="G4" s="50">
        <f t="shared" si="1"/>
        <v>0</v>
      </c>
      <c r="H4" s="50">
        <f t="shared" si="2"/>
        <v>0</v>
      </c>
      <c r="I4" s="50">
        <v>-1.0115837814668849</v>
      </c>
      <c r="J4" s="50">
        <v>-0.71558697658496018</v>
      </c>
      <c r="K4" s="50">
        <v>0.14520728871519786</v>
      </c>
      <c r="L4" s="50">
        <v>0.14520728871519789</v>
      </c>
      <c r="M4" s="50">
        <v>0.14520728871519786</v>
      </c>
      <c r="N4" s="50">
        <v>0.78041376285291653</v>
      </c>
      <c r="O4" s="50">
        <v>0.47941346385480721</v>
      </c>
      <c r="P4" s="50">
        <v>0.18870238743117199</v>
      </c>
      <c r="Q4" s="50" t="e">
        <v>#N/A</v>
      </c>
    </row>
    <row r="5" spans="1:17" x14ac:dyDescent="0.25">
      <c r="A5" s="50">
        <v>3</v>
      </c>
      <c r="B5" s="50">
        <v>0.62831853071795862</v>
      </c>
      <c r="C5" s="50">
        <v>1</v>
      </c>
      <c r="D5" s="50">
        <v>0</v>
      </c>
      <c r="E5" s="50">
        <v>0</v>
      </c>
      <c r="F5" s="50">
        <f t="shared" si="0"/>
        <v>0.62831853071795862</v>
      </c>
      <c r="G5" s="50">
        <f t="shared" si="1"/>
        <v>0</v>
      </c>
      <c r="H5" s="50">
        <f t="shared" si="2"/>
        <v>0</v>
      </c>
      <c r="I5" s="50">
        <v>-0.67059413777823096</v>
      </c>
      <c r="J5" s="50">
        <v>-0.48170634355490327</v>
      </c>
      <c r="K5" s="50">
        <v>0.87224969932548324</v>
      </c>
      <c r="L5" s="50">
        <v>0.27623201048946444</v>
      </c>
      <c r="M5" s="50" t="e">
        <v>#N/A</v>
      </c>
      <c r="N5" s="50" t="e">
        <v>#N/A</v>
      </c>
      <c r="O5" s="50" t="e">
        <v>#N/A</v>
      </c>
      <c r="P5" s="50" t="e">
        <v>#N/A</v>
      </c>
      <c r="Q5" s="50" t="e">
        <v>#N/A</v>
      </c>
    </row>
    <row r="6" spans="1:17" x14ac:dyDescent="0.25">
      <c r="A6" s="50">
        <v>4</v>
      </c>
      <c r="B6" s="50">
        <v>0.83775804095727813</v>
      </c>
      <c r="C6" s="50">
        <v>1</v>
      </c>
      <c r="D6" s="50">
        <v>0</v>
      </c>
      <c r="E6" s="50">
        <v>0</v>
      </c>
      <c r="F6" s="50">
        <f t="shared" si="0"/>
        <v>0.83775804095727813</v>
      </c>
      <c r="G6" s="50">
        <f t="shared" si="1"/>
        <v>0</v>
      </c>
      <c r="H6" s="50">
        <f t="shared" si="2"/>
        <v>0</v>
      </c>
      <c r="I6" s="50">
        <v>-7.8907528339460575E-2</v>
      </c>
      <c r="J6" s="50">
        <v>-0.24782571052484648</v>
      </c>
      <c r="K6" s="50">
        <v>27.311080904546987</v>
      </c>
      <c r="L6" s="50">
        <v>24</v>
      </c>
      <c r="M6" s="50" t="e">
        <v>#N/A</v>
      </c>
      <c r="N6" s="50" t="e">
        <v>#N/A</v>
      </c>
      <c r="O6" s="50" t="e">
        <v>#N/A</v>
      </c>
      <c r="P6" s="50" t="e">
        <v>#N/A</v>
      </c>
      <c r="Q6" s="50" t="e">
        <v>#N/A</v>
      </c>
    </row>
    <row r="7" spans="1:17" x14ac:dyDescent="0.25">
      <c r="A7" s="50">
        <v>5</v>
      </c>
      <c r="B7" s="50">
        <v>1.0471975511965976</v>
      </c>
      <c r="C7" s="50">
        <v>1</v>
      </c>
      <c r="D7" s="50">
        <v>0</v>
      </c>
      <c r="E7" s="50">
        <v>0</v>
      </c>
      <c r="F7" s="50">
        <f t="shared" si="0"/>
        <v>1.0471975511965976</v>
      </c>
      <c r="G7" s="50">
        <f t="shared" si="1"/>
        <v>0</v>
      </c>
      <c r="H7" s="50">
        <f t="shared" si="2"/>
        <v>0</v>
      </c>
      <c r="I7" s="50">
        <v>0.19372967770232674</v>
      </c>
      <c r="J7" s="50">
        <v>-1.3945077494789571E-2</v>
      </c>
      <c r="K7" s="50">
        <v>12.503688561062837</v>
      </c>
      <c r="L7" s="50">
        <v>1.8312989668572386</v>
      </c>
      <c r="M7" s="50" t="e">
        <v>#N/A</v>
      </c>
      <c r="N7" s="50" t="e">
        <v>#N/A</v>
      </c>
      <c r="O7" s="50" t="e">
        <v>#N/A</v>
      </c>
      <c r="P7" s="50" t="e">
        <v>#N/A</v>
      </c>
      <c r="Q7" s="50" t="e">
        <v>#N/A</v>
      </c>
    </row>
    <row r="8" spans="1:17" x14ac:dyDescent="0.25">
      <c r="A8" s="50">
        <v>6</v>
      </c>
      <c r="B8" s="50">
        <v>1.2566370614359172</v>
      </c>
      <c r="C8" s="50">
        <v>1</v>
      </c>
      <c r="D8" s="50">
        <v>0</v>
      </c>
      <c r="E8" s="50">
        <v>0</v>
      </c>
      <c r="F8" s="50">
        <f t="shared" si="0"/>
        <v>1.2566370614359172</v>
      </c>
      <c r="G8" s="50">
        <f t="shared" si="1"/>
        <v>0</v>
      </c>
      <c r="H8" s="50">
        <f t="shared" si="2"/>
        <v>0</v>
      </c>
      <c r="I8" s="50">
        <v>0.71211759028393917</v>
      </c>
      <c r="J8" s="50">
        <v>0.21993555553526734</v>
      </c>
    </row>
    <row r="9" spans="1:17" x14ac:dyDescent="0.25">
      <c r="A9" s="50">
        <v>7</v>
      </c>
      <c r="B9" s="50">
        <v>1.4660765716752369</v>
      </c>
      <c r="C9" s="50">
        <v>1</v>
      </c>
      <c r="D9" s="50">
        <v>0</v>
      </c>
      <c r="E9" s="50">
        <v>0</v>
      </c>
      <c r="F9" s="50">
        <f t="shared" si="0"/>
        <v>1.4660765716752369</v>
      </c>
      <c r="G9" s="50">
        <f t="shared" si="1"/>
        <v>0</v>
      </c>
      <c r="H9" s="50">
        <f t="shared" si="2"/>
        <v>0</v>
      </c>
      <c r="I9" s="50">
        <v>0.46458641028249809</v>
      </c>
      <c r="J9" s="50">
        <v>0.45381618856532424</v>
      </c>
    </row>
    <row r="10" spans="1:17" x14ac:dyDescent="0.25">
      <c r="A10" s="50">
        <v>8</v>
      </c>
      <c r="B10" s="50">
        <v>1.6755160819145563</v>
      </c>
      <c r="C10" s="50">
        <v>1</v>
      </c>
      <c r="D10" s="50">
        <v>0</v>
      </c>
      <c r="E10" s="50">
        <v>0</v>
      </c>
      <c r="F10" s="50">
        <f t="shared" si="0"/>
        <v>1.6755160819145563</v>
      </c>
      <c r="G10" s="50">
        <f t="shared" si="1"/>
        <v>0</v>
      </c>
      <c r="H10" s="50">
        <f t="shared" si="2"/>
        <v>0</v>
      </c>
      <c r="I10" s="50">
        <v>1.0904375200021745</v>
      </c>
      <c r="J10" s="50">
        <v>0.68769682159538092</v>
      </c>
    </row>
    <row r="11" spans="1:17" x14ac:dyDescent="0.25">
      <c r="A11" s="50">
        <v>9</v>
      </c>
      <c r="B11" s="50">
        <v>1.8849555921538759</v>
      </c>
      <c r="C11" s="50">
        <v>1</v>
      </c>
      <c r="D11" s="50">
        <v>0</v>
      </c>
      <c r="E11" s="50">
        <v>0</v>
      </c>
      <c r="F11" s="50">
        <f t="shared" si="0"/>
        <v>1.8849555921538759</v>
      </c>
      <c r="G11" s="50">
        <f t="shared" si="1"/>
        <v>0</v>
      </c>
      <c r="H11" s="50">
        <f t="shared" si="2"/>
        <v>0</v>
      </c>
      <c r="I11" s="50">
        <v>0.73460352450894062</v>
      </c>
      <c r="J11" s="50">
        <v>0.92157745462543783</v>
      </c>
    </row>
    <row r="12" spans="1:17" x14ac:dyDescent="0.25">
      <c r="A12" s="50">
        <v>10</v>
      </c>
      <c r="B12" s="50">
        <v>2.0943951023931953</v>
      </c>
      <c r="C12" s="50">
        <v>1</v>
      </c>
      <c r="D12" s="50">
        <v>0</v>
      </c>
      <c r="E12" s="50">
        <v>0</v>
      </c>
      <c r="F12" s="50">
        <f t="shared" si="0"/>
        <v>2.0943951023931953</v>
      </c>
      <c r="G12" s="50">
        <f t="shared" si="1"/>
        <v>0</v>
      </c>
      <c r="H12" s="50">
        <f t="shared" si="2"/>
        <v>0</v>
      </c>
      <c r="I12" s="50">
        <v>0.65405740699127635</v>
      </c>
      <c r="J12" s="50">
        <v>1.1554580876554947</v>
      </c>
    </row>
    <row r="13" spans="1:17" x14ac:dyDescent="0.25">
      <c r="A13" s="50">
        <v>11</v>
      </c>
      <c r="B13" s="50">
        <v>2.3038346126325147</v>
      </c>
      <c r="C13" s="50">
        <v>0</v>
      </c>
      <c r="D13" s="50">
        <v>1</v>
      </c>
      <c r="E13" s="50">
        <v>0</v>
      </c>
      <c r="F13" s="50">
        <f t="shared" si="0"/>
        <v>0</v>
      </c>
      <c r="G13" s="50">
        <f t="shared" si="1"/>
        <v>2.3038346126325147</v>
      </c>
      <c r="H13" s="50">
        <f t="shared" si="2"/>
        <v>0</v>
      </c>
      <c r="I13" s="50">
        <v>0.57004534084851322</v>
      </c>
      <c r="J13" s="50">
        <v>0.2772519263294112</v>
      </c>
    </row>
    <row r="14" spans="1:17" x14ac:dyDescent="0.25">
      <c r="A14" s="50">
        <v>12</v>
      </c>
      <c r="B14" s="50">
        <v>2.5132741228718345</v>
      </c>
      <c r="C14" s="50">
        <v>0</v>
      </c>
      <c r="D14" s="50">
        <v>1</v>
      </c>
      <c r="E14" s="50">
        <v>0</v>
      </c>
      <c r="F14" s="50">
        <f t="shared" si="0"/>
        <v>0</v>
      </c>
      <c r="G14" s="50">
        <f t="shared" si="1"/>
        <v>2.5132741228718345</v>
      </c>
      <c r="H14" s="50">
        <f t="shared" si="2"/>
        <v>0</v>
      </c>
      <c r="I14" s="50">
        <v>-0.15194780570688993</v>
      </c>
      <c r="J14" s="50">
        <v>0.18979269734178184</v>
      </c>
    </row>
    <row r="15" spans="1:17" x14ac:dyDescent="0.25">
      <c r="A15" s="50">
        <v>13</v>
      </c>
      <c r="B15" s="50">
        <v>2.7227136331111543</v>
      </c>
      <c r="C15" s="50">
        <v>0</v>
      </c>
      <c r="D15" s="50">
        <v>1</v>
      </c>
      <c r="E15" s="50">
        <v>0</v>
      </c>
      <c r="F15" s="50">
        <f t="shared" si="0"/>
        <v>0</v>
      </c>
      <c r="G15" s="50">
        <f t="shared" si="1"/>
        <v>2.7227136331111543</v>
      </c>
      <c r="H15" s="50">
        <f t="shared" si="2"/>
        <v>0</v>
      </c>
      <c r="I15" s="50">
        <v>4.9191643383140769E-2</v>
      </c>
      <c r="J15" s="50">
        <v>0.10233346835415236</v>
      </c>
    </row>
    <row r="16" spans="1:17" x14ac:dyDescent="0.25">
      <c r="A16" s="50">
        <v>14</v>
      </c>
      <c r="B16" s="50">
        <v>2.9321531433504737</v>
      </c>
      <c r="C16" s="50">
        <v>0</v>
      </c>
      <c r="D16" s="50">
        <v>1</v>
      </c>
      <c r="E16" s="50">
        <v>0</v>
      </c>
      <c r="F16" s="50">
        <f t="shared" si="0"/>
        <v>0</v>
      </c>
      <c r="G16" s="50">
        <f t="shared" si="1"/>
        <v>2.9321531433504737</v>
      </c>
      <c r="H16" s="50">
        <f t="shared" si="2"/>
        <v>0</v>
      </c>
      <c r="I16" s="50">
        <v>-0.23766540139636769</v>
      </c>
      <c r="J16" s="50">
        <v>1.4874239366523101E-2</v>
      </c>
    </row>
    <row r="17" spans="1:10" x14ac:dyDescent="0.25">
      <c r="A17" s="50">
        <v>15</v>
      </c>
      <c r="B17" s="50">
        <v>3.1415926535897927</v>
      </c>
      <c r="C17" s="50">
        <v>0</v>
      </c>
      <c r="D17" s="50">
        <v>1</v>
      </c>
      <c r="E17" s="50">
        <v>0</v>
      </c>
      <c r="F17" s="50">
        <f t="shared" si="0"/>
        <v>0</v>
      </c>
      <c r="G17" s="50">
        <f t="shared" si="1"/>
        <v>3.1415926535897927</v>
      </c>
      <c r="H17" s="50">
        <f t="shared" si="2"/>
        <v>0</v>
      </c>
      <c r="I17" s="50">
        <v>7.2641248128490127E-2</v>
      </c>
      <c r="J17" s="50">
        <v>-7.2584989621106155E-2</v>
      </c>
    </row>
    <row r="18" spans="1:10" x14ac:dyDescent="0.25">
      <c r="A18" s="50">
        <v>16</v>
      </c>
      <c r="B18" s="50">
        <v>3.3510321638291125</v>
      </c>
      <c r="C18" s="50">
        <v>0</v>
      </c>
      <c r="D18" s="50">
        <v>1</v>
      </c>
      <c r="E18" s="50">
        <v>0</v>
      </c>
      <c r="F18" s="50">
        <f t="shared" si="0"/>
        <v>0</v>
      </c>
      <c r="G18" s="50">
        <f t="shared" si="1"/>
        <v>3.3510321638291125</v>
      </c>
      <c r="H18" s="50">
        <f t="shared" si="2"/>
        <v>0</v>
      </c>
      <c r="I18" s="50">
        <v>2.1344472249498331E-2</v>
      </c>
      <c r="J18" s="50">
        <v>-0.16004421860873541</v>
      </c>
    </row>
    <row r="19" spans="1:10" x14ac:dyDescent="0.25">
      <c r="A19" s="50">
        <v>17</v>
      </c>
      <c r="B19" s="50">
        <v>3.5604716740684323</v>
      </c>
      <c r="C19" s="50">
        <v>0</v>
      </c>
      <c r="D19" s="50">
        <v>1</v>
      </c>
      <c r="E19" s="50">
        <v>0</v>
      </c>
      <c r="F19" s="50">
        <f t="shared" si="0"/>
        <v>0</v>
      </c>
      <c r="G19" s="50">
        <f t="shared" si="1"/>
        <v>3.5604716740684323</v>
      </c>
      <c r="H19" s="50">
        <f t="shared" si="2"/>
        <v>0</v>
      </c>
      <c r="I19" s="50">
        <v>4.3416060207188134E-4</v>
      </c>
      <c r="J19" s="50">
        <v>-0.24750344759636489</v>
      </c>
    </row>
    <row r="20" spans="1:10" x14ac:dyDescent="0.25">
      <c r="A20" s="50">
        <v>18</v>
      </c>
      <c r="B20" s="50">
        <v>3.7699111843077517</v>
      </c>
      <c r="C20" s="50">
        <v>0</v>
      </c>
      <c r="D20" s="50">
        <v>1</v>
      </c>
      <c r="E20" s="50">
        <v>0</v>
      </c>
      <c r="F20" s="50">
        <f t="shared" si="0"/>
        <v>0</v>
      </c>
      <c r="G20" s="50">
        <f t="shared" si="1"/>
        <v>3.7699111843077517</v>
      </c>
      <c r="H20" s="50">
        <f t="shared" si="2"/>
        <v>0</v>
      </c>
      <c r="I20" s="50">
        <v>-0.48127635421609938</v>
      </c>
      <c r="J20" s="50">
        <v>-0.33496267658399415</v>
      </c>
    </row>
    <row r="21" spans="1:10" x14ac:dyDescent="0.25">
      <c r="A21" s="50">
        <v>19</v>
      </c>
      <c r="B21" s="50">
        <v>3.9793506945470711</v>
      </c>
      <c r="C21" s="50">
        <v>0</v>
      </c>
      <c r="D21" s="50">
        <v>1</v>
      </c>
      <c r="E21" s="50">
        <v>0</v>
      </c>
      <c r="F21" s="50">
        <f t="shared" si="0"/>
        <v>0</v>
      </c>
      <c r="G21" s="50">
        <f t="shared" si="1"/>
        <v>3.9793506945470711</v>
      </c>
      <c r="H21" s="50">
        <f t="shared" si="2"/>
        <v>0</v>
      </c>
      <c r="I21" s="50">
        <v>-0.33927941399176736</v>
      </c>
      <c r="J21" s="50">
        <v>-0.4224219055716234</v>
      </c>
    </row>
    <row r="22" spans="1:10" x14ac:dyDescent="0.25">
      <c r="A22" s="50">
        <v>20</v>
      </c>
      <c r="B22" s="50">
        <v>4.1887902047863905</v>
      </c>
      <c r="C22" s="50">
        <v>0</v>
      </c>
      <c r="D22" s="50">
        <v>1</v>
      </c>
      <c r="E22" s="50">
        <v>0</v>
      </c>
      <c r="F22" s="50">
        <f t="shared" si="0"/>
        <v>0</v>
      </c>
      <c r="G22" s="50">
        <f t="shared" si="1"/>
        <v>4.1887902047863905</v>
      </c>
      <c r="H22" s="50">
        <f t="shared" si="2"/>
        <v>0</v>
      </c>
      <c r="I22" s="50">
        <v>-0.66663393104980051</v>
      </c>
      <c r="J22" s="50">
        <v>-0.50988113455925266</v>
      </c>
    </row>
    <row r="23" spans="1:10" x14ac:dyDescent="0.25">
      <c r="A23" s="50">
        <v>21</v>
      </c>
      <c r="B23" s="50">
        <v>4.3982297150257104</v>
      </c>
      <c r="C23" s="50">
        <v>0</v>
      </c>
      <c r="D23" s="50">
        <v>0</v>
      </c>
      <c r="E23" s="50">
        <v>1</v>
      </c>
      <c r="F23" s="50">
        <f t="shared" si="0"/>
        <v>0</v>
      </c>
      <c r="G23" s="50">
        <f t="shared" si="1"/>
        <v>0</v>
      </c>
      <c r="H23" s="50">
        <f t="shared" si="2"/>
        <v>4.3982297150257104</v>
      </c>
      <c r="I23" s="50">
        <v>-0.82049127729304749</v>
      </c>
      <c r="J23" s="50">
        <v>-1.1571913656355504</v>
      </c>
    </row>
    <row r="24" spans="1:10" x14ac:dyDescent="0.25">
      <c r="A24" s="50">
        <v>22</v>
      </c>
      <c r="B24" s="50">
        <v>4.6076692252650293</v>
      </c>
      <c r="C24" s="50">
        <v>0</v>
      </c>
      <c r="D24" s="50">
        <v>0</v>
      </c>
      <c r="E24" s="50">
        <v>1</v>
      </c>
      <c r="F24" s="50">
        <f t="shared" si="0"/>
        <v>0</v>
      </c>
      <c r="G24" s="50">
        <f t="shared" si="1"/>
        <v>0</v>
      </c>
      <c r="H24" s="50">
        <f t="shared" si="2"/>
        <v>4.6076692252650293</v>
      </c>
      <c r="I24" s="50">
        <v>-0.93606956280844389</v>
      </c>
      <c r="J24" s="50">
        <v>-0.867818204846178</v>
      </c>
    </row>
    <row r="25" spans="1:10" x14ac:dyDescent="0.25">
      <c r="A25" s="50">
        <v>23</v>
      </c>
      <c r="B25" s="50">
        <v>4.8171087355043491</v>
      </c>
      <c r="C25" s="50">
        <v>0</v>
      </c>
      <c r="D25" s="50">
        <v>0</v>
      </c>
      <c r="E25" s="50">
        <v>1</v>
      </c>
      <c r="F25" s="50">
        <f t="shared" si="0"/>
        <v>0</v>
      </c>
      <c r="G25" s="50">
        <f t="shared" si="1"/>
        <v>0</v>
      </c>
      <c r="H25" s="50">
        <f t="shared" si="2"/>
        <v>4.8171087355043491</v>
      </c>
      <c r="I25" s="50">
        <v>-0.70020245579705642</v>
      </c>
      <c r="J25" s="50">
        <v>-0.57844504405680475</v>
      </c>
    </row>
    <row r="26" spans="1:10" x14ac:dyDescent="0.25">
      <c r="A26" s="50">
        <v>24</v>
      </c>
      <c r="B26" s="50">
        <v>5.026548245743669</v>
      </c>
      <c r="C26" s="50">
        <v>0</v>
      </c>
      <c r="D26" s="50">
        <v>0</v>
      </c>
      <c r="E26" s="50">
        <v>1</v>
      </c>
      <c r="F26" s="50">
        <f t="shared" si="0"/>
        <v>0</v>
      </c>
      <c r="G26" s="50">
        <f t="shared" si="1"/>
        <v>0</v>
      </c>
      <c r="H26" s="50">
        <f t="shared" si="2"/>
        <v>5.026548245743669</v>
      </c>
      <c r="I26" s="50">
        <v>-0.48320257654754589</v>
      </c>
      <c r="J26" s="50">
        <v>-0.2890718832674315</v>
      </c>
    </row>
    <row r="27" spans="1:10" x14ac:dyDescent="0.25">
      <c r="A27" s="50">
        <v>25</v>
      </c>
      <c r="B27" s="50">
        <v>5.2359877559829888</v>
      </c>
      <c r="C27" s="50">
        <v>0</v>
      </c>
      <c r="D27" s="50">
        <v>0</v>
      </c>
      <c r="E27" s="50">
        <v>1</v>
      </c>
      <c r="F27" s="50">
        <f t="shared" si="0"/>
        <v>0</v>
      </c>
      <c r="G27" s="50">
        <f t="shared" si="1"/>
        <v>0</v>
      </c>
      <c r="H27" s="50">
        <f t="shared" si="2"/>
        <v>5.2359877559829888</v>
      </c>
      <c r="I27" s="50">
        <v>2.507130588071016E-2</v>
      </c>
      <c r="J27" s="50">
        <v>3.0127752194175628E-4</v>
      </c>
    </row>
    <row r="28" spans="1:10" x14ac:dyDescent="0.25">
      <c r="A28" s="50">
        <v>26</v>
      </c>
      <c r="B28" s="50">
        <v>5.4454272662223087</v>
      </c>
      <c r="C28" s="50">
        <v>0</v>
      </c>
      <c r="D28" s="50">
        <v>0</v>
      </c>
      <c r="E28" s="50">
        <v>1</v>
      </c>
      <c r="F28" s="50">
        <f t="shared" si="0"/>
        <v>0</v>
      </c>
      <c r="G28" s="50">
        <f t="shared" si="1"/>
        <v>0</v>
      </c>
      <c r="H28" s="50">
        <f t="shared" si="2"/>
        <v>5.4454272662223087</v>
      </c>
      <c r="I28" s="50">
        <v>0.14363276847356277</v>
      </c>
      <c r="J28" s="50">
        <v>0.28967443831131501</v>
      </c>
    </row>
    <row r="29" spans="1:10" x14ac:dyDescent="0.25">
      <c r="A29" s="50">
        <v>27</v>
      </c>
      <c r="B29" s="50">
        <v>5.6548667764616276</v>
      </c>
      <c r="C29" s="50">
        <v>0</v>
      </c>
      <c r="D29" s="50">
        <v>0</v>
      </c>
      <c r="E29" s="50">
        <v>1</v>
      </c>
      <c r="F29" s="50">
        <f t="shared" si="0"/>
        <v>0</v>
      </c>
      <c r="G29" s="50">
        <f t="shared" si="1"/>
        <v>0</v>
      </c>
      <c r="H29" s="50">
        <f t="shared" si="2"/>
        <v>5.6548667764616276</v>
      </c>
      <c r="I29" s="50">
        <v>0.25366487237671459</v>
      </c>
      <c r="J29" s="50">
        <v>0.57904759910068648</v>
      </c>
    </row>
    <row r="30" spans="1:10" x14ac:dyDescent="0.25">
      <c r="A30" s="50">
        <v>28</v>
      </c>
      <c r="B30" s="50">
        <v>5.8643062867009474</v>
      </c>
      <c r="C30" s="50">
        <v>0</v>
      </c>
      <c r="D30" s="50">
        <v>0</v>
      </c>
      <c r="E30" s="50">
        <v>1</v>
      </c>
      <c r="F30" s="50">
        <f t="shared" si="0"/>
        <v>0</v>
      </c>
      <c r="G30" s="50">
        <f t="shared" si="1"/>
        <v>0</v>
      </c>
      <c r="H30" s="50">
        <f t="shared" si="2"/>
        <v>5.8643062867009474</v>
      </c>
      <c r="I30" s="50">
        <v>1.2946583886008181</v>
      </c>
      <c r="J30" s="50">
        <v>0.86842075989006062</v>
      </c>
    </row>
    <row r="31" spans="1:10" x14ac:dyDescent="0.25">
      <c r="A31" s="50">
        <v>29</v>
      </c>
      <c r="B31" s="50">
        <v>6.0737457969402673</v>
      </c>
      <c r="C31" s="50">
        <v>0</v>
      </c>
      <c r="D31" s="50">
        <v>0</v>
      </c>
      <c r="E31" s="50">
        <v>1</v>
      </c>
      <c r="F31" s="50">
        <f t="shared" si="0"/>
        <v>0</v>
      </c>
      <c r="G31" s="50">
        <f t="shared" si="1"/>
        <v>0</v>
      </c>
      <c r="H31" s="50">
        <f t="shared" si="2"/>
        <v>6.0737457969402673</v>
      </c>
      <c r="I31" s="50">
        <v>1.2745794914650472</v>
      </c>
      <c r="J31" s="50">
        <v>1.157793920679433</v>
      </c>
    </row>
    <row r="32" spans="1:10" x14ac:dyDescent="0.25">
      <c r="A32" s="50">
        <v>30</v>
      </c>
      <c r="B32" s="50">
        <v>6.2831853071795853</v>
      </c>
      <c r="C32" s="50">
        <v>0</v>
      </c>
      <c r="D32" s="50">
        <v>0</v>
      </c>
      <c r="E32" s="50">
        <v>1</v>
      </c>
      <c r="F32" s="50">
        <f t="shared" si="0"/>
        <v>0</v>
      </c>
      <c r="G32" s="50">
        <f t="shared" si="1"/>
        <v>0</v>
      </c>
      <c r="H32" s="50">
        <f t="shared" si="2"/>
        <v>6.2831853071795853</v>
      </c>
      <c r="I32" s="50">
        <v>1.3982376248155151</v>
      </c>
      <c r="J32" s="50">
        <v>1.4471670814688036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13A47-0413-A44B-9ECF-6845A2E48C39}">
  <sheetPr codeName="Sheet37">
    <tabColor rgb="FFFF0000"/>
  </sheetPr>
  <dimension ref="A2:P32"/>
  <sheetViews>
    <sheetView workbookViewId="0"/>
  </sheetViews>
  <sheetFormatPr baseColWidth="10" defaultRowHeight="19" x14ac:dyDescent="0.25"/>
  <cols>
    <col min="1" max="1" width="3.5" style="50" bestFit="1" customWidth="1"/>
    <col min="2" max="2" width="14" style="50" bestFit="1" customWidth="1"/>
    <col min="3" max="8" width="4.5" style="50" bestFit="1" customWidth="1"/>
    <col min="9" max="16" width="7.6640625" style="50" customWidth="1"/>
    <col min="17" max="16384" width="10.83203125" style="50"/>
  </cols>
  <sheetData>
    <row r="2" spans="1:16" s="51" customFormat="1" x14ac:dyDescent="0.25">
      <c r="B2" s="51" t="s">
        <v>169</v>
      </c>
      <c r="C2" s="51" t="s">
        <v>172</v>
      </c>
      <c r="D2" s="51" t="s">
        <v>171</v>
      </c>
      <c r="E2" s="51" t="s">
        <v>170</v>
      </c>
      <c r="F2" s="51" t="s">
        <v>181</v>
      </c>
      <c r="G2" s="51" t="s">
        <v>180</v>
      </c>
      <c r="H2" s="51" t="s">
        <v>179</v>
      </c>
      <c r="I2" s="51" t="s">
        <v>175</v>
      </c>
      <c r="J2" s="51" t="s">
        <v>174</v>
      </c>
      <c r="K2" s="51" t="s">
        <v>173</v>
      </c>
      <c r="L2" s="51" t="s">
        <v>178</v>
      </c>
      <c r="M2" s="51" t="s">
        <v>177</v>
      </c>
      <c r="N2" s="51" t="s">
        <v>176</v>
      </c>
      <c r="O2" s="51" t="s">
        <v>18</v>
      </c>
      <c r="P2" s="51" t="s">
        <v>16</v>
      </c>
    </row>
    <row r="3" spans="1:16" x14ac:dyDescent="0.25">
      <c r="A3" s="50">
        <v>1</v>
      </c>
      <c r="B3" s="50">
        <v>0.20943951023931953</v>
      </c>
      <c r="C3" s="50">
        <v>1</v>
      </c>
      <c r="D3" s="50">
        <v>0</v>
      </c>
      <c r="E3" s="50">
        <v>0</v>
      </c>
      <c r="F3" s="50">
        <v>0</v>
      </c>
      <c r="G3" s="50">
        <v>0</v>
      </c>
      <c r="H3" s="50">
        <v>0</v>
      </c>
      <c r="I3" s="50">
        <f t="shared" ref="I3:I32" si="0">$B3*C3</f>
        <v>0.20943951023931953</v>
      </c>
      <c r="J3" s="50">
        <f t="shared" ref="J3:J32" si="1">$B3*D3</f>
        <v>0</v>
      </c>
      <c r="K3" s="50">
        <f t="shared" ref="K3:K32" si="2">$B3*E3</f>
        <v>0</v>
      </c>
      <c r="L3" s="50">
        <f t="shared" ref="L3:L32" si="3">$B3*F3</f>
        <v>0</v>
      </c>
      <c r="M3" s="50">
        <f t="shared" ref="M3:M32" si="4">$B3*G3</f>
        <v>0</v>
      </c>
      <c r="N3" s="50">
        <f t="shared" ref="N3:N32" si="5">$B3*H3</f>
        <v>0</v>
      </c>
      <c r="O3" s="50">
        <v>-1.0584942919841807</v>
      </c>
      <c r="P3" s="50" cm="1">
        <f t="array" ref="P3:P32">TREND(O3:O32,C3:N32,C3:N32,FALSE)</f>
        <v>-1.2125948508733759</v>
      </c>
    </row>
    <row r="4" spans="1:16" x14ac:dyDescent="0.25">
      <c r="A4" s="50">
        <v>2</v>
      </c>
      <c r="B4" s="50">
        <v>0.41887902047863906</v>
      </c>
      <c r="C4" s="50">
        <v>1</v>
      </c>
      <c r="D4" s="50">
        <v>0</v>
      </c>
      <c r="E4" s="50">
        <v>0</v>
      </c>
      <c r="F4" s="50">
        <v>0</v>
      </c>
      <c r="G4" s="50">
        <v>0</v>
      </c>
      <c r="H4" s="50">
        <v>0</v>
      </c>
      <c r="I4" s="50">
        <f t="shared" si="0"/>
        <v>0.41887902047863906</v>
      </c>
      <c r="J4" s="50">
        <f t="shared" si="1"/>
        <v>0</v>
      </c>
      <c r="K4" s="50">
        <f t="shared" si="2"/>
        <v>0</v>
      </c>
      <c r="L4" s="50">
        <f t="shared" si="3"/>
        <v>0</v>
      </c>
      <c r="M4" s="50">
        <f t="shared" si="4"/>
        <v>0</v>
      </c>
      <c r="N4" s="50">
        <f t="shared" si="5"/>
        <v>0</v>
      </c>
      <c r="O4" s="50">
        <v>-1.0115837814668849</v>
      </c>
      <c r="P4" s="50">
        <v>-0.86888243162333156</v>
      </c>
    </row>
    <row r="5" spans="1:16" x14ac:dyDescent="0.25">
      <c r="A5" s="50">
        <v>3</v>
      </c>
      <c r="B5" s="50">
        <v>0.62831853071795862</v>
      </c>
      <c r="C5" s="50">
        <v>1</v>
      </c>
      <c r="D5" s="50">
        <v>0</v>
      </c>
      <c r="E5" s="50">
        <v>0</v>
      </c>
      <c r="F5" s="50">
        <v>0</v>
      </c>
      <c r="G5" s="50">
        <v>0</v>
      </c>
      <c r="H5" s="50">
        <v>0</v>
      </c>
      <c r="I5" s="50">
        <f t="shared" si="0"/>
        <v>0.62831853071795862</v>
      </c>
      <c r="J5" s="50">
        <f t="shared" si="1"/>
        <v>0</v>
      </c>
      <c r="K5" s="50">
        <f t="shared" si="2"/>
        <v>0</v>
      </c>
      <c r="L5" s="50">
        <f t="shared" si="3"/>
        <v>0</v>
      </c>
      <c r="M5" s="50">
        <f t="shared" si="4"/>
        <v>0</v>
      </c>
      <c r="N5" s="50">
        <f t="shared" si="5"/>
        <v>0</v>
      </c>
      <c r="O5" s="50">
        <v>-0.67059413777823096</v>
      </c>
      <c r="P5" s="50">
        <v>-0.5251700123732872</v>
      </c>
    </row>
    <row r="6" spans="1:16" x14ac:dyDescent="0.25">
      <c r="A6" s="50">
        <v>4</v>
      </c>
      <c r="B6" s="50">
        <v>0.83775804095727813</v>
      </c>
      <c r="C6" s="50">
        <v>1</v>
      </c>
      <c r="D6" s="50">
        <v>0</v>
      </c>
      <c r="E6" s="50">
        <v>0</v>
      </c>
      <c r="F6" s="50">
        <v>0</v>
      </c>
      <c r="G6" s="50">
        <v>0</v>
      </c>
      <c r="H6" s="50">
        <v>0</v>
      </c>
      <c r="I6" s="50">
        <f t="shared" si="0"/>
        <v>0.83775804095727813</v>
      </c>
      <c r="J6" s="50">
        <f t="shared" si="1"/>
        <v>0</v>
      </c>
      <c r="K6" s="50">
        <f t="shared" si="2"/>
        <v>0</v>
      </c>
      <c r="L6" s="50">
        <f t="shared" si="3"/>
        <v>0</v>
      </c>
      <c r="M6" s="50">
        <f t="shared" si="4"/>
        <v>0</v>
      </c>
      <c r="N6" s="50">
        <f t="shared" si="5"/>
        <v>0</v>
      </c>
      <c r="O6" s="50">
        <v>-7.8907528339460575E-2</v>
      </c>
      <c r="P6" s="50">
        <v>-0.18145759312324294</v>
      </c>
    </row>
    <row r="7" spans="1:16" x14ac:dyDescent="0.25">
      <c r="A7" s="50">
        <v>5</v>
      </c>
      <c r="B7" s="50">
        <v>1.0471975511965976</v>
      </c>
      <c r="C7" s="50">
        <v>1</v>
      </c>
      <c r="D7" s="50">
        <v>0</v>
      </c>
      <c r="E7" s="50">
        <v>0</v>
      </c>
      <c r="F7" s="50">
        <v>0</v>
      </c>
      <c r="G7" s="50">
        <v>0</v>
      </c>
      <c r="H7" s="50">
        <v>0</v>
      </c>
      <c r="I7" s="50">
        <f t="shared" si="0"/>
        <v>1.0471975511965976</v>
      </c>
      <c r="J7" s="50">
        <f t="shared" si="1"/>
        <v>0</v>
      </c>
      <c r="K7" s="50">
        <f t="shared" si="2"/>
        <v>0</v>
      </c>
      <c r="L7" s="50">
        <f t="shared" si="3"/>
        <v>0</v>
      </c>
      <c r="M7" s="50">
        <f t="shared" si="4"/>
        <v>0</v>
      </c>
      <c r="N7" s="50">
        <f t="shared" si="5"/>
        <v>0</v>
      </c>
      <c r="O7" s="50">
        <v>0.19372967770232674</v>
      </c>
      <c r="P7" s="50">
        <v>0.16225482612680131</v>
      </c>
    </row>
    <row r="8" spans="1:16" x14ac:dyDescent="0.25">
      <c r="A8" s="50">
        <v>6</v>
      </c>
      <c r="B8" s="50">
        <v>1.2566370614359172</v>
      </c>
      <c r="C8" s="50">
        <v>0</v>
      </c>
      <c r="D8" s="50">
        <v>1</v>
      </c>
      <c r="E8" s="50">
        <v>0</v>
      </c>
      <c r="F8" s="50">
        <v>0</v>
      </c>
      <c r="G8" s="50">
        <v>0</v>
      </c>
      <c r="H8" s="50">
        <v>0</v>
      </c>
      <c r="I8" s="50">
        <f t="shared" si="0"/>
        <v>0</v>
      </c>
      <c r="J8" s="50">
        <f t="shared" si="1"/>
        <v>1.2566370614359172</v>
      </c>
      <c r="K8" s="50">
        <f t="shared" si="2"/>
        <v>0</v>
      </c>
      <c r="L8" s="50">
        <f t="shared" si="3"/>
        <v>0</v>
      </c>
      <c r="M8" s="50">
        <f t="shared" si="4"/>
        <v>0</v>
      </c>
      <c r="N8" s="50">
        <f t="shared" si="5"/>
        <v>0</v>
      </c>
      <c r="O8" s="50">
        <v>0.71211759028393917</v>
      </c>
      <c r="P8" s="50">
        <v>0.70038114088554237</v>
      </c>
    </row>
    <row r="9" spans="1:16" x14ac:dyDescent="0.25">
      <c r="A9" s="50">
        <v>7</v>
      </c>
      <c r="B9" s="50">
        <v>1.4660765716752369</v>
      </c>
      <c r="C9" s="50">
        <v>0</v>
      </c>
      <c r="D9" s="50">
        <v>1</v>
      </c>
      <c r="E9" s="50">
        <v>0</v>
      </c>
      <c r="F9" s="50">
        <v>0</v>
      </c>
      <c r="G9" s="50">
        <v>0</v>
      </c>
      <c r="H9" s="50">
        <v>0</v>
      </c>
      <c r="I9" s="50">
        <f t="shared" si="0"/>
        <v>0</v>
      </c>
      <c r="J9" s="50">
        <f t="shared" si="1"/>
        <v>1.4660765716752369</v>
      </c>
      <c r="K9" s="50">
        <f t="shared" si="2"/>
        <v>0</v>
      </c>
      <c r="L9" s="50">
        <f t="shared" si="3"/>
        <v>0</v>
      </c>
      <c r="M9" s="50">
        <f t="shared" si="4"/>
        <v>0</v>
      </c>
      <c r="N9" s="50">
        <f t="shared" si="5"/>
        <v>0</v>
      </c>
      <c r="O9" s="50">
        <v>0.46458641028249809</v>
      </c>
      <c r="P9" s="50">
        <v>0.71577081564965417</v>
      </c>
    </row>
    <row r="10" spans="1:16" x14ac:dyDescent="0.25">
      <c r="A10" s="50">
        <v>8</v>
      </c>
      <c r="B10" s="50">
        <v>1.6755160819145563</v>
      </c>
      <c r="C10" s="50">
        <v>0</v>
      </c>
      <c r="D10" s="50">
        <v>1</v>
      </c>
      <c r="E10" s="50">
        <v>0</v>
      </c>
      <c r="F10" s="50">
        <v>0</v>
      </c>
      <c r="G10" s="50">
        <v>0</v>
      </c>
      <c r="H10" s="50">
        <v>0</v>
      </c>
      <c r="I10" s="50">
        <f t="shared" si="0"/>
        <v>0</v>
      </c>
      <c r="J10" s="50">
        <f t="shared" si="1"/>
        <v>1.6755160819145563</v>
      </c>
      <c r="K10" s="50">
        <f t="shared" si="2"/>
        <v>0</v>
      </c>
      <c r="L10" s="50">
        <f t="shared" si="3"/>
        <v>0</v>
      </c>
      <c r="M10" s="50">
        <f t="shared" si="4"/>
        <v>0</v>
      </c>
      <c r="N10" s="50">
        <f t="shared" si="5"/>
        <v>0</v>
      </c>
      <c r="O10" s="50">
        <v>1.0904375200021745</v>
      </c>
      <c r="P10" s="50">
        <v>0.73116049041376596</v>
      </c>
    </row>
    <row r="11" spans="1:16" x14ac:dyDescent="0.25">
      <c r="A11" s="50">
        <v>9</v>
      </c>
      <c r="B11" s="50">
        <v>1.8849555921538759</v>
      </c>
      <c r="C11" s="50">
        <v>0</v>
      </c>
      <c r="D11" s="50">
        <v>1</v>
      </c>
      <c r="E11" s="50">
        <v>0</v>
      </c>
      <c r="F11" s="50">
        <v>0</v>
      </c>
      <c r="G11" s="50">
        <v>0</v>
      </c>
      <c r="H11" s="50">
        <v>0</v>
      </c>
      <c r="I11" s="50">
        <f t="shared" si="0"/>
        <v>0</v>
      </c>
      <c r="J11" s="50">
        <f t="shared" si="1"/>
        <v>1.8849555921538759</v>
      </c>
      <c r="K11" s="50">
        <f t="shared" si="2"/>
        <v>0</v>
      </c>
      <c r="L11" s="50">
        <f t="shared" si="3"/>
        <v>0</v>
      </c>
      <c r="M11" s="50">
        <f t="shared" si="4"/>
        <v>0</v>
      </c>
      <c r="N11" s="50">
        <f t="shared" si="5"/>
        <v>0</v>
      </c>
      <c r="O11" s="50">
        <v>0.73460352450894062</v>
      </c>
      <c r="P11" s="50">
        <v>0.74655016517787776</v>
      </c>
    </row>
    <row r="12" spans="1:16" x14ac:dyDescent="0.25">
      <c r="A12" s="50">
        <v>10</v>
      </c>
      <c r="B12" s="50">
        <v>2.0943951023931953</v>
      </c>
      <c r="C12" s="50">
        <v>0</v>
      </c>
      <c r="D12" s="50">
        <v>1</v>
      </c>
      <c r="E12" s="50">
        <v>0</v>
      </c>
      <c r="F12" s="50">
        <v>0</v>
      </c>
      <c r="G12" s="50">
        <v>0</v>
      </c>
      <c r="H12" s="50">
        <v>0</v>
      </c>
      <c r="I12" s="50">
        <f t="shared" si="0"/>
        <v>0</v>
      </c>
      <c r="J12" s="50">
        <f t="shared" si="1"/>
        <v>2.0943951023931953</v>
      </c>
      <c r="K12" s="50">
        <f t="shared" si="2"/>
        <v>0</v>
      </c>
      <c r="L12" s="50">
        <f t="shared" si="3"/>
        <v>0</v>
      </c>
      <c r="M12" s="50">
        <f t="shared" si="4"/>
        <v>0</v>
      </c>
      <c r="N12" s="50">
        <f t="shared" si="5"/>
        <v>0</v>
      </c>
      <c r="O12" s="50">
        <v>0.65405740699127635</v>
      </c>
      <c r="P12" s="50">
        <v>0.76193983994198955</v>
      </c>
    </row>
    <row r="13" spans="1:16" x14ac:dyDescent="0.25">
      <c r="A13" s="50">
        <v>11</v>
      </c>
      <c r="B13" s="50">
        <v>2.3038346126325147</v>
      </c>
      <c r="C13" s="50">
        <v>0</v>
      </c>
      <c r="D13" s="50">
        <v>0</v>
      </c>
      <c r="E13" s="50">
        <v>1</v>
      </c>
      <c r="F13" s="50">
        <v>0</v>
      </c>
      <c r="G13" s="50">
        <v>0</v>
      </c>
      <c r="H13" s="50">
        <v>0</v>
      </c>
      <c r="I13" s="50">
        <f t="shared" si="0"/>
        <v>0</v>
      </c>
      <c r="J13" s="50">
        <f t="shared" si="1"/>
        <v>0</v>
      </c>
      <c r="K13" s="50">
        <f t="shared" si="2"/>
        <v>2.3038346126325147</v>
      </c>
      <c r="L13" s="50">
        <f t="shared" si="3"/>
        <v>0</v>
      </c>
      <c r="M13" s="50">
        <f t="shared" si="4"/>
        <v>0</v>
      </c>
      <c r="N13" s="50">
        <f t="shared" si="5"/>
        <v>0</v>
      </c>
      <c r="O13" s="50">
        <v>0.57004534084851322</v>
      </c>
      <c r="P13" s="50">
        <v>0.27655816127728228</v>
      </c>
    </row>
    <row r="14" spans="1:16" x14ac:dyDescent="0.25">
      <c r="A14" s="50">
        <v>12</v>
      </c>
      <c r="B14" s="50">
        <v>2.5132741228718345</v>
      </c>
      <c r="C14" s="50">
        <v>0</v>
      </c>
      <c r="D14" s="50">
        <v>0</v>
      </c>
      <c r="E14" s="50">
        <v>1</v>
      </c>
      <c r="F14" s="50">
        <v>0</v>
      </c>
      <c r="G14" s="50">
        <v>0</v>
      </c>
      <c r="H14" s="50">
        <v>0</v>
      </c>
      <c r="I14" s="50">
        <f t="shared" si="0"/>
        <v>0</v>
      </c>
      <c r="J14" s="50">
        <f t="shared" si="1"/>
        <v>0</v>
      </c>
      <c r="K14" s="50">
        <f t="shared" si="2"/>
        <v>2.5132741228718345</v>
      </c>
      <c r="L14" s="50">
        <f t="shared" si="3"/>
        <v>0</v>
      </c>
      <c r="M14" s="50">
        <f t="shared" si="4"/>
        <v>0</v>
      </c>
      <c r="N14" s="50">
        <f t="shared" si="5"/>
        <v>0</v>
      </c>
      <c r="O14" s="50">
        <v>-0.15194780570688993</v>
      </c>
      <c r="P14" s="50">
        <v>0.16850558316432962</v>
      </c>
    </row>
    <row r="15" spans="1:16" x14ac:dyDescent="0.25">
      <c r="A15" s="50">
        <v>13</v>
      </c>
      <c r="B15" s="50">
        <v>2.7227136331111543</v>
      </c>
      <c r="C15" s="50">
        <v>0</v>
      </c>
      <c r="D15" s="50">
        <v>0</v>
      </c>
      <c r="E15" s="50">
        <v>1</v>
      </c>
      <c r="F15" s="50">
        <v>0</v>
      </c>
      <c r="G15" s="50">
        <v>0</v>
      </c>
      <c r="H15" s="50">
        <v>0</v>
      </c>
      <c r="I15" s="50">
        <f t="shared" si="0"/>
        <v>0</v>
      </c>
      <c r="J15" s="50">
        <f t="shared" si="1"/>
        <v>0</v>
      </c>
      <c r="K15" s="50">
        <f t="shared" si="2"/>
        <v>2.7227136331111543</v>
      </c>
      <c r="L15" s="50">
        <f t="shared" si="3"/>
        <v>0</v>
      </c>
      <c r="M15" s="50">
        <f t="shared" si="4"/>
        <v>0</v>
      </c>
      <c r="N15" s="50">
        <f t="shared" si="5"/>
        <v>0</v>
      </c>
      <c r="O15" s="50">
        <v>4.9191643383140769E-2</v>
      </c>
      <c r="P15" s="50">
        <v>6.0453005051376962E-2</v>
      </c>
    </row>
    <row r="16" spans="1:16" x14ac:dyDescent="0.25">
      <c r="A16" s="50">
        <v>14</v>
      </c>
      <c r="B16" s="50">
        <v>2.9321531433504737</v>
      </c>
      <c r="C16" s="50">
        <v>0</v>
      </c>
      <c r="D16" s="50">
        <v>0</v>
      </c>
      <c r="E16" s="50">
        <v>1</v>
      </c>
      <c r="F16" s="50">
        <v>0</v>
      </c>
      <c r="G16" s="50">
        <v>0</v>
      </c>
      <c r="H16" s="50">
        <v>0</v>
      </c>
      <c r="I16" s="50">
        <f t="shared" si="0"/>
        <v>0</v>
      </c>
      <c r="J16" s="50">
        <f t="shared" si="1"/>
        <v>0</v>
      </c>
      <c r="K16" s="50">
        <f t="shared" si="2"/>
        <v>2.9321531433504737</v>
      </c>
      <c r="L16" s="50">
        <f t="shared" si="3"/>
        <v>0</v>
      </c>
      <c r="M16" s="50">
        <f t="shared" si="4"/>
        <v>0</v>
      </c>
      <c r="N16" s="50">
        <f t="shared" si="5"/>
        <v>0</v>
      </c>
      <c r="O16" s="50">
        <v>-0.23766540139636769</v>
      </c>
      <c r="P16" s="50">
        <v>-4.7599573061575473E-2</v>
      </c>
    </row>
    <row r="17" spans="1:16" x14ac:dyDescent="0.25">
      <c r="A17" s="50">
        <v>15</v>
      </c>
      <c r="B17" s="50">
        <v>3.1415926535897927</v>
      </c>
      <c r="C17" s="50">
        <v>0</v>
      </c>
      <c r="D17" s="50">
        <v>0</v>
      </c>
      <c r="E17" s="50">
        <v>1</v>
      </c>
      <c r="F17" s="50">
        <v>0</v>
      </c>
      <c r="G17" s="50">
        <v>0</v>
      </c>
      <c r="H17" s="50">
        <v>0</v>
      </c>
      <c r="I17" s="50">
        <f t="shared" si="0"/>
        <v>0</v>
      </c>
      <c r="J17" s="50">
        <f t="shared" si="1"/>
        <v>0</v>
      </c>
      <c r="K17" s="50">
        <f t="shared" si="2"/>
        <v>3.1415926535897927</v>
      </c>
      <c r="L17" s="50">
        <f t="shared" si="3"/>
        <v>0</v>
      </c>
      <c r="M17" s="50">
        <f t="shared" si="4"/>
        <v>0</v>
      </c>
      <c r="N17" s="50">
        <f t="shared" si="5"/>
        <v>0</v>
      </c>
      <c r="O17" s="50">
        <v>7.2641248128490127E-2</v>
      </c>
      <c r="P17" s="50">
        <v>-0.15565215117452746</v>
      </c>
    </row>
    <row r="18" spans="1:16" x14ac:dyDescent="0.25">
      <c r="A18" s="50">
        <v>16</v>
      </c>
      <c r="B18" s="50">
        <v>3.3510321638291125</v>
      </c>
      <c r="C18" s="50">
        <v>0</v>
      </c>
      <c r="D18" s="50">
        <v>0</v>
      </c>
      <c r="E18" s="50">
        <v>0</v>
      </c>
      <c r="F18" s="50">
        <v>1</v>
      </c>
      <c r="G18" s="50">
        <v>0</v>
      </c>
      <c r="H18" s="50">
        <v>0</v>
      </c>
      <c r="I18" s="50">
        <f t="shared" si="0"/>
        <v>0</v>
      </c>
      <c r="J18" s="50">
        <f t="shared" si="1"/>
        <v>0</v>
      </c>
      <c r="K18" s="50">
        <f t="shared" si="2"/>
        <v>0</v>
      </c>
      <c r="L18" s="50">
        <f t="shared" si="3"/>
        <v>3.3510321638291125</v>
      </c>
      <c r="M18" s="50">
        <f t="shared" si="4"/>
        <v>0</v>
      </c>
      <c r="N18" s="50">
        <f t="shared" si="5"/>
        <v>0</v>
      </c>
      <c r="O18" s="50">
        <v>2.1344472249498331E-2</v>
      </c>
      <c r="P18" s="50">
        <v>5.00518629572686E-2</v>
      </c>
    </row>
    <row r="19" spans="1:16" x14ac:dyDescent="0.25">
      <c r="A19" s="50">
        <v>17</v>
      </c>
      <c r="B19" s="50">
        <v>3.5604716740684323</v>
      </c>
      <c r="C19" s="50">
        <v>0</v>
      </c>
      <c r="D19" s="50">
        <v>0</v>
      </c>
      <c r="E19" s="50">
        <v>0</v>
      </c>
      <c r="F19" s="50">
        <v>1</v>
      </c>
      <c r="G19" s="50">
        <v>0</v>
      </c>
      <c r="H19" s="50">
        <v>0</v>
      </c>
      <c r="I19" s="50">
        <f t="shared" si="0"/>
        <v>0</v>
      </c>
      <c r="J19" s="50">
        <f t="shared" si="1"/>
        <v>0</v>
      </c>
      <c r="K19" s="50">
        <f t="shared" si="2"/>
        <v>0</v>
      </c>
      <c r="L19" s="50">
        <f t="shared" si="3"/>
        <v>3.5604716740684323</v>
      </c>
      <c r="M19" s="50">
        <f t="shared" si="4"/>
        <v>0</v>
      </c>
      <c r="N19" s="50">
        <f t="shared" si="5"/>
        <v>0</v>
      </c>
      <c r="O19" s="50">
        <v>4.3416060207188134E-4</v>
      </c>
      <c r="P19" s="50">
        <v>-0.12151517516197519</v>
      </c>
    </row>
    <row r="20" spans="1:16" x14ac:dyDescent="0.25">
      <c r="A20" s="50">
        <v>18</v>
      </c>
      <c r="B20" s="50">
        <v>3.7699111843077517</v>
      </c>
      <c r="C20" s="50">
        <v>0</v>
      </c>
      <c r="D20" s="50">
        <v>0</v>
      </c>
      <c r="E20" s="50">
        <v>0</v>
      </c>
      <c r="F20" s="50">
        <v>1</v>
      </c>
      <c r="G20" s="50">
        <v>0</v>
      </c>
      <c r="H20" s="50">
        <v>0</v>
      </c>
      <c r="I20" s="50">
        <f t="shared" si="0"/>
        <v>0</v>
      </c>
      <c r="J20" s="50">
        <f t="shared" si="1"/>
        <v>0</v>
      </c>
      <c r="K20" s="50">
        <f t="shared" si="2"/>
        <v>0</v>
      </c>
      <c r="L20" s="50">
        <f t="shared" si="3"/>
        <v>3.7699111843077517</v>
      </c>
      <c r="M20" s="50">
        <f t="shared" si="4"/>
        <v>0</v>
      </c>
      <c r="N20" s="50">
        <f t="shared" si="5"/>
        <v>0</v>
      </c>
      <c r="O20" s="50">
        <v>-0.48127635421609938</v>
      </c>
      <c r="P20" s="50">
        <v>-0.29308221328121853</v>
      </c>
    </row>
    <row r="21" spans="1:16" x14ac:dyDescent="0.25">
      <c r="A21" s="50">
        <v>19</v>
      </c>
      <c r="B21" s="50">
        <v>3.9793506945470711</v>
      </c>
      <c r="C21" s="50">
        <v>0</v>
      </c>
      <c r="D21" s="50">
        <v>0</v>
      </c>
      <c r="E21" s="50">
        <v>0</v>
      </c>
      <c r="F21" s="50">
        <v>1</v>
      </c>
      <c r="G21" s="50">
        <v>0</v>
      </c>
      <c r="H21" s="50">
        <v>0</v>
      </c>
      <c r="I21" s="50">
        <f t="shared" si="0"/>
        <v>0</v>
      </c>
      <c r="J21" s="50">
        <f t="shared" si="1"/>
        <v>0</v>
      </c>
      <c r="K21" s="50">
        <f t="shared" si="2"/>
        <v>0</v>
      </c>
      <c r="L21" s="50">
        <f t="shared" si="3"/>
        <v>3.9793506945470711</v>
      </c>
      <c r="M21" s="50">
        <f t="shared" si="4"/>
        <v>0</v>
      </c>
      <c r="N21" s="50">
        <f t="shared" si="5"/>
        <v>0</v>
      </c>
      <c r="O21" s="50">
        <v>-0.33927941399176736</v>
      </c>
      <c r="P21" s="50">
        <v>-0.46464925140046232</v>
      </c>
    </row>
    <row r="22" spans="1:16" x14ac:dyDescent="0.25">
      <c r="A22" s="50">
        <v>20</v>
      </c>
      <c r="B22" s="50">
        <v>4.1887902047863905</v>
      </c>
      <c r="C22" s="50">
        <v>0</v>
      </c>
      <c r="D22" s="50">
        <v>0</v>
      </c>
      <c r="E22" s="50">
        <v>0</v>
      </c>
      <c r="F22" s="50">
        <v>1</v>
      </c>
      <c r="G22" s="50">
        <v>0</v>
      </c>
      <c r="H22" s="50">
        <v>0</v>
      </c>
      <c r="I22" s="50">
        <f t="shared" si="0"/>
        <v>0</v>
      </c>
      <c r="J22" s="50">
        <f t="shared" si="1"/>
        <v>0</v>
      </c>
      <c r="K22" s="50">
        <f t="shared" si="2"/>
        <v>0</v>
      </c>
      <c r="L22" s="50">
        <f t="shared" si="3"/>
        <v>4.1887902047863905</v>
      </c>
      <c r="M22" s="50">
        <f t="shared" si="4"/>
        <v>0</v>
      </c>
      <c r="N22" s="50">
        <f t="shared" si="5"/>
        <v>0</v>
      </c>
      <c r="O22" s="50">
        <v>-0.66663393104980051</v>
      </c>
      <c r="P22" s="50">
        <v>-0.63621628951970566</v>
      </c>
    </row>
    <row r="23" spans="1:16" x14ac:dyDescent="0.25">
      <c r="A23" s="50">
        <v>21</v>
      </c>
      <c r="B23" s="50">
        <v>4.3982297150257104</v>
      </c>
      <c r="C23" s="50">
        <v>0</v>
      </c>
      <c r="D23" s="50">
        <v>0</v>
      </c>
      <c r="E23" s="50">
        <v>0</v>
      </c>
      <c r="F23" s="50">
        <v>0</v>
      </c>
      <c r="G23" s="50">
        <v>1</v>
      </c>
      <c r="H23" s="50">
        <v>0</v>
      </c>
      <c r="I23" s="50">
        <f t="shared" si="0"/>
        <v>0</v>
      </c>
      <c r="J23" s="50">
        <f t="shared" si="1"/>
        <v>0</v>
      </c>
      <c r="K23" s="50">
        <f t="shared" si="2"/>
        <v>0</v>
      </c>
      <c r="L23" s="50">
        <f t="shared" si="3"/>
        <v>0</v>
      </c>
      <c r="M23" s="50">
        <f t="shared" si="4"/>
        <v>4.3982297150257104</v>
      </c>
      <c r="N23" s="50">
        <f t="shared" si="5"/>
        <v>0</v>
      </c>
      <c r="O23" s="50">
        <v>-0.82049127729304749</v>
      </c>
      <c r="P23" s="50">
        <v>-1.0117773438347601</v>
      </c>
    </row>
    <row r="24" spans="1:16" x14ac:dyDescent="0.25">
      <c r="A24" s="50">
        <v>22</v>
      </c>
      <c r="B24" s="50">
        <v>4.6076692252650293</v>
      </c>
      <c r="C24" s="50">
        <v>0</v>
      </c>
      <c r="D24" s="50">
        <v>0</v>
      </c>
      <c r="E24" s="50">
        <v>0</v>
      </c>
      <c r="F24" s="50">
        <v>0</v>
      </c>
      <c r="G24" s="50">
        <v>1</v>
      </c>
      <c r="H24" s="50">
        <v>0</v>
      </c>
      <c r="I24" s="50">
        <f t="shared" si="0"/>
        <v>0</v>
      </c>
      <c r="J24" s="50">
        <f t="shared" si="1"/>
        <v>0</v>
      </c>
      <c r="K24" s="50">
        <f t="shared" si="2"/>
        <v>0</v>
      </c>
      <c r="L24" s="50">
        <f t="shared" si="3"/>
        <v>0</v>
      </c>
      <c r="M24" s="50">
        <f t="shared" si="4"/>
        <v>4.6076692252650293</v>
      </c>
      <c r="N24" s="50">
        <f t="shared" si="5"/>
        <v>0</v>
      </c>
      <c r="O24" s="50">
        <v>-0.93606956280844389</v>
      </c>
      <c r="P24" s="50">
        <v>-0.79737812857391965</v>
      </c>
    </row>
    <row r="25" spans="1:16" x14ac:dyDescent="0.25">
      <c r="A25" s="50">
        <v>23</v>
      </c>
      <c r="B25" s="50">
        <v>4.8171087355043491</v>
      </c>
      <c r="C25" s="50">
        <v>0</v>
      </c>
      <c r="D25" s="50">
        <v>0</v>
      </c>
      <c r="E25" s="50">
        <v>0</v>
      </c>
      <c r="F25" s="50">
        <v>0</v>
      </c>
      <c r="G25" s="50">
        <v>1</v>
      </c>
      <c r="H25" s="50">
        <v>0</v>
      </c>
      <c r="I25" s="50">
        <f t="shared" si="0"/>
        <v>0</v>
      </c>
      <c r="J25" s="50">
        <f t="shared" si="1"/>
        <v>0</v>
      </c>
      <c r="K25" s="50">
        <f t="shared" si="2"/>
        <v>0</v>
      </c>
      <c r="L25" s="50">
        <f t="shared" si="3"/>
        <v>0</v>
      </c>
      <c r="M25" s="50">
        <f t="shared" si="4"/>
        <v>4.8171087355043491</v>
      </c>
      <c r="N25" s="50">
        <f t="shared" si="5"/>
        <v>0</v>
      </c>
      <c r="O25" s="50">
        <v>-0.70020245579705642</v>
      </c>
      <c r="P25" s="50">
        <v>-0.58297891331307827</v>
      </c>
    </row>
    <row r="26" spans="1:16" x14ac:dyDescent="0.25">
      <c r="A26" s="50">
        <v>24</v>
      </c>
      <c r="B26" s="50">
        <v>5.026548245743669</v>
      </c>
      <c r="C26" s="50">
        <v>0</v>
      </c>
      <c r="D26" s="50">
        <v>0</v>
      </c>
      <c r="E26" s="50">
        <v>0</v>
      </c>
      <c r="F26" s="50">
        <v>0</v>
      </c>
      <c r="G26" s="50">
        <v>1</v>
      </c>
      <c r="H26" s="50">
        <v>0</v>
      </c>
      <c r="I26" s="50">
        <f t="shared" si="0"/>
        <v>0</v>
      </c>
      <c r="J26" s="50">
        <f t="shared" si="1"/>
        <v>0</v>
      </c>
      <c r="K26" s="50">
        <f t="shared" si="2"/>
        <v>0</v>
      </c>
      <c r="L26" s="50">
        <f t="shared" si="3"/>
        <v>0</v>
      </c>
      <c r="M26" s="50">
        <f t="shared" si="4"/>
        <v>5.026548245743669</v>
      </c>
      <c r="N26" s="50">
        <f t="shared" si="5"/>
        <v>0</v>
      </c>
      <c r="O26" s="50">
        <v>-0.48320257654754589</v>
      </c>
      <c r="P26" s="50">
        <v>-0.368579698052236</v>
      </c>
    </row>
    <row r="27" spans="1:16" x14ac:dyDescent="0.25">
      <c r="A27" s="50">
        <v>25</v>
      </c>
      <c r="B27" s="50">
        <v>5.2359877559829888</v>
      </c>
      <c r="C27" s="50">
        <v>0</v>
      </c>
      <c r="D27" s="50">
        <v>0</v>
      </c>
      <c r="E27" s="50">
        <v>0</v>
      </c>
      <c r="F27" s="50">
        <v>0</v>
      </c>
      <c r="G27" s="50">
        <v>1</v>
      </c>
      <c r="H27" s="50">
        <v>0</v>
      </c>
      <c r="I27" s="50">
        <f t="shared" si="0"/>
        <v>0</v>
      </c>
      <c r="J27" s="50">
        <f t="shared" si="1"/>
        <v>0</v>
      </c>
      <c r="K27" s="50">
        <f t="shared" si="2"/>
        <v>0</v>
      </c>
      <c r="L27" s="50">
        <f t="shared" si="3"/>
        <v>0</v>
      </c>
      <c r="M27" s="50">
        <f t="shared" si="4"/>
        <v>5.2359877559829888</v>
      </c>
      <c r="N27" s="50">
        <f t="shared" si="5"/>
        <v>0</v>
      </c>
      <c r="O27" s="50">
        <v>2.507130588071016E-2</v>
      </c>
      <c r="P27" s="50">
        <v>-0.15418048279139462</v>
      </c>
    </row>
    <row r="28" spans="1:16" x14ac:dyDescent="0.25">
      <c r="A28" s="50">
        <v>26</v>
      </c>
      <c r="B28" s="50">
        <v>5.4454272662223087</v>
      </c>
      <c r="C28" s="50">
        <v>0</v>
      </c>
      <c r="D28" s="50">
        <v>0</v>
      </c>
      <c r="E28" s="50">
        <v>0</v>
      </c>
      <c r="F28" s="50">
        <v>0</v>
      </c>
      <c r="G28" s="50">
        <v>0</v>
      </c>
      <c r="H28" s="50">
        <v>1</v>
      </c>
      <c r="I28" s="50">
        <f t="shared" si="0"/>
        <v>0</v>
      </c>
      <c r="J28" s="50">
        <f t="shared" si="1"/>
        <v>0</v>
      </c>
      <c r="K28" s="50">
        <f t="shared" si="2"/>
        <v>0</v>
      </c>
      <c r="L28" s="50">
        <f t="shared" si="3"/>
        <v>0</v>
      </c>
      <c r="M28" s="50">
        <f t="shared" si="4"/>
        <v>0</v>
      </c>
      <c r="N28" s="50">
        <f t="shared" si="5"/>
        <v>5.4454272662223087</v>
      </c>
      <c r="O28" s="50">
        <v>0.14363276847356277</v>
      </c>
      <c r="P28" s="50">
        <v>0.16692976279188443</v>
      </c>
    </row>
    <row r="29" spans="1:16" x14ac:dyDescent="0.25">
      <c r="A29" s="50">
        <v>27</v>
      </c>
      <c r="B29" s="50">
        <v>5.6548667764616276</v>
      </c>
      <c r="C29" s="50">
        <v>0</v>
      </c>
      <c r="D29" s="50">
        <v>0</v>
      </c>
      <c r="E29" s="50">
        <v>0</v>
      </c>
      <c r="F29" s="50">
        <v>0</v>
      </c>
      <c r="G29" s="50">
        <v>0</v>
      </c>
      <c r="H29" s="50">
        <v>1</v>
      </c>
      <c r="I29" s="50">
        <f t="shared" si="0"/>
        <v>0</v>
      </c>
      <c r="J29" s="50">
        <f t="shared" si="1"/>
        <v>0</v>
      </c>
      <c r="K29" s="50">
        <f t="shared" si="2"/>
        <v>0</v>
      </c>
      <c r="L29" s="50">
        <f t="shared" si="3"/>
        <v>0</v>
      </c>
      <c r="M29" s="50">
        <f t="shared" si="4"/>
        <v>0</v>
      </c>
      <c r="N29" s="50">
        <f t="shared" si="5"/>
        <v>5.6548667764616276</v>
      </c>
      <c r="O29" s="50">
        <v>0.25366487237671459</v>
      </c>
      <c r="P29" s="50">
        <v>0.51994219596910796</v>
      </c>
    </row>
    <row r="30" spans="1:16" x14ac:dyDescent="0.25">
      <c r="A30" s="50">
        <v>28</v>
      </c>
      <c r="B30" s="50">
        <v>5.8643062867009474</v>
      </c>
      <c r="C30" s="50">
        <v>0</v>
      </c>
      <c r="D30" s="50">
        <v>0</v>
      </c>
      <c r="E30" s="50">
        <v>0</v>
      </c>
      <c r="F30" s="50">
        <v>0</v>
      </c>
      <c r="G30" s="50">
        <v>0</v>
      </c>
      <c r="H30" s="50">
        <v>1</v>
      </c>
      <c r="I30" s="50">
        <f t="shared" si="0"/>
        <v>0</v>
      </c>
      <c r="J30" s="50">
        <f t="shared" si="1"/>
        <v>0</v>
      </c>
      <c r="K30" s="50">
        <f t="shared" si="2"/>
        <v>0</v>
      </c>
      <c r="L30" s="50">
        <f t="shared" si="3"/>
        <v>0</v>
      </c>
      <c r="M30" s="50">
        <f t="shared" si="4"/>
        <v>0</v>
      </c>
      <c r="N30" s="50">
        <f t="shared" si="5"/>
        <v>5.8643062867009474</v>
      </c>
      <c r="O30" s="50">
        <v>1.2946583886008181</v>
      </c>
      <c r="P30" s="50">
        <v>0.87295462914633326</v>
      </c>
    </row>
    <row r="31" spans="1:16" x14ac:dyDescent="0.25">
      <c r="A31" s="50">
        <v>29</v>
      </c>
      <c r="B31" s="50">
        <v>6.0737457969402673</v>
      </c>
      <c r="C31" s="50">
        <v>0</v>
      </c>
      <c r="D31" s="50">
        <v>0</v>
      </c>
      <c r="E31" s="50">
        <v>0</v>
      </c>
      <c r="F31" s="50">
        <v>0</v>
      </c>
      <c r="G31" s="50">
        <v>0</v>
      </c>
      <c r="H31" s="50">
        <v>1</v>
      </c>
      <c r="I31" s="50">
        <f t="shared" si="0"/>
        <v>0</v>
      </c>
      <c r="J31" s="50">
        <f t="shared" si="1"/>
        <v>0</v>
      </c>
      <c r="K31" s="50">
        <f t="shared" si="2"/>
        <v>0</v>
      </c>
      <c r="L31" s="50">
        <f t="shared" si="3"/>
        <v>0</v>
      </c>
      <c r="M31" s="50">
        <f t="shared" si="4"/>
        <v>0</v>
      </c>
      <c r="N31" s="50">
        <f t="shared" si="5"/>
        <v>6.0737457969402673</v>
      </c>
      <c r="O31" s="50">
        <v>1.2745794914650472</v>
      </c>
      <c r="P31" s="50">
        <v>1.2259670623235568</v>
      </c>
    </row>
    <row r="32" spans="1:16" x14ac:dyDescent="0.25">
      <c r="A32" s="50">
        <v>30</v>
      </c>
      <c r="B32" s="50">
        <v>6.2831853071795853</v>
      </c>
      <c r="C32" s="50">
        <v>0</v>
      </c>
      <c r="D32" s="50">
        <v>0</v>
      </c>
      <c r="E32" s="50">
        <v>0</v>
      </c>
      <c r="F32" s="50">
        <v>0</v>
      </c>
      <c r="G32" s="50">
        <v>0</v>
      </c>
      <c r="H32" s="50">
        <v>1</v>
      </c>
      <c r="I32" s="50">
        <f t="shared" si="0"/>
        <v>0</v>
      </c>
      <c r="J32" s="50">
        <f t="shared" si="1"/>
        <v>0</v>
      </c>
      <c r="K32" s="50">
        <f t="shared" si="2"/>
        <v>0</v>
      </c>
      <c r="L32" s="50">
        <f t="shared" si="3"/>
        <v>0</v>
      </c>
      <c r="M32" s="50">
        <f t="shared" si="4"/>
        <v>0</v>
      </c>
      <c r="N32" s="50">
        <f t="shared" si="5"/>
        <v>6.2831853071795853</v>
      </c>
      <c r="O32" s="50">
        <v>1.3982376248155151</v>
      </c>
      <c r="P32" s="50">
        <v>1.5789794955007785</v>
      </c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A1356-41C8-1542-B8EC-B6B80B67E2E4}">
  <sheetPr codeName="Sheet4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50"/>
  </cols>
  <sheetData>
    <row r="2" spans="1:10" s="51" customFormat="1" x14ac:dyDescent="0.25">
      <c r="B2" s="51" t="s">
        <v>169</v>
      </c>
      <c r="C2" s="51" t="s">
        <v>172</v>
      </c>
      <c r="D2" s="51" t="s">
        <v>171</v>
      </c>
      <c r="E2" s="51" t="s">
        <v>175</v>
      </c>
      <c r="F2" s="51" t="s">
        <v>174</v>
      </c>
      <c r="G2" s="51" t="s">
        <v>183</v>
      </c>
      <c r="H2" s="51" t="s">
        <v>182</v>
      </c>
      <c r="I2" s="51" t="s">
        <v>18</v>
      </c>
      <c r="J2" s="51" t="s">
        <v>16</v>
      </c>
    </row>
    <row r="3" spans="1:10" x14ac:dyDescent="0.25">
      <c r="A3" s="50">
        <v>1</v>
      </c>
      <c r="B3" s="50">
        <v>0.20943951023931953</v>
      </c>
      <c r="C3" s="50">
        <v>1</v>
      </c>
      <c r="D3" s="50">
        <v>0</v>
      </c>
      <c r="E3" s="50">
        <f t="shared" ref="E3:E32" si="0">$B3*C3</f>
        <v>0.20943951023931953</v>
      </c>
      <c r="F3" s="50">
        <f t="shared" ref="F3:F32" si="1">$B3*D3</f>
        <v>0</v>
      </c>
      <c r="G3" s="50">
        <f t="shared" ref="G3:G32" si="2">$B3^2*D3</f>
        <v>0</v>
      </c>
      <c r="H3" s="50">
        <f t="shared" ref="H3:H32" si="3">$B3^2*E3</f>
        <v>9.1870449423110557E-3</v>
      </c>
      <c r="I3" s="50">
        <v>-1.0584942919841807</v>
      </c>
      <c r="J3" s="50" cm="1">
        <f t="array" ref="J3:J32">TREND(I3:I32,C3:H32,C3:H32,FALSE)</f>
        <v>-1.0760110124151598</v>
      </c>
    </row>
    <row r="4" spans="1:10" x14ac:dyDescent="0.25">
      <c r="A4" s="50">
        <v>2</v>
      </c>
      <c r="B4" s="50">
        <v>0.41887902047863906</v>
      </c>
      <c r="C4" s="50">
        <v>1</v>
      </c>
      <c r="D4" s="50">
        <v>0</v>
      </c>
      <c r="E4" s="50">
        <f t="shared" si="0"/>
        <v>0.41887902047863906</v>
      </c>
      <c r="F4" s="50">
        <f t="shared" si="1"/>
        <v>0</v>
      </c>
      <c r="G4" s="50">
        <f t="shared" si="2"/>
        <v>0</v>
      </c>
      <c r="H4" s="50">
        <f t="shared" si="3"/>
        <v>7.3496359538488445E-2</v>
      </c>
      <c r="I4" s="50">
        <v>-1.0115837814668849</v>
      </c>
      <c r="J4" s="50">
        <v>-0.75497527995230318</v>
      </c>
    </row>
    <row r="5" spans="1:10" x14ac:dyDescent="0.25">
      <c r="A5" s="50">
        <v>3</v>
      </c>
      <c r="B5" s="50">
        <v>0.62831853071795862</v>
      </c>
      <c r="C5" s="50">
        <v>1</v>
      </c>
      <c r="D5" s="50">
        <v>0</v>
      </c>
      <c r="E5" s="50">
        <f t="shared" si="0"/>
        <v>0.62831853071795862</v>
      </c>
      <c r="F5" s="50">
        <f t="shared" si="1"/>
        <v>0</v>
      </c>
      <c r="G5" s="50">
        <f t="shared" si="2"/>
        <v>0</v>
      </c>
      <c r="H5" s="50">
        <f t="shared" si="3"/>
        <v>0.24805021344239853</v>
      </c>
      <c r="I5" s="50">
        <v>-0.67059413777823096</v>
      </c>
      <c r="J5" s="50">
        <v>-0.44821327874827138</v>
      </c>
    </row>
    <row r="6" spans="1:10" x14ac:dyDescent="0.25">
      <c r="A6" s="50">
        <v>4</v>
      </c>
      <c r="B6" s="50">
        <v>0.83775804095727813</v>
      </c>
      <c r="C6" s="50">
        <v>1</v>
      </c>
      <c r="D6" s="50">
        <v>0</v>
      </c>
      <c r="E6" s="50">
        <f t="shared" si="0"/>
        <v>0.83775804095727813</v>
      </c>
      <c r="F6" s="50">
        <f t="shared" si="1"/>
        <v>0</v>
      </c>
      <c r="G6" s="50">
        <f t="shared" si="2"/>
        <v>0</v>
      </c>
      <c r="H6" s="50">
        <f t="shared" si="3"/>
        <v>0.58797087630790756</v>
      </c>
      <c r="I6" s="50">
        <v>-7.8907528339460575E-2</v>
      </c>
      <c r="J6" s="50">
        <v>-0.16286187443247691</v>
      </c>
    </row>
    <row r="7" spans="1:10" x14ac:dyDescent="0.25">
      <c r="A7" s="50">
        <v>5</v>
      </c>
      <c r="B7" s="50">
        <v>1.0471975511965976</v>
      </c>
      <c r="C7" s="50">
        <v>1</v>
      </c>
      <c r="D7" s="50">
        <v>0</v>
      </c>
      <c r="E7" s="50">
        <f t="shared" si="0"/>
        <v>1.0471975511965976</v>
      </c>
      <c r="F7" s="50">
        <f t="shared" si="1"/>
        <v>0</v>
      </c>
      <c r="G7" s="50">
        <f t="shared" si="2"/>
        <v>0</v>
      </c>
      <c r="H7" s="50">
        <f t="shared" si="3"/>
        <v>1.1483806177888818</v>
      </c>
      <c r="I7" s="50">
        <v>0.19372967770232674</v>
      </c>
      <c r="J7" s="50">
        <v>9.394206736566782E-2</v>
      </c>
    </row>
    <row r="8" spans="1:10" x14ac:dyDescent="0.25">
      <c r="A8" s="50">
        <v>6</v>
      </c>
      <c r="B8" s="50">
        <v>1.2566370614359172</v>
      </c>
      <c r="C8" s="50">
        <v>1</v>
      </c>
      <c r="D8" s="50">
        <v>0</v>
      </c>
      <c r="E8" s="50">
        <f t="shared" si="0"/>
        <v>1.2566370614359172</v>
      </c>
      <c r="F8" s="50">
        <f t="shared" si="1"/>
        <v>0</v>
      </c>
      <c r="G8" s="50">
        <f t="shared" si="2"/>
        <v>0</v>
      </c>
      <c r="H8" s="50">
        <f t="shared" si="3"/>
        <v>1.9844017075391882</v>
      </c>
      <c r="I8" s="50">
        <v>0.71211759028393917</v>
      </c>
      <c r="J8" s="50">
        <v>0.31506168101675086</v>
      </c>
    </row>
    <row r="9" spans="1:10" x14ac:dyDescent="0.25">
      <c r="A9" s="50">
        <v>7</v>
      </c>
      <c r="B9" s="50">
        <v>1.4660765716752369</v>
      </c>
      <c r="C9" s="50">
        <v>1</v>
      </c>
      <c r="D9" s="50">
        <v>0</v>
      </c>
      <c r="E9" s="50">
        <f t="shared" si="0"/>
        <v>1.4660765716752369</v>
      </c>
      <c r="F9" s="50">
        <f t="shared" si="1"/>
        <v>0</v>
      </c>
      <c r="G9" s="50">
        <f t="shared" si="2"/>
        <v>0</v>
      </c>
      <c r="H9" s="50">
        <f t="shared" si="3"/>
        <v>3.1511564152126925</v>
      </c>
      <c r="I9" s="50">
        <v>0.46458641028249809</v>
      </c>
      <c r="J9" s="50">
        <v>0.49336010089135923</v>
      </c>
    </row>
    <row r="10" spans="1:10" x14ac:dyDescent="0.25">
      <c r="A10" s="50">
        <v>8</v>
      </c>
      <c r="B10" s="50">
        <v>1.6755160819145563</v>
      </c>
      <c r="C10" s="50">
        <v>1</v>
      </c>
      <c r="D10" s="50">
        <v>0</v>
      </c>
      <c r="E10" s="50">
        <f t="shared" si="0"/>
        <v>1.6755160819145563</v>
      </c>
      <c r="F10" s="50">
        <f t="shared" si="1"/>
        <v>0</v>
      </c>
      <c r="G10" s="50">
        <f t="shared" si="2"/>
        <v>0</v>
      </c>
      <c r="H10" s="50">
        <f t="shared" si="3"/>
        <v>4.7037670104632605</v>
      </c>
      <c r="I10" s="50">
        <v>1.0904375200021745</v>
      </c>
      <c r="J10" s="50">
        <v>0.6217004613600805</v>
      </c>
    </row>
    <row r="11" spans="1:10" x14ac:dyDescent="0.25">
      <c r="A11" s="50">
        <v>9</v>
      </c>
      <c r="B11" s="50">
        <v>1.8849555921538759</v>
      </c>
      <c r="C11" s="50">
        <v>1</v>
      </c>
      <c r="D11" s="50">
        <v>0</v>
      </c>
      <c r="E11" s="50">
        <f t="shared" si="0"/>
        <v>1.8849555921538759</v>
      </c>
      <c r="F11" s="50">
        <f t="shared" si="1"/>
        <v>0</v>
      </c>
      <c r="G11" s="50">
        <f t="shared" si="2"/>
        <v>0</v>
      </c>
      <c r="H11" s="50">
        <f t="shared" si="3"/>
        <v>6.6973557629447606</v>
      </c>
      <c r="I11" s="50">
        <v>0.73460352450894062</v>
      </c>
      <c r="J11" s="50">
        <v>0.69294589679350282</v>
      </c>
    </row>
    <row r="12" spans="1:10" x14ac:dyDescent="0.25">
      <c r="A12" s="50">
        <v>10</v>
      </c>
      <c r="B12" s="50">
        <v>2.0943951023931953</v>
      </c>
      <c r="C12" s="50">
        <v>1</v>
      </c>
      <c r="D12" s="50">
        <v>0</v>
      </c>
      <c r="E12" s="50">
        <f t="shared" si="0"/>
        <v>2.0943951023931953</v>
      </c>
      <c r="F12" s="50">
        <f t="shared" si="1"/>
        <v>0</v>
      </c>
      <c r="G12" s="50">
        <f t="shared" si="2"/>
        <v>0</v>
      </c>
      <c r="H12" s="50">
        <f t="shared" si="3"/>
        <v>9.1870449423110543</v>
      </c>
      <c r="I12" s="50">
        <v>0.65405740699127635</v>
      </c>
      <c r="J12" s="50">
        <v>0.69995954156221285</v>
      </c>
    </row>
    <row r="13" spans="1:10" x14ac:dyDescent="0.25">
      <c r="A13" s="50">
        <v>11</v>
      </c>
      <c r="B13" s="50">
        <v>2.3038346126325147</v>
      </c>
      <c r="C13" s="50">
        <v>1</v>
      </c>
      <c r="D13" s="50">
        <v>0</v>
      </c>
      <c r="E13" s="50">
        <f t="shared" si="0"/>
        <v>2.3038346126325147</v>
      </c>
      <c r="F13" s="50">
        <f t="shared" si="1"/>
        <v>0</v>
      </c>
      <c r="G13" s="50">
        <f t="shared" si="2"/>
        <v>0</v>
      </c>
      <c r="H13" s="50">
        <f t="shared" si="3"/>
        <v>12.227956818216011</v>
      </c>
      <c r="I13" s="50">
        <v>0.57004534084851322</v>
      </c>
      <c r="J13" s="50">
        <v>0.6356045300367994</v>
      </c>
    </row>
    <row r="14" spans="1:10" x14ac:dyDescent="0.25">
      <c r="A14" s="50">
        <v>12</v>
      </c>
      <c r="B14" s="50">
        <v>2.5132741228718345</v>
      </c>
      <c r="C14" s="50">
        <v>1</v>
      </c>
      <c r="D14" s="50">
        <v>0</v>
      </c>
      <c r="E14" s="50">
        <f t="shared" si="0"/>
        <v>2.5132741228718345</v>
      </c>
      <c r="F14" s="50">
        <f t="shared" si="1"/>
        <v>0</v>
      </c>
      <c r="G14" s="50">
        <f t="shared" si="2"/>
        <v>0</v>
      </c>
      <c r="H14" s="50">
        <f t="shared" si="3"/>
        <v>15.875213660313506</v>
      </c>
      <c r="I14" s="50">
        <v>-0.15194780570688993</v>
      </c>
      <c r="J14" s="50">
        <v>0.49274399658784906</v>
      </c>
    </row>
    <row r="15" spans="1:10" x14ac:dyDescent="0.25">
      <c r="A15" s="50">
        <v>13</v>
      </c>
      <c r="B15" s="50">
        <v>2.7227136331111543</v>
      </c>
      <c r="C15" s="50">
        <v>1</v>
      </c>
      <c r="D15" s="50">
        <v>0</v>
      </c>
      <c r="E15" s="50">
        <f t="shared" si="0"/>
        <v>2.7227136331111543</v>
      </c>
      <c r="F15" s="50">
        <f t="shared" si="1"/>
        <v>0</v>
      </c>
      <c r="G15" s="50">
        <f t="shared" si="2"/>
        <v>0</v>
      </c>
      <c r="H15" s="50">
        <f t="shared" si="3"/>
        <v>20.183937738257399</v>
      </c>
      <c r="I15" s="50">
        <v>4.9191643383140769E-2</v>
      </c>
      <c r="J15" s="50">
        <v>0.26424107558594923</v>
      </c>
    </row>
    <row r="16" spans="1:10" x14ac:dyDescent="0.25">
      <c r="A16" s="50">
        <v>14</v>
      </c>
      <c r="B16" s="50">
        <v>2.9321531433504737</v>
      </c>
      <c r="C16" s="50">
        <v>1</v>
      </c>
      <c r="D16" s="50">
        <v>0</v>
      </c>
      <c r="E16" s="50">
        <f t="shared" si="0"/>
        <v>2.9321531433504737</v>
      </c>
      <c r="F16" s="50">
        <f t="shared" si="1"/>
        <v>0</v>
      </c>
      <c r="G16" s="50">
        <f t="shared" si="2"/>
        <v>0</v>
      </c>
      <c r="H16" s="50">
        <f t="shared" si="3"/>
        <v>25.20925132170154</v>
      </c>
      <c r="I16" s="50">
        <v>-0.23766540139636769</v>
      </c>
      <c r="J16" s="50">
        <v>-5.7041098598310747E-2</v>
      </c>
    </row>
    <row r="17" spans="1:10" x14ac:dyDescent="0.25">
      <c r="A17" s="50">
        <v>15</v>
      </c>
      <c r="B17" s="50">
        <v>3.1415926535897927</v>
      </c>
      <c r="C17" s="50">
        <v>1</v>
      </c>
      <c r="D17" s="50">
        <v>0</v>
      </c>
      <c r="E17" s="50">
        <f t="shared" si="0"/>
        <v>3.1415926535897927</v>
      </c>
      <c r="F17" s="50">
        <f t="shared" si="1"/>
        <v>0</v>
      </c>
      <c r="G17" s="50">
        <f t="shared" si="2"/>
        <v>0</v>
      </c>
      <c r="H17" s="50">
        <f t="shared" si="3"/>
        <v>31.006276680299802</v>
      </c>
      <c r="I17" s="50">
        <v>7.2641248128490127E-2</v>
      </c>
      <c r="J17" s="50">
        <v>-0.47823939159434437</v>
      </c>
    </row>
    <row r="18" spans="1:10" x14ac:dyDescent="0.25">
      <c r="A18" s="50">
        <v>16</v>
      </c>
      <c r="B18" s="50">
        <v>3.3510321638291125</v>
      </c>
      <c r="C18" s="50">
        <v>0</v>
      </c>
      <c r="D18" s="50">
        <v>1</v>
      </c>
      <c r="E18" s="50">
        <f t="shared" si="0"/>
        <v>0</v>
      </c>
      <c r="F18" s="50">
        <f t="shared" si="1"/>
        <v>3.3510321638291125</v>
      </c>
      <c r="G18" s="50">
        <f t="shared" si="2"/>
        <v>11.229416563017224</v>
      </c>
      <c r="H18" s="50">
        <f t="shared" si="3"/>
        <v>0</v>
      </c>
      <c r="I18" s="50">
        <v>2.1344472249498331E-2</v>
      </c>
      <c r="J18" s="50">
        <v>9.3338481297851494E-2</v>
      </c>
    </row>
    <row r="19" spans="1:10" x14ac:dyDescent="0.25">
      <c r="A19" s="50">
        <v>17</v>
      </c>
      <c r="B19" s="50">
        <v>3.5604716740684323</v>
      </c>
      <c r="C19" s="50">
        <v>0</v>
      </c>
      <c r="D19" s="50">
        <v>1</v>
      </c>
      <c r="E19" s="50">
        <f t="shared" si="0"/>
        <v>0</v>
      </c>
      <c r="F19" s="50">
        <f t="shared" si="1"/>
        <v>3.5604716740684323</v>
      </c>
      <c r="G19" s="50">
        <f t="shared" si="2"/>
        <v>12.676958541843666</v>
      </c>
      <c r="H19" s="50">
        <f t="shared" si="3"/>
        <v>0</v>
      </c>
      <c r="I19" s="50">
        <v>4.3416060207188134E-4</v>
      </c>
      <c r="J19" s="50">
        <v>-0.18360299006434566</v>
      </c>
    </row>
    <row r="20" spans="1:10" x14ac:dyDescent="0.25">
      <c r="A20" s="50">
        <v>18</v>
      </c>
      <c r="B20" s="50">
        <v>3.7699111843077517</v>
      </c>
      <c r="C20" s="50">
        <v>0</v>
      </c>
      <c r="D20" s="50">
        <v>1</v>
      </c>
      <c r="E20" s="50">
        <f t="shared" si="0"/>
        <v>0</v>
      </c>
      <c r="F20" s="50">
        <f t="shared" si="1"/>
        <v>3.7699111843077517</v>
      </c>
      <c r="G20" s="50">
        <f t="shared" si="2"/>
        <v>14.212230337568675</v>
      </c>
      <c r="H20" s="50">
        <f t="shared" si="3"/>
        <v>0</v>
      </c>
      <c r="I20" s="50">
        <v>-0.48127635421609938</v>
      </c>
      <c r="J20" s="50">
        <v>-0.39974612123682185</v>
      </c>
    </row>
    <row r="21" spans="1:10" x14ac:dyDescent="0.25">
      <c r="A21" s="50">
        <v>19</v>
      </c>
      <c r="B21" s="50">
        <v>3.9793506945470711</v>
      </c>
      <c r="C21" s="50">
        <v>0</v>
      </c>
      <c r="D21" s="50">
        <v>1</v>
      </c>
      <c r="E21" s="50">
        <f t="shared" si="0"/>
        <v>0</v>
      </c>
      <c r="F21" s="50">
        <f t="shared" si="1"/>
        <v>3.9793506945470711</v>
      </c>
      <c r="G21" s="50">
        <f t="shared" si="2"/>
        <v>15.835231950192258</v>
      </c>
      <c r="H21" s="50">
        <f t="shared" si="3"/>
        <v>0</v>
      </c>
      <c r="I21" s="50">
        <v>-0.33927941399176736</v>
      </c>
      <c r="J21" s="50">
        <v>-0.55509091221957618</v>
      </c>
    </row>
    <row r="22" spans="1:10" x14ac:dyDescent="0.25">
      <c r="A22" s="50">
        <v>20</v>
      </c>
      <c r="B22" s="50">
        <v>4.1887902047863905</v>
      </c>
      <c r="C22" s="50">
        <v>0</v>
      </c>
      <c r="D22" s="50">
        <v>1</v>
      </c>
      <c r="E22" s="50">
        <f t="shared" si="0"/>
        <v>0</v>
      </c>
      <c r="F22" s="50">
        <f t="shared" si="1"/>
        <v>4.1887902047863905</v>
      </c>
      <c r="G22" s="50">
        <f t="shared" si="2"/>
        <v>17.545963379714411</v>
      </c>
      <c r="H22" s="50">
        <f t="shared" si="3"/>
        <v>0</v>
      </c>
      <c r="I22" s="50">
        <v>-0.66663393104980051</v>
      </c>
      <c r="J22" s="50">
        <v>-0.64963736301261044</v>
      </c>
    </row>
    <row r="23" spans="1:10" x14ac:dyDescent="0.25">
      <c r="A23" s="50">
        <v>21</v>
      </c>
      <c r="B23" s="50">
        <v>4.3982297150257104</v>
      </c>
      <c r="C23" s="50">
        <v>0</v>
      </c>
      <c r="D23" s="50">
        <v>1</v>
      </c>
      <c r="E23" s="50">
        <f t="shared" si="0"/>
        <v>0</v>
      </c>
      <c r="F23" s="50">
        <f t="shared" si="1"/>
        <v>4.3982297150257104</v>
      </c>
      <c r="G23" s="50">
        <f t="shared" si="2"/>
        <v>19.34442462613514</v>
      </c>
      <c r="H23" s="50">
        <f t="shared" si="3"/>
        <v>0</v>
      </c>
      <c r="I23" s="50">
        <v>-0.82049127729304749</v>
      </c>
      <c r="J23" s="50">
        <v>-0.68338547361592639</v>
      </c>
    </row>
    <row r="24" spans="1:10" x14ac:dyDescent="0.25">
      <c r="A24" s="50">
        <v>22</v>
      </c>
      <c r="B24" s="50">
        <v>4.6076692252650293</v>
      </c>
      <c r="C24" s="50">
        <v>0</v>
      </c>
      <c r="D24" s="50">
        <v>1</v>
      </c>
      <c r="E24" s="50">
        <f t="shared" si="0"/>
        <v>0</v>
      </c>
      <c r="F24" s="50">
        <f t="shared" si="1"/>
        <v>4.6076692252650293</v>
      </c>
      <c r="G24" s="50">
        <f t="shared" si="2"/>
        <v>21.230615689454435</v>
      </c>
      <c r="H24" s="50">
        <f t="shared" si="3"/>
        <v>0</v>
      </c>
      <c r="I24" s="50">
        <v>-0.93606956280844389</v>
      </c>
      <c r="J24" s="50">
        <v>-0.65633524402951693</v>
      </c>
    </row>
    <row r="25" spans="1:10" x14ac:dyDescent="0.25">
      <c r="A25" s="50">
        <v>23</v>
      </c>
      <c r="B25" s="50">
        <v>4.8171087355043491</v>
      </c>
      <c r="C25" s="50">
        <v>0</v>
      </c>
      <c r="D25" s="50">
        <v>1</v>
      </c>
      <c r="E25" s="50">
        <f t="shared" si="0"/>
        <v>0</v>
      </c>
      <c r="F25" s="50">
        <f t="shared" si="1"/>
        <v>4.8171087355043491</v>
      </c>
      <c r="G25" s="50">
        <f t="shared" si="2"/>
        <v>23.20453656967231</v>
      </c>
      <c r="H25" s="50">
        <f t="shared" si="3"/>
        <v>0</v>
      </c>
      <c r="I25" s="50">
        <v>-0.70020245579705642</v>
      </c>
      <c r="J25" s="50">
        <v>-0.56848667425338562</v>
      </c>
    </row>
    <row r="26" spans="1:10" x14ac:dyDescent="0.25">
      <c r="A26" s="50">
        <v>24</v>
      </c>
      <c r="B26" s="50">
        <v>5.026548245743669</v>
      </c>
      <c r="C26" s="50">
        <v>0</v>
      </c>
      <c r="D26" s="50">
        <v>1</v>
      </c>
      <c r="E26" s="50">
        <f t="shared" si="0"/>
        <v>0</v>
      </c>
      <c r="F26" s="50">
        <f t="shared" si="1"/>
        <v>5.026548245743669</v>
      </c>
      <c r="G26" s="50">
        <f t="shared" si="2"/>
        <v>25.266187266788755</v>
      </c>
      <c r="H26" s="50">
        <f t="shared" si="3"/>
        <v>0</v>
      </c>
      <c r="I26" s="50">
        <v>-0.48320257654754589</v>
      </c>
      <c r="J26" s="50">
        <v>-0.41983976428753422</v>
      </c>
    </row>
    <row r="27" spans="1:10" x14ac:dyDescent="0.25">
      <c r="A27" s="50">
        <v>25</v>
      </c>
      <c r="B27" s="50">
        <v>5.2359877559829888</v>
      </c>
      <c r="C27" s="50">
        <v>0</v>
      </c>
      <c r="D27" s="50">
        <v>1</v>
      </c>
      <c r="E27" s="50">
        <f t="shared" si="0"/>
        <v>0</v>
      </c>
      <c r="F27" s="50">
        <f t="shared" si="1"/>
        <v>5.2359877559829888</v>
      </c>
      <c r="G27" s="50">
        <f t="shared" si="2"/>
        <v>27.415567780803777</v>
      </c>
      <c r="H27" s="50">
        <f t="shared" si="3"/>
        <v>0</v>
      </c>
      <c r="I27" s="50">
        <v>2.507130588071016E-2</v>
      </c>
      <c r="J27" s="50">
        <v>-0.21039451413196275</v>
      </c>
    </row>
    <row r="28" spans="1:10" x14ac:dyDescent="0.25">
      <c r="A28" s="50">
        <v>26</v>
      </c>
      <c r="B28" s="50">
        <v>5.4454272662223087</v>
      </c>
      <c r="C28" s="50">
        <v>0</v>
      </c>
      <c r="D28" s="50">
        <v>1</v>
      </c>
      <c r="E28" s="50">
        <f t="shared" si="0"/>
        <v>0</v>
      </c>
      <c r="F28" s="50">
        <f t="shared" si="1"/>
        <v>5.4454272662223087</v>
      </c>
      <c r="G28" s="50">
        <f t="shared" si="2"/>
        <v>29.652678111717368</v>
      </c>
      <c r="H28" s="50">
        <f t="shared" si="3"/>
        <v>0</v>
      </c>
      <c r="I28" s="50">
        <v>0.14363276847356277</v>
      </c>
      <c r="J28" s="50">
        <v>5.98490762133288E-2</v>
      </c>
    </row>
    <row r="29" spans="1:10" x14ac:dyDescent="0.25">
      <c r="A29" s="50">
        <v>27</v>
      </c>
      <c r="B29" s="50">
        <v>5.6548667764616276</v>
      </c>
      <c r="C29" s="50">
        <v>0</v>
      </c>
      <c r="D29" s="50">
        <v>1</v>
      </c>
      <c r="E29" s="50">
        <f t="shared" si="0"/>
        <v>0</v>
      </c>
      <c r="F29" s="50">
        <f t="shared" si="1"/>
        <v>5.6548667764616276</v>
      </c>
      <c r="G29" s="50">
        <f t="shared" si="2"/>
        <v>31.977518259529518</v>
      </c>
      <c r="H29" s="50">
        <f t="shared" si="3"/>
        <v>0</v>
      </c>
      <c r="I29" s="50">
        <v>0.25366487237671459</v>
      </c>
      <c r="J29" s="50">
        <v>0.39089100674834043</v>
      </c>
    </row>
    <row r="30" spans="1:10" x14ac:dyDescent="0.25">
      <c r="A30" s="50">
        <v>28</v>
      </c>
      <c r="B30" s="50">
        <v>5.8643062867009474</v>
      </c>
      <c r="C30" s="50">
        <v>0</v>
      </c>
      <c r="D30" s="50">
        <v>1</v>
      </c>
      <c r="E30" s="50">
        <f t="shared" si="0"/>
        <v>0</v>
      </c>
      <c r="F30" s="50">
        <f t="shared" si="1"/>
        <v>5.8643062867009474</v>
      </c>
      <c r="G30" s="50">
        <f t="shared" si="2"/>
        <v>34.390088224240252</v>
      </c>
      <c r="H30" s="50">
        <f t="shared" si="3"/>
        <v>0</v>
      </c>
      <c r="I30" s="50">
        <v>1.2946583886008181</v>
      </c>
      <c r="J30" s="50">
        <v>0.78273127747307214</v>
      </c>
    </row>
    <row r="31" spans="1:10" x14ac:dyDescent="0.25">
      <c r="A31" s="50">
        <v>29</v>
      </c>
      <c r="B31" s="50">
        <v>6.0737457969402673</v>
      </c>
      <c r="C31" s="50">
        <v>0</v>
      </c>
      <c r="D31" s="50">
        <v>1</v>
      </c>
      <c r="E31" s="50">
        <f t="shared" si="0"/>
        <v>0</v>
      </c>
      <c r="F31" s="50">
        <f t="shared" si="1"/>
        <v>6.0737457969402673</v>
      </c>
      <c r="G31" s="50">
        <f t="shared" si="2"/>
        <v>36.890388005849566</v>
      </c>
      <c r="H31" s="50">
        <f t="shared" si="3"/>
        <v>0</v>
      </c>
      <c r="I31" s="50">
        <v>1.2745794914650472</v>
      </c>
      <c r="J31" s="50">
        <v>1.235369888387531</v>
      </c>
    </row>
    <row r="32" spans="1:10" x14ac:dyDescent="0.25">
      <c r="A32" s="50">
        <v>30</v>
      </c>
      <c r="B32" s="50">
        <v>6.2831853071795853</v>
      </c>
      <c r="C32" s="50">
        <v>0</v>
      </c>
      <c r="D32" s="50">
        <v>1</v>
      </c>
      <c r="E32" s="50">
        <f t="shared" si="0"/>
        <v>0</v>
      </c>
      <c r="F32" s="50">
        <f t="shared" si="1"/>
        <v>6.2831853071795853</v>
      </c>
      <c r="G32" s="50">
        <f t="shared" si="2"/>
        <v>39.478417604357418</v>
      </c>
      <c r="H32" s="50">
        <f t="shared" si="3"/>
        <v>0</v>
      </c>
      <c r="I32" s="50">
        <v>1.3982376248155151</v>
      </c>
      <c r="J32" s="50">
        <v>1.7488068394917029</v>
      </c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501CA-43E6-0A4F-9719-4485E65E8CE2}">
  <sheetPr codeName="Sheet45">
    <tabColor rgb="FF002060"/>
  </sheetPr>
  <dimension ref="A1:A9"/>
  <sheetViews>
    <sheetView workbookViewId="0">
      <selection sqref="A1:A9"/>
    </sheetView>
  </sheetViews>
  <sheetFormatPr baseColWidth="10" defaultRowHeight="26" x14ac:dyDescent="0.3"/>
  <cols>
    <col min="1" max="16384" width="10.83203125" style="124"/>
  </cols>
  <sheetData>
    <row r="1" spans="1:1" x14ac:dyDescent="0.3">
      <c r="A1" s="124" t="s">
        <v>341</v>
      </c>
    </row>
    <row r="2" spans="1:1" x14ac:dyDescent="0.3">
      <c r="A2" s="124" t="s">
        <v>342</v>
      </c>
    </row>
    <row r="3" spans="1:1" x14ac:dyDescent="0.3">
      <c r="A3" s="124" t="s">
        <v>343</v>
      </c>
    </row>
    <row r="4" spans="1:1" x14ac:dyDescent="0.3">
      <c r="A4" s="124" t="s">
        <v>344</v>
      </c>
    </row>
    <row r="5" spans="1:1" x14ac:dyDescent="0.3">
      <c r="A5" s="124" t="s">
        <v>345</v>
      </c>
    </row>
    <row r="6" spans="1:1" x14ac:dyDescent="0.3">
      <c r="A6" s="124" t="s">
        <v>346</v>
      </c>
    </row>
    <row r="7" spans="1:1" x14ac:dyDescent="0.3">
      <c r="A7" s="124" t="s">
        <v>347</v>
      </c>
    </row>
    <row r="8" spans="1:1" x14ac:dyDescent="0.3">
      <c r="A8" s="124" t="s">
        <v>348</v>
      </c>
    </row>
    <row r="9" spans="1:1" x14ac:dyDescent="0.3">
      <c r="A9" s="124" t="s">
        <v>349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ED8FD-25BB-B64C-BA6E-B72523FE2522}">
  <sheetPr codeName="Sheet46">
    <tabColor rgb="FFFF0000"/>
  </sheetPr>
  <dimension ref="C4:T43"/>
  <sheetViews>
    <sheetView zoomScale="90" zoomScaleNormal="90" workbookViewId="0"/>
  </sheetViews>
  <sheetFormatPr baseColWidth="10" defaultRowHeight="16" x14ac:dyDescent="0.2"/>
  <cols>
    <col min="1" max="16384" width="10.83203125" style="53"/>
  </cols>
  <sheetData>
    <row r="4" spans="3:6" x14ac:dyDescent="0.2">
      <c r="C4" s="52" t="s">
        <v>184</v>
      </c>
      <c r="D4" s="52" t="s">
        <v>185</v>
      </c>
      <c r="E4" s="53" t="s">
        <v>186</v>
      </c>
      <c r="F4" s="53" t="s">
        <v>187</v>
      </c>
    </row>
    <row r="5" spans="3:6" ht="18" x14ac:dyDescent="0.25">
      <c r="C5" s="53">
        <v>2</v>
      </c>
      <c r="D5" s="53">
        <f>$O$40*C5+$O$41</f>
        <v>5.0000000000000018</v>
      </c>
      <c r="E5" s="53" t="s">
        <v>188</v>
      </c>
    </row>
    <row r="6" spans="3:6" x14ac:dyDescent="0.2">
      <c r="C6" s="54">
        <v>2.1</v>
      </c>
      <c r="D6" s="53">
        <f t="shared" ref="D6:D15" si="0">$O$40*C6+$O$41</f>
        <v>5.1000000000000014</v>
      </c>
    </row>
    <row r="7" spans="3:6" x14ac:dyDescent="0.2">
      <c r="C7" s="54">
        <v>2.2000000000000002</v>
      </c>
      <c r="D7" s="53">
        <f t="shared" si="0"/>
        <v>5.200000000000002</v>
      </c>
    </row>
    <row r="8" spans="3:6" x14ac:dyDescent="0.2">
      <c r="C8" s="54">
        <v>2.2999999999999998</v>
      </c>
      <c r="D8" s="53">
        <f t="shared" si="0"/>
        <v>5.3000000000000025</v>
      </c>
    </row>
    <row r="9" spans="3:6" x14ac:dyDescent="0.2">
      <c r="C9" s="54">
        <v>2.4</v>
      </c>
      <c r="D9" s="53">
        <f t="shared" si="0"/>
        <v>5.4000000000000021</v>
      </c>
    </row>
    <row r="10" spans="3:6" x14ac:dyDescent="0.2">
      <c r="C10" s="54">
        <v>2.5</v>
      </c>
      <c r="D10" s="53">
        <f t="shared" si="0"/>
        <v>5.5000000000000018</v>
      </c>
    </row>
    <row r="11" spans="3:6" x14ac:dyDescent="0.2">
      <c r="C11" s="54">
        <v>2.6</v>
      </c>
      <c r="D11" s="53">
        <f t="shared" si="0"/>
        <v>5.6000000000000023</v>
      </c>
    </row>
    <row r="12" spans="3:6" x14ac:dyDescent="0.2">
      <c r="C12" s="54">
        <v>2.7</v>
      </c>
      <c r="D12" s="53">
        <f t="shared" si="0"/>
        <v>5.7000000000000028</v>
      </c>
    </row>
    <row r="13" spans="3:6" x14ac:dyDescent="0.2">
      <c r="C13" s="54">
        <v>2.8</v>
      </c>
      <c r="D13" s="53">
        <f t="shared" si="0"/>
        <v>5.8000000000000025</v>
      </c>
    </row>
    <row r="14" spans="3:6" x14ac:dyDescent="0.2">
      <c r="C14" s="54">
        <v>2.9</v>
      </c>
      <c r="D14" s="53">
        <f t="shared" si="0"/>
        <v>5.9000000000000021</v>
      </c>
    </row>
    <row r="15" spans="3:6" ht="18" x14ac:dyDescent="0.25">
      <c r="C15" s="53">
        <v>3</v>
      </c>
      <c r="D15" s="53">
        <f t="shared" si="0"/>
        <v>6.0000000000000027</v>
      </c>
      <c r="E15" s="53" t="s">
        <v>189</v>
      </c>
      <c r="F15" s="53" t="s">
        <v>190</v>
      </c>
    </row>
    <row r="16" spans="3:6" x14ac:dyDescent="0.2">
      <c r="C16" s="54">
        <v>3.1</v>
      </c>
      <c r="D16" s="53">
        <f>$O$42*C16+$O$43</f>
        <v>6.3000000000000007</v>
      </c>
    </row>
    <row r="17" spans="3:20" x14ac:dyDescent="0.2">
      <c r="C17" s="54">
        <v>3.2</v>
      </c>
      <c r="D17" s="53">
        <f t="shared" ref="D17:D25" si="1">$O$42*C17+$O$43</f>
        <v>6.6000000000000014</v>
      </c>
    </row>
    <row r="18" spans="3:20" x14ac:dyDescent="0.2">
      <c r="C18" s="54">
        <v>3.3</v>
      </c>
      <c r="D18" s="53">
        <f t="shared" si="1"/>
        <v>6.8999999999999986</v>
      </c>
    </row>
    <row r="19" spans="3:20" x14ac:dyDescent="0.2">
      <c r="C19" s="54">
        <v>3.4</v>
      </c>
      <c r="D19" s="53">
        <f t="shared" si="1"/>
        <v>7.1999999999999993</v>
      </c>
    </row>
    <row r="20" spans="3:20" x14ac:dyDescent="0.2">
      <c r="C20" s="54">
        <v>3.5</v>
      </c>
      <c r="D20" s="53">
        <f t="shared" si="1"/>
        <v>7.5</v>
      </c>
    </row>
    <row r="21" spans="3:20" x14ac:dyDescent="0.2">
      <c r="C21" s="54">
        <v>3.6</v>
      </c>
      <c r="D21" s="53">
        <f t="shared" si="1"/>
        <v>7.8000000000000007</v>
      </c>
    </row>
    <row r="22" spans="3:20" x14ac:dyDescent="0.2">
      <c r="C22" s="54">
        <v>3.7</v>
      </c>
      <c r="D22" s="53">
        <f t="shared" si="1"/>
        <v>8.1000000000000014</v>
      </c>
    </row>
    <row r="23" spans="3:20" x14ac:dyDescent="0.2">
      <c r="C23" s="54">
        <v>3.8</v>
      </c>
      <c r="D23" s="53">
        <f t="shared" si="1"/>
        <v>8.3999999999999986</v>
      </c>
    </row>
    <row r="24" spans="3:20" x14ac:dyDescent="0.2">
      <c r="C24" s="54">
        <v>3.9</v>
      </c>
      <c r="D24" s="53">
        <f t="shared" si="1"/>
        <v>8.6999999999999993</v>
      </c>
    </row>
    <row r="25" spans="3:20" ht="18" x14ac:dyDescent="0.25">
      <c r="C25" s="53">
        <v>4</v>
      </c>
      <c r="D25" s="53">
        <f t="shared" si="1"/>
        <v>9</v>
      </c>
      <c r="E25" s="53" t="s">
        <v>190</v>
      </c>
    </row>
    <row r="31" spans="3:20" s="52" customFormat="1" ht="20" x14ac:dyDescent="0.25">
      <c r="D31" s="52" t="s">
        <v>191</v>
      </c>
      <c r="E31" s="52" t="s">
        <v>192</v>
      </c>
      <c r="G31" s="52" t="s">
        <v>193</v>
      </c>
      <c r="H31" s="52" t="s">
        <v>194</v>
      </c>
      <c r="I31" s="52" t="s">
        <v>195</v>
      </c>
      <c r="J31" s="52" t="s">
        <v>196</v>
      </c>
      <c r="L31" s="52" t="s">
        <v>197</v>
      </c>
      <c r="O31" s="52" t="s">
        <v>198</v>
      </c>
    </row>
    <row r="32" spans="3:20" ht="18" x14ac:dyDescent="0.25">
      <c r="C32" s="53" t="s">
        <v>199</v>
      </c>
      <c r="D32" s="55" t="str">
        <f>"y(" &amp; E32 &amp; ")"</f>
        <v>y(2)</v>
      </c>
      <c r="E32" s="53">
        <v>2</v>
      </c>
      <c r="G32" s="56">
        <f>E32</f>
        <v>2</v>
      </c>
      <c r="H32" s="57">
        <v>1</v>
      </c>
      <c r="I32" s="57">
        <v>0</v>
      </c>
      <c r="J32" s="58">
        <v>0</v>
      </c>
      <c r="L32" s="59" t="s">
        <v>200</v>
      </c>
      <c r="O32" s="60">
        <v>5</v>
      </c>
      <c r="Q32" s="53" cm="1">
        <f t="array" ref="Q32:R33">MINVERSE(G32:H33)</f>
        <v>-0.99999999999999989</v>
      </c>
      <c r="R32" s="53">
        <v>1</v>
      </c>
      <c r="T32" s="53" cm="1">
        <f t="array" ref="T32:T33">MMULT(_xlfn.ANCHORARRAY(Q32),O32:O33)</f>
        <v>1.0000000000000009</v>
      </c>
    </row>
    <row r="33" spans="3:20" ht="18" x14ac:dyDescent="0.25">
      <c r="C33" s="53" t="s">
        <v>199</v>
      </c>
      <c r="D33" s="55" t="str">
        <f t="shared" ref="D33:D35" si="2">"y(" &amp; E33 &amp; ")"</f>
        <v>y(3)</v>
      </c>
      <c r="E33" s="53">
        <v>3</v>
      </c>
      <c r="G33" s="61">
        <f>E33</f>
        <v>3</v>
      </c>
      <c r="H33" s="53">
        <v>1</v>
      </c>
      <c r="I33" s="53">
        <v>0</v>
      </c>
      <c r="J33" s="62">
        <v>0</v>
      </c>
      <c r="L33" s="63" t="s">
        <v>201</v>
      </c>
      <c r="N33" s="53" t="s">
        <v>202</v>
      </c>
      <c r="O33" s="64">
        <v>6</v>
      </c>
      <c r="Q33" s="53">
        <v>2.9999999999999996</v>
      </c>
      <c r="R33" s="53">
        <v>-1.9999999999999998</v>
      </c>
      <c r="T33" s="53">
        <v>3</v>
      </c>
    </row>
    <row r="34" spans="3:20" ht="18" x14ac:dyDescent="0.25">
      <c r="C34" s="53" t="s">
        <v>203</v>
      </c>
      <c r="D34" s="55" t="str">
        <f t="shared" si="2"/>
        <v>y(3)</v>
      </c>
      <c r="E34" s="53">
        <v>3</v>
      </c>
      <c r="G34" s="61">
        <v>0</v>
      </c>
      <c r="H34" s="53">
        <v>0</v>
      </c>
      <c r="I34" s="53">
        <f>E34</f>
        <v>3</v>
      </c>
      <c r="J34" s="62">
        <v>1</v>
      </c>
      <c r="L34" s="63" t="s">
        <v>204</v>
      </c>
      <c r="O34" s="64">
        <v>6</v>
      </c>
    </row>
    <row r="35" spans="3:20" ht="18" x14ac:dyDescent="0.25">
      <c r="C35" s="53" t="s">
        <v>203</v>
      </c>
      <c r="D35" s="55" t="str">
        <f t="shared" si="2"/>
        <v>y(4)</v>
      </c>
      <c r="E35" s="53">
        <v>4</v>
      </c>
      <c r="G35" s="65">
        <v>0</v>
      </c>
      <c r="H35" s="66">
        <v>0</v>
      </c>
      <c r="I35" s="66">
        <f>E35</f>
        <v>4</v>
      </c>
      <c r="J35" s="67">
        <v>1</v>
      </c>
      <c r="L35" s="68" t="s">
        <v>205</v>
      </c>
      <c r="O35" s="69">
        <v>9</v>
      </c>
    </row>
    <row r="39" spans="3:20" x14ac:dyDescent="0.2">
      <c r="L39" s="52" t="s">
        <v>197</v>
      </c>
      <c r="O39" s="52" t="s">
        <v>197</v>
      </c>
    </row>
    <row r="40" spans="3:20" ht="18" x14ac:dyDescent="0.25">
      <c r="I40" s="52"/>
      <c r="L40" s="59" t="s">
        <v>200</v>
      </c>
      <c r="O40" s="60">
        <f t="array" ref="O40:O43">MMULT(MINVERSE(G32:J35),O32:O35)</f>
        <v>1.0000000000000009</v>
      </c>
    </row>
    <row r="41" spans="3:20" ht="18" x14ac:dyDescent="0.25">
      <c r="L41" s="63" t="s">
        <v>201</v>
      </c>
      <c r="N41" s="53" t="s">
        <v>202</v>
      </c>
      <c r="O41" s="64">
        <v>3</v>
      </c>
    </row>
    <row r="42" spans="3:20" ht="18" x14ac:dyDescent="0.25">
      <c r="L42" s="63" t="s">
        <v>204</v>
      </c>
      <c r="O42" s="64">
        <v>3</v>
      </c>
    </row>
    <row r="43" spans="3:20" ht="18" x14ac:dyDescent="0.25">
      <c r="L43" s="68" t="s">
        <v>205</v>
      </c>
      <c r="O43" s="69">
        <v>-3</v>
      </c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35ABB-DF2E-4548-9A08-5EE2A74EC9CF}">
  <sheetPr codeName="Sheet47">
    <tabColor rgb="FFFF0000"/>
  </sheetPr>
  <dimension ref="C4:O43"/>
  <sheetViews>
    <sheetView zoomScale="90" zoomScaleNormal="90" workbookViewId="0"/>
  </sheetViews>
  <sheetFormatPr baseColWidth="10" defaultRowHeight="16" x14ac:dyDescent="0.2"/>
  <cols>
    <col min="1" max="16384" width="10.83203125" style="53"/>
  </cols>
  <sheetData>
    <row r="4" spans="3:6" x14ac:dyDescent="0.2">
      <c r="C4" s="52" t="s">
        <v>184</v>
      </c>
      <c r="D4" s="52" t="s">
        <v>185</v>
      </c>
      <c r="E4" s="53" t="s">
        <v>186</v>
      </c>
      <c r="F4" s="53" t="s">
        <v>187</v>
      </c>
    </row>
    <row r="5" spans="3:6" ht="18" x14ac:dyDescent="0.25">
      <c r="C5" s="53">
        <v>2</v>
      </c>
      <c r="D5" s="53">
        <f>$O$40*C5+$O$41</f>
        <v>5.0000000000000018</v>
      </c>
      <c r="E5" s="53" t="s">
        <v>188</v>
      </c>
    </row>
    <row r="6" spans="3:6" x14ac:dyDescent="0.2">
      <c r="C6" s="54">
        <v>2.1</v>
      </c>
      <c r="D6" s="53">
        <f t="shared" ref="D6:D15" si="0">$O$40*C6+$O$41</f>
        <v>5.1000000000000014</v>
      </c>
    </row>
    <row r="7" spans="3:6" x14ac:dyDescent="0.2">
      <c r="C7" s="54">
        <v>2.2000000000000002</v>
      </c>
      <c r="D7" s="53">
        <f t="shared" si="0"/>
        <v>5.200000000000002</v>
      </c>
    </row>
    <row r="8" spans="3:6" x14ac:dyDescent="0.2">
      <c r="C8" s="54">
        <v>2.2999999999999998</v>
      </c>
      <c r="D8" s="53">
        <f t="shared" si="0"/>
        <v>5.3000000000000025</v>
      </c>
    </row>
    <row r="9" spans="3:6" x14ac:dyDescent="0.2">
      <c r="C9" s="54">
        <v>2.4</v>
      </c>
      <c r="D9" s="53">
        <f t="shared" si="0"/>
        <v>5.4000000000000021</v>
      </c>
    </row>
    <row r="10" spans="3:6" x14ac:dyDescent="0.2">
      <c r="C10" s="54">
        <v>2.5</v>
      </c>
      <c r="D10" s="53">
        <f t="shared" si="0"/>
        <v>5.5000000000000018</v>
      </c>
    </row>
    <row r="11" spans="3:6" x14ac:dyDescent="0.2">
      <c r="C11" s="54">
        <v>2.6</v>
      </c>
      <c r="D11" s="53">
        <f t="shared" si="0"/>
        <v>5.6000000000000023</v>
      </c>
    </row>
    <row r="12" spans="3:6" x14ac:dyDescent="0.2">
      <c r="C12" s="54">
        <v>2.7</v>
      </c>
      <c r="D12" s="53">
        <f t="shared" si="0"/>
        <v>5.7000000000000028</v>
      </c>
    </row>
    <row r="13" spans="3:6" x14ac:dyDescent="0.2">
      <c r="C13" s="54">
        <v>2.8</v>
      </c>
      <c r="D13" s="53">
        <f t="shared" si="0"/>
        <v>5.8000000000000025</v>
      </c>
    </row>
    <row r="14" spans="3:6" x14ac:dyDescent="0.2">
      <c r="C14" s="54">
        <v>2.9</v>
      </c>
      <c r="D14" s="53">
        <f t="shared" si="0"/>
        <v>5.9000000000000021</v>
      </c>
    </row>
    <row r="15" spans="3:6" ht="18" x14ac:dyDescent="0.25">
      <c r="C15" s="53">
        <v>3</v>
      </c>
      <c r="D15" s="53">
        <f t="shared" si="0"/>
        <v>6.0000000000000027</v>
      </c>
      <c r="E15" s="53" t="s">
        <v>189</v>
      </c>
      <c r="F15" s="53" t="s">
        <v>190</v>
      </c>
    </row>
    <row r="16" spans="3:6" x14ac:dyDescent="0.2">
      <c r="C16" s="54">
        <v>3.1</v>
      </c>
      <c r="D16" s="53">
        <f>$O$42*C16+$O$43</f>
        <v>6.1</v>
      </c>
    </row>
    <row r="17" spans="3:15" x14ac:dyDescent="0.2">
      <c r="C17" s="54">
        <v>3.2</v>
      </c>
      <c r="D17" s="53">
        <f t="shared" ref="D17:D25" si="1">$O$42*C17+$O$43</f>
        <v>6.2</v>
      </c>
    </row>
    <row r="18" spans="3:15" x14ac:dyDescent="0.2">
      <c r="C18" s="54">
        <v>3.3</v>
      </c>
      <c r="D18" s="53">
        <f t="shared" si="1"/>
        <v>6.3</v>
      </c>
    </row>
    <row r="19" spans="3:15" x14ac:dyDescent="0.2">
      <c r="C19" s="54">
        <v>3.4</v>
      </c>
      <c r="D19" s="53">
        <f t="shared" si="1"/>
        <v>6.4</v>
      </c>
    </row>
    <row r="20" spans="3:15" x14ac:dyDescent="0.2">
      <c r="C20" s="54">
        <v>3.5</v>
      </c>
      <c r="D20" s="53">
        <f t="shared" si="1"/>
        <v>6.5</v>
      </c>
    </row>
    <row r="21" spans="3:15" x14ac:dyDescent="0.2">
      <c r="C21" s="54">
        <v>3.6</v>
      </c>
      <c r="D21" s="53">
        <f t="shared" si="1"/>
        <v>6.6</v>
      </c>
    </row>
    <row r="22" spans="3:15" x14ac:dyDescent="0.2">
      <c r="C22" s="54">
        <v>3.7</v>
      </c>
      <c r="D22" s="53">
        <f t="shared" si="1"/>
        <v>6.7</v>
      </c>
    </row>
    <row r="23" spans="3:15" x14ac:dyDescent="0.2">
      <c r="C23" s="54">
        <v>3.8</v>
      </c>
      <c r="D23" s="53">
        <f t="shared" si="1"/>
        <v>6.8</v>
      </c>
    </row>
    <row r="24" spans="3:15" x14ac:dyDescent="0.2">
      <c r="C24" s="54">
        <v>3.9</v>
      </c>
      <c r="D24" s="53">
        <f t="shared" si="1"/>
        <v>6.9</v>
      </c>
    </row>
    <row r="25" spans="3:15" ht="18" x14ac:dyDescent="0.25">
      <c r="C25" s="53">
        <v>4</v>
      </c>
      <c r="D25" s="53">
        <f t="shared" si="1"/>
        <v>7</v>
      </c>
      <c r="E25" s="53" t="s">
        <v>190</v>
      </c>
    </row>
    <row r="31" spans="3:15" s="52" customFormat="1" ht="20" x14ac:dyDescent="0.25">
      <c r="D31" s="52" t="s">
        <v>191</v>
      </c>
      <c r="E31" s="52" t="s">
        <v>192</v>
      </c>
      <c r="G31" s="52" t="s">
        <v>193</v>
      </c>
      <c r="H31" s="52" t="s">
        <v>194</v>
      </c>
      <c r="I31" s="52" t="s">
        <v>195</v>
      </c>
      <c r="J31" s="52" t="s">
        <v>196</v>
      </c>
      <c r="L31" s="52" t="s">
        <v>197</v>
      </c>
      <c r="O31" s="52" t="s">
        <v>198</v>
      </c>
    </row>
    <row r="32" spans="3:15" ht="18" x14ac:dyDescent="0.25">
      <c r="C32" s="53" t="s">
        <v>199</v>
      </c>
      <c r="D32" s="55" t="str">
        <f>"y(" &amp; E32 &amp; ")"</f>
        <v>y(2)</v>
      </c>
      <c r="E32" s="53">
        <v>2</v>
      </c>
      <c r="G32" s="56">
        <f>E32</f>
        <v>2</v>
      </c>
      <c r="H32" s="57">
        <v>1</v>
      </c>
      <c r="I32" s="57">
        <v>0</v>
      </c>
      <c r="J32" s="58">
        <v>0</v>
      </c>
      <c r="L32" s="59" t="s">
        <v>200</v>
      </c>
      <c r="O32" s="60">
        <v>5</v>
      </c>
    </row>
    <row r="33" spans="3:15" ht="18" x14ac:dyDescent="0.25">
      <c r="C33" s="53" t="s">
        <v>199</v>
      </c>
      <c r="D33" s="55" t="str">
        <f t="shared" ref="D33:D35" si="2">"y(" &amp; E33 &amp; ")"</f>
        <v>y(3)</v>
      </c>
      <c r="E33" s="53">
        <v>3</v>
      </c>
      <c r="G33" s="61">
        <v>3</v>
      </c>
      <c r="H33" s="53">
        <v>1</v>
      </c>
      <c r="I33" s="53">
        <v>0</v>
      </c>
      <c r="J33" s="62">
        <v>0</v>
      </c>
      <c r="L33" s="63" t="s">
        <v>201</v>
      </c>
      <c r="N33" s="53" t="s">
        <v>202</v>
      </c>
      <c r="O33" s="64">
        <v>6</v>
      </c>
    </row>
    <row r="34" spans="3:15" ht="18" x14ac:dyDescent="0.25">
      <c r="C34" s="53" t="s">
        <v>203</v>
      </c>
      <c r="D34" s="55" t="str">
        <f t="shared" si="2"/>
        <v>y(3)</v>
      </c>
      <c r="E34" s="53">
        <v>3</v>
      </c>
      <c r="G34" s="61">
        <v>0</v>
      </c>
      <c r="H34" s="53">
        <v>0</v>
      </c>
      <c r="I34" s="53">
        <v>3</v>
      </c>
      <c r="J34" s="62">
        <v>1</v>
      </c>
      <c r="L34" s="63" t="s">
        <v>204</v>
      </c>
      <c r="O34" s="64">
        <v>6</v>
      </c>
    </row>
    <row r="35" spans="3:15" ht="18" x14ac:dyDescent="0.25">
      <c r="C35" s="53" t="s">
        <v>203</v>
      </c>
      <c r="D35" s="55" t="str">
        <f t="shared" si="2"/>
        <v>y(4)</v>
      </c>
      <c r="E35" s="53">
        <v>4</v>
      </c>
      <c r="G35" s="65">
        <v>0</v>
      </c>
      <c r="H35" s="66">
        <v>0</v>
      </c>
      <c r="I35" s="66">
        <f>E35</f>
        <v>4</v>
      </c>
      <c r="J35" s="67">
        <v>1</v>
      </c>
      <c r="L35" s="68" t="s">
        <v>205</v>
      </c>
      <c r="O35" s="69">
        <v>7</v>
      </c>
    </row>
    <row r="39" spans="3:15" x14ac:dyDescent="0.2">
      <c r="L39" s="52" t="s">
        <v>197</v>
      </c>
      <c r="O39" s="52" t="s">
        <v>197</v>
      </c>
    </row>
    <row r="40" spans="3:15" ht="18" x14ac:dyDescent="0.25">
      <c r="I40" s="52"/>
      <c r="L40" s="59" t="s">
        <v>200</v>
      </c>
      <c r="O40" s="60">
        <f t="array" ref="O40:O43">MMULT(MINVERSE(G32:J35),O32:O35)</f>
        <v>1.0000000000000009</v>
      </c>
    </row>
    <row r="41" spans="3:15" ht="18" x14ac:dyDescent="0.25">
      <c r="L41" s="63" t="s">
        <v>201</v>
      </c>
      <c r="N41" s="53" t="s">
        <v>202</v>
      </c>
      <c r="O41" s="64">
        <v>3</v>
      </c>
    </row>
    <row r="42" spans="3:15" ht="18" x14ac:dyDescent="0.25">
      <c r="L42" s="63" t="s">
        <v>204</v>
      </c>
      <c r="O42" s="64">
        <v>1</v>
      </c>
    </row>
    <row r="43" spans="3:15" ht="18" x14ac:dyDescent="0.25">
      <c r="L43" s="68" t="s">
        <v>205</v>
      </c>
      <c r="O43" s="69">
        <v>3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4B237-D40D-1941-AFA2-0695D868FACD}">
  <sheetPr codeName="Sheet48">
    <tabColor rgb="FFFF0000"/>
  </sheetPr>
  <dimension ref="C4:O43"/>
  <sheetViews>
    <sheetView zoomScale="90" zoomScaleNormal="90" workbookViewId="0"/>
  </sheetViews>
  <sheetFormatPr baseColWidth="10" defaultRowHeight="16" x14ac:dyDescent="0.2"/>
  <cols>
    <col min="1" max="16384" width="10.83203125" style="53"/>
  </cols>
  <sheetData>
    <row r="4" spans="3:6" x14ac:dyDescent="0.2">
      <c r="C4" s="52" t="s">
        <v>184</v>
      </c>
      <c r="D4" s="52" t="s">
        <v>185</v>
      </c>
      <c r="E4" s="53" t="s">
        <v>186</v>
      </c>
      <c r="F4" s="53" t="s">
        <v>187</v>
      </c>
    </row>
    <row r="5" spans="3:6" ht="18" x14ac:dyDescent="0.25">
      <c r="C5" s="53">
        <v>2</v>
      </c>
      <c r="D5" s="53">
        <f>$O$40*C5+$O$41</f>
        <v>5</v>
      </c>
      <c r="E5" s="53" t="s">
        <v>188</v>
      </c>
    </row>
    <row r="6" spans="3:6" x14ac:dyDescent="0.2">
      <c r="C6" s="54">
        <v>2.1</v>
      </c>
      <c r="D6" s="53">
        <f t="shared" ref="D6:D15" si="0">$O$40*C6+$O$41</f>
        <v>5.0999999999999996</v>
      </c>
    </row>
    <row r="7" spans="3:6" x14ac:dyDescent="0.2">
      <c r="C7" s="54">
        <v>2.2000000000000002</v>
      </c>
      <c r="D7" s="53">
        <f t="shared" si="0"/>
        <v>5.2</v>
      </c>
    </row>
    <row r="8" spans="3:6" x14ac:dyDescent="0.2">
      <c r="C8" s="54">
        <v>2.2999999999999998</v>
      </c>
      <c r="D8" s="53">
        <f t="shared" si="0"/>
        <v>5.3</v>
      </c>
    </row>
    <row r="9" spans="3:6" x14ac:dyDescent="0.2">
      <c r="C9" s="54">
        <v>2.4</v>
      </c>
      <c r="D9" s="53">
        <f t="shared" si="0"/>
        <v>5.4</v>
      </c>
    </row>
    <row r="10" spans="3:6" x14ac:dyDescent="0.2">
      <c r="C10" s="54">
        <v>2.5</v>
      </c>
      <c r="D10" s="53">
        <f t="shared" si="0"/>
        <v>5.5</v>
      </c>
    </row>
    <row r="11" spans="3:6" x14ac:dyDescent="0.2">
      <c r="C11" s="54">
        <v>2.6</v>
      </c>
      <c r="D11" s="53">
        <f t="shared" si="0"/>
        <v>5.6</v>
      </c>
    </row>
    <row r="12" spans="3:6" x14ac:dyDescent="0.2">
      <c r="C12" s="54">
        <v>2.7</v>
      </c>
      <c r="D12" s="53">
        <f t="shared" si="0"/>
        <v>5.7</v>
      </c>
    </row>
    <row r="13" spans="3:6" x14ac:dyDescent="0.2">
      <c r="C13" s="54">
        <v>2.8</v>
      </c>
      <c r="D13" s="53">
        <f t="shared" si="0"/>
        <v>5.8</v>
      </c>
    </row>
    <row r="14" spans="3:6" x14ac:dyDescent="0.2">
      <c r="C14" s="54">
        <v>2.9</v>
      </c>
      <c r="D14" s="53">
        <f t="shared" si="0"/>
        <v>5.9</v>
      </c>
    </row>
    <row r="15" spans="3:6" ht="18" x14ac:dyDescent="0.25">
      <c r="C15" s="53">
        <v>3</v>
      </c>
      <c r="D15" s="53">
        <f t="shared" si="0"/>
        <v>6</v>
      </c>
      <c r="E15" s="53" t="s">
        <v>189</v>
      </c>
      <c r="F15" s="53" t="s">
        <v>190</v>
      </c>
    </row>
    <row r="16" spans="3:6" x14ac:dyDescent="0.2">
      <c r="C16" s="54">
        <v>3.1</v>
      </c>
      <c r="D16" s="53">
        <f t="shared" ref="D16:D24" si="1">$O$42*C16+$O$43</f>
        <v>6.1</v>
      </c>
    </row>
    <row r="17" spans="3:15" x14ac:dyDescent="0.2">
      <c r="C17" s="54">
        <v>3.2</v>
      </c>
      <c r="D17" s="53">
        <f t="shared" si="1"/>
        <v>6.2</v>
      </c>
    </row>
    <row r="18" spans="3:15" x14ac:dyDescent="0.2">
      <c r="C18" s="54">
        <v>3.3</v>
      </c>
      <c r="D18" s="53">
        <f t="shared" si="1"/>
        <v>6.3</v>
      </c>
    </row>
    <row r="19" spans="3:15" x14ac:dyDescent="0.2">
      <c r="C19" s="54">
        <v>3.4</v>
      </c>
      <c r="D19" s="53">
        <f t="shared" si="1"/>
        <v>6.4</v>
      </c>
    </row>
    <row r="20" spans="3:15" x14ac:dyDescent="0.2">
      <c r="C20" s="54">
        <v>3.5</v>
      </c>
      <c r="D20" s="53">
        <f t="shared" si="1"/>
        <v>6.5</v>
      </c>
    </row>
    <row r="21" spans="3:15" x14ac:dyDescent="0.2">
      <c r="C21" s="54">
        <v>3.6</v>
      </c>
      <c r="D21" s="53">
        <f t="shared" si="1"/>
        <v>6.6</v>
      </c>
    </row>
    <row r="22" spans="3:15" x14ac:dyDescent="0.2">
      <c r="C22" s="54">
        <v>3.7</v>
      </c>
      <c r="D22" s="53">
        <f t="shared" si="1"/>
        <v>6.7</v>
      </c>
    </row>
    <row r="23" spans="3:15" x14ac:dyDescent="0.2">
      <c r="C23" s="54">
        <v>3.8</v>
      </c>
      <c r="D23" s="53">
        <f t="shared" si="1"/>
        <v>6.8</v>
      </c>
    </row>
    <row r="24" spans="3:15" x14ac:dyDescent="0.2">
      <c r="C24" s="54">
        <v>3.9</v>
      </c>
      <c r="D24" s="53">
        <f t="shared" si="1"/>
        <v>6.9</v>
      </c>
    </row>
    <row r="25" spans="3:15" ht="18" x14ac:dyDescent="0.25">
      <c r="C25" s="53">
        <v>4</v>
      </c>
      <c r="D25" s="53">
        <f>$O$42*C25+$O$43</f>
        <v>7</v>
      </c>
      <c r="E25" s="53" t="s">
        <v>190</v>
      </c>
    </row>
    <row r="31" spans="3:15" s="52" customFormat="1" ht="20" x14ac:dyDescent="0.25">
      <c r="D31" s="52" t="s">
        <v>191</v>
      </c>
      <c r="E31" s="52" t="s">
        <v>192</v>
      </c>
      <c r="G31" s="52" t="s">
        <v>193</v>
      </c>
      <c r="H31" s="52" t="s">
        <v>194</v>
      </c>
      <c r="I31" s="52" t="s">
        <v>195</v>
      </c>
      <c r="J31" s="52" t="s">
        <v>196</v>
      </c>
      <c r="L31" s="52" t="s">
        <v>197</v>
      </c>
      <c r="O31" s="52" t="s">
        <v>198</v>
      </c>
    </row>
    <row r="32" spans="3:15" ht="18" x14ac:dyDescent="0.25">
      <c r="C32" s="53" t="s">
        <v>199</v>
      </c>
      <c r="D32" s="55" t="str">
        <f>"y(" &amp; E32 &amp; ")"</f>
        <v>y(2)</v>
      </c>
      <c r="E32" s="53">
        <v>2</v>
      </c>
      <c r="G32" s="56">
        <f>E32</f>
        <v>2</v>
      </c>
      <c r="H32" s="57">
        <v>1</v>
      </c>
      <c r="I32" s="57">
        <v>0</v>
      </c>
      <c r="J32" s="58">
        <v>0</v>
      </c>
      <c r="L32" s="59" t="s">
        <v>200</v>
      </c>
      <c r="O32" s="60">
        <v>5</v>
      </c>
    </row>
    <row r="33" spans="3:15" ht="18" x14ac:dyDescent="0.25">
      <c r="C33" s="53" t="s">
        <v>199</v>
      </c>
      <c r="D33" s="70" t="str">
        <f>"y'(" &amp; E33 &amp; ")"</f>
        <v>y'(3)</v>
      </c>
      <c r="E33" s="47">
        <v>3</v>
      </c>
      <c r="F33" s="47"/>
      <c r="G33" s="71">
        <v>1</v>
      </c>
      <c r="H33" s="47">
        <v>0</v>
      </c>
      <c r="I33" s="47">
        <v>-1</v>
      </c>
      <c r="J33" s="72">
        <v>0</v>
      </c>
      <c r="L33" s="63" t="s">
        <v>201</v>
      </c>
      <c r="N33" s="53" t="s">
        <v>202</v>
      </c>
      <c r="O33" s="64">
        <v>0</v>
      </c>
    </row>
    <row r="34" spans="3:15" ht="18" x14ac:dyDescent="0.25">
      <c r="C34" s="53" t="s">
        <v>203</v>
      </c>
      <c r="D34" s="55" t="str">
        <f>"y(" &amp; E34 &amp; ")"</f>
        <v>y(3)</v>
      </c>
      <c r="E34" s="53">
        <v>3</v>
      </c>
      <c r="G34" s="61">
        <v>0</v>
      </c>
      <c r="H34" s="53">
        <v>0</v>
      </c>
      <c r="I34" s="53">
        <v>3</v>
      </c>
      <c r="J34" s="62">
        <v>1</v>
      </c>
      <c r="L34" s="63" t="s">
        <v>204</v>
      </c>
      <c r="O34" s="64">
        <v>6</v>
      </c>
    </row>
    <row r="35" spans="3:15" ht="18" x14ac:dyDescent="0.25">
      <c r="C35" s="53" t="s">
        <v>203</v>
      </c>
      <c r="D35" s="55" t="str">
        <f t="shared" ref="D35" si="2">"y(" &amp; E35 &amp; ")"</f>
        <v>y(4)</v>
      </c>
      <c r="E35" s="53">
        <v>4</v>
      </c>
      <c r="G35" s="65">
        <v>0</v>
      </c>
      <c r="H35" s="66">
        <v>0</v>
      </c>
      <c r="I35" s="66">
        <f>E35</f>
        <v>4</v>
      </c>
      <c r="J35" s="67">
        <v>1</v>
      </c>
      <c r="L35" s="68" t="s">
        <v>205</v>
      </c>
      <c r="O35" s="69">
        <v>7</v>
      </c>
    </row>
    <row r="39" spans="3:15" x14ac:dyDescent="0.2">
      <c r="L39" s="52" t="s">
        <v>197</v>
      </c>
      <c r="O39" s="52" t="s">
        <v>197</v>
      </c>
    </row>
    <row r="40" spans="3:15" ht="18" x14ac:dyDescent="0.25">
      <c r="I40" s="52"/>
      <c r="L40" s="59" t="s">
        <v>200</v>
      </c>
      <c r="O40" s="60">
        <f t="array" ref="O40:O43">MMULT(MINVERSE(G32:J35),O32:O35)</f>
        <v>1</v>
      </c>
    </row>
    <row r="41" spans="3:15" ht="18" x14ac:dyDescent="0.25">
      <c r="L41" s="63" t="s">
        <v>201</v>
      </c>
      <c r="N41" s="53" t="s">
        <v>202</v>
      </c>
      <c r="O41" s="64">
        <v>3</v>
      </c>
    </row>
    <row r="42" spans="3:15" ht="18" x14ac:dyDescent="0.25">
      <c r="L42" s="63" t="s">
        <v>204</v>
      </c>
      <c r="O42" s="64">
        <v>1</v>
      </c>
    </row>
    <row r="43" spans="3:15" ht="18" x14ac:dyDescent="0.25">
      <c r="L43" s="68" t="s">
        <v>205</v>
      </c>
      <c r="O43" s="69">
        <v>3</v>
      </c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A5589-7C0B-2F4B-9577-B12216C03102}">
  <sheetPr codeName="Sheet50">
    <tabColor rgb="FFFF0000"/>
  </sheetPr>
  <dimension ref="B2:Y33"/>
  <sheetViews>
    <sheetView zoomScale="90" zoomScaleNormal="90" workbookViewId="0"/>
  </sheetViews>
  <sheetFormatPr baseColWidth="10" defaultRowHeight="16" x14ac:dyDescent="0.2"/>
  <cols>
    <col min="1" max="16384" width="10.83203125" style="74"/>
  </cols>
  <sheetData>
    <row r="2" spans="2:3" s="73" customFormat="1" ht="26" x14ac:dyDescent="0.3"/>
    <row r="3" spans="2:3" ht="29" x14ac:dyDescent="0.3">
      <c r="C3" s="73" t="s">
        <v>206</v>
      </c>
    </row>
    <row r="4" spans="2:3" ht="26" x14ac:dyDescent="0.3">
      <c r="C4" s="73"/>
    </row>
    <row r="5" spans="2:3" ht="29" x14ac:dyDescent="0.3">
      <c r="C5" s="73" t="s">
        <v>207</v>
      </c>
    </row>
    <row r="6" spans="2:3" ht="26" x14ac:dyDescent="0.3">
      <c r="C6" s="73"/>
    </row>
    <row r="7" spans="2:3" ht="26" x14ac:dyDescent="0.3">
      <c r="C7" s="73" t="s">
        <v>208</v>
      </c>
    </row>
    <row r="11" spans="2:3" x14ac:dyDescent="0.2">
      <c r="B11" s="55" t="s">
        <v>184</v>
      </c>
      <c r="C11" s="55" t="s">
        <v>185</v>
      </c>
    </row>
    <row r="12" spans="2:3" x14ac:dyDescent="0.2">
      <c r="B12" s="74">
        <v>2</v>
      </c>
      <c r="C12" s="74">
        <v>1</v>
      </c>
    </row>
    <row r="13" spans="2:3" x14ac:dyDescent="0.2">
      <c r="B13" s="74">
        <v>3</v>
      </c>
      <c r="C13" s="74">
        <v>2</v>
      </c>
    </row>
    <row r="14" spans="2:3" x14ac:dyDescent="0.2">
      <c r="B14" s="74">
        <v>4</v>
      </c>
      <c r="C14" s="74">
        <v>6</v>
      </c>
    </row>
    <row r="15" spans="2:3" x14ac:dyDescent="0.2">
      <c r="B15" s="74">
        <v>5</v>
      </c>
      <c r="C15" s="74">
        <v>9</v>
      </c>
    </row>
    <row r="23" spans="2:25" s="55" customFormat="1" ht="20" x14ac:dyDescent="0.25">
      <c r="B23" s="55" t="s">
        <v>209</v>
      </c>
      <c r="C23" s="55" t="s">
        <v>210</v>
      </c>
      <c r="D23" s="55" t="s">
        <v>192</v>
      </c>
      <c r="F23" s="52" t="s">
        <v>211</v>
      </c>
      <c r="G23" s="52" t="s">
        <v>212</v>
      </c>
      <c r="H23" s="52" t="s">
        <v>193</v>
      </c>
      <c r="I23" s="52" t="s">
        <v>194</v>
      </c>
      <c r="J23" s="52" t="s">
        <v>213</v>
      </c>
      <c r="K23" s="52" t="s">
        <v>214</v>
      </c>
      <c r="L23" s="52" t="s">
        <v>195</v>
      </c>
      <c r="M23" s="52" t="s">
        <v>196</v>
      </c>
      <c r="N23" s="52" t="s">
        <v>215</v>
      </c>
      <c r="O23" s="52" t="s">
        <v>216</v>
      </c>
      <c r="P23" s="52" t="s">
        <v>217</v>
      </c>
      <c r="Q23" s="52" t="s">
        <v>218</v>
      </c>
      <c r="R23" s="52" t="s">
        <v>219</v>
      </c>
      <c r="S23" s="52" t="s">
        <v>220</v>
      </c>
      <c r="T23" s="52" t="s">
        <v>221</v>
      </c>
      <c r="U23" s="52" t="s">
        <v>222</v>
      </c>
      <c r="V23" s="52" t="s">
        <v>223</v>
      </c>
      <c r="W23" s="52" t="s">
        <v>224</v>
      </c>
      <c r="X23" s="52" t="s">
        <v>225</v>
      </c>
      <c r="Y23" s="52" t="s">
        <v>226</v>
      </c>
    </row>
    <row r="24" spans="2:25" x14ac:dyDescent="0.2">
      <c r="B24" s="55" t="s">
        <v>227</v>
      </c>
      <c r="C24" s="74">
        <v>2</v>
      </c>
      <c r="D24" s="74">
        <v>3</v>
      </c>
      <c r="F24" s="75" t="e">
        <f>_xlfn.SINGLE(Time)^3</f>
        <v>#REF!</v>
      </c>
      <c r="G24" s="76" t="e">
        <f>_xlfn.SINGLE(Time)^2</f>
        <v>#REF!</v>
      </c>
      <c r="H24" s="76" t="e">
        <f>_xlfn.SINGLE(Time)^1</f>
        <v>#REF!</v>
      </c>
      <c r="I24" s="76" t="e">
        <f>_xlfn.SINGLE(Time)^0</f>
        <v>#REF!</v>
      </c>
      <c r="J24" s="76">
        <v>0</v>
      </c>
      <c r="K24" s="76">
        <v>0</v>
      </c>
      <c r="L24" s="76">
        <v>0</v>
      </c>
      <c r="M24" s="77">
        <v>0</v>
      </c>
      <c r="N24" s="74">
        <v>0</v>
      </c>
      <c r="O24" s="74">
        <v>0</v>
      </c>
      <c r="P24" s="74">
        <v>0</v>
      </c>
      <c r="Q24" s="74">
        <v>0</v>
      </c>
      <c r="R24" s="74">
        <v>0</v>
      </c>
      <c r="S24" s="74">
        <v>0</v>
      </c>
      <c r="T24" s="74">
        <v>0</v>
      </c>
      <c r="U24" s="74">
        <v>0</v>
      </c>
      <c r="V24" s="74">
        <v>0</v>
      </c>
      <c r="W24" s="74">
        <v>0</v>
      </c>
      <c r="X24" s="74">
        <v>0</v>
      </c>
      <c r="Y24" s="74">
        <v>0</v>
      </c>
    </row>
    <row r="25" spans="2:25" x14ac:dyDescent="0.2">
      <c r="B25" s="55" t="s">
        <v>227</v>
      </c>
      <c r="C25" s="74">
        <v>2</v>
      </c>
      <c r="D25" s="74">
        <v>3</v>
      </c>
      <c r="F25" s="78">
        <v>0</v>
      </c>
      <c r="G25" s="74">
        <v>0</v>
      </c>
      <c r="H25" s="74">
        <v>0</v>
      </c>
      <c r="I25" s="74">
        <v>0</v>
      </c>
      <c r="J25" s="74" t="e">
        <f>_xlfn.SINGLE(Time)^3</f>
        <v>#REF!</v>
      </c>
      <c r="K25" s="74" t="e">
        <f>_xlfn.SINGLE(Time)^2</f>
        <v>#REF!</v>
      </c>
      <c r="L25" s="74" t="e">
        <f>_xlfn.SINGLE(Time)^1</f>
        <v>#REF!</v>
      </c>
      <c r="M25" s="79" t="e">
        <f>_xlfn.SINGLE(Time)^0</f>
        <v>#REF!</v>
      </c>
      <c r="N25" s="74">
        <v>0</v>
      </c>
      <c r="O25" s="74">
        <v>0</v>
      </c>
      <c r="P25" s="74">
        <v>0</v>
      </c>
      <c r="Q25" s="74">
        <v>0</v>
      </c>
      <c r="R25" s="74">
        <v>0</v>
      </c>
      <c r="S25" s="74">
        <v>0</v>
      </c>
      <c r="T25" s="74">
        <v>0</v>
      </c>
      <c r="U25" s="74">
        <v>0</v>
      </c>
      <c r="V25" s="74">
        <v>0</v>
      </c>
      <c r="W25" s="74">
        <v>0</v>
      </c>
      <c r="X25" s="74">
        <v>0</v>
      </c>
      <c r="Y25" s="74">
        <v>0</v>
      </c>
    </row>
    <row r="26" spans="2:25" x14ac:dyDescent="0.2">
      <c r="B26" s="55" t="s">
        <v>228</v>
      </c>
      <c r="C26" s="74">
        <v>0</v>
      </c>
      <c r="D26" s="74">
        <v>3</v>
      </c>
      <c r="F26" s="78" t="e">
        <f>3*_xlfn.SINGLE(Time)^2</f>
        <v>#REF!</v>
      </c>
      <c r="G26" s="74" t="e">
        <f>2*_xlfn.SINGLE(Time)</f>
        <v>#REF!</v>
      </c>
      <c r="H26" s="74" t="e">
        <f>_xlfn.SINGLE(Time)^0</f>
        <v>#REF!</v>
      </c>
      <c r="I26" s="74">
        <v>0</v>
      </c>
      <c r="J26" s="74" t="e">
        <f>-3*_xlfn.SINGLE(Time)^2</f>
        <v>#REF!</v>
      </c>
      <c r="K26" s="74" t="e">
        <f>-2*_xlfn.SINGLE(Time)</f>
        <v>#REF!</v>
      </c>
      <c r="L26" s="74" t="e">
        <f>-(_xlfn.SINGLE(Time)^0)</f>
        <v>#REF!</v>
      </c>
      <c r="M26" s="79">
        <v>0</v>
      </c>
      <c r="N26" s="74">
        <v>0</v>
      </c>
      <c r="O26" s="74">
        <v>0</v>
      </c>
      <c r="P26" s="74">
        <v>0</v>
      </c>
      <c r="Q26" s="74">
        <v>0</v>
      </c>
      <c r="R26" s="74">
        <v>0</v>
      </c>
      <c r="S26" s="74">
        <v>0</v>
      </c>
      <c r="T26" s="74">
        <v>0</v>
      </c>
      <c r="U26" s="74">
        <v>0</v>
      </c>
      <c r="V26" s="74">
        <v>0</v>
      </c>
      <c r="W26" s="74">
        <v>0</v>
      </c>
      <c r="X26" s="74">
        <v>0</v>
      </c>
      <c r="Y26" s="74">
        <v>0</v>
      </c>
    </row>
    <row r="27" spans="2:25" x14ac:dyDescent="0.2">
      <c r="B27" s="55" t="s">
        <v>229</v>
      </c>
      <c r="C27" s="74">
        <v>0</v>
      </c>
      <c r="D27" s="74">
        <v>3</v>
      </c>
      <c r="F27" s="80" t="e">
        <f>2*3*_xlfn.SINGLE(Time)^1</f>
        <v>#REF!</v>
      </c>
      <c r="G27" s="81" t="e">
        <f>2*_xlfn.SINGLE(Time)^0</f>
        <v>#REF!</v>
      </c>
      <c r="H27" s="81">
        <v>0</v>
      </c>
      <c r="I27" s="81">
        <v>0</v>
      </c>
      <c r="J27" s="81" t="e">
        <f>-2*3*_xlfn.SINGLE(Time)^1</f>
        <v>#REF!</v>
      </c>
      <c r="K27" s="81" t="e">
        <f>-2*_xlfn.SINGLE(Time)^0</f>
        <v>#REF!</v>
      </c>
      <c r="L27" s="81">
        <v>0</v>
      </c>
      <c r="M27" s="82">
        <v>0</v>
      </c>
      <c r="N27" s="74">
        <v>0</v>
      </c>
      <c r="O27" s="74">
        <v>0</v>
      </c>
      <c r="P27" s="74">
        <v>0</v>
      </c>
      <c r="Q27" s="74">
        <v>0</v>
      </c>
      <c r="R27" s="74">
        <v>0</v>
      </c>
      <c r="S27" s="74">
        <v>0</v>
      </c>
      <c r="T27" s="74">
        <v>0</v>
      </c>
      <c r="U27" s="74">
        <v>0</v>
      </c>
      <c r="V27" s="74">
        <v>0</v>
      </c>
      <c r="W27" s="74">
        <v>0</v>
      </c>
      <c r="X27" s="74">
        <v>0</v>
      </c>
      <c r="Y27" s="74">
        <v>0</v>
      </c>
    </row>
    <row r="30" spans="2:25" x14ac:dyDescent="0.2">
      <c r="F30" s="52"/>
      <c r="G30" s="52"/>
      <c r="H30" s="52"/>
      <c r="I30" s="52"/>
    </row>
    <row r="31" spans="2:25" x14ac:dyDescent="0.2">
      <c r="F31" s="52"/>
      <c r="G31" s="52"/>
    </row>
    <row r="32" spans="2:25" x14ac:dyDescent="0.2">
      <c r="F32" s="52"/>
      <c r="G32" s="52"/>
    </row>
    <row r="33" spans="6:8" x14ac:dyDescent="0.2">
      <c r="F33" s="52"/>
      <c r="G33" s="52"/>
      <c r="H33" s="52"/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850D5-5B32-0542-B3F8-15C74DE6774E}">
  <sheetPr codeName="Sheet51">
    <tabColor rgb="FFFF0000"/>
  </sheetPr>
  <dimension ref="B2:Y36"/>
  <sheetViews>
    <sheetView zoomScale="90" zoomScaleNormal="90" workbookViewId="0"/>
  </sheetViews>
  <sheetFormatPr baseColWidth="10" defaultRowHeight="16" x14ac:dyDescent="0.2"/>
  <cols>
    <col min="1" max="16384" width="10.83203125" style="74"/>
  </cols>
  <sheetData>
    <row r="2" spans="2:3" s="73" customFormat="1" ht="26" x14ac:dyDescent="0.3"/>
    <row r="3" spans="2:3" ht="29" x14ac:dyDescent="0.3">
      <c r="C3" s="73" t="s">
        <v>206</v>
      </c>
    </row>
    <row r="4" spans="2:3" ht="26" x14ac:dyDescent="0.3">
      <c r="C4" s="73"/>
    </row>
    <row r="5" spans="2:3" ht="29" x14ac:dyDescent="0.3">
      <c r="C5" s="73" t="s">
        <v>207</v>
      </c>
    </row>
    <row r="6" spans="2:3" ht="26" x14ac:dyDescent="0.3">
      <c r="C6" s="73"/>
    </row>
    <row r="7" spans="2:3" ht="26" x14ac:dyDescent="0.3">
      <c r="C7" s="73" t="s">
        <v>208</v>
      </c>
    </row>
    <row r="11" spans="2:3" x14ac:dyDescent="0.2">
      <c r="B11" s="55" t="s">
        <v>184</v>
      </c>
      <c r="C11" s="55" t="s">
        <v>185</v>
      </c>
    </row>
    <row r="12" spans="2:3" x14ac:dyDescent="0.2">
      <c r="B12" s="74">
        <v>2</v>
      </c>
      <c r="C12" s="74">
        <v>1</v>
      </c>
    </row>
    <row r="13" spans="2:3" x14ac:dyDescent="0.2">
      <c r="B13" s="74">
        <v>3</v>
      </c>
      <c r="C13" s="74">
        <v>2</v>
      </c>
    </row>
    <row r="14" spans="2:3" x14ac:dyDescent="0.2">
      <c r="B14" s="74">
        <v>4</v>
      </c>
      <c r="C14" s="74">
        <v>6</v>
      </c>
    </row>
    <row r="15" spans="2:3" x14ac:dyDescent="0.2">
      <c r="B15" s="74">
        <v>5</v>
      </c>
      <c r="C15" s="74">
        <v>9</v>
      </c>
    </row>
    <row r="24" spans="2:25" s="83" customFormat="1" ht="20" x14ac:dyDescent="0.25">
      <c r="B24" s="83" t="s">
        <v>209</v>
      </c>
      <c r="C24" s="83" t="s">
        <v>210</v>
      </c>
      <c r="D24" s="83" t="s">
        <v>192</v>
      </c>
      <c r="F24" s="84" t="s">
        <v>230</v>
      </c>
      <c r="G24" s="84" t="s">
        <v>231</v>
      </c>
      <c r="H24" s="84" t="s">
        <v>232</v>
      </c>
      <c r="I24" s="84" t="s">
        <v>233</v>
      </c>
      <c r="J24" s="84" t="s">
        <v>234</v>
      </c>
      <c r="K24" s="84" t="s">
        <v>235</v>
      </c>
      <c r="L24" s="84" t="s">
        <v>236</v>
      </c>
      <c r="M24" s="84" t="s">
        <v>237</v>
      </c>
      <c r="N24" s="84" t="s">
        <v>238</v>
      </c>
      <c r="O24" s="84" t="s">
        <v>239</v>
      </c>
      <c r="P24" s="84" t="s">
        <v>240</v>
      </c>
      <c r="Q24" s="84" t="s">
        <v>241</v>
      </c>
      <c r="R24" s="74"/>
      <c r="T24" s="74"/>
      <c r="U24" s="74"/>
      <c r="V24" s="85"/>
      <c r="W24" s="85"/>
      <c r="X24" s="85"/>
      <c r="Y24" s="85"/>
    </row>
    <row r="25" spans="2:25" ht="18" x14ac:dyDescent="0.25">
      <c r="B25" s="55" t="s">
        <v>227</v>
      </c>
      <c r="C25" s="74">
        <v>2</v>
      </c>
      <c r="D25" s="74">
        <v>3</v>
      </c>
      <c r="F25" s="75">
        <f>time^3</f>
        <v>27</v>
      </c>
      <c r="G25" s="76">
        <f>time^2</f>
        <v>9</v>
      </c>
      <c r="H25" s="76">
        <f>time^1</f>
        <v>3</v>
      </c>
      <c r="I25" s="76">
        <f>time^0</f>
        <v>1</v>
      </c>
      <c r="J25" s="76">
        <v>0</v>
      </c>
      <c r="K25" s="76">
        <v>0</v>
      </c>
      <c r="L25" s="76">
        <v>0</v>
      </c>
      <c r="M25" s="77">
        <v>0</v>
      </c>
      <c r="N25" s="74">
        <v>0</v>
      </c>
      <c r="O25" s="74">
        <v>0</v>
      </c>
      <c r="P25" s="74">
        <v>0</v>
      </c>
      <c r="Q25" s="74">
        <v>0</v>
      </c>
      <c r="S25" s="52" t="s">
        <v>242</v>
      </c>
      <c r="T25" s="74">
        <f t="array" ref="T25:T36">MMULT(MINVERSE(F25:Q36),C25:C36)</f>
        <v>0.86666666666666714</v>
      </c>
    </row>
    <row r="26" spans="2:25" ht="18" x14ac:dyDescent="0.25">
      <c r="B26" s="55" t="s">
        <v>227</v>
      </c>
      <c r="C26" s="74">
        <v>2</v>
      </c>
      <c r="D26" s="74">
        <v>3</v>
      </c>
      <c r="F26" s="78">
        <v>0</v>
      </c>
      <c r="G26" s="74">
        <v>0</v>
      </c>
      <c r="H26" s="74">
        <v>0</v>
      </c>
      <c r="I26" s="74">
        <v>0</v>
      </c>
      <c r="J26" s="74">
        <f>time^3</f>
        <v>27</v>
      </c>
      <c r="K26" s="74">
        <f>time^2</f>
        <v>9</v>
      </c>
      <c r="L26" s="74">
        <f>time^1</f>
        <v>3</v>
      </c>
      <c r="M26" s="79">
        <f>time^0</f>
        <v>1</v>
      </c>
      <c r="N26" s="74">
        <v>0</v>
      </c>
      <c r="O26" s="74">
        <v>0</v>
      </c>
      <c r="P26" s="74">
        <v>0</v>
      </c>
      <c r="Q26" s="74">
        <v>0</v>
      </c>
      <c r="S26" s="52" t="s">
        <v>243</v>
      </c>
      <c r="T26" s="74">
        <v>-5.1999999999999922</v>
      </c>
    </row>
    <row r="27" spans="2:25" ht="18" x14ac:dyDescent="0.25">
      <c r="B27" s="55" t="s">
        <v>228</v>
      </c>
      <c r="C27" s="74">
        <v>0</v>
      </c>
      <c r="D27" s="74">
        <v>3</v>
      </c>
      <c r="F27" s="78">
        <f>3*time^2</f>
        <v>27</v>
      </c>
      <c r="G27" s="74">
        <f>2*time</f>
        <v>6</v>
      </c>
      <c r="H27" s="74">
        <f>time^0</f>
        <v>1</v>
      </c>
      <c r="I27" s="74">
        <v>0</v>
      </c>
      <c r="J27" s="74">
        <f>-3*time^2</f>
        <v>-27</v>
      </c>
      <c r="K27" s="74">
        <f>-2*time</f>
        <v>-6</v>
      </c>
      <c r="L27" s="74">
        <f>-(time^0)</f>
        <v>-1</v>
      </c>
      <c r="M27" s="79">
        <v>0</v>
      </c>
      <c r="N27" s="74">
        <v>0</v>
      </c>
      <c r="O27" s="74">
        <v>0</v>
      </c>
      <c r="P27" s="74">
        <v>0</v>
      </c>
      <c r="Q27" s="74">
        <v>0</v>
      </c>
      <c r="S27" s="52" t="s">
        <v>200</v>
      </c>
      <c r="T27" s="74">
        <v>10.533333333333299</v>
      </c>
    </row>
    <row r="28" spans="2:25" ht="18" x14ac:dyDescent="0.25">
      <c r="B28" s="55" t="s">
        <v>229</v>
      </c>
      <c r="C28" s="74">
        <v>0</v>
      </c>
      <c r="D28" s="74">
        <v>3</v>
      </c>
      <c r="F28" s="80">
        <f>2*3*time^1</f>
        <v>18</v>
      </c>
      <c r="G28" s="81">
        <f>2*time^0</f>
        <v>2</v>
      </c>
      <c r="H28" s="81">
        <v>0</v>
      </c>
      <c r="I28" s="81">
        <v>0</v>
      </c>
      <c r="J28" s="81">
        <f>-2*3*time^1</f>
        <v>-18</v>
      </c>
      <c r="K28" s="81">
        <f>-2*time^0</f>
        <v>-2</v>
      </c>
      <c r="L28" s="81">
        <v>0</v>
      </c>
      <c r="M28" s="82">
        <v>0</v>
      </c>
      <c r="N28" s="74">
        <v>0</v>
      </c>
      <c r="O28" s="74">
        <v>0</v>
      </c>
      <c r="P28" s="74">
        <v>0</v>
      </c>
      <c r="Q28" s="74">
        <v>0</v>
      </c>
      <c r="S28" s="52" t="s">
        <v>201</v>
      </c>
      <c r="T28" s="74">
        <v>-6.1999999999999789</v>
      </c>
    </row>
    <row r="29" spans="2:25" ht="18" x14ac:dyDescent="0.25">
      <c r="B29" s="55" t="s">
        <v>244</v>
      </c>
      <c r="C29" s="74">
        <v>6</v>
      </c>
      <c r="D29" s="74">
        <v>4</v>
      </c>
      <c r="F29" s="74">
        <v>0</v>
      </c>
      <c r="G29" s="74">
        <v>0</v>
      </c>
      <c r="H29" s="74">
        <v>0</v>
      </c>
      <c r="I29" s="74">
        <v>0</v>
      </c>
      <c r="J29" s="75">
        <f>time^3</f>
        <v>64</v>
      </c>
      <c r="K29" s="76">
        <f>time^2</f>
        <v>16</v>
      </c>
      <c r="L29" s="76">
        <f>time^1</f>
        <v>4</v>
      </c>
      <c r="M29" s="76">
        <f>time^0</f>
        <v>1</v>
      </c>
      <c r="N29" s="76">
        <v>0</v>
      </c>
      <c r="O29" s="76">
        <v>0</v>
      </c>
      <c r="P29" s="76">
        <v>0</v>
      </c>
      <c r="Q29" s="77">
        <v>0</v>
      </c>
      <c r="S29" s="52" t="s">
        <v>245</v>
      </c>
      <c r="T29" s="74">
        <v>-1.3333333333333339</v>
      </c>
    </row>
    <row r="30" spans="2:25" ht="18" x14ac:dyDescent="0.25">
      <c r="B30" s="55" t="s">
        <v>244</v>
      </c>
      <c r="C30" s="74">
        <v>6</v>
      </c>
      <c r="D30" s="74">
        <v>4</v>
      </c>
      <c r="F30" s="74">
        <v>0</v>
      </c>
      <c r="G30" s="74">
        <v>0</v>
      </c>
      <c r="H30" s="74">
        <v>0</v>
      </c>
      <c r="I30" s="74">
        <v>0</v>
      </c>
      <c r="J30" s="78">
        <v>0</v>
      </c>
      <c r="K30" s="74">
        <v>0</v>
      </c>
      <c r="L30" s="74">
        <v>0</v>
      </c>
      <c r="M30" s="74">
        <v>0</v>
      </c>
      <c r="N30" s="74">
        <f>time^3</f>
        <v>64</v>
      </c>
      <c r="O30" s="74">
        <f>time^2</f>
        <v>16</v>
      </c>
      <c r="P30" s="74">
        <f>time^1</f>
        <v>4</v>
      </c>
      <c r="Q30" s="79">
        <f>time^0</f>
        <v>1</v>
      </c>
      <c r="S30" s="52" t="s">
        <v>246</v>
      </c>
      <c r="T30" s="74">
        <v>14.600000000000019</v>
      </c>
    </row>
    <row r="31" spans="2:25" ht="18" x14ac:dyDescent="0.25">
      <c r="B31" s="55" t="s">
        <v>247</v>
      </c>
      <c r="C31" s="74">
        <v>0</v>
      </c>
      <c r="D31" s="74">
        <v>4</v>
      </c>
      <c r="F31" s="74">
        <v>0</v>
      </c>
      <c r="G31" s="74">
        <v>0</v>
      </c>
      <c r="H31" s="74">
        <v>0</v>
      </c>
      <c r="I31" s="74">
        <v>0</v>
      </c>
      <c r="J31" s="78">
        <f>3*time^2</f>
        <v>48</v>
      </c>
      <c r="K31" s="74">
        <f>2*time</f>
        <v>8</v>
      </c>
      <c r="L31" s="74">
        <f>time^0</f>
        <v>1</v>
      </c>
      <c r="M31" s="74">
        <v>0</v>
      </c>
      <c r="N31" s="74">
        <f>-3*time^2</f>
        <v>-48</v>
      </c>
      <c r="O31" s="74">
        <f>-2*time</f>
        <v>-8</v>
      </c>
      <c r="P31" s="74">
        <f>-(time^0)</f>
        <v>-1</v>
      </c>
      <c r="Q31" s="79">
        <v>0</v>
      </c>
      <c r="S31" s="52" t="s">
        <v>204</v>
      </c>
      <c r="T31" s="74">
        <v>-48.86666666666676</v>
      </c>
    </row>
    <row r="32" spans="2:25" ht="18" x14ac:dyDescent="0.25">
      <c r="B32" s="55" t="s">
        <v>248</v>
      </c>
      <c r="C32" s="74">
        <v>0</v>
      </c>
      <c r="D32" s="74">
        <v>4</v>
      </c>
      <c r="F32" s="74">
        <v>0</v>
      </c>
      <c r="G32" s="74">
        <v>0</v>
      </c>
      <c r="H32" s="74">
        <v>0</v>
      </c>
      <c r="I32" s="74">
        <v>0</v>
      </c>
      <c r="J32" s="80">
        <f>2*3*time^1</f>
        <v>24</v>
      </c>
      <c r="K32" s="81">
        <f>2*time^0</f>
        <v>2</v>
      </c>
      <c r="L32" s="81">
        <v>0</v>
      </c>
      <c r="M32" s="81">
        <v>0</v>
      </c>
      <c r="N32" s="81">
        <f>-2*3*time^1</f>
        <v>-24</v>
      </c>
      <c r="O32" s="81">
        <f>-2*time^0</f>
        <v>-2</v>
      </c>
      <c r="P32" s="81">
        <v>0</v>
      </c>
      <c r="Q32" s="82">
        <v>0</v>
      </c>
      <c r="S32" s="52" t="s">
        <v>205</v>
      </c>
      <c r="T32" s="74">
        <v>53.200000000000088</v>
      </c>
    </row>
    <row r="33" spans="2:20" ht="18" x14ac:dyDescent="0.25">
      <c r="B33" s="55" t="s">
        <v>249</v>
      </c>
      <c r="C33" s="74">
        <v>1</v>
      </c>
      <c r="D33" s="74">
        <v>2</v>
      </c>
      <c r="F33" s="86">
        <f>time^3</f>
        <v>8</v>
      </c>
      <c r="G33" s="87">
        <f>time^2</f>
        <v>4</v>
      </c>
      <c r="H33" s="87">
        <f>time^1</f>
        <v>2</v>
      </c>
      <c r="I33" s="88">
        <f>time^0</f>
        <v>1</v>
      </c>
      <c r="J33" s="74">
        <v>0</v>
      </c>
      <c r="K33" s="74">
        <v>0</v>
      </c>
      <c r="L33" s="74">
        <v>0</v>
      </c>
      <c r="M33" s="74">
        <v>0</v>
      </c>
      <c r="N33" s="74">
        <v>0</v>
      </c>
      <c r="O33" s="74">
        <v>0</v>
      </c>
      <c r="P33" s="74">
        <v>0</v>
      </c>
      <c r="Q33" s="74">
        <v>0</v>
      </c>
      <c r="S33" s="52" t="s">
        <v>250</v>
      </c>
      <c r="T33" s="74">
        <v>0.4666666666666659</v>
      </c>
    </row>
    <row r="34" spans="2:20" ht="18" x14ac:dyDescent="0.25">
      <c r="B34" s="55" t="s">
        <v>251</v>
      </c>
      <c r="C34" s="74">
        <v>9</v>
      </c>
      <c r="D34" s="74">
        <v>5</v>
      </c>
      <c r="F34" s="74">
        <v>0</v>
      </c>
      <c r="G34" s="74">
        <v>0</v>
      </c>
      <c r="H34" s="74">
        <v>0</v>
      </c>
      <c r="I34" s="74">
        <v>0</v>
      </c>
      <c r="J34" s="74">
        <v>0</v>
      </c>
      <c r="K34" s="74">
        <v>0</v>
      </c>
      <c r="L34" s="74">
        <v>0</v>
      </c>
      <c r="M34" s="74">
        <v>0</v>
      </c>
      <c r="N34" s="86">
        <f>time^3</f>
        <v>125</v>
      </c>
      <c r="O34" s="87">
        <f>time^2</f>
        <v>25</v>
      </c>
      <c r="P34" s="87">
        <f>time^1</f>
        <v>5</v>
      </c>
      <c r="Q34" s="88">
        <f>time^0</f>
        <v>1</v>
      </c>
      <c r="S34" s="52" t="s">
        <v>252</v>
      </c>
      <c r="T34" s="74">
        <v>-6.9999999999999929</v>
      </c>
    </row>
    <row r="35" spans="2:20" ht="18" x14ac:dyDescent="0.25">
      <c r="B35" s="55" t="s">
        <v>253</v>
      </c>
      <c r="C35" s="74">
        <v>0</v>
      </c>
      <c r="D35" s="74">
        <v>2</v>
      </c>
      <c r="F35" s="86">
        <f>2*3*time^1</f>
        <v>12</v>
      </c>
      <c r="G35" s="87">
        <f>2*time^0</f>
        <v>2</v>
      </c>
      <c r="H35" s="87">
        <v>0</v>
      </c>
      <c r="I35" s="88">
        <v>0</v>
      </c>
      <c r="J35" s="74">
        <v>0</v>
      </c>
      <c r="K35" s="74">
        <v>0</v>
      </c>
      <c r="L35" s="74">
        <v>0</v>
      </c>
      <c r="M35" s="74">
        <v>0</v>
      </c>
      <c r="N35" s="74">
        <v>0</v>
      </c>
      <c r="O35" s="74">
        <v>0</v>
      </c>
      <c r="P35" s="74">
        <v>0</v>
      </c>
      <c r="Q35" s="74">
        <v>0</v>
      </c>
      <c r="S35" s="52" t="s">
        <v>254</v>
      </c>
      <c r="T35" s="74">
        <v>37.533333333333303</v>
      </c>
    </row>
    <row r="36" spans="2:20" ht="18" x14ac:dyDescent="0.25">
      <c r="B36" s="55" t="s">
        <v>255</v>
      </c>
      <c r="C36" s="74">
        <v>0</v>
      </c>
      <c r="D36" s="74">
        <v>5</v>
      </c>
      <c r="F36" s="74">
        <v>0</v>
      </c>
      <c r="G36" s="74">
        <v>0</v>
      </c>
      <c r="H36" s="74">
        <v>0</v>
      </c>
      <c r="I36" s="74">
        <v>0</v>
      </c>
      <c r="J36" s="74">
        <v>0</v>
      </c>
      <c r="K36" s="74">
        <v>0</v>
      </c>
      <c r="L36" s="74">
        <v>0</v>
      </c>
      <c r="M36" s="74">
        <v>0</v>
      </c>
      <c r="N36" s="86">
        <f>2*3*time^1</f>
        <v>30</v>
      </c>
      <c r="O36" s="87">
        <f>2*time^0</f>
        <v>2</v>
      </c>
      <c r="P36" s="87">
        <v>0</v>
      </c>
      <c r="Q36" s="88">
        <v>0</v>
      </c>
      <c r="S36" s="52" t="s">
        <v>256</v>
      </c>
      <c r="T36" s="74">
        <v>-61.999999999999943</v>
      </c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306D-6753-614D-9B69-0C54864906B7}">
  <sheetPr codeName="Sheet52">
    <tabColor rgb="FFFF0000"/>
  </sheetPr>
  <dimension ref="A1:AC39"/>
  <sheetViews>
    <sheetView zoomScale="90" zoomScaleNormal="90" workbookViewId="0"/>
  </sheetViews>
  <sheetFormatPr baseColWidth="10" defaultRowHeight="16" x14ac:dyDescent="0.2"/>
  <cols>
    <col min="1" max="16384" width="10.83203125" style="74"/>
  </cols>
  <sheetData>
    <row r="1" spans="1:29" x14ac:dyDescent="0.2">
      <c r="A1" s="74" t="s">
        <v>257</v>
      </c>
    </row>
    <row r="2" spans="1:29" s="73" customFormat="1" ht="26" x14ac:dyDescent="0.3"/>
    <row r="3" spans="1:29" ht="29" x14ac:dyDescent="0.3">
      <c r="C3" s="73" t="s">
        <v>206</v>
      </c>
    </row>
    <row r="4" spans="1:29" ht="26" x14ac:dyDescent="0.3">
      <c r="C4" s="73"/>
    </row>
    <row r="5" spans="1:29" ht="29" x14ac:dyDescent="0.3">
      <c r="C5" s="73" t="s">
        <v>207</v>
      </c>
    </row>
    <row r="6" spans="1:29" ht="26" x14ac:dyDescent="0.3">
      <c r="C6" s="73"/>
    </row>
    <row r="7" spans="1:29" ht="26" x14ac:dyDescent="0.3">
      <c r="C7" s="73" t="s">
        <v>208</v>
      </c>
      <c r="AA7" s="55" t="s">
        <v>258</v>
      </c>
      <c r="AB7" s="55" t="s">
        <v>184</v>
      </c>
      <c r="AC7" s="55"/>
    </row>
    <row r="8" spans="1:29" x14ac:dyDescent="0.2">
      <c r="AA8" s="74">
        <f>ROUNDDOWN(AB8,0)-1</f>
        <v>1</v>
      </c>
      <c r="AB8" s="74">
        <v>2</v>
      </c>
      <c r="AC8" s="89">
        <f t="shared" ref="AC8:AC24" ca="1" si="0">INDIRECT("a" &amp; i &amp; "_") * t^3 + INDIRECT("b" &amp; i &amp; "_") * t^2 + INDIRECT("_c" &amp; i) * t^1 + INDIRECT("d" &amp; i &amp; "_")</f>
        <v>1.0000000000000129</v>
      </c>
    </row>
    <row r="9" spans="1:29" x14ac:dyDescent="0.2">
      <c r="AA9" s="74">
        <f t="shared" ref="AA9:AA37" si="1">ROUNDDOWN(AB9,0)-1</f>
        <v>1</v>
      </c>
      <c r="AB9" s="74">
        <v>2.1</v>
      </c>
      <c r="AC9" s="89">
        <f t="shared" ca="1" si="0"/>
        <v>1.9706000000000174</v>
      </c>
    </row>
    <row r="10" spans="1:29" x14ac:dyDescent="0.2">
      <c r="AA10" s="74">
        <f t="shared" si="1"/>
        <v>1</v>
      </c>
      <c r="AB10" s="74">
        <v>2.2000000000000002</v>
      </c>
      <c r="AC10" s="89">
        <f t="shared" ca="1" si="0"/>
        <v>2.9248000000000105</v>
      </c>
    </row>
    <row r="11" spans="1:29" x14ac:dyDescent="0.2">
      <c r="B11" s="55" t="s">
        <v>184</v>
      </c>
      <c r="C11" s="55" t="s">
        <v>185</v>
      </c>
      <c r="AA11" s="74">
        <f t="shared" si="1"/>
        <v>1</v>
      </c>
      <c r="AB11" s="74">
        <v>2.2999999999999998</v>
      </c>
      <c r="AC11" s="89">
        <f t="shared" ca="1" si="0"/>
        <v>3.8462000000000161</v>
      </c>
    </row>
    <row r="12" spans="1:29" x14ac:dyDescent="0.2">
      <c r="B12" s="74">
        <v>2</v>
      </c>
      <c r="C12" s="74">
        <v>1</v>
      </c>
      <c r="AA12" s="74">
        <f t="shared" si="1"/>
        <v>1</v>
      </c>
      <c r="AB12" s="74">
        <v>2.4</v>
      </c>
      <c r="AC12" s="89">
        <f t="shared" ca="1" si="0"/>
        <v>4.718400000000015</v>
      </c>
    </row>
    <row r="13" spans="1:29" x14ac:dyDescent="0.2">
      <c r="B13" s="74">
        <v>3</v>
      </c>
      <c r="C13" s="74">
        <v>8</v>
      </c>
      <c r="AA13" s="74">
        <f t="shared" si="1"/>
        <v>1</v>
      </c>
      <c r="AB13" s="74">
        <v>2.5</v>
      </c>
      <c r="AC13" s="89">
        <f t="shared" ca="1" si="0"/>
        <v>5.5250000000000181</v>
      </c>
    </row>
    <row r="14" spans="1:29" x14ac:dyDescent="0.2">
      <c r="B14" s="74">
        <v>4</v>
      </c>
      <c r="C14" s="74">
        <v>6</v>
      </c>
      <c r="AA14" s="74">
        <f t="shared" si="1"/>
        <v>1</v>
      </c>
      <c r="AB14" s="74">
        <v>2.6</v>
      </c>
      <c r="AC14" s="89">
        <f t="shared" ca="1" si="0"/>
        <v>6.2496000000000063</v>
      </c>
    </row>
    <row r="15" spans="1:29" x14ac:dyDescent="0.2">
      <c r="B15" s="74">
        <v>5</v>
      </c>
      <c r="C15" s="74">
        <v>9</v>
      </c>
      <c r="AA15" s="74">
        <f t="shared" si="1"/>
        <v>1</v>
      </c>
      <c r="AB15" s="74">
        <v>2.7</v>
      </c>
      <c r="AC15" s="89">
        <f t="shared" ca="1" si="0"/>
        <v>6.8758000000000177</v>
      </c>
    </row>
    <row r="16" spans="1:29" x14ac:dyDescent="0.2">
      <c r="AA16" s="74">
        <f t="shared" si="1"/>
        <v>1</v>
      </c>
      <c r="AB16" s="74">
        <v>2.8</v>
      </c>
      <c r="AC16" s="89">
        <f t="shared" ca="1" si="0"/>
        <v>7.3871999999999982</v>
      </c>
    </row>
    <row r="17" spans="2:29" x14ac:dyDescent="0.2">
      <c r="AA17" s="74">
        <f t="shared" si="1"/>
        <v>1</v>
      </c>
      <c r="AB17" s="74">
        <v>2.9</v>
      </c>
      <c r="AC17" s="89">
        <f t="shared" ca="1" si="0"/>
        <v>7.7674000000000145</v>
      </c>
    </row>
    <row r="18" spans="2:29" x14ac:dyDescent="0.2">
      <c r="AA18" s="74">
        <f t="shared" si="1"/>
        <v>2</v>
      </c>
      <c r="AB18" s="74">
        <v>3</v>
      </c>
      <c r="AC18" s="89">
        <f t="shared" ca="1" si="0"/>
        <v>8.0000000000001137</v>
      </c>
    </row>
    <row r="19" spans="2:29" x14ac:dyDescent="0.2">
      <c r="AA19" s="74">
        <f t="shared" si="1"/>
        <v>2</v>
      </c>
      <c r="AB19" s="74">
        <v>3.1</v>
      </c>
      <c r="AC19" s="89">
        <f t="shared" ca="1" si="0"/>
        <v>8.075999999999965</v>
      </c>
    </row>
    <row r="20" spans="2:29" x14ac:dyDescent="0.2">
      <c r="AA20" s="74">
        <f t="shared" si="1"/>
        <v>2</v>
      </c>
      <c r="AB20" s="74">
        <v>3.2</v>
      </c>
      <c r="AC20" s="89">
        <f t="shared" ca="1" si="0"/>
        <v>8.0160000000000196</v>
      </c>
    </row>
    <row r="21" spans="2:29" x14ac:dyDescent="0.2">
      <c r="AA21" s="74">
        <f t="shared" si="1"/>
        <v>2</v>
      </c>
      <c r="AB21" s="74">
        <v>3.3</v>
      </c>
      <c r="AC21" s="89">
        <f t="shared" ca="1" si="0"/>
        <v>7.84800000000007</v>
      </c>
    </row>
    <row r="22" spans="2:29" x14ac:dyDescent="0.2">
      <c r="AA22" s="74">
        <f t="shared" si="1"/>
        <v>2</v>
      </c>
      <c r="AB22" s="74">
        <v>3.4</v>
      </c>
      <c r="AC22" s="89">
        <f t="shared" ca="1" si="0"/>
        <v>7.5999999999999659</v>
      </c>
    </row>
    <row r="23" spans="2:29" x14ac:dyDescent="0.2">
      <c r="AA23" s="74">
        <f t="shared" si="1"/>
        <v>2</v>
      </c>
      <c r="AB23" s="74">
        <v>3.5</v>
      </c>
      <c r="AC23" s="89">
        <f t="shared" ca="1" si="0"/>
        <v>7.3000000000000682</v>
      </c>
    </row>
    <row r="24" spans="2:29" s="83" customFormat="1" ht="20" x14ac:dyDescent="0.25">
      <c r="B24" s="83" t="s">
        <v>209</v>
      </c>
      <c r="C24" s="83" t="s">
        <v>210</v>
      </c>
      <c r="D24" s="83" t="s">
        <v>192</v>
      </c>
      <c r="F24" s="84" t="s">
        <v>230</v>
      </c>
      <c r="G24" s="84" t="s">
        <v>231</v>
      </c>
      <c r="H24" s="84" t="s">
        <v>232</v>
      </c>
      <c r="I24" s="84" t="s">
        <v>233</v>
      </c>
      <c r="J24" s="84" t="s">
        <v>234</v>
      </c>
      <c r="K24" s="84" t="s">
        <v>235</v>
      </c>
      <c r="L24" s="84" t="s">
        <v>236</v>
      </c>
      <c r="M24" s="84" t="s">
        <v>237</v>
      </c>
      <c r="N24" s="84" t="s">
        <v>238</v>
      </c>
      <c r="O24" s="84" t="s">
        <v>239</v>
      </c>
      <c r="P24" s="84" t="s">
        <v>240</v>
      </c>
      <c r="Q24" s="84" t="s">
        <v>241</v>
      </c>
      <c r="R24" s="74"/>
      <c r="T24" s="74"/>
      <c r="U24" s="74"/>
      <c r="V24" s="85"/>
      <c r="W24" s="85"/>
      <c r="X24" s="85"/>
      <c r="Y24" s="85"/>
      <c r="AA24" s="74">
        <f t="shared" si="1"/>
        <v>2</v>
      </c>
      <c r="AB24" s="74">
        <v>3.6</v>
      </c>
      <c r="AC24" s="89">
        <f t="shared" ca="1" si="0"/>
        <v>6.9759999999999991</v>
      </c>
    </row>
    <row r="25" spans="2:29" ht="18" x14ac:dyDescent="0.25">
      <c r="B25" s="55" t="s">
        <v>227</v>
      </c>
      <c r="C25" s="74">
        <f>VLOOKUP(D25,$B$12:$C$15,2,0)</f>
        <v>8</v>
      </c>
      <c r="D25" s="74">
        <f>$B$13</f>
        <v>3</v>
      </c>
      <c r="F25" s="75">
        <f>time^3</f>
        <v>27</v>
      </c>
      <c r="G25" s="76">
        <f>time^2</f>
        <v>9</v>
      </c>
      <c r="H25" s="76">
        <f>time^1</f>
        <v>3</v>
      </c>
      <c r="I25" s="76">
        <f>time^0</f>
        <v>1</v>
      </c>
      <c r="J25" s="76">
        <v>0</v>
      </c>
      <c r="K25" s="76">
        <v>0</v>
      </c>
      <c r="L25" s="76">
        <v>0</v>
      </c>
      <c r="M25" s="77">
        <v>0</v>
      </c>
      <c r="N25" s="74">
        <v>0</v>
      </c>
      <c r="O25" s="74">
        <v>0</v>
      </c>
      <c r="P25" s="74">
        <v>0</v>
      </c>
      <c r="Q25" s="74">
        <v>0</v>
      </c>
      <c r="S25" s="52" t="s">
        <v>242</v>
      </c>
      <c r="T25" s="74">
        <f t="array" ref="T25:T36">MMULT(MINVERSE(F25:Q36),value)</f>
        <v>-2.7333333333333303</v>
      </c>
      <c r="AA25" s="74">
        <f t="shared" si="1"/>
        <v>2</v>
      </c>
      <c r="AB25" s="74">
        <v>3.7</v>
      </c>
      <c r="AC25" s="89">
        <f t="shared" ref="AC25:AC28" ca="1" si="2">INDIRECT("a" &amp; i &amp; "_") * t^3 + INDIRECT("b" &amp; i &amp; "_") * t^2 + INDIRECT("_c" &amp; i) * t^1 + INDIRECT("d" &amp; i &amp; "_")</f>
        <v>6.6560000000001196</v>
      </c>
    </row>
    <row r="26" spans="2:29" ht="18" x14ac:dyDescent="0.25">
      <c r="B26" s="55" t="s">
        <v>227</v>
      </c>
      <c r="C26" s="74">
        <f>VLOOKUP(D26,$B$12:$C$15,2,0)</f>
        <v>8</v>
      </c>
      <c r="D26" s="74">
        <f>$B$13</f>
        <v>3</v>
      </c>
      <c r="F26" s="78">
        <v>0</v>
      </c>
      <c r="G26" s="74">
        <v>0</v>
      </c>
      <c r="H26" s="74">
        <v>0</v>
      </c>
      <c r="I26" s="74">
        <v>0</v>
      </c>
      <c r="J26" s="74">
        <f>time^3</f>
        <v>27</v>
      </c>
      <c r="K26" s="74">
        <f>time^2</f>
        <v>9</v>
      </c>
      <c r="L26" s="74">
        <f>time^1</f>
        <v>3</v>
      </c>
      <c r="M26" s="79">
        <f>time^0</f>
        <v>1</v>
      </c>
      <c r="N26" s="74">
        <v>0</v>
      </c>
      <c r="O26" s="74">
        <v>0</v>
      </c>
      <c r="P26" s="74">
        <v>0</v>
      </c>
      <c r="Q26" s="74">
        <v>0</v>
      </c>
      <c r="S26" s="52" t="s">
        <v>243</v>
      </c>
      <c r="T26" s="74">
        <v>16.39999999999997</v>
      </c>
      <c r="AA26" s="74">
        <f t="shared" si="1"/>
        <v>2</v>
      </c>
      <c r="AB26" s="74">
        <v>3.8</v>
      </c>
      <c r="AC26" s="89">
        <f t="shared" ca="1" si="2"/>
        <v>6.367999999999995</v>
      </c>
    </row>
    <row r="27" spans="2:29" ht="18" x14ac:dyDescent="0.25">
      <c r="B27" s="55" t="s">
        <v>228</v>
      </c>
      <c r="C27" s="74">
        <v>0</v>
      </c>
      <c r="D27" s="74">
        <f>$B$13</f>
        <v>3</v>
      </c>
      <c r="F27" s="78">
        <f>3*time^2</f>
        <v>27</v>
      </c>
      <c r="G27" s="74">
        <f>2*time</f>
        <v>6</v>
      </c>
      <c r="H27" s="74">
        <f>time^0</f>
        <v>1</v>
      </c>
      <c r="I27" s="74">
        <v>0</v>
      </c>
      <c r="J27" s="74">
        <f>-3*time^2</f>
        <v>-27</v>
      </c>
      <c r="K27" s="74">
        <f>-2*time</f>
        <v>-6</v>
      </c>
      <c r="L27" s="74">
        <f>-(time^0)</f>
        <v>-1</v>
      </c>
      <c r="M27" s="79">
        <v>0</v>
      </c>
      <c r="N27" s="74">
        <v>0</v>
      </c>
      <c r="O27" s="74">
        <v>0</v>
      </c>
      <c r="P27" s="74">
        <v>0</v>
      </c>
      <c r="Q27" s="74">
        <v>0</v>
      </c>
      <c r="S27" s="52" t="s">
        <v>200</v>
      </c>
      <c r="T27" s="74">
        <v>-23.066666666666581</v>
      </c>
      <c r="AA27" s="74">
        <f t="shared" si="1"/>
        <v>2</v>
      </c>
      <c r="AB27" s="74">
        <v>3.9</v>
      </c>
      <c r="AC27" s="89">
        <f t="shared" ca="1" si="2"/>
        <v>6.1399999999999864</v>
      </c>
    </row>
    <row r="28" spans="2:29" ht="18" x14ac:dyDescent="0.25">
      <c r="B28" s="55" t="s">
        <v>229</v>
      </c>
      <c r="C28" s="74">
        <v>0</v>
      </c>
      <c r="D28" s="74">
        <f>$B$13</f>
        <v>3</v>
      </c>
      <c r="F28" s="80">
        <f>2*3*time^1</f>
        <v>18</v>
      </c>
      <c r="G28" s="81">
        <f>2*time^0</f>
        <v>2</v>
      </c>
      <c r="H28" s="81">
        <v>0</v>
      </c>
      <c r="I28" s="81">
        <v>0</v>
      </c>
      <c r="J28" s="81">
        <f>-2*3*time^1</f>
        <v>-18</v>
      </c>
      <c r="K28" s="81">
        <f>-2*time^0</f>
        <v>-2</v>
      </c>
      <c r="L28" s="81">
        <v>0</v>
      </c>
      <c r="M28" s="82">
        <v>0</v>
      </c>
      <c r="N28" s="74">
        <v>0</v>
      </c>
      <c r="O28" s="74">
        <v>0</v>
      </c>
      <c r="P28" s="74">
        <v>0</v>
      </c>
      <c r="Q28" s="74">
        <v>0</v>
      </c>
      <c r="S28" s="52" t="s">
        <v>201</v>
      </c>
      <c r="T28" s="74">
        <v>3.3999999999999404</v>
      </c>
      <c r="AA28" s="74">
        <f t="shared" si="1"/>
        <v>3</v>
      </c>
      <c r="AB28" s="74">
        <v>4</v>
      </c>
      <c r="AC28" s="89">
        <f t="shared" ca="1" si="2"/>
        <v>5.9999999999999716</v>
      </c>
    </row>
    <row r="29" spans="2:29" ht="18" x14ac:dyDescent="0.25">
      <c r="B29" s="55" t="s">
        <v>244</v>
      </c>
      <c r="C29" s="74">
        <f>VLOOKUP(D29,$B$12:$C$15,2,0)</f>
        <v>6</v>
      </c>
      <c r="D29" s="74">
        <f t="array" ref="D29:D32">B14</f>
        <v>4</v>
      </c>
      <c r="F29" s="74">
        <v>0</v>
      </c>
      <c r="G29" s="74">
        <v>0</v>
      </c>
      <c r="H29" s="74">
        <v>0</v>
      </c>
      <c r="I29" s="74">
        <v>0</v>
      </c>
      <c r="J29" s="75">
        <f>time^3</f>
        <v>64</v>
      </c>
      <c r="K29" s="76">
        <f>time^2</f>
        <v>16</v>
      </c>
      <c r="L29" s="76">
        <f>time^1</f>
        <v>4</v>
      </c>
      <c r="M29" s="76">
        <f>time^0</f>
        <v>1</v>
      </c>
      <c r="N29" s="76">
        <v>0</v>
      </c>
      <c r="O29" s="76">
        <v>0</v>
      </c>
      <c r="P29" s="76">
        <v>0</v>
      </c>
      <c r="Q29" s="77">
        <v>0</v>
      </c>
      <c r="S29" s="52" t="s">
        <v>245</v>
      </c>
      <c r="T29" s="74">
        <v>4.6666666666666661</v>
      </c>
      <c r="AA29" s="74">
        <f t="shared" si="1"/>
        <v>3</v>
      </c>
      <c r="AB29" s="74">
        <v>4.0999999999999996</v>
      </c>
      <c r="AC29" s="89">
        <f t="shared" ref="AC29:AC38" ca="1" si="3">INDIRECT("a" &amp; i &amp; "_") * t^3 + INDIRECT("b" &amp; i &amp; "_") * t^2 + INDIRECT("_c" &amp; i) * t^1 + INDIRECT("d" &amp; i &amp; "_")</f>
        <v>5.9694000000000926</v>
      </c>
    </row>
    <row r="30" spans="2:29" ht="18" x14ac:dyDescent="0.25">
      <c r="B30" s="55" t="s">
        <v>244</v>
      </c>
      <c r="C30" s="74">
        <f>VLOOKUP(D30,$B$12:$C$15,2,0)</f>
        <v>6</v>
      </c>
      <c r="D30" s="74">
        <v>4</v>
      </c>
      <c r="F30" s="74">
        <v>0</v>
      </c>
      <c r="G30" s="74">
        <v>0</v>
      </c>
      <c r="H30" s="74">
        <v>0</v>
      </c>
      <c r="I30" s="74">
        <v>0</v>
      </c>
      <c r="J30" s="78">
        <v>0</v>
      </c>
      <c r="K30" s="74">
        <v>0</v>
      </c>
      <c r="L30" s="74">
        <v>0</v>
      </c>
      <c r="M30" s="74">
        <v>0</v>
      </c>
      <c r="N30" s="74">
        <f>time^3</f>
        <v>64</v>
      </c>
      <c r="O30" s="74">
        <f>time^2</f>
        <v>16</v>
      </c>
      <c r="P30" s="74">
        <f>time^1</f>
        <v>4</v>
      </c>
      <c r="Q30" s="79">
        <f>time^0</f>
        <v>1</v>
      </c>
      <c r="S30" s="52" t="s">
        <v>246</v>
      </c>
      <c r="T30" s="74">
        <v>-50.2</v>
      </c>
      <c r="AA30" s="74">
        <f t="shared" si="1"/>
        <v>3</v>
      </c>
      <c r="AB30" s="74">
        <v>4.2</v>
      </c>
      <c r="AC30" s="89">
        <f t="shared" ca="1" si="3"/>
        <v>6.0431999999999277</v>
      </c>
    </row>
    <row r="31" spans="2:29" ht="18" x14ac:dyDescent="0.25">
      <c r="B31" s="55" t="s">
        <v>247</v>
      </c>
      <c r="C31" s="74">
        <v>0</v>
      </c>
      <c r="D31" s="74">
        <v>4</v>
      </c>
      <c r="F31" s="74">
        <v>0</v>
      </c>
      <c r="G31" s="74">
        <v>0</v>
      </c>
      <c r="H31" s="74">
        <v>0</v>
      </c>
      <c r="I31" s="74">
        <v>0</v>
      </c>
      <c r="J31" s="78">
        <f>3*time^2</f>
        <v>48</v>
      </c>
      <c r="K31" s="74">
        <f>2*time</f>
        <v>8</v>
      </c>
      <c r="L31" s="74">
        <f>time^0</f>
        <v>1</v>
      </c>
      <c r="M31" s="74">
        <v>0</v>
      </c>
      <c r="N31" s="74">
        <f>-3*time^2</f>
        <v>-48</v>
      </c>
      <c r="O31" s="74">
        <f>-2*time</f>
        <v>-8</v>
      </c>
      <c r="P31" s="74">
        <f>-(time^0)</f>
        <v>-1</v>
      </c>
      <c r="Q31" s="79">
        <v>0</v>
      </c>
      <c r="S31" s="52" t="s">
        <v>204</v>
      </c>
      <c r="T31" s="74">
        <v>176.73333333333338</v>
      </c>
      <c r="AA31" s="74">
        <f t="shared" si="1"/>
        <v>3</v>
      </c>
      <c r="AB31" s="74">
        <v>4.3</v>
      </c>
      <c r="AC31" s="89">
        <f t="shared" ca="1" si="3"/>
        <v>6.2098000000000013</v>
      </c>
    </row>
    <row r="32" spans="2:29" ht="18" x14ac:dyDescent="0.25">
      <c r="B32" s="55" t="s">
        <v>248</v>
      </c>
      <c r="C32" s="74">
        <v>0</v>
      </c>
      <c r="D32" s="74">
        <v>4</v>
      </c>
      <c r="F32" s="74">
        <v>0</v>
      </c>
      <c r="G32" s="74">
        <v>0</v>
      </c>
      <c r="H32" s="74">
        <v>0</v>
      </c>
      <c r="I32" s="74">
        <v>0</v>
      </c>
      <c r="J32" s="80">
        <f>2*3*time^1</f>
        <v>24</v>
      </c>
      <c r="K32" s="81">
        <f>2*time^0</f>
        <v>2</v>
      </c>
      <c r="L32" s="81">
        <v>0</v>
      </c>
      <c r="M32" s="81">
        <v>0</v>
      </c>
      <c r="N32" s="81">
        <f>-2*3*time^1</f>
        <v>-24</v>
      </c>
      <c r="O32" s="81">
        <f>-2*time^0</f>
        <v>-2</v>
      </c>
      <c r="P32" s="81">
        <v>0</v>
      </c>
      <c r="Q32" s="82">
        <v>0</v>
      </c>
      <c r="S32" s="52" t="s">
        <v>205</v>
      </c>
      <c r="T32" s="74">
        <v>-196.40000000000003</v>
      </c>
      <c r="AA32" s="74">
        <f t="shared" si="1"/>
        <v>3</v>
      </c>
      <c r="AB32" s="74">
        <v>4.4000000000000004</v>
      </c>
      <c r="AC32" s="89">
        <f t="shared" ca="1" si="3"/>
        <v>6.4575999999999851</v>
      </c>
    </row>
    <row r="33" spans="2:29" ht="18" x14ac:dyDescent="0.25">
      <c r="B33" s="55" t="s">
        <v>249</v>
      </c>
      <c r="C33" s="74">
        <v>1</v>
      </c>
      <c r="D33" s="74">
        <v>2</v>
      </c>
      <c r="F33" s="86">
        <f>time^3</f>
        <v>8</v>
      </c>
      <c r="G33" s="87">
        <f>time^2</f>
        <v>4</v>
      </c>
      <c r="H33" s="87">
        <f>time^1</f>
        <v>2</v>
      </c>
      <c r="I33" s="88">
        <f>time^0</f>
        <v>1</v>
      </c>
      <c r="J33" s="74">
        <v>0</v>
      </c>
      <c r="K33" s="74">
        <v>0</v>
      </c>
      <c r="L33" s="74">
        <v>0</v>
      </c>
      <c r="M33" s="74">
        <v>0</v>
      </c>
      <c r="N33" s="74">
        <v>0</v>
      </c>
      <c r="O33" s="74">
        <v>0</v>
      </c>
      <c r="P33" s="74">
        <v>0</v>
      </c>
      <c r="Q33" s="74">
        <v>0</v>
      </c>
      <c r="S33" s="52" t="s">
        <v>250</v>
      </c>
      <c r="T33" s="74">
        <v>-1.9333333333333318</v>
      </c>
      <c r="AA33" s="74">
        <f t="shared" si="1"/>
        <v>3</v>
      </c>
      <c r="AB33" s="74">
        <v>4.5</v>
      </c>
      <c r="AC33" s="89">
        <f t="shared" ca="1" si="3"/>
        <v>6.774999999999892</v>
      </c>
    </row>
    <row r="34" spans="2:29" ht="18" x14ac:dyDescent="0.25">
      <c r="B34" s="55" t="s">
        <v>251</v>
      </c>
      <c r="C34" s="74">
        <v>9</v>
      </c>
      <c r="D34" s="74">
        <v>5</v>
      </c>
      <c r="F34" s="74">
        <v>0</v>
      </c>
      <c r="G34" s="74">
        <v>0</v>
      </c>
      <c r="H34" s="74">
        <v>0</v>
      </c>
      <c r="I34" s="74">
        <v>0</v>
      </c>
      <c r="J34" s="74">
        <v>0</v>
      </c>
      <c r="K34" s="74">
        <v>0</v>
      </c>
      <c r="L34" s="74">
        <v>0</v>
      </c>
      <c r="M34" s="74">
        <v>0</v>
      </c>
      <c r="N34" s="86">
        <f>time^3</f>
        <v>125</v>
      </c>
      <c r="O34" s="87">
        <f>time^2</f>
        <v>25</v>
      </c>
      <c r="P34" s="87">
        <f>time^1</f>
        <v>5</v>
      </c>
      <c r="Q34" s="88">
        <f>time^0</f>
        <v>1</v>
      </c>
      <c r="S34" s="52" t="s">
        <v>252</v>
      </c>
      <c r="T34" s="74">
        <v>28.999999999999961</v>
      </c>
      <c r="AA34" s="74">
        <f t="shared" si="1"/>
        <v>3</v>
      </c>
      <c r="AB34" s="74">
        <v>4.5999999999999996</v>
      </c>
      <c r="AC34" s="89">
        <f t="shared" ca="1" si="3"/>
        <v>7.1503999999999053</v>
      </c>
    </row>
    <row r="35" spans="2:29" ht="18" x14ac:dyDescent="0.25">
      <c r="B35" s="55" t="s">
        <v>253</v>
      </c>
      <c r="C35" s="74">
        <v>0</v>
      </c>
      <c r="D35" s="74">
        <v>2</v>
      </c>
      <c r="F35" s="86">
        <f>2*3*time^1</f>
        <v>12</v>
      </c>
      <c r="G35" s="87">
        <f>2*time^0</f>
        <v>2</v>
      </c>
      <c r="H35" s="87">
        <v>0</v>
      </c>
      <c r="I35" s="88">
        <v>0</v>
      </c>
      <c r="J35" s="74">
        <v>0</v>
      </c>
      <c r="K35" s="74">
        <v>0</v>
      </c>
      <c r="L35" s="74">
        <v>0</v>
      </c>
      <c r="M35" s="74">
        <v>0</v>
      </c>
      <c r="N35" s="74">
        <v>0</v>
      </c>
      <c r="O35" s="74">
        <v>0</v>
      </c>
      <c r="P35" s="74">
        <v>0</v>
      </c>
      <c r="Q35" s="74">
        <v>0</v>
      </c>
      <c r="S35" s="52" t="s">
        <v>254</v>
      </c>
      <c r="T35" s="74">
        <v>-140.06666666666649</v>
      </c>
      <c r="AA35" s="74">
        <f t="shared" si="1"/>
        <v>3</v>
      </c>
      <c r="AB35" s="74">
        <v>4.7</v>
      </c>
      <c r="AC35" s="89">
        <f t="shared" ca="1" si="3"/>
        <v>7.5721999999998673</v>
      </c>
    </row>
    <row r="36" spans="2:29" ht="18" x14ac:dyDescent="0.25">
      <c r="B36" s="55" t="s">
        <v>255</v>
      </c>
      <c r="C36" s="74">
        <v>0</v>
      </c>
      <c r="D36" s="74">
        <v>5</v>
      </c>
      <c r="F36" s="74">
        <v>0</v>
      </c>
      <c r="G36" s="74">
        <v>0</v>
      </c>
      <c r="H36" s="74">
        <v>0</v>
      </c>
      <c r="I36" s="74">
        <v>0</v>
      </c>
      <c r="J36" s="74">
        <v>0</v>
      </c>
      <c r="K36" s="74">
        <v>0</v>
      </c>
      <c r="L36" s="74">
        <v>0</v>
      </c>
      <c r="M36" s="74">
        <v>0</v>
      </c>
      <c r="N36" s="86">
        <f>2*3*time^1</f>
        <v>30</v>
      </c>
      <c r="O36" s="87">
        <f>2*time^0</f>
        <v>2</v>
      </c>
      <c r="P36" s="87">
        <v>0</v>
      </c>
      <c r="Q36" s="88">
        <v>0</v>
      </c>
      <c r="S36" s="52" t="s">
        <v>256</v>
      </c>
      <c r="T36" s="74">
        <v>225.9999999999998</v>
      </c>
      <c r="AA36" s="74">
        <f t="shared" si="1"/>
        <v>3</v>
      </c>
      <c r="AB36" s="74">
        <v>4.8</v>
      </c>
      <c r="AC36" s="89">
        <f t="shared" ca="1" si="3"/>
        <v>8.0287999999999045</v>
      </c>
    </row>
    <row r="37" spans="2:29" x14ac:dyDescent="0.2">
      <c r="AA37" s="74">
        <f t="shared" si="1"/>
        <v>3</v>
      </c>
      <c r="AB37" s="74">
        <v>4.9000000000000004</v>
      </c>
      <c r="AC37" s="89">
        <f t="shared" ca="1" si="3"/>
        <v>8.5085999999998592</v>
      </c>
    </row>
    <row r="38" spans="2:29" x14ac:dyDescent="0.2">
      <c r="AA38" s="74">
        <v>3</v>
      </c>
      <c r="AB38" s="74">
        <v>5</v>
      </c>
      <c r="AC38" s="89">
        <f t="shared" ca="1" si="3"/>
        <v>8.999999999999801</v>
      </c>
    </row>
    <row r="39" spans="2:29" s="55" customFormat="1" x14ac:dyDescent="0.2"/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0CB29-141E-2541-915D-109BFB699CC5}">
  <sheetPr codeName="Sheet53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74"/>
    <col min="4" max="4" width="22.33203125" style="74" bestFit="1" customWidth="1"/>
    <col min="5" max="5" width="10.83203125" style="74"/>
    <col min="6" max="38" width="3.83203125" style="74" customWidth="1"/>
    <col min="39" max="39" width="5.1640625" style="74" bestFit="1" customWidth="1"/>
    <col min="40" max="40" width="7" style="74" bestFit="1" customWidth="1"/>
    <col min="41" max="42" width="3.83203125" customWidth="1"/>
    <col min="44" max="16384" width="10.83203125" style="74"/>
  </cols>
  <sheetData>
    <row r="1" spans="1:43" x14ac:dyDescent="0.2">
      <c r="A1" s="74" t="s">
        <v>257</v>
      </c>
      <c r="AO1" s="74"/>
      <c r="AP1" s="74"/>
      <c r="AQ1" s="74"/>
    </row>
    <row r="2" spans="1:43" s="73" customFormat="1" ht="26" x14ac:dyDescent="0.3"/>
    <row r="3" spans="1:43" ht="29" x14ac:dyDescent="0.3">
      <c r="C3" s="73" t="s">
        <v>206</v>
      </c>
      <c r="AO3" s="74"/>
      <c r="AP3" s="74"/>
      <c r="AQ3" s="74"/>
    </row>
    <row r="4" spans="1:43" ht="26" x14ac:dyDescent="0.3">
      <c r="C4" s="73"/>
      <c r="AO4" s="74"/>
      <c r="AP4" s="74"/>
      <c r="AQ4" s="74"/>
    </row>
    <row r="5" spans="1:43" ht="29" x14ac:dyDescent="0.3">
      <c r="C5" s="73" t="s">
        <v>207</v>
      </c>
      <c r="AO5" s="74"/>
      <c r="AP5" s="74"/>
      <c r="AQ5" s="74"/>
    </row>
    <row r="6" spans="1:43" ht="26" x14ac:dyDescent="0.3">
      <c r="C6" s="73"/>
      <c r="AO6" s="74"/>
      <c r="AP6" s="74"/>
      <c r="AQ6" s="74"/>
    </row>
    <row r="7" spans="1:43" ht="26" x14ac:dyDescent="0.3">
      <c r="C7" s="73" t="s">
        <v>208</v>
      </c>
      <c r="AO7" s="74"/>
      <c r="AP7" s="74"/>
      <c r="AQ7" s="74"/>
    </row>
    <row r="8" spans="1:43" x14ac:dyDescent="0.2">
      <c r="AO8" s="74"/>
      <c r="AP8" s="74"/>
      <c r="AQ8" s="74"/>
    </row>
    <row r="9" spans="1:43" x14ac:dyDescent="0.2">
      <c r="AO9" s="74"/>
      <c r="AP9" s="74"/>
      <c r="AQ9" s="74"/>
    </row>
    <row r="10" spans="1:43" x14ac:dyDescent="0.2">
      <c r="AO10" s="74"/>
      <c r="AP10" s="74"/>
      <c r="AQ10" s="74"/>
    </row>
    <row r="11" spans="1:43" x14ac:dyDescent="0.2">
      <c r="B11" s="55" t="s">
        <v>184</v>
      </c>
      <c r="C11" s="55" t="s">
        <v>185</v>
      </c>
      <c r="AO11" s="74"/>
      <c r="AP11" s="74"/>
      <c r="AQ11" s="74"/>
    </row>
    <row r="12" spans="1:43" x14ac:dyDescent="0.2">
      <c r="B12" s="74">
        <v>0</v>
      </c>
      <c r="C12" s="90">
        <v>0</v>
      </c>
      <c r="D12" s="91"/>
      <c r="AO12" s="74"/>
      <c r="AP12" s="74"/>
      <c r="AQ12" s="74"/>
    </row>
    <row r="13" spans="1:43" x14ac:dyDescent="0.2">
      <c r="B13" s="74">
        <v>1</v>
      </c>
      <c r="C13" s="90">
        <v>0.02</v>
      </c>
      <c r="D13" s="91"/>
      <c r="AO13" s="74"/>
      <c r="AP13" s="74"/>
      <c r="AQ13" s="74"/>
    </row>
    <row r="14" spans="1:43" x14ac:dyDescent="0.2">
      <c r="B14" s="74">
        <v>2</v>
      </c>
      <c r="C14" s="90">
        <v>3.7869296080000003E-2</v>
      </c>
      <c r="D14" s="91"/>
      <c r="AO14" s="74"/>
      <c r="AP14" s="74"/>
      <c r="AQ14" s="74"/>
    </row>
    <row r="15" spans="1:43" x14ac:dyDescent="0.2">
      <c r="B15" s="74">
        <v>3</v>
      </c>
      <c r="C15" s="90">
        <v>4.4685005659999999E-2</v>
      </c>
      <c r="D15" s="91"/>
      <c r="AO15" s="74"/>
      <c r="AP15" s="74"/>
      <c r="AQ15" s="74"/>
    </row>
    <row r="16" spans="1:43" x14ac:dyDescent="0.2">
      <c r="B16" s="74">
        <v>4</v>
      </c>
      <c r="C16" s="90">
        <v>5.1500715240000002E-2</v>
      </c>
      <c r="D16" s="91"/>
      <c r="AO16" s="74"/>
      <c r="AP16" s="74"/>
      <c r="AQ16" s="74"/>
    </row>
    <row r="17" spans="2:43" x14ac:dyDescent="0.2">
      <c r="B17" s="74">
        <v>5</v>
      </c>
      <c r="C17" s="90">
        <v>5.8316424819999997E-2</v>
      </c>
      <c r="D17" s="91"/>
      <c r="AO17" s="74"/>
      <c r="AP17" s="74"/>
      <c r="AQ17" s="74"/>
    </row>
    <row r="18" spans="2:43" x14ac:dyDescent="0.2">
      <c r="B18" s="74">
        <v>7</v>
      </c>
      <c r="C18" s="90">
        <v>6.51321344E-2</v>
      </c>
      <c r="D18" s="91"/>
      <c r="AO18" s="74"/>
      <c r="AP18" s="74"/>
      <c r="AQ18" s="74"/>
    </row>
    <row r="19" spans="2:43" x14ac:dyDescent="0.2">
      <c r="B19" s="74">
        <v>10</v>
      </c>
      <c r="C19" s="90">
        <v>6.7430707199999995E-2</v>
      </c>
      <c r="D19" s="91"/>
      <c r="AO19" s="74"/>
      <c r="AP19" s="74"/>
      <c r="AQ19" s="74"/>
    </row>
    <row r="20" spans="2:43" x14ac:dyDescent="0.2">
      <c r="B20" s="74">
        <v>30</v>
      </c>
      <c r="C20" s="90">
        <v>0.08</v>
      </c>
      <c r="D20" s="91"/>
      <c r="AO20" s="74"/>
      <c r="AP20" s="74"/>
      <c r="AQ20" s="74"/>
    </row>
    <row r="21" spans="2:43" x14ac:dyDescent="0.2">
      <c r="AO21" s="74"/>
      <c r="AP21" s="74"/>
      <c r="AQ21" s="74"/>
    </row>
    <row r="22" spans="2:43" x14ac:dyDescent="0.2">
      <c r="AO22" s="74"/>
      <c r="AP22" s="74"/>
      <c r="AQ22" s="74"/>
    </row>
    <row r="23" spans="2:43" x14ac:dyDescent="0.2">
      <c r="AO23" s="74"/>
      <c r="AP23" s="74"/>
      <c r="AQ23" s="74"/>
    </row>
    <row r="24" spans="2:43" x14ac:dyDescent="0.2">
      <c r="AO24" s="74"/>
      <c r="AP24" s="74"/>
      <c r="AQ24" s="74"/>
    </row>
    <row r="25" spans="2:43" x14ac:dyDescent="0.2">
      <c r="AO25" s="74"/>
      <c r="AP25" s="74"/>
      <c r="AQ25" s="74"/>
    </row>
    <row r="26" spans="2:43" x14ac:dyDescent="0.2">
      <c r="AO26" s="74"/>
      <c r="AP26" s="74"/>
      <c r="AQ26" s="74"/>
    </row>
    <row r="27" spans="2:43" s="83" customFormat="1" x14ac:dyDescent="0.2">
      <c r="B27" s="83" t="s">
        <v>209</v>
      </c>
      <c r="C27" s="83" t="s">
        <v>210</v>
      </c>
      <c r="D27" s="83" t="s">
        <v>192</v>
      </c>
      <c r="F27" s="92" t="s">
        <v>259</v>
      </c>
      <c r="G27" s="92" t="s">
        <v>260</v>
      </c>
      <c r="H27" s="92" t="s">
        <v>261</v>
      </c>
      <c r="I27" s="92" t="s">
        <v>262</v>
      </c>
      <c r="J27" s="92" t="s">
        <v>263</v>
      </c>
      <c r="K27" s="92" t="s">
        <v>264</v>
      </c>
      <c r="L27" s="92" t="s">
        <v>265</v>
      </c>
      <c r="M27" s="92" t="s">
        <v>266</v>
      </c>
      <c r="N27" s="92" t="s">
        <v>267</v>
      </c>
      <c r="O27" s="92" t="s">
        <v>268</v>
      </c>
      <c r="P27" s="92" t="s">
        <v>269</v>
      </c>
      <c r="Q27" s="92" t="s">
        <v>270</v>
      </c>
      <c r="R27" s="92" t="s">
        <v>271</v>
      </c>
      <c r="S27" s="92" t="s">
        <v>272</v>
      </c>
      <c r="T27" s="92" t="s">
        <v>273</v>
      </c>
      <c r="U27" s="92" t="s">
        <v>274</v>
      </c>
      <c r="V27" s="92" t="s">
        <v>275</v>
      </c>
      <c r="W27" s="92" t="s">
        <v>276</v>
      </c>
      <c r="X27" s="92" t="s">
        <v>277</v>
      </c>
      <c r="Y27" s="92" t="s">
        <v>278</v>
      </c>
      <c r="Z27" s="92" t="s">
        <v>279</v>
      </c>
      <c r="AA27" s="92" t="s">
        <v>280</v>
      </c>
      <c r="AB27" s="92" t="s">
        <v>281</v>
      </c>
      <c r="AC27" s="92" t="s">
        <v>282</v>
      </c>
      <c r="AD27" s="92" t="s">
        <v>283</v>
      </c>
      <c r="AE27" s="92" t="s">
        <v>284</v>
      </c>
      <c r="AF27" s="92" t="s">
        <v>285</v>
      </c>
      <c r="AG27" s="92" t="s">
        <v>286</v>
      </c>
      <c r="AH27" s="92" t="s">
        <v>287</v>
      </c>
      <c r="AI27" s="92" t="s">
        <v>288</v>
      </c>
      <c r="AJ27" s="92" t="s">
        <v>289</v>
      </c>
      <c r="AK27" s="92" t="s">
        <v>290</v>
      </c>
      <c r="AL27" s="93"/>
      <c r="AM27" s="93"/>
      <c r="AN27" s="83" t="s">
        <v>291</v>
      </c>
      <c r="AO27" s="74"/>
      <c r="AP27" s="74"/>
      <c r="AQ27" s="74"/>
    </row>
    <row r="28" spans="2:43" x14ac:dyDescent="0.2">
      <c r="B28" s="55" t="str">
        <f>"y(" &amp; D28 &amp; ")"</f>
        <v>y(1)</v>
      </c>
      <c r="C28" s="74">
        <f>VLOOKUP(D28,$B$12:$C$20,2,0)</f>
        <v>0.02</v>
      </c>
      <c r="D28" s="74">
        <v>1</v>
      </c>
      <c r="F28" s="94">
        <f>time^3</f>
        <v>1</v>
      </c>
      <c r="G28" s="95">
        <f>time^2</f>
        <v>1</v>
      </c>
      <c r="H28" s="95">
        <f>time^1</f>
        <v>1</v>
      </c>
      <c r="I28" s="95">
        <f>time^0</f>
        <v>1</v>
      </c>
      <c r="J28" s="95">
        <v>0</v>
      </c>
      <c r="K28" s="95">
        <v>0</v>
      </c>
      <c r="L28" s="95">
        <v>0</v>
      </c>
      <c r="M28" s="96">
        <v>0</v>
      </c>
      <c r="N28" s="95"/>
      <c r="O28" s="95"/>
      <c r="P28" s="95"/>
      <c r="Q28" s="95"/>
      <c r="R28" s="95"/>
      <c r="S28" s="97"/>
      <c r="T28" s="95"/>
      <c r="U28" s="95"/>
      <c r="V28" s="95"/>
      <c r="W28" s="95"/>
      <c r="X28" s="95"/>
      <c r="Y28" s="95"/>
      <c r="Z28" s="95"/>
      <c r="AA28" s="95"/>
      <c r="AB28" s="95"/>
      <c r="AC28" s="95"/>
      <c r="AD28" s="95"/>
      <c r="AE28" s="95"/>
      <c r="AF28" s="95"/>
      <c r="AG28" s="95"/>
      <c r="AH28" s="95"/>
      <c r="AI28" s="95"/>
      <c r="AJ28" s="95"/>
      <c r="AK28" s="96"/>
      <c r="AM28" s="74" t="str">
        <f>"a_"&amp; time</f>
        <v>a_1</v>
      </c>
      <c r="AN28" s="98">
        <f t="array" ref="AN28:AN59">MMULT(MINVERSE(dmat),value)</f>
        <v>2.2001428227434448E-4</v>
      </c>
      <c r="AO28" s="74"/>
      <c r="AP28" s="74"/>
      <c r="AQ28" s="74"/>
    </row>
    <row r="29" spans="2:43" x14ac:dyDescent="0.2">
      <c r="B29" s="55" t="str">
        <f t="shared" ref="B29:B37" si="0">"y(" &amp; D29 &amp; ")"</f>
        <v>y(1)</v>
      </c>
      <c r="C29" s="74">
        <f>VLOOKUP(D29,$B$12:$C$20,2,0)</f>
        <v>0.02</v>
      </c>
      <c r="D29" s="74">
        <v>1</v>
      </c>
      <c r="F29" s="99">
        <v>0</v>
      </c>
      <c r="G29" s="100">
        <v>0</v>
      </c>
      <c r="H29" s="100">
        <v>0</v>
      </c>
      <c r="I29" s="100">
        <v>0</v>
      </c>
      <c r="J29" s="100">
        <f>time^3</f>
        <v>1</v>
      </c>
      <c r="K29" s="100">
        <f>time^2</f>
        <v>1</v>
      </c>
      <c r="L29" s="100">
        <f>time^1</f>
        <v>1</v>
      </c>
      <c r="M29" s="101">
        <f>time^0</f>
        <v>1</v>
      </c>
      <c r="N29" s="100"/>
      <c r="O29" s="100"/>
      <c r="P29" s="100"/>
      <c r="Q29" s="100"/>
      <c r="R29" s="100"/>
      <c r="S29" s="92"/>
      <c r="T29" s="100"/>
      <c r="U29" s="100"/>
      <c r="V29" s="100"/>
      <c r="W29" s="100"/>
      <c r="X29" s="100"/>
      <c r="Y29" s="100"/>
      <c r="Z29" s="100"/>
      <c r="AA29" s="100"/>
      <c r="AB29" s="100"/>
      <c r="AC29" s="100"/>
      <c r="AD29" s="100"/>
      <c r="AE29" s="100"/>
      <c r="AF29" s="100"/>
      <c r="AG29" s="100"/>
      <c r="AH29" s="100"/>
      <c r="AI29" s="100"/>
      <c r="AJ29" s="100"/>
      <c r="AK29" s="101"/>
      <c r="AM29" s="74" t="str">
        <f>"b_"&amp; time</f>
        <v>b_1</v>
      </c>
      <c r="AN29" s="98">
        <v>0</v>
      </c>
      <c r="AO29" s="74"/>
      <c r="AP29" s="74"/>
      <c r="AQ29" s="74"/>
    </row>
    <row r="30" spans="2:43" x14ac:dyDescent="0.2">
      <c r="B30" s="55" t="str">
        <f>"y'(" &amp; D30 &amp; ")"</f>
        <v>y'(1)</v>
      </c>
      <c r="C30" s="74">
        <v>0</v>
      </c>
      <c r="D30" s="74">
        <v>1</v>
      </c>
      <c r="F30" s="99">
        <f>3*time^2</f>
        <v>3</v>
      </c>
      <c r="G30" s="100">
        <f>2*time</f>
        <v>2</v>
      </c>
      <c r="H30" s="100">
        <f>time^0</f>
        <v>1</v>
      </c>
      <c r="I30" s="100">
        <v>0</v>
      </c>
      <c r="J30" s="100">
        <f>-3*time^2</f>
        <v>-3</v>
      </c>
      <c r="K30" s="100">
        <f>-2*time</f>
        <v>-2</v>
      </c>
      <c r="L30" s="100">
        <f>-(time^0)</f>
        <v>-1</v>
      </c>
      <c r="M30" s="101">
        <v>0</v>
      </c>
      <c r="N30" s="100"/>
      <c r="O30" s="100"/>
      <c r="P30" s="100"/>
      <c r="Q30" s="100"/>
      <c r="R30" s="100"/>
      <c r="S30" s="92"/>
      <c r="T30" s="100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100"/>
      <c r="AF30" s="100"/>
      <c r="AG30" s="100"/>
      <c r="AH30" s="100"/>
      <c r="AI30" s="100"/>
      <c r="AJ30" s="100"/>
      <c r="AK30" s="101"/>
      <c r="AM30" s="74" t="str">
        <f>"c_"&amp; time</f>
        <v>c_1</v>
      </c>
      <c r="AN30" s="98">
        <v>1.9779985717725733E-2</v>
      </c>
      <c r="AO30" s="74"/>
      <c r="AP30" s="74"/>
      <c r="AQ30" s="74"/>
    </row>
    <row r="31" spans="2:43" x14ac:dyDescent="0.2">
      <c r="B31" s="55" t="str">
        <f>"y''(" &amp; D31 &amp; ")"</f>
        <v>y''(1)</v>
      </c>
      <c r="C31" s="74">
        <v>0</v>
      </c>
      <c r="D31" s="74">
        <v>1</v>
      </c>
      <c r="F31" s="102">
        <f>2*3*time^1</f>
        <v>6</v>
      </c>
      <c r="G31" s="103">
        <f>2*time^0</f>
        <v>2</v>
      </c>
      <c r="H31" s="103">
        <v>0</v>
      </c>
      <c r="I31" s="103">
        <v>0</v>
      </c>
      <c r="J31" s="103">
        <f>-2*3*time^1</f>
        <v>-6</v>
      </c>
      <c r="K31" s="103">
        <f>-2*time^0</f>
        <v>-2</v>
      </c>
      <c r="L31" s="103">
        <v>0</v>
      </c>
      <c r="M31" s="104">
        <v>0</v>
      </c>
      <c r="N31" s="100"/>
      <c r="O31" s="100"/>
      <c r="P31" s="100"/>
      <c r="Q31" s="100"/>
      <c r="R31" s="100"/>
      <c r="S31" s="92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0"/>
      <c r="AJ31" s="100"/>
      <c r="AK31" s="101"/>
      <c r="AM31" s="74" t="str">
        <f>"d_"&amp; time</f>
        <v>d_1</v>
      </c>
      <c r="AN31" s="98">
        <v>-7.839151029209042E-17</v>
      </c>
      <c r="AO31" s="74"/>
      <c r="AP31" s="74"/>
      <c r="AQ31" s="74"/>
    </row>
    <row r="32" spans="2:43" x14ac:dyDescent="0.2">
      <c r="B32" s="55" t="str">
        <f t="shared" ref="B32" si="1">"y(" &amp; D32 &amp; ")"</f>
        <v>y(2)</v>
      </c>
      <c r="C32" s="74">
        <f t="shared" ref="C32:C33" si="2">VLOOKUP(D32,$B$12:$C$20,2,0)</f>
        <v>3.7869296080000003E-2</v>
      </c>
      <c r="D32" s="74">
        <f>D28+1</f>
        <v>2</v>
      </c>
      <c r="F32" s="99"/>
      <c r="G32" s="100"/>
      <c r="H32" s="100"/>
      <c r="I32" s="100"/>
      <c r="J32" s="94">
        <f>time^3</f>
        <v>8</v>
      </c>
      <c r="K32" s="95">
        <f>time^2</f>
        <v>4</v>
      </c>
      <c r="L32" s="95">
        <f>time^1</f>
        <v>2</v>
      </c>
      <c r="M32" s="95">
        <f>time^0</f>
        <v>1</v>
      </c>
      <c r="N32" s="95">
        <v>0</v>
      </c>
      <c r="O32" s="95">
        <v>0</v>
      </c>
      <c r="P32" s="95">
        <v>0</v>
      </c>
      <c r="Q32" s="96">
        <v>0</v>
      </c>
      <c r="R32" s="100"/>
      <c r="S32" s="92"/>
      <c r="T32" s="100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  <c r="AE32" s="100"/>
      <c r="AF32" s="100"/>
      <c r="AG32" s="100"/>
      <c r="AH32" s="100"/>
      <c r="AI32" s="100"/>
      <c r="AJ32" s="100"/>
      <c r="AK32" s="101"/>
      <c r="AM32" s="74" t="str">
        <f>"a_"&amp; time</f>
        <v>a_2</v>
      </c>
      <c r="AN32" s="98">
        <v>-3.2307753313717503E-3</v>
      </c>
      <c r="AO32" s="74"/>
      <c r="AP32" s="74"/>
      <c r="AQ32" s="74"/>
    </row>
    <row r="33" spans="2:43" x14ac:dyDescent="0.2">
      <c r="B33" s="55" t="str">
        <f t="shared" si="0"/>
        <v>y(2)</v>
      </c>
      <c r="C33" s="74">
        <f t="shared" si="2"/>
        <v>3.7869296080000003E-2</v>
      </c>
      <c r="D33" s="74">
        <f t="shared" ref="D33:D47" si="3">D29+1</f>
        <v>2</v>
      </c>
      <c r="F33" s="99"/>
      <c r="G33" s="100"/>
      <c r="H33" s="100"/>
      <c r="I33" s="100"/>
      <c r="J33" s="99">
        <v>0</v>
      </c>
      <c r="K33" s="100">
        <v>0</v>
      </c>
      <c r="L33" s="100">
        <v>0</v>
      </c>
      <c r="M33" s="100">
        <v>0</v>
      </c>
      <c r="N33" s="100">
        <f>time^3</f>
        <v>8</v>
      </c>
      <c r="O33" s="100">
        <f>time^2</f>
        <v>4</v>
      </c>
      <c r="P33" s="100">
        <f>time^1</f>
        <v>2</v>
      </c>
      <c r="Q33" s="101">
        <f>time^0</f>
        <v>1</v>
      </c>
      <c r="R33" s="100"/>
      <c r="S33" s="92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1"/>
      <c r="AM33" s="74" t="str">
        <f>"b_"&amp; time</f>
        <v>b_2</v>
      </c>
      <c r="AN33" s="98">
        <v>1.0352368840938287E-2</v>
      </c>
      <c r="AO33" s="74"/>
      <c r="AP33" s="74"/>
      <c r="AQ33" s="74"/>
    </row>
    <row r="34" spans="2:43" x14ac:dyDescent="0.2">
      <c r="B34" s="55" t="str">
        <f t="shared" ref="B34" si="4">"y'(" &amp; D34 &amp; ")"</f>
        <v>y'(2)</v>
      </c>
      <c r="C34" s="74">
        <v>0</v>
      </c>
      <c r="D34" s="74">
        <f t="shared" si="3"/>
        <v>2</v>
      </c>
      <c r="F34" s="99"/>
      <c r="G34" s="100"/>
      <c r="H34" s="100"/>
      <c r="I34" s="100"/>
      <c r="J34" s="99">
        <f>3*time^2</f>
        <v>12</v>
      </c>
      <c r="K34" s="100">
        <f>2*time</f>
        <v>4</v>
      </c>
      <c r="L34" s="100">
        <f>time^0</f>
        <v>1</v>
      </c>
      <c r="M34" s="100">
        <v>0</v>
      </c>
      <c r="N34" s="100">
        <f>-3*time^2</f>
        <v>-12</v>
      </c>
      <c r="O34" s="100">
        <f>-2*time</f>
        <v>-4</v>
      </c>
      <c r="P34" s="100">
        <f>-(time^0)</f>
        <v>-1</v>
      </c>
      <c r="Q34" s="101">
        <v>0</v>
      </c>
      <c r="R34" s="100"/>
      <c r="S34" s="92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  <c r="AJ34" s="100"/>
      <c r="AK34" s="101"/>
      <c r="AM34" s="74" t="str">
        <f>"c_"&amp; time</f>
        <v>c_2</v>
      </c>
      <c r="AN34" s="98">
        <v>9.4276168767874532E-3</v>
      </c>
      <c r="AO34" s="74"/>
      <c r="AP34" s="74"/>
      <c r="AQ34" s="74"/>
    </row>
    <row r="35" spans="2:43" x14ac:dyDescent="0.2">
      <c r="B35" s="55" t="str">
        <f t="shared" ref="B35" si="5">"y''(" &amp; D35 &amp; ")"</f>
        <v>y''(2)</v>
      </c>
      <c r="C35" s="74">
        <v>0</v>
      </c>
      <c r="D35" s="74">
        <f t="shared" si="3"/>
        <v>2</v>
      </c>
      <c r="F35" s="99"/>
      <c r="G35" s="100"/>
      <c r="H35" s="100"/>
      <c r="I35" s="100"/>
      <c r="J35" s="102">
        <f>2*3*time^1</f>
        <v>12</v>
      </c>
      <c r="K35" s="103">
        <f>2*time^0</f>
        <v>2</v>
      </c>
      <c r="L35" s="103">
        <v>0</v>
      </c>
      <c r="M35" s="103">
        <v>0</v>
      </c>
      <c r="N35" s="103">
        <f>-2*3*time^1</f>
        <v>-12</v>
      </c>
      <c r="O35" s="103">
        <f>-2*time^0</f>
        <v>-2</v>
      </c>
      <c r="P35" s="103">
        <v>0</v>
      </c>
      <c r="Q35" s="104">
        <v>0</v>
      </c>
      <c r="R35" s="100"/>
      <c r="S35" s="92"/>
      <c r="T35" s="100"/>
      <c r="U35" s="100"/>
      <c r="V35" s="100"/>
      <c r="W35" s="100"/>
      <c r="X35" s="100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0"/>
      <c r="AJ35" s="100"/>
      <c r="AK35" s="101"/>
      <c r="AM35" s="74" t="str">
        <f>"d_"&amp; time</f>
        <v>d_2</v>
      </c>
      <c r="AN35" s="98">
        <v>3.4507896136459714E-3</v>
      </c>
      <c r="AO35" s="74"/>
      <c r="AP35" s="74"/>
      <c r="AQ35" s="74"/>
    </row>
    <row r="36" spans="2:43" x14ac:dyDescent="0.2">
      <c r="B36" s="55" t="str">
        <f t="shared" ref="B36:B53" si="6">"y(" &amp; D36 &amp; ")"</f>
        <v>y(3)</v>
      </c>
      <c r="C36" s="74">
        <f t="shared" ref="C36:C37" si="7">VLOOKUP(D36,$B$12:$C$20,2,0)</f>
        <v>4.4685005659999999E-2</v>
      </c>
      <c r="D36" s="74">
        <f t="shared" si="3"/>
        <v>3</v>
      </c>
      <c r="F36" s="99"/>
      <c r="G36" s="100"/>
      <c r="H36" s="100"/>
      <c r="I36" s="100"/>
      <c r="J36" s="100"/>
      <c r="K36" s="100"/>
      <c r="L36" s="100"/>
      <c r="M36" s="100"/>
      <c r="N36" s="94">
        <f>time^3</f>
        <v>27</v>
      </c>
      <c r="O36" s="95">
        <f>time^2</f>
        <v>9</v>
      </c>
      <c r="P36" s="95">
        <f>time^1</f>
        <v>3</v>
      </c>
      <c r="Q36" s="95">
        <f>time^0</f>
        <v>1</v>
      </c>
      <c r="R36" s="95">
        <v>0</v>
      </c>
      <c r="S36" s="95">
        <v>0</v>
      </c>
      <c r="T36" s="95">
        <v>0</v>
      </c>
      <c r="U36" s="96">
        <v>0</v>
      </c>
      <c r="V36" s="100"/>
      <c r="W36" s="100"/>
      <c r="X36" s="100"/>
      <c r="Y36" s="100"/>
      <c r="Z36" s="100"/>
      <c r="AA36" s="100"/>
      <c r="AB36" s="100"/>
      <c r="AC36" s="100"/>
      <c r="AD36" s="100"/>
      <c r="AE36" s="100"/>
      <c r="AF36" s="100"/>
      <c r="AG36" s="100"/>
      <c r="AH36" s="100"/>
      <c r="AI36" s="100"/>
      <c r="AJ36" s="100"/>
      <c r="AK36" s="101"/>
      <c r="AM36" s="74" t="str">
        <f>"a_"&amp; time</f>
        <v>a_3</v>
      </c>
      <c r="AN36" s="98">
        <v>3.7802044632124329E-3</v>
      </c>
      <c r="AO36" s="74"/>
      <c r="AP36" s="74"/>
      <c r="AQ36" s="74"/>
    </row>
    <row r="37" spans="2:43" x14ac:dyDescent="0.2">
      <c r="B37" s="55" t="str">
        <f t="shared" si="0"/>
        <v>y(3)</v>
      </c>
      <c r="C37" s="74">
        <f t="shared" si="7"/>
        <v>4.4685005659999999E-2</v>
      </c>
      <c r="D37" s="74">
        <f t="shared" si="3"/>
        <v>3</v>
      </c>
      <c r="E37" s="55"/>
      <c r="F37" s="105"/>
      <c r="G37" s="106"/>
      <c r="H37" s="106"/>
      <c r="I37" s="106"/>
      <c r="J37" s="106"/>
      <c r="K37" s="106"/>
      <c r="L37" s="106"/>
      <c r="M37" s="106"/>
      <c r="N37" s="99">
        <v>0</v>
      </c>
      <c r="O37" s="100">
        <v>0</v>
      </c>
      <c r="P37" s="100">
        <v>0</v>
      </c>
      <c r="Q37" s="100">
        <v>0</v>
      </c>
      <c r="R37" s="100">
        <f>time^3</f>
        <v>27</v>
      </c>
      <c r="S37" s="100">
        <f>time^2</f>
        <v>9</v>
      </c>
      <c r="T37" s="100">
        <f>time^1</f>
        <v>3</v>
      </c>
      <c r="U37" s="101">
        <f>time^0</f>
        <v>1</v>
      </c>
      <c r="V37" s="100"/>
      <c r="W37" s="100"/>
      <c r="X37" s="100"/>
      <c r="Y37" s="100"/>
      <c r="Z37" s="100"/>
      <c r="AA37" s="100"/>
      <c r="AB37" s="100"/>
      <c r="AC37" s="100"/>
      <c r="AD37" s="100"/>
      <c r="AE37" s="100"/>
      <c r="AF37" s="100"/>
      <c r="AG37" s="100"/>
      <c r="AH37" s="100"/>
      <c r="AI37" s="100"/>
      <c r="AJ37" s="100"/>
      <c r="AK37" s="101"/>
      <c r="AM37" s="74" t="str">
        <f>"b_"&amp; time</f>
        <v>b_3</v>
      </c>
      <c r="AN37" s="98">
        <v>-3.1713509926566665E-2</v>
      </c>
      <c r="AO37" s="74"/>
      <c r="AP37" s="74"/>
      <c r="AQ37" s="74"/>
    </row>
    <row r="38" spans="2:43" x14ac:dyDescent="0.2">
      <c r="B38" s="55" t="str">
        <f t="shared" ref="B38" si="8">"y'(" &amp; D38 &amp; ")"</f>
        <v>y'(3)</v>
      </c>
      <c r="C38" s="74">
        <v>0</v>
      </c>
      <c r="D38" s="74">
        <f t="shared" si="3"/>
        <v>3</v>
      </c>
      <c r="F38" s="99"/>
      <c r="G38" s="107"/>
      <c r="H38" s="100"/>
      <c r="I38" s="100"/>
      <c r="J38" s="100"/>
      <c r="K38" s="100"/>
      <c r="L38" s="100"/>
      <c r="M38" s="100"/>
      <c r="N38" s="99">
        <f>3*time^2</f>
        <v>27</v>
      </c>
      <c r="O38" s="100">
        <f>2*time</f>
        <v>6</v>
      </c>
      <c r="P38" s="100">
        <f>time^0</f>
        <v>1</v>
      </c>
      <c r="Q38" s="100">
        <v>0</v>
      </c>
      <c r="R38" s="100">
        <f>-3*time^2</f>
        <v>-27</v>
      </c>
      <c r="S38" s="100">
        <f>-2*time</f>
        <v>-6</v>
      </c>
      <c r="T38" s="100">
        <f>-(time^0)</f>
        <v>-1</v>
      </c>
      <c r="U38" s="101">
        <v>0</v>
      </c>
      <c r="V38" s="100"/>
      <c r="W38" s="100"/>
      <c r="X38" s="100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0"/>
      <c r="AJ38" s="100"/>
      <c r="AK38" s="101"/>
      <c r="AM38" s="74" t="str">
        <f>"c_"&amp; time</f>
        <v>c_3</v>
      </c>
      <c r="AN38" s="98">
        <v>9.3559374411797319E-2</v>
      </c>
      <c r="AO38" s="74"/>
      <c r="AP38" s="74"/>
      <c r="AQ38" s="74"/>
    </row>
    <row r="39" spans="2:43" x14ac:dyDescent="0.2">
      <c r="B39" s="55" t="str">
        <f t="shared" ref="B39" si="9">"y''(" &amp; D39 &amp; ")"</f>
        <v>y''(3)</v>
      </c>
      <c r="C39" s="74">
        <v>0</v>
      </c>
      <c r="D39" s="74">
        <f t="shared" si="3"/>
        <v>3</v>
      </c>
      <c r="F39" s="99"/>
      <c r="G39" s="107"/>
      <c r="H39" s="100"/>
      <c r="I39" s="100"/>
      <c r="J39" s="100"/>
      <c r="K39" s="100"/>
      <c r="L39" s="100"/>
      <c r="M39" s="100"/>
      <c r="N39" s="102">
        <f>2*3*time^1</f>
        <v>18</v>
      </c>
      <c r="O39" s="103">
        <f>2*time^0</f>
        <v>2</v>
      </c>
      <c r="P39" s="103">
        <v>0</v>
      </c>
      <c r="Q39" s="103">
        <v>0</v>
      </c>
      <c r="R39" s="103">
        <f>-2*3*time^1</f>
        <v>-18</v>
      </c>
      <c r="S39" s="103">
        <f>-2*time^0</f>
        <v>-2</v>
      </c>
      <c r="T39" s="103">
        <v>0</v>
      </c>
      <c r="U39" s="104">
        <v>0</v>
      </c>
      <c r="V39" s="100"/>
      <c r="W39" s="100"/>
      <c r="X39" s="100"/>
      <c r="Y39" s="100"/>
      <c r="Z39" s="100"/>
      <c r="AA39" s="100"/>
      <c r="AB39" s="100"/>
      <c r="AC39" s="100"/>
      <c r="AD39" s="100"/>
      <c r="AE39" s="100"/>
      <c r="AF39" s="100"/>
      <c r="AG39" s="100"/>
      <c r="AH39" s="100"/>
      <c r="AI39" s="100"/>
      <c r="AJ39" s="100"/>
      <c r="AK39" s="101"/>
      <c r="AM39" s="74" t="str">
        <f>"d_"&amp; time</f>
        <v>d_3</v>
      </c>
      <c r="AN39" s="98">
        <v>-5.2637048743027472E-2</v>
      </c>
      <c r="AO39" s="74"/>
      <c r="AP39" s="74"/>
      <c r="AQ39" s="74"/>
    </row>
    <row r="40" spans="2:43" x14ac:dyDescent="0.2">
      <c r="B40" s="55" t="str">
        <f t="shared" si="6"/>
        <v>y(4)</v>
      </c>
      <c r="C40" s="74">
        <f t="shared" ref="C40:C41" si="10">VLOOKUP(D40,$B$12:$C$20,2,0)</f>
        <v>5.1500715240000002E-2</v>
      </c>
      <c r="D40" s="74">
        <f t="shared" si="3"/>
        <v>4</v>
      </c>
      <c r="F40" s="99"/>
      <c r="G40" s="107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94">
        <f>time^3</f>
        <v>64</v>
      </c>
      <c r="S40" s="95">
        <f>time^2</f>
        <v>16</v>
      </c>
      <c r="T40" s="95">
        <f>time^1</f>
        <v>4</v>
      </c>
      <c r="U40" s="95">
        <f>time^0</f>
        <v>1</v>
      </c>
      <c r="V40" s="95">
        <v>0</v>
      </c>
      <c r="W40" s="95">
        <v>0</v>
      </c>
      <c r="X40" s="95">
        <v>0</v>
      </c>
      <c r="Y40" s="96">
        <v>0</v>
      </c>
      <c r="Z40" s="100"/>
      <c r="AA40" s="100"/>
      <c r="AB40" s="100"/>
      <c r="AC40" s="100"/>
      <c r="AD40" s="100"/>
      <c r="AE40" s="100"/>
      <c r="AF40" s="100"/>
      <c r="AG40" s="100"/>
      <c r="AH40" s="100"/>
      <c r="AI40" s="100"/>
      <c r="AJ40" s="100"/>
      <c r="AK40" s="101"/>
      <c r="AM40" s="74" t="str">
        <f>"a_"&amp; time</f>
        <v>a_4</v>
      </c>
      <c r="AN40" s="98">
        <v>-8.3645602147852454E-4</v>
      </c>
      <c r="AO40" s="74"/>
      <c r="AP40" s="74"/>
      <c r="AQ40" s="74"/>
    </row>
    <row r="41" spans="2:43" x14ac:dyDescent="0.2">
      <c r="B41" s="55" t="str">
        <f t="shared" si="6"/>
        <v>y(4)</v>
      </c>
      <c r="C41" s="74">
        <f t="shared" si="10"/>
        <v>5.1500715240000002E-2</v>
      </c>
      <c r="D41" s="74">
        <f t="shared" si="3"/>
        <v>4</v>
      </c>
      <c r="F41" s="99"/>
      <c r="G41" s="107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99">
        <v>0</v>
      </c>
      <c r="S41" s="100">
        <v>0</v>
      </c>
      <c r="T41" s="100">
        <v>0</v>
      </c>
      <c r="U41" s="100">
        <v>0</v>
      </c>
      <c r="V41" s="100">
        <f>time^3</f>
        <v>64</v>
      </c>
      <c r="W41" s="100">
        <f>time^2</f>
        <v>16</v>
      </c>
      <c r="X41" s="100">
        <f>time^1</f>
        <v>4</v>
      </c>
      <c r="Y41" s="101">
        <f>time^0</f>
        <v>1</v>
      </c>
      <c r="Z41" s="100"/>
      <c r="AA41" s="100"/>
      <c r="AB41" s="100"/>
      <c r="AC41" s="100"/>
      <c r="AD41" s="100"/>
      <c r="AE41" s="100"/>
      <c r="AF41" s="100"/>
      <c r="AG41" s="100"/>
      <c r="AH41" s="100"/>
      <c r="AI41" s="100"/>
      <c r="AJ41" s="100"/>
      <c r="AK41" s="101"/>
      <c r="AM41" s="74" t="str">
        <f>"b_"&amp; time</f>
        <v>b_4</v>
      </c>
      <c r="AN41" s="98">
        <v>9.8364344356520125E-3</v>
      </c>
      <c r="AO41" s="74"/>
      <c r="AP41" s="74"/>
      <c r="AQ41" s="74"/>
    </row>
    <row r="42" spans="2:43" s="55" customFormat="1" x14ac:dyDescent="0.2">
      <c r="B42" s="55" t="str">
        <f t="shared" ref="B42:B54" si="11">"y'(" &amp; D42 &amp; ")"</f>
        <v>y'(4)</v>
      </c>
      <c r="C42" s="74">
        <v>0</v>
      </c>
      <c r="D42" s="74">
        <f t="shared" si="3"/>
        <v>4</v>
      </c>
      <c r="E42" s="74"/>
      <c r="F42" s="99"/>
      <c r="G42" s="107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99">
        <f>3*time^2</f>
        <v>48</v>
      </c>
      <c r="S42" s="100">
        <f>2*time</f>
        <v>8</v>
      </c>
      <c r="T42" s="100">
        <f>time^0</f>
        <v>1</v>
      </c>
      <c r="U42" s="100">
        <v>0</v>
      </c>
      <c r="V42" s="100">
        <f>-3*time^2</f>
        <v>-48</v>
      </c>
      <c r="W42" s="100">
        <f>-2*time</f>
        <v>-8</v>
      </c>
      <c r="X42" s="100">
        <f>-(time^0)</f>
        <v>-1</v>
      </c>
      <c r="Y42" s="101">
        <v>0</v>
      </c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8"/>
      <c r="AM42" s="74" t="str">
        <f>"c_"&amp; time</f>
        <v>c_4</v>
      </c>
      <c r="AN42" s="98">
        <v>-3.109045867485917E-2</v>
      </c>
    </row>
    <row r="43" spans="2:43" x14ac:dyDescent="0.2">
      <c r="B43" s="55" t="str">
        <f t="shared" ref="B43:B59" si="12">"y''(" &amp; D43 &amp; ")"</f>
        <v>y''(4)</v>
      </c>
      <c r="C43" s="74">
        <v>0</v>
      </c>
      <c r="D43" s="74">
        <f t="shared" si="3"/>
        <v>4</v>
      </c>
      <c r="F43" s="99"/>
      <c r="G43" s="107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2">
        <f>2*3*time^1</f>
        <v>24</v>
      </c>
      <c r="S43" s="103">
        <f>2*time^0</f>
        <v>2</v>
      </c>
      <c r="T43" s="103">
        <v>0</v>
      </c>
      <c r="U43" s="103">
        <v>0</v>
      </c>
      <c r="V43" s="103">
        <f>-2*3*time^1</f>
        <v>-24</v>
      </c>
      <c r="W43" s="103">
        <f>-2*time^0</f>
        <v>-2</v>
      </c>
      <c r="X43" s="103">
        <v>0</v>
      </c>
      <c r="Y43" s="104">
        <v>0</v>
      </c>
      <c r="Z43" s="100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1"/>
      <c r="AM43" s="74" t="str">
        <f>"d_"&amp; time</f>
        <v>d_4</v>
      </c>
      <c r="AN43" s="98">
        <v>7.2012784343629788E-2</v>
      </c>
      <c r="AO43" s="74"/>
      <c r="AP43" s="74"/>
      <c r="AQ43" s="74"/>
    </row>
    <row r="44" spans="2:43" x14ac:dyDescent="0.2">
      <c r="B44" s="55" t="str">
        <f t="shared" si="6"/>
        <v>y(5)</v>
      </c>
      <c r="C44" s="74">
        <f t="shared" ref="C44:C58" si="13">VLOOKUP(D44,$B$12:$C$20,2,0)</f>
        <v>5.8316424819999997E-2</v>
      </c>
      <c r="D44" s="74">
        <f t="shared" si="3"/>
        <v>5</v>
      </c>
      <c r="F44" s="99"/>
      <c r="G44" s="107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94">
        <f>time^3</f>
        <v>125</v>
      </c>
      <c r="W44" s="95">
        <f>time^2</f>
        <v>25</v>
      </c>
      <c r="X44" s="95">
        <f>time^1</f>
        <v>5</v>
      </c>
      <c r="Y44" s="95">
        <f>time^0</f>
        <v>1</v>
      </c>
      <c r="Z44" s="95">
        <v>0</v>
      </c>
      <c r="AA44" s="95">
        <v>0</v>
      </c>
      <c r="AB44" s="95">
        <v>0</v>
      </c>
      <c r="AC44" s="96">
        <v>0</v>
      </c>
      <c r="AD44" s="100"/>
      <c r="AE44" s="100"/>
      <c r="AF44" s="100"/>
      <c r="AG44" s="100"/>
      <c r="AH44" s="100"/>
      <c r="AI44" s="92"/>
      <c r="AJ44" s="100"/>
      <c r="AK44" s="101"/>
      <c r="AM44" s="74" t="str">
        <f>"a_"&amp; time</f>
        <v>a_5</v>
      </c>
      <c r="AN44" s="98">
        <v>-4.3438037729781614E-4</v>
      </c>
      <c r="AO44" s="74"/>
      <c r="AP44" s="74"/>
      <c r="AQ44" s="74"/>
    </row>
    <row r="45" spans="2:43" x14ac:dyDescent="0.2">
      <c r="B45" s="55" t="str">
        <f t="shared" si="6"/>
        <v>y(5)</v>
      </c>
      <c r="C45" s="74">
        <f t="shared" si="13"/>
        <v>5.8316424819999997E-2</v>
      </c>
      <c r="D45" s="74">
        <f t="shared" si="3"/>
        <v>5</v>
      </c>
      <c r="F45" s="99"/>
      <c r="G45" s="107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99">
        <v>0</v>
      </c>
      <c r="W45" s="100">
        <v>0</v>
      </c>
      <c r="X45" s="100">
        <v>0</v>
      </c>
      <c r="Y45" s="100">
        <v>0</v>
      </c>
      <c r="Z45" s="100">
        <f>time^3</f>
        <v>125</v>
      </c>
      <c r="AA45" s="100">
        <f>time^2</f>
        <v>25</v>
      </c>
      <c r="AB45" s="100">
        <f>time^1</f>
        <v>5</v>
      </c>
      <c r="AC45" s="101">
        <f>time^0</f>
        <v>1</v>
      </c>
      <c r="AD45" s="100"/>
      <c r="AE45" s="100"/>
      <c r="AF45" s="100"/>
      <c r="AG45" s="100"/>
      <c r="AH45" s="100"/>
      <c r="AI45" s="92"/>
      <c r="AJ45" s="100"/>
      <c r="AK45" s="101"/>
      <c r="AM45" s="74" t="str">
        <f>"b_"&amp; time</f>
        <v>b_5</v>
      </c>
      <c r="AN45" s="98">
        <v>5.0115267054838229E-3</v>
      </c>
      <c r="AO45" s="74"/>
      <c r="AP45" s="74"/>
      <c r="AQ45" s="74"/>
    </row>
    <row r="46" spans="2:43" x14ac:dyDescent="0.2">
      <c r="B46" s="55" t="str">
        <f t="shared" si="11"/>
        <v>y'(5)</v>
      </c>
      <c r="C46" s="74">
        <v>0</v>
      </c>
      <c r="D46" s="74">
        <f t="shared" si="3"/>
        <v>5</v>
      </c>
      <c r="F46" s="99"/>
      <c r="G46" s="107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99">
        <f>3*time^2</f>
        <v>75</v>
      </c>
      <c r="W46" s="100">
        <f>2*time</f>
        <v>10</v>
      </c>
      <c r="X46" s="100">
        <f>time^0</f>
        <v>1</v>
      </c>
      <c r="Y46" s="100">
        <v>0</v>
      </c>
      <c r="Z46" s="100">
        <f>-3*time^2</f>
        <v>-75</v>
      </c>
      <c r="AA46" s="100">
        <f>-2*time</f>
        <v>-10</v>
      </c>
      <c r="AB46" s="100">
        <f>-(time^0)</f>
        <v>-1</v>
      </c>
      <c r="AC46" s="101">
        <v>0</v>
      </c>
      <c r="AD46" s="100"/>
      <c r="AE46" s="100"/>
      <c r="AF46" s="100"/>
      <c r="AG46" s="100"/>
      <c r="AH46" s="100"/>
      <c r="AI46" s="92"/>
      <c r="AJ46" s="100"/>
      <c r="AK46" s="101"/>
      <c r="AM46" s="74" t="str">
        <f>"c_"&amp; time</f>
        <v>c_5</v>
      </c>
      <c r="AN46" s="98">
        <v>-1.1790827754186996E-2</v>
      </c>
      <c r="AO46" s="74"/>
      <c r="AP46" s="74"/>
      <c r="AQ46" s="74"/>
    </row>
    <row r="47" spans="2:43" x14ac:dyDescent="0.2">
      <c r="B47" s="55" t="str">
        <f t="shared" si="12"/>
        <v>y''(5)</v>
      </c>
      <c r="C47" s="74">
        <v>0</v>
      </c>
      <c r="D47" s="74">
        <f t="shared" si="3"/>
        <v>5</v>
      </c>
      <c r="F47" s="99"/>
      <c r="G47" s="107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2">
        <f>2*3*time^1</f>
        <v>30</v>
      </c>
      <c r="W47" s="103">
        <f>2*time^0</f>
        <v>2</v>
      </c>
      <c r="X47" s="103">
        <v>0</v>
      </c>
      <c r="Y47" s="103">
        <v>0</v>
      </c>
      <c r="Z47" s="103">
        <f>-2*3*time^1</f>
        <v>-30</v>
      </c>
      <c r="AA47" s="103">
        <f>-2*time^0</f>
        <v>-2</v>
      </c>
      <c r="AB47" s="103">
        <v>0</v>
      </c>
      <c r="AC47" s="104">
        <v>0</v>
      </c>
      <c r="AD47" s="100"/>
      <c r="AE47" s="100"/>
      <c r="AF47" s="100"/>
      <c r="AG47" s="100"/>
      <c r="AH47" s="100"/>
      <c r="AI47" s="92"/>
      <c r="AJ47" s="100"/>
      <c r="AK47" s="101"/>
      <c r="AM47" s="74" t="str">
        <f>"d_"&amp; time</f>
        <v>d_5</v>
      </c>
      <c r="AN47" s="98">
        <v>4.6279943116066397E-2</v>
      </c>
      <c r="AO47" s="74"/>
      <c r="AP47" s="74"/>
      <c r="AQ47" s="74"/>
    </row>
    <row r="48" spans="2:43" x14ac:dyDescent="0.2">
      <c r="B48" s="55" t="str">
        <f t="shared" si="6"/>
        <v>y(7)</v>
      </c>
      <c r="C48" s="74">
        <f t="shared" ref="C48:C49" si="14">VLOOKUP(D48,$B$12:$C$20,2,0)</f>
        <v>6.51321344E-2</v>
      </c>
      <c r="D48" s="74">
        <v>7</v>
      </c>
      <c r="F48" s="99"/>
      <c r="G48" s="107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94">
        <f>time^3</f>
        <v>343</v>
      </c>
      <c r="AA48" s="95">
        <f>time^2</f>
        <v>49</v>
      </c>
      <c r="AB48" s="95">
        <f>time^1</f>
        <v>7</v>
      </c>
      <c r="AC48" s="95">
        <f>time^0</f>
        <v>1</v>
      </c>
      <c r="AD48" s="95">
        <v>0</v>
      </c>
      <c r="AE48" s="95">
        <v>0</v>
      </c>
      <c r="AF48" s="95">
        <v>0</v>
      </c>
      <c r="AG48" s="96">
        <v>0</v>
      </c>
      <c r="AH48" s="100"/>
      <c r="AI48" s="92"/>
      <c r="AJ48" s="100"/>
      <c r="AK48" s="101"/>
      <c r="AM48" s="74" t="str">
        <f>"a_"&amp; time</f>
        <v>a_7</v>
      </c>
      <c r="AN48" s="98">
        <v>1.67575423663407E-4</v>
      </c>
      <c r="AO48" s="74"/>
      <c r="AP48" s="74"/>
      <c r="AQ48" s="74"/>
    </row>
    <row r="49" spans="2:40" s="74" customFormat="1" x14ac:dyDescent="0.2">
      <c r="B49" s="55" t="str">
        <f t="shared" si="6"/>
        <v>y(7)</v>
      </c>
      <c r="C49" s="74">
        <f t="shared" si="14"/>
        <v>6.51321344E-2</v>
      </c>
      <c r="D49" s="74">
        <v>7</v>
      </c>
      <c r="F49" s="99"/>
      <c r="G49" s="107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99">
        <v>0</v>
      </c>
      <c r="AA49" s="100">
        <v>0</v>
      </c>
      <c r="AB49" s="100">
        <v>0</v>
      </c>
      <c r="AC49" s="100">
        <v>0</v>
      </c>
      <c r="AD49" s="100">
        <f>time^3</f>
        <v>343</v>
      </c>
      <c r="AE49" s="100">
        <f>time^2</f>
        <v>49</v>
      </c>
      <c r="AF49" s="100">
        <f>time^1</f>
        <v>7</v>
      </c>
      <c r="AG49" s="101">
        <f>time^0</f>
        <v>1</v>
      </c>
      <c r="AH49" s="100"/>
      <c r="AI49" s="92"/>
      <c r="AJ49" s="100"/>
      <c r="AK49" s="101"/>
      <c r="AM49" s="74" t="str">
        <f>"b_"&amp; time</f>
        <v>b_7</v>
      </c>
      <c r="AN49" s="98">
        <v>-4.0178103089348847E-3</v>
      </c>
    </row>
    <row r="50" spans="2:40" s="74" customFormat="1" x14ac:dyDescent="0.2">
      <c r="B50" s="55" t="str">
        <f t="shared" si="11"/>
        <v>y'(7)</v>
      </c>
      <c r="C50" s="74">
        <v>0</v>
      </c>
      <c r="D50" s="74">
        <v>7</v>
      </c>
      <c r="F50" s="99"/>
      <c r="G50" s="107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99">
        <f>3*time^2</f>
        <v>147</v>
      </c>
      <c r="AA50" s="100">
        <f>2*time</f>
        <v>14</v>
      </c>
      <c r="AB50" s="100">
        <f>time^0</f>
        <v>1</v>
      </c>
      <c r="AC50" s="100">
        <v>0</v>
      </c>
      <c r="AD50" s="100">
        <f>-3*time^2</f>
        <v>-147</v>
      </c>
      <c r="AE50" s="100">
        <f>-2*time</f>
        <v>-14</v>
      </c>
      <c r="AF50" s="100">
        <f>-(time^0)</f>
        <v>-1</v>
      </c>
      <c r="AG50" s="101">
        <v>0</v>
      </c>
      <c r="AH50" s="100"/>
      <c r="AI50" s="92"/>
      <c r="AJ50" s="100"/>
      <c r="AK50" s="101"/>
      <c r="AM50" s="74" t="str">
        <f>"c_"&amp; time</f>
        <v>c_7</v>
      </c>
      <c r="AN50" s="98">
        <v>3.3355857317907869E-2</v>
      </c>
    </row>
    <row r="51" spans="2:40" s="74" customFormat="1" x14ac:dyDescent="0.2">
      <c r="B51" s="55" t="str">
        <f t="shared" si="12"/>
        <v>y''(7)</v>
      </c>
      <c r="C51" s="74">
        <v>0</v>
      </c>
      <c r="D51" s="74">
        <v>7</v>
      </c>
      <c r="F51" s="99"/>
      <c r="G51" s="107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2">
        <f>2*3*time^1</f>
        <v>42</v>
      </c>
      <c r="AA51" s="103">
        <f>2*time^0</f>
        <v>2</v>
      </c>
      <c r="AB51" s="103">
        <v>0</v>
      </c>
      <c r="AC51" s="103">
        <v>0</v>
      </c>
      <c r="AD51" s="103">
        <f>-2*3*time^1</f>
        <v>-42</v>
      </c>
      <c r="AE51" s="103">
        <f>-2*time^0</f>
        <v>-2</v>
      </c>
      <c r="AF51" s="103">
        <v>0</v>
      </c>
      <c r="AG51" s="104">
        <v>0</v>
      </c>
      <c r="AH51" s="100"/>
      <c r="AI51" s="92"/>
      <c r="AJ51" s="100"/>
      <c r="AK51" s="101"/>
      <c r="AM51" s="74" t="str">
        <f>"d_"&amp; time</f>
        <v>d_7</v>
      </c>
      <c r="AN51" s="98">
        <v>-2.8964532004091593E-2</v>
      </c>
    </row>
    <row r="52" spans="2:40" s="74" customFormat="1" x14ac:dyDescent="0.2">
      <c r="B52" s="55" t="str">
        <f t="shared" si="6"/>
        <v>y(10)</v>
      </c>
      <c r="C52" s="74">
        <f t="shared" ref="C52:C53" si="15">VLOOKUP(D52,$B$12:$C$20,2,0)</f>
        <v>6.7430707199999995E-2</v>
      </c>
      <c r="D52" s="74">
        <v>10</v>
      </c>
      <c r="F52" s="99"/>
      <c r="G52" s="107"/>
      <c r="H52" s="100"/>
      <c r="I52" s="100"/>
      <c r="J52" s="100"/>
      <c r="K52" s="100"/>
      <c r="L52" s="100"/>
      <c r="M52" s="100"/>
      <c r="N52" s="100"/>
      <c r="O52" s="100"/>
      <c r="P52" s="100"/>
      <c r="Q52" s="100"/>
      <c r="R52" s="100"/>
      <c r="S52" s="100"/>
      <c r="T52" s="100"/>
      <c r="U52" s="100"/>
      <c r="V52" s="100"/>
      <c r="W52" s="100"/>
      <c r="X52" s="100"/>
      <c r="Y52" s="100"/>
      <c r="Z52" s="100"/>
      <c r="AA52" s="100"/>
      <c r="AB52" s="100"/>
      <c r="AC52" s="100"/>
      <c r="AD52" s="94">
        <f>time^3</f>
        <v>1000</v>
      </c>
      <c r="AE52" s="95">
        <f>time^2</f>
        <v>100</v>
      </c>
      <c r="AF52" s="95">
        <f>time^1</f>
        <v>10</v>
      </c>
      <c r="AG52" s="95">
        <f>time^0</f>
        <v>1</v>
      </c>
      <c r="AH52" s="95">
        <v>0</v>
      </c>
      <c r="AI52" s="95">
        <v>0</v>
      </c>
      <c r="AJ52" s="95">
        <v>0</v>
      </c>
      <c r="AK52" s="96">
        <v>0</v>
      </c>
      <c r="AM52" s="74" t="str">
        <f>"a_"&amp; time</f>
        <v>a_10</v>
      </c>
      <c r="AN52" s="98">
        <v>5.8029988667057242E-5</v>
      </c>
    </row>
    <row r="53" spans="2:40" s="74" customFormat="1" x14ac:dyDescent="0.2">
      <c r="B53" s="55" t="str">
        <f t="shared" si="6"/>
        <v>y(10)</v>
      </c>
      <c r="C53" s="74">
        <f t="shared" si="15"/>
        <v>6.7430707199999995E-2</v>
      </c>
      <c r="D53" s="74">
        <v>10</v>
      </c>
      <c r="F53" s="99"/>
      <c r="G53" s="107"/>
      <c r="H53" s="100"/>
      <c r="I53" s="100"/>
      <c r="J53" s="100"/>
      <c r="K53" s="100"/>
      <c r="L53" s="100"/>
      <c r="M53" s="100"/>
      <c r="N53" s="100"/>
      <c r="O53" s="100"/>
      <c r="P53" s="100"/>
      <c r="Q53" s="100"/>
      <c r="R53" s="100"/>
      <c r="S53" s="100"/>
      <c r="T53" s="100"/>
      <c r="U53" s="100"/>
      <c r="V53" s="106"/>
      <c r="W53" s="106"/>
      <c r="X53" s="106"/>
      <c r="Y53" s="106"/>
      <c r="Z53" s="106"/>
      <c r="AA53" s="106"/>
      <c r="AB53" s="106"/>
      <c r="AC53" s="106"/>
      <c r="AD53" s="99">
        <v>0</v>
      </c>
      <c r="AE53" s="100">
        <v>0</v>
      </c>
      <c r="AF53" s="100">
        <v>0</v>
      </c>
      <c r="AG53" s="100">
        <v>0</v>
      </c>
      <c r="AH53" s="100">
        <f>time^3</f>
        <v>1000</v>
      </c>
      <c r="AI53" s="100">
        <f>time^2</f>
        <v>100</v>
      </c>
      <c r="AJ53" s="100">
        <f>time^1</f>
        <v>10</v>
      </c>
      <c r="AK53" s="101">
        <f>time^0</f>
        <v>1</v>
      </c>
      <c r="AM53" s="74" t="str">
        <f>"b_"&amp; time</f>
        <v>b_10</v>
      </c>
      <c r="AN53" s="98">
        <v>-1.7173561740115328E-3</v>
      </c>
    </row>
    <row r="54" spans="2:40" s="74" customFormat="1" x14ac:dyDescent="0.2">
      <c r="B54" s="55" t="str">
        <f t="shared" si="11"/>
        <v>y'(10)</v>
      </c>
      <c r="C54" s="74">
        <v>0</v>
      </c>
      <c r="D54" s="74">
        <v>10</v>
      </c>
      <c r="F54" s="99"/>
      <c r="G54" s="107"/>
      <c r="H54" s="100"/>
      <c r="I54" s="100"/>
      <c r="J54" s="100"/>
      <c r="K54" s="100"/>
      <c r="L54" s="100"/>
      <c r="M54" s="100"/>
      <c r="N54" s="100"/>
      <c r="O54" s="100"/>
      <c r="P54" s="100"/>
      <c r="Q54" s="100"/>
      <c r="R54" s="100"/>
      <c r="S54" s="100"/>
      <c r="T54" s="100"/>
      <c r="U54" s="100"/>
      <c r="V54" s="100"/>
      <c r="W54" s="107"/>
      <c r="X54" s="100"/>
      <c r="Y54" s="100"/>
      <c r="Z54" s="100"/>
      <c r="AA54" s="100"/>
      <c r="AB54" s="100"/>
      <c r="AC54" s="100"/>
      <c r="AD54" s="99">
        <f>3*time^2</f>
        <v>300</v>
      </c>
      <c r="AE54" s="100">
        <f>2*time</f>
        <v>20</v>
      </c>
      <c r="AF54" s="100">
        <f>time^0</f>
        <v>1</v>
      </c>
      <c r="AG54" s="100">
        <v>0</v>
      </c>
      <c r="AH54" s="100">
        <f>-3*time^2</f>
        <v>-300</v>
      </c>
      <c r="AI54" s="100">
        <f>-2*time</f>
        <v>-20</v>
      </c>
      <c r="AJ54" s="100">
        <f>-(time^0)</f>
        <v>-1</v>
      </c>
      <c r="AK54" s="101">
        <v>0</v>
      </c>
      <c r="AM54" s="74" t="str">
        <f>"c_"&amp; time</f>
        <v>c_10</v>
      </c>
      <c r="AN54" s="98">
        <v>1.7252678373443606E-2</v>
      </c>
    </row>
    <row r="55" spans="2:40" s="74" customFormat="1" x14ac:dyDescent="0.2">
      <c r="B55" s="55" t="str">
        <f t="shared" si="12"/>
        <v>y''(10)</v>
      </c>
      <c r="C55" s="74">
        <v>0</v>
      </c>
      <c r="D55" s="74">
        <v>10</v>
      </c>
      <c r="F55" s="99"/>
      <c r="G55" s="107"/>
      <c r="H55" s="100"/>
      <c r="I55" s="100"/>
      <c r="J55" s="100"/>
      <c r="K55" s="100"/>
      <c r="L55" s="100"/>
      <c r="M55" s="100"/>
      <c r="N55" s="100"/>
      <c r="O55" s="100"/>
      <c r="P55" s="100"/>
      <c r="Q55" s="100"/>
      <c r="R55" s="100"/>
      <c r="S55" s="100"/>
      <c r="T55" s="100"/>
      <c r="U55" s="100"/>
      <c r="V55" s="100"/>
      <c r="W55" s="107"/>
      <c r="X55" s="100"/>
      <c r="Y55" s="100"/>
      <c r="Z55" s="100"/>
      <c r="AA55" s="100"/>
      <c r="AB55" s="100"/>
      <c r="AC55" s="100"/>
      <c r="AD55" s="102">
        <f>2*3*time^1</f>
        <v>60</v>
      </c>
      <c r="AE55" s="103">
        <f>2*time^0</f>
        <v>2</v>
      </c>
      <c r="AF55" s="103">
        <v>0</v>
      </c>
      <c r="AG55" s="103">
        <v>0</v>
      </c>
      <c r="AH55" s="103">
        <f>-2*3*time^1</f>
        <v>-60</v>
      </c>
      <c r="AI55" s="103">
        <f>-2*time^0</f>
        <v>-2</v>
      </c>
      <c r="AJ55" s="103">
        <v>0</v>
      </c>
      <c r="AK55" s="104">
        <v>0</v>
      </c>
      <c r="AM55" s="74" t="str">
        <f>"d_"&amp; time</f>
        <v>d_10</v>
      </c>
      <c r="AN55" s="98">
        <v>8.6095521996589208E-3</v>
      </c>
    </row>
    <row r="56" spans="2:40" s="74" customFormat="1" x14ac:dyDescent="0.2">
      <c r="B56" s="55" t="str">
        <f t="shared" ref="B56" si="16">"y(" &amp; D56 &amp; ")"</f>
        <v>y(0)</v>
      </c>
      <c r="C56" s="74">
        <f t="shared" si="13"/>
        <v>0</v>
      </c>
      <c r="D56" s="74">
        <v>0</v>
      </c>
      <c r="F56" s="109">
        <f>time^3</f>
        <v>0</v>
      </c>
      <c r="G56" s="110">
        <f>time^2</f>
        <v>0</v>
      </c>
      <c r="H56" s="110">
        <f>time^1</f>
        <v>0</v>
      </c>
      <c r="I56" s="111">
        <v>1</v>
      </c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7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1"/>
      <c r="AM56" s="74" t="s">
        <v>292</v>
      </c>
      <c r="AN56" s="98">
        <v>-3.9239143333689845E-7</v>
      </c>
    </row>
    <row r="57" spans="2:40" s="74" customFormat="1" x14ac:dyDescent="0.2">
      <c r="B57" s="55" t="str">
        <f t="shared" si="12"/>
        <v>y''(0)</v>
      </c>
      <c r="C57" s="74">
        <v>0</v>
      </c>
      <c r="D57" s="74">
        <v>0</v>
      </c>
      <c r="F57" s="109">
        <f>2*3*time^1</f>
        <v>0</v>
      </c>
      <c r="G57" s="110">
        <f>2*1</f>
        <v>2</v>
      </c>
      <c r="H57" s="110">
        <v>0</v>
      </c>
      <c r="I57" s="111">
        <v>0</v>
      </c>
      <c r="J57" s="100"/>
      <c r="K57" s="100"/>
      <c r="L57" s="100"/>
      <c r="M57" s="100"/>
      <c r="N57" s="100"/>
      <c r="O57" s="100"/>
      <c r="P57" s="100"/>
      <c r="Q57" s="100"/>
      <c r="R57" s="100"/>
      <c r="S57" s="100"/>
      <c r="T57" s="100"/>
      <c r="U57" s="100"/>
      <c r="V57" s="100"/>
      <c r="W57" s="107"/>
      <c r="X57" s="100"/>
      <c r="Y57" s="100"/>
      <c r="Z57" s="100"/>
      <c r="AA57" s="100"/>
      <c r="AB57" s="100"/>
      <c r="AC57" s="100"/>
      <c r="AD57" s="100"/>
      <c r="AE57" s="100"/>
      <c r="AF57" s="100"/>
      <c r="AG57" s="100"/>
      <c r="AH57" s="100"/>
      <c r="AI57" s="92"/>
      <c r="AJ57" s="100"/>
      <c r="AK57" s="101"/>
      <c r="AM57" s="74" t="s">
        <v>293</v>
      </c>
      <c r="AN57" s="98">
        <v>3.5315229000323055E-5</v>
      </c>
    </row>
    <row r="58" spans="2:40" s="74" customFormat="1" x14ac:dyDescent="0.2">
      <c r="B58" s="55" t="str">
        <f t="shared" ref="B58" si="17">"y(" &amp; D58 &amp; ")"</f>
        <v>y(30)</v>
      </c>
      <c r="C58" s="74">
        <f t="shared" si="13"/>
        <v>0.08</v>
      </c>
      <c r="D58" s="74">
        <v>30</v>
      </c>
      <c r="F58" s="99"/>
      <c r="G58" s="107"/>
      <c r="H58" s="100"/>
      <c r="I58" s="100"/>
      <c r="J58" s="100"/>
      <c r="K58" s="100"/>
      <c r="L58" s="100"/>
      <c r="M58" s="100"/>
      <c r="N58" s="100"/>
      <c r="O58" s="100"/>
      <c r="P58" s="100"/>
      <c r="Q58" s="100"/>
      <c r="R58" s="100"/>
      <c r="S58" s="100"/>
      <c r="T58" s="100"/>
      <c r="U58" s="100"/>
      <c r="V58" s="100"/>
      <c r="W58" s="107"/>
      <c r="X58" s="100"/>
      <c r="Y58" s="100"/>
      <c r="Z58" s="100"/>
      <c r="AA58" s="100"/>
      <c r="AB58" s="100"/>
      <c r="AC58" s="100"/>
      <c r="AD58" s="100"/>
      <c r="AE58" s="100"/>
      <c r="AF58" s="100"/>
      <c r="AG58" s="100"/>
      <c r="AH58" s="109">
        <f>time^3</f>
        <v>27000</v>
      </c>
      <c r="AI58" s="110">
        <f>time^2</f>
        <v>900</v>
      </c>
      <c r="AJ58" s="110">
        <f>time^1</f>
        <v>30</v>
      </c>
      <c r="AK58" s="111">
        <f>time^0</f>
        <v>1</v>
      </c>
      <c r="AM58" s="74" t="str">
        <f>"c_"&amp; time</f>
        <v>c_30</v>
      </c>
      <c r="AN58" s="98">
        <v>-2.7403565667492077E-4</v>
      </c>
    </row>
    <row r="59" spans="2:40" s="74" customFormat="1" x14ac:dyDescent="0.2">
      <c r="B59" s="55" t="str">
        <f t="shared" si="12"/>
        <v>y''(30)</v>
      </c>
      <c r="C59" s="74">
        <v>0</v>
      </c>
      <c r="D59" s="74">
        <v>30</v>
      </c>
      <c r="F59" s="102"/>
      <c r="G59" s="112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12"/>
      <c r="X59" s="103"/>
      <c r="Y59" s="103"/>
      <c r="Z59" s="103"/>
      <c r="AA59" s="103"/>
      <c r="AB59" s="103"/>
      <c r="AC59" s="103"/>
      <c r="AD59" s="103"/>
      <c r="AE59" s="103"/>
      <c r="AF59" s="103"/>
      <c r="AG59" s="103"/>
      <c r="AH59" s="109">
        <f>2*3*time^1</f>
        <v>180</v>
      </c>
      <c r="AI59" s="110">
        <f>2*time^0</f>
        <v>2</v>
      </c>
      <c r="AJ59" s="110">
        <v>0</v>
      </c>
      <c r="AK59" s="111">
        <v>0</v>
      </c>
      <c r="AM59" s="74" t="str">
        <f>"d_"&amp; time</f>
        <v>d_30</v>
      </c>
      <c r="AN59" s="98">
        <v>6.7031932300053887E-2</v>
      </c>
    </row>
    <row r="60" spans="2:40" s="74" customFormat="1" x14ac:dyDescent="0.2">
      <c r="G60" s="113"/>
    </row>
    <row r="61" spans="2:40" s="74" customFormat="1" x14ac:dyDescent="0.2">
      <c r="G61" s="113"/>
    </row>
    <row r="62" spans="2:40" s="74" customFormat="1" x14ac:dyDescent="0.2">
      <c r="G62" s="113"/>
    </row>
    <row r="63" spans="2:40" s="74" customFormat="1" x14ac:dyDescent="0.2">
      <c r="G63" s="113"/>
    </row>
    <row r="64" spans="2:40" s="74" customFormat="1" x14ac:dyDescent="0.2">
      <c r="G64" s="113"/>
    </row>
    <row r="65" spans="6:37" s="74" customFormat="1" x14ac:dyDescent="0.2">
      <c r="F65" s="100">
        <f>IF(ISBLANK(F28),0,F28)</f>
        <v>1</v>
      </c>
      <c r="G65" s="100">
        <f t="shared" ref="G65:AK65" si="18">IF(ISBLANK(G28),0,G28)</f>
        <v>1</v>
      </c>
      <c r="H65" s="100">
        <f t="shared" si="18"/>
        <v>1</v>
      </c>
      <c r="I65" s="100">
        <f t="shared" si="18"/>
        <v>1</v>
      </c>
      <c r="J65" s="100">
        <f t="shared" si="18"/>
        <v>0</v>
      </c>
      <c r="K65" s="100">
        <f t="shared" si="18"/>
        <v>0</v>
      </c>
      <c r="L65" s="100">
        <f t="shared" si="18"/>
        <v>0</v>
      </c>
      <c r="M65" s="100">
        <f t="shared" si="18"/>
        <v>0</v>
      </c>
      <c r="N65" s="100">
        <f t="shared" si="18"/>
        <v>0</v>
      </c>
      <c r="O65" s="100">
        <f t="shared" si="18"/>
        <v>0</v>
      </c>
      <c r="P65" s="100">
        <f t="shared" si="18"/>
        <v>0</v>
      </c>
      <c r="Q65" s="100">
        <f t="shared" si="18"/>
        <v>0</v>
      </c>
      <c r="R65" s="100">
        <f t="shared" si="18"/>
        <v>0</v>
      </c>
      <c r="S65" s="100">
        <f t="shared" si="18"/>
        <v>0</v>
      </c>
      <c r="T65" s="100">
        <f t="shared" si="18"/>
        <v>0</v>
      </c>
      <c r="U65" s="100">
        <f t="shared" si="18"/>
        <v>0</v>
      </c>
      <c r="V65" s="100">
        <f t="shared" si="18"/>
        <v>0</v>
      </c>
      <c r="W65" s="100">
        <f t="shared" si="18"/>
        <v>0</v>
      </c>
      <c r="X65" s="100">
        <f t="shared" si="18"/>
        <v>0</v>
      </c>
      <c r="Y65" s="100">
        <f t="shared" si="18"/>
        <v>0</v>
      </c>
      <c r="Z65" s="100">
        <f t="shared" si="18"/>
        <v>0</v>
      </c>
      <c r="AA65" s="100">
        <f t="shared" si="18"/>
        <v>0</v>
      </c>
      <c r="AB65" s="100">
        <f t="shared" si="18"/>
        <v>0</v>
      </c>
      <c r="AC65" s="100">
        <f t="shared" si="18"/>
        <v>0</v>
      </c>
      <c r="AD65" s="100">
        <f t="shared" si="18"/>
        <v>0</v>
      </c>
      <c r="AE65" s="100">
        <f t="shared" si="18"/>
        <v>0</v>
      </c>
      <c r="AF65" s="100">
        <f t="shared" si="18"/>
        <v>0</v>
      </c>
      <c r="AG65" s="100">
        <f t="shared" si="18"/>
        <v>0</v>
      </c>
      <c r="AH65" s="100">
        <f t="shared" si="18"/>
        <v>0</v>
      </c>
      <c r="AI65" s="100">
        <f t="shared" si="18"/>
        <v>0</v>
      </c>
      <c r="AJ65" s="100">
        <f t="shared" si="18"/>
        <v>0</v>
      </c>
      <c r="AK65" s="100">
        <f t="shared" si="18"/>
        <v>0</v>
      </c>
    </row>
    <row r="66" spans="6:37" s="74" customFormat="1" x14ac:dyDescent="0.2">
      <c r="F66" s="100">
        <f t="shared" ref="F66:AK73" si="19">IF(ISBLANK(F29),0,F29)</f>
        <v>0</v>
      </c>
      <c r="G66" s="100">
        <f t="shared" si="19"/>
        <v>0</v>
      </c>
      <c r="H66" s="100">
        <f t="shared" si="19"/>
        <v>0</v>
      </c>
      <c r="I66" s="100">
        <f t="shared" si="19"/>
        <v>0</v>
      </c>
      <c r="J66" s="100">
        <f t="shared" si="19"/>
        <v>1</v>
      </c>
      <c r="K66" s="100">
        <f t="shared" si="19"/>
        <v>1</v>
      </c>
      <c r="L66" s="100">
        <f t="shared" si="19"/>
        <v>1</v>
      </c>
      <c r="M66" s="100">
        <f t="shared" si="19"/>
        <v>1</v>
      </c>
      <c r="N66" s="100">
        <f t="shared" si="19"/>
        <v>0</v>
      </c>
      <c r="O66" s="100">
        <f t="shared" si="19"/>
        <v>0</v>
      </c>
      <c r="P66" s="100">
        <f t="shared" si="19"/>
        <v>0</v>
      </c>
      <c r="Q66" s="100">
        <f t="shared" si="19"/>
        <v>0</v>
      </c>
      <c r="R66" s="100">
        <f t="shared" si="19"/>
        <v>0</v>
      </c>
      <c r="S66" s="100">
        <f t="shared" si="19"/>
        <v>0</v>
      </c>
      <c r="T66" s="100">
        <f t="shared" si="19"/>
        <v>0</v>
      </c>
      <c r="U66" s="100">
        <f t="shared" si="19"/>
        <v>0</v>
      </c>
      <c r="V66" s="100">
        <f t="shared" si="19"/>
        <v>0</v>
      </c>
      <c r="W66" s="100">
        <f t="shared" si="19"/>
        <v>0</v>
      </c>
      <c r="X66" s="100">
        <f t="shared" si="19"/>
        <v>0</v>
      </c>
      <c r="Y66" s="100">
        <f t="shared" si="19"/>
        <v>0</v>
      </c>
      <c r="Z66" s="100">
        <f t="shared" si="19"/>
        <v>0</v>
      </c>
      <c r="AA66" s="100">
        <f t="shared" si="19"/>
        <v>0</v>
      </c>
      <c r="AB66" s="100">
        <f t="shared" si="19"/>
        <v>0</v>
      </c>
      <c r="AC66" s="100">
        <f t="shared" si="19"/>
        <v>0</v>
      </c>
      <c r="AD66" s="100">
        <f t="shared" si="19"/>
        <v>0</v>
      </c>
      <c r="AE66" s="100">
        <f t="shared" si="19"/>
        <v>0</v>
      </c>
      <c r="AF66" s="100">
        <f t="shared" si="19"/>
        <v>0</v>
      </c>
      <c r="AG66" s="100">
        <f t="shared" si="19"/>
        <v>0</v>
      </c>
      <c r="AH66" s="100">
        <f t="shared" si="19"/>
        <v>0</v>
      </c>
      <c r="AI66" s="100">
        <f t="shared" si="19"/>
        <v>0</v>
      </c>
      <c r="AJ66" s="100">
        <f t="shared" si="19"/>
        <v>0</v>
      </c>
      <c r="AK66" s="100">
        <f t="shared" si="19"/>
        <v>0</v>
      </c>
    </row>
    <row r="67" spans="6:37" s="74" customFormat="1" x14ac:dyDescent="0.2">
      <c r="F67" s="100">
        <f t="shared" si="19"/>
        <v>3</v>
      </c>
      <c r="G67" s="100">
        <f t="shared" si="19"/>
        <v>2</v>
      </c>
      <c r="H67" s="100">
        <f t="shared" si="19"/>
        <v>1</v>
      </c>
      <c r="I67" s="100">
        <f t="shared" si="19"/>
        <v>0</v>
      </c>
      <c r="J67" s="100">
        <f t="shared" si="19"/>
        <v>-3</v>
      </c>
      <c r="K67" s="100">
        <f t="shared" si="19"/>
        <v>-2</v>
      </c>
      <c r="L67" s="100">
        <f t="shared" si="19"/>
        <v>-1</v>
      </c>
      <c r="M67" s="100">
        <f t="shared" si="19"/>
        <v>0</v>
      </c>
      <c r="N67" s="100">
        <f t="shared" si="19"/>
        <v>0</v>
      </c>
      <c r="O67" s="100">
        <f t="shared" si="19"/>
        <v>0</v>
      </c>
      <c r="P67" s="100">
        <f t="shared" si="19"/>
        <v>0</v>
      </c>
      <c r="Q67" s="100">
        <f t="shared" si="19"/>
        <v>0</v>
      </c>
      <c r="R67" s="100">
        <f t="shared" si="19"/>
        <v>0</v>
      </c>
      <c r="S67" s="100">
        <f t="shared" si="19"/>
        <v>0</v>
      </c>
      <c r="T67" s="100">
        <f t="shared" si="19"/>
        <v>0</v>
      </c>
      <c r="U67" s="100">
        <f t="shared" si="19"/>
        <v>0</v>
      </c>
      <c r="V67" s="100">
        <f t="shared" si="19"/>
        <v>0</v>
      </c>
      <c r="W67" s="100">
        <f t="shared" si="19"/>
        <v>0</v>
      </c>
      <c r="X67" s="100">
        <f t="shared" si="19"/>
        <v>0</v>
      </c>
      <c r="Y67" s="100">
        <f t="shared" si="19"/>
        <v>0</v>
      </c>
      <c r="Z67" s="100">
        <f t="shared" si="19"/>
        <v>0</v>
      </c>
      <c r="AA67" s="100">
        <f t="shared" si="19"/>
        <v>0</v>
      </c>
      <c r="AB67" s="100">
        <f t="shared" si="19"/>
        <v>0</v>
      </c>
      <c r="AC67" s="100">
        <f t="shared" si="19"/>
        <v>0</v>
      </c>
      <c r="AD67" s="100">
        <f t="shared" si="19"/>
        <v>0</v>
      </c>
      <c r="AE67" s="100">
        <f t="shared" si="19"/>
        <v>0</v>
      </c>
      <c r="AF67" s="100">
        <f t="shared" si="19"/>
        <v>0</v>
      </c>
      <c r="AG67" s="100">
        <f t="shared" si="19"/>
        <v>0</v>
      </c>
      <c r="AH67" s="100">
        <f t="shared" si="19"/>
        <v>0</v>
      </c>
      <c r="AI67" s="100">
        <f t="shared" si="19"/>
        <v>0</v>
      </c>
      <c r="AJ67" s="100">
        <f t="shared" si="19"/>
        <v>0</v>
      </c>
      <c r="AK67" s="100">
        <f t="shared" si="19"/>
        <v>0</v>
      </c>
    </row>
    <row r="68" spans="6:37" s="74" customFormat="1" x14ac:dyDescent="0.2">
      <c r="F68" s="100">
        <f t="shared" si="19"/>
        <v>6</v>
      </c>
      <c r="G68" s="100">
        <f t="shared" si="19"/>
        <v>2</v>
      </c>
      <c r="H68" s="100">
        <f t="shared" si="19"/>
        <v>0</v>
      </c>
      <c r="I68" s="100">
        <f t="shared" si="19"/>
        <v>0</v>
      </c>
      <c r="J68" s="100">
        <f t="shared" si="19"/>
        <v>-6</v>
      </c>
      <c r="K68" s="100">
        <f t="shared" si="19"/>
        <v>-2</v>
      </c>
      <c r="L68" s="100">
        <f t="shared" si="19"/>
        <v>0</v>
      </c>
      <c r="M68" s="100">
        <f t="shared" si="19"/>
        <v>0</v>
      </c>
      <c r="N68" s="100">
        <f t="shared" si="19"/>
        <v>0</v>
      </c>
      <c r="O68" s="100">
        <f t="shared" si="19"/>
        <v>0</v>
      </c>
      <c r="P68" s="100">
        <f t="shared" si="19"/>
        <v>0</v>
      </c>
      <c r="Q68" s="100">
        <f t="shared" si="19"/>
        <v>0</v>
      </c>
      <c r="R68" s="100">
        <f t="shared" si="19"/>
        <v>0</v>
      </c>
      <c r="S68" s="100">
        <f t="shared" si="19"/>
        <v>0</v>
      </c>
      <c r="T68" s="100">
        <f t="shared" si="19"/>
        <v>0</v>
      </c>
      <c r="U68" s="100">
        <f t="shared" si="19"/>
        <v>0</v>
      </c>
      <c r="V68" s="100">
        <f t="shared" si="19"/>
        <v>0</v>
      </c>
      <c r="W68" s="100">
        <f t="shared" si="19"/>
        <v>0</v>
      </c>
      <c r="X68" s="100">
        <f t="shared" si="19"/>
        <v>0</v>
      </c>
      <c r="Y68" s="100">
        <f t="shared" si="19"/>
        <v>0</v>
      </c>
      <c r="Z68" s="100">
        <f t="shared" si="19"/>
        <v>0</v>
      </c>
      <c r="AA68" s="100">
        <f t="shared" si="19"/>
        <v>0</v>
      </c>
      <c r="AB68" s="100">
        <f t="shared" si="19"/>
        <v>0</v>
      </c>
      <c r="AC68" s="100">
        <f t="shared" si="19"/>
        <v>0</v>
      </c>
      <c r="AD68" s="100">
        <f t="shared" si="19"/>
        <v>0</v>
      </c>
      <c r="AE68" s="100">
        <f t="shared" si="19"/>
        <v>0</v>
      </c>
      <c r="AF68" s="100">
        <f t="shared" si="19"/>
        <v>0</v>
      </c>
      <c r="AG68" s="100">
        <f t="shared" si="19"/>
        <v>0</v>
      </c>
      <c r="AH68" s="100">
        <f t="shared" si="19"/>
        <v>0</v>
      </c>
      <c r="AI68" s="100">
        <f t="shared" si="19"/>
        <v>0</v>
      </c>
      <c r="AJ68" s="100">
        <f t="shared" si="19"/>
        <v>0</v>
      </c>
      <c r="AK68" s="100">
        <f t="shared" si="19"/>
        <v>0</v>
      </c>
    </row>
    <row r="69" spans="6:37" s="74" customFormat="1" x14ac:dyDescent="0.2">
      <c r="F69" s="100">
        <f t="shared" si="19"/>
        <v>0</v>
      </c>
      <c r="G69" s="100">
        <f t="shared" si="19"/>
        <v>0</v>
      </c>
      <c r="H69" s="100">
        <f t="shared" si="19"/>
        <v>0</v>
      </c>
      <c r="I69" s="100">
        <f t="shared" si="19"/>
        <v>0</v>
      </c>
      <c r="J69" s="100">
        <f t="shared" si="19"/>
        <v>8</v>
      </c>
      <c r="K69" s="100">
        <f t="shared" si="19"/>
        <v>4</v>
      </c>
      <c r="L69" s="100">
        <f t="shared" si="19"/>
        <v>2</v>
      </c>
      <c r="M69" s="100">
        <f t="shared" si="19"/>
        <v>1</v>
      </c>
      <c r="N69" s="100">
        <f t="shared" si="19"/>
        <v>0</v>
      </c>
      <c r="O69" s="100">
        <f t="shared" si="19"/>
        <v>0</v>
      </c>
      <c r="P69" s="100">
        <f t="shared" si="19"/>
        <v>0</v>
      </c>
      <c r="Q69" s="100">
        <f t="shared" si="19"/>
        <v>0</v>
      </c>
      <c r="R69" s="100">
        <f t="shared" si="19"/>
        <v>0</v>
      </c>
      <c r="S69" s="100">
        <f t="shared" si="19"/>
        <v>0</v>
      </c>
      <c r="T69" s="100">
        <f t="shared" si="19"/>
        <v>0</v>
      </c>
      <c r="U69" s="100">
        <f t="shared" si="19"/>
        <v>0</v>
      </c>
      <c r="V69" s="100">
        <f t="shared" si="19"/>
        <v>0</v>
      </c>
      <c r="W69" s="100">
        <f t="shared" si="19"/>
        <v>0</v>
      </c>
      <c r="X69" s="100">
        <f t="shared" si="19"/>
        <v>0</v>
      </c>
      <c r="Y69" s="100">
        <f t="shared" si="19"/>
        <v>0</v>
      </c>
      <c r="Z69" s="100">
        <f t="shared" si="19"/>
        <v>0</v>
      </c>
      <c r="AA69" s="100">
        <f t="shared" si="19"/>
        <v>0</v>
      </c>
      <c r="AB69" s="100">
        <f t="shared" si="19"/>
        <v>0</v>
      </c>
      <c r="AC69" s="100">
        <f t="shared" si="19"/>
        <v>0</v>
      </c>
      <c r="AD69" s="100">
        <f t="shared" si="19"/>
        <v>0</v>
      </c>
      <c r="AE69" s="100">
        <f t="shared" si="19"/>
        <v>0</v>
      </c>
      <c r="AF69" s="100">
        <f t="shared" si="19"/>
        <v>0</v>
      </c>
      <c r="AG69" s="100">
        <f t="shared" si="19"/>
        <v>0</v>
      </c>
      <c r="AH69" s="100">
        <f t="shared" si="19"/>
        <v>0</v>
      </c>
      <c r="AI69" s="100">
        <f t="shared" si="19"/>
        <v>0</v>
      </c>
      <c r="AJ69" s="100">
        <f t="shared" si="19"/>
        <v>0</v>
      </c>
      <c r="AK69" s="100">
        <f t="shared" si="19"/>
        <v>0</v>
      </c>
    </row>
    <row r="70" spans="6:37" s="74" customFormat="1" x14ac:dyDescent="0.2">
      <c r="F70" s="100">
        <f t="shared" si="19"/>
        <v>0</v>
      </c>
      <c r="G70" s="100">
        <f t="shared" si="19"/>
        <v>0</v>
      </c>
      <c r="H70" s="100">
        <f t="shared" si="19"/>
        <v>0</v>
      </c>
      <c r="I70" s="100">
        <f t="shared" si="19"/>
        <v>0</v>
      </c>
      <c r="J70" s="100">
        <f t="shared" si="19"/>
        <v>0</v>
      </c>
      <c r="K70" s="100">
        <f t="shared" si="19"/>
        <v>0</v>
      </c>
      <c r="L70" s="100">
        <f t="shared" si="19"/>
        <v>0</v>
      </c>
      <c r="M70" s="100">
        <f t="shared" si="19"/>
        <v>0</v>
      </c>
      <c r="N70" s="100">
        <f t="shared" si="19"/>
        <v>8</v>
      </c>
      <c r="O70" s="100">
        <f t="shared" si="19"/>
        <v>4</v>
      </c>
      <c r="P70" s="100">
        <f t="shared" si="19"/>
        <v>2</v>
      </c>
      <c r="Q70" s="100">
        <f t="shared" si="19"/>
        <v>1</v>
      </c>
      <c r="R70" s="100">
        <f t="shared" si="19"/>
        <v>0</v>
      </c>
      <c r="S70" s="100">
        <f t="shared" si="19"/>
        <v>0</v>
      </c>
      <c r="T70" s="100">
        <f t="shared" si="19"/>
        <v>0</v>
      </c>
      <c r="U70" s="100">
        <f t="shared" si="19"/>
        <v>0</v>
      </c>
      <c r="V70" s="100">
        <f t="shared" si="19"/>
        <v>0</v>
      </c>
      <c r="W70" s="100">
        <f t="shared" si="19"/>
        <v>0</v>
      </c>
      <c r="X70" s="100">
        <f t="shared" si="19"/>
        <v>0</v>
      </c>
      <c r="Y70" s="100">
        <f t="shared" si="19"/>
        <v>0</v>
      </c>
      <c r="Z70" s="100">
        <f t="shared" si="19"/>
        <v>0</v>
      </c>
      <c r="AA70" s="100">
        <f t="shared" si="19"/>
        <v>0</v>
      </c>
      <c r="AB70" s="100">
        <f t="shared" si="19"/>
        <v>0</v>
      </c>
      <c r="AC70" s="100">
        <f t="shared" si="19"/>
        <v>0</v>
      </c>
      <c r="AD70" s="100">
        <f t="shared" si="19"/>
        <v>0</v>
      </c>
      <c r="AE70" s="100">
        <f t="shared" si="19"/>
        <v>0</v>
      </c>
      <c r="AF70" s="100">
        <f t="shared" si="19"/>
        <v>0</v>
      </c>
      <c r="AG70" s="100">
        <f t="shared" si="19"/>
        <v>0</v>
      </c>
      <c r="AH70" s="100">
        <f t="shared" si="19"/>
        <v>0</v>
      </c>
      <c r="AI70" s="100">
        <f t="shared" si="19"/>
        <v>0</v>
      </c>
      <c r="AJ70" s="100">
        <f t="shared" si="19"/>
        <v>0</v>
      </c>
      <c r="AK70" s="100">
        <f t="shared" si="19"/>
        <v>0</v>
      </c>
    </row>
    <row r="71" spans="6:37" s="74" customFormat="1" x14ac:dyDescent="0.2">
      <c r="F71" s="100">
        <f t="shared" si="19"/>
        <v>0</v>
      </c>
      <c r="G71" s="100">
        <f t="shared" si="19"/>
        <v>0</v>
      </c>
      <c r="H71" s="100">
        <f t="shared" si="19"/>
        <v>0</v>
      </c>
      <c r="I71" s="100">
        <f t="shared" si="19"/>
        <v>0</v>
      </c>
      <c r="J71" s="100">
        <f t="shared" si="19"/>
        <v>12</v>
      </c>
      <c r="K71" s="100">
        <f t="shared" si="19"/>
        <v>4</v>
      </c>
      <c r="L71" s="100">
        <f t="shared" si="19"/>
        <v>1</v>
      </c>
      <c r="M71" s="100">
        <f t="shared" si="19"/>
        <v>0</v>
      </c>
      <c r="N71" s="100">
        <f t="shared" si="19"/>
        <v>-12</v>
      </c>
      <c r="O71" s="100">
        <f t="shared" si="19"/>
        <v>-4</v>
      </c>
      <c r="P71" s="100">
        <f t="shared" si="19"/>
        <v>-1</v>
      </c>
      <c r="Q71" s="100">
        <f t="shared" si="19"/>
        <v>0</v>
      </c>
      <c r="R71" s="100">
        <f t="shared" si="19"/>
        <v>0</v>
      </c>
      <c r="S71" s="100">
        <f t="shared" si="19"/>
        <v>0</v>
      </c>
      <c r="T71" s="100">
        <f t="shared" si="19"/>
        <v>0</v>
      </c>
      <c r="U71" s="100">
        <f t="shared" si="19"/>
        <v>0</v>
      </c>
      <c r="V71" s="100">
        <f t="shared" si="19"/>
        <v>0</v>
      </c>
      <c r="W71" s="100">
        <f t="shared" si="19"/>
        <v>0</v>
      </c>
      <c r="X71" s="100">
        <f t="shared" si="19"/>
        <v>0</v>
      </c>
      <c r="Y71" s="100">
        <f t="shared" si="19"/>
        <v>0</v>
      </c>
      <c r="Z71" s="100">
        <f t="shared" si="19"/>
        <v>0</v>
      </c>
      <c r="AA71" s="100">
        <f t="shared" si="19"/>
        <v>0</v>
      </c>
      <c r="AB71" s="100">
        <f t="shared" si="19"/>
        <v>0</v>
      </c>
      <c r="AC71" s="100">
        <f t="shared" si="19"/>
        <v>0</v>
      </c>
      <c r="AD71" s="100">
        <f t="shared" si="19"/>
        <v>0</v>
      </c>
      <c r="AE71" s="100">
        <f t="shared" si="19"/>
        <v>0</v>
      </c>
      <c r="AF71" s="100">
        <f t="shared" si="19"/>
        <v>0</v>
      </c>
      <c r="AG71" s="100">
        <f t="shared" si="19"/>
        <v>0</v>
      </c>
      <c r="AH71" s="100">
        <f t="shared" si="19"/>
        <v>0</v>
      </c>
      <c r="AI71" s="100">
        <f t="shared" si="19"/>
        <v>0</v>
      </c>
      <c r="AJ71" s="100">
        <f t="shared" si="19"/>
        <v>0</v>
      </c>
      <c r="AK71" s="100">
        <f t="shared" si="19"/>
        <v>0</v>
      </c>
    </row>
    <row r="72" spans="6:37" s="74" customFormat="1" x14ac:dyDescent="0.2">
      <c r="F72" s="100">
        <f t="shared" si="19"/>
        <v>0</v>
      </c>
      <c r="G72" s="100">
        <f t="shared" si="19"/>
        <v>0</v>
      </c>
      <c r="H72" s="100">
        <f t="shared" si="19"/>
        <v>0</v>
      </c>
      <c r="I72" s="100">
        <f t="shared" si="19"/>
        <v>0</v>
      </c>
      <c r="J72" s="100">
        <f t="shared" si="19"/>
        <v>12</v>
      </c>
      <c r="K72" s="100">
        <f t="shared" si="19"/>
        <v>2</v>
      </c>
      <c r="L72" s="100">
        <f t="shared" si="19"/>
        <v>0</v>
      </c>
      <c r="M72" s="100">
        <f t="shared" si="19"/>
        <v>0</v>
      </c>
      <c r="N72" s="100">
        <f t="shared" si="19"/>
        <v>-12</v>
      </c>
      <c r="O72" s="100">
        <f t="shared" si="19"/>
        <v>-2</v>
      </c>
      <c r="P72" s="100">
        <f t="shared" si="19"/>
        <v>0</v>
      </c>
      <c r="Q72" s="100">
        <f t="shared" si="19"/>
        <v>0</v>
      </c>
      <c r="R72" s="100">
        <f t="shared" si="19"/>
        <v>0</v>
      </c>
      <c r="S72" s="100">
        <f t="shared" si="19"/>
        <v>0</v>
      </c>
      <c r="T72" s="100">
        <f t="shared" si="19"/>
        <v>0</v>
      </c>
      <c r="U72" s="100">
        <f t="shared" si="19"/>
        <v>0</v>
      </c>
      <c r="V72" s="100">
        <f t="shared" si="19"/>
        <v>0</v>
      </c>
      <c r="W72" s="100">
        <f t="shared" si="19"/>
        <v>0</v>
      </c>
      <c r="X72" s="100">
        <f t="shared" si="19"/>
        <v>0</v>
      </c>
      <c r="Y72" s="100">
        <f t="shared" si="19"/>
        <v>0</v>
      </c>
      <c r="Z72" s="100">
        <f t="shared" si="19"/>
        <v>0</v>
      </c>
      <c r="AA72" s="100">
        <f t="shared" si="19"/>
        <v>0</v>
      </c>
      <c r="AB72" s="100">
        <f t="shared" si="19"/>
        <v>0</v>
      </c>
      <c r="AC72" s="100">
        <f t="shared" si="19"/>
        <v>0</v>
      </c>
      <c r="AD72" s="100">
        <f t="shared" si="19"/>
        <v>0</v>
      </c>
      <c r="AE72" s="100">
        <f t="shared" si="19"/>
        <v>0</v>
      </c>
      <c r="AF72" s="100">
        <f t="shared" si="19"/>
        <v>0</v>
      </c>
      <c r="AG72" s="100">
        <f t="shared" si="19"/>
        <v>0</v>
      </c>
      <c r="AH72" s="100">
        <f t="shared" si="19"/>
        <v>0</v>
      </c>
      <c r="AI72" s="100">
        <f t="shared" si="19"/>
        <v>0</v>
      </c>
      <c r="AJ72" s="100">
        <f t="shared" si="19"/>
        <v>0</v>
      </c>
      <c r="AK72" s="100">
        <f t="shared" si="19"/>
        <v>0</v>
      </c>
    </row>
    <row r="73" spans="6:37" s="74" customFormat="1" x14ac:dyDescent="0.2">
      <c r="F73" s="100">
        <f t="shared" si="19"/>
        <v>0</v>
      </c>
      <c r="G73" s="100">
        <f t="shared" si="19"/>
        <v>0</v>
      </c>
      <c r="H73" s="100">
        <f t="shared" si="19"/>
        <v>0</v>
      </c>
      <c r="I73" s="100">
        <f t="shared" si="19"/>
        <v>0</v>
      </c>
      <c r="J73" s="100">
        <f t="shared" si="19"/>
        <v>0</v>
      </c>
      <c r="K73" s="100">
        <f t="shared" si="19"/>
        <v>0</v>
      </c>
      <c r="L73" s="100">
        <f t="shared" si="19"/>
        <v>0</v>
      </c>
      <c r="M73" s="100">
        <f t="shared" si="19"/>
        <v>0</v>
      </c>
      <c r="N73" s="100">
        <f t="shared" si="19"/>
        <v>27</v>
      </c>
      <c r="O73" s="100">
        <f t="shared" si="19"/>
        <v>9</v>
      </c>
      <c r="P73" s="100">
        <f t="shared" si="19"/>
        <v>3</v>
      </c>
      <c r="Q73" s="100">
        <f t="shared" si="19"/>
        <v>1</v>
      </c>
      <c r="R73" s="100">
        <f t="shared" si="19"/>
        <v>0</v>
      </c>
      <c r="S73" s="100">
        <f t="shared" si="19"/>
        <v>0</v>
      </c>
      <c r="T73" s="100">
        <f t="shared" si="19"/>
        <v>0</v>
      </c>
      <c r="U73" s="100">
        <f t="shared" si="19"/>
        <v>0</v>
      </c>
      <c r="V73" s="100">
        <f t="shared" si="19"/>
        <v>0</v>
      </c>
      <c r="W73" s="100">
        <f t="shared" si="19"/>
        <v>0</v>
      </c>
      <c r="X73" s="100">
        <f t="shared" si="19"/>
        <v>0</v>
      </c>
      <c r="Y73" s="100">
        <f t="shared" si="19"/>
        <v>0</v>
      </c>
      <c r="Z73" s="100">
        <f t="shared" si="19"/>
        <v>0</v>
      </c>
      <c r="AA73" s="100">
        <f t="shared" si="19"/>
        <v>0</v>
      </c>
      <c r="AB73" s="100">
        <f t="shared" si="19"/>
        <v>0</v>
      </c>
      <c r="AC73" s="100">
        <f t="shared" si="19"/>
        <v>0</v>
      </c>
      <c r="AD73" s="100">
        <f t="shared" si="19"/>
        <v>0</v>
      </c>
      <c r="AE73" s="100">
        <f t="shared" si="19"/>
        <v>0</v>
      </c>
      <c r="AF73" s="100">
        <f t="shared" si="19"/>
        <v>0</v>
      </c>
      <c r="AG73" s="100">
        <f t="shared" si="19"/>
        <v>0</v>
      </c>
      <c r="AH73" s="100">
        <f t="shared" si="19"/>
        <v>0</v>
      </c>
      <c r="AI73" s="100">
        <f t="shared" si="19"/>
        <v>0</v>
      </c>
      <c r="AJ73" s="100">
        <f t="shared" si="19"/>
        <v>0</v>
      </c>
      <c r="AK73" s="100">
        <f t="shared" ref="AK73" si="20">IF(ISBLANK(AK36),0,AK36)</f>
        <v>0</v>
      </c>
    </row>
    <row r="74" spans="6:37" s="74" customFormat="1" x14ac:dyDescent="0.2">
      <c r="F74" s="100">
        <f t="shared" ref="F74:AK81" si="21">IF(ISBLANK(F37),0,F37)</f>
        <v>0</v>
      </c>
      <c r="G74" s="100">
        <f t="shared" si="21"/>
        <v>0</v>
      </c>
      <c r="H74" s="100">
        <f t="shared" si="21"/>
        <v>0</v>
      </c>
      <c r="I74" s="100">
        <f t="shared" si="21"/>
        <v>0</v>
      </c>
      <c r="J74" s="100">
        <f t="shared" si="21"/>
        <v>0</v>
      </c>
      <c r="K74" s="100">
        <f t="shared" si="21"/>
        <v>0</v>
      </c>
      <c r="L74" s="100">
        <f t="shared" si="21"/>
        <v>0</v>
      </c>
      <c r="M74" s="100">
        <f t="shared" si="21"/>
        <v>0</v>
      </c>
      <c r="N74" s="100">
        <f t="shared" si="21"/>
        <v>0</v>
      </c>
      <c r="O74" s="100">
        <f t="shared" si="21"/>
        <v>0</v>
      </c>
      <c r="P74" s="100">
        <f t="shared" si="21"/>
        <v>0</v>
      </c>
      <c r="Q74" s="100">
        <f t="shared" si="21"/>
        <v>0</v>
      </c>
      <c r="R74" s="100">
        <f t="shared" si="21"/>
        <v>27</v>
      </c>
      <c r="S74" s="100">
        <f t="shared" si="21"/>
        <v>9</v>
      </c>
      <c r="T74" s="100">
        <f t="shared" si="21"/>
        <v>3</v>
      </c>
      <c r="U74" s="100">
        <f t="shared" si="21"/>
        <v>1</v>
      </c>
      <c r="V74" s="100">
        <f t="shared" si="21"/>
        <v>0</v>
      </c>
      <c r="W74" s="100">
        <f t="shared" si="21"/>
        <v>0</v>
      </c>
      <c r="X74" s="100">
        <f t="shared" si="21"/>
        <v>0</v>
      </c>
      <c r="Y74" s="100">
        <f t="shared" si="21"/>
        <v>0</v>
      </c>
      <c r="Z74" s="100">
        <f t="shared" si="21"/>
        <v>0</v>
      </c>
      <c r="AA74" s="100">
        <f t="shared" si="21"/>
        <v>0</v>
      </c>
      <c r="AB74" s="100">
        <f t="shared" si="21"/>
        <v>0</v>
      </c>
      <c r="AC74" s="100">
        <f t="shared" si="21"/>
        <v>0</v>
      </c>
      <c r="AD74" s="100">
        <f t="shared" si="21"/>
        <v>0</v>
      </c>
      <c r="AE74" s="100">
        <f t="shared" si="21"/>
        <v>0</v>
      </c>
      <c r="AF74" s="100">
        <f t="shared" si="21"/>
        <v>0</v>
      </c>
      <c r="AG74" s="100">
        <f t="shared" si="21"/>
        <v>0</v>
      </c>
      <c r="AH74" s="100">
        <f t="shared" si="21"/>
        <v>0</v>
      </c>
      <c r="AI74" s="100">
        <f t="shared" si="21"/>
        <v>0</v>
      </c>
      <c r="AJ74" s="100">
        <f t="shared" si="21"/>
        <v>0</v>
      </c>
      <c r="AK74" s="100">
        <f t="shared" si="21"/>
        <v>0</v>
      </c>
    </row>
    <row r="75" spans="6:37" s="74" customFormat="1" x14ac:dyDescent="0.2">
      <c r="F75" s="100">
        <f t="shared" si="21"/>
        <v>0</v>
      </c>
      <c r="G75" s="100">
        <f t="shared" si="21"/>
        <v>0</v>
      </c>
      <c r="H75" s="100">
        <f t="shared" si="21"/>
        <v>0</v>
      </c>
      <c r="I75" s="100">
        <f t="shared" si="21"/>
        <v>0</v>
      </c>
      <c r="J75" s="100">
        <f t="shared" si="21"/>
        <v>0</v>
      </c>
      <c r="K75" s="100">
        <f t="shared" si="21"/>
        <v>0</v>
      </c>
      <c r="L75" s="100">
        <f t="shared" si="21"/>
        <v>0</v>
      </c>
      <c r="M75" s="100">
        <f t="shared" si="21"/>
        <v>0</v>
      </c>
      <c r="N75" s="100">
        <f t="shared" si="21"/>
        <v>27</v>
      </c>
      <c r="O75" s="100">
        <f t="shared" si="21"/>
        <v>6</v>
      </c>
      <c r="P75" s="100">
        <f t="shared" si="21"/>
        <v>1</v>
      </c>
      <c r="Q75" s="100">
        <f t="shared" si="21"/>
        <v>0</v>
      </c>
      <c r="R75" s="100">
        <f t="shared" si="21"/>
        <v>-27</v>
      </c>
      <c r="S75" s="100">
        <f t="shared" si="21"/>
        <v>-6</v>
      </c>
      <c r="T75" s="100">
        <f t="shared" si="21"/>
        <v>-1</v>
      </c>
      <c r="U75" s="100">
        <f t="shared" si="21"/>
        <v>0</v>
      </c>
      <c r="V75" s="100">
        <f t="shared" si="21"/>
        <v>0</v>
      </c>
      <c r="W75" s="100">
        <f t="shared" si="21"/>
        <v>0</v>
      </c>
      <c r="X75" s="100">
        <f t="shared" si="21"/>
        <v>0</v>
      </c>
      <c r="Y75" s="100">
        <f t="shared" si="21"/>
        <v>0</v>
      </c>
      <c r="Z75" s="100">
        <f t="shared" si="21"/>
        <v>0</v>
      </c>
      <c r="AA75" s="100">
        <f t="shared" si="21"/>
        <v>0</v>
      </c>
      <c r="AB75" s="100">
        <f t="shared" si="21"/>
        <v>0</v>
      </c>
      <c r="AC75" s="100">
        <f t="shared" si="21"/>
        <v>0</v>
      </c>
      <c r="AD75" s="100">
        <f t="shared" si="21"/>
        <v>0</v>
      </c>
      <c r="AE75" s="100">
        <f t="shared" si="21"/>
        <v>0</v>
      </c>
      <c r="AF75" s="100">
        <f t="shared" si="21"/>
        <v>0</v>
      </c>
      <c r="AG75" s="100">
        <f t="shared" si="21"/>
        <v>0</v>
      </c>
      <c r="AH75" s="100">
        <f t="shared" si="21"/>
        <v>0</v>
      </c>
      <c r="AI75" s="100">
        <f t="shared" si="21"/>
        <v>0</v>
      </c>
      <c r="AJ75" s="100">
        <f t="shared" si="21"/>
        <v>0</v>
      </c>
      <c r="AK75" s="100">
        <f t="shared" si="21"/>
        <v>0</v>
      </c>
    </row>
    <row r="76" spans="6:37" s="74" customFormat="1" x14ac:dyDescent="0.2">
      <c r="F76" s="100">
        <f t="shared" si="21"/>
        <v>0</v>
      </c>
      <c r="G76" s="100">
        <f t="shared" si="21"/>
        <v>0</v>
      </c>
      <c r="H76" s="100">
        <f t="shared" si="21"/>
        <v>0</v>
      </c>
      <c r="I76" s="100">
        <f t="shared" si="21"/>
        <v>0</v>
      </c>
      <c r="J76" s="100">
        <f t="shared" si="21"/>
        <v>0</v>
      </c>
      <c r="K76" s="100">
        <f t="shared" si="21"/>
        <v>0</v>
      </c>
      <c r="L76" s="100">
        <f t="shared" si="21"/>
        <v>0</v>
      </c>
      <c r="M76" s="100">
        <f t="shared" si="21"/>
        <v>0</v>
      </c>
      <c r="N76" s="100">
        <f t="shared" si="21"/>
        <v>18</v>
      </c>
      <c r="O76" s="100">
        <f t="shared" si="21"/>
        <v>2</v>
      </c>
      <c r="P76" s="100">
        <f t="shared" si="21"/>
        <v>0</v>
      </c>
      <c r="Q76" s="100">
        <f t="shared" si="21"/>
        <v>0</v>
      </c>
      <c r="R76" s="100">
        <f t="shared" si="21"/>
        <v>-18</v>
      </c>
      <c r="S76" s="100">
        <f t="shared" si="21"/>
        <v>-2</v>
      </c>
      <c r="T76" s="100">
        <f t="shared" si="21"/>
        <v>0</v>
      </c>
      <c r="U76" s="100">
        <f t="shared" si="21"/>
        <v>0</v>
      </c>
      <c r="V76" s="100">
        <f t="shared" si="21"/>
        <v>0</v>
      </c>
      <c r="W76" s="100">
        <f t="shared" si="21"/>
        <v>0</v>
      </c>
      <c r="X76" s="100">
        <f t="shared" si="21"/>
        <v>0</v>
      </c>
      <c r="Y76" s="100">
        <f t="shared" si="21"/>
        <v>0</v>
      </c>
      <c r="Z76" s="100">
        <f t="shared" si="21"/>
        <v>0</v>
      </c>
      <c r="AA76" s="100">
        <f t="shared" si="21"/>
        <v>0</v>
      </c>
      <c r="AB76" s="100">
        <f t="shared" si="21"/>
        <v>0</v>
      </c>
      <c r="AC76" s="100">
        <f t="shared" si="21"/>
        <v>0</v>
      </c>
      <c r="AD76" s="100">
        <f t="shared" si="21"/>
        <v>0</v>
      </c>
      <c r="AE76" s="100">
        <f t="shared" si="21"/>
        <v>0</v>
      </c>
      <c r="AF76" s="100">
        <f t="shared" si="21"/>
        <v>0</v>
      </c>
      <c r="AG76" s="100">
        <f t="shared" si="21"/>
        <v>0</v>
      </c>
      <c r="AH76" s="100">
        <f t="shared" si="21"/>
        <v>0</v>
      </c>
      <c r="AI76" s="100">
        <f t="shared" si="21"/>
        <v>0</v>
      </c>
      <c r="AJ76" s="100">
        <f t="shared" si="21"/>
        <v>0</v>
      </c>
      <c r="AK76" s="100">
        <f t="shared" si="21"/>
        <v>0</v>
      </c>
    </row>
    <row r="77" spans="6:37" s="74" customFormat="1" x14ac:dyDescent="0.2">
      <c r="F77" s="100">
        <f t="shared" si="21"/>
        <v>0</v>
      </c>
      <c r="G77" s="100">
        <f t="shared" si="21"/>
        <v>0</v>
      </c>
      <c r="H77" s="100">
        <f t="shared" si="21"/>
        <v>0</v>
      </c>
      <c r="I77" s="100">
        <f t="shared" si="21"/>
        <v>0</v>
      </c>
      <c r="J77" s="100">
        <f t="shared" si="21"/>
        <v>0</v>
      </c>
      <c r="K77" s="100">
        <f t="shared" si="21"/>
        <v>0</v>
      </c>
      <c r="L77" s="100">
        <f t="shared" si="21"/>
        <v>0</v>
      </c>
      <c r="M77" s="100">
        <f t="shared" si="21"/>
        <v>0</v>
      </c>
      <c r="N77" s="100">
        <f t="shared" si="21"/>
        <v>0</v>
      </c>
      <c r="O77" s="100">
        <f t="shared" si="21"/>
        <v>0</v>
      </c>
      <c r="P77" s="100">
        <f t="shared" si="21"/>
        <v>0</v>
      </c>
      <c r="Q77" s="100">
        <f t="shared" si="21"/>
        <v>0</v>
      </c>
      <c r="R77" s="100">
        <f t="shared" si="21"/>
        <v>64</v>
      </c>
      <c r="S77" s="100">
        <f t="shared" si="21"/>
        <v>16</v>
      </c>
      <c r="T77" s="100">
        <f t="shared" si="21"/>
        <v>4</v>
      </c>
      <c r="U77" s="100">
        <f t="shared" si="21"/>
        <v>1</v>
      </c>
      <c r="V77" s="100">
        <f t="shared" si="21"/>
        <v>0</v>
      </c>
      <c r="W77" s="100">
        <f t="shared" si="21"/>
        <v>0</v>
      </c>
      <c r="X77" s="100">
        <f t="shared" si="21"/>
        <v>0</v>
      </c>
      <c r="Y77" s="100">
        <f t="shared" si="21"/>
        <v>0</v>
      </c>
      <c r="Z77" s="100">
        <f t="shared" si="21"/>
        <v>0</v>
      </c>
      <c r="AA77" s="100">
        <f t="shared" si="21"/>
        <v>0</v>
      </c>
      <c r="AB77" s="100">
        <f t="shared" si="21"/>
        <v>0</v>
      </c>
      <c r="AC77" s="100">
        <f t="shared" si="21"/>
        <v>0</v>
      </c>
      <c r="AD77" s="100">
        <f t="shared" si="21"/>
        <v>0</v>
      </c>
      <c r="AE77" s="100">
        <f t="shared" si="21"/>
        <v>0</v>
      </c>
      <c r="AF77" s="100">
        <f t="shared" si="21"/>
        <v>0</v>
      </c>
      <c r="AG77" s="100">
        <f t="shared" si="21"/>
        <v>0</v>
      </c>
      <c r="AH77" s="100">
        <f t="shared" si="21"/>
        <v>0</v>
      </c>
      <c r="AI77" s="100">
        <f t="shared" si="21"/>
        <v>0</v>
      </c>
      <c r="AJ77" s="100">
        <f t="shared" si="21"/>
        <v>0</v>
      </c>
      <c r="AK77" s="100">
        <f t="shared" si="21"/>
        <v>0</v>
      </c>
    </row>
    <row r="78" spans="6:37" s="74" customFormat="1" x14ac:dyDescent="0.2">
      <c r="F78" s="100">
        <f t="shared" si="21"/>
        <v>0</v>
      </c>
      <c r="G78" s="100">
        <f t="shared" si="21"/>
        <v>0</v>
      </c>
      <c r="H78" s="100">
        <f t="shared" si="21"/>
        <v>0</v>
      </c>
      <c r="I78" s="100">
        <f t="shared" si="21"/>
        <v>0</v>
      </c>
      <c r="J78" s="100">
        <f t="shared" si="21"/>
        <v>0</v>
      </c>
      <c r="K78" s="100">
        <f t="shared" si="21"/>
        <v>0</v>
      </c>
      <c r="L78" s="100">
        <f t="shared" si="21"/>
        <v>0</v>
      </c>
      <c r="M78" s="100">
        <f t="shared" si="21"/>
        <v>0</v>
      </c>
      <c r="N78" s="100">
        <f t="shared" si="21"/>
        <v>0</v>
      </c>
      <c r="O78" s="100">
        <f t="shared" si="21"/>
        <v>0</v>
      </c>
      <c r="P78" s="100">
        <f t="shared" si="21"/>
        <v>0</v>
      </c>
      <c r="Q78" s="100">
        <f t="shared" si="21"/>
        <v>0</v>
      </c>
      <c r="R78" s="100">
        <f t="shared" si="21"/>
        <v>0</v>
      </c>
      <c r="S78" s="100">
        <f t="shared" si="21"/>
        <v>0</v>
      </c>
      <c r="T78" s="100">
        <f t="shared" si="21"/>
        <v>0</v>
      </c>
      <c r="U78" s="100">
        <f t="shared" si="21"/>
        <v>0</v>
      </c>
      <c r="V78" s="100">
        <f t="shared" si="21"/>
        <v>64</v>
      </c>
      <c r="W78" s="100">
        <f t="shared" si="21"/>
        <v>16</v>
      </c>
      <c r="X78" s="100">
        <f t="shared" si="21"/>
        <v>4</v>
      </c>
      <c r="Y78" s="100">
        <f t="shared" si="21"/>
        <v>1</v>
      </c>
      <c r="Z78" s="100">
        <f t="shared" si="21"/>
        <v>0</v>
      </c>
      <c r="AA78" s="100">
        <f t="shared" si="21"/>
        <v>0</v>
      </c>
      <c r="AB78" s="100">
        <f t="shared" si="21"/>
        <v>0</v>
      </c>
      <c r="AC78" s="100">
        <f t="shared" si="21"/>
        <v>0</v>
      </c>
      <c r="AD78" s="100">
        <f t="shared" si="21"/>
        <v>0</v>
      </c>
      <c r="AE78" s="100">
        <f t="shared" si="21"/>
        <v>0</v>
      </c>
      <c r="AF78" s="100">
        <f t="shared" si="21"/>
        <v>0</v>
      </c>
      <c r="AG78" s="100">
        <f t="shared" si="21"/>
        <v>0</v>
      </c>
      <c r="AH78" s="100">
        <f t="shared" si="21"/>
        <v>0</v>
      </c>
      <c r="AI78" s="100">
        <f t="shared" si="21"/>
        <v>0</v>
      </c>
      <c r="AJ78" s="100">
        <f t="shared" si="21"/>
        <v>0</v>
      </c>
      <c r="AK78" s="100">
        <f t="shared" si="21"/>
        <v>0</v>
      </c>
    </row>
    <row r="79" spans="6:37" s="74" customFormat="1" x14ac:dyDescent="0.2">
      <c r="F79" s="100">
        <f t="shared" si="21"/>
        <v>0</v>
      </c>
      <c r="G79" s="100">
        <f t="shared" si="21"/>
        <v>0</v>
      </c>
      <c r="H79" s="100">
        <f t="shared" si="21"/>
        <v>0</v>
      </c>
      <c r="I79" s="100">
        <f t="shared" si="21"/>
        <v>0</v>
      </c>
      <c r="J79" s="100">
        <f t="shared" si="21"/>
        <v>0</v>
      </c>
      <c r="K79" s="100">
        <f t="shared" si="21"/>
        <v>0</v>
      </c>
      <c r="L79" s="100">
        <f t="shared" si="21"/>
        <v>0</v>
      </c>
      <c r="M79" s="100">
        <f t="shared" si="21"/>
        <v>0</v>
      </c>
      <c r="N79" s="100">
        <f t="shared" si="21"/>
        <v>0</v>
      </c>
      <c r="O79" s="100">
        <f t="shared" si="21"/>
        <v>0</v>
      </c>
      <c r="P79" s="100">
        <f t="shared" si="21"/>
        <v>0</v>
      </c>
      <c r="Q79" s="100">
        <f t="shared" si="21"/>
        <v>0</v>
      </c>
      <c r="R79" s="100">
        <f t="shared" si="21"/>
        <v>48</v>
      </c>
      <c r="S79" s="100">
        <f t="shared" si="21"/>
        <v>8</v>
      </c>
      <c r="T79" s="100">
        <f t="shared" si="21"/>
        <v>1</v>
      </c>
      <c r="U79" s="100">
        <f t="shared" si="21"/>
        <v>0</v>
      </c>
      <c r="V79" s="100">
        <f t="shared" si="21"/>
        <v>-48</v>
      </c>
      <c r="W79" s="100">
        <f t="shared" si="21"/>
        <v>-8</v>
      </c>
      <c r="X79" s="100">
        <f t="shared" si="21"/>
        <v>-1</v>
      </c>
      <c r="Y79" s="100">
        <f t="shared" si="21"/>
        <v>0</v>
      </c>
      <c r="Z79" s="100">
        <f t="shared" si="21"/>
        <v>0</v>
      </c>
      <c r="AA79" s="100">
        <f t="shared" si="21"/>
        <v>0</v>
      </c>
      <c r="AB79" s="100">
        <f t="shared" si="21"/>
        <v>0</v>
      </c>
      <c r="AC79" s="100">
        <f t="shared" si="21"/>
        <v>0</v>
      </c>
      <c r="AD79" s="100">
        <f t="shared" si="21"/>
        <v>0</v>
      </c>
      <c r="AE79" s="100">
        <f t="shared" si="21"/>
        <v>0</v>
      </c>
      <c r="AF79" s="100">
        <f t="shared" si="21"/>
        <v>0</v>
      </c>
      <c r="AG79" s="100">
        <f t="shared" si="21"/>
        <v>0</v>
      </c>
      <c r="AH79" s="100">
        <f t="shared" si="21"/>
        <v>0</v>
      </c>
      <c r="AI79" s="100">
        <f t="shared" si="21"/>
        <v>0</v>
      </c>
      <c r="AJ79" s="100">
        <f t="shared" si="21"/>
        <v>0</v>
      </c>
      <c r="AK79" s="100">
        <f t="shared" si="21"/>
        <v>0</v>
      </c>
    </row>
    <row r="80" spans="6:37" s="74" customFormat="1" x14ac:dyDescent="0.2">
      <c r="F80" s="100">
        <f t="shared" si="21"/>
        <v>0</v>
      </c>
      <c r="G80" s="100">
        <f t="shared" si="21"/>
        <v>0</v>
      </c>
      <c r="H80" s="100">
        <f t="shared" si="21"/>
        <v>0</v>
      </c>
      <c r="I80" s="100">
        <f t="shared" si="21"/>
        <v>0</v>
      </c>
      <c r="J80" s="100">
        <f t="shared" si="21"/>
        <v>0</v>
      </c>
      <c r="K80" s="100">
        <f t="shared" si="21"/>
        <v>0</v>
      </c>
      <c r="L80" s="100">
        <f t="shared" si="21"/>
        <v>0</v>
      </c>
      <c r="M80" s="100">
        <f t="shared" si="21"/>
        <v>0</v>
      </c>
      <c r="N80" s="100">
        <f t="shared" si="21"/>
        <v>0</v>
      </c>
      <c r="O80" s="100">
        <f t="shared" si="21"/>
        <v>0</v>
      </c>
      <c r="P80" s="100">
        <f t="shared" si="21"/>
        <v>0</v>
      </c>
      <c r="Q80" s="100">
        <f t="shared" si="21"/>
        <v>0</v>
      </c>
      <c r="R80" s="100">
        <f t="shared" si="21"/>
        <v>24</v>
      </c>
      <c r="S80" s="100">
        <f t="shared" si="21"/>
        <v>2</v>
      </c>
      <c r="T80" s="100">
        <f t="shared" si="21"/>
        <v>0</v>
      </c>
      <c r="U80" s="100">
        <f t="shared" si="21"/>
        <v>0</v>
      </c>
      <c r="V80" s="100">
        <f t="shared" si="21"/>
        <v>-24</v>
      </c>
      <c r="W80" s="100">
        <f t="shared" si="21"/>
        <v>-2</v>
      </c>
      <c r="X80" s="100">
        <f t="shared" si="21"/>
        <v>0</v>
      </c>
      <c r="Y80" s="100">
        <f t="shared" si="21"/>
        <v>0</v>
      </c>
      <c r="Z80" s="100">
        <f t="shared" si="21"/>
        <v>0</v>
      </c>
      <c r="AA80" s="100">
        <f t="shared" si="21"/>
        <v>0</v>
      </c>
      <c r="AB80" s="100">
        <f t="shared" si="21"/>
        <v>0</v>
      </c>
      <c r="AC80" s="100">
        <f t="shared" si="21"/>
        <v>0</v>
      </c>
      <c r="AD80" s="100">
        <f t="shared" si="21"/>
        <v>0</v>
      </c>
      <c r="AE80" s="100">
        <f t="shared" si="21"/>
        <v>0</v>
      </c>
      <c r="AF80" s="100">
        <f t="shared" si="21"/>
        <v>0</v>
      </c>
      <c r="AG80" s="100">
        <f t="shared" si="21"/>
        <v>0</v>
      </c>
      <c r="AH80" s="100">
        <f t="shared" si="21"/>
        <v>0</v>
      </c>
      <c r="AI80" s="100">
        <f t="shared" si="21"/>
        <v>0</v>
      </c>
      <c r="AJ80" s="100">
        <f t="shared" si="21"/>
        <v>0</v>
      </c>
      <c r="AK80" s="100">
        <f t="shared" si="21"/>
        <v>0</v>
      </c>
    </row>
    <row r="81" spans="6:37" s="74" customFormat="1" x14ac:dyDescent="0.2">
      <c r="F81" s="100">
        <f t="shared" si="21"/>
        <v>0</v>
      </c>
      <c r="G81" s="100">
        <f t="shared" si="21"/>
        <v>0</v>
      </c>
      <c r="H81" s="100">
        <f t="shared" si="21"/>
        <v>0</v>
      </c>
      <c r="I81" s="100">
        <f t="shared" si="21"/>
        <v>0</v>
      </c>
      <c r="J81" s="100">
        <f t="shared" si="21"/>
        <v>0</v>
      </c>
      <c r="K81" s="100">
        <f t="shared" si="21"/>
        <v>0</v>
      </c>
      <c r="L81" s="100">
        <f t="shared" si="21"/>
        <v>0</v>
      </c>
      <c r="M81" s="100">
        <f t="shared" si="21"/>
        <v>0</v>
      </c>
      <c r="N81" s="100">
        <f t="shared" si="21"/>
        <v>0</v>
      </c>
      <c r="O81" s="100">
        <f t="shared" si="21"/>
        <v>0</v>
      </c>
      <c r="P81" s="100">
        <f t="shared" si="21"/>
        <v>0</v>
      </c>
      <c r="Q81" s="100">
        <f t="shared" si="21"/>
        <v>0</v>
      </c>
      <c r="R81" s="100">
        <f t="shared" si="21"/>
        <v>0</v>
      </c>
      <c r="S81" s="100">
        <f t="shared" si="21"/>
        <v>0</v>
      </c>
      <c r="T81" s="100">
        <f t="shared" si="21"/>
        <v>0</v>
      </c>
      <c r="U81" s="100">
        <f t="shared" si="21"/>
        <v>0</v>
      </c>
      <c r="V81" s="100">
        <f t="shared" si="21"/>
        <v>125</v>
      </c>
      <c r="W81" s="100">
        <f t="shared" si="21"/>
        <v>25</v>
      </c>
      <c r="X81" s="100">
        <f t="shared" si="21"/>
        <v>5</v>
      </c>
      <c r="Y81" s="100">
        <f t="shared" si="21"/>
        <v>1</v>
      </c>
      <c r="Z81" s="100">
        <f t="shared" si="21"/>
        <v>0</v>
      </c>
      <c r="AA81" s="100">
        <f t="shared" si="21"/>
        <v>0</v>
      </c>
      <c r="AB81" s="100">
        <f t="shared" si="21"/>
        <v>0</v>
      </c>
      <c r="AC81" s="100">
        <f t="shared" si="21"/>
        <v>0</v>
      </c>
      <c r="AD81" s="100">
        <f t="shared" si="21"/>
        <v>0</v>
      </c>
      <c r="AE81" s="100">
        <f t="shared" si="21"/>
        <v>0</v>
      </c>
      <c r="AF81" s="100">
        <f t="shared" si="21"/>
        <v>0</v>
      </c>
      <c r="AG81" s="100">
        <f t="shared" si="21"/>
        <v>0</v>
      </c>
      <c r="AH81" s="100">
        <f t="shared" si="21"/>
        <v>0</v>
      </c>
      <c r="AI81" s="100">
        <f t="shared" si="21"/>
        <v>0</v>
      </c>
      <c r="AJ81" s="100">
        <f t="shared" si="21"/>
        <v>0</v>
      </c>
      <c r="AK81" s="100">
        <f t="shared" ref="AK81" si="22">IF(ISBLANK(AK44),0,AK44)</f>
        <v>0</v>
      </c>
    </row>
    <row r="82" spans="6:37" s="74" customFormat="1" x14ac:dyDescent="0.2">
      <c r="F82" s="100">
        <f t="shared" ref="F82:AK89" si="23">IF(ISBLANK(F45),0,F45)</f>
        <v>0</v>
      </c>
      <c r="G82" s="100">
        <f t="shared" si="23"/>
        <v>0</v>
      </c>
      <c r="H82" s="100">
        <f t="shared" si="23"/>
        <v>0</v>
      </c>
      <c r="I82" s="100">
        <f t="shared" si="23"/>
        <v>0</v>
      </c>
      <c r="J82" s="100">
        <f t="shared" si="23"/>
        <v>0</v>
      </c>
      <c r="K82" s="100">
        <f t="shared" si="23"/>
        <v>0</v>
      </c>
      <c r="L82" s="100">
        <f t="shared" si="23"/>
        <v>0</v>
      </c>
      <c r="M82" s="100">
        <f t="shared" si="23"/>
        <v>0</v>
      </c>
      <c r="N82" s="100">
        <f t="shared" si="23"/>
        <v>0</v>
      </c>
      <c r="O82" s="100">
        <f t="shared" si="23"/>
        <v>0</v>
      </c>
      <c r="P82" s="100">
        <f t="shared" si="23"/>
        <v>0</v>
      </c>
      <c r="Q82" s="100">
        <f t="shared" si="23"/>
        <v>0</v>
      </c>
      <c r="R82" s="100">
        <f t="shared" si="23"/>
        <v>0</v>
      </c>
      <c r="S82" s="100">
        <f t="shared" si="23"/>
        <v>0</v>
      </c>
      <c r="T82" s="100">
        <f t="shared" si="23"/>
        <v>0</v>
      </c>
      <c r="U82" s="100">
        <f t="shared" si="23"/>
        <v>0</v>
      </c>
      <c r="V82" s="100">
        <f t="shared" si="23"/>
        <v>0</v>
      </c>
      <c r="W82" s="100">
        <f t="shared" si="23"/>
        <v>0</v>
      </c>
      <c r="X82" s="100">
        <f t="shared" si="23"/>
        <v>0</v>
      </c>
      <c r="Y82" s="100">
        <f t="shared" si="23"/>
        <v>0</v>
      </c>
      <c r="Z82" s="100">
        <f t="shared" si="23"/>
        <v>125</v>
      </c>
      <c r="AA82" s="100">
        <f t="shared" si="23"/>
        <v>25</v>
      </c>
      <c r="AB82" s="100">
        <f t="shared" si="23"/>
        <v>5</v>
      </c>
      <c r="AC82" s="100">
        <f t="shared" si="23"/>
        <v>1</v>
      </c>
      <c r="AD82" s="100">
        <f t="shared" si="23"/>
        <v>0</v>
      </c>
      <c r="AE82" s="100">
        <f t="shared" si="23"/>
        <v>0</v>
      </c>
      <c r="AF82" s="100">
        <f t="shared" si="23"/>
        <v>0</v>
      </c>
      <c r="AG82" s="100">
        <f t="shared" si="23"/>
        <v>0</v>
      </c>
      <c r="AH82" s="100">
        <f t="shared" si="23"/>
        <v>0</v>
      </c>
      <c r="AI82" s="100">
        <f t="shared" si="23"/>
        <v>0</v>
      </c>
      <c r="AJ82" s="100">
        <f t="shared" si="23"/>
        <v>0</v>
      </c>
      <c r="AK82" s="100">
        <f t="shared" si="23"/>
        <v>0</v>
      </c>
    </row>
    <row r="83" spans="6:37" s="74" customFormat="1" x14ac:dyDescent="0.2">
      <c r="F83" s="100">
        <f t="shared" si="23"/>
        <v>0</v>
      </c>
      <c r="G83" s="100">
        <f t="shared" si="23"/>
        <v>0</v>
      </c>
      <c r="H83" s="100">
        <f t="shared" si="23"/>
        <v>0</v>
      </c>
      <c r="I83" s="100">
        <f t="shared" si="23"/>
        <v>0</v>
      </c>
      <c r="J83" s="100">
        <f t="shared" si="23"/>
        <v>0</v>
      </c>
      <c r="K83" s="100">
        <f t="shared" si="23"/>
        <v>0</v>
      </c>
      <c r="L83" s="100">
        <f t="shared" si="23"/>
        <v>0</v>
      </c>
      <c r="M83" s="100">
        <f t="shared" si="23"/>
        <v>0</v>
      </c>
      <c r="N83" s="100">
        <f t="shared" si="23"/>
        <v>0</v>
      </c>
      <c r="O83" s="100">
        <f t="shared" si="23"/>
        <v>0</v>
      </c>
      <c r="P83" s="100">
        <f t="shared" si="23"/>
        <v>0</v>
      </c>
      <c r="Q83" s="100">
        <f t="shared" si="23"/>
        <v>0</v>
      </c>
      <c r="R83" s="100">
        <f t="shared" si="23"/>
        <v>0</v>
      </c>
      <c r="S83" s="100">
        <f t="shared" si="23"/>
        <v>0</v>
      </c>
      <c r="T83" s="100">
        <f t="shared" si="23"/>
        <v>0</v>
      </c>
      <c r="U83" s="100">
        <f t="shared" si="23"/>
        <v>0</v>
      </c>
      <c r="V83" s="100">
        <f t="shared" si="23"/>
        <v>75</v>
      </c>
      <c r="W83" s="100">
        <f t="shared" si="23"/>
        <v>10</v>
      </c>
      <c r="X83" s="100">
        <f t="shared" si="23"/>
        <v>1</v>
      </c>
      <c r="Y83" s="100">
        <f t="shared" si="23"/>
        <v>0</v>
      </c>
      <c r="Z83" s="100">
        <f t="shared" si="23"/>
        <v>-75</v>
      </c>
      <c r="AA83" s="100">
        <f t="shared" si="23"/>
        <v>-10</v>
      </c>
      <c r="AB83" s="100">
        <f t="shared" si="23"/>
        <v>-1</v>
      </c>
      <c r="AC83" s="100">
        <f t="shared" si="23"/>
        <v>0</v>
      </c>
      <c r="AD83" s="100">
        <f t="shared" si="23"/>
        <v>0</v>
      </c>
      <c r="AE83" s="100">
        <f t="shared" si="23"/>
        <v>0</v>
      </c>
      <c r="AF83" s="100">
        <f t="shared" si="23"/>
        <v>0</v>
      </c>
      <c r="AG83" s="100">
        <f t="shared" si="23"/>
        <v>0</v>
      </c>
      <c r="AH83" s="100">
        <f t="shared" si="23"/>
        <v>0</v>
      </c>
      <c r="AI83" s="100">
        <f t="shared" si="23"/>
        <v>0</v>
      </c>
      <c r="AJ83" s="100">
        <f t="shared" si="23"/>
        <v>0</v>
      </c>
      <c r="AK83" s="100">
        <f t="shared" si="23"/>
        <v>0</v>
      </c>
    </row>
    <row r="84" spans="6:37" s="74" customFormat="1" x14ac:dyDescent="0.2">
      <c r="F84" s="100">
        <f t="shared" si="23"/>
        <v>0</v>
      </c>
      <c r="G84" s="100">
        <f t="shared" si="23"/>
        <v>0</v>
      </c>
      <c r="H84" s="100">
        <f t="shared" si="23"/>
        <v>0</v>
      </c>
      <c r="I84" s="100">
        <f t="shared" si="23"/>
        <v>0</v>
      </c>
      <c r="J84" s="100">
        <f t="shared" si="23"/>
        <v>0</v>
      </c>
      <c r="K84" s="100">
        <f t="shared" si="23"/>
        <v>0</v>
      </c>
      <c r="L84" s="100">
        <f t="shared" si="23"/>
        <v>0</v>
      </c>
      <c r="M84" s="100">
        <f t="shared" si="23"/>
        <v>0</v>
      </c>
      <c r="N84" s="100">
        <f t="shared" si="23"/>
        <v>0</v>
      </c>
      <c r="O84" s="100">
        <f t="shared" si="23"/>
        <v>0</v>
      </c>
      <c r="P84" s="100">
        <f t="shared" si="23"/>
        <v>0</v>
      </c>
      <c r="Q84" s="100">
        <f t="shared" si="23"/>
        <v>0</v>
      </c>
      <c r="R84" s="100">
        <f t="shared" si="23"/>
        <v>0</v>
      </c>
      <c r="S84" s="100">
        <f t="shared" si="23"/>
        <v>0</v>
      </c>
      <c r="T84" s="100">
        <f t="shared" si="23"/>
        <v>0</v>
      </c>
      <c r="U84" s="100">
        <f t="shared" si="23"/>
        <v>0</v>
      </c>
      <c r="V84" s="100">
        <f t="shared" si="23"/>
        <v>30</v>
      </c>
      <c r="W84" s="100">
        <f t="shared" si="23"/>
        <v>2</v>
      </c>
      <c r="X84" s="100">
        <f t="shared" si="23"/>
        <v>0</v>
      </c>
      <c r="Y84" s="100">
        <f t="shared" si="23"/>
        <v>0</v>
      </c>
      <c r="Z84" s="100">
        <f t="shared" si="23"/>
        <v>-30</v>
      </c>
      <c r="AA84" s="100">
        <f t="shared" si="23"/>
        <v>-2</v>
      </c>
      <c r="AB84" s="100">
        <f t="shared" si="23"/>
        <v>0</v>
      </c>
      <c r="AC84" s="100">
        <f t="shared" si="23"/>
        <v>0</v>
      </c>
      <c r="AD84" s="100">
        <f t="shared" si="23"/>
        <v>0</v>
      </c>
      <c r="AE84" s="100">
        <f t="shared" si="23"/>
        <v>0</v>
      </c>
      <c r="AF84" s="100">
        <f t="shared" si="23"/>
        <v>0</v>
      </c>
      <c r="AG84" s="100">
        <f t="shared" si="23"/>
        <v>0</v>
      </c>
      <c r="AH84" s="100">
        <f t="shared" si="23"/>
        <v>0</v>
      </c>
      <c r="AI84" s="100">
        <f t="shared" si="23"/>
        <v>0</v>
      </c>
      <c r="AJ84" s="100">
        <f t="shared" si="23"/>
        <v>0</v>
      </c>
      <c r="AK84" s="100">
        <f t="shared" si="23"/>
        <v>0</v>
      </c>
    </row>
    <row r="85" spans="6:37" s="74" customFormat="1" x14ac:dyDescent="0.2">
      <c r="F85" s="100">
        <f t="shared" si="23"/>
        <v>0</v>
      </c>
      <c r="G85" s="100">
        <f t="shared" si="23"/>
        <v>0</v>
      </c>
      <c r="H85" s="100">
        <f t="shared" si="23"/>
        <v>0</v>
      </c>
      <c r="I85" s="100">
        <f t="shared" si="23"/>
        <v>0</v>
      </c>
      <c r="J85" s="100">
        <f t="shared" si="23"/>
        <v>0</v>
      </c>
      <c r="K85" s="100">
        <f t="shared" si="23"/>
        <v>0</v>
      </c>
      <c r="L85" s="100">
        <f t="shared" si="23"/>
        <v>0</v>
      </c>
      <c r="M85" s="100">
        <f t="shared" si="23"/>
        <v>0</v>
      </c>
      <c r="N85" s="100">
        <f t="shared" si="23"/>
        <v>0</v>
      </c>
      <c r="O85" s="100">
        <f t="shared" si="23"/>
        <v>0</v>
      </c>
      <c r="P85" s="100">
        <f t="shared" si="23"/>
        <v>0</v>
      </c>
      <c r="Q85" s="100">
        <f t="shared" si="23"/>
        <v>0</v>
      </c>
      <c r="R85" s="100">
        <f t="shared" si="23"/>
        <v>0</v>
      </c>
      <c r="S85" s="100">
        <f t="shared" si="23"/>
        <v>0</v>
      </c>
      <c r="T85" s="100">
        <f t="shared" si="23"/>
        <v>0</v>
      </c>
      <c r="U85" s="100">
        <f t="shared" si="23"/>
        <v>0</v>
      </c>
      <c r="V85" s="100">
        <f t="shared" si="23"/>
        <v>0</v>
      </c>
      <c r="W85" s="100">
        <f t="shared" si="23"/>
        <v>0</v>
      </c>
      <c r="X85" s="100">
        <f t="shared" si="23"/>
        <v>0</v>
      </c>
      <c r="Y85" s="100">
        <f t="shared" si="23"/>
        <v>0</v>
      </c>
      <c r="Z85" s="100">
        <f t="shared" si="23"/>
        <v>343</v>
      </c>
      <c r="AA85" s="100">
        <f t="shared" si="23"/>
        <v>49</v>
      </c>
      <c r="AB85" s="100">
        <f t="shared" si="23"/>
        <v>7</v>
      </c>
      <c r="AC85" s="100">
        <f t="shared" si="23"/>
        <v>1</v>
      </c>
      <c r="AD85" s="100">
        <f t="shared" si="23"/>
        <v>0</v>
      </c>
      <c r="AE85" s="100">
        <f t="shared" si="23"/>
        <v>0</v>
      </c>
      <c r="AF85" s="100">
        <f t="shared" si="23"/>
        <v>0</v>
      </c>
      <c r="AG85" s="100">
        <f t="shared" si="23"/>
        <v>0</v>
      </c>
      <c r="AH85" s="100">
        <f t="shared" si="23"/>
        <v>0</v>
      </c>
      <c r="AI85" s="100">
        <f t="shared" si="23"/>
        <v>0</v>
      </c>
      <c r="AJ85" s="100">
        <f t="shared" si="23"/>
        <v>0</v>
      </c>
      <c r="AK85" s="100">
        <f t="shared" si="23"/>
        <v>0</v>
      </c>
    </row>
    <row r="86" spans="6:37" s="74" customFormat="1" x14ac:dyDescent="0.2">
      <c r="F86" s="100">
        <f t="shared" si="23"/>
        <v>0</v>
      </c>
      <c r="G86" s="100">
        <f t="shared" si="23"/>
        <v>0</v>
      </c>
      <c r="H86" s="100">
        <f t="shared" si="23"/>
        <v>0</v>
      </c>
      <c r="I86" s="100">
        <f t="shared" si="23"/>
        <v>0</v>
      </c>
      <c r="J86" s="100">
        <f t="shared" si="23"/>
        <v>0</v>
      </c>
      <c r="K86" s="100">
        <f t="shared" si="23"/>
        <v>0</v>
      </c>
      <c r="L86" s="100">
        <f t="shared" si="23"/>
        <v>0</v>
      </c>
      <c r="M86" s="100">
        <f t="shared" si="23"/>
        <v>0</v>
      </c>
      <c r="N86" s="100">
        <f t="shared" si="23"/>
        <v>0</v>
      </c>
      <c r="O86" s="100">
        <f t="shared" si="23"/>
        <v>0</v>
      </c>
      <c r="P86" s="100">
        <f t="shared" si="23"/>
        <v>0</v>
      </c>
      <c r="Q86" s="100">
        <f t="shared" si="23"/>
        <v>0</v>
      </c>
      <c r="R86" s="100">
        <f t="shared" si="23"/>
        <v>0</v>
      </c>
      <c r="S86" s="100">
        <f t="shared" si="23"/>
        <v>0</v>
      </c>
      <c r="T86" s="100">
        <f t="shared" si="23"/>
        <v>0</v>
      </c>
      <c r="U86" s="100">
        <f t="shared" si="23"/>
        <v>0</v>
      </c>
      <c r="V86" s="100">
        <f t="shared" si="23"/>
        <v>0</v>
      </c>
      <c r="W86" s="100">
        <f t="shared" si="23"/>
        <v>0</v>
      </c>
      <c r="X86" s="100">
        <f t="shared" si="23"/>
        <v>0</v>
      </c>
      <c r="Y86" s="100">
        <f t="shared" si="23"/>
        <v>0</v>
      </c>
      <c r="Z86" s="100">
        <f t="shared" si="23"/>
        <v>0</v>
      </c>
      <c r="AA86" s="100">
        <f t="shared" si="23"/>
        <v>0</v>
      </c>
      <c r="AB86" s="100">
        <f t="shared" si="23"/>
        <v>0</v>
      </c>
      <c r="AC86" s="100">
        <f t="shared" si="23"/>
        <v>0</v>
      </c>
      <c r="AD86" s="100">
        <f t="shared" si="23"/>
        <v>343</v>
      </c>
      <c r="AE86" s="100">
        <f t="shared" si="23"/>
        <v>49</v>
      </c>
      <c r="AF86" s="100">
        <f t="shared" si="23"/>
        <v>7</v>
      </c>
      <c r="AG86" s="100">
        <f t="shared" si="23"/>
        <v>1</v>
      </c>
      <c r="AH86" s="100">
        <f t="shared" si="23"/>
        <v>0</v>
      </c>
      <c r="AI86" s="100">
        <f t="shared" si="23"/>
        <v>0</v>
      </c>
      <c r="AJ86" s="100">
        <f t="shared" si="23"/>
        <v>0</v>
      </c>
      <c r="AK86" s="100">
        <f t="shared" si="23"/>
        <v>0</v>
      </c>
    </row>
    <row r="87" spans="6:37" s="74" customFormat="1" x14ac:dyDescent="0.2">
      <c r="F87" s="100">
        <f t="shared" si="23"/>
        <v>0</v>
      </c>
      <c r="G87" s="100">
        <f t="shared" si="23"/>
        <v>0</v>
      </c>
      <c r="H87" s="100">
        <f t="shared" si="23"/>
        <v>0</v>
      </c>
      <c r="I87" s="100">
        <f t="shared" si="23"/>
        <v>0</v>
      </c>
      <c r="J87" s="100">
        <f t="shared" si="23"/>
        <v>0</v>
      </c>
      <c r="K87" s="100">
        <f t="shared" si="23"/>
        <v>0</v>
      </c>
      <c r="L87" s="100">
        <f t="shared" si="23"/>
        <v>0</v>
      </c>
      <c r="M87" s="100">
        <f t="shared" si="23"/>
        <v>0</v>
      </c>
      <c r="N87" s="100">
        <f t="shared" si="23"/>
        <v>0</v>
      </c>
      <c r="O87" s="100">
        <f t="shared" si="23"/>
        <v>0</v>
      </c>
      <c r="P87" s="100">
        <f t="shared" si="23"/>
        <v>0</v>
      </c>
      <c r="Q87" s="100">
        <f t="shared" si="23"/>
        <v>0</v>
      </c>
      <c r="R87" s="100">
        <f t="shared" si="23"/>
        <v>0</v>
      </c>
      <c r="S87" s="100">
        <f t="shared" si="23"/>
        <v>0</v>
      </c>
      <c r="T87" s="100">
        <f t="shared" si="23"/>
        <v>0</v>
      </c>
      <c r="U87" s="100">
        <f t="shared" si="23"/>
        <v>0</v>
      </c>
      <c r="V87" s="100">
        <f t="shared" si="23"/>
        <v>0</v>
      </c>
      <c r="W87" s="100">
        <f t="shared" si="23"/>
        <v>0</v>
      </c>
      <c r="X87" s="100">
        <f t="shared" si="23"/>
        <v>0</v>
      </c>
      <c r="Y87" s="100">
        <f t="shared" si="23"/>
        <v>0</v>
      </c>
      <c r="Z87" s="100">
        <f t="shared" si="23"/>
        <v>147</v>
      </c>
      <c r="AA87" s="100">
        <f t="shared" si="23"/>
        <v>14</v>
      </c>
      <c r="AB87" s="100">
        <f t="shared" si="23"/>
        <v>1</v>
      </c>
      <c r="AC87" s="100">
        <f t="shared" si="23"/>
        <v>0</v>
      </c>
      <c r="AD87" s="100">
        <f t="shared" si="23"/>
        <v>-147</v>
      </c>
      <c r="AE87" s="100">
        <f t="shared" si="23"/>
        <v>-14</v>
      </c>
      <c r="AF87" s="100">
        <f t="shared" si="23"/>
        <v>-1</v>
      </c>
      <c r="AG87" s="100">
        <f t="shared" si="23"/>
        <v>0</v>
      </c>
      <c r="AH87" s="100">
        <f t="shared" si="23"/>
        <v>0</v>
      </c>
      <c r="AI87" s="100">
        <f t="shared" si="23"/>
        <v>0</v>
      </c>
      <c r="AJ87" s="100">
        <f t="shared" si="23"/>
        <v>0</v>
      </c>
      <c r="AK87" s="100">
        <f t="shared" si="23"/>
        <v>0</v>
      </c>
    </row>
    <row r="88" spans="6:37" s="74" customFormat="1" x14ac:dyDescent="0.2">
      <c r="F88" s="100">
        <f t="shared" si="23"/>
        <v>0</v>
      </c>
      <c r="G88" s="100">
        <f t="shared" si="23"/>
        <v>0</v>
      </c>
      <c r="H88" s="100">
        <f t="shared" si="23"/>
        <v>0</v>
      </c>
      <c r="I88" s="100">
        <f t="shared" si="23"/>
        <v>0</v>
      </c>
      <c r="J88" s="100">
        <f t="shared" si="23"/>
        <v>0</v>
      </c>
      <c r="K88" s="100">
        <f t="shared" si="23"/>
        <v>0</v>
      </c>
      <c r="L88" s="100">
        <f t="shared" si="23"/>
        <v>0</v>
      </c>
      <c r="M88" s="100">
        <f t="shared" si="23"/>
        <v>0</v>
      </c>
      <c r="N88" s="100">
        <f t="shared" si="23"/>
        <v>0</v>
      </c>
      <c r="O88" s="100">
        <f t="shared" si="23"/>
        <v>0</v>
      </c>
      <c r="P88" s="100">
        <f t="shared" si="23"/>
        <v>0</v>
      </c>
      <c r="Q88" s="100">
        <f t="shared" si="23"/>
        <v>0</v>
      </c>
      <c r="R88" s="100">
        <f t="shared" si="23"/>
        <v>0</v>
      </c>
      <c r="S88" s="100">
        <f t="shared" si="23"/>
        <v>0</v>
      </c>
      <c r="T88" s="100">
        <f t="shared" si="23"/>
        <v>0</v>
      </c>
      <c r="U88" s="100">
        <f t="shared" si="23"/>
        <v>0</v>
      </c>
      <c r="V88" s="100">
        <f t="shared" si="23"/>
        <v>0</v>
      </c>
      <c r="W88" s="100">
        <f t="shared" si="23"/>
        <v>0</v>
      </c>
      <c r="X88" s="100">
        <f t="shared" si="23"/>
        <v>0</v>
      </c>
      <c r="Y88" s="100">
        <f t="shared" si="23"/>
        <v>0</v>
      </c>
      <c r="Z88" s="100">
        <f t="shared" si="23"/>
        <v>42</v>
      </c>
      <c r="AA88" s="100">
        <f t="shared" si="23"/>
        <v>2</v>
      </c>
      <c r="AB88" s="100">
        <f t="shared" si="23"/>
        <v>0</v>
      </c>
      <c r="AC88" s="100">
        <f t="shared" si="23"/>
        <v>0</v>
      </c>
      <c r="AD88" s="100">
        <f t="shared" si="23"/>
        <v>-42</v>
      </c>
      <c r="AE88" s="100">
        <f t="shared" si="23"/>
        <v>-2</v>
      </c>
      <c r="AF88" s="100">
        <f t="shared" si="23"/>
        <v>0</v>
      </c>
      <c r="AG88" s="100">
        <f t="shared" si="23"/>
        <v>0</v>
      </c>
      <c r="AH88" s="100">
        <f t="shared" si="23"/>
        <v>0</v>
      </c>
      <c r="AI88" s="100">
        <f t="shared" si="23"/>
        <v>0</v>
      </c>
      <c r="AJ88" s="100">
        <f t="shared" si="23"/>
        <v>0</v>
      </c>
      <c r="AK88" s="100">
        <f t="shared" si="23"/>
        <v>0</v>
      </c>
    </row>
    <row r="89" spans="6:37" s="74" customFormat="1" x14ac:dyDescent="0.2">
      <c r="F89" s="100">
        <f t="shared" si="23"/>
        <v>0</v>
      </c>
      <c r="G89" s="100">
        <f t="shared" si="23"/>
        <v>0</v>
      </c>
      <c r="H89" s="100">
        <f t="shared" si="23"/>
        <v>0</v>
      </c>
      <c r="I89" s="100">
        <f t="shared" si="23"/>
        <v>0</v>
      </c>
      <c r="J89" s="100">
        <f t="shared" si="23"/>
        <v>0</v>
      </c>
      <c r="K89" s="100">
        <f t="shared" si="23"/>
        <v>0</v>
      </c>
      <c r="L89" s="100">
        <f t="shared" si="23"/>
        <v>0</v>
      </c>
      <c r="M89" s="100">
        <f t="shared" si="23"/>
        <v>0</v>
      </c>
      <c r="N89" s="100">
        <f t="shared" si="23"/>
        <v>0</v>
      </c>
      <c r="O89" s="100">
        <f t="shared" si="23"/>
        <v>0</v>
      </c>
      <c r="P89" s="100">
        <f t="shared" si="23"/>
        <v>0</v>
      </c>
      <c r="Q89" s="100">
        <f t="shared" si="23"/>
        <v>0</v>
      </c>
      <c r="R89" s="100">
        <f t="shared" si="23"/>
        <v>0</v>
      </c>
      <c r="S89" s="100">
        <f t="shared" si="23"/>
        <v>0</v>
      </c>
      <c r="T89" s="100">
        <f t="shared" si="23"/>
        <v>0</v>
      </c>
      <c r="U89" s="100">
        <f t="shared" si="23"/>
        <v>0</v>
      </c>
      <c r="V89" s="100">
        <f t="shared" si="23"/>
        <v>0</v>
      </c>
      <c r="W89" s="100">
        <f t="shared" si="23"/>
        <v>0</v>
      </c>
      <c r="X89" s="100">
        <f t="shared" si="23"/>
        <v>0</v>
      </c>
      <c r="Y89" s="100">
        <f t="shared" si="23"/>
        <v>0</v>
      </c>
      <c r="Z89" s="100">
        <f t="shared" si="23"/>
        <v>0</v>
      </c>
      <c r="AA89" s="100">
        <f t="shared" si="23"/>
        <v>0</v>
      </c>
      <c r="AB89" s="100">
        <f t="shared" si="23"/>
        <v>0</v>
      </c>
      <c r="AC89" s="100">
        <f t="shared" si="23"/>
        <v>0</v>
      </c>
      <c r="AD89" s="100">
        <f t="shared" si="23"/>
        <v>1000</v>
      </c>
      <c r="AE89" s="100">
        <f t="shared" si="23"/>
        <v>100</v>
      </c>
      <c r="AF89" s="100">
        <f t="shared" si="23"/>
        <v>10</v>
      </c>
      <c r="AG89" s="100">
        <f t="shared" si="23"/>
        <v>1</v>
      </c>
      <c r="AH89" s="100">
        <f t="shared" si="23"/>
        <v>0</v>
      </c>
      <c r="AI89" s="100">
        <f t="shared" si="23"/>
        <v>0</v>
      </c>
      <c r="AJ89" s="100">
        <f t="shared" si="23"/>
        <v>0</v>
      </c>
      <c r="AK89" s="100">
        <f t="shared" ref="AK89" si="24">IF(ISBLANK(AK52),0,AK52)</f>
        <v>0</v>
      </c>
    </row>
    <row r="90" spans="6:37" s="74" customFormat="1" x14ac:dyDescent="0.2">
      <c r="F90" s="100">
        <f t="shared" ref="F90:AK96" si="25">IF(ISBLANK(F53),0,F53)</f>
        <v>0</v>
      </c>
      <c r="G90" s="100">
        <f t="shared" si="25"/>
        <v>0</v>
      </c>
      <c r="H90" s="100">
        <f t="shared" si="25"/>
        <v>0</v>
      </c>
      <c r="I90" s="100">
        <f t="shared" si="25"/>
        <v>0</v>
      </c>
      <c r="J90" s="100">
        <f t="shared" si="25"/>
        <v>0</v>
      </c>
      <c r="K90" s="100">
        <f t="shared" si="25"/>
        <v>0</v>
      </c>
      <c r="L90" s="100">
        <f t="shared" si="25"/>
        <v>0</v>
      </c>
      <c r="M90" s="100">
        <f t="shared" si="25"/>
        <v>0</v>
      </c>
      <c r="N90" s="100">
        <f t="shared" si="25"/>
        <v>0</v>
      </c>
      <c r="O90" s="100">
        <f t="shared" si="25"/>
        <v>0</v>
      </c>
      <c r="P90" s="100">
        <f t="shared" si="25"/>
        <v>0</v>
      </c>
      <c r="Q90" s="100">
        <f t="shared" si="25"/>
        <v>0</v>
      </c>
      <c r="R90" s="100">
        <f t="shared" si="25"/>
        <v>0</v>
      </c>
      <c r="S90" s="100">
        <f t="shared" si="25"/>
        <v>0</v>
      </c>
      <c r="T90" s="100">
        <f t="shared" si="25"/>
        <v>0</v>
      </c>
      <c r="U90" s="100">
        <f t="shared" si="25"/>
        <v>0</v>
      </c>
      <c r="V90" s="100">
        <f t="shared" si="25"/>
        <v>0</v>
      </c>
      <c r="W90" s="100">
        <f t="shared" si="25"/>
        <v>0</v>
      </c>
      <c r="X90" s="100">
        <f t="shared" si="25"/>
        <v>0</v>
      </c>
      <c r="Y90" s="100">
        <f t="shared" si="25"/>
        <v>0</v>
      </c>
      <c r="Z90" s="100">
        <f t="shared" si="25"/>
        <v>0</v>
      </c>
      <c r="AA90" s="100">
        <f t="shared" si="25"/>
        <v>0</v>
      </c>
      <c r="AB90" s="100">
        <f t="shared" si="25"/>
        <v>0</v>
      </c>
      <c r="AC90" s="100">
        <f t="shared" si="25"/>
        <v>0</v>
      </c>
      <c r="AD90" s="100">
        <f t="shared" si="25"/>
        <v>0</v>
      </c>
      <c r="AE90" s="100">
        <f t="shared" si="25"/>
        <v>0</v>
      </c>
      <c r="AF90" s="100">
        <f t="shared" si="25"/>
        <v>0</v>
      </c>
      <c r="AG90" s="100">
        <f t="shared" si="25"/>
        <v>0</v>
      </c>
      <c r="AH90" s="100">
        <f t="shared" si="25"/>
        <v>1000</v>
      </c>
      <c r="AI90" s="100">
        <f t="shared" si="25"/>
        <v>100</v>
      </c>
      <c r="AJ90" s="100">
        <f t="shared" si="25"/>
        <v>10</v>
      </c>
      <c r="AK90" s="100">
        <f t="shared" si="25"/>
        <v>1</v>
      </c>
    </row>
    <row r="91" spans="6:37" s="74" customFormat="1" x14ac:dyDescent="0.2">
      <c r="F91" s="100">
        <f t="shared" si="25"/>
        <v>0</v>
      </c>
      <c r="G91" s="100">
        <f t="shared" si="25"/>
        <v>0</v>
      </c>
      <c r="H91" s="100">
        <f t="shared" si="25"/>
        <v>0</v>
      </c>
      <c r="I91" s="100">
        <f t="shared" si="25"/>
        <v>0</v>
      </c>
      <c r="J91" s="100">
        <f t="shared" si="25"/>
        <v>0</v>
      </c>
      <c r="K91" s="100">
        <f t="shared" si="25"/>
        <v>0</v>
      </c>
      <c r="L91" s="100">
        <f t="shared" si="25"/>
        <v>0</v>
      </c>
      <c r="M91" s="100">
        <f t="shared" si="25"/>
        <v>0</v>
      </c>
      <c r="N91" s="100">
        <f t="shared" si="25"/>
        <v>0</v>
      </c>
      <c r="O91" s="100">
        <f t="shared" si="25"/>
        <v>0</v>
      </c>
      <c r="P91" s="100">
        <f t="shared" si="25"/>
        <v>0</v>
      </c>
      <c r="Q91" s="100">
        <f t="shared" si="25"/>
        <v>0</v>
      </c>
      <c r="R91" s="100">
        <f t="shared" si="25"/>
        <v>0</v>
      </c>
      <c r="S91" s="100">
        <f t="shared" si="25"/>
        <v>0</v>
      </c>
      <c r="T91" s="100">
        <f t="shared" si="25"/>
        <v>0</v>
      </c>
      <c r="U91" s="100">
        <f t="shared" si="25"/>
        <v>0</v>
      </c>
      <c r="V91" s="100">
        <f t="shared" si="25"/>
        <v>0</v>
      </c>
      <c r="W91" s="100">
        <f t="shared" si="25"/>
        <v>0</v>
      </c>
      <c r="X91" s="100">
        <f t="shared" si="25"/>
        <v>0</v>
      </c>
      <c r="Y91" s="100">
        <f t="shared" si="25"/>
        <v>0</v>
      </c>
      <c r="Z91" s="100">
        <f t="shared" si="25"/>
        <v>0</v>
      </c>
      <c r="AA91" s="100">
        <f t="shared" si="25"/>
        <v>0</v>
      </c>
      <c r="AB91" s="100">
        <f t="shared" si="25"/>
        <v>0</v>
      </c>
      <c r="AC91" s="100">
        <f t="shared" si="25"/>
        <v>0</v>
      </c>
      <c r="AD91" s="100">
        <f t="shared" si="25"/>
        <v>300</v>
      </c>
      <c r="AE91" s="100">
        <f t="shared" si="25"/>
        <v>20</v>
      </c>
      <c r="AF91" s="100">
        <f t="shared" si="25"/>
        <v>1</v>
      </c>
      <c r="AG91" s="100">
        <f t="shared" si="25"/>
        <v>0</v>
      </c>
      <c r="AH91" s="100">
        <f t="shared" si="25"/>
        <v>-300</v>
      </c>
      <c r="AI91" s="100">
        <f t="shared" si="25"/>
        <v>-20</v>
      </c>
      <c r="AJ91" s="100">
        <f t="shared" si="25"/>
        <v>-1</v>
      </c>
      <c r="AK91" s="100">
        <f t="shared" si="25"/>
        <v>0</v>
      </c>
    </row>
    <row r="92" spans="6:37" s="74" customFormat="1" x14ac:dyDescent="0.2">
      <c r="F92" s="100">
        <f t="shared" si="25"/>
        <v>0</v>
      </c>
      <c r="G92" s="100">
        <f t="shared" si="25"/>
        <v>0</v>
      </c>
      <c r="H92" s="100">
        <f t="shared" si="25"/>
        <v>0</v>
      </c>
      <c r="I92" s="100">
        <f t="shared" si="25"/>
        <v>0</v>
      </c>
      <c r="J92" s="100">
        <f t="shared" si="25"/>
        <v>0</v>
      </c>
      <c r="K92" s="100">
        <f t="shared" si="25"/>
        <v>0</v>
      </c>
      <c r="L92" s="100">
        <f t="shared" si="25"/>
        <v>0</v>
      </c>
      <c r="M92" s="100">
        <f t="shared" si="25"/>
        <v>0</v>
      </c>
      <c r="N92" s="100">
        <f t="shared" si="25"/>
        <v>0</v>
      </c>
      <c r="O92" s="100">
        <f t="shared" si="25"/>
        <v>0</v>
      </c>
      <c r="P92" s="100">
        <f t="shared" si="25"/>
        <v>0</v>
      </c>
      <c r="Q92" s="100">
        <f t="shared" si="25"/>
        <v>0</v>
      </c>
      <c r="R92" s="100">
        <f t="shared" si="25"/>
        <v>0</v>
      </c>
      <c r="S92" s="100">
        <f t="shared" si="25"/>
        <v>0</v>
      </c>
      <c r="T92" s="100">
        <f t="shared" si="25"/>
        <v>0</v>
      </c>
      <c r="U92" s="100">
        <f t="shared" si="25"/>
        <v>0</v>
      </c>
      <c r="V92" s="100">
        <f t="shared" si="25"/>
        <v>0</v>
      </c>
      <c r="W92" s="100">
        <f t="shared" si="25"/>
        <v>0</v>
      </c>
      <c r="X92" s="100">
        <f t="shared" si="25"/>
        <v>0</v>
      </c>
      <c r="Y92" s="100">
        <f t="shared" si="25"/>
        <v>0</v>
      </c>
      <c r="Z92" s="100">
        <f t="shared" si="25"/>
        <v>0</v>
      </c>
      <c r="AA92" s="100">
        <f t="shared" si="25"/>
        <v>0</v>
      </c>
      <c r="AB92" s="100">
        <f t="shared" si="25"/>
        <v>0</v>
      </c>
      <c r="AC92" s="100">
        <f t="shared" si="25"/>
        <v>0</v>
      </c>
      <c r="AD92" s="100">
        <f t="shared" si="25"/>
        <v>60</v>
      </c>
      <c r="AE92" s="100">
        <f t="shared" si="25"/>
        <v>2</v>
      </c>
      <c r="AF92" s="100">
        <f t="shared" si="25"/>
        <v>0</v>
      </c>
      <c r="AG92" s="100">
        <f t="shared" si="25"/>
        <v>0</v>
      </c>
      <c r="AH92" s="100">
        <f t="shared" si="25"/>
        <v>-60</v>
      </c>
      <c r="AI92" s="100">
        <f t="shared" si="25"/>
        <v>-2</v>
      </c>
      <c r="AJ92" s="100">
        <f t="shared" si="25"/>
        <v>0</v>
      </c>
      <c r="AK92" s="100">
        <f t="shared" si="25"/>
        <v>0</v>
      </c>
    </row>
    <row r="93" spans="6:37" s="74" customFormat="1" x14ac:dyDescent="0.2">
      <c r="F93" s="100">
        <f t="shared" si="25"/>
        <v>0</v>
      </c>
      <c r="G93" s="100">
        <f t="shared" si="25"/>
        <v>0</v>
      </c>
      <c r="H93" s="100">
        <f t="shared" si="25"/>
        <v>0</v>
      </c>
      <c r="I93" s="100">
        <f t="shared" si="25"/>
        <v>1</v>
      </c>
      <c r="J93" s="100">
        <f t="shared" si="25"/>
        <v>0</v>
      </c>
      <c r="K93" s="100">
        <f t="shared" si="25"/>
        <v>0</v>
      </c>
      <c r="L93" s="100">
        <f t="shared" si="25"/>
        <v>0</v>
      </c>
      <c r="M93" s="100">
        <f t="shared" si="25"/>
        <v>0</v>
      </c>
      <c r="N93" s="100">
        <f t="shared" si="25"/>
        <v>0</v>
      </c>
      <c r="O93" s="100">
        <f t="shared" si="25"/>
        <v>0</v>
      </c>
      <c r="P93" s="100">
        <f t="shared" si="25"/>
        <v>0</v>
      </c>
      <c r="Q93" s="100">
        <f t="shared" si="25"/>
        <v>0</v>
      </c>
      <c r="R93" s="100">
        <f t="shared" si="25"/>
        <v>0</v>
      </c>
      <c r="S93" s="100">
        <f t="shared" si="25"/>
        <v>0</v>
      </c>
      <c r="T93" s="100">
        <f t="shared" si="25"/>
        <v>0</v>
      </c>
      <c r="U93" s="100">
        <f t="shared" si="25"/>
        <v>0</v>
      </c>
      <c r="V93" s="100">
        <f t="shared" si="25"/>
        <v>0</v>
      </c>
      <c r="W93" s="100">
        <f t="shared" si="25"/>
        <v>0</v>
      </c>
      <c r="X93" s="100">
        <f t="shared" si="25"/>
        <v>0</v>
      </c>
      <c r="Y93" s="100">
        <f t="shared" si="25"/>
        <v>0</v>
      </c>
      <c r="Z93" s="100">
        <f t="shared" si="25"/>
        <v>0</v>
      </c>
      <c r="AA93" s="100">
        <f t="shared" si="25"/>
        <v>0</v>
      </c>
      <c r="AB93" s="100">
        <f t="shared" si="25"/>
        <v>0</v>
      </c>
      <c r="AC93" s="100">
        <f t="shared" si="25"/>
        <v>0</v>
      </c>
      <c r="AD93" s="100">
        <f t="shared" si="25"/>
        <v>0</v>
      </c>
      <c r="AE93" s="100">
        <f t="shared" si="25"/>
        <v>0</v>
      </c>
      <c r="AF93" s="100">
        <f t="shared" si="25"/>
        <v>0</v>
      </c>
      <c r="AG93" s="100">
        <f t="shared" si="25"/>
        <v>0</v>
      </c>
      <c r="AH93" s="100">
        <f t="shared" si="25"/>
        <v>0</v>
      </c>
      <c r="AI93" s="100">
        <f t="shared" si="25"/>
        <v>0</v>
      </c>
      <c r="AJ93" s="100">
        <f t="shared" si="25"/>
        <v>0</v>
      </c>
      <c r="AK93" s="100">
        <f t="shared" si="25"/>
        <v>0</v>
      </c>
    </row>
    <row r="94" spans="6:37" s="74" customFormat="1" x14ac:dyDescent="0.2">
      <c r="F94" s="100">
        <f t="shared" si="25"/>
        <v>0</v>
      </c>
      <c r="G94" s="100">
        <f t="shared" si="25"/>
        <v>2</v>
      </c>
      <c r="H94" s="100">
        <f t="shared" si="25"/>
        <v>0</v>
      </c>
      <c r="I94" s="100">
        <f t="shared" si="25"/>
        <v>0</v>
      </c>
      <c r="J94" s="100">
        <f t="shared" si="25"/>
        <v>0</v>
      </c>
      <c r="K94" s="100">
        <f t="shared" si="25"/>
        <v>0</v>
      </c>
      <c r="L94" s="100">
        <f t="shared" si="25"/>
        <v>0</v>
      </c>
      <c r="M94" s="100">
        <f t="shared" si="25"/>
        <v>0</v>
      </c>
      <c r="N94" s="100">
        <f t="shared" si="25"/>
        <v>0</v>
      </c>
      <c r="O94" s="100">
        <f t="shared" si="25"/>
        <v>0</v>
      </c>
      <c r="P94" s="100">
        <f t="shared" si="25"/>
        <v>0</v>
      </c>
      <c r="Q94" s="100">
        <f t="shared" si="25"/>
        <v>0</v>
      </c>
      <c r="R94" s="100">
        <f t="shared" si="25"/>
        <v>0</v>
      </c>
      <c r="S94" s="100">
        <f t="shared" si="25"/>
        <v>0</v>
      </c>
      <c r="T94" s="100">
        <f t="shared" si="25"/>
        <v>0</v>
      </c>
      <c r="U94" s="100">
        <f t="shared" si="25"/>
        <v>0</v>
      </c>
      <c r="V94" s="100">
        <f t="shared" si="25"/>
        <v>0</v>
      </c>
      <c r="W94" s="100">
        <f t="shared" si="25"/>
        <v>0</v>
      </c>
      <c r="X94" s="100">
        <f t="shared" si="25"/>
        <v>0</v>
      </c>
      <c r="Y94" s="100">
        <f t="shared" si="25"/>
        <v>0</v>
      </c>
      <c r="Z94" s="100">
        <f t="shared" si="25"/>
        <v>0</v>
      </c>
      <c r="AA94" s="100">
        <f t="shared" si="25"/>
        <v>0</v>
      </c>
      <c r="AB94" s="100">
        <f t="shared" si="25"/>
        <v>0</v>
      </c>
      <c r="AC94" s="100">
        <f t="shared" si="25"/>
        <v>0</v>
      </c>
      <c r="AD94" s="100">
        <f t="shared" si="25"/>
        <v>0</v>
      </c>
      <c r="AE94" s="100">
        <f t="shared" si="25"/>
        <v>0</v>
      </c>
      <c r="AF94" s="100">
        <f t="shared" si="25"/>
        <v>0</v>
      </c>
      <c r="AG94" s="100">
        <f t="shared" si="25"/>
        <v>0</v>
      </c>
      <c r="AH94" s="100">
        <f t="shared" si="25"/>
        <v>0</v>
      </c>
      <c r="AI94" s="100">
        <f t="shared" si="25"/>
        <v>0</v>
      </c>
      <c r="AJ94" s="100">
        <f t="shared" si="25"/>
        <v>0</v>
      </c>
      <c r="AK94" s="100">
        <f t="shared" si="25"/>
        <v>0</v>
      </c>
    </row>
    <row r="95" spans="6:37" s="74" customFormat="1" x14ac:dyDescent="0.2">
      <c r="F95" s="100">
        <f t="shared" si="25"/>
        <v>0</v>
      </c>
      <c r="G95" s="100">
        <f t="shared" si="25"/>
        <v>0</v>
      </c>
      <c r="H95" s="100">
        <f t="shared" si="25"/>
        <v>0</v>
      </c>
      <c r="I95" s="100">
        <f t="shared" si="25"/>
        <v>0</v>
      </c>
      <c r="J95" s="100">
        <f t="shared" si="25"/>
        <v>0</v>
      </c>
      <c r="K95" s="100">
        <f t="shared" si="25"/>
        <v>0</v>
      </c>
      <c r="L95" s="100">
        <f t="shared" si="25"/>
        <v>0</v>
      </c>
      <c r="M95" s="100">
        <f t="shared" si="25"/>
        <v>0</v>
      </c>
      <c r="N95" s="100">
        <f t="shared" si="25"/>
        <v>0</v>
      </c>
      <c r="O95" s="100">
        <f t="shared" si="25"/>
        <v>0</v>
      </c>
      <c r="P95" s="100">
        <f t="shared" si="25"/>
        <v>0</v>
      </c>
      <c r="Q95" s="100">
        <f t="shared" si="25"/>
        <v>0</v>
      </c>
      <c r="R95" s="100">
        <f t="shared" si="25"/>
        <v>0</v>
      </c>
      <c r="S95" s="100">
        <f t="shared" si="25"/>
        <v>0</v>
      </c>
      <c r="T95" s="100">
        <f t="shared" si="25"/>
        <v>0</v>
      </c>
      <c r="U95" s="100">
        <f t="shared" si="25"/>
        <v>0</v>
      </c>
      <c r="V95" s="100">
        <f t="shared" si="25"/>
        <v>0</v>
      </c>
      <c r="W95" s="100">
        <f t="shared" si="25"/>
        <v>0</v>
      </c>
      <c r="X95" s="100">
        <f t="shared" si="25"/>
        <v>0</v>
      </c>
      <c r="Y95" s="100">
        <f t="shared" si="25"/>
        <v>0</v>
      </c>
      <c r="Z95" s="100">
        <f t="shared" si="25"/>
        <v>0</v>
      </c>
      <c r="AA95" s="100">
        <f t="shared" si="25"/>
        <v>0</v>
      </c>
      <c r="AB95" s="100">
        <f t="shared" si="25"/>
        <v>0</v>
      </c>
      <c r="AC95" s="100">
        <f t="shared" si="25"/>
        <v>0</v>
      </c>
      <c r="AD95" s="100">
        <f t="shared" si="25"/>
        <v>0</v>
      </c>
      <c r="AE95" s="100">
        <f t="shared" si="25"/>
        <v>0</v>
      </c>
      <c r="AF95" s="100">
        <f t="shared" si="25"/>
        <v>0</v>
      </c>
      <c r="AG95" s="100">
        <f t="shared" si="25"/>
        <v>0</v>
      </c>
      <c r="AH95" s="100">
        <f t="shared" si="25"/>
        <v>27000</v>
      </c>
      <c r="AI95" s="100">
        <f t="shared" si="25"/>
        <v>900</v>
      </c>
      <c r="AJ95" s="100">
        <f t="shared" si="25"/>
        <v>30</v>
      </c>
      <c r="AK95" s="100">
        <f t="shared" si="25"/>
        <v>1</v>
      </c>
    </row>
    <row r="96" spans="6:37" s="74" customFormat="1" x14ac:dyDescent="0.2">
      <c r="F96" s="100">
        <f t="shared" si="25"/>
        <v>0</v>
      </c>
      <c r="G96" s="100">
        <f t="shared" si="25"/>
        <v>0</v>
      </c>
      <c r="H96" s="100">
        <f t="shared" si="25"/>
        <v>0</v>
      </c>
      <c r="I96" s="100">
        <f t="shared" si="25"/>
        <v>0</v>
      </c>
      <c r="J96" s="100">
        <f t="shared" si="25"/>
        <v>0</v>
      </c>
      <c r="K96" s="100">
        <f t="shared" si="25"/>
        <v>0</v>
      </c>
      <c r="L96" s="100">
        <f t="shared" si="25"/>
        <v>0</v>
      </c>
      <c r="M96" s="100">
        <f t="shared" si="25"/>
        <v>0</v>
      </c>
      <c r="N96" s="100">
        <f t="shared" si="25"/>
        <v>0</v>
      </c>
      <c r="O96" s="100">
        <f t="shared" si="25"/>
        <v>0</v>
      </c>
      <c r="P96" s="100">
        <f t="shared" si="25"/>
        <v>0</v>
      </c>
      <c r="Q96" s="100">
        <f t="shared" si="25"/>
        <v>0</v>
      </c>
      <c r="R96" s="100">
        <f t="shared" si="25"/>
        <v>0</v>
      </c>
      <c r="S96" s="100">
        <f t="shared" si="25"/>
        <v>0</v>
      </c>
      <c r="T96" s="100">
        <f t="shared" si="25"/>
        <v>0</v>
      </c>
      <c r="U96" s="100">
        <f t="shared" si="25"/>
        <v>0</v>
      </c>
      <c r="V96" s="100">
        <f t="shared" si="25"/>
        <v>0</v>
      </c>
      <c r="W96" s="100">
        <f t="shared" si="25"/>
        <v>0</v>
      </c>
      <c r="X96" s="100">
        <f t="shared" si="25"/>
        <v>0</v>
      </c>
      <c r="Y96" s="100">
        <f t="shared" si="25"/>
        <v>0</v>
      </c>
      <c r="Z96" s="100">
        <f t="shared" si="25"/>
        <v>0</v>
      </c>
      <c r="AA96" s="100">
        <f t="shared" si="25"/>
        <v>0</v>
      </c>
      <c r="AB96" s="100">
        <f t="shared" si="25"/>
        <v>0</v>
      </c>
      <c r="AC96" s="100">
        <f t="shared" si="25"/>
        <v>0</v>
      </c>
      <c r="AD96" s="100">
        <f t="shared" si="25"/>
        <v>0</v>
      </c>
      <c r="AE96" s="100">
        <f t="shared" si="25"/>
        <v>0</v>
      </c>
      <c r="AF96" s="100">
        <f t="shared" si="25"/>
        <v>0</v>
      </c>
      <c r="AG96" s="100">
        <f t="shared" si="25"/>
        <v>0</v>
      </c>
      <c r="AH96" s="100">
        <f t="shared" si="25"/>
        <v>180</v>
      </c>
      <c r="AI96" s="100">
        <f t="shared" si="25"/>
        <v>2</v>
      </c>
      <c r="AJ96" s="100">
        <f t="shared" si="25"/>
        <v>0</v>
      </c>
      <c r="AK96" s="100">
        <f t="shared" si="25"/>
        <v>0</v>
      </c>
    </row>
    <row r="97" spans="3:43" x14ac:dyDescent="0.2">
      <c r="AO97" s="74"/>
      <c r="AP97" s="74"/>
      <c r="AQ97" s="74"/>
    </row>
    <row r="98" spans="3:43" x14ac:dyDescent="0.2">
      <c r="AO98" s="74"/>
      <c r="AP98" s="74"/>
      <c r="AQ98" s="74"/>
    </row>
    <row r="99" spans="3:43" s="55" customFormat="1" x14ac:dyDescent="0.2">
      <c r="C99" s="55" t="s">
        <v>258</v>
      </c>
      <c r="D99" s="55" t="s">
        <v>294</v>
      </c>
      <c r="E99" s="55" t="s">
        <v>295</v>
      </c>
      <c r="AO99" s="74"/>
      <c r="AP99" s="74"/>
      <c r="AQ99" s="74"/>
    </row>
    <row r="100" spans="3:43" x14ac:dyDescent="0.2">
      <c r="C100" s="74">
        <v>1</v>
      </c>
      <c r="D100" s="74">
        <v>0</v>
      </c>
      <c r="E100" s="114">
        <f t="shared" ref="E100:E163" ca="1" si="26">INDIRECT("a_" &amp; i) * t^3 + INDIRECT("b_" &amp; i) * t^2 + INDIRECT("c_" &amp; i) * t^1 + INDIRECT("d_" &amp; i)</f>
        <v>-7.839151029209042E-17</v>
      </c>
      <c r="AO100" s="74"/>
      <c r="AP100" s="74"/>
      <c r="AQ100" s="74"/>
    </row>
    <row r="101" spans="3:43" x14ac:dyDescent="0.2">
      <c r="C101" s="74">
        <v>1</v>
      </c>
      <c r="D101" s="74">
        <v>0.1</v>
      </c>
      <c r="E101" s="114">
        <f t="shared" ca="1" si="26"/>
        <v>1.9782185860547689E-3</v>
      </c>
      <c r="AO101" s="74"/>
      <c r="AP101" s="74"/>
      <c r="AQ101" s="74"/>
    </row>
    <row r="102" spans="3:43" x14ac:dyDescent="0.2">
      <c r="C102" s="74">
        <v>1</v>
      </c>
      <c r="D102" s="74">
        <v>0.2</v>
      </c>
      <c r="E102" s="114">
        <f t="shared" ca="1" si="26"/>
        <v>3.9577572578032632E-3</v>
      </c>
      <c r="AO102" s="74"/>
      <c r="AP102" s="74"/>
      <c r="AQ102" s="74"/>
    </row>
    <row r="103" spans="3:43" x14ac:dyDescent="0.2">
      <c r="C103" s="74">
        <v>1</v>
      </c>
      <c r="D103" s="74">
        <v>0.3</v>
      </c>
      <c r="E103" s="114">
        <f t="shared" ca="1" si="26"/>
        <v>5.9399361009390495E-3</v>
      </c>
      <c r="AO103" s="74"/>
      <c r="AP103" s="74"/>
      <c r="AQ103" s="74"/>
    </row>
    <row r="104" spans="3:43" x14ac:dyDescent="0.2">
      <c r="C104" s="74">
        <v>1</v>
      </c>
      <c r="D104" s="74">
        <v>0.4</v>
      </c>
      <c r="E104" s="114">
        <f t="shared" ca="1" si="26"/>
        <v>7.926075201155772E-3</v>
      </c>
      <c r="AO104" s="74"/>
      <c r="AP104" s="74"/>
      <c r="AQ104" s="74"/>
    </row>
    <row r="105" spans="3:43" x14ac:dyDescent="0.2">
      <c r="C105" s="74">
        <v>1</v>
      </c>
      <c r="D105" s="74">
        <v>0.5</v>
      </c>
      <c r="E105" s="114">
        <f t="shared" ca="1" si="26"/>
        <v>9.9174946441470818E-3</v>
      </c>
      <c r="AO105" s="74"/>
      <c r="AP105" s="74"/>
      <c r="AQ105" s="74"/>
    </row>
    <row r="106" spans="3:43" x14ac:dyDescent="0.2">
      <c r="C106" s="74">
        <v>1</v>
      </c>
      <c r="D106" s="74">
        <v>0.6</v>
      </c>
      <c r="E106" s="114">
        <f t="shared" ca="1" si="26"/>
        <v>1.191551451560662E-2</v>
      </c>
      <c r="AO106" s="74"/>
      <c r="AP106" s="74"/>
      <c r="AQ106" s="74"/>
    </row>
    <row r="107" spans="3:43" x14ac:dyDescent="0.2">
      <c r="C107" s="74">
        <v>1</v>
      </c>
      <c r="D107" s="74">
        <v>0.7</v>
      </c>
      <c r="E107" s="114">
        <f t="shared" ca="1" si="26"/>
        <v>1.3921454901228035E-2</v>
      </c>
      <c r="AO107" s="74"/>
      <c r="AP107" s="74"/>
      <c r="AQ107" s="74"/>
    </row>
    <row r="108" spans="3:43" x14ac:dyDescent="0.2">
      <c r="C108" s="74">
        <v>1</v>
      </c>
      <c r="D108" s="74">
        <v>0.8</v>
      </c>
      <c r="E108" s="114">
        <f t="shared" ca="1" si="26"/>
        <v>1.5936635886704971E-2</v>
      </c>
      <c r="AO108" s="74"/>
      <c r="AP108" s="74"/>
      <c r="AQ108" s="74"/>
    </row>
    <row r="109" spans="3:43" x14ac:dyDescent="0.2">
      <c r="C109" s="74">
        <v>1</v>
      </c>
      <c r="D109" s="74">
        <v>0.9</v>
      </c>
      <c r="E109" s="114">
        <f t="shared" ca="1" si="26"/>
        <v>1.7962377557731078E-2</v>
      </c>
      <c r="AO109" s="74"/>
      <c r="AP109" s="74"/>
      <c r="AQ109" s="74"/>
    </row>
    <row r="110" spans="3:43" x14ac:dyDescent="0.2">
      <c r="C110" s="74">
        <v>2</v>
      </c>
      <c r="D110" s="74">
        <v>1</v>
      </c>
      <c r="E110" s="114">
        <f t="shared" ca="1" si="26"/>
        <v>1.9999999999999959E-2</v>
      </c>
      <c r="F110" s="113"/>
      <c r="G110" s="115"/>
      <c r="AO110" s="74"/>
      <c r="AP110" s="74"/>
      <c r="AQ110" s="74"/>
    </row>
    <row r="111" spans="3:43" x14ac:dyDescent="0.2">
      <c r="C111" s="74">
        <v>2</v>
      </c>
      <c r="D111" s="74">
        <v>1.1000000000000001</v>
      </c>
      <c r="E111" s="114">
        <f t="shared" ca="1" si="26"/>
        <v>2.2047372509591698E-2</v>
      </c>
      <c r="AO111" s="74"/>
      <c r="AP111" s="74"/>
      <c r="AQ111" s="74"/>
    </row>
    <row r="112" spans="3:43" x14ac:dyDescent="0.2">
      <c r="C112" s="74">
        <v>2</v>
      </c>
      <c r="D112" s="74">
        <v>1.2</v>
      </c>
      <c r="E112" s="114">
        <f t="shared" ca="1" si="26"/>
        <v>2.4088561224131659E-2</v>
      </c>
      <c r="AO112" s="74"/>
      <c r="AP112" s="74"/>
      <c r="AQ112" s="74"/>
    </row>
    <row r="113" spans="3:6" s="74" customFormat="1" x14ac:dyDescent="0.2">
      <c r="C113" s="74">
        <v>2</v>
      </c>
      <c r="D113" s="74">
        <v>1.3</v>
      </c>
      <c r="E113" s="114">
        <f t="shared" ca="1" si="26"/>
        <v>2.6104181491631628E-2</v>
      </c>
    </row>
    <row r="114" spans="3:6" s="74" customFormat="1" x14ac:dyDescent="0.2">
      <c r="C114" s="74">
        <v>2</v>
      </c>
      <c r="D114" s="74">
        <v>1.4</v>
      </c>
      <c r="E114" s="114">
        <f t="shared" ca="1" si="26"/>
        <v>2.807484866010336E-2</v>
      </c>
    </row>
    <row r="115" spans="3:6" s="74" customFormat="1" x14ac:dyDescent="0.2">
      <c r="C115" s="74">
        <v>2</v>
      </c>
      <c r="D115" s="74">
        <v>1.5</v>
      </c>
      <c r="E115" s="114">
        <f t="shared" ca="1" si="26"/>
        <v>2.9981178077558637E-2</v>
      </c>
    </row>
    <row r="116" spans="3:6" s="74" customFormat="1" x14ac:dyDescent="0.2">
      <c r="C116" s="74">
        <v>2</v>
      </c>
      <c r="D116" s="74">
        <v>1.6</v>
      </c>
      <c r="E116" s="114">
        <f t="shared" ca="1" si="26"/>
        <v>3.1803785092009228E-2</v>
      </c>
    </row>
    <row r="117" spans="3:6" s="74" customFormat="1" x14ac:dyDescent="0.2">
      <c r="C117" s="74">
        <v>2</v>
      </c>
      <c r="D117" s="74">
        <v>1.7</v>
      </c>
      <c r="E117" s="114">
        <f t="shared" ca="1" si="26"/>
        <v>3.3523285051466879E-2</v>
      </c>
    </row>
    <row r="118" spans="3:6" s="74" customFormat="1" x14ac:dyDescent="0.2">
      <c r="C118" s="74">
        <v>2</v>
      </c>
      <c r="D118" s="74">
        <v>1.8</v>
      </c>
      <c r="E118" s="114">
        <f t="shared" ca="1" si="26"/>
        <v>3.5120293303943388E-2</v>
      </c>
    </row>
    <row r="119" spans="3:6" s="74" customFormat="1" x14ac:dyDescent="0.2">
      <c r="C119" s="74">
        <v>2</v>
      </c>
      <c r="D119" s="74">
        <v>1.9</v>
      </c>
      <c r="E119" s="114">
        <f t="shared" ca="1" si="26"/>
        <v>3.6575425197450516E-2</v>
      </c>
    </row>
    <row r="120" spans="3:6" s="74" customFormat="1" x14ac:dyDescent="0.2">
      <c r="C120" s="74">
        <v>3</v>
      </c>
      <c r="D120" s="74">
        <v>2</v>
      </c>
      <c r="E120" s="114">
        <f t="shared" ca="1" si="26"/>
        <v>3.7869296079999969E-2</v>
      </c>
      <c r="F120" s="113"/>
    </row>
    <row r="121" spans="3:6" s="74" customFormat="1" x14ac:dyDescent="0.2">
      <c r="C121" s="74">
        <v>3</v>
      </c>
      <c r="D121" s="74">
        <v>2.1</v>
      </c>
      <c r="E121" s="114">
        <f t="shared" ca="1" si="26"/>
        <v>3.8989532279398241E-2</v>
      </c>
    </row>
    <row r="122" spans="3:6" s="74" customFormat="1" x14ac:dyDescent="0.2">
      <c r="C122" s="74">
        <v>3</v>
      </c>
      <c r="D122" s="74">
        <v>2.2000000000000002</v>
      </c>
      <c r="E122" s="114">
        <f t="shared" ca="1" si="26"/>
        <v>3.9951804042629969E-2</v>
      </c>
    </row>
    <row r="123" spans="3:6" s="74" customFormat="1" x14ac:dyDescent="0.2">
      <c r="C123" s="74">
        <v>3</v>
      </c>
      <c r="D123" s="74">
        <v>2.2999999999999998</v>
      </c>
      <c r="E123" s="114">
        <f t="shared" ca="1" si="26"/>
        <v>4.0778792596474399E-2</v>
      </c>
    </row>
    <row r="124" spans="3:6" s="74" customFormat="1" x14ac:dyDescent="0.2">
      <c r="C124" s="74">
        <v>3</v>
      </c>
      <c r="D124" s="74">
        <v>2.4</v>
      </c>
      <c r="E124" s="114">
        <f t="shared" ca="1" si="26"/>
        <v>4.1493179167710774E-2</v>
      </c>
    </row>
    <row r="125" spans="3:6" s="74" customFormat="1" x14ac:dyDescent="0.2">
      <c r="C125" s="74">
        <v>3</v>
      </c>
      <c r="D125" s="74">
        <v>2.5</v>
      </c>
      <c r="E125" s="114">
        <f t="shared" ca="1" si="26"/>
        <v>4.2117644983118423E-2</v>
      </c>
    </row>
    <row r="126" spans="3:6" s="74" customFormat="1" x14ac:dyDescent="0.2">
      <c r="C126" s="74">
        <v>3</v>
      </c>
      <c r="D126" s="74">
        <v>2.6</v>
      </c>
      <c r="E126" s="114">
        <f t="shared" ca="1" si="26"/>
        <v>4.2674871269476632E-2</v>
      </c>
    </row>
    <row r="127" spans="3:6" s="74" customFormat="1" x14ac:dyDescent="0.2">
      <c r="C127" s="74">
        <v>3</v>
      </c>
      <c r="D127" s="74">
        <v>2.7</v>
      </c>
      <c r="E127" s="114">
        <f t="shared" ca="1" si="26"/>
        <v>4.3187539253564604E-2</v>
      </c>
    </row>
    <row r="128" spans="3:6" s="74" customFormat="1" x14ac:dyDescent="0.2">
      <c r="C128" s="74">
        <v>3</v>
      </c>
      <c r="D128" s="74">
        <v>2.8</v>
      </c>
      <c r="E128" s="114">
        <f t="shared" ca="1" si="26"/>
        <v>4.3678330162161737E-2</v>
      </c>
    </row>
    <row r="129" spans="3:5" s="74" customFormat="1" x14ac:dyDescent="0.2">
      <c r="C129" s="74">
        <v>3</v>
      </c>
      <c r="D129" s="74">
        <v>2.9</v>
      </c>
      <c r="E129" s="114">
        <f t="shared" ca="1" si="26"/>
        <v>4.4169925222047123E-2</v>
      </c>
    </row>
    <row r="130" spans="3:5" s="74" customFormat="1" x14ac:dyDescent="0.2">
      <c r="C130" s="74">
        <v>4</v>
      </c>
      <c r="D130" s="74">
        <v>3</v>
      </c>
      <c r="E130" s="114">
        <f t="shared" ca="1" si="26"/>
        <v>4.4685005660000235E-2</v>
      </c>
    </row>
    <row r="131" spans="3:5" s="74" customFormat="1" x14ac:dyDescent="0.2">
      <c r="C131" s="74">
        <v>4</v>
      </c>
      <c r="D131" s="74">
        <v>3.1</v>
      </c>
      <c r="E131" s="114">
        <f t="shared" ca="1" si="26"/>
        <v>4.5241636042315486E-2</v>
      </c>
    </row>
    <row r="132" spans="3:5" s="74" customFormat="1" x14ac:dyDescent="0.2">
      <c r="C132" s="74">
        <v>4</v>
      </c>
      <c r="D132" s="74">
        <v>3.2</v>
      </c>
      <c r="E132" s="114">
        <f t="shared" ca="1" si="26"/>
        <v>4.5839414293348757E-2</v>
      </c>
    </row>
    <row r="133" spans="3:5" s="74" customFormat="1" x14ac:dyDescent="0.2">
      <c r="C133" s="74">
        <v>4</v>
      </c>
      <c r="D133" s="74">
        <v>3.3</v>
      </c>
      <c r="E133" s="114">
        <f t="shared" ca="1" si="26"/>
        <v>4.6473321676971199E-2</v>
      </c>
    </row>
    <row r="134" spans="3:5" s="74" customFormat="1" x14ac:dyDescent="0.2">
      <c r="C134" s="74">
        <v>4</v>
      </c>
      <c r="D134" s="74">
        <v>3.4</v>
      </c>
      <c r="E134" s="114">
        <f t="shared" ca="1" si="26"/>
        <v>4.7138339457053938E-2</v>
      </c>
    </row>
    <row r="135" spans="3:5" s="74" customFormat="1" x14ac:dyDescent="0.2">
      <c r="C135" s="74">
        <v>4</v>
      </c>
      <c r="D135" s="74">
        <v>3.5</v>
      </c>
      <c r="E135" s="114">
        <f t="shared" ca="1" si="26"/>
        <v>4.7829448897468096E-2</v>
      </c>
    </row>
    <row r="136" spans="3:5" s="74" customFormat="1" x14ac:dyDescent="0.2">
      <c r="C136" s="74">
        <v>4</v>
      </c>
      <c r="D136" s="74">
        <v>3.6</v>
      </c>
      <c r="E136" s="114">
        <f t="shared" ca="1" si="26"/>
        <v>4.8541631262084828E-2</v>
      </c>
    </row>
    <row r="137" spans="3:5" s="74" customFormat="1" x14ac:dyDescent="0.2">
      <c r="C137" s="74">
        <v>4</v>
      </c>
      <c r="D137" s="74">
        <v>3.7</v>
      </c>
      <c r="E137" s="114">
        <f t="shared" ca="1" si="26"/>
        <v>4.9269867814775201E-2</v>
      </c>
    </row>
    <row r="138" spans="3:5" s="74" customFormat="1" x14ac:dyDescent="0.2">
      <c r="C138" s="74">
        <v>4</v>
      </c>
      <c r="D138" s="74">
        <v>3.8</v>
      </c>
      <c r="E138" s="114">
        <f t="shared" ca="1" si="26"/>
        <v>5.0009139819410409E-2</v>
      </c>
    </row>
    <row r="139" spans="3:5" s="74" customFormat="1" x14ac:dyDescent="0.2">
      <c r="C139" s="74">
        <v>4</v>
      </c>
      <c r="D139" s="74">
        <v>3.9</v>
      </c>
      <c r="E139" s="114">
        <f t="shared" ca="1" si="26"/>
        <v>5.0754428539861535E-2</v>
      </c>
    </row>
    <row r="140" spans="3:5" s="74" customFormat="1" x14ac:dyDescent="0.2">
      <c r="C140" s="74">
        <v>5</v>
      </c>
      <c r="D140" s="74">
        <v>4</v>
      </c>
      <c r="E140" s="114">
        <f t="shared" ca="1" si="26"/>
        <v>5.1500715239999349E-2</v>
      </c>
    </row>
    <row r="141" spans="3:5" s="74" customFormat="1" x14ac:dyDescent="0.2">
      <c r="C141" s="74">
        <v>5</v>
      </c>
      <c r="D141" s="74">
        <v>4.0999999999999996</v>
      </c>
      <c r="E141" s="114">
        <f t="shared" ca="1" si="26"/>
        <v>5.2243383259339998E-2</v>
      </c>
    </row>
    <row r="142" spans="3:5" s="74" customFormat="1" x14ac:dyDescent="0.2">
      <c r="C142" s="74">
        <v>5</v>
      </c>
      <c r="D142" s="74">
        <v>4.2</v>
      </c>
      <c r="E142" s="114">
        <f t="shared" ca="1" si="26"/>
        <v>5.2979424239975044E-2</v>
      </c>
    </row>
    <row r="143" spans="3:5" s="74" customFormat="1" x14ac:dyDescent="0.2">
      <c r="C143" s="74">
        <v>5</v>
      </c>
      <c r="D143" s="74">
        <v>4.3</v>
      </c>
      <c r="E143" s="114">
        <f t="shared" ca="1" si="26"/>
        <v>5.370623189964073E-2</v>
      </c>
    </row>
    <row r="144" spans="3:5" s="74" customFormat="1" x14ac:dyDescent="0.2">
      <c r="C144" s="74">
        <v>5</v>
      </c>
      <c r="D144" s="74">
        <v>4.4000000000000004</v>
      </c>
      <c r="E144" s="114">
        <f t="shared" ca="1" si="26"/>
        <v>5.4421199956073252E-2</v>
      </c>
    </row>
    <row r="145" spans="3:5" s="74" customFormat="1" x14ac:dyDescent="0.2">
      <c r="C145" s="74">
        <v>5</v>
      </c>
      <c r="D145" s="74">
        <v>4.5</v>
      </c>
      <c r="E145" s="114">
        <f t="shared" ca="1" si="26"/>
        <v>5.5121722127008832E-2</v>
      </c>
    </row>
    <row r="146" spans="3:5" s="74" customFormat="1" x14ac:dyDescent="0.2">
      <c r="C146" s="74">
        <v>5</v>
      </c>
      <c r="D146" s="74">
        <v>4.5999999999999996</v>
      </c>
      <c r="E146" s="114">
        <f t="shared" ca="1" si="26"/>
        <v>5.580519213018368E-2</v>
      </c>
    </row>
    <row r="147" spans="3:5" s="74" customFormat="1" x14ac:dyDescent="0.2">
      <c r="C147" s="74">
        <v>5</v>
      </c>
      <c r="D147" s="74">
        <v>4.7</v>
      </c>
      <c r="E147" s="114">
        <f t="shared" ca="1" si="26"/>
        <v>5.6469003683334011E-2</v>
      </c>
    </row>
    <row r="148" spans="3:5" s="74" customFormat="1" x14ac:dyDescent="0.2">
      <c r="C148" s="74">
        <v>5</v>
      </c>
      <c r="D148" s="74">
        <v>4.8</v>
      </c>
      <c r="E148" s="114">
        <f t="shared" ca="1" si="26"/>
        <v>5.7110550504196007E-2</v>
      </c>
    </row>
    <row r="149" spans="3:5" s="74" customFormat="1" x14ac:dyDescent="0.2">
      <c r="C149" s="74">
        <v>5</v>
      </c>
      <c r="D149" s="74">
        <v>4.9000000000000004</v>
      </c>
      <c r="E149" s="114">
        <f t="shared" ca="1" si="26"/>
        <v>5.7727226310505947E-2</v>
      </c>
    </row>
    <row r="150" spans="3:5" s="74" customFormat="1" x14ac:dyDescent="0.2">
      <c r="C150" s="74">
        <v>7</v>
      </c>
      <c r="D150" s="74">
        <v>5</v>
      </c>
      <c r="E150" s="114">
        <f t="shared" ca="1" si="26"/>
        <v>5.8316424820001503E-2</v>
      </c>
    </row>
    <row r="151" spans="3:5" s="74" customFormat="1" x14ac:dyDescent="0.2">
      <c r="C151" s="74">
        <v>7</v>
      </c>
      <c r="D151" s="74">
        <v>5.0999999999999996</v>
      </c>
      <c r="E151" s="114">
        <f t="shared" ca="1" si="26"/>
        <v>5.88761417062168E-2</v>
      </c>
    </row>
    <row r="152" spans="3:5" s="74" customFormat="1" x14ac:dyDescent="0.2">
      <c r="C152" s="74">
        <v>7</v>
      </c>
      <c r="D152" s="74">
        <v>5.2</v>
      </c>
      <c r="E152" s="114">
        <f t="shared" ca="1" si="26"/>
        <v>5.9406780465894385E-2</v>
      </c>
    </row>
    <row r="153" spans="3:5" s="74" customFormat="1" x14ac:dyDescent="0.2">
      <c r="C153" s="74">
        <v>7</v>
      </c>
      <c r="D153" s="74">
        <v>5.3</v>
      </c>
      <c r="E153" s="114">
        <f t="shared" ca="1" si="26"/>
        <v>5.9909346551576231E-2</v>
      </c>
    </row>
    <row r="154" spans="3:5" s="74" customFormat="1" x14ac:dyDescent="0.2">
      <c r="C154" s="74">
        <v>7</v>
      </c>
      <c r="D154" s="74">
        <v>5.4</v>
      </c>
      <c r="E154" s="114">
        <f t="shared" ca="1" si="26"/>
        <v>6.0384845415804397E-2</v>
      </c>
    </row>
    <row r="155" spans="3:5" s="74" customFormat="1" x14ac:dyDescent="0.2">
      <c r="C155" s="74">
        <v>7</v>
      </c>
      <c r="D155" s="74">
        <v>5.5</v>
      </c>
      <c r="E155" s="114">
        <f t="shared" ca="1" si="26"/>
        <v>6.0834282511120788E-2</v>
      </c>
    </row>
    <row r="156" spans="3:5" s="74" customFormat="1" x14ac:dyDescent="0.2">
      <c r="C156" s="74">
        <v>7</v>
      </c>
      <c r="D156" s="74">
        <v>5.6</v>
      </c>
      <c r="E156" s="114">
        <f t="shared" ca="1" si="26"/>
        <v>6.1258663290067378E-2</v>
      </c>
    </row>
    <row r="157" spans="3:5" s="74" customFormat="1" x14ac:dyDescent="0.2">
      <c r="C157" s="74">
        <v>7</v>
      </c>
      <c r="D157" s="74">
        <v>5.7</v>
      </c>
      <c r="E157" s="114">
        <f t="shared" ca="1" si="26"/>
        <v>6.1658993205186183E-2</v>
      </c>
    </row>
    <row r="158" spans="3:5" s="74" customFormat="1" x14ac:dyDescent="0.2">
      <c r="C158" s="74">
        <v>7</v>
      </c>
      <c r="D158" s="74">
        <v>5.8</v>
      </c>
      <c r="E158" s="114">
        <f t="shared" ca="1" si="26"/>
        <v>6.2036277709019177E-2</v>
      </c>
    </row>
    <row r="159" spans="3:5" s="74" customFormat="1" x14ac:dyDescent="0.2">
      <c r="C159" s="74">
        <v>7</v>
      </c>
      <c r="D159" s="74">
        <v>5.9</v>
      </c>
      <c r="E159" s="114">
        <f t="shared" ca="1" si="26"/>
        <v>6.2391522254108378E-2</v>
      </c>
    </row>
    <row r="160" spans="3:5" s="74" customFormat="1" x14ac:dyDescent="0.2">
      <c r="C160" s="74">
        <v>7</v>
      </c>
      <c r="D160" s="74">
        <v>6</v>
      </c>
      <c r="E160" s="114">
        <f t="shared" ca="1" si="26"/>
        <v>6.2725732292995676E-2</v>
      </c>
    </row>
    <row r="161" spans="2:5" s="74" customFormat="1" x14ac:dyDescent="0.2">
      <c r="C161" s="74">
        <v>7</v>
      </c>
      <c r="D161" s="74">
        <v>6.1</v>
      </c>
      <c r="E161" s="114">
        <f t="shared" ca="1" si="26"/>
        <v>6.3039913278223128E-2</v>
      </c>
    </row>
    <row r="162" spans="2:5" s="74" customFormat="1" x14ac:dyDescent="0.2">
      <c r="C162" s="74">
        <v>7</v>
      </c>
      <c r="D162" s="74">
        <v>6.2</v>
      </c>
      <c r="E162" s="114">
        <f t="shared" ca="1" si="26"/>
        <v>6.3335070662332696E-2</v>
      </c>
    </row>
    <row r="163" spans="2:5" s="74" customFormat="1" x14ac:dyDescent="0.2">
      <c r="C163" s="74">
        <v>7</v>
      </c>
      <c r="D163" s="74">
        <v>6.3</v>
      </c>
      <c r="E163" s="114">
        <f t="shared" ca="1" si="26"/>
        <v>6.361220989786634E-2</v>
      </c>
    </row>
    <row r="164" spans="2:5" s="74" customFormat="1" x14ac:dyDescent="0.2">
      <c r="C164" s="74">
        <v>7</v>
      </c>
      <c r="D164" s="74">
        <v>6.4</v>
      </c>
      <c r="E164" s="114">
        <f t="shared" ref="E164:E227" ca="1" si="27">INDIRECT("a_" &amp; i) * t^3 + INDIRECT("b_" &amp; i) * t^2 + INDIRECT("c_" &amp; i) * t^1 + INDIRECT("d_" &amp; i)</f>
        <v>6.3872336437366062E-2</v>
      </c>
    </row>
    <row r="165" spans="2:5" s="74" customFormat="1" x14ac:dyDescent="0.2">
      <c r="C165" s="74">
        <v>7</v>
      </c>
      <c r="D165" s="74">
        <v>6.5</v>
      </c>
      <c r="E165" s="114">
        <f t="shared" ca="1" si="27"/>
        <v>6.4116455733373809E-2</v>
      </c>
    </row>
    <row r="166" spans="2:5" s="74" customFormat="1" x14ac:dyDescent="0.2">
      <c r="C166" s="74">
        <v>7</v>
      </c>
      <c r="D166" s="74">
        <v>6.6</v>
      </c>
      <c r="E166" s="114">
        <f t="shared" ca="1" si="27"/>
        <v>6.4345573238431611E-2</v>
      </c>
    </row>
    <row r="167" spans="2:5" s="74" customFormat="1" x14ac:dyDescent="0.2">
      <c r="C167" s="74">
        <v>7</v>
      </c>
      <c r="D167" s="74">
        <v>6.7</v>
      </c>
      <c r="E167" s="114">
        <f t="shared" ca="1" si="27"/>
        <v>6.4560694405081456E-2</v>
      </c>
    </row>
    <row r="168" spans="2:5" s="74" customFormat="1" x14ac:dyDescent="0.2">
      <c r="C168" s="74">
        <v>7</v>
      </c>
      <c r="D168" s="74">
        <v>6.8</v>
      </c>
      <c r="E168" s="114">
        <f t="shared" ca="1" si="27"/>
        <v>6.4762824685865264E-2</v>
      </c>
    </row>
    <row r="169" spans="2:5" s="74" customFormat="1" x14ac:dyDescent="0.2">
      <c r="C169" s="74">
        <v>7</v>
      </c>
      <c r="D169" s="74">
        <v>6.9</v>
      </c>
      <c r="E169" s="114">
        <f t="shared" ca="1" si="27"/>
        <v>6.4952969533325008E-2</v>
      </c>
    </row>
    <row r="170" spans="2:5" s="74" customFormat="1" x14ac:dyDescent="0.2">
      <c r="B170" s="114"/>
      <c r="C170" s="74">
        <v>10</v>
      </c>
      <c r="D170" s="74">
        <v>7</v>
      </c>
      <c r="E170" s="114">
        <f t="shared" ca="1" si="27"/>
        <v>6.5132134399999694E-2</v>
      </c>
    </row>
    <row r="171" spans="2:5" s="74" customFormat="1" x14ac:dyDescent="0.2">
      <c r="C171" s="74">
        <v>10</v>
      </c>
      <c r="D171" s="74">
        <v>7.1</v>
      </c>
      <c r="E171" s="114">
        <f t="shared" ca="1" si="27"/>
        <v>6.5301215193002277E-2</v>
      </c>
    </row>
    <row r="172" spans="2:5" s="74" customFormat="1" x14ac:dyDescent="0.2">
      <c r="C172" s="74">
        <v>10</v>
      </c>
      <c r="D172" s="74">
        <v>7.2</v>
      </c>
      <c r="E172" s="114">
        <f t="shared" ca="1" si="27"/>
        <v>6.5460669637696811E-2</v>
      </c>
    </row>
    <row r="173" spans="2:5" s="74" customFormat="1" x14ac:dyDescent="0.2">
      <c r="C173" s="74">
        <v>10</v>
      </c>
      <c r="D173" s="74">
        <v>7.3</v>
      </c>
      <c r="E173" s="114">
        <f t="shared" ca="1" si="27"/>
        <v>6.5610845914015281E-2</v>
      </c>
    </row>
    <row r="174" spans="2:5" s="74" customFormat="1" x14ac:dyDescent="0.2">
      <c r="C174" s="74">
        <v>10</v>
      </c>
      <c r="D174" s="74">
        <v>7.4</v>
      </c>
      <c r="E174" s="114">
        <f t="shared" ca="1" si="27"/>
        <v>6.5752092201889684E-2</v>
      </c>
    </row>
    <row r="175" spans="2:5" s="74" customFormat="1" x14ac:dyDescent="0.2">
      <c r="C175" s="74">
        <v>10</v>
      </c>
      <c r="D175" s="74">
        <v>7.5</v>
      </c>
      <c r="E175" s="114">
        <f t="shared" ca="1" si="27"/>
        <v>6.5884756681252016E-2</v>
      </c>
    </row>
    <row r="176" spans="2:5" s="74" customFormat="1" x14ac:dyDescent="0.2">
      <c r="C176" s="74">
        <v>10</v>
      </c>
      <c r="D176" s="74">
        <v>7.6</v>
      </c>
      <c r="E176" s="114">
        <f t="shared" ca="1" si="27"/>
        <v>6.6009187532034302E-2</v>
      </c>
    </row>
    <row r="177" spans="3:5" s="74" customFormat="1" x14ac:dyDescent="0.2">
      <c r="C177" s="74">
        <v>10</v>
      </c>
      <c r="D177" s="74">
        <v>7.7</v>
      </c>
      <c r="E177" s="114">
        <f t="shared" ca="1" si="27"/>
        <v>6.6125732934168541E-2</v>
      </c>
    </row>
    <row r="178" spans="3:5" s="74" customFormat="1" x14ac:dyDescent="0.2">
      <c r="C178" s="74">
        <v>10</v>
      </c>
      <c r="D178" s="74">
        <v>7.8</v>
      </c>
      <c r="E178" s="114">
        <f t="shared" ca="1" si="27"/>
        <v>6.6234741067586742E-2</v>
      </c>
    </row>
    <row r="179" spans="3:5" s="74" customFormat="1" x14ac:dyDescent="0.2">
      <c r="C179" s="74">
        <v>10</v>
      </c>
      <c r="D179" s="74">
        <v>7.9</v>
      </c>
      <c r="E179" s="114">
        <f t="shared" ca="1" si="27"/>
        <v>6.6336560112220874E-2</v>
      </c>
    </row>
    <row r="180" spans="3:5" s="74" customFormat="1" x14ac:dyDescent="0.2">
      <c r="C180" s="74">
        <v>10</v>
      </c>
      <c r="D180" s="74">
        <v>8</v>
      </c>
      <c r="E180" s="114">
        <f t="shared" ca="1" si="27"/>
        <v>6.6431538248002978E-2</v>
      </c>
    </row>
    <row r="181" spans="3:5" s="74" customFormat="1" x14ac:dyDescent="0.2">
      <c r="C181" s="74">
        <v>10</v>
      </c>
      <c r="D181" s="74">
        <v>8.1</v>
      </c>
      <c r="E181" s="114">
        <f t="shared" ca="1" si="27"/>
        <v>6.6520023654865035E-2</v>
      </c>
    </row>
    <row r="182" spans="3:5" s="74" customFormat="1" x14ac:dyDescent="0.2">
      <c r="C182" s="74">
        <v>10</v>
      </c>
      <c r="D182" s="74">
        <v>8.1999999999999993</v>
      </c>
      <c r="E182" s="114">
        <f t="shared" ca="1" si="27"/>
        <v>6.6602364512739043E-2</v>
      </c>
    </row>
    <row r="183" spans="3:5" s="74" customFormat="1" x14ac:dyDescent="0.2">
      <c r="C183" s="74">
        <v>10</v>
      </c>
      <c r="D183" s="74">
        <v>8.3000000000000007</v>
      </c>
      <c r="E183" s="114">
        <f t="shared" ca="1" si="27"/>
        <v>6.6678909001557013E-2</v>
      </c>
    </row>
    <row r="184" spans="3:5" s="74" customFormat="1" x14ac:dyDescent="0.2">
      <c r="C184" s="74">
        <v>10</v>
      </c>
      <c r="D184" s="74">
        <v>8.4</v>
      </c>
      <c r="E184" s="114">
        <f t="shared" ca="1" si="27"/>
        <v>6.675000530125097E-2</v>
      </c>
    </row>
    <row r="185" spans="3:5" s="74" customFormat="1" x14ac:dyDescent="0.2">
      <c r="C185" s="74">
        <v>10</v>
      </c>
      <c r="D185" s="74">
        <v>8.5</v>
      </c>
      <c r="E185" s="114">
        <f t="shared" ca="1" si="27"/>
        <v>6.6816001591752883E-2</v>
      </c>
    </row>
    <row r="186" spans="3:5" s="74" customFormat="1" x14ac:dyDescent="0.2">
      <c r="C186" s="74">
        <v>10</v>
      </c>
      <c r="D186" s="74">
        <v>8.6</v>
      </c>
      <c r="E186" s="114">
        <f t="shared" ca="1" si="27"/>
        <v>6.6877246052994735E-2</v>
      </c>
    </row>
    <row r="187" spans="3:5" s="74" customFormat="1" x14ac:dyDescent="0.2">
      <c r="C187" s="74">
        <v>10</v>
      </c>
      <c r="D187" s="74">
        <v>8.6999999999999993</v>
      </c>
      <c r="E187" s="114">
        <f t="shared" ca="1" si="27"/>
        <v>6.6934086864908579E-2</v>
      </c>
    </row>
    <row r="188" spans="3:5" s="74" customFormat="1" x14ac:dyDescent="0.2">
      <c r="C188" s="74">
        <v>10</v>
      </c>
      <c r="D188" s="74">
        <v>8.8000000000000007</v>
      </c>
      <c r="E188" s="114">
        <f t="shared" ca="1" si="27"/>
        <v>6.6986872207426412E-2</v>
      </c>
    </row>
    <row r="189" spans="3:5" s="74" customFormat="1" x14ac:dyDescent="0.2">
      <c r="C189" s="74">
        <v>10</v>
      </c>
      <c r="D189" s="74">
        <v>8.9</v>
      </c>
      <c r="E189" s="114">
        <f t="shared" ca="1" si="27"/>
        <v>6.7035950260480176E-2</v>
      </c>
    </row>
    <row r="190" spans="3:5" s="74" customFormat="1" x14ac:dyDescent="0.2">
      <c r="C190" s="74">
        <v>10</v>
      </c>
      <c r="D190" s="74">
        <v>9</v>
      </c>
      <c r="E190" s="114">
        <f t="shared" ca="1" si="27"/>
        <v>6.7081669204001965E-2</v>
      </c>
    </row>
    <row r="191" spans="3:5" s="74" customFormat="1" x14ac:dyDescent="0.2">
      <c r="C191" s="74">
        <v>10</v>
      </c>
      <c r="D191" s="74">
        <v>9.1</v>
      </c>
      <c r="E191" s="114">
        <f t="shared" ca="1" si="27"/>
        <v>6.712437721792372E-2</v>
      </c>
    </row>
    <row r="192" spans="3:5" s="74" customFormat="1" x14ac:dyDescent="0.2">
      <c r="C192" s="74">
        <v>10</v>
      </c>
      <c r="D192" s="74">
        <v>9.1999999999999993</v>
      </c>
      <c r="E192" s="114">
        <f t="shared" ca="1" si="27"/>
        <v>6.7164422482177466E-2</v>
      </c>
    </row>
    <row r="193" spans="3:5" s="74" customFormat="1" x14ac:dyDescent="0.2">
      <c r="C193" s="74">
        <v>10</v>
      </c>
      <c r="D193" s="74">
        <v>9.3000000000000007</v>
      </c>
      <c r="E193" s="114">
        <f t="shared" ca="1" si="27"/>
        <v>6.7202153176695145E-2</v>
      </c>
    </row>
    <row r="194" spans="3:5" s="74" customFormat="1" x14ac:dyDescent="0.2">
      <c r="C194" s="74">
        <v>10</v>
      </c>
      <c r="D194" s="74">
        <v>9.4</v>
      </c>
      <c r="E194" s="114">
        <f t="shared" ca="1" si="27"/>
        <v>6.7237917481408851E-2</v>
      </c>
    </row>
    <row r="195" spans="3:5" s="74" customFormat="1" x14ac:dyDescent="0.2">
      <c r="C195" s="74">
        <v>10</v>
      </c>
      <c r="D195" s="74">
        <v>9.5</v>
      </c>
      <c r="E195" s="114">
        <f t="shared" ca="1" si="27"/>
        <v>6.727206357625054E-2</v>
      </c>
    </row>
    <row r="196" spans="3:5" s="74" customFormat="1" x14ac:dyDescent="0.2">
      <c r="C196" s="74">
        <v>10</v>
      </c>
      <c r="D196" s="74">
        <v>9.6</v>
      </c>
      <c r="E196" s="114">
        <f t="shared" ca="1" si="27"/>
        <v>6.7304939641152223E-2</v>
      </c>
    </row>
    <row r="197" spans="3:5" s="74" customFormat="1" x14ac:dyDescent="0.2">
      <c r="C197" s="74">
        <v>10</v>
      </c>
      <c r="D197" s="74">
        <v>9.6999999999999993</v>
      </c>
      <c r="E197" s="114">
        <f t="shared" ca="1" si="27"/>
        <v>6.733689385604591E-2</v>
      </c>
    </row>
    <row r="198" spans="3:5" s="74" customFormat="1" x14ac:dyDescent="0.2">
      <c r="C198" s="74">
        <v>10</v>
      </c>
      <c r="D198" s="74">
        <v>9.8000000000000007</v>
      </c>
      <c r="E198" s="114">
        <f t="shared" ca="1" si="27"/>
        <v>6.7368274400863584E-2</v>
      </c>
    </row>
    <row r="199" spans="3:5" s="74" customFormat="1" x14ac:dyDescent="0.2">
      <c r="C199" s="74">
        <v>10</v>
      </c>
      <c r="D199" s="74">
        <v>9.9</v>
      </c>
      <c r="E199" s="114">
        <f t="shared" ca="1" si="27"/>
        <v>6.7399429455537285E-2</v>
      </c>
    </row>
    <row r="200" spans="3:5" s="74" customFormat="1" x14ac:dyDescent="0.2">
      <c r="C200" s="74">
        <v>10</v>
      </c>
      <c r="D200" s="74">
        <v>10</v>
      </c>
      <c r="E200" s="114">
        <f t="shared" ca="1" si="27"/>
        <v>6.743070719999894E-2</v>
      </c>
    </row>
    <row r="201" spans="3:5" s="74" customFormat="1" x14ac:dyDescent="0.2">
      <c r="C201" s="74">
        <v>30</v>
      </c>
      <c r="D201" s="74">
        <v>10.1</v>
      </c>
      <c r="E201" s="114">
        <f t="shared" ca="1" si="27"/>
        <v>6.7462397391801696E-2</v>
      </c>
    </row>
    <row r="202" spans="3:5" s="74" customFormat="1" x14ac:dyDescent="0.2">
      <c r="C202" s="74">
        <v>30</v>
      </c>
      <c r="D202" s="74">
        <v>10.199999999999999</v>
      </c>
      <c r="E202" s="114">
        <f t="shared" ca="1" si="27"/>
        <v>6.7494556098974728E-2</v>
      </c>
    </row>
    <row r="203" spans="3:5" s="74" customFormat="1" x14ac:dyDescent="0.2">
      <c r="C203" s="74">
        <v>30</v>
      </c>
      <c r="D203" s="74">
        <v>10.3</v>
      </c>
      <c r="E203" s="114">
        <f t="shared" ca="1" si="27"/>
        <v>6.7527180967170544E-2</v>
      </c>
    </row>
    <row r="204" spans="3:5" s="74" customFormat="1" x14ac:dyDescent="0.2">
      <c r="C204" s="74">
        <v>30</v>
      </c>
      <c r="D204" s="74">
        <v>10.4</v>
      </c>
      <c r="E204" s="114">
        <f t="shared" ca="1" si="27"/>
        <v>6.756026964204058E-2</v>
      </c>
    </row>
    <row r="205" spans="3:5" s="74" customFormat="1" x14ac:dyDescent="0.2">
      <c r="C205" s="74">
        <v>30</v>
      </c>
      <c r="D205" s="74">
        <v>10.5</v>
      </c>
      <c r="E205" s="114">
        <f t="shared" ca="1" si="27"/>
        <v>6.7593819769236202E-2</v>
      </c>
    </row>
    <row r="206" spans="3:5" s="74" customFormat="1" x14ac:dyDescent="0.2">
      <c r="C206" s="74">
        <v>30</v>
      </c>
      <c r="D206" s="74">
        <v>10.6</v>
      </c>
      <c r="E206" s="114">
        <f t="shared" ca="1" si="27"/>
        <v>6.7627828994408848E-2</v>
      </c>
    </row>
    <row r="207" spans="3:5" s="74" customFormat="1" x14ac:dyDescent="0.2">
      <c r="C207" s="74">
        <v>30</v>
      </c>
      <c r="D207" s="74">
        <v>10.7</v>
      </c>
      <c r="E207" s="114">
        <f t="shared" ca="1" si="27"/>
        <v>6.7662294963209885E-2</v>
      </c>
    </row>
    <row r="208" spans="3:5" s="74" customFormat="1" x14ac:dyDescent="0.2">
      <c r="C208" s="74">
        <v>30</v>
      </c>
      <c r="D208" s="74">
        <v>10.8</v>
      </c>
      <c r="E208" s="114">
        <f t="shared" ca="1" si="27"/>
        <v>6.7697215321290735E-2</v>
      </c>
    </row>
    <row r="209" spans="3:5" s="74" customFormat="1" x14ac:dyDescent="0.2">
      <c r="C209" s="74">
        <v>30</v>
      </c>
      <c r="D209" s="74">
        <v>10.9</v>
      </c>
      <c r="E209" s="114">
        <f t="shared" ca="1" si="27"/>
        <v>6.773258771430278E-2</v>
      </c>
    </row>
    <row r="210" spans="3:5" s="74" customFormat="1" x14ac:dyDescent="0.2">
      <c r="C210" s="74">
        <v>30</v>
      </c>
      <c r="D210" s="74">
        <v>11</v>
      </c>
      <c r="E210" s="114">
        <f t="shared" ca="1" si="27"/>
        <v>6.776840978789743E-2</v>
      </c>
    </row>
    <row r="211" spans="3:5" s="74" customFormat="1" x14ac:dyDescent="0.2">
      <c r="C211" s="74">
        <v>30</v>
      </c>
      <c r="D211" s="74">
        <v>11.1</v>
      </c>
      <c r="E211" s="114">
        <f t="shared" ca="1" si="27"/>
        <v>6.7804679187726091E-2</v>
      </c>
    </row>
    <row r="212" spans="3:5" s="74" customFormat="1" x14ac:dyDescent="0.2">
      <c r="C212" s="74">
        <v>30</v>
      </c>
      <c r="D212" s="74">
        <v>11.2</v>
      </c>
      <c r="E212" s="114">
        <f t="shared" ca="1" si="27"/>
        <v>6.7841393559440161E-2</v>
      </c>
    </row>
    <row r="213" spans="3:5" s="74" customFormat="1" x14ac:dyDescent="0.2">
      <c r="C213" s="74">
        <v>30</v>
      </c>
      <c r="D213" s="74">
        <v>11.3</v>
      </c>
      <c r="E213" s="114">
        <f t="shared" ca="1" si="27"/>
        <v>6.7878550548691019E-2</v>
      </c>
    </row>
    <row r="214" spans="3:5" s="74" customFormat="1" x14ac:dyDescent="0.2">
      <c r="C214" s="74">
        <v>30</v>
      </c>
      <c r="D214" s="74">
        <v>11.4</v>
      </c>
      <c r="E214" s="114">
        <f t="shared" ca="1" si="27"/>
        <v>6.7916147801130089E-2</v>
      </c>
    </row>
    <row r="215" spans="3:5" s="74" customFormat="1" x14ac:dyDescent="0.2">
      <c r="C215" s="74">
        <v>30</v>
      </c>
      <c r="D215" s="74">
        <v>11.5</v>
      </c>
      <c r="E215" s="114">
        <f t="shared" ca="1" si="27"/>
        <v>6.7954182962408766E-2</v>
      </c>
    </row>
    <row r="216" spans="3:5" s="74" customFormat="1" x14ac:dyDescent="0.2">
      <c r="C216" s="74">
        <v>30</v>
      </c>
      <c r="D216" s="74">
        <v>11.6</v>
      </c>
      <c r="E216" s="114">
        <f t="shared" ca="1" si="27"/>
        <v>6.7992653678178444E-2</v>
      </c>
    </row>
    <row r="217" spans="3:5" s="74" customFormat="1" x14ac:dyDescent="0.2">
      <c r="C217" s="74">
        <v>30</v>
      </c>
      <c r="D217" s="74">
        <v>11.7</v>
      </c>
      <c r="E217" s="114">
        <f t="shared" ca="1" si="27"/>
        <v>6.8031557594090533E-2</v>
      </c>
    </row>
    <row r="218" spans="3:5" s="74" customFormat="1" x14ac:dyDescent="0.2">
      <c r="C218" s="74">
        <v>30</v>
      </c>
      <c r="D218" s="74">
        <v>11.8</v>
      </c>
      <c r="E218" s="114">
        <f t="shared" ca="1" si="27"/>
        <v>6.8070892355796414E-2</v>
      </c>
    </row>
    <row r="219" spans="3:5" s="74" customFormat="1" x14ac:dyDescent="0.2">
      <c r="C219" s="74">
        <v>30</v>
      </c>
      <c r="D219" s="74">
        <v>11.9</v>
      </c>
      <c r="E219" s="114">
        <f t="shared" ca="1" si="27"/>
        <v>6.811065560894751E-2</v>
      </c>
    </row>
    <row r="220" spans="3:5" s="74" customFormat="1" x14ac:dyDescent="0.2">
      <c r="C220" s="74">
        <v>30</v>
      </c>
      <c r="D220" s="74">
        <v>12</v>
      </c>
      <c r="E220" s="114">
        <f t="shared" ca="1" si="27"/>
        <v>6.8150844999195201E-2</v>
      </c>
    </row>
    <row r="221" spans="3:5" s="74" customFormat="1" x14ac:dyDescent="0.2">
      <c r="C221" s="74">
        <v>30</v>
      </c>
      <c r="D221" s="74">
        <v>12.1</v>
      </c>
      <c r="E221" s="114">
        <f t="shared" ca="1" si="27"/>
        <v>6.8191458172190897E-2</v>
      </c>
    </row>
    <row r="222" spans="3:5" s="74" customFormat="1" x14ac:dyDescent="0.2">
      <c r="C222" s="74">
        <v>30</v>
      </c>
      <c r="D222" s="74">
        <v>12.2</v>
      </c>
      <c r="E222" s="114">
        <f t="shared" ca="1" si="27"/>
        <v>6.8232492773585993E-2</v>
      </c>
    </row>
    <row r="223" spans="3:5" s="74" customFormat="1" x14ac:dyDescent="0.2">
      <c r="C223" s="74">
        <v>30</v>
      </c>
      <c r="D223" s="74">
        <v>12.3</v>
      </c>
      <c r="E223" s="114">
        <f t="shared" ca="1" si="27"/>
        <v>6.8273946449031897E-2</v>
      </c>
    </row>
    <row r="224" spans="3:5" s="74" customFormat="1" x14ac:dyDescent="0.2">
      <c r="C224" s="74">
        <v>30</v>
      </c>
      <c r="D224" s="74">
        <v>12.4</v>
      </c>
      <c r="E224" s="114">
        <f t="shared" ca="1" si="27"/>
        <v>6.8315816844180005E-2</v>
      </c>
    </row>
    <row r="225" spans="3:5" s="74" customFormat="1" x14ac:dyDescent="0.2">
      <c r="C225" s="74">
        <v>30</v>
      </c>
      <c r="D225" s="74">
        <v>12.5</v>
      </c>
      <c r="E225" s="114">
        <f t="shared" ca="1" si="27"/>
        <v>6.8358101604681726E-2</v>
      </c>
    </row>
    <row r="226" spans="3:5" s="74" customFormat="1" x14ac:dyDescent="0.2">
      <c r="C226" s="74">
        <v>30</v>
      </c>
      <c r="D226" s="74">
        <v>12.6</v>
      </c>
      <c r="E226" s="114">
        <f t="shared" ca="1" si="27"/>
        <v>6.840079837618844E-2</v>
      </c>
    </row>
    <row r="227" spans="3:5" s="74" customFormat="1" x14ac:dyDescent="0.2">
      <c r="C227" s="74">
        <v>30</v>
      </c>
      <c r="D227" s="74">
        <v>12.7</v>
      </c>
      <c r="E227" s="114">
        <f t="shared" ca="1" si="27"/>
        <v>6.8443904804351557E-2</v>
      </c>
    </row>
    <row r="228" spans="3:5" s="74" customFormat="1" x14ac:dyDescent="0.2">
      <c r="C228" s="74">
        <v>30</v>
      </c>
      <c r="D228" s="74">
        <v>12.8</v>
      </c>
      <c r="E228" s="114">
        <f t="shared" ref="E228:E291" ca="1" si="28">INDIRECT("a_" &amp; i) * t^3 + INDIRECT("b_" &amp; i) * t^2 + INDIRECT("c_" &amp; i) * t^1 + INDIRECT("d_" &amp; i)</f>
        <v>6.8487418534822486E-2</v>
      </c>
    </row>
    <row r="229" spans="3:5" s="74" customFormat="1" x14ac:dyDescent="0.2">
      <c r="C229" s="74">
        <v>30</v>
      </c>
      <c r="D229" s="74">
        <v>12.9</v>
      </c>
      <c r="E229" s="114">
        <f t="shared" ca="1" si="28"/>
        <v>6.8531337213252622E-2</v>
      </c>
    </row>
    <row r="230" spans="3:5" s="74" customFormat="1" x14ac:dyDescent="0.2">
      <c r="C230" s="74">
        <v>30</v>
      </c>
      <c r="D230" s="74">
        <v>13</v>
      </c>
      <c r="E230" s="114">
        <f t="shared" ca="1" si="28"/>
        <v>6.8575658485293345E-2</v>
      </c>
    </row>
    <row r="231" spans="3:5" s="74" customFormat="1" x14ac:dyDescent="0.2">
      <c r="C231" s="74">
        <v>30</v>
      </c>
      <c r="D231" s="74">
        <v>13.1</v>
      </c>
      <c r="E231" s="114">
        <f t="shared" ca="1" si="28"/>
        <v>6.8620379996596079E-2</v>
      </c>
    </row>
    <row r="232" spans="3:5" s="74" customFormat="1" x14ac:dyDescent="0.2">
      <c r="C232" s="74">
        <v>30</v>
      </c>
      <c r="D232" s="74">
        <v>13.2</v>
      </c>
      <c r="E232" s="114">
        <f t="shared" ca="1" si="28"/>
        <v>6.8665499392812218E-2</v>
      </c>
    </row>
    <row r="233" spans="3:5" s="74" customFormat="1" x14ac:dyDescent="0.2">
      <c r="C233" s="74">
        <v>30</v>
      </c>
      <c r="D233" s="74">
        <v>13.3</v>
      </c>
      <c r="E233" s="114">
        <f t="shared" ca="1" si="28"/>
        <v>6.8711014319593172E-2</v>
      </c>
    </row>
    <row r="234" spans="3:5" s="74" customFormat="1" x14ac:dyDescent="0.2">
      <c r="C234" s="74">
        <v>30</v>
      </c>
      <c r="D234" s="74">
        <v>13.4</v>
      </c>
      <c r="E234" s="114">
        <f t="shared" ca="1" si="28"/>
        <v>6.8756922422590308E-2</v>
      </c>
    </row>
    <row r="235" spans="3:5" s="74" customFormat="1" x14ac:dyDescent="0.2">
      <c r="C235" s="74">
        <v>30</v>
      </c>
      <c r="D235" s="74">
        <v>13.5</v>
      </c>
      <c r="E235" s="114">
        <f t="shared" ca="1" si="28"/>
        <v>6.8803221347455062E-2</v>
      </c>
    </row>
    <row r="236" spans="3:5" s="74" customFormat="1" x14ac:dyDescent="0.2">
      <c r="C236" s="74">
        <v>30</v>
      </c>
      <c r="D236" s="74">
        <v>13.6</v>
      </c>
      <c r="E236" s="114">
        <f t="shared" ca="1" si="28"/>
        <v>6.8849908739838817E-2</v>
      </c>
    </row>
    <row r="237" spans="3:5" s="74" customFormat="1" x14ac:dyDescent="0.2">
      <c r="C237" s="74">
        <v>30</v>
      </c>
      <c r="D237" s="74">
        <v>13.7</v>
      </c>
      <c r="E237" s="114">
        <f t="shared" ca="1" si="28"/>
        <v>6.8896982245392965E-2</v>
      </c>
    </row>
    <row r="238" spans="3:5" s="74" customFormat="1" x14ac:dyDescent="0.2">
      <c r="C238" s="74">
        <v>30</v>
      </c>
      <c r="D238" s="74">
        <v>13.8</v>
      </c>
      <c r="E238" s="114">
        <f t="shared" ca="1" si="28"/>
        <v>6.8944439509768932E-2</v>
      </c>
    </row>
    <row r="239" spans="3:5" s="74" customFormat="1" x14ac:dyDescent="0.2">
      <c r="C239" s="74">
        <v>30</v>
      </c>
      <c r="D239" s="74">
        <v>13.9</v>
      </c>
      <c r="E239" s="114">
        <f t="shared" ca="1" si="28"/>
        <v>6.8992278178618097E-2</v>
      </c>
    </row>
    <row r="240" spans="3:5" s="74" customFormat="1" x14ac:dyDescent="0.2">
      <c r="C240" s="74">
        <v>30</v>
      </c>
      <c r="D240" s="74">
        <v>14</v>
      </c>
      <c r="E240" s="114">
        <f t="shared" ca="1" si="28"/>
        <v>6.9040495897591869E-2</v>
      </c>
    </row>
    <row r="241" spans="3:5" s="74" customFormat="1" x14ac:dyDescent="0.2">
      <c r="C241" s="74">
        <v>30</v>
      </c>
      <c r="D241" s="74">
        <v>14.1</v>
      </c>
      <c r="E241" s="114">
        <f t="shared" ca="1" si="28"/>
        <v>6.9089090312341631E-2</v>
      </c>
    </row>
    <row r="242" spans="3:5" s="74" customFormat="1" x14ac:dyDescent="0.2">
      <c r="C242" s="74">
        <v>30</v>
      </c>
      <c r="D242" s="74">
        <v>14.2</v>
      </c>
      <c r="E242" s="114">
        <f t="shared" ca="1" si="28"/>
        <v>6.9138059068518817E-2</v>
      </c>
    </row>
    <row r="243" spans="3:5" s="74" customFormat="1" x14ac:dyDescent="0.2">
      <c r="C243" s="74">
        <v>30</v>
      </c>
      <c r="D243" s="74">
        <v>14.3</v>
      </c>
      <c r="E243" s="114">
        <f t="shared" ca="1" si="28"/>
        <v>6.9187399811774783E-2</v>
      </c>
    </row>
    <row r="244" spans="3:5" s="74" customFormat="1" x14ac:dyDescent="0.2">
      <c r="C244" s="74">
        <v>30</v>
      </c>
      <c r="D244" s="74">
        <v>14.4</v>
      </c>
      <c r="E244" s="114">
        <f t="shared" ca="1" si="28"/>
        <v>6.9237110187760964E-2</v>
      </c>
    </row>
    <row r="245" spans="3:5" s="74" customFormat="1" x14ac:dyDescent="0.2">
      <c r="C245" s="74">
        <v>30</v>
      </c>
      <c r="D245" s="74">
        <v>14.5</v>
      </c>
      <c r="E245" s="114">
        <f t="shared" ca="1" si="28"/>
        <v>6.9287187842128756E-2</v>
      </c>
    </row>
    <row r="246" spans="3:5" s="74" customFormat="1" x14ac:dyDescent="0.2">
      <c r="C246" s="74">
        <v>30</v>
      </c>
      <c r="D246" s="74">
        <v>14.6</v>
      </c>
      <c r="E246" s="114">
        <f t="shared" ca="1" si="28"/>
        <v>6.9337630420529539E-2</v>
      </c>
    </row>
    <row r="247" spans="3:5" s="74" customFormat="1" x14ac:dyDescent="0.2">
      <c r="C247" s="74">
        <v>30</v>
      </c>
      <c r="D247" s="74">
        <v>14.7</v>
      </c>
      <c r="E247" s="114">
        <f t="shared" ca="1" si="28"/>
        <v>6.9388435568614737E-2</v>
      </c>
    </row>
    <row r="248" spans="3:5" s="74" customFormat="1" x14ac:dyDescent="0.2">
      <c r="C248" s="74">
        <v>30</v>
      </c>
      <c r="D248" s="74">
        <v>14.8</v>
      </c>
      <c r="E248" s="114">
        <f t="shared" ca="1" si="28"/>
        <v>6.943960093203573E-2</v>
      </c>
    </row>
    <row r="249" spans="3:5" s="74" customFormat="1" x14ac:dyDescent="0.2">
      <c r="C249" s="74">
        <v>30</v>
      </c>
      <c r="D249" s="74">
        <v>14.9</v>
      </c>
      <c r="E249" s="114">
        <f t="shared" ca="1" si="28"/>
        <v>6.9491124156443929E-2</v>
      </c>
    </row>
    <row r="250" spans="3:5" s="74" customFormat="1" x14ac:dyDescent="0.2">
      <c r="C250" s="74">
        <v>30</v>
      </c>
      <c r="D250" s="74">
        <v>15</v>
      </c>
      <c r="E250" s="114">
        <f t="shared" ca="1" si="28"/>
        <v>6.9543002887490726E-2</v>
      </c>
    </row>
    <row r="251" spans="3:5" s="74" customFormat="1" x14ac:dyDescent="0.2">
      <c r="C251" s="74">
        <v>30</v>
      </c>
      <c r="D251" s="74">
        <v>15.1</v>
      </c>
      <c r="E251" s="114">
        <f t="shared" ca="1" si="28"/>
        <v>6.9595234770827533E-2</v>
      </c>
    </row>
    <row r="252" spans="3:5" s="74" customFormat="1" x14ac:dyDescent="0.2">
      <c r="C252" s="74">
        <v>30</v>
      </c>
      <c r="D252" s="74">
        <v>15.2</v>
      </c>
      <c r="E252" s="114">
        <f t="shared" ca="1" si="28"/>
        <v>6.9647817452105742E-2</v>
      </c>
    </row>
    <row r="253" spans="3:5" s="74" customFormat="1" x14ac:dyDescent="0.2">
      <c r="C253" s="74">
        <v>30</v>
      </c>
      <c r="D253" s="74">
        <v>15.3</v>
      </c>
      <c r="E253" s="114">
        <f t="shared" ca="1" si="28"/>
        <v>6.9700748576976751E-2</v>
      </c>
    </row>
    <row r="254" spans="3:5" s="74" customFormat="1" x14ac:dyDescent="0.2">
      <c r="C254" s="74">
        <v>30</v>
      </c>
      <c r="D254" s="74">
        <v>15.4</v>
      </c>
      <c r="E254" s="114">
        <f t="shared" ca="1" si="28"/>
        <v>6.9754025791091967E-2</v>
      </c>
    </row>
    <row r="255" spans="3:5" s="74" customFormat="1" x14ac:dyDescent="0.2">
      <c r="C255" s="74">
        <v>30</v>
      </c>
      <c r="D255" s="74">
        <v>15.5</v>
      </c>
      <c r="E255" s="114">
        <f t="shared" ca="1" si="28"/>
        <v>6.9807646740102786E-2</v>
      </c>
    </row>
    <row r="256" spans="3:5" s="74" customFormat="1" x14ac:dyDescent="0.2">
      <c r="C256" s="74">
        <v>30</v>
      </c>
      <c r="D256" s="74">
        <v>15.6</v>
      </c>
      <c r="E256" s="114">
        <f t="shared" ca="1" si="28"/>
        <v>6.9861609069660602E-2</v>
      </c>
    </row>
    <row r="257" spans="3:5" s="74" customFormat="1" x14ac:dyDescent="0.2">
      <c r="C257" s="74">
        <v>30</v>
      </c>
      <c r="D257" s="74">
        <v>15.7</v>
      </c>
      <c r="E257" s="114">
        <f t="shared" ca="1" si="28"/>
        <v>6.9915910425416838E-2</v>
      </c>
    </row>
    <row r="258" spans="3:5" s="74" customFormat="1" x14ac:dyDescent="0.2">
      <c r="C258" s="74">
        <v>30</v>
      </c>
      <c r="D258" s="74">
        <v>15.8</v>
      </c>
      <c r="E258" s="114">
        <f t="shared" ca="1" si="28"/>
        <v>6.9970548453022863E-2</v>
      </c>
    </row>
    <row r="259" spans="3:5" s="74" customFormat="1" x14ac:dyDescent="0.2">
      <c r="C259" s="74">
        <v>30</v>
      </c>
      <c r="D259" s="74">
        <v>15.9</v>
      </c>
      <c r="E259" s="114">
        <f t="shared" ca="1" si="28"/>
        <v>7.0025520798130084E-2</v>
      </c>
    </row>
    <row r="260" spans="3:5" s="74" customFormat="1" x14ac:dyDescent="0.2">
      <c r="C260" s="74">
        <v>30</v>
      </c>
      <c r="D260" s="74">
        <v>16</v>
      </c>
      <c r="E260" s="114">
        <f t="shared" ca="1" si="28"/>
        <v>7.0080825106389924E-2</v>
      </c>
    </row>
    <row r="261" spans="3:5" s="74" customFormat="1" x14ac:dyDescent="0.2">
      <c r="C261" s="74">
        <v>30</v>
      </c>
      <c r="D261" s="74">
        <v>16.100000000000001</v>
      </c>
      <c r="E261" s="114">
        <f t="shared" ca="1" si="28"/>
        <v>7.0136459023453751E-2</v>
      </c>
    </row>
    <row r="262" spans="3:5" s="74" customFormat="1" x14ac:dyDescent="0.2">
      <c r="C262" s="74">
        <v>30</v>
      </c>
      <c r="D262" s="74">
        <v>16.2</v>
      </c>
      <c r="E262" s="114">
        <f t="shared" ca="1" si="28"/>
        <v>7.0192420194973001E-2</v>
      </c>
    </row>
    <row r="263" spans="3:5" s="74" customFormat="1" x14ac:dyDescent="0.2">
      <c r="C263" s="74">
        <v>30</v>
      </c>
      <c r="D263" s="74">
        <v>16.3</v>
      </c>
      <c r="E263" s="114">
        <f t="shared" ca="1" si="28"/>
        <v>7.0248706266599042E-2</v>
      </c>
    </row>
    <row r="264" spans="3:5" s="74" customFormat="1" x14ac:dyDescent="0.2">
      <c r="C264" s="74">
        <v>30</v>
      </c>
      <c r="D264" s="74">
        <v>16.399999999999999</v>
      </c>
      <c r="E264" s="114">
        <f t="shared" ca="1" si="28"/>
        <v>7.0305314883983283E-2</v>
      </c>
    </row>
    <row r="265" spans="3:5" s="74" customFormat="1" x14ac:dyDescent="0.2">
      <c r="C265" s="74">
        <v>30</v>
      </c>
      <c r="D265" s="74">
        <v>16.5</v>
      </c>
      <c r="E265" s="114">
        <f t="shared" ca="1" si="28"/>
        <v>7.0362243692777132E-2</v>
      </c>
    </row>
    <row r="266" spans="3:5" s="74" customFormat="1" x14ac:dyDescent="0.2">
      <c r="C266" s="74">
        <v>30</v>
      </c>
      <c r="D266" s="74">
        <v>16.600000000000001</v>
      </c>
      <c r="E266" s="114">
        <f t="shared" ca="1" si="28"/>
        <v>7.0419490338631985E-2</v>
      </c>
    </row>
    <row r="267" spans="3:5" s="74" customFormat="1" x14ac:dyDescent="0.2">
      <c r="C267" s="74">
        <v>30</v>
      </c>
      <c r="D267" s="74">
        <v>16.7</v>
      </c>
      <c r="E267" s="114">
        <f t="shared" ca="1" si="28"/>
        <v>7.0477052467199236E-2</v>
      </c>
    </row>
    <row r="268" spans="3:5" s="74" customFormat="1" x14ac:dyDescent="0.2">
      <c r="C268" s="74">
        <v>30</v>
      </c>
      <c r="D268" s="74">
        <v>16.8</v>
      </c>
      <c r="E268" s="114">
        <f t="shared" ca="1" si="28"/>
        <v>7.0534927724130295E-2</v>
      </c>
    </row>
    <row r="269" spans="3:5" s="74" customFormat="1" x14ac:dyDescent="0.2">
      <c r="C269" s="74">
        <v>30</v>
      </c>
      <c r="D269" s="74">
        <v>16.899999999999999</v>
      </c>
      <c r="E269" s="114">
        <f t="shared" ca="1" si="28"/>
        <v>7.0593113755076556E-2</v>
      </c>
    </row>
    <row r="270" spans="3:5" s="74" customFormat="1" x14ac:dyDescent="0.2">
      <c r="C270" s="74">
        <v>30</v>
      </c>
      <c r="D270" s="74">
        <v>17</v>
      </c>
      <c r="E270" s="114">
        <f t="shared" ca="1" si="28"/>
        <v>7.0651608205689415E-2</v>
      </c>
    </row>
    <row r="271" spans="3:5" s="74" customFormat="1" x14ac:dyDescent="0.2">
      <c r="C271" s="74">
        <v>30</v>
      </c>
      <c r="D271" s="74">
        <v>17.100000000000001</v>
      </c>
      <c r="E271" s="114">
        <f t="shared" ca="1" si="28"/>
        <v>7.071040872162028E-2</v>
      </c>
    </row>
    <row r="272" spans="3:5" s="74" customFormat="1" x14ac:dyDescent="0.2">
      <c r="C272" s="74">
        <v>30</v>
      </c>
      <c r="D272" s="74">
        <v>17.2</v>
      </c>
      <c r="E272" s="114">
        <f t="shared" ca="1" si="28"/>
        <v>7.0769512948520547E-2</v>
      </c>
    </row>
    <row r="273" spans="3:5" s="74" customFormat="1" x14ac:dyDescent="0.2">
      <c r="C273" s="74">
        <v>30</v>
      </c>
      <c r="D273" s="74">
        <v>17.3</v>
      </c>
      <c r="E273" s="114">
        <f t="shared" ca="1" si="28"/>
        <v>7.0828918532041624E-2</v>
      </c>
    </row>
    <row r="274" spans="3:5" s="74" customFormat="1" x14ac:dyDescent="0.2">
      <c r="C274" s="74">
        <v>30</v>
      </c>
      <c r="D274" s="74">
        <v>17.399999999999999</v>
      </c>
      <c r="E274" s="114">
        <f t="shared" ca="1" si="28"/>
        <v>7.0888623117834892E-2</v>
      </c>
    </row>
    <row r="275" spans="3:5" s="74" customFormat="1" x14ac:dyDescent="0.2">
      <c r="C275" s="74">
        <v>30</v>
      </c>
      <c r="D275" s="74">
        <v>17.5</v>
      </c>
      <c r="E275" s="114">
        <f t="shared" ca="1" si="28"/>
        <v>7.0948624351551776E-2</v>
      </c>
    </row>
    <row r="276" spans="3:5" s="74" customFormat="1" x14ac:dyDescent="0.2">
      <c r="C276" s="74">
        <v>30</v>
      </c>
      <c r="D276" s="74">
        <v>17.600000000000001</v>
      </c>
      <c r="E276" s="114">
        <f t="shared" ca="1" si="28"/>
        <v>7.100891987884364E-2</v>
      </c>
    </row>
    <row r="277" spans="3:5" s="74" customFormat="1" x14ac:dyDescent="0.2">
      <c r="C277" s="74">
        <v>30</v>
      </c>
      <c r="D277" s="74">
        <v>17.7</v>
      </c>
      <c r="E277" s="114">
        <f t="shared" ca="1" si="28"/>
        <v>7.1069507345361924E-2</v>
      </c>
    </row>
    <row r="278" spans="3:5" s="74" customFormat="1" x14ac:dyDescent="0.2">
      <c r="C278" s="74">
        <v>30</v>
      </c>
      <c r="D278" s="74">
        <v>17.8</v>
      </c>
      <c r="E278" s="114">
        <f t="shared" ca="1" si="28"/>
        <v>7.113038439675802E-2</v>
      </c>
    </row>
    <row r="279" spans="3:5" s="74" customFormat="1" x14ac:dyDescent="0.2">
      <c r="C279" s="74">
        <v>30</v>
      </c>
      <c r="D279" s="74">
        <v>17.899999999999999</v>
      </c>
      <c r="E279" s="114">
        <f t="shared" ca="1" si="28"/>
        <v>7.1191548678683297E-2</v>
      </c>
    </row>
    <row r="280" spans="3:5" s="74" customFormat="1" x14ac:dyDescent="0.2">
      <c r="C280" s="74">
        <v>30</v>
      </c>
      <c r="D280" s="74">
        <v>18</v>
      </c>
      <c r="E280" s="114">
        <f t="shared" ca="1" si="28"/>
        <v>7.1252997836789192E-2</v>
      </c>
    </row>
    <row r="281" spans="3:5" s="74" customFormat="1" x14ac:dyDescent="0.2">
      <c r="C281" s="74">
        <v>30</v>
      </c>
      <c r="D281" s="74">
        <v>18.100000000000001</v>
      </c>
      <c r="E281" s="114">
        <f t="shared" ca="1" si="28"/>
        <v>7.1314729516727085E-2</v>
      </c>
    </row>
    <row r="282" spans="3:5" s="74" customFormat="1" x14ac:dyDescent="0.2">
      <c r="C282" s="74">
        <v>30</v>
      </c>
      <c r="D282" s="74">
        <v>18.2</v>
      </c>
      <c r="E282" s="114">
        <f t="shared" ca="1" si="28"/>
        <v>7.1376741364148372E-2</v>
      </c>
    </row>
    <row r="283" spans="3:5" s="74" customFormat="1" x14ac:dyDescent="0.2">
      <c r="C283" s="74">
        <v>30</v>
      </c>
      <c r="D283" s="74">
        <v>18.3</v>
      </c>
      <c r="E283" s="114">
        <f t="shared" ca="1" si="28"/>
        <v>7.1439031024704475E-2</v>
      </c>
    </row>
    <row r="284" spans="3:5" s="74" customFormat="1" x14ac:dyDescent="0.2">
      <c r="C284" s="74">
        <v>30</v>
      </c>
      <c r="D284" s="74">
        <v>18.399999999999999</v>
      </c>
      <c r="E284" s="114">
        <f t="shared" ca="1" si="28"/>
        <v>7.1501596144046775E-2</v>
      </c>
    </row>
    <row r="285" spans="3:5" s="74" customFormat="1" x14ac:dyDescent="0.2">
      <c r="C285" s="74">
        <v>30</v>
      </c>
      <c r="D285" s="74">
        <v>18.5</v>
      </c>
      <c r="E285" s="114">
        <f t="shared" ca="1" si="28"/>
        <v>7.1564434367826682E-2</v>
      </c>
    </row>
    <row r="286" spans="3:5" s="74" customFormat="1" x14ac:dyDescent="0.2">
      <c r="C286" s="74">
        <v>30</v>
      </c>
      <c r="D286" s="74">
        <v>18.600000000000001</v>
      </c>
      <c r="E286" s="114">
        <f t="shared" ca="1" si="28"/>
        <v>7.162754334169559E-2</v>
      </c>
    </row>
    <row r="287" spans="3:5" s="74" customFormat="1" x14ac:dyDescent="0.2">
      <c r="C287" s="74">
        <v>30</v>
      </c>
      <c r="D287" s="74">
        <v>18.7</v>
      </c>
      <c r="E287" s="114">
        <f t="shared" ca="1" si="28"/>
        <v>7.1690920711304895E-2</v>
      </c>
    </row>
    <row r="288" spans="3:5" s="74" customFormat="1" x14ac:dyDescent="0.2">
      <c r="C288" s="74">
        <v>30</v>
      </c>
      <c r="D288" s="74">
        <v>18.8</v>
      </c>
      <c r="E288" s="114">
        <f t="shared" ca="1" si="28"/>
        <v>7.1754564122306005E-2</v>
      </c>
    </row>
    <row r="289" spans="3:5" s="74" customFormat="1" x14ac:dyDescent="0.2">
      <c r="C289" s="74">
        <v>30</v>
      </c>
      <c r="D289" s="74">
        <v>18.899999999999999</v>
      </c>
      <c r="E289" s="114">
        <f t="shared" ca="1" si="28"/>
        <v>7.1818471220350316E-2</v>
      </c>
    </row>
    <row r="290" spans="3:5" s="74" customFormat="1" x14ac:dyDescent="0.2">
      <c r="C290" s="74">
        <v>30</v>
      </c>
      <c r="D290" s="74">
        <v>19</v>
      </c>
      <c r="E290" s="114">
        <f t="shared" ca="1" si="28"/>
        <v>7.1882639651089222E-2</v>
      </c>
    </row>
    <row r="291" spans="3:5" s="74" customFormat="1" x14ac:dyDescent="0.2">
      <c r="C291" s="74">
        <v>30</v>
      </c>
      <c r="D291" s="74">
        <v>19.100000000000001</v>
      </c>
      <c r="E291" s="114">
        <f t="shared" ca="1" si="28"/>
        <v>7.1947067060174147E-2</v>
      </c>
    </row>
    <row r="292" spans="3:5" s="74" customFormat="1" x14ac:dyDescent="0.2">
      <c r="C292" s="74">
        <v>30</v>
      </c>
      <c r="D292" s="74">
        <v>19.2</v>
      </c>
      <c r="E292" s="114">
        <f t="shared" ref="E292:E355" ca="1" si="29">INDIRECT("a_" &amp; i) * t^3 + INDIRECT("b_" &amp; i) * t^2 + INDIRECT("c_" &amp; i) * t^1 + INDIRECT("d_" &amp; i)</f>
        <v>7.2011751093256471E-2</v>
      </c>
    </row>
    <row r="293" spans="3:5" s="74" customFormat="1" x14ac:dyDescent="0.2">
      <c r="C293" s="74">
        <v>30</v>
      </c>
      <c r="D293" s="74">
        <v>19.3</v>
      </c>
      <c r="E293" s="114">
        <f t="shared" ca="1" si="29"/>
        <v>7.2076689395987589E-2</v>
      </c>
    </row>
    <row r="294" spans="3:5" s="74" customFormat="1" x14ac:dyDescent="0.2">
      <c r="C294" s="74">
        <v>30</v>
      </c>
      <c r="D294" s="74">
        <v>19.399999999999999</v>
      </c>
      <c r="E294" s="114">
        <f t="shared" ca="1" si="29"/>
        <v>7.2141879614018911E-2</v>
      </c>
    </row>
    <row r="295" spans="3:5" s="74" customFormat="1" x14ac:dyDescent="0.2">
      <c r="C295" s="74">
        <v>30</v>
      </c>
      <c r="D295" s="74">
        <v>19.5</v>
      </c>
      <c r="E295" s="114">
        <f t="shared" ca="1" si="29"/>
        <v>7.2207319393001845E-2</v>
      </c>
    </row>
    <row r="296" spans="3:5" s="74" customFormat="1" x14ac:dyDescent="0.2">
      <c r="C296" s="74">
        <v>30</v>
      </c>
      <c r="D296" s="74">
        <v>19.600000000000001</v>
      </c>
      <c r="E296" s="114">
        <f t="shared" ca="1" si="29"/>
        <v>7.2273006378587773E-2</v>
      </c>
    </row>
    <row r="297" spans="3:5" s="74" customFormat="1" x14ac:dyDescent="0.2">
      <c r="C297" s="74">
        <v>30</v>
      </c>
      <c r="D297" s="74">
        <v>19.7</v>
      </c>
      <c r="E297" s="114">
        <f t="shared" ca="1" si="29"/>
        <v>7.2338938216428103E-2</v>
      </c>
    </row>
    <row r="298" spans="3:5" s="74" customFormat="1" x14ac:dyDescent="0.2">
      <c r="C298" s="74">
        <v>30</v>
      </c>
      <c r="D298" s="74">
        <v>19.8</v>
      </c>
      <c r="E298" s="114">
        <f t="shared" ca="1" si="29"/>
        <v>7.2405112552174231E-2</v>
      </c>
    </row>
    <row r="299" spans="3:5" s="74" customFormat="1" x14ac:dyDescent="0.2">
      <c r="C299" s="74">
        <v>30</v>
      </c>
      <c r="D299" s="74">
        <v>19.899999999999999</v>
      </c>
      <c r="E299" s="114">
        <f t="shared" ca="1" si="29"/>
        <v>7.2471527031477564E-2</v>
      </c>
    </row>
    <row r="300" spans="3:5" s="74" customFormat="1" x14ac:dyDescent="0.2">
      <c r="C300" s="74">
        <v>30</v>
      </c>
      <c r="D300" s="74">
        <v>20</v>
      </c>
      <c r="E300" s="114">
        <f t="shared" ca="1" si="29"/>
        <v>7.25381792999895E-2</v>
      </c>
    </row>
    <row r="301" spans="3:5" s="74" customFormat="1" x14ac:dyDescent="0.2">
      <c r="C301" s="74">
        <v>30</v>
      </c>
      <c r="D301" s="74">
        <v>20.100000000000001</v>
      </c>
      <c r="E301" s="114">
        <f t="shared" ca="1" si="29"/>
        <v>7.2605067003361445E-2</v>
      </c>
    </row>
    <row r="302" spans="3:5" s="74" customFormat="1" x14ac:dyDescent="0.2">
      <c r="C302" s="74">
        <v>30</v>
      </c>
      <c r="D302" s="74">
        <v>20.2</v>
      </c>
      <c r="E302" s="114">
        <f t="shared" ca="1" si="29"/>
        <v>7.2672187787244782E-2</v>
      </c>
    </row>
    <row r="303" spans="3:5" s="74" customFormat="1" x14ac:dyDescent="0.2">
      <c r="C303" s="74">
        <v>30</v>
      </c>
      <c r="D303" s="74">
        <v>20.3</v>
      </c>
      <c r="E303" s="114">
        <f t="shared" ca="1" si="29"/>
        <v>7.2739539297290934E-2</v>
      </c>
    </row>
    <row r="304" spans="3:5" s="74" customFormat="1" x14ac:dyDescent="0.2">
      <c r="C304" s="74">
        <v>30</v>
      </c>
      <c r="D304" s="74">
        <v>20.399999999999999</v>
      </c>
      <c r="E304" s="114">
        <f t="shared" ca="1" si="29"/>
        <v>7.2807119179151281E-2</v>
      </c>
    </row>
    <row r="305" spans="3:5" s="74" customFormat="1" x14ac:dyDescent="0.2">
      <c r="C305" s="74">
        <v>30</v>
      </c>
      <c r="D305" s="74">
        <v>20.5</v>
      </c>
      <c r="E305" s="114">
        <f t="shared" ca="1" si="29"/>
        <v>7.2874925078477232E-2</v>
      </c>
    </row>
    <row r="306" spans="3:5" s="74" customFormat="1" x14ac:dyDescent="0.2">
      <c r="C306" s="74">
        <v>30</v>
      </c>
      <c r="D306" s="74">
        <v>20.6</v>
      </c>
      <c r="E306" s="114">
        <f t="shared" ca="1" si="29"/>
        <v>7.2942954640920182E-2</v>
      </c>
    </row>
    <row r="307" spans="3:5" s="74" customFormat="1" x14ac:dyDescent="0.2">
      <c r="C307" s="74">
        <v>30</v>
      </c>
      <c r="D307" s="74">
        <v>20.7</v>
      </c>
      <c r="E307" s="114">
        <f t="shared" ca="1" si="29"/>
        <v>7.3011205512131527E-2</v>
      </c>
    </row>
    <row r="308" spans="3:5" s="74" customFormat="1" x14ac:dyDescent="0.2">
      <c r="C308" s="74">
        <v>30</v>
      </c>
      <c r="D308" s="74">
        <v>20.8</v>
      </c>
      <c r="E308" s="114">
        <f t="shared" ca="1" si="29"/>
        <v>7.307967533776269E-2</v>
      </c>
    </row>
    <row r="309" spans="3:5" s="74" customFormat="1" x14ac:dyDescent="0.2">
      <c r="C309" s="74">
        <v>30</v>
      </c>
      <c r="D309" s="74">
        <v>20.9</v>
      </c>
      <c r="E309" s="114">
        <f t="shared" ca="1" si="29"/>
        <v>7.3148361763465036E-2</v>
      </c>
    </row>
    <row r="310" spans="3:5" s="74" customFormat="1" x14ac:dyDescent="0.2">
      <c r="C310" s="74">
        <v>30</v>
      </c>
      <c r="D310" s="74">
        <v>21</v>
      </c>
      <c r="E310" s="114">
        <f t="shared" ca="1" si="29"/>
        <v>7.3217262434890004E-2</v>
      </c>
    </row>
    <row r="311" spans="3:5" s="74" customFormat="1" x14ac:dyDescent="0.2">
      <c r="C311" s="74">
        <v>30</v>
      </c>
      <c r="D311" s="74">
        <v>21.1</v>
      </c>
      <c r="E311" s="114">
        <f t="shared" ca="1" si="29"/>
        <v>7.3286374997688961E-2</v>
      </c>
    </row>
    <row r="312" spans="3:5" s="74" customFormat="1" x14ac:dyDescent="0.2">
      <c r="C312" s="74">
        <v>30</v>
      </c>
      <c r="D312" s="74">
        <v>21.2</v>
      </c>
      <c r="E312" s="114">
        <f t="shared" ca="1" si="29"/>
        <v>7.3355697097513328E-2</v>
      </c>
    </row>
    <row r="313" spans="3:5" s="74" customFormat="1" x14ac:dyDescent="0.2">
      <c r="C313" s="74">
        <v>30</v>
      </c>
      <c r="D313" s="74">
        <v>21.3</v>
      </c>
      <c r="E313" s="114">
        <f t="shared" ca="1" si="29"/>
        <v>7.3425226380014488E-2</v>
      </c>
    </row>
    <row r="314" spans="3:5" s="74" customFormat="1" x14ac:dyDescent="0.2">
      <c r="C314" s="74">
        <v>30</v>
      </c>
      <c r="D314" s="74">
        <v>21.4</v>
      </c>
      <c r="E314" s="114">
        <f t="shared" ca="1" si="29"/>
        <v>7.349496049084385E-2</v>
      </c>
    </row>
    <row r="315" spans="3:5" s="74" customFormat="1" x14ac:dyDescent="0.2">
      <c r="C315" s="74">
        <v>30</v>
      </c>
      <c r="D315" s="74">
        <v>21.5</v>
      </c>
      <c r="E315" s="114">
        <f t="shared" ca="1" si="29"/>
        <v>7.3564897075652821E-2</v>
      </c>
    </row>
    <row r="316" spans="3:5" s="74" customFormat="1" x14ac:dyDescent="0.2">
      <c r="C316" s="74">
        <v>30</v>
      </c>
      <c r="D316" s="74">
        <v>21.6</v>
      </c>
      <c r="E316" s="114">
        <f t="shared" ca="1" si="29"/>
        <v>7.3635033780092798E-2</v>
      </c>
    </row>
    <row r="317" spans="3:5" s="74" customFormat="1" x14ac:dyDescent="0.2">
      <c r="C317" s="74">
        <v>30</v>
      </c>
      <c r="D317" s="74">
        <v>21.7</v>
      </c>
      <c r="E317" s="114">
        <f t="shared" ca="1" si="29"/>
        <v>7.3705368249815162E-2</v>
      </c>
    </row>
    <row r="318" spans="3:5" s="74" customFormat="1" x14ac:dyDescent="0.2">
      <c r="C318" s="74">
        <v>30</v>
      </c>
      <c r="D318" s="74">
        <v>21.8</v>
      </c>
      <c r="E318" s="114">
        <f t="shared" ca="1" si="29"/>
        <v>7.3775898130471335E-2</v>
      </c>
    </row>
    <row r="319" spans="3:5" s="74" customFormat="1" x14ac:dyDescent="0.2">
      <c r="C319" s="74">
        <v>30</v>
      </c>
      <c r="D319" s="74">
        <v>21.9</v>
      </c>
      <c r="E319" s="114">
        <f t="shared" ca="1" si="29"/>
        <v>7.3846621067712712E-2</v>
      </c>
    </row>
    <row r="320" spans="3:5" s="74" customFormat="1" x14ac:dyDescent="0.2">
      <c r="C320" s="74">
        <v>30</v>
      </c>
      <c r="D320" s="74">
        <v>22</v>
      </c>
      <c r="E320" s="114">
        <f t="shared" ca="1" si="29"/>
        <v>7.3917534707190688E-2</v>
      </c>
    </row>
    <row r="321" spans="3:5" s="74" customFormat="1" x14ac:dyDescent="0.2">
      <c r="C321" s="74">
        <v>30</v>
      </c>
      <c r="D321" s="74">
        <v>22.1</v>
      </c>
      <c r="E321" s="114">
        <f t="shared" ca="1" si="29"/>
        <v>7.3988636694556673E-2</v>
      </c>
    </row>
    <row r="322" spans="3:5" s="74" customFormat="1" x14ac:dyDescent="0.2">
      <c r="C322" s="74">
        <v>30</v>
      </c>
      <c r="D322" s="74">
        <v>22.2</v>
      </c>
      <c r="E322" s="114">
        <f t="shared" ca="1" si="29"/>
        <v>7.4059924675462047E-2</v>
      </c>
    </row>
    <row r="323" spans="3:5" s="74" customFormat="1" x14ac:dyDescent="0.2">
      <c r="C323" s="74">
        <v>30</v>
      </c>
      <c r="D323" s="74">
        <v>22.3</v>
      </c>
      <c r="E323" s="114">
        <f t="shared" ca="1" si="29"/>
        <v>7.4131396295558233E-2</v>
      </c>
    </row>
    <row r="324" spans="3:5" s="74" customFormat="1" x14ac:dyDescent="0.2">
      <c r="C324" s="74">
        <v>30</v>
      </c>
      <c r="D324" s="74">
        <v>22.4</v>
      </c>
      <c r="E324" s="114">
        <f t="shared" ca="1" si="29"/>
        <v>7.4203049200496626E-2</v>
      </c>
    </row>
    <row r="325" spans="3:5" s="74" customFormat="1" x14ac:dyDescent="0.2">
      <c r="C325" s="74">
        <v>30</v>
      </c>
      <c r="D325" s="74">
        <v>22.5</v>
      </c>
      <c r="E325" s="114">
        <f t="shared" ca="1" si="29"/>
        <v>7.4274881035928608E-2</v>
      </c>
    </row>
    <row r="326" spans="3:5" s="74" customFormat="1" x14ac:dyDescent="0.2">
      <c r="C326" s="74">
        <v>30</v>
      </c>
      <c r="D326" s="74">
        <v>22.6</v>
      </c>
      <c r="E326" s="114">
        <f t="shared" ca="1" si="29"/>
        <v>7.4346889447505601E-2</v>
      </c>
    </row>
    <row r="327" spans="3:5" s="74" customFormat="1" x14ac:dyDescent="0.2">
      <c r="C327" s="74">
        <v>30</v>
      </c>
      <c r="D327" s="74">
        <v>22.7</v>
      </c>
      <c r="E327" s="114">
        <f t="shared" ca="1" si="29"/>
        <v>7.4419072080878987E-2</v>
      </c>
    </row>
    <row r="328" spans="3:5" s="74" customFormat="1" x14ac:dyDescent="0.2">
      <c r="C328" s="74">
        <v>30</v>
      </c>
      <c r="D328" s="74">
        <v>22.8</v>
      </c>
      <c r="E328" s="114">
        <f t="shared" ca="1" si="29"/>
        <v>7.4491426581700174E-2</v>
      </c>
    </row>
    <row r="329" spans="3:5" s="74" customFormat="1" x14ac:dyDescent="0.2">
      <c r="C329" s="74">
        <v>30</v>
      </c>
      <c r="D329" s="74">
        <v>22.9</v>
      </c>
      <c r="E329" s="114">
        <f t="shared" ca="1" si="29"/>
        <v>7.4563950595620571E-2</v>
      </c>
    </row>
    <row r="330" spans="3:5" s="74" customFormat="1" x14ac:dyDescent="0.2">
      <c r="C330" s="74">
        <v>30</v>
      </c>
      <c r="D330" s="74">
        <v>23</v>
      </c>
      <c r="E330" s="114">
        <f t="shared" ca="1" si="29"/>
        <v>7.4636641768291559E-2</v>
      </c>
    </row>
    <row r="331" spans="3:5" s="74" customFormat="1" x14ac:dyDescent="0.2">
      <c r="C331" s="74">
        <v>30</v>
      </c>
      <c r="D331" s="74">
        <v>23.1</v>
      </c>
      <c r="E331" s="114">
        <f t="shared" ca="1" si="29"/>
        <v>7.4709497745364561E-2</v>
      </c>
    </row>
    <row r="332" spans="3:5" s="74" customFormat="1" x14ac:dyDescent="0.2">
      <c r="C332" s="74">
        <v>30</v>
      </c>
      <c r="D332" s="74">
        <v>23.2</v>
      </c>
      <c r="E332" s="114">
        <f t="shared" ca="1" si="29"/>
        <v>7.4782516172490959E-2</v>
      </c>
    </row>
    <row r="333" spans="3:5" s="74" customFormat="1" x14ac:dyDescent="0.2">
      <c r="C333" s="74">
        <v>30</v>
      </c>
      <c r="D333" s="74">
        <v>23.3</v>
      </c>
      <c r="E333" s="114">
        <f t="shared" ca="1" si="29"/>
        <v>7.4855694695322147E-2</v>
      </c>
    </row>
    <row r="334" spans="3:5" s="74" customFormat="1" x14ac:dyDescent="0.2">
      <c r="C334" s="74">
        <v>30</v>
      </c>
      <c r="D334" s="74">
        <v>23.4</v>
      </c>
      <c r="E334" s="114">
        <f t="shared" ca="1" si="29"/>
        <v>7.4929030959509549E-2</v>
      </c>
    </row>
    <row r="335" spans="3:5" s="74" customFormat="1" x14ac:dyDescent="0.2">
      <c r="C335" s="74">
        <v>30</v>
      </c>
      <c r="D335" s="74">
        <v>23.5</v>
      </c>
      <c r="E335" s="114">
        <f t="shared" ca="1" si="29"/>
        <v>7.5002522610704558E-2</v>
      </c>
    </row>
    <row r="336" spans="3:5" s="74" customFormat="1" x14ac:dyDescent="0.2">
      <c r="C336" s="74">
        <v>30</v>
      </c>
      <c r="D336" s="74">
        <v>23.6</v>
      </c>
      <c r="E336" s="114">
        <f t="shared" ca="1" si="29"/>
        <v>7.5076167294558557E-2</v>
      </c>
    </row>
    <row r="337" spans="3:5" s="74" customFormat="1" x14ac:dyDescent="0.2">
      <c r="C337" s="74">
        <v>30</v>
      </c>
      <c r="D337" s="74">
        <v>23.7</v>
      </c>
      <c r="E337" s="114">
        <f t="shared" ca="1" si="29"/>
        <v>7.5149962656722955E-2</v>
      </c>
    </row>
    <row r="338" spans="3:5" s="74" customFormat="1" x14ac:dyDescent="0.2">
      <c r="C338" s="74">
        <v>30</v>
      </c>
      <c r="D338" s="74">
        <v>23.8</v>
      </c>
      <c r="E338" s="114">
        <f t="shared" ca="1" si="29"/>
        <v>7.5223906342849173E-2</v>
      </c>
    </row>
    <row r="339" spans="3:5" s="74" customFormat="1" x14ac:dyDescent="0.2">
      <c r="C339" s="74">
        <v>30</v>
      </c>
      <c r="D339" s="74">
        <v>23.9</v>
      </c>
      <c r="E339" s="114">
        <f t="shared" ca="1" si="29"/>
        <v>7.5297995998588579E-2</v>
      </c>
    </row>
    <row r="340" spans="3:5" s="74" customFormat="1" x14ac:dyDescent="0.2">
      <c r="C340" s="74">
        <v>30</v>
      </c>
      <c r="D340" s="74">
        <v>24</v>
      </c>
      <c r="E340" s="114">
        <f t="shared" ca="1" si="29"/>
        <v>7.5372229269592583E-2</v>
      </c>
    </row>
    <row r="341" spans="3:5" s="74" customFormat="1" x14ac:dyDescent="0.2">
      <c r="C341" s="74">
        <v>30</v>
      </c>
      <c r="D341" s="74">
        <v>24.1</v>
      </c>
      <c r="E341" s="114">
        <f t="shared" ca="1" si="29"/>
        <v>7.5446603801512593E-2</v>
      </c>
    </row>
    <row r="342" spans="3:5" s="74" customFormat="1" x14ac:dyDescent="0.2">
      <c r="C342" s="74">
        <v>30</v>
      </c>
      <c r="D342" s="74">
        <v>24.2</v>
      </c>
      <c r="E342" s="114">
        <f t="shared" ca="1" si="29"/>
        <v>7.5521117240000005E-2</v>
      </c>
    </row>
    <row r="343" spans="3:5" s="74" customFormat="1" x14ac:dyDescent="0.2">
      <c r="C343" s="74">
        <v>30</v>
      </c>
      <c r="D343" s="74">
        <v>24.3</v>
      </c>
      <c r="E343" s="114">
        <f t="shared" ca="1" si="29"/>
        <v>7.5595767230706212E-2</v>
      </c>
    </row>
    <row r="344" spans="3:5" s="74" customFormat="1" x14ac:dyDescent="0.2">
      <c r="C344" s="74">
        <v>30</v>
      </c>
      <c r="D344" s="74">
        <v>24.4</v>
      </c>
      <c r="E344" s="114">
        <f t="shared" ca="1" si="29"/>
        <v>7.5670551419282625E-2</v>
      </c>
    </row>
    <row r="345" spans="3:5" s="74" customFormat="1" x14ac:dyDescent="0.2">
      <c r="C345" s="74">
        <v>30</v>
      </c>
      <c r="D345" s="74">
        <v>24.5</v>
      </c>
      <c r="E345" s="114">
        <f t="shared" ca="1" si="29"/>
        <v>7.5745467451380652E-2</v>
      </c>
    </row>
    <row r="346" spans="3:5" s="74" customFormat="1" x14ac:dyDescent="0.2">
      <c r="C346" s="74">
        <v>30</v>
      </c>
      <c r="D346" s="74">
        <v>24.6</v>
      </c>
      <c r="E346" s="114">
        <f t="shared" ca="1" si="29"/>
        <v>7.582051297265166E-2</v>
      </c>
    </row>
    <row r="347" spans="3:5" s="74" customFormat="1" x14ac:dyDescent="0.2">
      <c r="C347" s="74">
        <v>30</v>
      </c>
      <c r="D347" s="74">
        <v>24.7</v>
      </c>
      <c r="E347" s="114">
        <f t="shared" ca="1" si="29"/>
        <v>7.5895685628747073E-2</v>
      </c>
    </row>
    <row r="348" spans="3:5" s="74" customFormat="1" x14ac:dyDescent="0.2">
      <c r="C348" s="74">
        <v>30</v>
      </c>
      <c r="D348" s="74">
        <v>24.8</v>
      </c>
      <c r="E348" s="114">
        <f t="shared" ca="1" si="29"/>
        <v>7.5970983065318298E-2</v>
      </c>
    </row>
    <row r="349" spans="3:5" s="74" customFormat="1" x14ac:dyDescent="0.2">
      <c r="C349" s="74">
        <v>30</v>
      </c>
      <c r="D349" s="74">
        <v>24.9</v>
      </c>
      <c r="E349" s="114">
        <f t="shared" ca="1" si="29"/>
        <v>7.6046402928016718E-2</v>
      </c>
    </row>
    <row r="350" spans="3:5" s="74" customFormat="1" x14ac:dyDescent="0.2">
      <c r="C350" s="74">
        <v>30</v>
      </c>
      <c r="D350" s="74">
        <v>25</v>
      </c>
      <c r="E350" s="114">
        <f t="shared" ca="1" si="29"/>
        <v>7.6121942862493741E-2</v>
      </c>
    </row>
    <row r="351" spans="3:5" s="74" customFormat="1" x14ac:dyDescent="0.2">
      <c r="C351" s="74">
        <v>30</v>
      </c>
      <c r="D351" s="74">
        <v>25.1</v>
      </c>
      <c r="E351" s="114">
        <f t="shared" ca="1" si="29"/>
        <v>7.6197600514400762E-2</v>
      </c>
    </row>
    <row r="352" spans="3:5" s="74" customFormat="1" x14ac:dyDescent="0.2">
      <c r="C352" s="74">
        <v>30</v>
      </c>
      <c r="D352" s="74">
        <v>25.2</v>
      </c>
      <c r="E352" s="114">
        <f t="shared" ca="1" si="29"/>
        <v>7.6273373529389177E-2</v>
      </c>
    </row>
    <row r="353" spans="3:5" s="74" customFormat="1" x14ac:dyDescent="0.2">
      <c r="C353" s="74">
        <v>30</v>
      </c>
      <c r="D353" s="74">
        <v>25.3</v>
      </c>
      <c r="E353" s="114">
        <f t="shared" ca="1" si="29"/>
        <v>7.6349259553110407E-2</v>
      </c>
    </row>
    <row r="354" spans="3:5" s="74" customFormat="1" x14ac:dyDescent="0.2">
      <c r="C354" s="74">
        <v>30</v>
      </c>
      <c r="D354" s="74">
        <v>25.4</v>
      </c>
      <c r="E354" s="114">
        <f t="shared" ca="1" si="29"/>
        <v>7.6425256231215835E-2</v>
      </c>
    </row>
    <row r="355" spans="3:5" s="74" customFormat="1" x14ac:dyDescent="0.2">
      <c r="C355" s="74">
        <v>30</v>
      </c>
      <c r="D355" s="74">
        <v>25.5</v>
      </c>
      <c r="E355" s="114">
        <f t="shared" ca="1" si="29"/>
        <v>7.6501361209356855E-2</v>
      </c>
    </row>
    <row r="356" spans="3:5" s="74" customFormat="1" x14ac:dyDescent="0.2">
      <c r="C356" s="74">
        <v>30</v>
      </c>
      <c r="D356" s="74">
        <v>25.6</v>
      </c>
      <c r="E356" s="114">
        <f t="shared" ref="E356:E400" ca="1" si="30">INDIRECT("a_" &amp; i) * t^3 + INDIRECT("b_" &amp; i) * t^2 + INDIRECT("c_" &amp; i) * t^1 + INDIRECT("d_" &amp; i)</f>
        <v>7.657757213318489E-2</v>
      </c>
    </row>
    <row r="357" spans="3:5" s="74" customFormat="1" x14ac:dyDescent="0.2">
      <c r="C357" s="74">
        <v>30</v>
      </c>
      <c r="D357" s="74">
        <v>25.7</v>
      </c>
      <c r="E357" s="114">
        <f t="shared" ca="1" si="30"/>
        <v>7.6653886648351321E-2</v>
      </c>
    </row>
    <row r="358" spans="3:5" s="74" customFormat="1" x14ac:dyDescent="0.2">
      <c r="C358" s="74">
        <v>30</v>
      </c>
      <c r="D358" s="74">
        <v>25.8</v>
      </c>
      <c r="E358" s="114">
        <f t="shared" ca="1" si="30"/>
        <v>7.6730302400507544E-2</v>
      </c>
    </row>
    <row r="359" spans="3:5" s="74" customFormat="1" x14ac:dyDescent="0.2">
      <c r="C359" s="74">
        <v>30</v>
      </c>
      <c r="D359" s="74">
        <v>25.9</v>
      </c>
      <c r="E359" s="114">
        <f t="shared" ca="1" si="30"/>
        <v>7.6806817035304981E-2</v>
      </c>
    </row>
    <row r="360" spans="3:5" s="74" customFormat="1" x14ac:dyDescent="0.2">
      <c r="C360" s="74">
        <v>30</v>
      </c>
      <c r="D360" s="74">
        <v>26</v>
      </c>
      <c r="E360" s="114">
        <f t="shared" ca="1" si="30"/>
        <v>7.6883428198394999E-2</v>
      </c>
    </row>
    <row r="361" spans="3:5" s="74" customFormat="1" x14ac:dyDescent="0.2">
      <c r="C361" s="74">
        <v>30</v>
      </c>
      <c r="D361" s="74">
        <v>26.1</v>
      </c>
      <c r="E361" s="114">
        <f t="shared" ca="1" si="30"/>
        <v>7.6960133535429034E-2</v>
      </c>
    </row>
    <row r="362" spans="3:5" s="74" customFormat="1" x14ac:dyDescent="0.2">
      <c r="C362" s="74">
        <v>30</v>
      </c>
      <c r="D362" s="74">
        <v>26.2</v>
      </c>
      <c r="E362" s="114">
        <f t="shared" ca="1" si="30"/>
        <v>7.703693069205847E-2</v>
      </c>
    </row>
    <row r="363" spans="3:5" s="74" customFormat="1" x14ac:dyDescent="0.2">
      <c r="C363" s="74">
        <v>30</v>
      </c>
      <c r="D363" s="74">
        <v>26.3</v>
      </c>
      <c r="E363" s="114">
        <f t="shared" ca="1" si="30"/>
        <v>7.7113817313934713E-2</v>
      </c>
    </row>
    <row r="364" spans="3:5" s="74" customFormat="1" x14ac:dyDescent="0.2">
      <c r="C364" s="74">
        <v>30</v>
      </c>
      <c r="D364" s="74">
        <v>26.4</v>
      </c>
      <c r="E364" s="114">
        <f t="shared" ca="1" si="30"/>
        <v>7.7190791046709131E-2</v>
      </c>
    </row>
    <row r="365" spans="3:5" s="74" customFormat="1" x14ac:dyDescent="0.2">
      <c r="C365" s="74">
        <v>30</v>
      </c>
      <c r="D365" s="74">
        <v>26.5</v>
      </c>
      <c r="E365" s="114">
        <f t="shared" ca="1" si="30"/>
        <v>7.7267849536033176E-2</v>
      </c>
    </row>
    <row r="366" spans="3:5" s="74" customFormat="1" x14ac:dyDescent="0.2">
      <c r="C366" s="74">
        <v>30</v>
      </c>
      <c r="D366" s="74">
        <v>26.6</v>
      </c>
      <c r="E366" s="114">
        <f t="shared" ca="1" si="30"/>
        <v>7.7344990427558213E-2</v>
      </c>
    </row>
    <row r="367" spans="3:5" s="74" customFormat="1" x14ac:dyDescent="0.2">
      <c r="C367" s="74">
        <v>30</v>
      </c>
      <c r="D367" s="74">
        <v>26.7</v>
      </c>
      <c r="E367" s="114">
        <f t="shared" ca="1" si="30"/>
        <v>7.7422211366935639E-2</v>
      </c>
    </row>
    <row r="368" spans="3:5" s="74" customFormat="1" x14ac:dyDescent="0.2">
      <c r="C368" s="74">
        <v>30</v>
      </c>
      <c r="D368" s="74">
        <v>26.8</v>
      </c>
      <c r="E368" s="114">
        <f t="shared" ca="1" si="30"/>
        <v>7.749950999981689E-2</v>
      </c>
    </row>
    <row r="369" spans="3:5" s="74" customFormat="1" x14ac:dyDescent="0.2">
      <c r="C369" s="74">
        <v>30</v>
      </c>
      <c r="D369" s="74">
        <v>26.9</v>
      </c>
      <c r="E369" s="114">
        <f t="shared" ca="1" si="30"/>
        <v>7.7576883971853319E-2</v>
      </c>
    </row>
    <row r="370" spans="3:5" s="74" customFormat="1" x14ac:dyDescent="0.2">
      <c r="C370" s="74">
        <v>30</v>
      </c>
      <c r="D370" s="74">
        <v>27</v>
      </c>
      <c r="E370" s="114">
        <f t="shared" ca="1" si="30"/>
        <v>7.7654330928696363E-2</v>
      </c>
    </row>
    <row r="371" spans="3:5" s="74" customFormat="1" x14ac:dyDescent="0.2">
      <c r="C371" s="74">
        <v>30</v>
      </c>
      <c r="D371" s="74">
        <v>27.1</v>
      </c>
      <c r="E371" s="114">
        <f t="shared" ca="1" si="30"/>
        <v>7.7731848515997404E-2</v>
      </c>
    </row>
    <row r="372" spans="3:5" s="74" customFormat="1" x14ac:dyDescent="0.2">
      <c r="C372" s="74">
        <v>30</v>
      </c>
      <c r="D372" s="74">
        <v>27.2</v>
      </c>
      <c r="E372" s="114">
        <f t="shared" ca="1" si="30"/>
        <v>7.7809434379407835E-2</v>
      </c>
    </row>
    <row r="373" spans="3:5" s="74" customFormat="1" x14ac:dyDescent="0.2">
      <c r="C373" s="74">
        <v>30</v>
      </c>
      <c r="D373" s="74">
        <v>27.3</v>
      </c>
      <c r="E373" s="114">
        <f t="shared" ca="1" si="30"/>
        <v>7.7887086164579081E-2</v>
      </c>
    </row>
    <row r="374" spans="3:5" s="74" customFormat="1" x14ac:dyDescent="0.2">
      <c r="C374" s="74">
        <v>30</v>
      </c>
      <c r="D374" s="74">
        <v>27.4</v>
      </c>
      <c r="E374" s="114">
        <f t="shared" ca="1" si="30"/>
        <v>7.7964801517162521E-2</v>
      </c>
    </row>
    <row r="375" spans="3:5" s="74" customFormat="1" x14ac:dyDescent="0.2">
      <c r="C375" s="74">
        <v>30</v>
      </c>
      <c r="D375" s="74">
        <v>27.5</v>
      </c>
      <c r="E375" s="114">
        <f t="shared" ca="1" si="30"/>
        <v>7.8042578082809566E-2</v>
      </c>
    </row>
    <row r="376" spans="3:5" s="74" customFormat="1" x14ac:dyDescent="0.2">
      <c r="C376" s="74">
        <v>30</v>
      </c>
      <c r="D376" s="74">
        <v>27.6</v>
      </c>
      <c r="E376" s="114">
        <f t="shared" ca="1" si="30"/>
        <v>7.812041350717161E-2</v>
      </c>
    </row>
    <row r="377" spans="3:5" s="74" customFormat="1" x14ac:dyDescent="0.2">
      <c r="C377" s="74">
        <v>30</v>
      </c>
      <c r="D377" s="74">
        <v>27.7</v>
      </c>
      <c r="E377" s="114">
        <f t="shared" ca="1" si="30"/>
        <v>7.8198305435900048E-2</v>
      </c>
    </row>
    <row r="378" spans="3:5" s="74" customFormat="1" x14ac:dyDescent="0.2">
      <c r="C378" s="74">
        <v>30</v>
      </c>
      <c r="D378" s="74">
        <v>27.8</v>
      </c>
      <c r="E378" s="114">
        <f t="shared" ca="1" si="30"/>
        <v>7.8276251514646303E-2</v>
      </c>
    </row>
    <row r="379" spans="3:5" s="74" customFormat="1" x14ac:dyDescent="0.2">
      <c r="C379" s="74">
        <v>30</v>
      </c>
      <c r="D379" s="74">
        <v>27.9</v>
      </c>
      <c r="E379" s="114">
        <f t="shared" ca="1" si="30"/>
        <v>7.8354249389061742E-2</v>
      </c>
    </row>
    <row r="380" spans="3:5" s="74" customFormat="1" x14ac:dyDescent="0.2">
      <c r="C380" s="74">
        <v>30</v>
      </c>
      <c r="D380" s="74">
        <v>28</v>
      </c>
      <c r="E380" s="114">
        <f t="shared" ca="1" si="30"/>
        <v>7.8432296704797788E-2</v>
      </c>
    </row>
    <row r="381" spans="3:5" s="74" customFormat="1" x14ac:dyDescent="0.2">
      <c r="C381" s="74">
        <v>30</v>
      </c>
      <c r="D381" s="74">
        <v>28.1</v>
      </c>
      <c r="E381" s="114">
        <f t="shared" ca="1" si="30"/>
        <v>7.8510391107505836E-2</v>
      </c>
    </row>
    <row r="382" spans="3:5" s="74" customFormat="1" x14ac:dyDescent="0.2">
      <c r="C382" s="74">
        <v>30</v>
      </c>
      <c r="D382" s="74">
        <v>28.2</v>
      </c>
      <c r="E382" s="114">
        <f t="shared" ca="1" si="30"/>
        <v>7.8588530242837268E-2</v>
      </c>
    </row>
    <row r="383" spans="3:5" s="74" customFormat="1" x14ac:dyDescent="0.2">
      <c r="C383" s="74">
        <v>30</v>
      </c>
      <c r="D383" s="74">
        <v>28.3</v>
      </c>
      <c r="E383" s="114">
        <f t="shared" ca="1" si="30"/>
        <v>7.8666711756443519E-2</v>
      </c>
    </row>
    <row r="384" spans="3:5" s="74" customFormat="1" x14ac:dyDescent="0.2">
      <c r="C384" s="74">
        <v>30</v>
      </c>
      <c r="D384" s="74">
        <v>28.4</v>
      </c>
      <c r="E384" s="114">
        <f t="shared" ca="1" si="30"/>
        <v>7.8744933293975972E-2</v>
      </c>
    </row>
    <row r="385" spans="3:5" s="74" customFormat="1" x14ac:dyDescent="0.2">
      <c r="C385" s="74">
        <v>30</v>
      </c>
      <c r="D385" s="74">
        <v>28.5</v>
      </c>
      <c r="E385" s="114">
        <f t="shared" ca="1" si="30"/>
        <v>7.882319250108602E-2</v>
      </c>
    </row>
    <row r="386" spans="3:5" s="74" customFormat="1" x14ac:dyDescent="0.2">
      <c r="C386" s="74">
        <v>30</v>
      </c>
      <c r="D386" s="74">
        <v>28.6</v>
      </c>
      <c r="E386" s="114">
        <f t="shared" ca="1" si="30"/>
        <v>7.890148702342506E-2</v>
      </c>
    </row>
    <row r="387" spans="3:5" s="74" customFormat="1" x14ac:dyDescent="0.2">
      <c r="C387" s="74">
        <v>30</v>
      </c>
      <c r="D387" s="74">
        <v>28.7</v>
      </c>
      <c r="E387" s="114">
        <f t="shared" ca="1" si="30"/>
        <v>7.8979814506644513E-2</v>
      </c>
    </row>
    <row r="388" spans="3:5" s="74" customFormat="1" x14ac:dyDescent="0.2">
      <c r="C388" s="74">
        <v>30</v>
      </c>
      <c r="D388" s="74">
        <v>28.8</v>
      </c>
      <c r="E388" s="114">
        <f t="shared" ca="1" si="30"/>
        <v>7.9058172596395762E-2</v>
      </c>
    </row>
    <row r="389" spans="3:5" s="74" customFormat="1" x14ac:dyDescent="0.2">
      <c r="C389" s="74">
        <v>30</v>
      </c>
      <c r="D389" s="74">
        <v>28.9</v>
      </c>
      <c r="E389" s="114">
        <f t="shared" ca="1" si="30"/>
        <v>7.9136558938330215E-2</v>
      </c>
    </row>
    <row r="390" spans="3:5" s="74" customFormat="1" x14ac:dyDescent="0.2">
      <c r="C390" s="74">
        <v>30</v>
      </c>
      <c r="D390" s="74">
        <v>29</v>
      </c>
      <c r="E390" s="114">
        <f t="shared" ca="1" si="30"/>
        <v>7.9214971178099253E-2</v>
      </c>
    </row>
    <row r="391" spans="3:5" s="74" customFormat="1" x14ac:dyDescent="0.2">
      <c r="C391" s="74">
        <v>30</v>
      </c>
      <c r="D391" s="74">
        <v>29.1</v>
      </c>
      <c r="E391" s="114">
        <f t="shared" ca="1" si="30"/>
        <v>7.9293406961354312E-2</v>
      </c>
    </row>
    <row r="392" spans="3:5" s="74" customFormat="1" x14ac:dyDescent="0.2">
      <c r="C392" s="74">
        <v>30</v>
      </c>
      <c r="D392" s="74">
        <v>29.2</v>
      </c>
      <c r="E392" s="114">
        <f t="shared" ca="1" si="30"/>
        <v>7.9371863933746761E-2</v>
      </c>
    </row>
    <row r="393" spans="3:5" s="74" customFormat="1" x14ac:dyDescent="0.2">
      <c r="C393" s="74">
        <v>30</v>
      </c>
      <c r="D393" s="74">
        <v>29.3</v>
      </c>
      <c r="E393" s="114">
        <f t="shared" ca="1" si="30"/>
        <v>7.9450339740928008E-2</v>
      </c>
    </row>
    <row r="394" spans="3:5" s="74" customFormat="1" x14ac:dyDescent="0.2">
      <c r="C394" s="74">
        <v>30</v>
      </c>
      <c r="D394" s="74">
        <v>29.4</v>
      </c>
      <c r="E394" s="114">
        <f t="shared" ca="1" si="30"/>
        <v>7.9528832028549448E-2</v>
      </c>
    </row>
    <row r="395" spans="3:5" s="74" customFormat="1" x14ac:dyDescent="0.2">
      <c r="C395" s="74">
        <v>30</v>
      </c>
      <c r="D395" s="74">
        <v>29.5</v>
      </c>
      <c r="E395" s="114">
        <f t="shared" ca="1" si="30"/>
        <v>7.9607338442262504E-2</v>
      </c>
    </row>
    <row r="396" spans="3:5" s="74" customFormat="1" x14ac:dyDescent="0.2">
      <c r="C396" s="74">
        <v>30</v>
      </c>
      <c r="D396" s="74">
        <v>29.6</v>
      </c>
      <c r="E396" s="114">
        <f t="shared" ca="1" si="30"/>
        <v>7.9685856627718557E-2</v>
      </c>
    </row>
    <row r="397" spans="3:5" s="74" customFormat="1" x14ac:dyDescent="0.2">
      <c r="C397" s="74">
        <v>30</v>
      </c>
      <c r="D397" s="74">
        <v>29.7</v>
      </c>
      <c r="E397" s="114">
        <f t="shared" ca="1" si="30"/>
        <v>7.9764384230569002E-2</v>
      </c>
    </row>
    <row r="398" spans="3:5" s="74" customFormat="1" x14ac:dyDescent="0.2">
      <c r="C398" s="74">
        <v>30</v>
      </c>
      <c r="D398" s="74">
        <v>29.8</v>
      </c>
      <c r="E398" s="114">
        <f t="shared" ca="1" si="30"/>
        <v>7.9842918896465262E-2</v>
      </c>
    </row>
    <row r="399" spans="3:5" s="74" customFormat="1" x14ac:dyDescent="0.2">
      <c r="C399" s="74">
        <v>30</v>
      </c>
      <c r="D399" s="74">
        <v>29.9</v>
      </c>
      <c r="E399" s="114">
        <f t="shared" ca="1" si="30"/>
        <v>7.9921458271058704E-2</v>
      </c>
    </row>
    <row r="400" spans="3:5" s="74" customFormat="1" x14ac:dyDescent="0.2">
      <c r="C400" s="74">
        <v>30</v>
      </c>
      <c r="D400" s="74">
        <v>30</v>
      </c>
      <c r="E400" s="114">
        <f t="shared" ca="1" si="30"/>
        <v>8.0000000000000751E-2</v>
      </c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E6846-6C1E-8549-BC46-E2A15C78D02A}">
  <sheetPr codeName="Sheet54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74"/>
    <col min="4" max="4" width="22.33203125" style="74" bestFit="1" customWidth="1"/>
    <col min="5" max="5" width="10.83203125" style="74"/>
    <col min="6" max="38" width="3.83203125" style="74" customWidth="1"/>
    <col min="39" max="39" width="5.1640625" style="74" bestFit="1" customWidth="1"/>
    <col min="40" max="40" width="7" style="74" bestFit="1" customWidth="1"/>
    <col min="41" max="42" width="3.83203125" customWidth="1"/>
    <col min="44" max="16384" width="10.83203125" style="74"/>
  </cols>
  <sheetData>
    <row r="1" spans="1:43" x14ac:dyDescent="0.2">
      <c r="A1" s="74" t="s">
        <v>257</v>
      </c>
      <c r="AO1" s="74"/>
      <c r="AP1" s="74"/>
      <c r="AQ1" s="74"/>
    </row>
    <row r="2" spans="1:43" s="73" customFormat="1" ht="26" x14ac:dyDescent="0.3"/>
    <row r="3" spans="1:43" ht="29" x14ac:dyDescent="0.3">
      <c r="C3" s="73" t="s">
        <v>206</v>
      </c>
      <c r="AO3" s="74"/>
      <c r="AP3" s="74"/>
      <c r="AQ3" s="74"/>
    </row>
    <row r="4" spans="1:43" ht="26" x14ac:dyDescent="0.3">
      <c r="C4" s="73"/>
      <c r="AO4" s="74"/>
      <c r="AP4" s="74"/>
      <c r="AQ4" s="74"/>
    </row>
    <row r="5" spans="1:43" ht="29" x14ac:dyDescent="0.3">
      <c r="C5" s="73" t="s">
        <v>207</v>
      </c>
      <c r="AO5" s="74"/>
      <c r="AP5" s="74"/>
      <c r="AQ5" s="74"/>
    </row>
    <row r="6" spans="1:43" ht="26" x14ac:dyDescent="0.3">
      <c r="C6" s="73"/>
      <c r="AO6" s="74"/>
      <c r="AP6" s="74"/>
      <c r="AQ6" s="74"/>
    </row>
    <row r="7" spans="1:43" ht="26" x14ac:dyDescent="0.3">
      <c r="C7" s="73" t="s">
        <v>208</v>
      </c>
      <c r="AO7" s="74"/>
      <c r="AP7" s="74"/>
      <c r="AQ7" s="74"/>
    </row>
    <row r="8" spans="1:43" x14ac:dyDescent="0.2">
      <c r="AO8" s="74"/>
      <c r="AP8" s="74"/>
      <c r="AQ8" s="74"/>
    </row>
    <row r="9" spans="1:43" x14ac:dyDescent="0.2">
      <c r="AO9" s="74"/>
      <c r="AP9" s="74"/>
      <c r="AQ9" s="74"/>
    </row>
    <row r="10" spans="1:43" x14ac:dyDescent="0.2">
      <c r="AO10" s="74"/>
      <c r="AP10" s="74"/>
      <c r="AQ10" s="74"/>
    </row>
    <row r="11" spans="1:43" x14ac:dyDescent="0.2">
      <c r="B11" s="55" t="s">
        <v>184</v>
      </c>
      <c r="C11" s="55" t="s">
        <v>185</v>
      </c>
      <c r="AO11" s="74"/>
      <c r="AP11" s="74"/>
      <c r="AQ11" s="74"/>
    </row>
    <row r="12" spans="1:43" x14ac:dyDescent="0.2">
      <c r="B12" s="74">
        <v>0</v>
      </c>
      <c r="C12" s="90">
        <v>0</v>
      </c>
      <c r="D12" s="91"/>
      <c r="AO12" s="74"/>
      <c r="AP12" s="74"/>
      <c r="AQ12" s="74"/>
    </row>
    <row r="13" spans="1:43" x14ac:dyDescent="0.2">
      <c r="B13" s="74">
        <v>1</v>
      </c>
      <c r="C13" s="90">
        <v>0.02</v>
      </c>
      <c r="D13" s="91"/>
      <c r="AO13" s="74"/>
      <c r="AP13" s="74"/>
      <c r="AQ13" s="74"/>
    </row>
    <row r="14" spans="1:43" x14ac:dyDescent="0.2">
      <c r="B14" s="74">
        <v>2</v>
      </c>
      <c r="C14" s="90">
        <v>3.7869296080000003E-2</v>
      </c>
      <c r="D14" s="91"/>
      <c r="AO14" s="74"/>
      <c r="AP14" s="74"/>
      <c r="AQ14" s="74"/>
    </row>
    <row r="15" spans="1:43" x14ac:dyDescent="0.2">
      <c r="B15" s="74">
        <v>3</v>
      </c>
      <c r="C15" s="90">
        <v>4.4685005659999999E-2</v>
      </c>
      <c r="D15" s="91"/>
      <c r="AO15" s="74"/>
      <c r="AP15" s="74"/>
      <c r="AQ15" s="74"/>
    </row>
    <row r="16" spans="1:43" x14ac:dyDescent="0.2">
      <c r="B16" s="74">
        <v>4</v>
      </c>
      <c r="C16" s="90">
        <v>5.1500715240000002E-2</v>
      </c>
      <c r="D16" s="91"/>
      <c r="AO16" s="74"/>
      <c r="AP16" s="74"/>
      <c r="AQ16" s="74"/>
    </row>
    <row r="17" spans="2:43" x14ac:dyDescent="0.2">
      <c r="B17" s="74">
        <v>5</v>
      </c>
      <c r="C17" s="90">
        <v>5.8316424819999997E-2</v>
      </c>
      <c r="D17" s="91"/>
      <c r="AO17" s="74"/>
      <c r="AP17" s="74"/>
      <c r="AQ17" s="74"/>
    </row>
    <row r="18" spans="2:43" x14ac:dyDescent="0.2">
      <c r="B18" s="74">
        <v>7</v>
      </c>
      <c r="C18" s="90">
        <v>6.51321344E-2</v>
      </c>
      <c r="D18" s="91"/>
      <c r="AO18" s="74"/>
      <c r="AP18" s="74"/>
      <c r="AQ18" s="74"/>
    </row>
    <row r="19" spans="2:43" x14ac:dyDescent="0.2">
      <c r="B19" s="74">
        <v>10</v>
      </c>
      <c r="C19" s="90">
        <v>6.7430707199999995E-2</v>
      </c>
      <c r="D19" s="91"/>
      <c r="AO19" s="74"/>
      <c r="AP19" s="74"/>
      <c r="AQ19" s="74"/>
    </row>
    <row r="20" spans="2:43" x14ac:dyDescent="0.2">
      <c r="B20" s="74">
        <v>30</v>
      </c>
      <c r="C20" s="90">
        <v>0.08</v>
      </c>
      <c r="D20" s="91"/>
      <c r="AO20" s="74"/>
      <c r="AP20" s="74"/>
      <c r="AQ20" s="74"/>
    </row>
    <row r="21" spans="2:43" x14ac:dyDescent="0.2">
      <c r="AO21" s="74"/>
      <c r="AP21" s="74"/>
      <c r="AQ21" s="74"/>
    </row>
    <row r="22" spans="2:43" x14ac:dyDescent="0.2">
      <c r="AO22" s="74"/>
      <c r="AP22" s="74"/>
      <c r="AQ22" s="74"/>
    </row>
    <row r="23" spans="2:43" x14ac:dyDescent="0.2">
      <c r="AO23" s="74"/>
      <c r="AP23" s="74"/>
      <c r="AQ23" s="74"/>
    </row>
    <row r="24" spans="2:43" x14ac:dyDescent="0.2">
      <c r="AO24" s="74"/>
      <c r="AP24" s="74"/>
      <c r="AQ24" s="74"/>
    </row>
    <row r="25" spans="2:43" x14ac:dyDescent="0.2">
      <c r="AO25" s="74"/>
      <c r="AP25" s="74"/>
      <c r="AQ25" s="74"/>
    </row>
    <row r="26" spans="2:43" x14ac:dyDescent="0.2">
      <c r="AO26" s="74"/>
      <c r="AP26" s="74"/>
      <c r="AQ26" s="74"/>
    </row>
    <row r="27" spans="2:43" s="83" customFormat="1" x14ac:dyDescent="0.2">
      <c r="B27" s="83" t="s">
        <v>209</v>
      </c>
      <c r="C27" s="83" t="s">
        <v>210</v>
      </c>
      <c r="D27" s="83" t="s">
        <v>192</v>
      </c>
      <c r="F27" s="116" t="s">
        <v>296</v>
      </c>
      <c r="G27" s="116" t="s">
        <v>297</v>
      </c>
      <c r="H27" s="116" t="s">
        <v>298</v>
      </c>
      <c r="I27" s="116" t="s">
        <v>299</v>
      </c>
      <c r="J27" s="116" t="s">
        <v>300</v>
      </c>
      <c r="K27" s="116" t="s">
        <v>301</v>
      </c>
      <c r="L27" s="116" t="s">
        <v>302</v>
      </c>
      <c r="M27" s="116" t="s">
        <v>303</v>
      </c>
      <c r="N27" s="116" t="s">
        <v>304</v>
      </c>
      <c r="O27" s="116" t="s">
        <v>305</v>
      </c>
      <c r="P27" s="116" t="s">
        <v>306</v>
      </c>
      <c r="Q27" s="116" t="s">
        <v>307</v>
      </c>
      <c r="R27" s="93" t="s">
        <v>308</v>
      </c>
      <c r="S27" s="93" t="s">
        <v>309</v>
      </c>
      <c r="T27" s="93" t="s">
        <v>310</v>
      </c>
      <c r="U27" s="93" t="s">
        <v>311</v>
      </c>
      <c r="V27" s="93" t="s">
        <v>312</v>
      </c>
      <c r="W27" s="93" t="s">
        <v>313</v>
      </c>
      <c r="X27" s="93" t="s">
        <v>314</v>
      </c>
      <c r="Y27" s="93" t="s">
        <v>315</v>
      </c>
      <c r="Z27" s="93" t="s">
        <v>316</v>
      </c>
      <c r="AA27" s="93" t="s">
        <v>317</v>
      </c>
      <c r="AB27" s="93" t="s">
        <v>318</v>
      </c>
      <c r="AC27" s="93" t="s">
        <v>319</v>
      </c>
      <c r="AD27" s="93" t="s">
        <v>320</v>
      </c>
      <c r="AE27" s="93" t="s">
        <v>321</v>
      </c>
      <c r="AF27" s="93" t="s">
        <v>322</v>
      </c>
      <c r="AG27" s="93" t="s">
        <v>323</v>
      </c>
      <c r="AH27" s="93" t="s">
        <v>292</v>
      </c>
      <c r="AI27" s="93" t="s">
        <v>293</v>
      </c>
      <c r="AJ27" s="93" t="s">
        <v>324</v>
      </c>
      <c r="AK27" s="93" t="s">
        <v>325</v>
      </c>
      <c r="AL27" s="93"/>
      <c r="AM27" s="93"/>
      <c r="AN27" s="83" t="s">
        <v>291</v>
      </c>
      <c r="AO27" s="74"/>
      <c r="AP27" s="74"/>
      <c r="AQ27" s="74"/>
    </row>
    <row r="28" spans="2:43" x14ac:dyDescent="0.2">
      <c r="B28" s="55" t="str">
        <f>"y(" &amp; D28 &amp; ")"</f>
        <v>y(1)</v>
      </c>
      <c r="C28" s="74">
        <f>VLOOKUP(D28,$B$12:$C$20,2,0)</f>
        <v>0.02</v>
      </c>
      <c r="D28" s="74">
        <v>1</v>
      </c>
      <c r="F28" s="94">
        <f>time^3</f>
        <v>1</v>
      </c>
      <c r="G28" s="95">
        <f>time^2</f>
        <v>1</v>
      </c>
      <c r="H28" s="95">
        <f>time^1</f>
        <v>1</v>
      </c>
      <c r="I28" s="95">
        <f>time^0</f>
        <v>1</v>
      </c>
      <c r="J28" s="95">
        <v>0</v>
      </c>
      <c r="K28" s="95">
        <v>0</v>
      </c>
      <c r="L28" s="95">
        <v>0</v>
      </c>
      <c r="M28" s="96">
        <v>0</v>
      </c>
      <c r="N28" s="95"/>
      <c r="O28" s="95"/>
      <c r="P28" s="95"/>
      <c r="Q28" s="95"/>
      <c r="R28" s="95"/>
      <c r="S28" s="97"/>
      <c r="T28" s="95"/>
      <c r="U28" s="95"/>
      <c r="V28" s="95"/>
      <c r="W28" s="95"/>
      <c r="X28" s="95"/>
      <c r="Y28" s="95"/>
      <c r="Z28" s="95"/>
      <c r="AA28" s="95"/>
      <c r="AB28" s="95"/>
      <c r="AC28" s="95"/>
      <c r="AD28" s="95"/>
      <c r="AE28" s="95"/>
      <c r="AF28" s="95"/>
      <c r="AG28" s="95"/>
      <c r="AH28" s="95"/>
      <c r="AI28" s="95"/>
      <c r="AJ28" s="95"/>
      <c r="AK28" s="96"/>
      <c r="AM28" s="74" t="str">
        <f>"a_"&amp; time</f>
        <v>a_1</v>
      </c>
      <c r="AN28" s="98">
        <v>9.6395439749487923E-3</v>
      </c>
      <c r="AO28" s="74"/>
      <c r="AP28" s="74"/>
      <c r="AQ28" s="74"/>
    </row>
    <row r="29" spans="2:43" x14ac:dyDescent="0.2">
      <c r="B29" s="55" t="str">
        <f t="shared" ref="B29:B37" si="0">"y(" &amp; D29 &amp; ")"</f>
        <v>y(1)</v>
      </c>
      <c r="C29" s="74">
        <f>VLOOKUP(D29,$B$12:$C$20,2,0)</f>
        <v>0.02</v>
      </c>
      <c r="D29" s="74">
        <v>1</v>
      </c>
      <c r="F29" s="99">
        <v>0</v>
      </c>
      <c r="G29" s="100">
        <v>0</v>
      </c>
      <c r="H29" s="100">
        <v>0</v>
      </c>
      <c r="I29" s="100">
        <v>0</v>
      </c>
      <c r="J29" s="100">
        <f>time^3</f>
        <v>1</v>
      </c>
      <c r="K29" s="100">
        <f>time^2</f>
        <v>1</v>
      </c>
      <c r="L29" s="100">
        <f>time^1</f>
        <v>1</v>
      </c>
      <c r="M29" s="101">
        <f>time^0</f>
        <v>1</v>
      </c>
      <c r="N29" s="100"/>
      <c r="O29" s="100"/>
      <c r="P29" s="100"/>
      <c r="Q29" s="100"/>
      <c r="R29" s="100"/>
      <c r="S29" s="92"/>
      <c r="T29" s="100"/>
      <c r="U29" s="100"/>
      <c r="V29" s="100"/>
      <c r="W29" s="100"/>
      <c r="X29" s="100"/>
      <c r="Y29" s="100"/>
      <c r="Z29" s="100"/>
      <c r="AA29" s="100"/>
      <c r="AB29" s="100"/>
      <c r="AC29" s="100"/>
      <c r="AD29" s="100"/>
      <c r="AE29" s="100"/>
      <c r="AF29" s="100"/>
      <c r="AG29" s="100"/>
      <c r="AH29" s="100"/>
      <c r="AI29" s="100"/>
      <c r="AJ29" s="100"/>
      <c r="AK29" s="101"/>
      <c r="AM29" s="74" t="str">
        <f>"b_"&amp; time</f>
        <v>b_1</v>
      </c>
      <c r="AN29" s="98">
        <v>9.639543974948794E-3</v>
      </c>
      <c r="AO29" s="74"/>
      <c r="AP29" s="74"/>
      <c r="AQ29" s="74"/>
    </row>
    <row r="30" spans="2:43" x14ac:dyDescent="0.2">
      <c r="B30" s="55" t="str">
        <f>"y'(" &amp; D30 &amp; ")"</f>
        <v>y'(1)</v>
      </c>
      <c r="C30" s="74">
        <v>0</v>
      </c>
      <c r="D30" s="74">
        <v>1</v>
      </c>
      <c r="F30" s="99">
        <f>3*time^2</f>
        <v>3</v>
      </c>
      <c r="G30" s="100">
        <f>2*time</f>
        <v>2</v>
      </c>
      <c r="H30" s="100">
        <f>time^0</f>
        <v>1</v>
      </c>
      <c r="I30" s="100">
        <v>0</v>
      </c>
      <c r="J30" s="100">
        <f>-3*time^2</f>
        <v>-3</v>
      </c>
      <c r="K30" s="100">
        <f>-2*time</f>
        <v>-2</v>
      </c>
      <c r="L30" s="100">
        <f>-(time^0)</f>
        <v>-1</v>
      </c>
      <c r="M30" s="101">
        <v>0</v>
      </c>
      <c r="N30" s="100"/>
      <c r="O30" s="100"/>
      <c r="P30" s="100"/>
      <c r="Q30" s="100"/>
      <c r="R30" s="100"/>
      <c r="S30" s="92"/>
      <c r="T30" s="100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100"/>
      <c r="AF30" s="100"/>
      <c r="AG30" s="100"/>
      <c r="AH30" s="100"/>
      <c r="AI30" s="100"/>
      <c r="AJ30" s="100"/>
      <c r="AK30" s="101"/>
      <c r="AM30" s="74" t="str">
        <f>"c_"&amp; time</f>
        <v>c_1</v>
      </c>
      <c r="AN30" s="98">
        <v>9.639543974948794E-3</v>
      </c>
      <c r="AO30" s="74"/>
      <c r="AP30" s="74"/>
      <c r="AQ30" s="74"/>
    </row>
    <row r="31" spans="2:43" x14ac:dyDescent="0.2">
      <c r="B31" s="55" t="str">
        <f>"y''(" &amp; D31 &amp; ")"</f>
        <v>y''(1)</v>
      </c>
      <c r="C31" s="74">
        <v>0</v>
      </c>
      <c r="D31" s="74">
        <v>1</v>
      </c>
      <c r="F31" s="102">
        <f>2*3*time^1</f>
        <v>6</v>
      </c>
      <c r="G31" s="103">
        <f>2*time^0</f>
        <v>2</v>
      </c>
      <c r="H31" s="103">
        <v>0</v>
      </c>
      <c r="I31" s="103">
        <v>0</v>
      </c>
      <c r="J31" s="103">
        <f>-2*3*time^1</f>
        <v>-6</v>
      </c>
      <c r="K31" s="103">
        <f>-2*time^0</f>
        <v>-2</v>
      </c>
      <c r="L31" s="103">
        <v>0</v>
      </c>
      <c r="M31" s="104">
        <v>0</v>
      </c>
      <c r="N31" s="100"/>
      <c r="O31" s="100"/>
      <c r="P31" s="100"/>
      <c r="Q31" s="100"/>
      <c r="R31" s="100"/>
      <c r="S31" s="92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0"/>
      <c r="AJ31" s="100"/>
      <c r="AK31" s="101"/>
      <c r="AM31" s="74" t="str">
        <f>"d_"&amp; time</f>
        <v>d_1</v>
      </c>
      <c r="AN31" s="98">
        <v>-5.8829694944846243E-7</v>
      </c>
      <c r="AO31" s="74"/>
      <c r="AP31" s="74"/>
      <c r="AQ31" s="74"/>
    </row>
    <row r="32" spans="2:43" x14ac:dyDescent="0.2">
      <c r="B32" s="55" t="str">
        <f t="shared" ref="B32" si="1">"y(" &amp; D32 &amp; ")"</f>
        <v>y(2)</v>
      </c>
      <c r="C32" s="74">
        <f t="shared" ref="C32:C33" si="2">VLOOKUP(D32,$B$12:$C$20,2,0)</f>
        <v>3.7869296080000003E-2</v>
      </c>
      <c r="D32" s="74">
        <f>D28+1</f>
        <v>2</v>
      </c>
      <c r="F32" s="99"/>
      <c r="G32" s="100"/>
      <c r="H32" s="100"/>
      <c r="I32" s="100"/>
      <c r="J32" s="94">
        <f>time^3</f>
        <v>8</v>
      </c>
      <c r="K32" s="95">
        <f>time^2</f>
        <v>4</v>
      </c>
      <c r="L32" s="95">
        <f>time^1</f>
        <v>2</v>
      </c>
      <c r="M32" s="95">
        <f>time^0</f>
        <v>1</v>
      </c>
      <c r="N32" s="95">
        <v>0</v>
      </c>
      <c r="O32" s="95">
        <v>0</v>
      </c>
      <c r="P32" s="95">
        <v>0</v>
      </c>
      <c r="Q32" s="96">
        <v>0</v>
      </c>
      <c r="R32" s="100"/>
      <c r="S32" s="92"/>
      <c r="T32" s="100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  <c r="AE32" s="100"/>
      <c r="AF32" s="100"/>
      <c r="AG32" s="100"/>
      <c r="AH32" s="100"/>
      <c r="AI32" s="100"/>
      <c r="AJ32" s="100"/>
      <c r="AK32" s="101"/>
      <c r="AM32" s="74" t="str">
        <f>"a_"&amp; time</f>
        <v>a_2</v>
      </c>
      <c r="AN32" s="98">
        <v>1.4662962988413091E-3</v>
      </c>
      <c r="AO32" s="74"/>
      <c r="AP32" s="74"/>
      <c r="AQ32" s="74"/>
    </row>
    <row r="33" spans="2:43" x14ac:dyDescent="0.2">
      <c r="B33" s="55" t="str">
        <f t="shared" si="0"/>
        <v>y(2)</v>
      </c>
      <c r="C33" s="74">
        <f t="shared" si="2"/>
        <v>3.7869296080000003E-2</v>
      </c>
      <c r="D33" s="74">
        <f t="shared" ref="D33:D47" si="3">D29+1</f>
        <v>2</v>
      </c>
      <c r="F33" s="99"/>
      <c r="G33" s="100"/>
      <c r="H33" s="100"/>
      <c r="I33" s="100"/>
      <c r="J33" s="99">
        <v>0</v>
      </c>
      <c r="K33" s="100">
        <v>0</v>
      </c>
      <c r="L33" s="100">
        <v>0</v>
      </c>
      <c r="M33" s="100">
        <v>0</v>
      </c>
      <c r="N33" s="100">
        <f>time^3</f>
        <v>8</v>
      </c>
      <c r="O33" s="100">
        <f>time^2</f>
        <v>4</v>
      </c>
      <c r="P33" s="100">
        <f>time^1</f>
        <v>2</v>
      </c>
      <c r="Q33" s="101">
        <f>time^0</f>
        <v>1</v>
      </c>
      <c r="R33" s="100"/>
      <c r="S33" s="92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1"/>
      <c r="AM33" s="74" t="str">
        <f>"b_"&amp; time</f>
        <v>b_2</v>
      </c>
      <c r="AN33" s="98">
        <v>3.4207889110325772E-3</v>
      </c>
      <c r="AO33" s="74"/>
      <c r="AP33" s="74"/>
      <c r="AQ33" s="74"/>
    </row>
    <row r="34" spans="2:43" x14ac:dyDescent="0.2">
      <c r="B34" s="55" t="str">
        <f t="shared" ref="B34" si="4">"y'(" &amp; D34 &amp; ")"</f>
        <v>y'(2)</v>
      </c>
      <c r="C34" s="74">
        <v>0</v>
      </c>
      <c r="D34" s="74">
        <f t="shared" si="3"/>
        <v>2</v>
      </c>
      <c r="F34" s="99"/>
      <c r="G34" s="100"/>
      <c r="H34" s="100"/>
      <c r="I34" s="100"/>
      <c r="J34" s="99">
        <f>3*time^2</f>
        <v>12</v>
      </c>
      <c r="K34" s="100">
        <f>2*time</f>
        <v>4</v>
      </c>
      <c r="L34" s="100">
        <f>time^0</f>
        <v>1</v>
      </c>
      <c r="M34" s="100">
        <v>0</v>
      </c>
      <c r="N34" s="100">
        <f>-3*time^2</f>
        <v>-12</v>
      </c>
      <c r="O34" s="100">
        <f>-2*time</f>
        <v>-4</v>
      </c>
      <c r="P34" s="100">
        <f>-(time^0)</f>
        <v>-1</v>
      </c>
      <c r="Q34" s="101">
        <v>0</v>
      </c>
      <c r="R34" s="100"/>
      <c r="S34" s="92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  <c r="AJ34" s="100"/>
      <c r="AK34" s="101"/>
      <c r="AM34" s="74" t="str">
        <f>"c_"&amp; time</f>
        <v>c_2</v>
      </c>
      <c r="AN34" s="98">
        <v>4.3978701902765427E-3</v>
      </c>
      <c r="AO34" s="74"/>
      <c r="AP34" s="74"/>
      <c r="AQ34" s="74"/>
    </row>
    <row r="35" spans="2:43" x14ac:dyDescent="0.2">
      <c r="B35" s="55" t="str">
        <f t="shared" ref="B35" si="5">"y''(" &amp; D35 &amp; ")"</f>
        <v>y''(2)</v>
      </c>
      <c r="C35" s="74">
        <v>0</v>
      </c>
      <c r="D35" s="74">
        <f t="shared" si="3"/>
        <v>2</v>
      </c>
      <c r="F35" s="99"/>
      <c r="G35" s="100"/>
      <c r="H35" s="100"/>
      <c r="I35" s="100"/>
      <c r="J35" s="102">
        <f>2*3*time^1</f>
        <v>12</v>
      </c>
      <c r="K35" s="103">
        <f>2*time^0</f>
        <v>2</v>
      </c>
      <c r="L35" s="103">
        <v>0</v>
      </c>
      <c r="M35" s="103">
        <v>0</v>
      </c>
      <c r="N35" s="103">
        <f>-2*3*time^1</f>
        <v>-12</v>
      </c>
      <c r="O35" s="103">
        <f>-2*time^0</f>
        <v>-2</v>
      </c>
      <c r="P35" s="103">
        <v>0</v>
      </c>
      <c r="Q35" s="104">
        <v>0</v>
      </c>
      <c r="R35" s="100"/>
      <c r="S35" s="92"/>
      <c r="T35" s="100"/>
      <c r="U35" s="100"/>
      <c r="V35" s="100"/>
      <c r="W35" s="100"/>
      <c r="X35" s="100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0"/>
      <c r="AJ35" s="100"/>
      <c r="AK35" s="101"/>
      <c r="AM35" s="74" t="str">
        <f>"d_"&amp; time</f>
        <v>d_2</v>
      </c>
      <c r="AN35" s="98">
        <v>4.8863695128720059E-3</v>
      </c>
      <c r="AO35" s="74"/>
      <c r="AP35" s="74"/>
      <c r="AQ35" s="74"/>
    </row>
    <row r="36" spans="2:43" x14ac:dyDescent="0.2">
      <c r="B36" s="55" t="str">
        <f t="shared" ref="B36:B53" si="6">"y(" &amp; D36 &amp; ")"</f>
        <v>y(3)</v>
      </c>
      <c r="C36" s="74">
        <f t="shared" ref="C36:C37" si="7">VLOOKUP(D36,$B$12:$C$20,2,0)</f>
        <v>4.4685005659999999E-2</v>
      </c>
      <c r="D36" s="74">
        <f t="shared" si="3"/>
        <v>3</v>
      </c>
      <c r="F36" s="99"/>
      <c r="G36" s="100"/>
      <c r="H36" s="100"/>
      <c r="I36" s="100"/>
      <c r="J36" s="100"/>
      <c r="K36" s="100"/>
      <c r="L36" s="100"/>
      <c r="M36" s="100"/>
      <c r="N36" s="94">
        <f>time^3</f>
        <v>27</v>
      </c>
      <c r="O36" s="95">
        <f>time^2</f>
        <v>9</v>
      </c>
      <c r="P36" s="95">
        <f>time^1</f>
        <v>3</v>
      </c>
      <c r="Q36" s="95">
        <f>time^0</f>
        <v>1</v>
      </c>
      <c r="R36" s="95">
        <v>0</v>
      </c>
      <c r="S36" s="95">
        <v>0</v>
      </c>
      <c r="T36" s="95">
        <v>0</v>
      </c>
      <c r="U36" s="96">
        <v>0</v>
      </c>
      <c r="V36" s="100"/>
      <c r="W36" s="100"/>
      <c r="X36" s="100"/>
      <c r="Y36" s="100"/>
      <c r="Z36" s="100"/>
      <c r="AA36" s="100"/>
      <c r="AB36" s="100"/>
      <c r="AC36" s="100"/>
      <c r="AD36" s="100"/>
      <c r="AE36" s="100"/>
      <c r="AF36" s="100"/>
      <c r="AG36" s="100"/>
      <c r="AH36" s="100"/>
      <c r="AI36" s="100"/>
      <c r="AJ36" s="100"/>
      <c r="AK36" s="101"/>
      <c r="AM36" s="74" t="str">
        <f>"a_"&amp; time</f>
        <v>a_3</v>
      </c>
      <c r="AN36" s="98">
        <v>-1.7292330749307625E-5</v>
      </c>
      <c r="AO36" s="74"/>
      <c r="AP36" s="74"/>
      <c r="AQ36" s="74"/>
    </row>
    <row r="37" spans="2:43" x14ac:dyDescent="0.2">
      <c r="B37" s="55" t="str">
        <f t="shared" si="0"/>
        <v>y(3)</v>
      </c>
      <c r="C37" s="74">
        <f t="shared" si="7"/>
        <v>4.4685005659999999E-2</v>
      </c>
      <c r="D37" s="74">
        <f t="shared" si="3"/>
        <v>3</v>
      </c>
      <c r="E37" s="55"/>
      <c r="F37" s="105"/>
      <c r="G37" s="106"/>
      <c r="H37" s="106"/>
      <c r="I37" s="106"/>
      <c r="J37" s="106"/>
      <c r="K37" s="106"/>
      <c r="L37" s="106"/>
      <c r="M37" s="106"/>
      <c r="N37" s="99">
        <v>0</v>
      </c>
      <c r="O37" s="100">
        <v>0</v>
      </c>
      <c r="P37" s="100">
        <v>0</v>
      </c>
      <c r="Q37" s="100">
        <v>0</v>
      </c>
      <c r="R37" s="100">
        <f>time^3</f>
        <v>27</v>
      </c>
      <c r="S37" s="100">
        <f>time^2</f>
        <v>9</v>
      </c>
      <c r="T37" s="100">
        <f>time^1</f>
        <v>3</v>
      </c>
      <c r="U37" s="101">
        <f>time^0</f>
        <v>1</v>
      </c>
      <c r="V37" s="100"/>
      <c r="W37" s="100"/>
      <c r="X37" s="100"/>
      <c r="Y37" s="100"/>
      <c r="Z37" s="100"/>
      <c r="AA37" s="100"/>
      <c r="AB37" s="100"/>
      <c r="AC37" s="100"/>
      <c r="AD37" s="100"/>
      <c r="AE37" s="100"/>
      <c r="AF37" s="100"/>
      <c r="AG37" s="100"/>
      <c r="AH37" s="100"/>
      <c r="AI37" s="100"/>
      <c r="AJ37" s="100"/>
      <c r="AK37" s="101"/>
      <c r="AM37" s="74" t="str">
        <f>"b_"&amp; time</f>
        <v>b_3</v>
      </c>
      <c r="AN37" s="98">
        <v>3.2034503132570909E-3</v>
      </c>
      <c r="AO37" s="74"/>
      <c r="AP37" s="74"/>
      <c r="AQ37" s="74"/>
    </row>
    <row r="38" spans="2:43" x14ac:dyDescent="0.2">
      <c r="B38" s="55" t="str">
        <f t="shared" ref="B38" si="8">"y'(" &amp; D38 &amp; ")"</f>
        <v>y'(3)</v>
      </c>
      <c r="C38" s="74">
        <v>0</v>
      </c>
      <c r="D38" s="74">
        <f t="shared" si="3"/>
        <v>3</v>
      </c>
      <c r="F38" s="99"/>
      <c r="G38" s="107"/>
      <c r="H38" s="100"/>
      <c r="I38" s="100"/>
      <c r="J38" s="100"/>
      <c r="K38" s="100"/>
      <c r="L38" s="100"/>
      <c r="M38" s="100"/>
      <c r="N38" s="99">
        <f>3*time^2</f>
        <v>27</v>
      </c>
      <c r="O38" s="100">
        <f>2*time</f>
        <v>6</v>
      </c>
      <c r="P38" s="100">
        <f>time^0</f>
        <v>1</v>
      </c>
      <c r="Q38" s="100">
        <v>0</v>
      </c>
      <c r="R38" s="100">
        <f>-3*time^2</f>
        <v>-27</v>
      </c>
      <c r="S38" s="100">
        <f>-2*time</f>
        <v>-6</v>
      </c>
      <c r="T38" s="100">
        <f>-(time^0)</f>
        <v>-1</v>
      </c>
      <c r="U38" s="101">
        <v>0</v>
      </c>
      <c r="V38" s="100"/>
      <c r="W38" s="100"/>
      <c r="X38" s="100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0"/>
      <c r="AJ38" s="100"/>
      <c r="AK38" s="101"/>
      <c r="AM38" s="74" t="str">
        <f>"c_"&amp; time</f>
        <v>c_3</v>
      </c>
      <c r="AN38" s="98">
        <v>7.0131351611933549E-3</v>
      </c>
      <c r="AO38" s="74"/>
      <c r="AP38" s="74"/>
      <c r="AQ38" s="74"/>
    </row>
    <row r="39" spans="2:43" x14ac:dyDescent="0.2">
      <c r="B39" s="55" t="str">
        <f t="shared" ref="B39" si="9">"y''(" &amp; D39 &amp; ")"</f>
        <v>y''(3)</v>
      </c>
      <c r="C39" s="74">
        <v>0</v>
      </c>
      <c r="D39" s="74">
        <f t="shared" si="3"/>
        <v>3</v>
      </c>
      <c r="F39" s="99"/>
      <c r="G39" s="107"/>
      <c r="H39" s="100"/>
      <c r="I39" s="100"/>
      <c r="J39" s="100"/>
      <c r="K39" s="100"/>
      <c r="L39" s="100"/>
      <c r="M39" s="100"/>
      <c r="N39" s="102">
        <f>2*3*time^1</f>
        <v>18</v>
      </c>
      <c r="O39" s="103">
        <f>2*time^0</f>
        <v>2</v>
      </c>
      <c r="P39" s="103">
        <v>0</v>
      </c>
      <c r="Q39" s="103">
        <v>0</v>
      </c>
      <c r="R39" s="103">
        <f>-2*3*time^1</f>
        <v>-18</v>
      </c>
      <c r="S39" s="103">
        <f>-2*time^0</f>
        <v>-2</v>
      </c>
      <c r="T39" s="103">
        <v>0</v>
      </c>
      <c r="U39" s="104">
        <v>0</v>
      </c>
      <c r="V39" s="100"/>
      <c r="W39" s="100"/>
      <c r="X39" s="100"/>
      <c r="Y39" s="100"/>
      <c r="Z39" s="100"/>
      <c r="AA39" s="100"/>
      <c r="AB39" s="100"/>
      <c r="AC39" s="100"/>
      <c r="AD39" s="100"/>
      <c r="AE39" s="100"/>
      <c r="AF39" s="100"/>
      <c r="AG39" s="100"/>
      <c r="AH39" s="100"/>
      <c r="AI39" s="100"/>
      <c r="AJ39" s="100"/>
      <c r="AK39" s="101"/>
      <c r="AM39" s="74" t="str">
        <f>"d_"&amp; time</f>
        <v>d_3</v>
      </c>
      <c r="AN39" s="98">
        <v>8.4369247906656685E-3</v>
      </c>
      <c r="AO39" s="74"/>
      <c r="AP39" s="74"/>
      <c r="AQ39" s="74"/>
    </row>
    <row r="40" spans="2:43" x14ac:dyDescent="0.2">
      <c r="B40" s="55" t="str">
        <f t="shared" si="6"/>
        <v>y(4)</v>
      </c>
      <c r="C40" s="74">
        <f t="shared" ref="C40:C41" si="10">VLOOKUP(D40,$B$12:$C$20,2,0)</f>
        <v>5.1500715240000002E-2</v>
      </c>
      <c r="D40" s="74">
        <f t="shared" si="3"/>
        <v>4</v>
      </c>
      <c r="F40" s="99"/>
      <c r="G40" s="107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94">
        <f>time^3</f>
        <v>64</v>
      </c>
      <c r="S40" s="95">
        <f>time^2</f>
        <v>16</v>
      </c>
      <c r="T40" s="95">
        <f>time^1</f>
        <v>4</v>
      </c>
      <c r="U40" s="95">
        <f>time^0</f>
        <v>1</v>
      </c>
      <c r="V40" s="95">
        <v>0</v>
      </c>
      <c r="W40" s="95">
        <v>0</v>
      </c>
      <c r="X40" s="95">
        <v>0</v>
      </c>
      <c r="Y40" s="96">
        <v>0</v>
      </c>
      <c r="Z40" s="100"/>
      <c r="AA40" s="100"/>
      <c r="AB40" s="100"/>
      <c r="AC40" s="100"/>
      <c r="AD40" s="100"/>
      <c r="AE40" s="100"/>
      <c r="AF40" s="100"/>
      <c r="AG40" s="100"/>
      <c r="AH40" s="100"/>
      <c r="AI40" s="100"/>
      <c r="AJ40" s="100"/>
      <c r="AK40" s="101"/>
      <c r="AM40" s="74" t="str">
        <f>"a_"&amp; time</f>
        <v>a_4</v>
      </c>
      <c r="AN40" s="98">
        <v>1.4423752219087113E-4</v>
      </c>
      <c r="AO40" s="74"/>
      <c r="AP40" s="74"/>
      <c r="AQ40" s="74"/>
    </row>
    <row r="41" spans="2:43" x14ac:dyDescent="0.2">
      <c r="B41" s="55" t="str">
        <f t="shared" si="6"/>
        <v>y(4)</v>
      </c>
      <c r="C41" s="74">
        <f t="shared" si="10"/>
        <v>5.1500715240000002E-2</v>
      </c>
      <c r="D41" s="74">
        <f t="shared" si="3"/>
        <v>4</v>
      </c>
      <c r="F41" s="99"/>
      <c r="G41" s="107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99">
        <v>0</v>
      </c>
      <c r="S41" s="100">
        <v>0</v>
      </c>
      <c r="T41" s="100">
        <v>0</v>
      </c>
      <c r="U41" s="100">
        <v>0</v>
      </c>
      <c r="V41" s="100">
        <f>time^3</f>
        <v>64</v>
      </c>
      <c r="W41" s="100">
        <f>time^2</f>
        <v>16</v>
      </c>
      <c r="X41" s="100">
        <f>time^1</f>
        <v>4</v>
      </c>
      <c r="Y41" s="101">
        <f>time^0</f>
        <v>1</v>
      </c>
      <c r="Z41" s="100"/>
      <c r="AA41" s="100"/>
      <c r="AB41" s="100"/>
      <c r="AC41" s="100"/>
      <c r="AD41" s="100"/>
      <c r="AE41" s="100"/>
      <c r="AF41" s="100"/>
      <c r="AG41" s="100"/>
      <c r="AH41" s="100"/>
      <c r="AI41" s="100"/>
      <c r="AJ41" s="100"/>
      <c r="AK41" s="101"/>
      <c r="AM41" s="74" t="str">
        <f>"b_"&amp; time</f>
        <v>b_4</v>
      </c>
      <c r="AN41" s="98">
        <v>7.1197248347874668E-4</v>
      </c>
      <c r="AO41" s="74"/>
      <c r="AP41" s="74"/>
      <c r="AQ41" s="74"/>
    </row>
    <row r="42" spans="2:43" s="55" customFormat="1" x14ac:dyDescent="0.2">
      <c r="B42" s="55" t="str">
        <f t="shared" ref="B42:B54" si="11">"y'(" &amp; D42 &amp; ")"</f>
        <v>y'(4)</v>
      </c>
      <c r="C42" s="74">
        <v>0</v>
      </c>
      <c r="D42" s="74">
        <f t="shared" si="3"/>
        <v>4</v>
      </c>
      <c r="E42" s="74"/>
      <c r="F42" s="99"/>
      <c r="G42" s="107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99">
        <f>3*time^2</f>
        <v>48</v>
      </c>
      <c r="S42" s="100">
        <f>2*time</f>
        <v>8</v>
      </c>
      <c r="T42" s="100">
        <f>time^0</f>
        <v>1</v>
      </c>
      <c r="U42" s="100">
        <v>0</v>
      </c>
      <c r="V42" s="100">
        <f>-3*time^2</f>
        <v>-48</v>
      </c>
      <c r="W42" s="100">
        <f>-2*time</f>
        <v>-8</v>
      </c>
      <c r="X42" s="100">
        <f>-(time^0)</f>
        <v>-1</v>
      </c>
      <c r="Y42" s="101">
        <v>0</v>
      </c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8"/>
      <c r="AM42" s="74" t="str">
        <f>"c_"&amp; time</f>
        <v>c_4</v>
      </c>
      <c r="AN42" s="98">
        <v>7.0669333881322235E-3</v>
      </c>
    </row>
    <row r="43" spans="2:43" x14ac:dyDescent="0.2">
      <c r="B43" s="55" t="str">
        <f t="shared" ref="B43:B59" si="12">"y''(" &amp; D43 &amp; ")"</f>
        <v>y''(4)</v>
      </c>
      <c r="C43" s="74">
        <v>0</v>
      </c>
      <c r="D43" s="74">
        <f t="shared" si="3"/>
        <v>4</v>
      </c>
      <c r="F43" s="99"/>
      <c r="G43" s="107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2">
        <f>2*3*time^1</f>
        <v>24</v>
      </c>
      <c r="S43" s="103">
        <f>2*time^0</f>
        <v>2</v>
      </c>
      <c r="T43" s="103">
        <v>0</v>
      </c>
      <c r="U43" s="103">
        <v>0</v>
      </c>
      <c r="V43" s="103">
        <f>-2*3*time^1</f>
        <v>-24</v>
      </c>
      <c r="W43" s="103">
        <f>-2*time^0</f>
        <v>-2</v>
      </c>
      <c r="X43" s="103">
        <v>0</v>
      </c>
      <c r="Y43" s="104">
        <v>0</v>
      </c>
      <c r="Z43" s="100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1"/>
      <c r="AM43" s="74" t="str">
        <f>"d_"&amp; time</f>
        <v>d_4</v>
      </c>
      <c r="AN43" s="98">
        <v>9.1035769107491293E-3</v>
      </c>
      <c r="AO43" s="74"/>
      <c r="AP43" s="74"/>
      <c r="AQ43" s="74"/>
    </row>
    <row r="44" spans="2:43" x14ac:dyDescent="0.2">
      <c r="B44" s="55" t="str">
        <f t="shared" si="6"/>
        <v>y(5)</v>
      </c>
      <c r="C44" s="74">
        <f t="shared" ref="C44:C58" si="13">VLOOKUP(D44,$B$12:$C$20,2,0)</f>
        <v>5.8316424819999997E-2</v>
      </c>
      <c r="D44" s="74">
        <f t="shared" si="3"/>
        <v>5</v>
      </c>
      <c r="F44" s="99"/>
      <c r="G44" s="107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94">
        <f>time^3</f>
        <v>125</v>
      </c>
      <c r="W44" s="95">
        <f>time^2</f>
        <v>25</v>
      </c>
      <c r="X44" s="95">
        <f>time^1</f>
        <v>5</v>
      </c>
      <c r="Y44" s="95">
        <f>time^0</f>
        <v>1</v>
      </c>
      <c r="Z44" s="95">
        <v>0</v>
      </c>
      <c r="AA44" s="95">
        <v>0</v>
      </c>
      <c r="AB44" s="95">
        <v>0</v>
      </c>
      <c r="AC44" s="96">
        <v>0</v>
      </c>
      <c r="AD44" s="100"/>
      <c r="AE44" s="100"/>
      <c r="AF44" s="100"/>
      <c r="AG44" s="100"/>
      <c r="AH44" s="100"/>
      <c r="AI44" s="92"/>
      <c r="AJ44" s="100"/>
      <c r="AK44" s="101"/>
      <c r="AM44" s="74" t="str">
        <f>"a_"&amp; time</f>
        <v>a_5</v>
      </c>
      <c r="AN44" s="98">
        <v>-8.0804278818218602E-5</v>
      </c>
      <c r="AO44" s="74"/>
      <c r="AP44" s="74"/>
      <c r="AQ44" s="74"/>
    </row>
    <row r="45" spans="2:43" x14ac:dyDescent="0.2">
      <c r="B45" s="55" t="str">
        <f t="shared" si="6"/>
        <v>y(5)</v>
      </c>
      <c r="C45" s="74">
        <f t="shared" si="13"/>
        <v>5.8316424819999997E-2</v>
      </c>
      <c r="D45" s="74">
        <f t="shared" si="3"/>
        <v>5</v>
      </c>
      <c r="F45" s="99"/>
      <c r="G45" s="107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99">
        <v>0</v>
      </c>
      <c r="W45" s="100">
        <v>0</v>
      </c>
      <c r="X45" s="100">
        <v>0</v>
      </c>
      <c r="Y45" s="100">
        <v>0</v>
      </c>
      <c r="Z45" s="100">
        <f>time^3</f>
        <v>125</v>
      </c>
      <c r="AA45" s="100">
        <f>time^2</f>
        <v>25</v>
      </c>
      <c r="AB45" s="100">
        <f>time^1</f>
        <v>5</v>
      </c>
      <c r="AC45" s="101">
        <f>time^0</f>
        <v>1</v>
      </c>
      <c r="AD45" s="100"/>
      <c r="AE45" s="100"/>
      <c r="AF45" s="100"/>
      <c r="AG45" s="100"/>
      <c r="AH45" s="100"/>
      <c r="AI45" s="92"/>
      <c r="AJ45" s="100"/>
      <c r="AK45" s="101"/>
      <c r="AM45" s="74" t="str">
        <f>"b_"&amp; time</f>
        <v>b_5</v>
      </c>
      <c r="AN45" s="98">
        <v>7.7229660634714513E-4</v>
      </c>
      <c r="AO45" s="74"/>
      <c r="AP45" s="74"/>
      <c r="AQ45" s="74"/>
    </row>
    <row r="46" spans="2:43" x14ac:dyDescent="0.2">
      <c r="B46" s="55" t="str">
        <f t="shared" si="11"/>
        <v>y'(5)</v>
      </c>
      <c r="C46" s="74">
        <v>0</v>
      </c>
      <c r="D46" s="74">
        <f t="shared" si="3"/>
        <v>5</v>
      </c>
      <c r="F46" s="99"/>
      <c r="G46" s="107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99">
        <f>3*time^2</f>
        <v>75</v>
      </c>
      <c r="W46" s="100">
        <f>2*time</f>
        <v>10</v>
      </c>
      <c r="X46" s="100">
        <f>time^0</f>
        <v>1</v>
      </c>
      <c r="Y46" s="100">
        <v>0</v>
      </c>
      <c r="Z46" s="100">
        <f>-3*time^2</f>
        <v>-75</v>
      </c>
      <c r="AA46" s="100">
        <f>-2*time</f>
        <v>-10</v>
      </c>
      <c r="AB46" s="100">
        <f>-(time^0)</f>
        <v>-1</v>
      </c>
      <c r="AC46" s="101">
        <v>0</v>
      </c>
      <c r="AD46" s="100"/>
      <c r="AE46" s="100"/>
      <c r="AF46" s="100"/>
      <c r="AG46" s="100"/>
      <c r="AH46" s="100"/>
      <c r="AI46" s="92"/>
      <c r="AJ46" s="100"/>
      <c r="AK46" s="101"/>
      <c r="AM46" s="74" t="str">
        <f>"c_"&amp; time</f>
        <v>c_5</v>
      </c>
      <c r="AN46" s="98">
        <v>7.7473991537732757E-3</v>
      </c>
      <c r="AO46" s="74"/>
      <c r="AP46" s="74"/>
      <c r="AQ46" s="74"/>
    </row>
    <row r="47" spans="2:43" x14ac:dyDescent="0.2">
      <c r="B47" s="55" t="str">
        <f t="shared" si="12"/>
        <v>y''(5)</v>
      </c>
      <c r="C47" s="74">
        <v>0</v>
      </c>
      <c r="D47" s="74">
        <f t="shared" si="3"/>
        <v>5</v>
      </c>
      <c r="F47" s="99"/>
      <c r="G47" s="107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2">
        <f>2*3*time^1</f>
        <v>30</v>
      </c>
      <c r="W47" s="103">
        <f>2*time^0</f>
        <v>2</v>
      </c>
      <c r="X47" s="103">
        <v>0</v>
      </c>
      <c r="Y47" s="103">
        <v>0</v>
      </c>
      <c r="Z47" s="103">
        <f>-2*3*time^1</f>
        <v>-30</v>
      </c>
      <c r="AA47" s="103">
        <f>-2*time^0</f>
        <v>-2</v>
      </c>
      <c r="AB47" s="103">
        <v>0</v>
      </c>
      <c r="AC47" s="104">
        <v>0</v>
      </c>
      <c r="AD47" s="100"/>
      <c r="AE47" s="100"/>
      <c r="AF47" s="100"/>
      <c r="AG47" s="100"/>
      <c r="AH47" s="100"/>
      <c r="AI47" s="92"/>
      <c r="AJ47" s="100"/>
      <c r="AK47" s="101"/>
      <c r="AM47" s="74" t="str">
        <f>"d_"&amp; time</f>
        <v>d_5</v>
      </c>
      <c r="AN47" s="98">
        <v>9.4310527790700035E-3</v>
      </c>
      <c r="AO47" s="74"/>
      <c r="AP47" s="74"/>
      <c r="AQ47" s="74"/>
    </row>
    <row r="48" spans="2:43" x14ac:dyDescent="0.2">
      <c r="B48" s="55" t="str">
        <f t="shared" si="6"/>
        <v>y(7)</v>
      </c>
      <c r="C48" s="74">
        <f t="shared" ref="C48:C49" si="14">VLOOKUP(D48,$B$12:$C$20,2,0)</f>
        <v>6.51321344E-2</v>
      </c>
      <c r="D48" s="74">
        <v>7</v>
      </c>
      <c r="F48" s="99"/>
      <c r="G48" s="107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94">
        <f>time^3</f>
        <v>343</v>
      </c>
      <c r="AA48" s="95">
        <f>time^2</f>
        <v>49</v>
      </c>
      <c r="AB48" s="95">
        <f>time^1</f>
        <v>7</v>
      </c>
      <c r="AC48" s="95">
        <f>time^0</f>
        <v>1</v>
      </c>
      <c r="AD48" s="95">
        <v>0</v>
      </c>
      <c r="AE48" s="95">
        <v>0</v>
      </c>
      <c r="AF48" s="95">
        <v>0</v>
      </c>
      <c r="AG48" s="96">
        <v>0</v>
      </c>
      <c r="AH48" s="100"/>
      <c r="AI48" s="92"/>
      <c r="AJ48" s="100"/>
      <c r="AK48" s="101"/>
      <c r="AM48" s="74" t="str">
        <f>"a_"&amp; time</f>
        <v>a_7</v>
      </c>
      <c r="AN48" s="98">
        <v>-2.2903587693738856E-5</v>
      </c>
      <c r="AO48" s="74"/>
      <c r="AP48" s="74"/>
      <c r="AQ48" s="74"/>
    </row>
    <row r="49" spans="2:40" s="74" customFormat="1" x14ac:dyDescent="0.2">
      <c r="B49" s="55" t="str">
        <f t="shared" si="6"/>
        <v>y(7)</v>
      </c>
      <c r="C49" s="74">
        <f t="shared" si="14"/>
        <v>6.51321344E-2</v>
      </c>
      <c r="D49" s="74">
        <v>7</v>
      </c>
      <c r="F49" s="99"/>
      <c r="G49" s="107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99">
        <v>0</v>
      </c>
      <c r="AA49" s="100">
        <v>0</v>
      </c>
      <c r="AB49" s="100">
        <v>0</v>
      </c>
      <c r="AC49" s="100">
        <v>0</v>
      </c>
      <c r="AD49" s="100">
        <f>time^3</f>
        <v>343</v>
      </c>
      <c r="AE49" s="100">
        <f>time^2</f>
        <v>49</v>
      </c>
      <c r="AF49" s="100">
        <f>time^1</f>
        <v>7</v>
      </c>
      <c r="AG49" s="101">
        <f>time^0</f>
        <v>1</v>
      </c>
      <c r="AH49" s="100"/>
      <c r="AI49" s="92"/>
      <c r="AJ49" s="100"/>
      <c r="AK49" s="101"/>
      <c r="AM49" s="74" t="str">
        <f>"b_"&amp; time</f>
        <v>b_7</v>
      </c>
      <c r="AN49" s="98">
        <v>1.0495849504607615E-4</v>
      </c>
    </row>
    <row r="50" spans="2:40" s="74" customFormat="1" x14ac:dyDescent="0.2">
      <c r="B50" s="55" t="str">
        <f t="shared" si="11"/>
        <v>y'(7)</v>
      </c>
      <c r="C50" s="74">
        <v>0</v>
      </c>
      <c r="D50" s="74">
        <v>7</v>
      </c>
      <c r="F50" s="99"/>
      <c r="G50" s="107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99">
        <f>3*time^2</f>
        <v>147</v>
      </c>
      <c r="AA50" s="100">
        <f>2*time</f>
        <v>14</v>
      </c>
      <c r="AB50" s="100">
        <f>time^0</f>
        <v>1</v>
      </c>
      <c r="AC50" s="100">
        <v>0</v>
      </c>
      <c r="AD50" s="100">
        <f>-3*time^2</f>
        <v>-147</v>
      </c>
      <c r="AE50" s="100">
        <f>-2*time</f>
        <v>-14</v>
      </c>
      <c r="AF50" s="100">
        <f>-(time^0)</f>
        <v>-1</v>
      </c>
      <c r="AG50" s="101">
        <v>0</v>
      </c>
      <c r="AH50" s="100"/>
      <c r="AI50" s="92"/>
      <c r="AJ50" s="100"/>
      <c r="AK50" s="101"/>
      <c r="AM50" s="74" t="str">
        <f>"c_"&amp; time</f>
        <v>c_7</v>
      </c>
      <c r="AN50" s="98">
        <v>8.0218015822318585E-3</v>
      </c>
    </row>
    <row r="51" spans="2:40" s="74" customFormat="1" x14ac:dyDescent="0.2">
      <c r="B51" s="55" t="str">
        <f t="shared" si="12"/>
        <v>y''(7)</v>
      </c>
      <c r="C51" s="74">
        <v>0</v>
      </c>
      <c r="D51" s="74">
        <v>7</v>
      </c>
      <c r="F51" s="99"/>
      <c r="G51" s="107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2">
        <f>2*3*time^1</f>
        <v>42</v>
      </c>
      <c r="AA51" s="103">
        <f>2*time^0</f>
        <v>2</v>
      </c>
      <c r="AB51" s="103">
        <v>0</v>
      </c>
      <c r="AC51" s="103">
        <v>0</v>
      </c>
      <c r="AD51" s="103">
        <f>-2*3*time^1</f>
        <v>-42</v>
      </c>
      <c r="AE51" s="103">
        <f>-2*time^0</f>
        <v>-2</v>
      </c>
      <c r="AF51" s="103">
        <v>0</v>
      </c>
      <c r="AG51" s="104">
        <v>0</v>
      </c>
      <c r="AH51" s="100"/>
      <c r="AI51" s="92"/>
      <c r="AJ51" s="100"/>
      <c r="AK51" s="101"/>
      <c r="AM51" s="74" t="str">
        <f>"d_"&amp; time</f>
        <v>d_7</v>
      </c>
      <c r="AN51" s="98">
        <v>9.5163965662009836E-3</v>
      </c>
    </row>
    <row r="52" spans="2:40" s="74" customFormat="1" x14ac:dyDescent="0.2">
      <c r="B52" s="55" t="str">
        <f t="shared" si="6"/>
        <v>y(10)</v>
      </c>
      <c r="C52" s="74">
        <f t="shared" ref="C52:C53" si="15">VLOOKUP(D52,$B$12:$C$20,2,0)</f>
        <v>6.7430707199999995E-2</v>
      </c>
      <c r="D52" s="74">
        <v>10</v>
      </c>
      <c r="F52" s="99"/>
      <c r="G52" s="107"/>
      <c r="H52" s="100"/>
      <c r="I52" s="100"/>
      <c r="J52" s="100"/>
      <c r="K52" s="100"/>
      <c r="L52" s="100"/>
      <c r="M52" s="100"/>
      <c r="N52" s="100"/>
      <c r="O52" s="100"/>
      <c r="P52" s="100"/>
      <c r="Q52" s="100"/>
      <c r="R52" s="100"/>
      <c r="S52" s="100"/>
      <c r="T52" s="100"/>
      <c r="U52" s="100"/>
      <c r="V52" s="100"/>
      <c r="W52" s="100"/>
      <c r="X52" s="100"/>
      <c r="Y52" s="100"/>
      <c r="Z52" s="100"/>
      <c r="AA52" s="100"/>
      <c r="AB52" s="100"/>
      <c r="AC52" s="100"/>
      <c r="AD52" s="94">
        <f>time^3</f>
        <v>1000</v>
      </c>
      <c r="AE52" s="95">
        <f>time^2</f>
        <v>100</v>
      </c>
      <c r="AF52" s="95">
        <f>time^1</f>
        <v>10</v>
      </c>
      <c r="AG52" s="95">
        <f>time^0</f>
        <v>1</v>
      </c>
      <c r="AH52" s="95">
        <v>0</v>
      </c>
      <c r="AI52" s="95">
        <v>0</v>
      </c>
      <c r="AJ52" s="95">
        <v>0</v>
      </c>
      <c r="AK52" s="96">
        <v>0</v>
      </c>
      <c r="AM52" s="74" t="str">
        <f>"a_"&amp; time</f>
        <v>a_10</v>
      </c>
      <c r="AN52" s="98">
        <v>1.3465393692506859E-6</v>
      </c>
    </row>
    <row r="53" spans="2:40" s="74" customFormat="1" x14ac:dyDescent="0.2">
      <c r="B53" s="55" t="str">
        <f t="shared" si="6"/>
        <v>y(10)</v>
      </c>
      <c r="C53" s="74">
        <f t="shared" si="15"/>
        <v>6.7430707199999995E-2</v>
      </c>
      <c r="D53" s="74">
        <v>10</v>
      </c>
      <c r="F53" s="99"/>
      <c r="G53" s="107"/>
      <c r="H53" s="100"/>
      <c r="I53" s="100"/>
      <c r="J53" s="100"/>
      <c r="K53" s="100"/>
      <c r="L53" s="100"/>
      <c r="M53" s="100"/>
      <c r="N53" s="100"/>
      <c r="O53" s="100"/>
      <c r="P53" s="100"/>
      <c r="Q53" s="100"/>
      <c r="R53" s="100"/>
      <c r="S53" s="100"/>
      <c r="T53" s="100"/>
      <c r="U53" s="100"/>
      <c r="V53" s="106"/>
      <c r="W53" s="106"/>
      <c r="X53" s="106"/>
      <c r="Y53" s="106"/>
      <c r="Z53" s="106"/>
      <c r="AA53" s="106"/>
      <c r="AB53" s="106"/>
      <c r="AC53" s="106"/>
      <c r="AD53" s="99">
        <v>0</v>
      </c>
      <c r="AE53" s="100">
        <v>0</v>
      </c>
      <c r="AF53" s="100">
        <v>0</v>
      </c>
      <c r="AG53" s="100">
        <v>0</v>
      </c>
      <c r="AH53" s="100">
        <f>time^3</f>
        <v>1000</v>
      </c>
      <c r="AI53" s="100">
        <f>time^2</f>
        <v>100</v>
      </c>
      <c r="AJ53" s="100">
        <f>time^1</f>
        <v>10</v>
      </c>
      <c r="AK53" s="101">
        <f>time^0</f>
        <v>1</v>
      </c>
      <c r="AM53" s="74" t="str">
        <f>"b_"&amp; time</f>
        <v>b_10</v>
      </c>
      <c r="AN53" s="98">
        <v>1.9858140555737929E-5</v>
      </c>
    </row>
    <row r="54" spans="2:40" s="74" customFormat="1" x14ac:dyDescent="0.2">
      <c r="B54" s="55" t="str">
        <f t="shared" si="11"/>
        <v>y'(10)</v>
      </c>
      <c r="C54" s="74">
        <v>0</v>
      </c>
      <c r="D54" s="74">
        <v>10</v>
      </c>
      <c r="F54" s="99"/>
      <c r="G54" s="107"/>
      <c r="H54" s="100"/>
      <c r="I54" s="100"/>
      <c r="J54" s="100"/>
      <c r="K54" s="100"/>
      <c r="L54" s="100"/>
      <c r="M54" s="100"/>
      <c r="N54" s="100"/>
      <c r="O54" s="100"/>
      <c r="P54" s="100"/>
      <c r="Q54" s="100"/>
      <c r="R54" s="100"/>
      <c r="S54" s="100"/>
      <c r="T54" s="100"/>
      <c r="U54" s="100"/>
      <c r="V54" s="100"/>
      <c r="W54" s="107"/>
      <c r="X54" s="100"/>
      <c r="Y54" s="100"/>
      <c r="Z54" s="100"/>
      <c r="AA54" s="100"/>
      <c r="AB54" s="100"/>
      <c r="AC54" s="100"/>
      <c r="AD54" s="99">
        <f>3*time^2</f>
        <v>300</v>
      </c>
      <c r="AE54" s="100">
        <f>2*time</f>
        <v>20</v>
      </c>
      <c r="AF54" s="100">
        <f>time^0</f>
        <v>1</v>
      </c>
      <c r="AG54" s="100">
        <v>0</v>
      </c>
      <c r="AH54" s="100">
        <f>-3*time^2</f>
        <v>-300</v>
      </c>
      <c r="AI54" s="100">
        <f>-2*time</f>
        <v>-20</v>
      </c>
      <c r="AJ54" s="100">
        <f>-(time^0)</f>
        <v>-1</v>
      </c>
      <c r="AK54" s="101">
        <v>0</v>
      </c>
      <c r="AM54" s="74" t="str">
        <f>"c_"&amp; time</f>
        <v>c_10</v>
      </c>
      <c r="AN54" s="98">
        <v>6.4625275952075291E-3</v>
      </c>
    </row>
    <row r="55" spans="2:40" s="74" customFormat="1" x14ac:dyDescent="0.2">
      <c r="B55" s="55" t="str">
        <f t="shared" si="12"/>
        <v>y''(10)</v>
      </c>
      <c r="C55" s="74">
        <v>0</v>
      </c>
      <c r="D55" s="74">
        <v>10</v>
      </c>
      <c r="F55" s="99"/>
      <c r="G55" s="107"/>
      <c r="H55" s="100"/>
      <c r="I55" s="100"/>
      <c r="J55" s="100"/>
      <c r="K55" s="100"/>
      <c r="L55" s="100"/>
      <c r="M55" s="100"/>
      <c r="N55" s="100"/>
      <c r="O55" s="100"/>
      <c r="P55" s="100"/>
      <c r="Q55" s="100"/>
      <c r="R55" s="100"/>
      <c r="S55" s="100"/>
      <c r="T55" s="100"/>
      <c r="U55" s="100"/>
      <c r="V55" s="100"/>
      <c r="W55" s="107"/>
      <c r="X55" s="100"/>
      <c r="Y55" s="100"/>
      <c r="Z55" s="100"/>
      <c r="AA55" s="100"/>
      <c r="AB55" s="100"/>
      <c r="AC55" s="100"/>
      <c r="AD55" s="102">
        <f>2*3*time^1</f>
        <v>60</v>
      </c>
      <c r="AE55" s="103">
        <f>2*time^0</f>
        <v>2</v>
      </c>
      <c r="AF55" s="103">
        <v>0</v>
      </c>
      <c r="AG55" s="103">
        <v>0</v>
      </c>
      <c r="AH55" s="103">
        <f>-2*3*time^1</f>
        <v>-60</v>
      </c>
      <c r="AI55" s="103">
        <f>-2*time^0</f>
        <v>-2</v>
      </c>
      <c r="AJ55" s="103">
        <v>0</v>
      </c>
      <c r="AK55" s="104">
        <v>0</v>
      </c>
      <c r="AM55" s="74" t="str">
        <f>"d_"&amp; time</f>
        <v>d_10</v>
      </c>
      <c r="AN55" s="98">
        <v>1.0060606144683308E-2</v>
      </c>
    </row>
    <row r="56" spans="2:40" s="74" customFormat="1" x14ac:dyDescent="0.2">
      <c r="B56" s="55" t="str">
        <f t="shared" ref="B56" si="16">"y(" &amp; D56 &amp; ")"</f>
        <v>y(0)</v>
      </c>
      <c r="C56" s="74">
        <f t="shared" si="13"/>
        <v>0</v>
      </c>
      <c r="D56" s="74">
        <v>0</v>
      </c>
      <c r="F56" s="109">
        <f>time^3</f>
        <v>0</v>
      </c>
      <c r="G56" s="110">
        <f>time^2</f>
        <v>0</v>
      </c>
      <c r="H56" s="110">
        <f>time^1</f>
        <v>0</v>
      </c>
      <c r="I56" s="111">
        <v>1</v>
      </c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7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1"/>
      <c r="AM56" s="74" t="s">
        <v>292</v>
      </c>
      <c r="AN56" s="98">
        <v>-1.9116253652858064E-5</v>
      </c>
    </row>
    <row r="57" spans="2:40" s="74" customFormat="1" x14ac:dyDescent="0.2">
      <c r="B57" s="55" t="str">
        <f t="shared" si="12"/>
        <v>y''(0)</v>
      </c>
      <c r="C57" s="74">
        <v>0</v>
      </c>
      <c r="D57" s="74">
        <v>0</v>
      </c>
      <c r="F57" s="109">
        <f>2*3*time^1</f>
        <v>0</v>
      </c>
      <c r="G57" s="110">
        <f>2*1</f>
        <v>2</v>
      </c>
      <c r="H57" s="110">
        <v>0</v>
      </c>
      <c r="I57" s="111">
        <v>0</v>
      </c>
      <c r="J57" s="100"/>
      <c r="K57" s="100"/>
      <c r="L57" s="100"/>
      <c r="M57" s="100"/>
      <c r="N57" s="100"/>
      <c r="O57" s="100"/>
      <c r="P57" s="100"/>
      <c r="Q57" s="100"/>
      <c r="R57" s="100"/>
      <c r="S57" s="100"/>
      <c r="T57" s="100"/>
      <c r="U57" s="100"/>
      <c r="V57" s="100"/>
      <c r="W57" s="107"/>
      <c r="X57" s="100"/>
      <c r="Y57" s="100"/>
      <c r="Z57" s="100"/>
      <c r="AA57" s="100"/>
      <c r="AB57" s="100"/>
      <c r="AC57" s="100"/>
      <c r="AD57" s="100"/>
      <c r="AE57" s="100"/>
      <c r="AF57" s="100"/>
      <c r="AG57" s="100"/>
      <c r="AH57" s="100"/>
      <c r="AI57" s="92"/>
      <c r="AJ57" s="100"/>
      <c r="AK57" s="101"/>
      <c r="AM57" s="74" t="s">
        <v>293</v>
      </c>
      <c r="AN57" s="98">
        <v>5.6702039956590424E-4</v>
      </c>
    </row>
    <row r="58" spans="2:40" s="74" customFormat="1" x14ac:dyDescent="0.2">
      <c r="B58" s="55" t="str">
        <f t="shared" ref="B58" si="17">"y(" &amp; D58 &amp; ")"</f>
        <v>y(30)</v>
      </c>
      <c r="C58" s="74">
        <f t="shared" si="13"/>
        <v>0.08</v>
      </c>
      <c r="D58" s="74">
        <v>30</v>
      </c>
      <c r="F58" s="99"/>
      <c r="G58" s="107"/>
      <c r="H58" s="100"/>
      <c r="I58" s="100"/>
      <c r="J58" s="100"/>
      <c r="K58" s="100"/>
      <c r="L58" s="100"/>
      <c r="M58" s="100"/>
      <c r="N58" s="100"/>
      <c r="O58" s="100"/>
      <c r="P58" s="100"/>
      <c r="Q58" s="100"/>
      <c r="R58" s="100"/>
      <c r="S58" s="100"/>
      <c r="T58" s="100"/>
      <c r="U58" s="100"/>
      <c r="V58" s="100"/>
      <c r="W58" s="107"/>
      <c r="X58" s="100"/>
      <c r="Y58" s="100"/>
      <c r="Z58" s="100"/>
      <c r="AA58" s="100"/>
      <c r="AB58" s="100"/>
      <c r="AC58" s="100"/>
      <c r="AD58" s="100"/>
      <c r="AE58" s="100"/>
      <c r="AF58" s="100"/>
      <c r="AG58" s="100"/>
      <c r="AH58" s="109">
        <f>time^3</f>
        <v>27000</v>
      </c>
      <c r="AI58" s="110">
        <f>time^2</f>
        <v>900</v>
      </c>
      <c r="AJ58" s="110">
        <f>time^1</f>
        <v>30</v>
      </c>
      <c r="AK58" s="111">
        <f>time^0</f>
        <v>1</v>
      </c>
      <c r="AM58" s="74" t="str">
        <f>"c_"&amp; time</f>
        <v>c_30</v>
      </c>
      <c r="AN58" s="98">
        <v>2.5204782849777359E-3</v>
      </c>
    </row>
    <row r="59" spans="2:40" s="74" customFormat="1" x14ac:dyDescent="0.2">
      <c r="B59" s="55" t="str">
        <f t="shared" si="12"/>
        <v>y''(30)</v>
      </c>
      <c r="C59" s="74">
        <v>0</v>
      </c>
      <c r="D59" s="74">
        <v>30</v>
      </c>
      <c r="F59" s="102"/>
      <c r="G59" s="112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12"/>
      <c r="X59" s="103"/>
      <c r="Y59" s="103"/>
      <c r="Z59" s="103"/>
      <c r="AA59" s="103"/>
      <c r="AB59" s="103"/>
      <c r="AC59" s="103"/>
      <c r="AD59" s="103"/>
      <c r="AE59" s="103"/>
      <c r="AF59" s="103"/>
      <c r="AG59" s="103"/>
      <c r="AH59" s="109">
        <f>2*3*time^1</f>
        <v>180</v>
      </c>
      <c r="AI59" s="110">
        <f>2*time^0</f>
        <v>2</v>
      </c>
      <c r="AJ59" s="110">
        <v>0</v>
      </c>
      <c r="AK59" s="111">
        <v>0</v>
      </c>
      <c r="AM59" s="74" t="str">
        <f>"d_"&amp; time</f>
        <v>d_30</v>
      </c>
      <c r="AN59" s="98">
        <v>1.0186858119883926E-2</v>
      </c>
    </row>
    <row r="60" spans="2:40" s="74" customFormat="1" x14ac:dyDescent="0.2">
      <c r="G60" s="113"/>
    </row>
    <row r="61" spans="2:40" s="74" customFormat="1" x14ac:dyDescent="0.2">
      <c r="G61" s="113"/>
    </row>
    <row r="62" spans="2:40" s="74" customFormat="1" x14ac:dyDescent="0.2">
      <c r="G62" s="113"/>
    </row>
    <row r="63" spans="2:40" s="74" customFormat="1" x14ac:dyDescent="0.2">
      <c r="G63" s="113"/>
    </row>
    <row r="64" spans="2:40" s="74" customFormat="1" x14ac:dyDescent="0.2">
      <c r="G64" s="113"/>
    </row>
    <row r="65" spans="6:37" s="74" customFormat="1" x14ac:dyDescent="0.2">
      <c r="F65" s="100">
        <f>IF(ISBLANK(F28),0,F28)</f>
        <v>1</v>
      </c>
      <c r="G65" s="100">
        <f t="shared" ref="G65:AK65" si="18">IF(ISBLANK(G28),0,G28)</f>
        <v>1</v>
      </c>
      <c r="H65" s="100">
        <f t="shared" si="18"/>
        <v>1</v>
      </c>
      <c r="I65" s="100">
        <f t="shared" si="18"/>
        <v>1</v>
      </c>
      <c r="J65" s="100">
        <f t="shared" si="18"/>
        <v>0</v>
      </c>
      <c r="K65" s="100">
        <f t="shared" si="18"/>
        <v>0</v>
      </c>
      <c r="L65" s="100">
        <f t="shared" si="18"/>
        <v>0</v>
      </c>
      <c r="M65" s="100">
        <f t="shared" si="18"/>
        <v>0</v>
      </c>
      <c r="N65" s="100">
        <f t="shared" si="18"/>
        <v>0</v>
      </c>
      <c r="O65" s="100">
        <f t="shared" si="18"/>
        <v>0</v>
      </c>
      <c r="P65" s="100">
        <f t="shared" si="18"/>
        <v>0</v>
      </c>
      <c r="Q65" s="100">
        <f t="shared" si="18"/>
        <v>0</v>
      </c>
      <c r="R65" s="100">
        <f t="shared" si="18"/>
        <v>0</v>
      </c>
      <c r="S65" s="100">
        <f t="shared" si="18"/>
        <v>0</v>
      </c>
      <c r="T65" s="100">
        <f t="shared" si="18"/>
        <v>0</v>
      </c>
      <c r="U65" s="100">
        <f t="shared" si="18"/>
        <v>0</v>
      </c>
      <c r="V65" s="100">
        <f t="shared" si="18"/>
        <v>0</v>
      </c>
      <c r="W65" s="100">
        <f t="shared" si="18"/>
        <v>0</v>
      </c>
      <c r="X65" s="100">
        <f t="shared" si="18"/>
        <v>0</v>
      </c>
      <c r="Y65" s="100">
        <f t="shared" si="18"/>
        <v>0</v>
      </c>
      <c r="Z65" s="100">
        <f t="shared" si="18"/>
        <v>0</v>
      </c>
      <c r="AA65" s="100">
        <f t="shared" si="18"/>
        <v>0</v>
      </c>
      <c r="AB65" s="100">
        <f t="shared" si="18"/>
        <v>0</v>
      </c>
      <c r="AC65" s="100">
        <f t="shared" si="18"/>
        <v>0</v>
      </c>
      <c r="AD65" s="100">
        <f t="shared" si="18"/>
        <v>0</v>
      </c>
      <c r="AE65" s="100">
        <f t="shared" si="18"/>
        <v>0</v>
      </c>
      <c r="AF65" s="100">
        <f t="shared" si="18"/>
        <v>0</v>
      </c>
      <c r="AG65" s="100">
        <f t="shared" si="18"/>
        <v>0</v>
      </c>
      <c r="AH65" s="100">
        <f t="shared" si="18"/>
        <v>0</v>
      </c>
      <c r="AI65" s="100">
        <f t="shared" si="18"/>
        <v>0</v>
      </c>
      <c r="AJ65" s="100">
        <f t="shared" si="18"/>
        <v>0</v>
      </c>
      <c r="AK65" s="100">
        <f t="shared" si="18"/>
        <v>0</v>
      </c>
    </row>
    <row r="66" spans="6:37" s="74" customFormat="1" x14ac:dyDescent="0.2">
      <c r="F66" s="100">
        <f t="shared" ref="F66:AK73" si="19">IF(ISBLANK(F29),0,F29)</f>
        <v>0</v>
      </c>
      <c r="G66" s="100">
        <f t="shared" si="19"/>
        <v>0</v>
      </c>
      <c r="H66" s="100">
        <f t="shared" si="19"/>
        <v>0</v>
      </c>
      <c r="I66" s="100">
        <f t="shared" si="19"/>
        <v>0</v>
      </c>
      <c r="J66" s="100">
        <f t="shared" si="19"/>
        <v>1</v>
      </c>
      <c r="K66" s="100">
        <f t="shared" si="19"/>
        <v>1</v>
      </c>
      <c r="L66" s="100">
        <f t="shared" si="19"/>
        <v>1</v>
      </c>
      <c r="M66" s="100">
        <f t="shared" si="19"/>
        <v>1</v>
      </c>
      <c r="N66" s="100">
        <f t="shared" si="19"/>
        <v>0</v>
      </c>
      <c r="O66" s="100">
        <f t="shared" si="19"/>
        <v>0</v>
      </c>
      <c r="P66" s="100">
        <f t="shared" si="19"/>
        <v>0</v>
      </c>
      <c r="Q66" s="100">
        <f t="shared" si="19"/>
        <v>0</v>
      </c>
      <c r="R66" s="100">
        <f t="shared" si="19"/>
        <v>0</v>
      </c>
      <c r="S66" s="100">
        <f t="shared" si="19"/>
        <v>0</v>
      </c>
      <c r="T66" s="100">
        <f t="shared" si="19"/>
        <v>0</v>
      </c>
      <c r="U66" s="100">
        <f t="shared" si="19"/>
        <v>0</v>
      </c>
      <c r="V66" s="100">
        <f t="shared" si="19"/>
        <v>0</v>
      </c>
      <c r="W66" s="100">
        <f t="shared" si="19"/>
        <v>0</v>
      </c>
      <c r="X66" s="100">
        <f t="shared" si="19"/>
        <v>0</v>
      </c>
      <c r="Y66" s="100">
        <f t="shared" si="19"/>
        <v>0</v>
      </c>
      <c r="Z66" s="100">
        <f t="shared" si="19"/>
        <v>0</v>
      </c>
      <c r="AA66" s="100">
        <f t="shared" si="19"/>
        <v>0</v>
      </c>
      <c r="AB66" s="100">
        <f t="shared" si="19"/>
        <v>0</v>
      </c>
      <c r="AC66" s="100">
        <f t="shared" si="19"/>
        <v>0</v>
      </c>
      <c r="AD66" s="100">
        <f t="shared" si="19"/>
        <v>0</v>
      </c>
      <c r="AE66" s="100">
        <f t="shared" si="19"/>
        <v>0</v>
      </c>
      <c r="AF66" s="100">
        <f t="shared" si="19"/>
        <v>0</v>
      </c>
      <c r="AG66" s="100">
        <f t="shared" si="19"/>
        <v>0</v>
      </c>
      <c r="AH66" s="100">
        <f t="shared" si="19"/>
        <v>0</v>
      </c>
      <c r="AI66" s="100">
        <f t="shared" si="19"/>
        <v>0</v>
      </c>
      <c r="AJ66" s="100">
        <f t="shared" si="19"/>
        <v>0</v>
      </c>
      <c r="AK66" s="100">
        <f t="shared" si="19"/>
        <v>0</v>
      </c>
    </row>
    <row r="67" spans="6:37" s="74" customFormat="1" x14ac:dyDescent="0.2">
      <c r="F67" s="100">
        <f t="shared" si="19"/>
        <v>3</v>
      </c>
      <c r="G67" s="100">
        <f t="shared" si="19"/>
        <v>2</v>
      </c>
      <c r="H67" s="100">
        <f t="shared" si="19"/>
        <v>1</v>
      </c>
      <c r="I67" s="100">
        <f t="shared" si="19"/>
        <v>0</v>
      </c>
      <c r="J67" s="100">
        <f t="shared" si="19"/>
        <v>-3</v>
      </c>
      <c r="K67" s="100">
        <f t="shared" si="19"/>
        <v>-2</v>
      </c>
      <c r="L67" s="100">
        <f t="shared" si="19"/>
        <v>-1</v>
      </c>
      <c r="M67" s="100">
        <f t="shared" si="19"/>
        <v>0</v>
      </c>
      <c r="N67" s="100">
        <f t="shared" si="19"/>
        <v>0</v>
      </c>
      <c r="O67" s="100">
        <f t="shared" si="19"/>
        <v>0</v>
      </c>
      <c r="P67" s="100">
        <f t="shared" si="19"/>
        <v>0</v>
      </c>
      <c r="Q67" s="100">
        <f t="shared" si="19"/>
        <v>0</v>
      </c>
      <c r="R67" s="100">
        <f t="shared" si="19"/>
        <v>0</v>
      </c>
      <c r="S67" s="100">
        <f t="shared" si="19"/>
        <v>0</v>
      </c>
      <c r="T67" s="100">
        <f t="shared" si="19"/>
        <v>0</v>
      </c>
      <c r="U67" s="100">
        <f t="shared" si="19"/>
        <v>0</v>
      </c>
      <c r="V67" s="100">
        <f t="shared" si="19"/>
        <v>0</v>
      </c>
      <c r="W67" s="100">
        <f t="shared" si="19"/>
        <v>0</v>
      </c>
      <c r="X67" s="100">
        <f t="shared" si="19"/>
        <v>0</v>
      </c>
      <c r="Y67" s="100">
        <f t="shared" si="19"/>
        <v>0</v>
      </c>
      <c r="Z67" s="100">
        <f t="shared" si="19"/>
        <v>0</v>
      </c>
      <c r="AA67" s="100">
        <f t="shared" si="19"/>
        <v>0</v>
      </c>
      <c r="AB67" s="100">
        <f t="shared" si="19"/>
        <v>0</v>
      </c>
      <c r="AC67" s="100">
        <f t="shared" si="19"/>
        <v>0</v>
      </c>
      <c r="AD67" s="100">
        <f t="shared" si="19"/>
        <v>0</v>
      </c>
      <c r="AE67" s="100">
        <f t="shared" si="19"/>
        <v>0</v>
      </c>
      <c r="AF67" s="100">
        <f t="shared" si="19"/>
        <v>0</v>
      </c>
      <c r="AG67" s="100">
        <f t="shared" si="19"/>
        <v>0</v>
      </c>
      <c r="AH67" s="100">
        <f t="shared" si="19"/>
        <v>0</v>
      </c>
      <c r="AI67" s="100">
        <f t="shared" si="19"/>
        <v>0</v>
      </c>
      <c r="AJ67" s="100">
        <f t="shared" si="19"/>
        <v>0</v>
      </c>
      <c r="AK67" s="100">
        <f t="shared" si="19"/>
        <v>0</v>
      </c>
    </row>
    <row r="68" spans="6:37" s="74" customFormat="1" x14ac:dyDescent="0.2">
      <c r="F68" s="100">
        <f t="shared" si="19"/>
        <v>6</v>
      </c>
      <c r="G68" s="100">
        <f t="shared" si="19"/>
        <v>2</v>
      </c>
      <c r="H68" s="100">
        <f t="shared" si="19"/>
        <v>0</v>
      </c>
      <c r="I68" s="100">
        <f t="shared" si="19"/>
        <v>0</v>
      </c>
      <c r="J68" s="100">
        <f t="shared" si="19"/>
        <v>-6</v>
      </c>
      <c r="K68" s="100">
        <f t="shared" si="19"/>
        <v>-2</v>
      </c>
      <c r="L68" s="100">
        <f t="shared" si="19"/>
        <v>0</v>
      </c>
      <c r="M68" s="100">
        <f t="shared" si="19"/>
        <v>0</v>
      </c>
      <c r="N68" s="100">
        <f t="shared" si="19"/>
        <v>0</v>
      </c>
      <c r="O68" s="100">
        <f t="shared" si="19"/>
        <v>0</v>
      </c>
      <c r="P68" s="100">
        <f t="shared" si="19"/>
        <v>0</v>
      </c>
      <c r="Q68" s="100">
        <f t="shared" si="19"/>
        <v>0</v>
      </c>
      <c r="R68" s="100">
        <f t="shared" si="19"/>
        <v>0</v>
      </c>
      <c r="S68" s="100">
        <f t="shared" si="19"/>
        <v>0</v>
      </c>
      <c r="T68" s="100">
        <f t="shared" si="19"/>
        <v>0</v>
      </c>
      <c r="U68" s="100">
        <f t="shared" si="19"/>
        <v>0</v>
      </c>
      <c r="V68" s="100">
        <f t="shared" si="19"/>
        <v>0</v>
      </c>
      <c r="W68" s="100">
        <f t="shared" si="19"/>
        <v>0</v>
      </c>
      <c r="X68" s="100">
        <f t="shared" si="19"/>
        <v>0</v>
      </c>
      <c r="Y68" s="100">
        <f t="shared" si="19"/>
        <v>0</v>
      </c>
      <c r="Z68" s="100">
        <f t="shared" si="19"/>
        <v>0</v>
      </c>
      <c r="AA68" s="100">
        <f t="shared" si="19"/>
        <v>0</v>
      </c>
      <c r="AB68" s="100">
        <f t="shared" si="19"/>
        <v>0</v>
      </c>
      <c r="AC68" s="100">
        <f t="shared" si="19"/>
        <v>0</v>
      </c>
      <c r="AD68" s="100">
        <f t="shared" si="19"/>
        <v>0</v>
      </c>
      <c r="AE68" s="100">
        <f t="shared" si="19"/>
        <v>0</v>
      </c>
      <c r="AF68" s="100">
        <f t="shared" si="19"/>
        <v>0</v>
      </c>
      <c r="AG68" s="100">
        <f t="shared" si="19"/>
        <v>0</v>
      </c>
      <c r="AH68" s="100">
        <f t="shared" si="19"/>
        <v>0</v>
      </c>
      <c r="AI68" s="100">
        <f t="shared" si="19"/>
        <v>0</v>
      </c>
      <c r="AJ68" s="100">
        <f t="shared" si="19"/>
        <v>0</v>
      </c>
      <c r="AK68" s="100">
        <f t="shared" si="19"/>
        <v>0</v>
      </c>
    </row>
    <row r="69" spans="6:37" s="74" customFormat="1" x14ac:dyDescent="0.2">
      <c r="F69" s="100">
        <f t="shared" si="19"/>
        <v>0</v>
      </c>
      <c r="G69" s="100">
        <f t="shared" si="19"/>
        <v>0</v>
      </c>
      <c r="H69" s="100">
        <f t="shared" si="19"/>
        <v>0</v>
      </c>
      <c r="I69" s="100">
        <f t="shared" si="19"/>
        <v>0</v>
      </c>
      <c r="J69" s="100">
        <f t="shared" si="19"/>
        <v>8</v>
      </c>
      <c r="K69" s="100">
        <f t="shared" si="19"/>
        <v>4</v>
      </c>
      <c r="L69" s="100">
        <f t="shared" si="19"/>
        <v>2</v>
      </c>
      <c r="M69" s="100">
        <f t="shared" si="19"/>
        <v>1</v>
      </c>
      <c r="N69" s="100">
        <f t="shared" si="19"/>
        <v>0</v>
      </c>
      <c r="O69" s="100">
        <f t="shared" si="19"/>
        <v>0</v>
      </c>
      <c r="P69" s="100">
        <f t="shared" si="19"/>
        <v>0</v>
      </c>
      <c r="Q69" s="100">
        <f t="shared" si="19"/>
        <v>0</v>
      </c>
      <c r="R69" s="100">
        <f t="shared" si="19"/>
        <v>0</v>
      </c>
      <c r="S69" s="100">
        <f t="shared" si="19"/>
        <v>0</v>
      </c>
      <c r="T69" s="100">
        <f t="shared" si="19"/>
        <v>0</v>
      </c>
      <c r="U69" s="100">
        <f t="shared" si="19"/>
        <v>0</v>
      </c>
      <c r="V69" s="100">
        <f t="shared" si="19"/>
        <v>0</v>
      </c>
      <c r="W69" s="100">
        <f t="shared" si="19"/>
        <v>0</v>
      </c>
      <c r="X69" s="100">
        <f t="shared" si="19"/>
        <v>0</v>
      </c>
      <c r="Y69" s="100">
        <f t="shared" si="19"/>
        <v>0</v>
      </c>
      <c r="Z69" s="100">
        <f t="shared" si="19"/>
        <v>0</v>
      </c>
      <c r="AA69" s="100">
        <f t="shared" si="19"/>
        <v>0</v>
      </c>
      <c r="AB69" s="100">
        <f t="shared" si="19"/>
        <v>0</v>
      </c>
      <c r="AC69" s="100">
        <f t="shared" si="19"/>
        <v>0</v>
      </c>
      <c r="AD69" s="100">
        <f t="shared" si="19"/>
        <v>0</v>
      </c>
      <c r="AE69" s="100">
        <f t="shared" si="19"/>
        <v>0</v>
      </c>
      <c r="AF69" s="100">
        <f t="shared" si="19"/>
        <v>0</v>
      </c>
      <c r="AG69" s="100">
        <f t="shared" si="19"/>
        <v>0</v>
      </c>
      <c r="AH69" s="100">
        <f t="shared" si="19"/>
        <v>0</v>
      </c>
      <c r="AI69" s="100">
        <f t="shared" si="19"/>
        <v>0</v>
      </c>
      <c r="AJ69" s="100">
        <f t="shared" si="19"/>
        <v>0</v>
      </c>
      <c r="AK69" s="100">
        <f t="shared" si="19"/>
        <v>0</v>
      </c>
    </row>
    <row r="70" spans="6:37" s="74" customFormat="1" x14ac:dyDescent="0.2">
      <c r="F70" s="100">
        <f t="shared" si="19"/>
        <v>0</v>
      </c>
      <c r="G70" s="100">
        <f t="shared" si="19"/>
        <v>0</v>
      </c>
      <c r="H70" s="100">
        <f t="shared" si="19"/>
        <v>0</v>
      </c>
      <c r="I70" s="100">
        <f t="shared" si="19"/>
        <v>0</v>
      </c>
      <c r="J70" s="100">
        <f t="shared" si="19"/>
        <v>0</v>
      </c>
      <c r="K70" s="100">
        <f t="shared" si="19"/>
        <v>0</v>
      </c>
      <c r="L70" s="100">
        <f t="shared" si="19"/>
        <v>0</v>
      </c>
      <c r="M70" s="100">
        <f t="shared" si="19"/>
        <v>0</v>
      </c>
      <c r="N70" s="100">
        <f t="shared" si="19"/>
        <v>8</v>
      </c>
      <c r="O70" s="100">
        <f t="shared" si="19"/>
        <v>4</v>
      </c>
      <c r="P70" s="100">
        <f t="shared" si="19"/>
        <v>2</v>
      </c>
      <c r="Q70" s="100">
        <f t="shared" si="19"/>
        <v>1</v>
      </c>
      <c r="R70" s="100">
        <f t="shared" si="19"/>
        <v>0</v>
      </c>
      <c r="S70" s="100">
        <f t="shared" si="19"/>
        <v>0</v>
      </c>
      <c r="T70" s="100">
        <f t="shared" si="19"/>
        <v>0</v>
      </c>
      <c r="U70" s="100">
        <f t="shared" si="19"/>
        <v>0</v>
      </c>
      <c r="V70" s="100">
        <f t="shared" si="19"/>
        <v>0</v>
      </c>
      <c r="W70" s="100">
        <f t="shared" si="19"/>
        <v>0</v>
      </c>
      <c r="X70" s="100">
        <f t="shared" si="19"/>
        <v>0</v>
      </c>
      <c r="Y70" s="100">
        <f t="shared" si="19"/>
        <v>0</v>
      </c>
      <c r="Z70" s="100">
        <f t="shared" si="19"/>
        <v>0</v>
      </c>
      <c r="AA70" s="100">
        <f t="shared" si="19"/>
        <v>0</v>
      </c>
      <c r="AB70" s="100">
        <f t="shared" si="19"/>
        <v>0</v>
      </c>
      <c r="AC70" s="100">
        <f t="shared" si="19"/>
        <v>0</v>
      </c>
      <c r="AD70" s="100">
        <f t="shared" si="19"/>
        <v>0</v>
      </c>
      <c r="AE70" s="100">
        <f t="shared" si="19"/>
        <v>0</v>
      </c>
      <c r="AF70" s="100">
        <f t="shared" si="19"/>
        <v>0</v>
      </c>
      <c r="AG70" s="100">
        <f t="shared" si="19"/>
        <v>0</v>
      </c>
      <c r="AH70" s="100">
        <f t="shared" si="19"/>
        <v>0</v>
      </c>
      <c r="AI70" s="100">
        <f t="shared" si="19"/>
        <v>0</v>
      </c>
      <c r="AJ70" s="100">
        <f t="shared" si="19"/>
        <v>0</v>
      </c>
      <c r="AK70" s="100">
        <f t="shared" si="19"/>
        <v>0</v>
      </c>
    </row>
    <row r="71" spans="6:37" s="74" customFormat="1" x14ac:dyDescent="0.2">
      <c r="F71" s="100">
        <f t="shared" si="19"/>
        <v>0</v>
      </c>
      <c r="G71" s="100">
        <f t="shared" si="19"/>
        <v>0</v>
      </c>
      <c r="H71" s="100">
        <f t="shared" si="19"/>
        <v>0</v>
      </c>
      <c r="I71" s="100">
        <f t="shared" si="19"/>
        <v>0</v>
      </c>
      <c r="J71" s="100">
        <f t="shared" si="19"/>
        <v>12</v>
      </c>
      <c r="K71" s="100">
        <f t="shared" si="19"/>
        <v>4</v>
      </c>
      <c r="L71" s="100">
        <f t="shared" si="19"/>
        <v>1</v>
      </c>
      <c r="M71" s="100">
        <f t="shared" si="19"/>
        <v>0</v>
      </c>
      <c r="N71" s="100">
        <f t="shared" si="19"/>
        <v>-12</v>
      </c>
      <c r="O71" s="100">
        <f t="shared" si="19"/>
        <v>-4</v>
      </c>
      <c r="P71" s="100">
        <f t="shared" si="19"/>
        <v>-1</v>
      </c>
      <c r="Q71" s="100">
        <f t="shared" si="19"/>
        <v>0</v>
      </c>
      <c r="R71" s="100">
        <f t="shared" si="19"/>
        <v>0</v>
      </c>
      <c r="S71" s="100">
        <f t="shared" si="19"/>
        <v>0</v>
      </c>
      <c r="T71" s="100">
        <f t="shared" si="19"/>
        <v>0</v>
      </c>
      <c r="U71" s="100">
        <f t="shared" si="19"/>
        <v>0</v>
      </c>
      <c r="V71" s="100">
        <f t="shared" si="19"/>
        <v>0</v>
      </c>
      <c r="W71" s="100">
        <f t="shared" si="19"/>
        <v>0</v>
      </c>
      <c r="X71" s="100">
        <f t="shared" si="19"/>
        <v>0</v>
      </c>
      <c r="Y71" s="100">
        <f t="shared" si="19"/>
        <v>0</v>
      </c>
      <c r="Z71" s="100">
        <f t="shared" si="19"/>
        <v>0</v>
      </c>
      <c r="AA71" s="100">
        <f t="shared" si="19"/>
        <v>0</v>
      </c>
      <c r="AB71" s="100">
        <f t="shared" si="19"/>
        <v>0</v>
      </c>
      <c r="AC71" s="100">
        <f t="shared" si="19"/>
        <v>0</v>
      </c>
      <c r="AD71" s="100">
        <f t="shared" si="19"/>
        <v>0</v>
      </c>
      <c r="AE71" s="100">
        <f t="shared" si="19"/>
        <v>0</v>
      </c>
      <c r="AF71" s="100">
        <f t="shared" si="19"/>
        <v>0</v>
      </c>
      <c r="AG71" s="100">
        <f t="shared" si="19"/>
        <v>0</v>
      </c>
      <c r="AH71" s="100">
        <f t="shared" si="19"/>
        <v>0</v>
      </c>
      <c r="AI71" s="100">
        <f t="shared" si="19"/>
        <v>0</v>
      </c>
      <c r="AJ71" s="100">
        <f t="shared" si="19"/>
        <v>0</v>
      </c>
      <c r="AK71" s="100">
        <f t="shared" si="19"/>
        <v>0</v>
      </c>
    </row>
    <row r="72" spans="6:37" s="74" customFormat="1" x14ac:dyDescent="0.2">
      <c r="F72" s="100">
        <f t="shared" si="19"/>
        <v>0</v>
      </c>
      <c r="G72" s="100">
        <f t="shared" si="19"/>
        <v>0</v>
      </c>
      <c r="H72" s="100">
        <f t="shared" si="19"/>
        <v>0</v>
      </c>
      <c r="I72" s="100">
        <f t="shared" si="19"/>
        <v>0</v>
      </c>
      <c r="J72" s="100">
        <f t="shared" si="19"/>
        <v>12</v>
      </c>
      <c r="K72" s="100">
        <f t="shared" si="19"/>
        <v>2</v>
      </c>
      <c r="L72" s="100">
        <f t="shared" si="19"/>
        <v>0</v>
      </c>
      <c r="M72" s="100">
        <f t="shared" si="19"/>
        <v>0</v>
      </c>
      <c r="N72" s="100">
        <f t="shared" si="19"/>
        <v>-12</v>
      </c>
      <c r="O72" s="100">
        <f t="shared" si="19"/>
        <v>-2</v>
      </c>
      <c r="P72" s="100">
        <f t="shared" si="19"/>
        <v>0</v>
      </c>
      <c r="Q72" s="100">
        <f t="shared" si="19"/>
        <v>0</v>
      </c>
      <c r="R72" s="100">
        <f t="shared" si="19"/>
        <v>0</v>
      </c>
      <c r="S72" s="100">
        <f t="shared" si="19"/>
        <v>0</v>
      </c>
      <c r="T72" s="100">
        <f t="shared" si="19"/>
        <v>0</v>
      </c>
      <c r="U72" s="100">
        <f t="shared" si="19"/>
        <v>0</v>
      </c>
      <c r="V72" s="100">
        <f t="shared" si="19"/>
        <v>0</v>
      </c>
      <c r="W72" s="100">
        <f t="shared" si="19"/>
        <v>0</v>
      </c>
      <c r="X72" s="100">
        <f t="shared" si="19"/>
        <v>0</v>
      </c>
      <c r="Y72" s="100">
        <f t="shared" si="19"/>
        <v>0</v>
      </c>
      <c r="Z72" s="100">
        <f t="shared" si="19"/>
        <v>0</v>
      </c>
      <c r="AA72" s="100">
        <f t="shared" si="19"/>
        <v>0</v>
      </c>
      <c r="AB72" s="100">
        <f t="shared" si="19"/>
        <v>0</v>
      </c>
      <c r="AC72" s="100">
        <f t="shared" si="19"/>
        <v>0</v>
      </c>
      <c r="AD72" s="100">
        <f t="shared" si="19"/>
        <v>0</v>
      </c>
      <c r="AE72" s="100">
        <f t="shared" si="19"/>
        <v>0</v>
      </c>
      <c r="AF72" s="100">
        <f t="shared" si="19"/>
        <v>0</v>
      </c>
      <c r="AG72" s="100">
        <f t="shared" si="19"/>
        <v>0</v>
      </c>
      <c r="AH72" s="100">
        <f t="shared" si="19"/>
        <v>0</v>
      </c>
      <c r="AI72" s="100">
        <f t="shared" si="19"/>
        <v>0</v>
      </c>
      <c r="AJ72" s="100">
        <f t="shared" si="19"/>
        <v>0</v>
      </c>
      <c r="AK72" s="100">
        <f t="shared" si="19"/>
        <v>0</v>
      </c>
    </row>
    <row r="73" spans="6:37" s="74" customFormat="1" x14ac:dyDescent="0.2">
      <c r="F73" s="100">
        <f t="shared" si="19"/>
        <v>0</v>
      </c>
      <c r="G73" s="100">
        <f t="shared" si="19"/>
        <v>0</v>
      </c>
      <c r="H73" s="100">
        <f t="shared" si="19"/>
        <v>0</v>
      </c>
      <c r="I73" s="100">
        <f t="shared" si="19"/>
        <v>0</v>
      </c>
      <c r="J73" s="100">
        <f t="shared" si="19"/>
        <v>0</v>
      </c>
      <c r="K73" s="100">
        <f t="shared" si="19"/>
        <v>0</v>
      </c>
      <c r="L73" s="100">
        <f t="shared" si="19"/>
        <v>0</v>
      </c>
      <c r="M73" s="100">
        <f t="shared" si="19"/>
        <v>0</v>
      </c>
      <c r="N73" s="100">
        <f t="shared" si="19"/>
        <v>27</v>
      </c>
      <c r="O73" s="100">
        <f t="shared" si="19"/>
        <v>9</v>
      </c>
      <c r="P73" s="100">
        <f t="shared" si="19"/>
        <v>3</v>
      </c>
      <c r="Q73" s="100">
        <f t="shared" si="19"/>
        <v>1</v>
      </c>
      <c r="R73" s="100">
        <f t="shared" si="19"/>
        <v>0</v>
      </c>
      <c r="S73" s="100">
        <f t="shared" si="19"/>
        <v>0</v>
      </c>
      <c r="T73" s="100">
        <f t="shared" si="19"/>
        <v>0</v>
      </c>
      <c r="U73" s="100">
        <f t="shared" si="19"/>
        <v>0</v>
      </c>
      <c r="V73" s="100">
        <f t="shared" si="19"/>
        <v>0</v>
      </c>
      <c r="W73" s="100">
        <f t="shared" si="19"/>
        <v>0</v>
      </c>
      <c r="X73" s="100">
        <f t="shared" si="19"/>
        <v>0</v>
      </c>
      <c r="Y73" s="100">
        <f t="shared" si="19"/>
        <v>0</v>
      </c>
      <c r="Z73" s="100">
        <f t="shared" si="19"/>
        <v>0</v>
      </c>
      <c r="AA73" s="100">
        <f t="shared" si="19"/>
        <v>0</v>
      </c>
      <c r="AB73" s="100">
        <f t="shared" si="19"/>
        <v>0</v>
      </c>
      <c r="AC73" s="100">
        <f t="shared" si="19"/>
        <v>0</v>
      </c>
      <c r="AD73" s="100">
        <f t="shared" si="19"/>
        <v>0</v>
      </c>
      <c r="AE73" s="100">
        <f t="shared" si="19"/>
        <v>0</v>
      </c>
      <c r="AF73" s="100">
        <f t="shared" si="19"/>
        <v>0</v>
      </c>
      <c r="AG73" s="100">
        <f t="shared" si="19"/>
        <v>0</v>
      </c>
      <c r="AH73" s="100">
        <f t="shared" si="19"/>
        <v>0</v>
      </c>
      <c r="AI73" s="100">
        <f t="shared" si="19"/>
        <v>0</v>
      </c>
      <c r="AJ73" s="100">
        <f t="shared" si="19"/>
        <v>0</v>
      </c>
      <c r="AK73" s="100">
        <f t="shared" ref="AK73" si="20">IF(ISBLANK(AK36),0,AK36)</f>
        <v>0</v>
      </c>
    </row>
    <row r="74" spans="6:37" s="74" customFormat="1" x14ac:dyDescent="0.2">
      <c r="F74" s="100">
        <f t="shared" ref="F74:AK81" si="21">IF(ISBLANK(F37),0,F37)</f>
        <v>0</v>
      </c>
      <c r="G74" s="100">
        <f t="shared" si="21"/>
        <v>0</v>
      </c>
      <c r="H74" s="100">
        <f t="shared" si="21"/>
        <v>0</v>
      </c>
      <c r="I74" s="100">
        <f t="shared" si="21"/>
        <v>0</v>
      </c>
      <c r="J74" s="100">
        <f t="shared" si="21"/>
        <v>0</v>
      </c>
      <c r="K74" s="100">
        <f t="shared" si="21"/>
        <v>0</v>
      </c>
      <c r="L74" s="100">
        <f t="shared" si="21"/>
        <v>0</v>
      </c>
      <c r="M74" s="100">
        <f t="shared" si="21"/>
        <v>0</v>
      </c>
      <c r="N74" s="100">
        <f t="shared" si="21"/>
        <v>0</v>
      </c>
      <c r="O74" s="100">
        <f t="shared" si="21"/>
        <v>0</v>
      </c>
      <c r="P74" s="100">
        <f t="shared" si="21"/>
        <v>0</v>
      </c>
      <c r="Q74" s="100">
        <f t="shared" si="21"/>
        <v>0</v>
      </c>
      <c r="R74" s="100">
        <f t="shared" si="21"/>
        <v>27</v>
      </c>
      <c r="S74" s="100">
        <f t="shared" si="21"/>
        <v>9</v>
      </c>
      <c r="T74" s="100">
        <f t="shared" si="21"/>
        <v>3</v>
      </c>
      <c r="U74" s="100">
        <f t="shared" si="21"/>
        <v>1</v>
      </c>
      <c r="V74" s="100">
        <f t="shared" si="21"/>
        <v>0</v>
      </c>
      <c r="W74" s="100">
        <f t="shared" si="21"/>
        <v>0</v>
      </c>
      <c r="X74" s="100">
        <f t="shared" si="21"/>
        <v>0</v>
      </c>
      <c r="Y74" s="100">
        <f t="shared" si="21"/>
        <v>0</v>
      </c>
      <c r="Z74" s="100">
        <f t="shared" si="21"/>
        <v>0</v>
      </c>
      <c r="AA74" s="100">
        <f t="shared" si="21"/>
        <v>0</v>
      </c>
      <c r="AB74" s="100">
        <f t="shared" si="21"/>
        <v>0</v>
      </c>
      <c r="AC74" s="100">
        <f t="shared" si="21"/>
        <v>0</v>
      </c>
      <c r="AD74" s="100">
        <f t="shared" si="21"/>
        <v>0</v>
      </c>
      <c r="AE74" s="100">
        <f t="shared" si="21"/>
        <v>0</v>
      </c>
      <c r="AF74" s="100">
        <f t="shared" si="21"/>
        <v>0</v>
      </c>
      <c r="AG74" s="100">
        <f t="shared" si="21"/>
        <v>0</v>
      </c>
      <c r="AH74" s="100">
        <f t="shared" si="21"/>
        <v>0</v>
      </c>
      <c r="AI74" s="100">
        <f t="shared" si="21"/>
        <v>0</v>
      </c>
      <c r="AJ74" s="100">
        <f t="shared" si="21"/>
        <v>0</v>
      </c>
      <c r="AK74" s="100">
        <f t="shared" si="21"/>
        <v>0</v>
      </c>
    </row>
    <row r="75" spans="6:37" s="74" customFormat="1" x14ac:dyDescent="0.2">
      <c r="F75" s="100">
        <f t="shared" si="21"/>
        <v>0</v>
      </c>
      <c r="G75" s="100">
        <f t="shared" si="21"/>
        <v>0</v>
      </c>
      <c r="H75" s="100">
        <f t="shared" si="21"/>
        <v>0</v>
      </c>
      <c r="I75" s="100">
        <f t="shared" si="21"/>
        <v>0</v>
      </c>
      <c r="J75" s="100">
        <f t="shared" si="21"/>
        <v>0</v>
      </c>
      <c r="K75" s="100">
        <f t="shared" si="21"/>
        <v>0</v>
      </c>
      <c r="L75" s="100">
        <f t="shared" si="21"/>
        <v>0</v>
      </c>
      <c r="M75" s="100">
        <f t="shared" si="21"/>
        <v>0</v>
      </c>
      <c r="N75" s="100">
        <f t="shared" si="21"/>
        <v>27</v>
      </c>
      <c r="O75" s="100">
        <f t="shared" si="21"/>
        <v>6</v>
      </c>
      <c r="P75" s="100">
        <f t="shared" si="21"/>
        <v>1</v>
      </c>
      <c r="Q75" s="100">
        <f t="shared" si="21"/>
        <v>0</v>
      </c>
      <c r="R75" s="100">
        <f t="shared" si="21"/>
        <v>-27</v>
      </c>
      <c r="S75" s="100">
        <f t="shared" si="21"/>
        <v>-6</v>
      </c>
      <c r="T75" s="100">
        <f t="shared" si="21"/>
        <v>-1</v>
      </c>
      <c r="U75" s="100">
        <f t="shared" si="21"/>
        <v>0</v>
      </c>
      <c r="V75" s="100">
        <f t="shared" si="21"/>
        <v>0</v>
      </c>
      <c r="W75" s="100">
        <f t="shared" si="21"/>
        <v>0</v>
      </c>
      <c r="X75" s="100">
        <f t="shared" si="21"/>
        <v>0</v>
      </c>
      <c r="Y75" s="100">
        <f t="shared" si="21"/>
        <v>0</v>
      </c>
      <c r="Z75" s="100">
        <f t="shared" si="21"/>
        <v>0</v>
      </c>
      <c r="AA75" s="100">
        <f t="shared" si="21"/>
        <v>0</v>
      </c>
      <c r="AB75" s="100">
        <f t="shared" si="21"/>
        <v>0</v>
      </c>
      <c r="AC75" s="100">
        <f t="shared" si="21"/>
        <v>0</v>
      </c>
      <c r="AD75" s="100">
        <f t="shared" si="21"/>
        <v>0</v>
      </c>
      <c r="AE75" s="100">
        <f t="shared" si="21"/>
        <v>0</v>
      </c>
      <c r="AF75" s="100">
        <f t="shared" si="21"/>
        <v>0</v>
      </c>
      <c r="AG75" s="100">
        <f t="shared" si="21"/>
        <v>0</v>
      </c>
      <c r="AH75" s="100">
        <f t="shared" si="21"/>
        <v>0</v>
      </c>
      <c r="AI75" s="100">
        <f t="shared" si="21"/>
        <v>0</v>
      </c>
      <c r="AJ75" s="100">
        <f t="shared" si="21"/>
        <v>0</v>
      </c>
      <c r="AK75" s="100">
        <f t="shared" si="21"/>
        <v>0</v>
      </c>
    </row>
    <row r="76" spans="6:37" s="74" customFormat="1" x14ac:dyDescent="0.2">
      <c r="F76" s="100">
        <f t="shared" si="21"/>
        <v>0</v>
      </c>
      <c r="G76" s="100">
        <f t="shared" si="21"/>
        <v>0</v>
      </c>
      <c r="H76" s="100">
        <f t="shared" si="21"/>
        <v>0</v>
      </c>
      <c r="I76" s="100">
        <f t="shared" si="21"/>
        <v>0</v>
      </c>
      <c r="J76" s="100">
        <f t="shared" si="21"/>
        <v>0</v>
      </c>
      <c r="K76" s="100">
        <f t="shared" si="21"/>
        <v>0</v>
      </c>
      <c r="L76" s="100">
        <f t="shared" si="21"/>
        <v>0</v>
      </c>
      <c r="M76" s="100">
        <f t="shared" si="21"/>
        <v>0</v>
      </c>
      <c r="N76" s="100">
        <f t="shared" si="21"/>
        <v>18</v>
      </c>
      <c r="O76" s="100">
        <f t="shared" si="21"/>
        <v>2</v>
      </c>
      <c r="P76" s="100">
        <f t="shared" si="21"/>
        <v>0</v>
      </c>
      <c r="Q76" s="100">
        <f t="shared" si="21"/>
        <v>0</v>
      </c>
      <c r="R76" s="100">
        <f t="shared" si="21"/>
        <v>-18</v>
      </c>
      <c r="S76" s="100">
        <f t="shared" si="21"/>
        <v>-2</v>
      </c>
      <c r="T76" s="100">
        <f t="shared" si="21"/>
        <v>0</v>
      </c>
      <c r="U76" s="100">
        <f t="shared" si="21"/>
        <v>0</v>
      </c>
      <c r="V76" s="100">
        <f t="shared" si="21"/>
        <v>0</v>
      </c>
      <c r="W76" s="100">
        <f t="shared" si="21"/>
        <v>0</v>
      </c>
      <c r="X76" s="100">
        <f t="shared" si="21"/>
        <v>0</v>
      </c>
      <c r="Y76" s="100">
        <f t="shared" si="21"/>
        <v>0</v>
      </c>
      <c r="Z76" s="100">
        <f t="shared" si="21"/>
        <v>0</v>
      </c>
      <c r="AA76" s="100">
        <f t="shared" si="21"/>
        <v>0</v>
      </c>
      <c r="AB76" s="100">
        <f t="shared" si="21"/>
        <v>0</v>
      </c>
      <c r="AC76" s="100">
        <f t="shared" si="21"/>
        <v>0</v>
      </c>
      <c r="AD76" s="100">
        <f t="shared" si="21"/>
        <v>0</v>
      </c>
      <c r="AE76" s="100">
        <f t="shared" si="21"/>
        <v>0</v>
      </c>
      <c r="AF76" s="100">
        <f t="shared" si="21"/>
        <v>0</v>
      </c>
      <c r="AG76" s="100">
        <f t="shared" si="21"/>
        <v>0</v>
      </c>
      <c r="AH76" s="100">
        <f t="shared" si="21"/>
        <v>0</v>
      </c>
      <c r="AI76" s="100">
        <f t="shared" si="21"/>
        <v>0</v>
      </c>
      <c r="AJ76" s="100">
        <f t="shared" si="21"/>
        <v>0</v>
      </c>
      <c r="AK76" s="100">
        <f t="shared" si="21"/>
        <v>0</v>
      </c>
    </row>
    <row r="77" spans="6:37" s="74" customFormat="1" x14ac:dyDescent="0.2">
      <c r="F77" s="100">
        <f t="shared" si="21"/>
        <v>0</v>
      </c>
      <c r="G77" s="100">
        <f t="shared" si="21"/>
        <v>0</v>
      </c>
      <c r="H77" s="100">
        <f t="shared" si="21"/>
        <v>0</v>
      </c>
      <c r="I77" s="100">
        <f t="shared" si="21"/>
        <v>0</v>
      </c>
      <c r="J77" s="100">
        <f t="shared" si="21"/>
        <v>0</v>
      </c>
      <c r="K77" s="100">
        <f t="shared" si="21"/>
        <v>0</v>
      </c>
      <c r="L77" s="100">
        <f t="shared" si="21"/>
        <v>0</v>
      </c>
      <c r="M77" s="100">
        <f t="shared" si="21"/>
        <v>0</v>
      </c>
      <c r="N77" s="100">
        <f t="shared" si="21"/>
        <v>0</v>
      </c>
      <c r="O77" s="100">
        <f t="shared" si="21"/>
        <v>0</v>
      </c>
      <c r="P77" s="100">
        <f t="shared" si="21"/>
        <v>0</v>
      </c>
      <c r="Q77" s="100">
        <f t="shared" si="21"/>
        <v>0</v>
      </c>
      <c r="R77" s="100">
        <f t="shared" si="21"/>
        <v>64</v>
      </c>
      <c r="S77" s="100">
        <f t="shared" si="21"/>
        <v>16</v>
      </c>
      <c r="T77" s="100">
        <f t="shared" si="21"/>
        <v>4</v>
      </c>
      <c r="U77" s="100">
        <f t="shared" si="21"/>
        <v>1</v>
      </c>
      <c r="V77" s="100">
        <f t="shared" si="21"/>
        <v>0</v>
      </c>
      <c r="W77" s="100">
        <f t="shared" si="21"/>
        <v>0</v>
      </c>
      <c r="X77" s="100">
        <f t="shared" si="21"/>
        <v>0</v>
      </c>
      <c r="Y77" s="100">
        <f t="shared" si="21"/>
        <v>0</v>
      </c>
      <c r="Z77" s="100">
        <f t="shared" si="21"/>
        <v>0</v>
      </c>
      <c r="AA77" s="100">
        <f t="shared" si="21"/>
        <v>0</v>
      </c>
      <c r="AB77" s="100">
        <f t="shared" si="21"/>
        <v>0</v>
      </c>
      <c r="AC77" s="100">
        <f t="shared" si="21"/>
        <v>0</v>
      </c>
      <c r="AD77" s="100">
        <f t="shared" si="21"/>
        <v>0</v>
      </c>
      <c r="AE77" s="100">
        <f t="shared" si="21"/>
        <v>0</v>
      </c>
      <c r="AF77" s="100">
        <f t="shared" si="21"/>
        <v>0</v>
      </c>
      <c r="AG77" s="100">
        <f t="shared" si="21"/>
        <v>0</v>
      </c>
      <c r="AH77" s="100">
        <f t="shared" si="21"/>
        <v>0</v>
      </c>
      <c r="AI77" s="100">
        <f t="shared" si="21"/>
        <v>0</v>
      </c>
      <c r="AJ77" s="100">
        <f t="shared" si="21"/>
        <v>0</v>
      </c>
      <c r="AK77" s="100">
        <f t="shared" si="21"/>
        <v>0</v>
      </c>
    </row>
    <row r="78" spans="6:37" s="74" customFormat="1" x14ac:dyDescent="0.2">
      <c r="F78" s="100">
        <f t="shared" si="21"/>
        <v>0</v>
      </c>
      <c r="G78" s="100">
        <f t="shared" si="21"/>
        <v>0</v>
      </c>
      <c r="H78" s="100">
        <f t="shared" si="21"/>
        <v>0</v>
      </c>
      <c r="I78" s="100">
        <f t="shared" si="21"/>
        <v>0</v>
      </c>
      <c r="J78" s="100">
        <f t="shared" si="21"/>
        <v>0</v>
      </c>
      <c r="K78" s="100">
        <f t="shared" si="21"/>
        <v>0</v>
      </c>
      <c r="L78" s="100">
        <f t="shared" si="21"/>
        <v>0</v>
      </c>
      <c r="M78" s="100">
        <f t="shared" si="21"/>
        <v>0</v>
      </c>
      <c r="N78" s="100">
        <f t="shared" si="21"/>
        <v>0</v>
      </c>
      <c r="O78" s="100">
        <f t="shared" si="21"/>
        <v>0</v>
      </c>
      <c r="P78" s="100">
        <f t="shared" si="21"/>
        <v>0</v>
      </c>
      <c r="Q78" s="100">
        <f t="shared" si="21"/>
        <v>0</v>
      </c>
      <c r="R78" s="100">
        <f t="shared" si="21"/>
        <v>0</v>
      </c>
      <c r="S78" s="100">
        <f t="shared" si="21"/>
        <v>0</v>
      </c>
      <c r="T78" s="100">
        <f t="shared" si="21"/>
        <v>0</v>
      </c>
      <c r="U78" s="100">
        <f t="shared" si="21"/>
        <v>0</v>
      </c>
      <c r="V78" s="100">
        <f t="shared" si="21"/>
        <v>64</v>
      </c>
      <c r="W78" s="100">
        <f t="shared" si="21"/>
        <v>16</v>
      </c>
      <c r="X78" s="100">
        <f t="shared" si="21"/>
        <v>4</v>
      </c>
      <c r="Y78" s="100">
        <f t="shared" si="21"/>
        <v>1</v>
      </c>
      <c r="Z78" s="100">
        <f t="shared" si="21"/>
        <v>0</v>
      </c>
      <c r="AA78" s="100">
        <f t="shared" si="21"/>
        <v>0</v>
      </c>
      <c r="AB78" s="100">
        <f t="shared" si="21"/>
        <v>0</v>
      </c>
      <c r="AC78" s="100">
        <f t="shared" si="21"/>
        <v>0</v>
      </c>
      <c r="AD78" s="100">
        <f t="shared" si="21"/>
        <v>0</v>
      </c>
      <c r="AE78" s="100">
        <f t="shared" si="21"/>
        <v>0</v>
      </c>
      <c r="AF78" s="100">
        <f t="shared" si="21"/>
        <v>0</v>
      </c>
      <c r="AG78" s="100">
        <f t="shared" si="21"/>
        <v>0</v>
      </c>
      <c r="AH78" s="100">
        <f t="shared" si="21"/>
        <v>0</v>
      </c>
      <c r="AI78" s="100">
        <f t="shared" si="21"/>
        <v>0</v>
      </c>
      <c r="AJ78" s="100">
        <f t="shared" si="21"/>
        <v>0</v>
      </c>
      <c r="AK78" s="100">
        <f t="shared" si="21"/>
        <v>0</v>
      </c>
    </row>
    <row r="79" spans="6:37" s="74" customFormat="1" x14ac:dyDescent="0.2">
      <c r="F79" s="100">
        <f t="shared" si="21"/>
        <v>0</v>
      </c>
      <c r="G79" s="100">
        <f t="shared" si="21"/>
        <v>0</v>
      </c>
      <c r="H79" s="100">
        <f t="shared" si="21"/>
        <v>0</v>
      </c>
      <c r="I79" s="100">
        <f t="shared" si="21"/>
        <v>0</v>
      </c>
      <c r="J79" s="100">
        <f t="shared" si="21"/>
        <v>0</v>
      </c>
      <c r="K79" s="100">
        <f t="shared" si="21"/>
        <v>0</v>
      </c>
      <c r="L79" s="100">
        <f t="shared" si="21"/>
        <v>0</v>
      </c>
      <c r="M79" s="100">
        <f t="shared" si="21"/>
        <v>0</v>
      </c>
      <c r="N79" s="100">
        <f t="shared" si="21"/>
        <v>0</v>
      </c>
      <c r="O79" s="100">
        <f t="shared" si="21"/>
        <v>0</v>
      </c>
      <c r="P79" s="100">
        <f t="shared" si="21"/>
        <v>0</v>
      </c>
      <c r="Q79" s="100">
        <f t="shared" si="21"/>
        <v>0</v>
      </c>
      <c r="R79" s="100">
        <f t="shared" si="21"/>
        <v>48</v>
      </c>
      <c r="S79" s="100">
        <f t="shared" si="21"/>
        <v>8</v>
      </c>
      <c r="T79" s="100">
        <f t="shared" si="21"/>
        <v>1</v>
      </c>
      <c r="U79" s="100">
        <f t="shared" si="21"/>
        <v>0</v>
      </c>
      <c r="V79" s="100">
        <f t="shared" si="21"/>
        <v>-48</v>
      </c>
      <c r="W79" s="100">
        <f t="shared" si="21"/>
        <v>-8</v>
      </c>
      <c r="X79" s="100">
        <f t="shared" si="21"/>
        <v>-1</v>
      </c>
      <c r="Y79" s="100">
        <f t="shared" si="21"/>
        <v>0</v>
      </c>
      <c r="Z79" s="100">
        <f t="shared" si="21"/>
        <v>0</v>
      </c>
      <c r="AA79" s="100">
        <f t="shared" si="21"/>
        <v>0</v>
      </c>
      <c r="AB79" s="100">
        <f t="shared" si="21"/>
        <v>0</v>
      </c>
      <c r="AC79" s="100">
        <f t="shared" si="21"/>
        <v>0</v>
      </c>
      <c r="AD79" s="100">
        <f t="shared" si="21"/>
        <v>0</v>
      </c>
      <c r="AE79" s="100">
        <f t="shared" si="21"/>
        <v>0</v>
      </c>
      <c r="AF79" s="100">
        <f t="shared" si="21"/>
        <v>0</v>
      </c>
      <c r="AG79" s="100">
        <f t="shared" si="21"/>
        <v>0</v>
      </c>
      <c r="AH79" s="100">
        <f t="shared" si="21"/>
        <v>0</v>
      </c>
      <c r="AI79" s="100">
        <f t="shared" si="21"/>
        <v>0</v>
      </c>
      <c r="AJ79" s="100">
        <f t="shared" si="21"/>
        <v>0</v>
      </c>
      <c r="AK79" s="100">
        <f t="shared" si="21"/>
        <v>0</v>
      </c>
    </row>
    <row r="80" spans="6:37" s="74" customFormat="1" x14ac:dyDescent="0.2">
      <c r="F80" s="100">
        <f t="shared" si="21"/>
        <v>0</v>
      </c>
      <c r="G80" s="100">
        <f t="shared" si="21"/>
        <v>0</v>
      </c>
      <c r="H80" s="100">
        <f t="shared" si="21"/>
        <v>0</v>
      </c>
      <c r="I80" s="100">
        <f t="shared" si="21"/>
        <v>0</v>
      </c>
      <c r="J80" s="100">
        <f t="shared" si="21"/>
        <v>0</v>
      </c>
      <c r="K80" s="100">
        <f t="shared" si="21"/>
        <v>0</v>
      </c>
      <c r="L80" s="100">
        <f t="shared" si="21"/>
        <v>0</v>
      </c>
      <c r="M80" s="100">
        <f t="shared" si="21"/>
        <v>0</v>
      </c>
      <c r="N80" s="100">
        <f t="shared" si="21"/>
        <v>0</v>
      </c>
      <c r="O80" s="100">
        <f t="shared" si="21"/>
        <v>0</v>
      </c>
      <c r="P80" s="100">
        <f t="shared" si="21"/>
        <v>0</v>
      </c>
      <c r="Q80" s="100">
        <f t="shared" si="21"/>
        <v>0</v>
      </c>
      <c r="R80" s="100">
        <f t="shared" si="21"/>
        <v>24</v>
      </c>
      <c r="S80" s="100">
        <f t="shared" si="21"/>
        <v>2</v>
      </c>
      <c r="T80" s="100">
        <f t="shared" si="21"/>
        <v>0</v>
      </c>
      <c r="U80" s="100">
        <f t="shared" si="21"/>
        <v>0</v>
      </c>
      <c r="V80" s="100">
        <f t="shared" si="21"/>
        <v>-24</v>
      </c>
      <c r="W80" s="100">
        <f t="shared" si="21"/>
        <v>-2</v>
      </c>
      <c r="X80" s="100">
        <f t="shared" si="21"/>
        <v>0</v>
      </c>
      <c r="Y80" s="100">
        <f t="shared" si="21"/>
        <v>0</v>
      </c>
      <c r="Z80" s="100">
        <f t="shared" si="21"/>
        <v>0</v>
      </c>
      <c r="AA80" s="100">
        <f t="shared" si="21"/>
        <v>0</v>
      </c>
      <c r="AB80" s="100">
        <f t="shared" si="21"/>
        <v>0</v>
      </c>
      <c r="AC80" s="100">
        <f t="shared" si="21"/>
        <v>0</v>
      </c>
      <c r="AD80" s="100">
        <f t="shared" si="21"/>
        <v>0</v>
      </c>
      <c r="AE80" s="100">
        <f t="shared" si="21"/>
        <v>0</v>
      </c>
      <c r="AF80" s="100">
        <f t="shared" si="21"/>
        <v>0</v>
      </c>
      <c r="AG80" s="100">
        <f t="shared" si="21"/>
        <v>0</v>
      </c>
      <c r="AH80" s="100">
        <f t="shared" si="21"/>
        <v>0</v>
      </c>
      <c r="AI80" s="100">
        <f t="shared" si="21"/>
        <v>0</v>
      </c>
      <c r="AJ80" s="100">
        <f t="shared" si="21"/>
        <v>0</v>
      </c>
      <c r="AK80" s="100">
        <f t="shared" si="21"/>
        <v>0</v>
      </c>
    </row>
    <row r="81" spans="6:37" s="74" customFormat="1" x14ac:dyDescent="0.2">
      <c r="F81" s="100">
        <f t="shared" si="21"/>
        <v>0</v>
      </c>
      <c r="G81" s="100">
        <f t="shared" si="21"/>
        <v>0</v>
      </c>
      <c r="H81" s="100">
        <f t="shared" si="21"/>
        <v>0</v>
      </c>
      <c r="I81" s="100">
        <f t="shared" si="21"/>
        <v>0</v>
      </c>
      <c r="J81" s="100">
        <f t="shared" si="21"/>
        <v>0</v>
      </c>
      <c r="K81" s="100">
        <f t="shared" si="21"/>
        <v>0</v>
      </c>
      <c r="L81" s="100">
        <f t="shared" si="21"/>
        <v>0</v>
      </c>
      <c r="M81" s="100">
        <f t="shared" si="21"/>
        <v>0</v>
      </c>
      <c r="N81" s="100">
        <f t="shared" si="21"/>
        <v>0</v>
      </c>
      <c r="O81" s="100">
        <f t="shared" si="21"/>
        <v>0</v>
      </c>
      <c r="P81" s="100">
        <f t="shared" si="21"/>
        <v>0</v>
      </c>
      <c r="Q81" s="100">
        <f t="shared" si="21"/>
        <v>0</v>
      </c>
      <c r="R81" s="100">
        <f t="shared" si="21"/>
        <v>0</v>
      </c>
      <c r="S81" s="100">
        <f t="shared" si="21"/>
        <v>0</v>
      </c>
      <c r="T81" s="100">
        <f t="shared" si="21"/>
        <v>0</v>
      </c>
      <c r="U81" s="100">
        <f t="shared" si="21"/>
        <v>0</v>
      </c>
      <c r="V81" s="100">
        <f t="shared" si="21"/>
        <v>125</v>
      </c>
      <c r="W81" s="100">
        <f t="shared" si="21"/>
        <v>25</v>
      </c>
      <c r="X81" s="100">
        <f t="shared" si="21"/>
        <v>5</v>
      </c>
      <c r="Y81" s="100">
        <f t="shared" si="21"/>
        <v>1</v>
      </c>
      <c r="Z81" s="100">
        <f t="shared" si="21"/>
        <v>0</v>
      </c>
      <c r="AA81" s="100">
        <f t="shared" si="21"/>
        <v>0</v>
      </c>
      <c r="AB81" s="100">
        <f t="shared" si="21"/>
        <v>0</v>
      </c>
      <c r="AC81" s="100">
        <f t="shared" si="21"/>
        <v>0</v>
      </c>
      <c r="AD81" s="100">
        <f t="shared" si="21"/>
        <v>0</v>
      </c>
      <c r="AE81" s="100">
        <f t="shared" si="21"/>
        <v>0</v>
      </c>
      <c r="AF81" s="100">
        <f t="shared" si="21"/>
        <v>0</v>
      </c>
      <c r="AG81" s="100">
        <f t="shared" si="21"/>
        <v>0</v>
      </c>
      <c r="AH81" s="100">
        <f t="shared" si="21"/>
        <v>0</v>
      </c>
      <c r="AI81" s="100">
        <f t="shared" si="21"/>
        <v>0</v>
      </c>
      <c r="AJ81" s="100">
        <f t="shared" si="21"/>
        <v>0</v>
      </c>
      <c r="AK81" s="100">
        <f t="shared" ref="AK81" si="22">IF(ISBLANK(AK44),0,AK44)</f>
        <v>0</v>
      </c>
    </row>
    <row r="82" spans="6:37" s="74" customFormat="1" x14ac:dyDescent="0.2">
      <c r="F82" s="100">
        <f t="shared" ref="F82:AK89" si="23">IF(ISBLANK(F45),0,F45)</f>
        <v>0</v>
      </c>
      <c r="G82" s="100">
        <f t="shared" si="23"/>
        <v>0</v>
      </c>
      <c r="H82" s="100">
        <f t="shared" si="23"/>
        <v>0</v>
      </c>
      <c r="I82" s="100">
        <f t="shared" si="23"/>
        <v>0</v>
      </c>
      <c r="J82" s="100">
        <f t="shared" si="23"/>
        <v>0</v>
      </c>
      <c r="K82" s="100">
        <f t="shared" si="23"/>
        <v>0</v>
      </c>
      <c r="L82" s="100">
        <f t="shared" si="23"/>
        <v>0</v>
      </c>
      <c r="M82" s="100">
        <f t="shared" si="23"/>
        <v>0</v>
      </c>
      <c r="N82" s="100">
        <f t="shared" si="23"/>
        <v>0</v>
      </c>
      <c r="O82" s="100">
        <f t="shared" si="23"/>
        <v>0</v>
      </c>
      <c r="P82" s="100">
        <f t="shared" si="23"/>
        <v>0</v>
      </c>
      <c r="Q82" s="100">
        <f t="shared" si="23"/>
        <v>0</v>
      </c>
      <c r="R82" s="100">
        <f t="shared" si="23"/>
        <v>0</v>
      </c>
      <c r="S82" s="100">
        <f t="shared" si="23"/>
        <v>0</v>
      </c>
      <c r="T82" s="100">
        <f t="shared" si="23"/>
        <v>0</v>
      </c>
      <c r="U82" s="100">
        <f t="shared" si="23"/>
        <v>0</v>
      </c>
      <c r="V82" s="100">
        <f t="shared" si="23"/>
        <v>0</v>
      </c>
      <c r="W82" s="100">
        <f t="shared" si="23"/>
        <v>0</v>
      </c>
      <c r="X82" s="100">
        <f t="shared" si="23"/>
        <v>0</v>
      </c>
      <c r="Y82" s="100">
        <f t="shared" si="23"/>
        <v>0</v>
      </c>
      <c r="Z82" s="100">
        <f t="shared" si="23"/>
        <v>125</v>
      </c>
      <c r="AA82" s="100">
        <f t="shared" si="23"/>
        <v>25</v>
      </c>
      <c r="AB82" s="100">
        <f t="shared" si="23"/>
        <v>5</v>
      </c>
      <c r="AC82" s="100">
        <f t="shared" si="23"/>
        <v>1</v>
      </c>
      <c r="AD82" s="100">
        <f t="shared" si="23"/>
        <v>0</v>
      </c>
      <c r="AE82" s="100">
        <f t="shared" si="23"/>
        <v>0</v>
      </c>
      <c r="AF82" s="100">
        <f t="shared" si="23"/>
        <v>0</v>
      </c>
      <c r="AG82" s="100">
        <f t="shared" si="23"/>
        <v>0</v>
      </c>
      <c r="AH82" s="100">
        <f t="shared" si="23"/>
        <v>0</v>
      </c>
      <c r="AI82" s="100">
        <f t="shared" si="23"/>
        <v>0</v>
      </c>
      <c r="AJ82" s="100">
        <f t="shared" si="23"/>
        <v>0</v>
      </c>
      <c r="AK82" s="100">
        <f t="shared" si="23"/>
        <v>0</v>
      </c>
    </row>
    <row r="83" spans="6:37" s="74" customFormat="1" x14ac:dyDescent="0.2">
      <c r="F83" s="100">
        <f t="shared" si="23"/>
        <v>0</v>
      </c>
      <c r="G83" s="100">
        <f t="shared" si="23"/>
        <v>0</v>
      </c>
      <c r="H83" s="100">
        <f t="shared" si="23"/>
        <v>0</v>
      </c>
      <c r="I83" s="100">
        <f t="shared" si="23"/>
        <v>0</v>
      </c>
      <c r="J83" s="100">
        <f t="shared" si="23"/>
        <v>0</v>
      </c>
      <c r="K83" s="100">
        <f t="shared" si="23"/>
        <v>0</v>
      </c>
      <c r="L83" s="100">
        <f t="shared" si="23"/>
        <v>0</v>
      </c>
      <c r="M83" s="100">
        <f t="shared" si="23"/>
        <v>0</v>
      </c>
      <c r="N83" s="100">
        <f t="shared" si="23"/>
        <v>0</v>
      </c>
      <c r="O83" s="100">
        <f t="shared" si="23"/>
        <v>0</v>
      </c>
      <c r="P83" s="100">
        <f t="shared" si="23"/>
        <v>0</v>
      </c>
      <c r="Q83" s="100">
        <f t="shared" si="23"/>
        <v>0</v>
      </c>
      <c r="R83" s="100">
        <f t="shared" si="23"/>
        <v>0</v>
      </c>
      <c r="S83" s="100">
        <f t="shared" si="23"/>
        <v>0</v>
      </c>
      <c r="T83" s="100">
        <f t="shared" si="23"/>
        <v>0</v>
      </c>
      <c r="U83" s="100">
        <f t="shared" si="23"/>
        <v>0</v>
      </c>
      <c r="V83" s="100">
        <f t="shared" si="23"/>
        <v>75</v>
      </c>
      <c r="W83" s="100">
        <f t="shared" si="23"/>
        <v>10</v>
      </c>
      <c r="X83" s="100">
        <f t="shared" si="23"/>
        <v>1</v>
      </c>
      <c r="Y83" s="100">
        <f t="shared" si="23"/>
        <v>0</v>
      </c>
      <c r="Z83" s="100">
        <f t="shared" si="23"/>
        <v>-75</v>
      </c>
      <c r="AA83" s="100">
        <f t="shared" si="23"/>
        <v>-10</v>
      </c>
      <c r="AB83" s="100">
        <f t="shared" si="23"/>
        <v>-1</v>
      </c>
      <c r="AC83" s="100">
        <f t="shared" si="23"/>
        <v>0</v>
      </c>
      <c r="AD83" s="100">
        <f t="shared" si="23"/>
        <v>0</v>
      </c>
      <c r="AE83" s="100">
        <f t="shared" si="23"/>
        <v>0</v>
      </c>
      <c r="AF83" s="100">
        <f t="shared" si="23"/>
        <v>0</v>
      </c>
      <c r="AG83" s="100">
        <f t="shared" si="23"/>
        <v>0</v>
      </c>
      <c r="AH83" s="100">
        <f t="shared" si="23"/>
        <v>0</v>
      </c>
      <c r="AI83" s="100">
        <f t="shared" si="23"/>
        <v>0</v>
      </c>
      <c r="AJ83" s="100">
        <f t="shared" si="23"/>
        <v>0</v>
      </c>
      <c r="AK83" s="100">
        <f t="shared" si="23"/>
        <v>0</v>
      </c>
    </row>
    <row r="84" spans="6:37" s="74" customFormat="1" x14ac:dyDescent="0.2">
      <c r="F84" s="100">
        <f t="shared" si="23"/>
        <v>0</v>
      </c>
      <c r="G84" s="100">
        <f t="shared" si="23"/>
        <v>0</v>
      </c>
      <c r="H84" s="100">
        <f t="shared" si="23"/>
        <v>0</v>
      </c>
      <c r="I84" s="100">
        <f t="shared" si="23"/>
        <v>0</v>
      </c>
      <c r="J84" s="100">
        <f t="shared" si="23"/>
        <v>0</v>
      </c>
      <c r="K84" s="100">
        <f t="shared" si="23"/>
        <v>0</v>
      </c>
      <c r="L84" s="100">
        <f t="shared" si="23"/>
        <v>0</v>
      </c>
      <c r="M84" s="100">
        <f t="shared" si="23"/>
        <v>0</v>
      </c>
      <c r="N84" s="100">
        <f t="shared" si="23"/>
        <v>0</v>
      </c>
      <c r="O84" s="100">
        <f t="shared" si="23"/>
        <v>0</v>
      </c>
      <c r="P84" s="100">
        <f t="shared" si="23"/>
        <v>0</v>
      </c>
      <c r="Q84" s="100">
        <f t="shared" si="23"/>
        <v>0</v>
      </c>
      <c r="R84" s="100">
        <f t="shared" si="23"/>
        <v>0</v>
      </c>
      <c r="S84" s="100">
        <f t="shared" si="23"/>
        <v>0</v>
      </c>
      <c r="T84" s="100">
        <f t="shared" si="23"/>
        <v>0</v>
      </c>
      <c r="U84" s="100">
        <f t="shared" si="23"/>
        <v>0</v>
      </c>
      <c r="V84" s="100">
        <f t="shared" si="23"/>
        <v>30</v>
      </c>
      <c r="W84" s="100">
        <f t="shared" si="23"/>
        <v>2</v>
      </c>
      <c r="X84" s="100">
        <f t="shared" si="23"/>
        <v>0</v>
      </c>
      <c r="Y84" s="100">
        <f t="shared" si="23"/>
        <v>0</v>
      </c>
      <c r="Z84" s="100">
        <f t="shared" si="23"/>
        <v>-30</v>
      </c>
      <c r="AA84" s="100">
        <f t="shared" si="23"/>
        <v>-2</v>
      </c>
      <c r="AB84" s="100">
        <f t="shared" si="23"/>
        <v>0</v>
      </c>
      <c r="AC84" s="100">
        <f t="shared" si="23"/>
        <v>0</v>
      </c>
      <c r="AD84" s="100">
        <f t="shared" si="23"/>
        <v>0</v>
      </c>
      <c r="AE84" s="100">
        <f t="shared" si="23"/>
        <v>0</v>
      </c>
      <c r="AF84" s="100">
        <f t="shared" si="23"/>
        <v>0</v>
      </c>
      <c r="AG84" s="100">
        <f t="shared" si="23"/>
        <v>0</v>
      </c>
      <c r="AH84" s="100">
        <f t="shared" si="23"/>
        <v>0</v>
      </c>
      <c r="AI84" s="100">
        <f t="shared" si="23"/>
        <v>0</v>
      </c>
      <c r="AJ84" s="100">
        <f t="shared" si="23"/>
        <v>0</v>
      </c>
      <c r="AK84" s="100">
        <f t="shared" si="23"/>
        <v>0</v>
      </c>
    </row>
    <row r="85" spans="6:37" s="74" customFormat="1" x14ac:dyDescent="0.2">
      <c r="F85" s="100">
        <f t="shared" si="23"/>
        <v>0</v>
      </c>
      <c r="G85" s="100">
        <f t="shared" si="23"/>
        <v>0</v>
      </c>
      <c r="H85" s="100">
        <f t="shared" si="23"/>
        <v>0</v>
      </c>
      <c r="I85" s="100">
        <f t="shared" si="23"/>
        <v>0</v>
      </c>
      <c r="J85" s="100">
        <f t="shared" si="23"/>
        <v>0</v>
      </c>
      <c r="K85" s="100">
        <f t="shared" si="23"/>
        <v>0</v>
      </c>
      <c r="L85" s="100">
        <f t="shared" si="23"/>
        <v>0</v>
      </c>
      <c r="M85" s="100">
        <f t="shared" si="23"/>
        <v>0</v>
      </c>
      <c r="N85" s="100">
        <f t="shared" si="23"/>
        <v>0</v>
      </c>
      <c r="O85" s="100">
        <f t="shared" si="23"/>
        <v>0</v>
      </c>
      <c r="P85" s="100">
        <f t="shared" si="23"/>
        <v>0</v>
      </c>
      <c r="Q85" s="100">
        <f t="shared" si="23"/>
        <v>0</v>
      </c>
      <c r="R85" s="100">
        <f t="shared" si="23"/>
        <v>0</v>
      </c>
      <c r="S85" s="100">
        <f t="shared" si="23"/>
        <v>0</v>
      </c>
      <c r="T85" s="100">
        <f t="shared" si="23"/>
        <v>0</v>
      </c>
      <c r="U85" s="100">
        <f t="shared" si="23"/>
        <v>0</v>
      </c>
      <c r="V85" s="100">
        <f t="shared" si="23"/>
        <v>0</v>
      </c>
      <c r="W85" s="100">
        <f t="shared" si="23"/>
        <v>0</v>
      </c>
      <c r="X85" s="100">
        <f t="shared" si="23"/>
        <v>0</v>
      </c>
      <c r="Y85" s="100">
        <f t="shared" si="23"/>
        <v>0</v>
      </c>
      <c r="Z85" s="100">
        <f t="shared" si="23"/>
        <v>343</v>
      </c>
      <c r="AA85" s="100">
        <f t="shared" si="23"/>
        <v>49</v>
      </c>
      <c r="AB85" s="100">
        <f t="shared" si="23"/>
        <v>7</v>
      </c>
      <c r="AC85" s="100">
        <f t="shared" si="23"/>
        <v>1</v>
      </c>
      <c r="AD85" s="100">
        <f t="shared" si="23"/>
        <v>0</v>
      </c>
      <c r="AE85" s="100">
        <f t="shared" si="23"/>
        <v>0</v>
      </c>
      <c r="AF85" s="100">
        <f t="shared" si="23"/>
        <v>0</v>
      </c>
      <c r="AG85" s="100">
        <f t="shared" si="23"/>
        <v>0</v>
      </c>
      <c r="AH85" s="100">
        <f t="shared" si="23"/>
        <v>0</v>
      </c>
      <c r="AI85" s="100">
        <f t="shared" si="23"/>
        <v>0</v>
      </c>
      <c r="AJ85" s="100">
        <f t="shared" si="23"/>
        <v>0</v>
      </c>
      <c r="AK85" s="100">
        <f t="shared" si="23"/>
        <v>0</v>
      </c>
    </row>
    <row r="86" spans="6:37" s="74" customFormat="1" x14ac:dyDescent="0.2">
      <c r="F86" s="100">
        <f t="shared" si="23"/>
        <v>0</v>
      </c>
      <c r="G86" s="100">
        <f t="shared" si="23"/>
        <v>0</v>
      </c>
      <c r="H86" s="100">
        <f t="shared" si="23"/>
        <v>0</v>
      </c>
      <c r="I86" s="100">
        <f t="shared" si="23"/>
        <v>0</v>
      </c>
      <c r="J86" s="100">
        <f t="shared" si="23"/>
        <v>0</v>
      </c>
      <c r="K86" s="100">
        <f t="shared" si="23"/>
        <v>0</v>
      </c>
      <c r="L86" s="100">
        <f t="shared" si="23"/>
        <v>0</v>
      </c>
      <c r="M86" s="100">
        <f t="shared" si="23"/>
        <v>0</v>
      </c>
      <c r="N86" s="100">
        <f t="shared" si="23"/>
        <v>0</v>
      </c>
      <c r="O86" s="100">
        <f t="shared" si="23"/>
        <v>0</v>
      </c>
      <c r="P86" s="100">
        <f t="shared" si="23"/>
        <v>0</v>
      </c>
      <c r="Q86" s="100">
        <f t="shared" si="23"/>
        <v>0</v>
      </c>
      <c r="R86" s="100">
        <f t="shared" si="23"/>
        <v>0</v>
      </c>
      <c r="S86" s="100">
        <f t="shared" si="23"/>
        <v>0</v>
      </c>
      <c r="T86" s="100">
        <f t="shared" si="23"/>
        <v>0</v>
      </c>
      <c r="U86" s="100">
        <f t="shared" si="23"/>
        <v>0</v>
      </c>
      <c r="V86" s="100">
        <f t="shared" si="23"/>
        <v>0</v>
      </c>
      <c r="W86" s="100">
        <f t="shared" si="23"/>
        <v>0</v>
      </c>
      <c r="X86" s="100">
        <f t="shared" si="23"/>
        <v>0</v>
      </c>
      <c r="Y86" s="100">
        <f t="shared" si="23"/>
        <v>0</v>
      </c>
      <c r="Z86" s="100">
        <f t="shared" si="23"/>
        <v>0</v>
      </c>
      <c r="AA86" s="100">
        <f t="shared" si="23"/>
        <v>0</v>
      </c>
      <c r="AB86" s="100">
        <f t="shared" si="23"/>
        <v>0</v>
      </c>
      <c r="AC86" s="100">
        <f t="shared" si="23"/>
        <v>0</v>
      </c>
      <c r="AD86" s="100">
        <f t="shared" si="23"/>
        <v>343</v>
      </c>
      <c r="AE86" s="100">
        <f t="shared" si="23"/>
        <v>49</v>
      </c>
      <c r="AF86" s="100">
        <f t="shared" si="23"/>
        <v>7</v>
      </c>
      <c r="AG86" s="100">
        <f t="shared" si="23"/>
        <v>1</v>
      </c>
      <c r="AH86" s="100">
        <f t="shared" si="23"/>
        <v>0</v>
      </c>
      <c r="AI86" s="100">
        <f t="shared" si="23"/>
        <v>0</v>
      </c>
      <c r="AJ86" s="100">
        <f t="shared" si="23"/>
        <v>0</v>
      </c>
      <c r="AK86" s="100">
        <f t="shared" si="23"/>
        <v>0</v>
      </c>
    </row>
    <row r="87" spans="6:37" s="74" customFormat="1" x14ac:dyDescent="0.2">
      <c r="F87" s="100">
        <f t="shared" si="23"/>
        <v>0</v>
      </c>
      <c r="G87" s="100">
        <f t="shared" si="23"/>
        <v>0</v>
      </c>
      <c r="H87" s="100">
        <f t="shared" si="23"/>
        <v>0</v>
      </c>
      <c r="I87" s="100">
        <f t="shared" si="23"/>
        <v>0</v>
      </c>
      <c r="J87" s="100">
        <f t="shared" si="23"/>
        <v>0</v>
      </c>
      <c r="K87" s="100">
        <f t="shared" si="23"/>
        <v>0</v>
      </c>
      <c r="L87" s="100">
        <f t="shared" si="23"/>
        <v>0</v>
      </c>
      <c r="M87" s="100">
        <f t="shared" si="23"/>
        <v>0</v>
      </c>
      <c r="N87" s="100">
        <f t="shared" si="23"/>
        <v>0</v>
      </c>
      <c r="O87" s="100">
        <f t="shared" si="23"/>
        <v>0</v>
      </c>
      <c r="P87" s="100">
        <f t="shared" si="23"/>
        <v>0</v>
      </c>
      <c r="Q87" s="100">
        <f t="shared" si="23"/>
        <v>0</v>
      </c>
      <c r="R87" s="100">
        <f t="shared" si="23"/>
        <v>0</v>
      </c>
      <c r="S87" s="100">
        <f t="shared" si="23"/>
        <v>0</v>
      </c>
      <c r="T87" s="100">
        <f t="shared" si="23"/>
        <v>0</v>
      </c>
      <c r="U87" s="100">
        <f t="shared" si="23"/>
        <v>0</v>
      </c>
      <c r="V87" s="100">
        <f t="shared" si="23"/>
        <v>0</v>
      </c>
      <c r="W87" s="100">
        <f t="shared" si="23"/>
        <v>0</v>
      </c>
      <c r="X87" s="100">
        <f t="shared" si="23"/>
        <v>0</v>
      </c>
      <c r="Y87" s="100">
        <f t="shared" si="23"/>
        <v>0</v>
      </c>
      <c r="Z87" s="100">
        <f t="shared" si="23"/>
        <v>147</v>
      </c>
      <c r="AA87" s="100">
        <f t="shared" si="23"/>
        <v>14</v>
      </c>
      <c r="AB87" s="100">
        <f t="shared" si="23"/>
        <v>1</v>
      </c>
      <c r="AC87" s="100">
        <f t="shared" si="23"/>
        <v>0</v>
      </c>
      <c r="AD87" s="100">
        <f t="shared" si="23"/>
        <v>-147</v>
      </c>
      <c r="AE87" s="100">
        <f t="shared" si="23"/>
        <v>-14</v>
      </c>
      <c r="AF87" s="100">
        <f t="shared" si="23"/>
        <v>-1</v>
      </c>
      <c r="AG87" s="100">
        <f t="shared" si="23"/>
        <v>0</v>
      </c>
      <c r="AH87" s="100">
        <f t="shared" si="23"/>
        <v>0</v>
      </c>
      <c r="AI87" s="100">
        <f t="shared" si="23"/>
        <v>0</v>
      </c>
      <c r="AJ87" s="100">
        <f t="shared" si="23"/>
        <v>0</v>
      </c>
      <c r="AK87" s="100">
        <f t="shared" si="23"/>
        <v>0</v>
      </c>
    </row>
    <row r="88" spans="6:37" s="74" customFormat="1" x14ac:dyDescent="0.2">
      <c r="F88" s="100">
        <f t="shared" si="23"/>
        <v>0</v>
      </c>
      <c r="G88" s="100">
        <f t="shared" si="23"/>
        <v>0</v>
      </c>
      <c r="H88" s="100">
        <f t="shared" si="23"/>
        <v>0</v>
      </c>
      <c r="I88" s="100">
        <f t="shared" si="23"/>
        <v>0</v>
      </c>
      <c r="J88" s="100">
        <f t="shared" si="23"/>
        <v>0</v>
      </c>
      <c r="K88" s="100">
        <f t="shared" si="23"/>
        <v>0</v>
      </c>
      <c r="L88" s="100">
        <f t="shared" si="23"/>
        <v>0</v>
      </c>
      <c r="M88" s="100">
        <f t="shared" si="23"/>
        <v>0</v>
      </c>
      <c r="N88" s="100">
        <f t="shared" si="23"/>
        <v>0</v>
      </c>
      <c r="O88" s="100">
        <f t="shared" si="23"/>
        <v>0</v>
      </c>
      <c r="P88" s="100">
        <f t="shared" si="23"/>
        <v>0</v>
      </c>
      <c r="Q88" s="100">
        <f t="shared" si="23"/>
        <v>0</v>
      </c>
      <c r="R88" s="100">
        <f t="shared" si="23"/>
        <v>0</v>
      </c>
      <c r="S88" s="100">
        <f t="shared" si="23"/>
        <v>0</v>
      </c>
      <c r="T88" s="100">
        <f t="shared" si="23"/>
        <v>0</v>
      </c>
      <c r="U88" s="100">
        <f t="shared" si="23"/>
        <v>0</v>
      </c>
      <c r="V88" s="100">
        <f t="shared" si="23"/>
        <v>0</v>
      </c>
      <c r="W88" s="100">
        <f t="shared" si="23"/>
        <v>0</v>
      </c>
      <c r="X88" s="100">
        <f t="shared" si="23"/>
        <v>0</v>
      </c>
      <c r="Y88" s="100">
        <f t="shared" si="23"/>
        <v>0</v>
      </c>
      <c r="Z88" s="100">
        <f t="shared" si="23"/>
        <v>42</v>
      </c>
      <c r="AA88" s="100">
        <f t="shared" si="23"/>
        <v>2</v>
      </c>
      <c r="AB88" s="100">
        <f t="shared" si="23"/>
        <v>0</v>
      </c>
      <c r="AC88" s="100">
        <f t="shared" si="23"/>
        <v>0</v>
      </c>
      <c r="AD88" s="100">
        <f t="shared" si="23"/>
        <v>-42</v>
      </c>
      <c r="AE88" s="100">
        <f t="shared" si="23"/>
        <v>-2</v>
      </c>
      <c r="AF88" s="100">
        <f t="shared" si="23"/>
        <v>0</v>
      </c>
      <c r="AG88" s="100">
        <f t="shared" si="23"/>
        <v>0</v>
      </c>
      <c r="AH88" s="100">
        <f t="shared" si="23"/>
        <v>0</v>
      </c>
      <c r="AI88" s="100">
        <f t="shared" si="23"/>
        <v>0</v>
      </c>
      <c r="AJ88" s="100">
        <f t="shared" si="23"/>
        <v>0</v>
      </c>
      <c r="AK88" s="100">
        <f t="shared" si="23"/>
        <v>0</v>
      </c>
    </row>
    <row r="89" spans="6:37" s="74" customFormat="1" x14ac:dyDescent="0.2">
      <c r="F89" s="100">
        <f t="shared" si="23"/>
        <v>0</v>
      </c>
      <c r="G89" s="100">
        <f t="shared" si="23"/>
        <v>0</v>
      </c>
      <c r="H89" s="100">
        <f t="shared" si="23"/>
        <v>0</v>
      </c>
      <c r="I89" s="100">
        <f t="shared" si="23"/>
        <v>0</v>
      </c>
      <c r="J89" s="100">
        <f t="shared" si="23"/>
        <v>0</v>
      </c>
      <c r="K89" s="100">
        <f t="shared" si="23"/>
        <v>0</v>
      </c>
      <c r="L89" s="100">
        <f t="shared" si="23"/>
        <v>0</v>
      </c>
      <c r="M89" s="100">
        <f t="shared" si="23"/>
        <v>0</v>
      </c>
      <c r="N89" s="100">
        <f t="shared" si="23"/>
        <v>0</v>
      </c>
      <c r="O89" s="100">
        <f t="shared" si="23"/>
        <v>0</v>
      </c>
      <c r="P89" s="100">
        <f t="shared" si="23"/>
        <v>0</v>
      </c>
      <c r="Q89" s="100">
        <f t="shared" si="23"/>
        <v>0</v>
      </c>
      <c r="R89" s="100">
        <f t="shared" si="23"/>
        <v>0</v>
      </c>
      <c r="S89" s="100">
        <f t="shared" si="23"/>
        <v>0</v>
      </c>
      <c r="T89" s="100">
        <f t="shared" si="23"/>
        <v>0</v>
      </c>
      <c r="U89" s="100">
        <f t="shared" si="23"/>
        <v>0</v>
      </c>
      <c r="V89" s="100">
        <f t="shared" si="23"/>
        <v>0</v>
      </c>
      <c r="W89" s="100">
        <f t="shared" si="23"/>
        <v>0</v>
      </c>
      <c r="X89" s="100">
        <f t="shared" si="23"/>
        <v>0</v>
      </c>
      <c r="Y89" s="100">
        <f t="shared" si="23"/>
        <v>0</v>
      </c>
      <c r="Z89" s="100">
        <f t="shared" si="23"/>
        <v>0</v>
      </c>
      <c r="AA89" s="100">
        <f t="shared" si="23"/>
        <v>0</v>
      </c>
      <c r="AB89" s="100">
        <f t="shared" si="23"/>
        <v>0</v>
      </c>
      <c r="AC89" s="100">
        <f t="shared" si="23"/>
        <v>0</v>
      </c>
      <c r="AD89" s="100">
        <f t="shared" si="23"/>
        <v>1000</v>
      </c>
      <c r="AE89" s="100">
        <f t="shared" si="23"/>
        <v>100</v>
      </c>
      <c r="AF89" s="100">
        <f t="shared" si="23"/>
        <v>10</v>
      </c>
      <c r="AG89" s="100">
        <f t="shared" si="23"/>
        <v>1</v>
      </c>
      <c r="AH89" s="100">
        <f t="shared" si="23"/>
        <v>0</v>
      </c>
      <c r="AI89" s="100">
        <f t="shared" si="23"/>
        <v>0</v>
      </c>
      <c r="AJ89" s="100">
        <f t="shared" si="23"/>
        <v>0</v>
      </c>
      <c r="AK89" s="100">
        <f t="shared" ref="AK89" si="24">IF(ISBLANK(AK52),0,AK52)</f>
        <v>0</v>
      </c>
    </row>
    <row r="90" spans="6:37" s="74" customFormat="1" x14ac:dyDescent="0.2">
      <c r="F90" s="100">
        <f t="shared" ref="F90:AK96" si="25">IF(ISBLANK(F53),0,F53)</f>
        <v>0</v>
      </c>
      <c r="G90" s="100">
        <f t="shared" si="25"/>
        <v>0</v>
      </c>
      <c r="H90" s="100">
        <f t="shared" si="25"/>
        <v>0</v>
      </c>
      <c r="I90" s="100">
        <f t="shared" si="25"/>
        <v>0</v>
      </c>
      <c r="J90" s="100">
        <f t="shared" si="25"/>
        <v>0</v>
      </c>
      <c r="K90" s="100">
        <f t="shared" si="25"/>
        <v>0</v>
      </c>
      <c r="L90" s="100">
        <f t="shared" si="25"/>
        <v>0</v>
      </c>
      <c r="M90" s="100">
        <f t="shared" si="25"/>
        <v>0</v>
      </c>
      <c r="N90" s="100">
        <f t="shared" si="25"/>
        <v>0</v>
      </c>
      <c r="O90" s="100">
        <f t="shared" si="25"/>
        <v>0</v>
      </c>
      <c r="P90" s="100">
        <f t="shared" si="25"/>
        <v>0</v>
      </c>
      <c r="Q90" s="100">
        <f t="shared" si="25"/>
        <v>0</v>
      </c>
      <c r="R90" s="100">
        <f t="shared" si="25"/>
        <v>0</v>
      </c>
      <c r="S90" s="100">
        <f t="shared" si="25"/>
        <v>0</v>
      </c>
      <c r="T90" s="100">
        <f t="shared" si="25"/>
        <v>0</v>
      </c>
      <c r="U90" s="100">
        <f t="shared" si="25"/>
        <v>0</v>
      </c>
      <c r="V90" s="100">
        <f t="shared" si="25"/>
        <v>0</v>
      </c>
      <c r="W90" s="100">
        <f t="shared" si="25"/>
        <v>0</v>
      </c>
      <c r="X90" s="100">
        <f t="shared" si="25"/>
        <v>0</v>
      </c>
      <c r="Y90" s="100">
        <f t="shared" si="25"/>
        <v>0</v>
      </c>
      <c r="Z90" s="100">
        <f t="shared" si="25"/>
        <v>0</v>
      </c>
      <c r="AA90" s="100">
        <f t="shared" si="25"/>
        <v>0</v>
      </c>
      <c r="AB90" s="100">
        <f t="shared" si="25"/>
        <v>0</v>
      </c>
      <c r="AC90" s="100">
        <f t="shared" si="25"/>
        <v>0</v>
      </c>
      <c r="AD90" s="100">
        <f t="shared" si="25"/>
        <v>0</v>
      </c>
      <c r="AE90" s="100">
        <f t="shared" si="25"/>
        <v>0</v>
      </c>
      <c r="AF90" s="100">
        <f t="shared" si="25"/>
        <v>0</v>
      </c>
      <c r="AG90" s="100">
        <f t="shared" si="25"/>
        <v>0</v>
      </c>
      <c r="AH90" s="100">
        <f t="shared" si="25"/>
        <v>1000</v>
      </c>
      <c r="AI90" s="100">
        <f t="shared" si="25"/>
        <v>100</v>
      </c>
      <c r="AJ90" s="100">
        <f t="shared" si="25"/>
        <v>10</v>
      </c>
      <c r="AK90" s="100">
        <f t="shared" si="25"/>
        <v>1</v>
      </c>
    </row>
    <row r="91" spans="6:37" s="74" customFormat="1" x14ac:dyDescent="0.2">
      <c r="F91" s="100">
        <f t="shared" si="25"/>
        <v>0</v>
      </c>
      <c r="G91" s="100">
        <f t="shared" si="25"/>
        <v>0</v>
      </c>
      <c r="H91" s="100">
        <f t="shared" si="25"/>
        <v>0</v>
      </c>
      <c r="I91" s="100">
        <f t="shared" si="25"/>
        <v>0</v>
      </c>
      <c r="J91" s="100">
        <f t="shared" si="25"/>
        <v>0</v>
      </c>
      <c r="K91" s="100">
        <f t="shared" si="25"/>
        <v>0</v>
      </c>
      <c r="L91" s="100">
        <f t="shared" si="25"/>
        <v>0</v>
      </c>
      <c r="M91" s="100">
        <f t="shared" si="25"/>
        <v>0</v>
      </c>
      <c r="N91" s="100">
        <f t="shared" si="25"/>
        <v>0</v>
      </c>
      <c r="O91" s="100">
        <f t="shared" si="25"/>
        <v>0</v>
      </c>
      <c r="P91" s="100">
        <f t="shared" si="25"/>
        <v>0</v>
      </c>
      <c r="Q91" s="100">
        <f t="shared" si="25"/>
        <v>0</v>
      </c>
      <c r="R91" s="100">
        <f t="shared" si="25"/>
        <v>0</v>
      </c>
      <c r="S91" s="100">
        <f t="shared" si="25"/>
        <v>0</v>
      </c>
      <c r="T91" s="100">
        <f t="shared" si="25"/>
        <v>0</v>
      </c>
      <c r="U91" s="100">
        <f t="shared" si="25"/>
        <v>0</v>
      </c>
      <c r="V91" s="100">
        <f t="shared" si="25"/>
        <v>0</v>
      </c>
      <c r="W91" s="100">
        <f t="shared" si="25"/>
        <v>0</v>
      </c>
      <c r="X91" s="100">
        <f t="shared" si="25"/>
        <v>0</v>
      </c>
      <c r="Y91" s="100">
        <f t="shared" si="25"/>
        <v>0</v>
      </c>
      <c r="Z91" s="100">
        <f t="shared" si="25"/>
        <v>0</v>
      </c>
      <c r="AA91" s="100">
        <f t="shared" si="25"/>
        <v>0</v>
      </c>
      <c r="AB91" s="100">
        <f t="shared" si="25"/>
        <v>0</v>
      </c>
      <c r="AC91" s="100">
        <f t="shared" si="25"/>
        <v>0</v>
      </c>
      <c r="AD91" s="100">
        <f t="shared" si="25"/>
        <v>300</v>
      </c>
      <c r="AE91" s="100">
        <f t="shared" si="25"/>
        <v>20</v>
      </c>
      <c r="AF91" s="100">
        <f t="shared" si="25"/>
        <v>1</v>
      </c>
      <c r="AG91" s="100">
        <f t="shared" si="25"/>
        <v>0</v>
      </c>
      <c r="AH91" s="100">
        <f t="shared" si="25"/>
        <v>-300</v>
      </c>
      <c r="AI91" s="100">
        <f t="shared" si="25"/>
        <v>-20</v>
      </c>
      <c r="AJ91" s="100">
        <f t="shared" si="25"/>
        <v>-1</v>
      </c>
      <c r="AK91" s="100">
        <f t="shared" si="25"/>
        <v>0</v>
      </c>
    </row>
    <row r="92" spans="6:37" s="74" customFormat="1" x14ac:dyDescent="0.2">
      <c r="F92" s="100">
        <f t="shared" si="25"/>
        <v>0</v>
      </c>
      <c r="G92" s="100">
        <f t="shared" si="25"/>
        <v>0</v>
      </c>
      <c r="H92" s="100">
        <f t="shared" si="25"/>
        <v>0</v>
      </c>
      <c r="I92" s="100">
        <f t="shared" si="25"/>
        <v>0</v>
      </c>
      <c r="J92" s="100">
        <f t="shared" si="25"/>
        <v>0</v>
      </c>
      <c r="K92" s="100">
        <f t="shared" si="25"/>
        <v>0</v>
      </c>
      <c r="L92" s="100">
        <f t="shared" si="25"/>
        <v>0</v>
      </c>
      <c r="M92" s="100">
        <f t="shared" si="25"/>
        <v>0</v>
      </c>
      <c r="N92" s="100">
        <f t="shared" si="25"/>
        <v>0</v>
      </c>
      <c r="O92" s="100">
        <f t="shared" si="25"/>
        <v>0</v>
      </c>
      <c r="P92" s="100">
        <f t="shared" si="25"/>
        <v>0</v>
      </c>
      <c r="Q92" s="100">
        <f t="shared" si="25"/>
        <v>0</v>
      </c>
      <c r="R92" s="100">
        <f t="shared" si="25"/>
        <v>0</v>
      </c>
      <c r="S92" s="100">
        <f t="shared" si="25"/>
        <v>0</v>
      </c>
      <c r="T92" s="100">
        <f t="shared" si="25"/>
        <v>0</v>
      </c>
      <c r="U92" s="100">
        <f t="shared" si="25"/>
        <v>0</v>
      </c>
      <c r="V92" s="100">
        <f t="shared" si="25"/>
        <v>0</v>
      </c>
      <c r="W92" s="100">
        <f t="shared" si="25"/>
        <v>0</v>
      </c>
      <c r="X92" s="100">
        <f t="shared" si="25"/>
        <v>0</v>
      </c>
      <c r="Y92" s="100">
        <f t="shared" si="25"/>
        <v>0</v>
      </c>
      <c r="Z92" s="100">
        <f t="shared" si="25"/>
        <v>0</v>
      </c>
      <c r="AA92" s="100">
        <f t="shared" si="25"/>
        <v>0</v>
      </c>
      <c r="AB92" s="100">
        <f t="shared" si="25"/>
        <v>0</v>
      </c>
      <c r="AC92" s="100">
        <f t="shared" si="25"/>
        <v>0</v>
      </c>
      <c r="AD92" s="100">
        <f t="shared" si="25"/>
        <v>60</v>
      </c>
      <c r="AE92" s="100">
        <f t="shared" si="25"/>
        <v>2</v>
      </c>
      <c r="AF92" s="100">
        <f t="shared" si="25"/>
        <v>0</v>
      </c>
      <c r="AG92" s="100">
        <f t="shared" si="25"/>
        <v>0</v>
      </c>
      <c r="AH92" s="100">
        <f t="shared" si="25"/>
        <v>-60</v>
      </c>
      <c r="AI92" s="100">
        <f t="shared" si="25"/>
        <v>-2</v>
      </c>
      <c r="AJ92" s="100">
        <f t="shared" si="25"/>
        <v>0</v>
      </c>
      <c r="AK92" s="100">
        <f t="shared" si="25"/>
        <v>0</v>
      </c>
    </row>
    <row r="93" spans="6:37" s="74" customFormat="1" x14ac:dyDescent="0.2">
      <c r="F93" s="100">
        <f t="shared" si="25"/>
        <v>0</v>
      </c>
      <c r="G93" s="100">
        <f t="shared" si="25"/>
        <v>0</v>
      </c>
      <c r="H93" s="100">
        <f t="shared" si="25"/>
        <v>0</v>
      </c>
      <c r="I93" s="100">
        <f t="shared" si="25"/>
        <v>1</v>
      </c>
      <c r="J93" s="100">
        <f t="shared" si="25"/>
        <v>0</v>
      </c>
      <c r="K93" s="100">
        <f t="shared" si="25"/>
        <v>0</v>
      </c>
      <c r="L93" s="100">
        <f t="shared" si="25"/>
        <v>0</v>
      </c>
      <c r="M93" s="100">
        <f t="shared" si="25"/>
        <v>0</v>
      </c>
      <c r="N93" s="100">
        <f t="shared" si="25"/>
        <v>0</v>
      </c>
      <c r="O93" s="100">
        <f t="shared" si="25"/>
        <v>0</v>
      </c>
      <c r="P93" s="100">
        <f t="shared" si="25"/>
        <v>0</v>
      </c>
      <c r="Q93" s="100">
        <f t="shared" si="25"/>
        <v>0</v>
      </c>
      <c r="R93" s="100">
        <f t="shared" si="25"/>
        <v>0</v>
      </c>
      <c r="S93" s="100">
        <f t="shared" si="25"/>
        <v>0</v>
      </c>
      <c r="T93" s="100">
        <f t="shared" si="25"/>
        <v>0</v>
      </c>
      <c r="U93" s="100">
        <f t="shared" si="25"/>
        <v>0</v>
      </c>
      <c r="V93" s="100">
        <f t="shared" si="25"/>
        <v>0</v>
      </c>
      <c r="W93" s="100">
        <f t="shared" si="25"/>
        <v>0</v>
      </c>
      <c r="X93" s="100">
        <f t="shared" si="25"/>
        <v>0</v>
      </c>
      <c r="Y93" s="100">
        <f t="shared" si="25"/>
        <v>0</v>
      </c>
      <c r="Z93" s="100">
        <f t="shared" si="25"/>
        <v>0</v>
      </c>
      <c r="AA93" s="100">
        <f t="shared" si="25"/>
        <v>0</v>
      </c>
      <c r="AB93" s="100">
        <f t="shared" si="25"/>
        <v>0</v>
      </c>
      <c r="AC93" s="100">
        <f t="shared" si="25"/>
        <v>0</v>
      </c>
      <c r="AD93" s="100">
        <f t="shared" si="25"/>
        <v>0</v>
      </c>
      <c r="AE93" s="100">
        <f t="shared" si="25"/>
        <v>0</v>
      </c>
      <c r="AF93" s="100">
        <f t="shared" si="25"/>
        <v>0</v>
      </c>
      <c r="AG93" s="100">
        <f t="shared" si="25"/>
        <v>0</v>
      </c>
      <c r="AH93" s="100">
        <f t="shared" si="25"/>
        <v>0</v>
      </c>
      <c r="AI93" s="100">
        <f t="shared" si="25"/>
        <v>0</v>
      </c>
      <c r="AJ93" s="100">
        <f t="shared" si="25"/>
        <v>0</v>
      </c>
      <c r="AK93" s="100">
        <f t="shared" si="25"/>
        <v>0</v>
      </c>
    </row>
    <row r="94" spans="6:37" s="74" customFormat="1" x14ac:dyDescent="0.2">
      <c r="F94" s="100">
        <f t="shared" si="25"/>
        <v>0</v>
      </c>
      <c r="G94" s="100">
        <f t="shared" si="25"/>
        <v>2</v>
      </c>
      <c r="H94" s="100">
        <f t="shared" si="25"/>
        <v>0</v>
      </c>
      <c r="I94" s="100">
        <f t="shared" si="25"/>
        <v>0</v>
      </c>
      <c r="J94" s="100">
        <f t="shared" si="25"/>
        <v>0</v>
      </c>
      <c r="K94" s="100">
        <f t="shared" si="25"/>
        <v>0</v>
      </c>
      <c r="L94" s="100">
        <f t="shared" si="25"/>
        <v>0</v>
      </c>
      <c r="M94" s="100">
        <f t="shared" si="25"/>
        <v>0</v>
      </c>
      <c r="N94" s="100">
        <f t="shared" si="25"/>
        <v>0</v>
      </c>
      <c r="O94" s="100">
        <f t="shared" si="25"/>
        <v>0</v>
      </c>
      <c r="P94" s="100">
        <f t="shared" si="25"/>
        <v>0</v>
      </c>
      <c r="Q94" s="100">
        <f t="shared" si="25"/>
        <v>0</v>
      </c>
      <c r="R94" s="100">
        <f t="shared" si="25"/>
        <v>0</v>
      </c>
      <c r="S94" s="100">
        <f t="shared" si="25"/>
        <v>0</v>
      </c>
      <c r="T94" s="100">
        <f t="shared" si="25"/>
        <v>0</v>
      </c>
      <c r="U94" s="100">
        <f t="shared" si="25"/>
        <v>0</v>
      </c>
      <c r="V94" s="100">
        <f t="shared" si="25"/>
        <v>0</v>
      </c>
      <c r="W94" s="100">
        <f t="shared" si="25"/>
        <v>0</v>
      </c>
      <c r="X94" s="100">
        <f t="shared" si="25"/>
        <v>0</v>
      </c>
      <c r="Y94" s="100">
        <f t="shared" si="25"/>
        <v>0</v>
      </c>
      <c r="Z94" s="100">
        <f t="shared" si="25"/>
        <v>0</v>
      </c>
      <c r="AA94" s="100">
        <f t="shared" si="25"/>
        <v>0</v>
      </c>
      <c r="AB94" s="100">
        <f t="shared" si="25"/>
        <v>0</v>
      </c>
      <c r="AC94" s="100">
        <f t="shared" si="25"/>
        <v>0</v>
      </c>
      <c r="AD94" s="100">
        <f t="shared" si="25"/>
        <v>0</v>
      </c>
      <c r="AE94" s="100">
        <f t="shared" si="25"/>
        <v>0</v>
      </c>
      <c r="AF94" s="100">
        <f t="shared" si="25"/>
        <v>0</v>
      </c>
      <c r="AG94" s="100">
        <f t="shared" si="25"/>
        <v>0</v>
      </c>
      <c r="AH94" s="100">
        <f t="shared" si="25"/>
        <v>0</v>
      </c>
      <c r="AI94" s="100">
        <f t="shared" si="25"/>
        <v>0</v>
      </c>
      <c r="AJ94" s="100">
        <f t="shared" si="25"/>
        <v>0</v>
      </c>
      <c r="AK94" s="100">
        <f t="shared" si="25"/>
        <v>0</v>
      </c>
    </row>
    <row r="95" spans="6:37" s="74" customFormat="1" x14ac:dyDescent="0.2">
      <c r="F95" s="100">
        <f t="shared" si="25"/>
        <v>0</v>
      </c>
      <c r="G95" s="100">
        <f t="shared" si="25"/>
        <v>0</v>
      </c>
      <c r="H95" s="100">
        <f t="shared" si="25"/>
        <v>0</v>
      </c>
      <c r="I95" s="100">
        <f t="shared" si="25"/>
        <v>0</v>
      </c>
      <c r="J95" s="100">
        <f t="shared" si="25"/>
        <v>0</v>
      </c>
      <c r="K95" s="100">
        <f t="shared" si="25"/>
        <v>0</v>
      </c>
      <c r="L95" s="100">
        <f t="shared" si="25"/>
        <v>0</v>
      </c>
      <c r="M95" s="100">
        <f t="shared" si="25"/>
        <v>0</v>
      </c>
      <c r="N95" s="100">
        <f t="shared" si="25"/>
        <v>0</v>
      </c>
      <c r="O95" s="100">
        <f t="shared" si="25"/>
        <v>0</v>
      </c>
      <c r="P95" s="100">
        <f t="shared" si="25"/>
        <v>0</v>
      </c>
      <c r="Q95" s="100">
        <f t="shared" si="25"/>
        <v>0</v>
      </c>
      <c r="R95" s="100">
        <f t="shared" si="25"/>
        <v>0</v>
      </c>
      <c r="S95" s="100">
        <f t="shared" si="25"/>
        <v>0</v>
      </c>
      <c r="T95" s="100">
        <f t="shared" si="25"/>
        <v>0</v>
      </c>
      <c r="U95" s="100">
        <f t="shared" si="25"/>
        <v>0</v>
      </c>
      <c r="V95" s="100">
        <f t="shared" si="25"/>
        <v>0</v>
      </c>
      <c r="W95" s="100">
        <f t="shared" si="25"/>
        <v>0</v>
      </c>
      <c r="X95" s="100">
        <f t="shared" si="25"/>
        <v>0</v>
      </c>
      <c r="Y95" s="100">
        <f t="shared" si="25"/>
        <v>0</v>
      </c>
      <c r="Z95" s="100">
        <f t="shared" si="25"/>
        <v>0</v>
      </c>
      <c r="AA95" s="100">
        <f t="shared" si="25"/>
        <v>0</v>
      </c>
      <c r="AB95" s="100">
        <f t="shared" si="25"/>
        <v>0</v>
      </c>
      <c r="AC95" s="100">
        <f t="shared" si="25"/>
        <v>0</v>
      </c>
      <c r="AD95" s="100">
        <f t="shared" si="25"/>
        <v>0</v>
      </c>
      <c r="AE95" s="100">
        <f t="shared" si="25"/>
        <v>0</v>
      </c>
      <c r="AF95" s="100">
        <f t="shared" si="25"/>
        <v>0</v>
      </c>
      <c r="AG95" s="100">
        <f t="shared" si="25"/>
        <v>0</v>
      </c>
      <c r="AH95" s="100">
        <f t="shared" si="25"/>
        <v>27000</v>
      </c>
      <c r="AI95" s="100">
        <f t="shared" si="25"/>
        <v>900</v>
      </c>
      <c r="AJ95" s="100">
        <f t="shared" si="25"/>
        <v>30</v>
      </c>
      <c r="AK95" s="100">
        <f t="shared" si="25"/>
        <v>1</v>
      </c>
    </row>
    <row r="96" spans="6:37" s="74" customFormat="1" x14ac:dyDescent="0.2">
      <c r="F96" s="100">
        <f t="shared" si="25"/>
        <v>0</v>
      </c>
      <c r="G96" s="100">
        <f t="shared" si="25"/>
        <v>0</v>
      </c>
      <c r="H96" s="100">
        <f t="shared" si="25"/>
        <v>0</v>
      </c>
      <c r="I96" s="100">
        <f t="shared" si="25"/>
        <v>0</v>
      </c>
      <c r="J96" s="100">
        <f t="shared" si="25"/>
        <v>0</v>
      </c>
      <c r="K96" s="100">
        <f t="shared" si="25"/>
        <v>0</v>
      </c>
      <c r="L96" s="100">
        <f t="shared" si="25"/>
        <v>0</v>
      </c>
      <c r="M96" s="100">
        <f t="shared" si="25"/>
        <v>0</v>
      </c>
      <c r="N96" s="100">
        <f t="shared" si="25"/>
        <v>0</v>
      </c>
      <c r="O96" s="100">
        <f t="shared" si="25"/>
        <v>0</v>
      </c>
      <c r="P96" s="100">
        <f t="shared" si="25"/>
        <v>0</v>
      </c>
      <c r="Q96" s="100">
        <f t="shared" si="25"/>
        <v>0</v>
      </c>
      <c r="R96" s="100">
        <f t="shared" si="25"/>
        <v>0</v>
      </c>
      <c r="S96" s="100">
        <f t="shared" si="25"/>
        <v>0</v>
      </c>
      <c r="T96" s="100">
        <f t="shared" si="25"/>
        <v>0</v>
      </c>
      <c r="U96" s="100">
        <f t="shared" si="25"/>
        <v>0</v>
      </c>
      <c r="V96" s="100">
        <f t="shared" si="25"/>
        <v>0</v>
      </c>
      <c r="W96" s="100">
        <f t="shared" si="25"/>
        <v>0</v>
      </c>
      <c r="X96" s="100">
        <f t="shared" si="25"/>
        <v>0</v>
      </c>
      <c r="Y96" s="100">
        <f t="shared" si="25"/>
        <v>0</v>
      </c>
      <c r="Z96" s="100">
        <f t="shared" si="25"/>
        <v>0</v>
      </c>
      <c r="AA96" s="100">
        <f t="shared" si="25"/>
        <v>0</v>
      </c>
      <c r="AB96" s="100">
        <f t="shared" si="25"/>
        <v>0</v>
      </c>
      <c r="AC96" s="100">
        <f t="shared" si="25"/>
        <v>0</v>
      </c>
      <c r="AD96" s="100">
        <f t="shared" si="25"/>
        <v>0</v>
      </c>
      <c r="AE96" s="100">
        <f t="shared" si="25"/>
        <v>0</v>
      </c>
      <c r="AF96" s="100">
        <f t="shared" si="25"/>
        <v>0</v>
      </c>
      <c r="AG96" s="100">
        <f t="shared" si="25"/>
        <v>0</v>
      </c>
      <c r="AH96" s="100">
        <f t="shared" si="25"/>
        <v>180</v>
      </c>
      <c r="AI96" s="100">
        <f t="shared" si="25"/>
        <v>2</v>
      </c>
      <c r="AJ96" s="100">
        <f t="shared" si="25"/>
        <v>0</v>
      </c>
      <c r="AK96" s="100">
        <f t="shared" si="25"/>
        <v>0</v>
      </c>
    </row>
    <row r="97" spans="2:43" x14ac:dyDescent="0.2">
      <c r="AO97" s="74"/>
      <c r="AP97" s="74"/>
      <c r="AQ97" s="74"/>
    </row>
    <row r="98" spans="2:43" x14ac:dyDescent="0.2">
      <c r="AO98" s="74"/>
      <c r="AP98" s="74"/>
      <c r="AQ98" s="74"/>
    </row>
    <row r="99" spans="2:43" s="55" customFormat="1" x14ac:dyDescent="0.2">
      <c r="B99" s="55" t="s">
        <v>326</v>
      </c>
      <c r="C99" s="55" t="s">
        <v>258</v>
      </c>
      <c r="D99" s="55" t="s">
        <v>294</v>
      </c>
      <c r="E99" s="55" t="s">
        <v>295</v>
      </c>
      <c r="AO99" s="74"/>
      <c r="AP99" s="74"/>
      <c r="AQ99" s="74"/>
    </row>
    <row r="100" spans="2:43" x14ac:dyDescent="0.2">
      <c r="C100" s="74">
        <v>1</v>
      </c>
      <c r="D100" s="74">
        <v>0</v>
      </c>
      <c r="E100" s="114">
        <f t="shared" ref="E100:E163" ca="1" si="26">INDIRECT("a_" &amp; i) * t^3 + INDIRECT("b_" &amp; i) * t^2 + INDIRECT("c_" &amp; i) * t^1 + INDIRECT("d_" &amp; i)</f>
        <v>-5.8829694944846243E-7</v>
      </c>
      <c r="F100" s="117">
        <v>0</v>
      </c>
      <c r="G100" s="117">
        <f ca="1">F100-E100</f>
        <v>5.8829694944846243E-7</v>
      </c>
      <c r="K100" s="74" t="s">
        <v>327</v>
      </c>
      <c r="L100" s="118"/>
      <c r="M100" s="74" t="s">
        <v>327</v>
      </c>
      <c r="O100" s="74" t="s">
        <v>327</v>
      </c>
      <c r="Q100" s="119"/>
      <c r="AO100" s="74"/>
      <c r="AP100" s="74"/>
      <c r="AQ100" s="74"/>
    </row>
    <row r="101" spans="2:43" x14ac:dyDescent="0.2">
      <c r="C101" s="74">
        <v>1</v>
      </c>
      <c r="D101" s="74">
        <v>0.1</v>
      </c>
      <c r="E101" s="114">
        <f t="shared" ca="1" si="26"/>
        <v>1.0694010842698678E-3</v>
      </c>
      <c r="F101" s="117" t="s">
        <v>328</v>
      </c>
      <c r="K101" s="74">
        <f ca="1">SUMSQ(G100,G110,G120,G130,G140,G150,G170,G200,G400)</f>
        <v>2.542865222957926E-4</v>
      </c>
      <c r="M101" s="74">
        <f ca="1">SUMSQ(I110,I120,I130,I140,I150,I170,I200)</f>
        <v>7.6599569541489115E-4</v>
      </c>
      <c r="O101" s="74">
        <f ca="1">K101+M101</f>
        <v>1.0202822177106836E-3</v>
      </c>
      <c r="AO101" s="74"/>
      <c r="AP101" s="74"/>
      <c r="AQ101" s="74"/>
    </row>
    <row r="102" spans="2:43" x14ac:dyDescent="0.2">
      <c r="C102" s="74">
        <v>1</v>
      </c>
      <c r="D102" s="74">
        <v>0.2</v>
      </c>
      <c r="E102" s="114">
        <f t="shared" ca="1" si="26"/>
        <v>2.3900186088378528E-3</v>
      </c>
      <c r="F102" s="117" t="s">
        <v>328</v>
      </c>
      <c r="AO102" s="74"/>
      <c r="AP102" s="74"/>
      <c r="AQ102" s="74"/>
    </row>
    <row r="103" spans="2:43" x14ac:dyDescent="0.2">
      <c r="C103" s="74">
        <v>1</v>
      </c>
      <c r="D103" s="74">
        <v>0.3</v>
      </c>
      <c r="E103" s="114">
        <f t="shared" ca="1" si="26"/>
        <v>4.0191015406041983E-3</v>
      </c>
      <c r="F103" s="117" t="s">
        <v>328</v>
      </c>
      <c r="AO103" s="74"/>
      <c r="AP103" s="74"/>
      <c r="AQ103" s="74"/>
    </row>
    <row r="104" spans="2:43" x14ac:dyDescent="0.2">
      <c r="C104" s="74">
        <v>1</v>
      </c>
      <c r="D104" s="74">
        <v>0.4</v>
      </c>
      <c r="E104" s="114">
        <f t="shared" ca="1" si="26"/>
        <v>6.0144871434185988E-3</v>
      </c>
      <c r="F104" s="117" t="s">
        <v>328</v>
      </c>
      <c r="AO104" s="74"/>
      <c r="AP104" s="74"/>
      <c r="AQ104" s="74"/>
    </row>
    <row r="105" spans="2:43" x14ac:dyDescent="0.2">
      <c r="C105" s="74">
        <v>1</v>
      </c>
      <c r="D105" s="74">
        <v>0.5</v>
      </c>
      <c r="E105" s="114">
        <f t="shared" ca="1" si="26"/>
        <v>8.434012681130745E-3</v>
      </c>
      <c r="F105" s="117" t="s">
        <v>328</v>
      </c>
      <c r="AO105" s="74"/>
      <c r="AP105" s="74"/>
      <c r="AQ105" s="74"/>
    </row>
    <row r="106" spans="2:43" x14ac:dyDescent="0.2">
      <c r="C106" s="74">
        <v>1</v>
      </c>
      <c r="D106" s="74">
        <v>0.6</v>
      </c>
      <c r="E106" s="114">
        <f t="shared" ca="1" si="26"/>
        <v>1.1335515417590333E-2</v>
      </c>
      <c r="F106" s="117" t="s">
        <v>328</v>
      </c>
      <c r="AO106" s="74"/>
      <c r="AP106" s="74"/>
      <c r="AQ106" s="74"/>
    </row>
    <row r="107" spans="2:43" x14ac:dyDescent="0.2">
      <c r="C107" s="74">
        <v>1</v>
      </c>
      <c r="D107" s="74">
        <v>0.7</v>
      </c>
      <c r="E107" s="114">
        <f t="shared" ca="1" si="26"/>
        <v>1.4776832616647051E-2</v>
      </c>
      <c r="F107" s="117" t="s">
        <v>328</v>
      </c>
      <c r="AO107" s="74"/>
      <c r="AP107" s="74"/>
      <c r="AQ107" s="74"/>
    </row>
    <row r="108" spans="2:43" x14ac:dyDescent="0.2">
      <c r="C108" s="74">
        <v>1</v>
      </c>
      <c r="D108" s="74">
        <v>0.8</v>
      </c>
      <c r="E108" s="114">
        <f t="shared" ca="1" si="26"/>
        <v>1.8815801542150602E-2</v>
      </c>
      <c r="F108" s="117" t="s">
        <v>328</v>
      </c>
      <c r="AO108" s="74"/>
      <c r="AP108" s="74"/>
      <c r="AQ108" s="74"/>
    </row>
    <row r="109" spans="2:43" x14ac:dyDescent="0.2">
      <c r="C109" s="74">
        <v>1</v>
      </c>
      <c r="D109" s="74">
        <v>0.9</v>
      </c>
      <c r="E109" s="114">
        <f t="shared" ca="1" si="26"/>
        <v>2.3510259457950662E-2</v>
      </c>
      <c r="F109" s="117" t="s">
        <v>328</v>
      </c>
      <c r="AO109" s="74"/>
      <c r="AP109" s="74"/>
      <c r="AQ109" s="74"/>
    </row>
    <row r="110" spans="2:43" x14ac:dyDescent="0.2">
      <c r="B110" s="74">
        <v>1</v>
      </c>
      <c r="C110" s="74">
        <v>2</v>
      </c>
      <c r="D110" s="74">
        <v>1</v>
      </c>
      <c r="E110" s="114">
        <f t="shared" ca="1" si="26"/>
        <v>1.4171324913022434E-2</v>
      </c>
      <c r="F110" s="117">
        <v>0.02</v>
      </c>
      <c r="G110" s="117">
        <f ca="1">F110-E110</f>
        <v>5.828675086977566E-3</v>
      </c>
      <c r="H110" s="117">
        <f ca="1">INDIRECT("a_" &amp; i_1) * t^3 + INDIRECT("b_" &amp; i_1) * t^2 + INDIRECT("c_" &amp; i_1) * t^1 + INDIRECT("d_" &amp; i_1)</f>
        <v>2.8918043627896933E-2</v>
      </c>
      <c r="I110" s="117">
        <f ca="1">H110-E110</f>
        <v>1.4746718714874499E-2</v>
      </c>
      <c r="K110" s="119"/>
      <c r="Q110" s="119"/>
      <c r="AO110" s="74"/>
      <c r="AP110" s="74"/>
      <c r="AQ110" s="74"/>
    </row>
    <row r="111" spans="2:43" x14ac:dyDescent="0.2">
      <c r="C111" s="74">
        <v>2</v>
      </c>
      <c r="D111" s="74">
        <v>1.1000000000000001</v>
      </c>
      <c r="E111" s="114">
        <f t="shared" ca="1" si="26"/>
        <v>1.5814821678283405E-2</v>
      </c>
      <c r="F111" s="117" t="s">
        <v>328</v>
      </c>
      <c r="AO111" s="74"/>
      <c r="AP111" s="74"/>
      <c r="AQ111" s="74"/>
    </row>
    <row r="112" spans="2:43" x14ac:dyDescent="0.2">
      <c r="C112" s="74">
        <v>2</v>
      </c>
      <c r="D112" s="74">
        <v>1.2</v>
      </c>
      <c r="E112" s="114">
        <f t="shared" ca="1" si="26"/>
        <v>1.7623509777488552E-2</v>
      </c>
      <c r="F112" s="117" t="s">
        <v>328</v>
      </c>
      <c r="AO112" s="74"/>
      <c r="AP112" s="74"/>
      <c r="AQ112" s="74"/>
    </row>
    <row r="113" spans="2:17" s="74" customFormat="1" x14ac:dyDescent="0.2">
      <c r="C113" s="74">
        <v>2</v>
      </c>
      <c r="D113" s="74">
        <v>1.3</v>
      </c>
      <c r="E113" s="114">
        <f t="shared" ca="1" si="26"/>
        <v>1.9606186988430925E-2</v>
      </c>
      <c r="F113" s="117" t="s">
        <v>328</v>
      </c>
    </row>
    <row r="114" spans="2:17" s="74" customFormat="1" x14ac:dyDescent="0.2">
      <c r="C114" s="74">
        <v>2</v>
      </c>
      <c r="D114" s="74">
        <v>1.4</v>
      </c>
      <c r="E114" s="114">
        <f t="shared" ca="1" si="26"/>
        <v>2.1771651088903568E-2</v>
      </c>
      <c r="F114" s="117" t="s">
        <v>328</v>
      </c>
    </row>
    <row r="115" spans="2:17" s="74" customFormat="1" x14ac:dyDescent="0.2">
      <c r="C115" s="74">
        <v>2</v>
      </c>
      <c r="D115" s="74">
        <v>1.5</v>
      </c>
      <c r="E115" s="114">
        <f t="shared" ca="1" si="26"/>
        <v>2.4128699856699538E-2</v>
      </c>
      <c r="F115" s="117" t="s">
        <v>328</v>
      </c>
    </row>
    <row r="116" spans="2:17" s="74" customFormat="1" x14ac:dyDescent="0.2">
      <c r="C116" s="74">
        <v>2</v>
      </c>
      <c r="D116" s="74">
        <v>1.6</v>
      </c>
      <c r="E116" s="114">
        <f t="shared" ca="1" si="26"/>
        <v>2.6686131069611881E-2</v>
      </c>
      <c r="F116" s="117" t="s">
        <v>328</v>
      </c>
    </row>
    <row r="117" spans="2:17" s="74" customFormat="1" x14ac:dyDescent="0.2">
      <c r="C117" s="74">
        <v>2</v>
      </c>
      <c r="D117" s="74">
        <v>1.7</v>
      </c>
      <c r="E117" s="114">
        <f t="shared" ca="1" si="26"/>
        <v>2.9452742505433626E-2</v>
      </c>
      <c r="F117" s="117" t="s">
        <v>328</v>
      </c>
    </row>
    <row r="118" spans="2:17" s="74" customFormat="1" x14ac:dyDescent="0.2">
      <c r="C118" s="74">
        <v>2</v>
      </c>
      <c r="D118" s="74">
        <v>1.8</v>
      </c>
      <c r="E118" s="114">
        <f t="shared" ca="1" si="26"/>
        <v>3.2437331941957845E-2</v>
      </c>
      <c r="F118" s="117" t="s">
        <v>328</v>
      </c>
    </row>
    <row r="119" spans="2:17" s="74" customFormat="1" x14ac:dyDescent="0.2">
      <c r="C119" s="74">
        <v>2</v>
      </c>
      <c r="D119" s="74">
        <v>1.9</v>
      </c>
      <c r="E119" s="114">
        <f t="shared" ca="1" si="26"/>
        <v>3.5648697156977577E-2</v>
      </c>
      <c r="F119" s="117" t="s">
        <v>328</v>
      </c>
    </row>
    <row r="120" spans="2:17" s="74" customFormat="1" x14ac:dyDescent="0.2">
      <c r="B120" s="74">
        <v>2</v>
      </c>
      <c r="C120" s="74">
        <v>3</v>
      </c>
      <c r="D120" s="74">
        <v>2</v>
      </c>
      <c r="E120" s="114">
        <f t="shared" ca="1" si="26"/>
        <v>3.5138657720086279E-2</v>
      </c>
      <c r="F120" s="117">
        <v>3.7869296080000003E-2</v>
      </c>
      <c r="G120" s="117">
        <f ca="1">F120-E120</f>
        <v>2.7306383599137243E-3</v>
      </c>
      <c r="H120" s="117">
        <f ca="1">INDIRECT("a_" &amp; i_1) * t^3 + INDIRECT("b_" &amp; i_1) * t^2 + INDIRECT("c_" &amp; i_1) * t^1 + INDIRECT("d_" &amp; i_1)</f>
        <v>3.9095635928285868E-2</v>
      </c>
      <c r="I120" s="117">
        <f ca="1">H120-E120</f>
        <v>3.9569782081995894E-3</v>
      </c>
      <c r="K120" s="119"/>
      <c r="Q120" s="119"/>
    </row>
    <row r="121" spans="2:17" s="74" customFormat="1" x14ac:dyDescent="0.2">
      <c r="C121" s="74">
        <v>3</v>
      </c>
      <c r="D121" s="74">
        <v>2.1</v>
      </c>
      <c r="E121" s="114">
        <f t="shared" ca="1" si="26"/>
        <v>3.7131580235566147E-2</v>
      </c>
      <c r="F121" s="117" t="s">
        <v>328</v>
      </c>
    </row>
    <row r="122" spans="2:17" s="74" customFormat="1" x14ac:dyDescent="0.2">
      <c r="C122" s="74">
        <v>3</v>
      </c>
      <c r="D122" s="74">
        <v>2.2000000000000002</v>
      </c>
      <c r="E122" s="114">
        <f t="shared" ca="1" si="26"/>
        <v>3.9186392923636744E-2</v>
      </c>
      <c r="F122" s="117" t="s">
        <v>328</v>
      </c>
    </row>
    <row r="123" spans="2:17" s="74" customFormat="1" x14ac:dyDescent="0.2">
      <c r="C123" s="74">
        <v>3</v>
      </c>
      <c r="D123" s="74">
        <v>2.2999999999999998</v>
      </c>
      <c r="E123" s="114">
        <f t="shared" ca="1" si="26"/>
        <v>4.1302992030313568E-2</v>
      </c>
      <c r="F123" s="117" t="s">
        <v>328</v>
      </c>
    </row>
    <row r="124" spans="2:17" s="74" customFormat="1" x14ac:dyDescent="0.2">
      <c r="C124" s="74">
        <v>3</v>
      </c>
      <c r="D124" s="74">
        <v>2.4</v>
      </c>
      <c r="E124" s="114">
        <f t="shared" ca="1" si="26"/>
        <v>4.3481273801612139E-2</v>
      </c>
      <c r="F124" s="117" t="s">
        <v>328</v>
      </c>
    </row>
    <row r="125" spans="2:17" s="74" customFormat="1" x14ac:dyDescent="0.2">
      <c r="C125" s="74">
        <v>3</v>
      </c>
      <c r="D125" s="74">
        <v>2.5</v>
      </c>
      <c r="E125" s="114">
        <f t="shared" ca="1" si="26"/>
        <v>4.5721134483547948E-2</v>
      </c>
      <c r="F125" s="117" t="s">
        <v>328</v>
      </c>
    </row>
    <row r="126" spans="2:17" s="74" customFormat="1" x14ac:dyDescent="0.2">
      <c r="C126" s="74">
        <v>3</v>
      </c>
      <c r="D126" s="74">
        <v>2.6</v>
      </c>
      <c r="E126" s="114">
        <f t="shared" ca="1" si="26"/>
        <v>4.8022470322136496E-2</v>
      </c>
      <c r="F126" s="117" t="s">
        <v>328</v>
      </c>
    </row>
    <row r="127" spans="2:17" s="74" customFormat="1" x14ac:dyDescent="0.2">
      <c r="C127" s="74">
        <v>3</v>
      </c>
      <c r="D127" s="74">
        <v>2.7</v>
      </c>
      <c r="E127" s="114">
        <f t="shared" ca="1" si="26"/>
        <v>5.0385177563393307E-2</v>
      </c>
      <c r="F127" s="117" t="s">
        <v>328</v>
      </c>
    </row>
    <row r="128" spans="2:17" s="74" customFormat="1" x14ac:dyDescent="0.2">
      <c r="C128" s="74">
        <v>3</v>
      </c>
      <c r="D128" s="74">
        <v>2.8</v>
      </c>
      <c r="E128" s="114">
        <f t="shared" ca="1" si="26"/>
        <v>5.2809152453333848E-2</v>
      </c>
      <c r="F128" s="117" t="s">
        <v>328</v>
      </c>
    </row>
    <row r="129" spans="2:17" s="74" customFormat="1" x14ac:dyDescent="0.2">
      <c r="C129" s="74">
        <v>3</v>
      </c>
      <c r="D129" s="74">
        <v>2.9</v>
      </c>
      <c r="E129" s="114">
        <f t="shared" ca="1" si="26"/>
        <v>5.5294291237973664E-2</v>
      </c>
      <c r="F129" s="117" t="s">
        <v>328</v>
      </c>
    </row>
    <row r="130" spans="2:17" s="74" customFormat="1" x14ac:dyDescent="0.2">
      <c r="B130" s="74">
        <v>3</v>
      </c>
      <c r="C130" s="74">
        <v>4</v>
      </c>
      <c r="D130" s="74">
        <v>3</v>
      </c>
      <c r="E130" s="114">
        <f t="shared" ca="1" si="26"/>
        <v>4.0606542525608039E-2</v>
      </c>
      <c r="F130" s="117">
        <v>4.4685005659999999E-2</v>
      </c>
      <c r="G130" s="117">
        <f ca="1">F130-E130</f>
        <v>4.0784631343919603E-3</v>
      </c>
      <c r="H130" s="117">
        <f ca="1">INDIRECT("a_" &amp; i_1) * t^3 + INDIRECT("b_" &amp; i_1) * t^2 + INDIRECT("c_" &amp; i_1) * t^1 + INDIRECT("d_" &amp; i_1)</f>
        <v>5.7840490163328248E-2</v>
      </c>
      <c r="I130" s="117">
        <f ca="1">H130-E130</f>
        <v>1.7233947637720209E-2</v>
      </c>
      <c r="K130" s="119"/>
      <c r="Q130" s="119"/>
    </row>
    <row r="131" spans="2:17" s="74" customFormat="1" x14ac:dyDescent="0.2">
      <c r="C131" s="74">
        <v>4</v>
      </c>
      <c r="D131" s="74">
        <v>3.1</v>
      </c>
      <c r="E131" s="114">
        <f t="shared" ca="1" si="26"/>
        <v>4.2150106003778026E-2</v>
      </c>
      <c r="F131" s="117" t="s">
        <v>328</v>
      </c>
    </row>
    <row r="132" spans="2:17" s="74" customFormat="1" x14ac:dyDescent="0.2">
      <c r="C132" s="74">
        <v>4</v>
      </c>
      <c r="D132" s="74">
        <v>3.2</v>
      </c>
      <c r="E132" s="114">
        <f t="shared" ca="1" si="26"/>
        <v>4.3734737110745082E-2</v>
      </c>
      <c r="F132" s="117" t="s">
        <v>328</v>
      </c>
    </row>
    <row r="133" spans="2:17" s="74" customFormat="1" x14ac:dyDescent="0.2">
      <c r="C133" s="74">
        <v>4</v>
      </c>
      <c r="D133" s="74">
        <v>3.3</v>
      </c>
      <c r="E133" s="114">
        <f t="shared" ca="1" si="26"/>
        <v>4.5361301271642354E-2</v>
      </c>
      <c r="F133" s="117" t="s">
        <v>328</v>
      </c>
    </row>
    <row r="134" spans="2:17" s="74" customFormat="1" x14ac:dyDescent="0.2">
      <c r="C134" s="74">
        <v>4</v>
      </c>
      <c r="D134" s="74">
        <v>3.4</v>
      </c>
      <c r="E134" s="114">
        <f t="shared" ca="1" si="26"/>
        <v>4.7030663911603002E-2</v>
      </c>
      <c r="F134" s="117" t="s">
        <v>328</v>
      </c>
    </row>
    <row r="135" spans="2:17" s="74" customFormat="1" x14ac:dyDescent="0.2">
      <c r="C135" s="74">
        <v>4</v>
      </c>
      <c r="D135" s="74">
        <v>3.5</v>
      </c>
      <c r="E135" s="114">
        <f t="shared" ca="1" si="26"/>
        <v>4.8743690455760158E-2</v>
      </c>
      <c r="F135" s="117" t="s">
        <v>328</v>
      </c>
    </row>
    <row r="136" spans="2:17" s="74" customFormat="1" x14ac:dyDescent="0.2">
      <c r="C136" s="74">
        <v>4</v>
      </c>
      <c r="D136" s="74">
        <v>3.6</v>
      </c>
      <c r="E136" s="114">
        <f t="shared" ca="1" si="26"/>
        <v>5.0501246329246977E-2</v>
      </c>
      <c r="F136" s="117" t="s">
        <v>328</v>
      </c>
    </row>
    <row r="137" spans="2:17" s="74" customFormat="1" x14ac:dyDescent="0.2">
      <c r="C137" s="74">
        <v>4</v>
      </c>
      <c r="D137" s="74">
        <v>3.7</v>
      </c>
      <c r="E137" s="114">
        <f t="shared" ca="1" si="26"/>
        <v>5.2304196957196597E-2</v>
      </c>
      <c r="F137" s="117" t="s">
        <v>328</v>
      </c>
    </row>
    <row r="138" spans="2:17" s="74" customFormat="1" x14ac:dyDescent="0.2">
      <c r="C138" s="74">
        <v>4</v>
      </c>
      <c r="D138" s="74">
        <v>3.8</v>
      </c>
      <c r="E138" s="114">
        <f t="shared" ca="1" si="26"/>
        <v>5.4153407764742159E-2</v>
      </c>
      <c r="F138" s="117" t="s">
        <v>328</v>
      </c>
    </row>
    <row r="139" spans="2:17" s="74" customFormat="1" x14ac:dyDescent="0.2">
      <c r="C139" s="74">
        <v>4</v>
      </c>
      <c r="D139" s="74">
        <v>3.9</v>
      </c>
      <c r="E139" s="114">
        <f t="shared" ca="1" si="26"/>
        <v>5.6049744177016823E-2</v>
      </c>
      <c r="F139" s="117" t="s">
        <v>328</v>
      </c>
    </row>
    <row r="140" spans="2:17" s="74" customFormat="1" x14ac:dyDescent="0.2">
      <c r="B140" s="74">
        <v>4</v>
      </c>
      <c r="C140" s="74">
        <v>5</v>
      </c>
      <c r="D140" s="74">
        <v>4</v>
      </c>
      <c r="E140" s="114">
        <f t="shared" ca="1" si="26"/>
        <v>4.7605921251351442E-2</v>
      </c>
      <c r="F140" s="117">
        <v>5.1500715240000002E-2</v>
      </c>
      <c r="G140" s="117">
        <f ca="1">F140-E140</f>
        <v>3.8947939886485594E-3</v>
      </c>
      <c r="H140" s="117">
        <f ca="1">INDIRECT("a_" &amp; i_1) * t^3 + INDIRECT("b_" &amp; i_1) * t^2 + INDIRECT("c_" &amp; i_1) * t^1 + INDIRECT("d_" &amp; i_1)</f>
        <v>5.7994071619153723E-2</v>
      </c>
      <c r="I140" s="117">
        <f ca="1">H140-E140</f>
        <v>1.038815036780228E-2</v>
      </c>
      <c r="K140" s="119"/>
      <c r="Q140" s="119"/>
    </row>
    <row r="141" spans="2:17" s="74" customFormat="1" x14ac:dyDescent="0.2">
      <c r="C141" s="74">
        <v>5</v>
      </c>
      <c r="D141" s="74">
        <v>4.0999999999999996</v>
      </c>
      <c r="E141" s="114">
        <f t="shared" ca="1" si="26"/>
        <v>4.8608583561805502E-2</v>
      </c>
      <c r="F141" s="117" t="s">
        <v>328</v>
      </c>
    </row>
    <row r="142" spans="2:17" s="74" customFormat="1" x14ac:dyDescent="0.2">
      <c r="C142" s="74">
        <v>5</v>
      </c>
      <c r="D142" s="74">
        <v>4.2</v>
      </c>
      <c r="E142" s="114">
        <f t="shared" ca="1" si="26"/>
        <v>4.9606813951797224E-2</v>
      </c>
      <c r="F142" s="117" t="s">
        <v>328</v>
      </c>
    </row>
    <row r="143" spans="2:17" s="74" customFormat="1" x14ac:dyDescent="0.2">
      <c r="C143" s="74">
        <v>5</v>
      </c>
      <c r="D143" s="74">
        <v>4.3</v>
      </c>
      <c r="E143" s="114">
        <f t="shared" ca="1" si="26"/>
        <v>5.0600127595653695E-2</v>
      </c>
      <c r="F143" s="117" t="s">
        <v>328</v>
      </c>
    </row>
    <row r="144" spans="2:17" s="74" customFormat="1" x14ac:dyDescent="0.2">
      <c r="C144" s="74">
        <v>5</v>
      </c>
      <c r="D144" s="74">
        <v>4.4000000000000004</v>
      </c>
      <c r="E144" s="114">
        <f t="shared" ca="1" si="26"/>
        <v>5.1588039667702014E-2</v>
      </c>
      <c r="F144" s="117" t="s">
        <v>328</v>
      </c>
    </row>
    <row r="145" spans="2:17" s="74" customFormat="1" x14ac:dyDescent="0.2">
      <c r="C145" s="74">
        <v>5</v>
      </c>
      <c r="D145" s="74">
        <v>4.5</v>
      </c>
      <c r="E145" s="114">
        <f t="shared" ca="1" si="26"/>
        <v>5.2570065342269261E-2</v>
      </c>
      <c r="F145" s="117" t="s">
        <v>328</v>
      </c>
    </row>
    <row r="146" spans="2:17" s="74" customFormat="1" x14ac:dyDescent="0.2">
      <c r="C146" s="74">
        <v>5</v>
      </c>
      <c r="D146" s="74">
        <v>4.5999999999999996</v>
      </c>
      <c r="E146" s="114">
        <f t="shared" ca="1" si="26"/>
        <v>5.3545719793682535E-2</v>
      </c>
      <c r="F146" s="117" t="s">
        <v>328</v>
      </c>
    </row>
    <row r="147" spans="2:17" s="74" customFormat="1" x14ac:dyDescent="0.2">
      <c r="C147" s="74">
        <v>5</v>
      </c>
      <c r="D147" s="74">
        <v>4.7</v>
      </c>
      <c r="E147" s="114">
        <f t="shared" ca="1" si="26"/>
        <v>5.451451819626893E-2</v>
      </c>
      <c r="F147" s="117" t="s">
        <v>328</v>
      </c>
    </row>
    <row r="148" spans="2:17" s="74" customFormat="1" x14ac:dyDescent="0.2">
      <c r="C148" s="74">
        <v>5</v>
      </c>
      <c r="D148" s="74">
        <v>4.8</v>
      </c>
      <c r="E148" s="114">
        <f t="shared" ca="1" si="26"/>
        <v>5.5475975724355524E-2</v>
      </c>
      <c r="F148" s="117" t="s">
        <v>328</v>
      </c>
    </row>
    <row r="149" spans="2:17" s="74" customFormat="1" x14ac:dyDescent="0.2">
      <c r="C149" s="74">
        <v>5</v>
      </c>
      <c r="D149" s="74">
        <v>4.9000000000000004</v>
      </c>
      <c r="E149" s="114">
        <f t="shared" ca="1" si="26"/>
        <v>5.642960755226941E-2</v>
      </c>
      <c r="F149" s="117" t="s">
        <v>328</v>
      </c>
    </row>
    <row r="150" spans="2:17" s="74" customFormat="1" x14ac:dyDescent="0.2">
      <c r="B150" s="74">
        <v>5</v>
      </c>
      <c r="C150" s="74">
        <v>7</v>
      </c>
      <c r="D150" s="74">
        <v>5</v>
      </c>
      <c r="E150" s="114">
        <f t="shared" ca="1" si="26"/>
        <v>4.938641839179482E-2</v>
      </c>
      <c r="F150" s="117">
        <v>5.8316424819999997E-2</v>
      </c>
      <c r="G150" s="117">
        <f ca="1">F150-E150</f>
        <v>8.9300064282051769E-3</v>
      </c>
      <c r="H150" s="117">
        <f ca="1">INDIRECT("a_" &amp; i_1) * t^3 + INDIRECT("b_" &amp; i_1) * t^2 + INDIRECT("c_" &amp; i_1) * t^1 + INDIRECT("d_" &amp; i_1)</f>
        <v>5.7374928854337683E-2</v>
      </c>
      <c r="I150" s="117">
        <f ca="1">H150-E150</f>
        <v>7.9885104625428624E-3</v>
      </c>
      <c r="K150" s="119"/>
      <c r="Q150" s="119"/>
    </row>
    <row r="151" spans="2:17" s="74" customFormat="1" x14ac:dyDescent="0.2">
      <c r="C151" s="74">
        <v>7</v>
      </c>
      <c r="D151" s="74">
        <v>5.0999999999999996</v>
      </c>
      <c r="E151" s="114">
        <f t="shared" ca="1" si="26"/>
        <v>5.0119371280569744E-2</v>
      </c>
      <c r="F151" s="117" t="s">
        <v>328</v>
      </c>
    </row>
    <row r="152" spans="2:17" s="74" customFormat="1" x14ac:dyDescent="0.2">
      <c r="C152" s="74">
        <v>7</v>
      </c>
      <c r="D152" s="74">
        <v>5.2</v>
      </c>
      <c r="E152" s="114">
        <f t="shared" ca="1" si="26"/>
        <v>5.0847414841411316E-2</v>
      </c>
      <c r="F152" s="117" t="s">
        <v>328</v>
      </c>
    </row>
    <row r="153" spans="2:17" s="74" customFormat="1" x14ac:dyDescent="0.2">
      <c r="C153" s="74">
        <v>7</v>
      </c>
      <c r="D153" s="74">
        <v>5.3</v>
      </c>
      <c r="E153" s="114">
        <f t="shared" ca="1" si="26"/>
        <v>5.1570411652793351E-2</v>
      </c>
      <c r="F153" s="117" t="s">
        <v>328</v>
      </c>
    </row>
    <row r="154" spans="2:17" s="74" customFormat="1" x14ac:dyDescent="0.2">
      <c r="C154" s="74">
        <v>7</v>
      </c>
      <c r="D154" s="74">
        <v>5.4</v>
      </c>
      <c r="E154" s="114">
        <f t="shared" ca="1" si="26"/>
        <v>5.228822429318971E-2</v>
      </c>
      <c r="F154" s="117" t="s">
        <v>328</v>
      </c>
    </row>
    <row r="155" spans="2:17" s="74" customFormat="1" x14ac:dyDescent="0.2">
      <c r="C155" s="74">
        <v>7</v>
      </c>
      <c r="D155" s="74">
        <v>5.5</v>
      </c>
      <c r="E155" s="114">
        <f t="shared" ca="1" si="26"/>
        <v>5.3000715341074207E-2</v>
      </c>
      <c r="F155" s="117" t="s">
        <v>328</v>
      </c>
    </row>
    <row r="156" spans="2:17" s="74" customFormat="1" x14ac:dyDescent="0.2">
      <c r="C156" s="74">
        <v>7</v>
      </c>
      <c r="D156" s="74">
        <v>5.6</v>
      </c>
      <c r="E156" s="114">
        <f t="shared" ca="1" si="26"/>
        <v>5.3707747374920699E-2</v>
      </c>
      <c r="F156" s="117" t="s">
        <v>328</v>
      </c>
    </row>
    <row r="157" spans="2:17" s="74" customFormat="1" x14ac:dyDescent="0.2">
      <c r="C157" s="74">
        <v>7</v>
      </c>
      <c r="D157" s="74">
        <v>5.7</v>
      </c>
      <c r="E157" s="114">
        <f t="shared" ca="1" si="26"/>
        <v>5.4409182973203012E-2</v>
      </c>
      <c r="F157" s="117" t="s">
        <v>328</v>
      </c>
    </row>
    <row r="158" spans="2:17" s="74" customFormat="1" x14ac:dyDescent="0.2">
      <c r="C158" s="74">
        <v>7</v>
      </c>
      <c r="D158" s="74">
        <v>5.8</v>
      </c>
      <c r="E158" s="114">
        <f t="shared" ca="1" si="26"/>
        <v>5.5104884714394987E-2</v>
      </c>
      <c r="F158" s="117" t="s">
        <v>328</v>
      </c>
    </row>
    <row r="159" spans="2:17" s="74" customFormat="1" x14ac:dyDescent="0.2">
      <c r="C159" s="74">
        <v>7</v>
      </c>
      <c r="D159" s="74">
        <v>5.9</v>
      </c>
      <c r="E159" s="114">
        <f t="shared" ca="1" si="26"/>
        <v>5.5794715176970468E-2</v>
      </c>
      <c r="F159" s="117" t="s">
        <v>328</v>
      </c>
    </row>
    <row r="160" spans="2:17" s="74" customFormat="1" x14ac:dyDescent="0.2">
      <c r="C160" s="74">
        <v>7</v>
      </c>
      <c r="D160" s="74">
        <v>6</v>
      </c>
      <c r="E160" s="114">
        <f t="shared" ca="1" si="26"/>
        <v>5.6478536939403287E-2</v>
      </c>
      <c r="F160" s="117" t="s">
        <v>328</v>
      </c>
    </row>
    <row r="161" spans="2:17" s="74" customFormat="1" x14ac:dyDescent="0.2">
      <c r="C161" s="74">
        <v>7</v>
      </c>
      <c r="D161" s="74">
        <v>6.1</v>
      </c>
      <c r="E161" s="114">
        <f t="shared" ca="1" si="26"/>
        <v>5.7156212580167273E-2</v>
      </c>
      <c r="F161" s="117" t="s">
        <v>328</v>
      </c>
    </row>
    <row r="162" spans="2:17" s="74" customFormat="1" x14ac:dyDescent="0.2">
      <c r="C162" s="74">
        <v>7</v>
      </c>
      <c r="D162" s="74">
        <v>6.2</v>
      </c>
      <c r="E162" s="114">
        <f t="shared" ca="1" si="26"/>
        <v>5.7827604677736288E-2</v>
      </c>
      <c r="F162" s="117" t="s">
        <v>328</v>
      </c>
    </row>
    <row r="163" spans="2:17" s="74" customFormat="1" x14ac:dyDescent="0.2">
      <c r="C163" s="74">
        <v>7</v>
      </c>
      <c r="D163" s="74">
        <v>6.3</v>
      </c>
      <c r="E163" s="114">
        <f t="shared" ca="1" si="26"/>
        <v>5.849257581058414E-2</v>
      </c>
      <c r="F163" s="117" t="s">
        <v>328</v>
      </c>
    </row>
    <row r="164" spans="2:17" s="74" customFormat="1" x14ac:dyDescent="0.2">
      <c r="C164" s="74">
        <v>7</v>
      </c>
      <c r="D164" s="74">
        <v>6.4</v>
      </c>
      <c r="E164" s="114">
        <f t="shared" ref="E164:E227" ca="1" si="27">INDIRECT("a_" &amp; i) * t^3 + INDIRECT("b_" &amp; i) * t^2 + INDIRECT("c_" &amp; i) * t^1 + INDIRECT("d_" &amp; i)</f>
        <v>5.9150988557184682E-2</v>
      </c>
      <c r="F164" s="117" t="s">
        <v>328</v>
      </c>
    </row>
    <row r="165" spans="2:17" s="74" customFormat="1" x14ac:dyDescent="0.2">
      <c r="C165" s="74">
        <v>7</v>
      </c>
      <c r="D165" s="74">
        <v>6.5</v>
      </c>
      <c r="E165" s="114">
        <f t="shared" ca="1" si="27"/>
        <v>5.980270549601175E-2</v>
      </c>
      <c r="F165" s="117" t="s">
        <v>328</v>
      </c>
    </row>
    <row r="166" spans="2:17" s="74" customFormat="1" x14ac:dyDescent="0.2">
      <c r="C166" s="74">
        <v>7</v>
      </c>
      <c r="D166" s="74">
        <v>6.6</v>
      </c>
      <c r="E166" s="114">
        <f t="shared" ca="1" si="27"/>
        <v>6.0447589205539179E-2</v>
      </c>
      <c r="F166" s="117" t="s">
        <v>328</v>
      </c>
    </row>
    <row r="167" spans="2:17" s="74" customFormat="1" x14ac:dyDescent="0.2">
      <c r="C167" s="74">
        <v>7</v>
      </c>
      <c r="D167" s="74">
        <v>6.7</v>
      </c>
      <c r="E167" s="114">
        <f t="shared" ca="1" si="27"/>
        <v>6.1085502264240817E-2</v>
      </c>
      <c r="F167" s="117" t="s">
        <v>328</v>
      </c>
    </row>
    <row r="168" spans="2:17" s="74" customFormat="1" x14ac:dyDescent="0.2">
      <c r="C168" s="74">
        <v>7</v>
      </c>
      <c r="D168" s="74">
        <v>6.8</v>
      </c>
      <c r="E168" s="114">
        <f t="shared" ca="1" si="27"/>
        <v>6.1716307250590491E-2</v>
      </c>
      <c r="F168" s="117" t="s">
        <v>328</v>
      </c>
    </row>
    <row r="169" spans="2:17" s="74" customFormat="1" x14ac:dyDescent="0.2">
      <c r="C169" s="74">
        <v>7</v>
      </c>
      <c r="D169" s="74">
        <v>6.9</v>
      </c>
      <c r="E169" s="114">
        <f t="shared" ca="1" si="27"/>
        <v>6.2339866743062043E-2</v>
      </c>
      <c r="F169" s="117" t="s">
        <v>328</v>
      </c>
    </row>
    <row r="170" spans="2:17" s="74" customFormat="1" x14ac:dyDescent="0.2">
      <c r="B170" s="74">
        <v>7</v>
      </c>
      <c r="C170" s="74">
        <v>10</v>
      </c>
      <c r="D170" s="74">
        <v>7</v>
      </c>
      <c r="E170" s="114">
        <f t="shared" ca="1" si="27"/>
        <v>5.6733211202020149E-2</v>
      </c>
      <c r="F170" s="117">
        <v>6.51321344E-2</v>
      </c>
      <c r="G170" s="117">
        <f ca="1">F170-E170</f>
        <v>8.3989231979798504E-3</v>
      </c>
      <c r="H170" s="117">
        <f ca="1">INDIRECT("a_" &amp; i_1) * t^3 + INDIRECT("b_" &amp; i_1) * t^2 + INDIRECT("c_" &amp; i_1) * t^1 + INDIRECT("d_" &amp; i_1)</f>
        <v>6.2956043320129301E-2</v>
      </c>
      <c r="I170" s="117">
        <f ca="1">H170-E170</f>
        <v>6.222832118109152E-3</v>
      </c>
      <c r="K170" s="119"/>
      <c r="Q170" s="119"/>
    </row>
    <row r="171" spans="2:17" s="74" customFormat="1" x14ac:dyDescent="0.2">
      <c r="C171" s="74">
        <v>10</v>
      </c>
      <c r="D171" s="74">
        <v>7.1</v>
      </c>
      <c r="E171" s="114">
        <f t="shared" ca="1" si="27"/>
        <v>5.7427542188259392E-2</v>
      </c>
      <c r="F171" s="117" t="s">
        <v>328</v>
      </c>
    </row>
    <row r="172" spans="2:17" s="74" customFormat="1" x14ac:dyDescent="0.2">
      <c r="C172" s="74">
        <v>10</v>
      </c>
      <c r="D172" s="74">
        <v>7.2</v>
      </c>
      <c r="E172" s="114">
        <f t="shared" ca="1" si="27"/>
        <v>5.8122843963081053E-2</v>
      </c>
      <c r="F172" s="117" t="s">
        <v>328</v>
      </c>
    </row>
    <row r="173" spans="2:17" s="74" customFormat="1" x14ac:dyDescent="0.2">
      <c r="C173" s="74">
        <v>10</v>
      </c>
      <c r="D173" s="74">
        <v>7.3</v>
      </c>
      <c r="E173" s="114">
        <f t="shared" ca="1" si="27"/>
        <v>5.8819124605721342E-2</v>
      </c>
      <c r="F173" s="117" t="s">
        <v>328</v>
      </c>
    </row>
    <row r="174" spans="2:17" s="74" customFormat="1" x14ac:dyDescent="0.2">
      <c r="C174" s="74">
        <v>10</v>
      </c>
      <c r="D174" s="74">
        <v>7.4</v>
      </c>
      <c r="E174" s="114">
        <f t="shared" ca="1" si="27"/>
        <v>5.9516392195416469E-2</v>
      </c>
      <c r="F174" s="117" t="s">
        <v>328</v>
      </c>
    </row>
    <row r="175" spans="2:17" s="74" customFormat="1" x14ac:dyDescent="0.2">
      <c r="C175" s="74">
        <v>10</v>
      </c>
      <c r="D175" s="74">
        <v>7.5</v>
      </c>
      <c r="E175" s="114">
        <f t="shared" ca="1" si="27"/>
        <v>6.0214654811402667E-2</v>
      </c>
      <c r="F175" s="117" t="s">
        <v>328</v>
      </c>
    </row>
    <row r="176" spans="2:17" s="74" customFormat="1" x14ac:dyDescent="0.2">
      <c r="C176" s="74">
        <v>10</v>
      </c>
      <c r="D176" s="74">
        <v>7.6</v>
      </c>
      <c r="E176" s="114">
        <f t="shared" ca="1" si="27"/>
        <v>6.0913920532916138E-2</v>
      </c>
      <c r="F176" s="117" t="s">
        <v>328</v>
      </c>
    </row>
    <row r="177" spans="3:6" s="74" customFormat="1" x14ac:dyDescent="0.2">
      <c r="C177" s="74">
        <v>10</v>
      </c>
      <c r="D177" s="74">
        <v>7.7</v>
      </c>
      <c r="E177" s="114">
        <f t="shared" ca="1" si="27"/>
        <v>6.1614197439193108E-2</v>
      </c>
      <c r="F177" s="117" t="s">
        <v>328</v>
      </c>
    </row>
    <row r="178" spans="3:6" s="74" customFormat="1" x14ac:dyDescent="0.2">
      <c r="C178" s="74">
        <v>10</v>
      </c>
      <c r="D178" s="74">
        <v>7.8</v>
      </c>
      <c r="E178" s="114">
        <f t="shared" ca="1" si="27"/>
        <v>6.231549360946978E-2</v>
      </c>
      <c r="F178" s="117" t="s">
        <v>328</v>
      </c>
    </row>
    <row r="179" spans="3:6" s="74" customFormat="1" x14ac:dyDescent="0.2">
      <c r="C179" s="74">
        <v>10</v>
      </c>
      <c r="D179" s="74">
        <v>7.9</v>
      </c>
      <c r="E179" s="114">
        <f t="shared" ca="1" si="27"/>
        <v>6.3017817122982378E-2</v>
      </c>
      <c r="F179" s="117" t="s">
        <v>328</v>
      </c>
    </row>
    <row r="180" spans="3:6" s="74" customFormat="1" x14ac:dyDescent="0.2">
      <c r="C180" s="74">
        <v>10</v>
      </c>
      <c r="D180" s="74">
        <v>8</v>
      </c>
      <c r="E180" s="114">
        <f t="shared" ca="1" si="27"/>
        <v>6.3721176058967127E-2</v>
      </c>
      <c r="F180" s="117" t="s">
        <v>328</v>
      </c>
    </row>
    <row r="181" spans="3:6" s="74" customFormat="1" x14ac:dyDescent="0.2">
      <c r="C181" s="74">
        <v>10</v>
      </c>
      <c r="D181" s="74">
        <v>8.1</v>
      </c>
      <c r="E181" s="114">
        <f t="shared" ca="1" si="27"/>
        <v>6.442557849666021E-2</v>
      </c>
      <c r="F181" s="117" t="s">
        <v>328</v>
      </c>
    </row>
    <row r="182" spans="3:6" s="74" customFormat="1" x14ac:dyDescent="0.2">
      <c r="C182" s="74">
        <v>10</v>
      </c>
      <c r="D182" s="74">
        <v>8.1999999999999993</v>
      </c>
      <c r="E182" s="114">
        <f t="shared" ca="1" si="27"/>
        <v>6.5131032515297879E-2</v>
      </c>
      <c r="F182" s="117" t="s">
        <v>328</v>
      </c>
    </row>
    <row r="183" spans="3:6" s="74" customFormat="1" x14ac:dyDescent="0.2">
      <c r="C183" s="74">
        <v>10</v>
      </c>
      <c r="D183" s="74">
        <v>8.3000000000000007</v>
      </c>
      <c r="E183" s="114">
        <f t="shared" ca="1" si="27"/>
        <v>6.5837546194116331E-2</v>
      </c>
      <c r="F183" s="117" t="s">
        <v>328</v>
      </c>
    </row>
    <row r="184" spans="3:6" s="74" customFormat="1" x14ac:dyDescent="0.2">
      <c r="C184" s="74">
        <v>10</v>
      </c>
      <c r="D184" s="74">
        <v>8.4</v>
      </c>
      <c r="E184" s="114">
        <f t="shared" ca="1" si="27"/>
        <v>6.654512761235179E-2</v>
      </c>
      <c r="F184" s="117" t="s">
        <v>328</v>
      </c>
    </row>
    <row r="185" spans="3:6" s="74" customFormat="1" x14ac:dyDescent="0.2">
      <c r="C185" s="74">
        <v>10</v>
      </c>
      <c r="D185" s="74">
        <v>8.5</v>
      </c>
      <c r="E185" s="114">
        <f t="shared" ca="1" si="27"/>
        <v>6.7253784849240453E-2</v>
      </c>
      <c r="F185" s="117" t="s">
        <v>328</v>
      </c>
    </row>
    <row r="186" spans="3:6" s="74" customFormat="1" x14ac:dyDescent="0.2">
      <c r="C186" s="74">
        <v>10</v>
      </c>
      <c r="D186" s="74">
        <v>8.6</v>
      </c>
      <c r="E186" s="114">
        <f t="shared" ca="1" si="27"/>
        <v>6.7963525984018558E-2</v>
      </c>
      <c r="F186" s="117" t="s">
        <v>328</v>
      </c>
    </row>
    <row r="187" spans="3:6" s="74" customFormat="1" x14ac:dyDescent="0.2">
      <c r="C187" s="74">
        <v>10</v>
      </c>
      <c r="D187" s="74">
        <v>8.6999999999999993</v>
      </c>
      <c r="E187" s="114">
        <f t="shared" ca="1" si="27"/>
        <v>6.8674359095922288E-2</v>
      </c>
      <c r="F187" s="117" t="s">
        <v>328</v>
      </c>
    </row>
    <row r="188" spans="3:6" s="74" customFormat="1" x14ac:dyDescent="0.2">
      <c r="C188" s="74">
        <v>10</v>
      </c>
      <c r="D188" s="74">
        <v>8.8000000000000007</v>
      </c>
      <c r="E188" s="114">
        <f t="shared" ca="1" si="27"/>
        <v>6.9386292264187924E-2</v>
      </c>
      <c r="F188" s="117" t="s">
        <v>328</v>
      </c>
    </row>
    <row r="189" spans="3:6" s="74" customFormat="1" x14ac:dyDescent="0.2">
      <c r="C189" s="74">
        <v>10</v>
      </c>
      <c r="D189" s="74">
        <v>8.9</v>
      </c>
      <c r="E189" s="114">
        <f t="shared" ca="1" si="27"/>
        <v>7.0099333568051606E-2</v>
      </c>
      <c r="F189" s="117" t="s">
        <v>328</v>
      </c>
    </row>
    <row r="190" spans="3:6" s="74" customFormat="1" x14ac:dyDescent="0.2">
      <c r="C190" s="74">
        <v>10</v>
      </c>
      <c r="D190" s="74">
        <v>9</v>
      </c>
      <c r="E190" s="114">
        <f t="shared" ca="1" si="27"/>
        <v>7.08134910867496E-2</v>
      </c>
      <c r="F190" s="117" t="s">
        <v>328</v>
      </c>
    </row>
    <row r="191" spans="3:6" s="74" customFormat="1" x14ac:dyDescent="0.2">
      <c r="C191" s="74">
        <v>10</v>
      </c>
      <c r="D191" s="74">
        <v>9.1</v>
      </c>
      <c r="E191" s="114">
        <f t="shared" ca="1" si="27"/>
        <v>7.1528772899518089E-2</v>
      </c>
      <c r="F191" s="117" t="s">
        <v>328</v>
      </c>
    </row>
    <row r="192" spans="3:6" s="74" customFormat="1" x14ac:dyDescent="0.2">
      <c r="C192" s="74">
        <v>10</v>
      </c>
      <c r="D192" s="74">
        <v>9.1999999999999993</v>
      </c>
      <c r="E192" s="114">
        <f t="shared" ca="1" si="27"/>
        <v>7.2245187085593313E-2</v>
      </c>
      <c r="F192" s="117" t="s">
        <v>328</v>
      </c>
    </row>
    <row r="193" spans="2:17" s="74" customFormat="1" x14ac:dyDescent="0.2">
      <c r="C193" s="74">
        <v>10</v>
      </c>
      <c r="D193" s="74">
        <v>9.3000000000000007</v>
      </c>
      <c r="E193" s="114">
        <f t="shared" ca="1" si="27"/>
        <v>7.296274172421148E-2</v>
      </c>
      <c r="F193" s="117" t="s">
        <v>328</v>
      </c>
    </row>
    <row r="194" spans="2:17" s="74" customFormat="1" x14ac:dyDescent="0.2">
      <c r="C194" s="74">
        <v>10</v>
      </c>
      <c r="D194" s="74">
        <v>9.4</v>
      </c>
      <c r="E194" s="114">
        <f t="shared" ca="1" si="27"/>
        <v>7.3681444894608802E-2</v>
      </c>
      <c r="F194" s="117" t="s">
        <v>328</v>
      </c>
    </row>
    <row r="195" spans="2:17" s="74" customFormat="1" x14ac:dyDescent="0.2">
      <c r="C195" s="74">
        <v>10</v>
      </c>
      <c r="D195" s="74">
        <v>9.5</v>
      </c>
      <c r="E195" s="114">
        <f t="shared" ca="1" si="27"/>
        <v>7.440130467602149E-2</v>
      </c>
      <c r="F195" s="117" t="s">
        <v>328</v>
      </c>
    </row>
    <row r="196" spans="2:17" s="74" customFormat="1" x14ac:dyDescent="0.2">
      <c r="C196" s="74">
        <v>10</v>
      </c>
      <c r="D196" s="74">
        <v>9.6</v>
      </c>
      <c r="E196" s="114">
        <f t="shared" ca="1" si="27"/>
        <v>7.5122329147685768E-2</v>
      </c>
      <c r="F196" s="117" t="s">
        <v>328</v>
      </c>
    </row>
    <row r="197" spans="2:17" s="74" customFormat="1" x14ac:dyDescent="0.2">
      <c r="C197" s="74">
        <v>10</v>
      </c>
      <c r="D197" s="74">
        <v>9.6999999999999993</v>
      </c>
      <c r="E197" s="114">
        <f t="shared" ca="1" si="27"/>
        <v>7.584452638883786E-2</v>
      </c>
      <c r="F197" s="117" t="s">
        <v>328</v>
      </c>
    </row>
    <row r="198" spans="2:17" s="74" customFormat="1" x14ac:dyDescent="0.2">
      <c r="C198" s="74">
        <v>10</v>
      </c>
      <c r="D198" s="74">
        <v>9.8000000000000007</v>
      </c>
      <c r="E198" s="114">
        <f t="shared" ca="1" si="27"/>
        <v>7.656790447871395E-2</v>
      </c>
      <c r="F198" s="117" t="s">
        <v>328</v>
      </c>
    </row>
    <row r="199" spans="2:17" s="74" customFormat="1" x14ac:dyDescent="0.2">
      <c r="C199" s="74">
        <v>10</v>
      </c>
      <c r="D199" s="74">
        <v>9.9</v>
      </c>
      <c r="E199" s="114">
        <f t="shared" ca="1" si="27"/>
        <v>7.7292471496550288E-2</v>
      </c>
      <c r="F199" s="117" t="s">
        <v>328</v>
      </c>
    </row>
    <row r="200" spans="2:17" s="74" customFormat="1" x14ac:dyDescent="0.2">
      <c r="B200" s="74">
        <v>10</v>
      </c>
      <c r="C200" s="74">
        <v>30</v>
      </c>
      <c r="D200" s="74">
        <v>10</v>
      </c>
      <c r="E200" s="114">
        <f t="shared" ca="1" si="27"/>
        <v>7.2977427273393639E-2</v>
      </c>
      <c r="F200" s="117">
        <v>6.7430707199999995E-2</v>
      </c>
      <c r="G200" s="117">
        <f ca="1">F200-E200</f>
        <v>-5.5467200733936434E-3</v>
      </c>
      <c r="H200" s="117">
        <f ca="1">INDIRECT("a_" &amp; i_1) * t^3 + INDIRECT("b_" &amp; i_1) * t^2 + INDIRECT("c_" &amp; i_1) * t^1 + INDIRECT("d_" &amp; i_1)</f>
        <v>7.8018235521583074E-2</v>
      </c>
      <c r="I200" s="117">
        <f ca="1">H200-E200</f>
        <v>5.0408082481894351E-3</v>
      </c>
      <c r="K200" s="119"/>
      <c r="Q200" s="119"/>
    </row>
    <row r="201" spans="2:17" s="74" customFormat="1" x14ac:dyDescent="0.2">
      <c r="C201" s="74">
        <v>30</v>
      </c>
      <c r="D201" s="74">
        <v>10.1</v>
      </c>
      <c r="E201" s="114">
        <f t="shared" ca="1" si="27"/>
        <v>7.3789944503083627E-2</v>
      </c>
      <c r="F201" s="117" t="s">
        <v>328</v>
      </c>
    </row>
    <row r="202" spans="2:17" s="74" customFormat="1" x14ac:dyDescent="0.2">
      <c r="C202" s="74">
        <v>30</v>
      </c>
      <c r="D202" s="74">
        <v>10.199999999999999</v>
      </c>
      <c r="E202" s="114">
        <f t="shared" ca="1" si="27"/>
        <v>7.4602217691051312E-2</v>
      </c>
      <c r="F202" s="117" t="s">
        <v>328</v>
      </c>
    </row>
    <row r="203" spans="2:17" s="74" customFormat="1" x14ac:dyDescent="0.2">
      <c r="C203" s="74">
        <v>30</v>
      </c>
      <c r="D203" s="74">
        <v>10.3</v>
      </c>
      <c r="E203" s="114">
        <f t="shared" ca="1" si="27"/>
        <v>7.5414132139774756E-2</v>
      </c>
      <c r="F203" s="117" t="s">
        <v>328</v>
      </c>
    </row>
    <row r="204" spans="2:17" s="74" customFormat="1" x14ac:dyDescent="0.2">
      <c r="C204" s="74">
        <v>30</v>
      </c>
      <c r="D204" s="74">
        <v>10.4</v>
      </c>
      <c r="E204" s="114">
        <f t="shared" ca="1" si="27"/>
        <v>7.6225573151732048E-2</v>
      </c>
      <c r="F204" s="117" t="s">
        <v>328</v>
      </c>
    </row>
    <row r="205" spans="2:17" s="74" customFormat="1" x14ac:dyDescent="0.2">
      <c r="C205" s="74">
        <v>30</v>
      </c>
      <c r="D205" s="74">
        <v>10.5</v>
      </c>
      <c r="E205" s="114">
        <f t="shared" ca="1" si="27"/>
        <v>7.7036426029401278E-2</v>
      </c>
      <c r="F205" s="117" t="s">
        <v>328</v>
      </c>
    </row>
    <row r="206" spans="2:17" s="74" customFormat="1" x14ac:dyDescent="0.2">
      <c r="C206" s="74">
        <v>30</v>
      </c>
      <c r="D206" s="74">
        <v>10.6</v>
      </c>
      <c r="E206" s="114">
        <f t="shared" ca="1" si="27"/>
        <v>7.7846576075260535E-2</v>
      </c>
      <c r="F206" s="117" t="s">
        <v>328</v>
      </c>
    </row>
    <row r="207" spans="2:17" s="74" customFormat="1" x14ac:dyDescent="0.2">
      <c r="C207" s="74">
        <v>30</v>
      </c>
      <c r="D207" s="74">
        <v>10.7</v>
      </c>
      <c r="E207" s="114">
        <f t="shared" ca="1" si="27"/>
        <v>7.8655908591787865E-2</v>
      </c>
      <c r="F207" s="117" t="s">
        <v>328</v>
      </c>
    </row>
    <row r="208" spans="2:17" s="74" customFormat="1" x14ac:dyDescent="0.2">
      <c r="C208" s="74">
        <v>30</v>
      </c>
      <c r="D208" s="74">
        <v>10.8</v>
      </c>
      <c r="E208" s="114">
        <f t="shared" ca="1" si="27"/>
        <v>7.9464308881461415E-2</v>
      </c>
      <c r="F208" s="117" t="s">
        <v>328</v>
      </c>
    </row>
    <row r="209" spans="3:6" s="74" customFormat="1" x14ac:dyDescent="0.2">
      <c r="C209" s="74">
        <v>30</v>
      </c>
      <c r="D209" s="74">
        <v>10.9</v>
      </c>
      <c r="E209" s="114">
        <f t="shared" ca="1" si="27"/>
        <v>8.0271662246759204E-2</v>
      </c>
      <c r="F209" s="117" t="s">
        <v>328</v>
      </c>
    </row>
    <row r="210" spans="3:6" s="74" customFormat="1" x14ac:dyDescent="0.2">
      <c r="C210" s="74">
        <v>30</v>
      </c>
      <c r="D210" s="74">
        <v>11</v>
      </c>
      <c r="E210" s="114">
        <f t="shared" ca="1" si="27"/>
        <v>8.1077853990159363E-2</v>
      </c>
      <c r="F210" s="117" t="s">
        <v>328</v>
      </c>
    </row>
    <row r="211" spans="3:6" s="74" customFormat="1" x14ac:dyDescent="0.2">
      <c r="C211" s="74">
        <v>30</v>
      </c>
      <c r="D211" s="74">
        <v>11.1</v>
      </c>
      <c r="E211" s="114">
        <f t="shared" ca="1" si="27"/>
        <v>8.1882769414139939E-2</v>
      </c>
      <c r="F211" s="117" t="s">
        <v>328</v>
      </c>
    </row>
    <row r="212" spans="3:6" s="74" customFormat="1" x14ac:dyDescent="0.2">
      <c r="C212" s="74">
        <v>30</v>
      </c>
      <c r="D212" s="74">
        <v>11.2</v>
      </c>
      <c r="E212" s="114">
        <f t="shared" ca="1" si="27"/>
        <v>8.2686293821179035E-2</v>
      </c>
      <c r="F212" s="117" t="s">
        <v>328</v>
      </c>
    </row>
    <row r="213" spans="3:6" s="74" customFormat="1" x14ac:dyDescent="0.2">
      <c r="C213" s="74">
        <v>30</v>
      </c>
      <c r="D213" s="74">
        <v>11.3</v>
      </c>
      <c r="E213" s="114">
        <f t="shared" ca="1" si="27"/>
        <v>8.3488312513754714E-2</v>
      </c>
      <c r="F213" s="117" t="s">
        <v>328</v>
      </c>
    </row>
    <row r="214" spans="3:6" s="74" customFormat="1" x14ac:dyDescent="0.2">
      <c r="C214" s="74">
        <v>30</v>
      </c>
      <c r="D214" s="74">
        <v>11.4</v>
      </c>
      <c r="E214" s="114">
        <f t="shared" ca="1" si="27"/>
        <v>8.4288710794345093E-2</v>
      </c>
      <c r="F214" s="117" t="s">
        <v>328</v>
      </c>
    </row>
    <row r="215" spans="3:6" s="74" customFormat="1" x14ac:dyDescent="0.2">
      <c r="C215" s="74">
        <v>30</v>
      </c>
      <c r="D215" s="74">
        <v>11.5</v>
      </c>
      <c r="E215" s="114">
        <f t="shared" ca="1" si="27"/>
        <v>8.5087373965428217E-2</v>
      </c>
      <c r="F215" s="117" t="s">
        <v>328</v>
      </c>
    </row>
    <row r="216" spans="3:6" s="74" customFormat="1" x14ac:dyDescent="0.2">
      <c r="C216" s="74">
        <v>30</v>
      </c>
      <c r="D216" s="74">
        <v>11.6</v>
      </c>
      <c r="E216" s="114">
        <f t="shared" ca="1" si="27"/>
        <v>8.5884187329482192E-2</v>
      </c>
      <c r="F216" s="117" t="s">
        <v>328</v>
      </c>
    </row>
    <row r="217" spans="3:6" s="74" customFormat="1" x14ac:dyDescent="0.2">
      <c r="C217" s="74">
        <v>30</v>
      </c>
      <c r="D217" s="74">
        <v>11.7</v>
      </c>
      <c r="E217" s="114">
        <f t="shared" ca="1" si="27"/>
        <v>8.6679036188985106E-2</v>
      </c>
      <c r="F217" s="117" t="s">
        <v>328</v>
      </c>
    </row>
    <row r="218" spans="3:6" s="74" customFormat="1" x14ac:dyDescent="0.2">
      <c r="C218" s="74">
        <v>30</v>
      </c>
      <c r="D218" s="74">
        <v>11.8</v>
      </c>
      <c r="E218" s="114">
        <f t="shared" ca="1" si="27"/>
        <v>8.7471805846415035E-2</v>
      </c>
      <c r="F218" s="117" t="s">
        <v>328</v>
      </c>
    </row>
    <row r="219" spans="3:6" s="74" customFormat="1" x14ac:dyDescent="0.2">
      <c r="C219" s="74">
        <v>30</v>
      </c>
      <c r="D219" s="74">
        <v>11.9</v>
      </c>
      <c r="E219" s="114">
        <f t="shared" ca="1" si="27"/>
        <v>8.826238160425004E-2</v>
      </c>
      <c r="F219" s="117" t="s">
        <v>328</v>
      </c>
    </row>
    <row r="220" spans="3:6" s="74" customFormat="1" x14ac:dyDescent="0.2">
      <c r="C220" s="74">
        <v>30</v>
      </c>
      <c r="D220" s="74">
        <v>12</v>
      </c>
      <c r="E220" s="114">
        <f t="shared" ca="1" si="27"/>
        <v>8.9050648764968238E-2</v>
      </c>
      <c r="F220" s="117" t="s">
        <v>328</v>
      </c>
    </row>
    <row r="221" spans="3:6" s="74" customFormat="1" x14ac:dyDescent="0.2">
      <c r="C221" s="74">
        <v>30</v>
      </c>
      <c r="D221" s="74">
        <v>12.1</v>
      </c>
      <c r="E221" s="114">
        <f t="shared" ca="1" si="27"/>
        <v>8.983649263104769E-2</v>
      </c>
      <c r="F221" s="117" t="s">
        <v>328</v>
      </c>
    </row>
    <row r="222" spans="3:6" s="74" customFormat="1" x14ac:dyDescent="0.2">
      <c r="C222" s="74">
        <v>30</v>
      </c>
      <c r="D222" s="74">
        <v>12.2</v>
      </c>
      <c r="E222" s="114">
        <f t="shared" ca="1" si="27"/>
        <v>9.0619798504966487E-2</v>
      </c>
      <c r="F222" s="117" t="s">
        <v>328</v>
      </c>
    </row>
    <row r="223" spans="3:6" s="74" customFormat="1" x14ac:dyDescent="0.2">
      <c r="C223" s="74">
        <v>30</v>
      </c>
      <c r="D223" s="74">
        <v>12.3</v>
      </c>
      <c r="E223" s="114">
        <f t="shared" ca="1" si="27"/>
        <v>9.1400451689202716E-2</v>
      </c>
      <c r="F223" s="117" t="s">
        <v>328</v>
      </c>
    </row>
    <row r="224" spans="3:6" s="74" customFormat="1" x14ac:dyDescent="0.2">
      <c r="C224" s="74">
        <v>30</v>
      </c>
      <c r="D224" s="74">
        <v>12.4</v>
      </c>
      <c r="E224" s="114">
        <f t="shared" ca="1" si="27"/>
        <v>9.2178337486234441E-2</v>
      </c>
      <c r="F224" s="117" t="s">
        <v>328</v>
      </c>
    </row>
    <row r="225" spans="3:6" s="74" customFormat="1" x14ac:dyDescent="0.2">
      <c r="C225" s="74">
        <v>30</v>
      </c>
      <c r="D225" s="74">
        <v>12.5</v>
      </c>
      <c r="E225" s="114">
        <f t="shared" ca="1" si="27"/>
        <v>9.2953341198539763E-2</v>
      </c>
      <c r="F225" s="117" t="s">
        <v>328</v>
      </c>
    </row>
    <row r="226" spans="3:6" s="74" customFormat="1" x14ac:dyDescent="0.2">
      <c r="C226" s="74">
        <v>30</v>
      </c>
      <c r="D226" s="74">
        <v>12.6</v>
      </c>
      <c r="E226" s="114">
        <f t="shared" ca="1" si="27"/>
        <v>9.3725348128596758E-2</v>
      </c>
      <c r="F226" s="117" t="s">
        <v>328</v>
      </c>
    </row>
    <row r="227" spans="3:6" s="74" customFormat="1" x14ac:dyDescent="0.2">
      <c r="C227" s="74">
        <v>30</v>
      </c>
      <c r="D227" s="74">
        <v>12.7</v>
      </c>
      <c r="E227" s="114">
        <f t="shared" ca="1" si="27"/>
        <v>9.4494243578883502E-2</v>
      </c>
      <c r="F227" s="117" t="s">
        <v>328</v>
      </c>
    </row>
    <row r="228" spans="3:6" s="74" customFormat="1" x14ac:dyDescent="0.2">
      <c r="C228" s="74">
        <v>30</v>
      </c>
      <c r="D228" s="74">
        <v>12.8</v>
      </c>
      <c r="E228" s="114">
        <f t="shared" ref="E228:E291" ca="1" si="28">INDIRECT("a_" &amp; i) * t^3 + INDIRECT("b_" &amp; i) * t^2 + INDIRECT("c_" &amp; i) * t^1 + INDIRECT("d_" &amp; i)</f>
        <v>9.5259912851878126E-2</v>
      </c>
      <c r="F228" s="117" t="s">
        <v>328</v>
      </c>
    </row>
    <row r="229" spans="3:6" s="74" customFormat="1" x14ac:dyDescent="0.2">
      <c r="C229" s="74">
        <v>30</v>
      </c>
      <c r="D229" s="74">
        <v>12.9</v>
      </c>
      <c r="E229" s="114">
        <f t="shared" ca="1" si="28"/>
        <v>9.6022241250058621E-2</v>
      </c>
      <c r="F229" s="117" t="s">
        <v>328</v>
      </c>
    </row>
    <row r="230" spans="3:6" s="74" customFormat="1" x14ac:dyDescent="0.2">
      <c r="C230" s="74">
        <v>30</v>
      </c>
      <c r="D230" s="74">
        <v>13</v>
      </c>
      <c r="E230" s="114">
        <f t="shared" ca="1" si="28"/>
        <v>9.6781114075903146E-2</v>
      </c>
      <c r="F230" s="117" t="s">
        <v>328</v>
      </c>
    </row>
    <row r="231" spans="3:6" s="74" customFormat="1" x14ac:dyDescent="0.2">
      <c r="C231" s="74">
        <v>30</v>
      </c>
      <c r="D231" s="74">
        <v>13.1</v>
      </c>
      <c r="E231" s="114">
        <f t="shared" ca="1" si="28"/>
        <v>9.753641663188975E-2</v>
      </c>
      <c r="F231" s="117" t="s">
        <v>328</v>
      </c>
    </row>
    <row r="232" spans="3:6" s="74" customFormat="1" x14ac:dyDescent="0.2">
      <c r="C232" s="74">
        <v>30</v>
      </c>
      <c r="D232" s="74">
        <v>13.2</v>
      </c>
      <c r="E232" s="114">
        <f t="shared" ca="1" si="28"/>
        <v>9.8288034220496534E-2</v>
      </c>
      <c r="F232" s="117" t="s">
        <v>328</v>
      </c>
    </row>
    <row r="233" spans="3:6" s="74" customFormat="1" x14ac:dyDescent="0.2">
      <c r="C233" s="74">
        <v>30</v>
      </c>
      <c r="D233" s="74">
        <v>13.3</v>
      </c>
      <c r="E233" s="114">
        <f t="shared" ca="1" si="28"/>
        <v>9.9035852144201575E-2</v>
      </c>
      <c r="F233" s="117" t="s">
        <v>328</v>
      </c>
    </row>
    <row r="234" spans="3:6" s="74" customFormat="1" x14ac:dyDescent="0.2">
      <c r="C234" s="74">
        <v>30</v>
      </c>
      <c r="D234" s="74">
        <v>13.4</v>
      </c>
      <c r="E234" s="114">
        <f t="shared" ca="1" si="28"/>
        <v>9.9779755705482948E-2</v>
      </c>
      <c r="F234" s="117" t="s">
        <v>328</v>
      </c>
    </row>
    <row r="235" spans="3:6" s="74" customFormat="1" x14ac:dyDescent="0.2">
      <c r="C235" s="74">
        <v>30</v>
      </c>
      <c r="D235" s="74">
        <v>13.5</v>
      </c>
      <c r="E235" s="114">
        <f t="shared" ca="1" si="28"/>
        <v>0.10051963020681876</v>
      </c>
      <c r="F235" s="117" t="s">
        <v>328</v>
      </c>
    </row>
    <row r="236" spans="3:6" s="74" customFormat="1" x14ac:dyDescent="0.2">
      <c r="C236" s="74">
        <v>30</v>
      </c>
      <c r="D236" s="74">
        <v>13.6</v>
      </c>
      <c r="E236" s="114">
        <f t="shared" ca="1" si="28"/>
        <v>0.10125536095068705</v>
      </c>
      <c r="F236" s="117" t="s">
        <v>328</v>
      </c>
    </row>
    <row r="237" spans="3:6" s="74" customFormat="1" x14ac:dyDescent="0.2">
      <c r="C237" s="74">
        <v>30</v>
      </c>
      <c r="D237" s="74">
        <v>13.7</v>
      </c>
      <c r="E237" s="114">
        <f t="shared" ca="1" si="28"/>
        <v>0.10198683323956592</v>
      </c>
      <c r="F237" s="117" t="s">
        <v>328</v>
      </c>
    </row>
    <row r="238" spans="3:6" s="74" customFormat="1" x14ac:dyDescent="0.2">
      <c r="C238" s="74">
        <v>30</v>
      </c>
      <c r="D238" s="74">
        <v>13.8</v>
      </c>
      <c r="E238" s="114">
        <f t="shared" ca="1" si="28"/>
        <v>0.1027139323759335</v>
      </c>
      <c r="F238" s="117" t="s">
        <v>328</v>
      </c>
    </row>
    <row r="239" spans="3:6" s="74" customFormat="1" x14ac:dyDescent="0.2">
      <c r="C239" s="74">
        <v>30</v>
      </c>
      <c r="D239" s="74">
        <v>13.9</v>
      </c>
      <c r="E239" s="114">
        <f t="shared" ca="1" si="28"/>
        <v>0.1034365436622678</v>
      </c>
      <c r="F239" s="117" t="s">
        <v>328</v>
      </c>
    </row>
    <row r="240" spans="3:6" s="74" customFormat="1" x14ac:dyDescent="0.2">
      <c r="C240" s="74">
        <v>30</v>
      </c>
      <c r="D240" s="74">
        <v>14</v>
      </c>
      <c r="E240" s="114">
        <f t="shared" ca="1" si="28"/>
        <v>0.10415455240104693</v>
      </c>
      <c r="F240" s="117" t="s">
        <v>328</v>
      </c>
    </row>
    <row r="241" spans="3:6" s="74" customFormat="1" x14ac:dyDescent="0.2">
      <c r="C241" s="74">
        <v>30</v>
      </c>
      <c r="D241" s="74">
        <v>14.1</v>
      </c>
      <c r="E241" s="114">
        <f t="shared" ca="1" si="28"/>
        <v>0.10486784389474899</v>
      </c>
      <c r="F241" s="117" t="s">
        <v>328</v>
      </c>
    </row>
    <row r="242" spans="3:6" s="74" customFormat="1" x14ac:dyDescent="0.2">
      <c r="C242" s="74">
        <v>30</v>
      </c>
      <c r="D242" s="74">
        <v>14.2</v>
      </c>
      <c r="E242" s="114">
        <f t="shared" ca="1" si="28"/>
        <v>0.10557630344585203</v>
      </c>
      <c r="F242" s="117" t="s">
        <v>328</v>
      </c>
    </row>
    <row r="243" spans="3:6" s="74" customFormat="1" x14ac:dyDescent="0.2">
      <c r="C243" s="74">
        <v>30</v>
      </c>
      <c r="D243" s="74">
        <v>14.3</v>
      </c>
      <c r="E243" s="114">
        <f t="shared" ca="1" si="28"/>
        <v>0.1062798163568342</v>
      </c>
      <c r="F243" s="117" t="s">
        <v>328</v>
      </c>
    </row>
    <row r="244" spans="3:6" s="74" customFormat="1" x14ac:dyDescent="0.2">
      <c r="C244" s="74">
        <v>30</v>
      </c>
      <c r="D244" s="74">
        <v>14.4</v>
      </c>
      <c r="E244" s="114">
        <f t="shared" ca="1" si="28"/>
        <v>0.1069782679301735</v>
      </c>
      <c r="F244" s="117" t="s">
        <v>328</v>
      </c>
    </row>
    <row r="245" spans="3:6" s="74" customFormat="1" x14ac:dyDescent="0.2">
      <c r="C245" s="74">
        <v>30</v>
      </c>
      <c r="D245" s="74">
        <v>14.5</v>
      </c>
      <c r="E245" s="114">
        <f t="shared" ca="1" si="28"/>
        <v>0.10767154346834806</v>
      </c>
      <c r="F245" s="117" t="s">
        <v>328</v>
      </c>
    </row>
    <row r="246" spans="3:6" s="74" customFormat="1" x14ac:dyDescent="0.2">
      <c r="C246" s="74">
        <v>30</v>
      </c>
      <c r="D246" s="74">
        <v>14.6</v>
      </c>
      <c r="E246" s="114">
        <f t="shared" ca="1" si="28"/>
        <v>0.10835952827383594</v>
      </c>
      <c r="F246" s="117" t="s">
        <v>328</v>
      </c>
    </row>
    <row r="247" spans="3:6" s="74" customFormat="1" x14ac:dyDescent="0.2">
      <c r="C247" s="74">
        <v>30</v>
      </c>
      <c r="D247" s="74">
        <v>14.7</v>
      </c>
      <c r="E247" s="114">
        <f t="shared" ca="1" si="28"/>
        <v>0.10904210764911523</v>
      </c>
      <c r="F247" s="117" t="s">
        <v>328</v>
      </c>
    </row>
    <row r="248" spans="3:6" s="74" customFormat="1" x14ac:dyDescent="0.2">
      <c r="C248" s="74">
        <v>30</v>
      </c>
      <c r="D248" s="74">
        <v>14.8</v>
      </c>
      <c r="E248" s="114">
        <f t="shared" ca="1" si="28"/>
        <v>0.10971916689666406</v>
      </c>
      <c r="F248" s="117" t="s">
        <v>328</v>
      </c>
    </row>
    <row r="249" spans="3:6" s="74" customFormat="1" x14ac:dyDescent="0.2">
      <c r="C249" s="74">
        <v>30</v>
      </c>
      <c r="D249" s="74">
        <v>14.9</v>
      </c>
      <c r="E249" s="114">
        <f t="shared" ca="1" si="28"/>
        <v>0.11039059131896042</v>
      </c>
      <c r="F249" s="117" t="s">
        <v>328</v>
      </c>
    </row>
    <row r="250" spans="3:6" s="74" customFormat="1" x14ac:dyDescent="0.2">
      <c r="C250" s="74">
        <v>30</v>
      </c>
      <c r="D250" s="74">
        <v>15</v>
      </c>
      <c r="E250" s="114">
        <f t="shared" ca="1" si="28"/>
        <v>0.11105626621848246</v>
      </c>
      <c r="F250" s="117" t="s">
        <v>328</v>
      </c>
    </row>
    <row r="251" spans="3:6" s="74" customFormat="1" x14ac:dyDescent="0.2">
      <c r="C251" s="74">
        <v>30</v>
      </c>
      <c r="D251" s="74">
        <v>15.1</v>
      </c>
      <c r="E251" s="114">
        <f t="shared" ca="1" si="28"/>
        <v>0.11171607689770825</v>
      </c>
      <c r="F251" s="117" t="s">
        <v>328</v>
      </c>
    </row>
    <row r="252" spans="3:6" s="74" customFormat="1" x14ac:dyDescent="0.2">
      <c r="C252" s="74">
        <v>30</v>
      </c>
      <c r="D252" s="74">
        <v>15.2</v>
      </c>
      <c r="E252" s="114">
        <f t="shared" ca="1" si="28"/>
        <v>0.11236990865911584</v>
      </c>
      <c r="F252" s="117" t="s">
        <v>328</v>
      </c>
    </row>
    <row r="253" spans="3:6" s="74" customFormat="1" x14ac:dyDescent="0.2">
      <c r="C253" s="74">
        <v>30</v>
      </c>
      <c r="D253" s="74">
        <v>15.3</v>
      </c>
      <c r="E253" s="114">
        <f t="shared" ca="1" si="28"/>
        <v>0.11301764680518339</v>
      </c>
      <c r="F253" s="117" t="s">
        <v>328</v>
      </c>
    </row>
    <row r="254" spans="3:6" s="74" customFormat="1" x14ac:dyDescent="0.2">
      <c r="C254" s="74">
        <v>30</v>
      </c>
      <c r="D254" s="74">
        <v>15.4</v>
      </c>
      <c r="E254" s="114">
        <f t="shared" ca="1" si="28"/>
        <v>0.11365917663838893</v>
      </c>
      <c r="F254" s="117" t="s">
        <v>328</v>
      </c>
    </row>
    <row r="255" spans="3:6" s="74" customFormat="1" x14ac:dyDescent="0.2">
      <c r="C255" s="74">
        <v>30</v>
      </c>
      <c r="D255" s="74">
        <v>15.5</v>
      </c>
      <c r="E255" s="114">
        <f t="shared" ca="1" si="28"/>
        <v>0.1142943834612105</v>
      </c>
      <c r="F255" s="117" t="s">
        <v>328</v>
      </c>
    </row>
    <row r="256" spans="3:6" s="74" customFormat="1" x14ac:dyDescent="0.2">
      <c r="C256" s="74">
        <v>30</v>
      </c>
      <c r="D256" s="74">
        <v>15.6</v>
      </c>
      <c r="E256" s="114">
        <f t="shared" ca="1" si="28"/>
        <v>0.11492315257612626</v>
      </c>
      <c r="F256" s="117" t="s">
        <v>328</v>
      </c>
    </row>
    <row r="257" spans="3:6" s="74" customFormat="1" x14ac:dyDescent="0.2">
      <c r="C257" s="74">
        <v>30</v>
      </c>
      <c r="D257" s="74">
        <v>15.7</v>
      </c>
      <c r="E257" s="114">
        <f t="shared" ca="1" si="28"/>
        <v>0.11554536928561428</v>
      </c>
      <c r="F257" s="117" t="s">
        <v>328</v>
      </c>
    </row>
    <row r="258" spans="3:6" s="74" customFormat="1" x14ac:dyDescent="0.2">
      <c r="C258" s="74">
        <v>30</v>
      </c>
      <c r="D258" s="74">
        <v>15.8</v>
      </c>
      <c r="E258" s="114">
        <f t="shared" ca="1" si="28"/>
        <v>0.1161609188921526</v>
      </c>
      <c r="F258" s="117" t="s">
        <v>328</v>
      </c>
    </row>
    <row r="259" spans="3:6" s="74" customFormat="1" x14ac:dyDescent="0.2">
      <c r="C259" s="74">
        <v>30</v>
      </c>
      <c r="D259" s="74">
        <v>15.9</v>
      </c>
      <c r="E259" s="114">
        <f t="shared" ca="1" si="28"/>
        <v>0.11676968669821933</v>
      </c>
      <c r="F259" s="117" t="s">
        <v>328</v>
      </c>
    </row>
    <row r="260" spans="3:6" s="74" customFormat="1" x14ac:dyDescent="0.2">
      <c r="C260" s="74">
        <v>30</v>
      </c>
      <c r="D260" s="74">
        <v>16</v>
      </c>
      <c r="E260" s="114">
        <f t="shared" ca="1" si="28"/>
        <v>0.11737155800629256</v>
      </c>
      <c r="F260" s="117" t="s">
        <v>328</v>
      </c>
    </row>
    <row r="261" spans="3:6" s="74" customFormat="1" x14ac:dyDescent="0.2">
      <c r="C261" s="74">
        <v>30</v>
      </c>
      <c r="D261" s="74">
        <v>16.100000000000001</v>
      </c>
      <c r="E261" s="114">
        <f t="shared" ca="1" si="28"/>
        <v>0.11796641811885036</v>
      </c>
      <c r="F261" s="117" t="s">
        <v>328</v>
      </c>
    </row>
    <row r="262" spans="3:6" s="74" customFormat="1" x14ac:dyDescent="0.2">
      <c r="C262" s="74">
        <v>30</v>
      </c>
      <c r="D262" s="74">
        <v>16.2</v>
      </c>
      <c r="E262" s="114">
        <f t="shared" ca="1" si="28"/>
        <v>0.11855415233837081</v>
      </c>
      <c r="F262" s="117" t="s">
        <v>328</v>
      </c>
    </row>
    <row r="263" spans="3:6" s="74" customFormat="1" x14ac:dyDescent="0.2">
      <c r="C263" s="74">
        <v>30</v>
      </c>
      <c r="D263" s="74">
        <v>16.3</v>
      </c>
      <c r="E263" s="114">
        <f t="shared" ca="1" si="28"/>
        <v>0.11913464596733202</v>
      </c>
      <c r="F263" s="117" t="s">
        <v>328</v>
      </c>
    </row>
    <row r="264" spans="3:6" s="74" customFormat="1" x14ac:dyDescent="0.2">
      <c r="C264" s="74">
        <v>30</v>
      </c>
      <c r="D264" s="74">
        <v>16.399999999999999</v>
      </c>
      <c r="E264" s="114">
        <f t="shared" ca="1" si="28"/>
        <v>0.11970778430821202</v>
      </c>
      <c r="F264" s="117" t="s">
        <v>328</v>
      </c>
    </row>
    <row r="265" spans="3:6" s="74" customFormat="1" x14ac:dyDescent="0.2">
      <c r="C265" s="74">
        <v>30</v>
      </c>
      <c r="D265" s="74">
        <v>16.5</v>
      </c>
      <c r="E265" s="114">
        <f t="shared" ca="1" si="28"/>
        <v>0.12027345266348898</v>
      </c>
      <c r="F265" s="117" t="s">
        <v>328</v>
      </c>
    </row>
    <row r="266" spans="3:6" s="74" customFormat="1" x14ac:dyDescent="0.2">
      <c r="C266" s="74">
        <v>30</v>
      </c>
      <c r="D266" s="74">
        <v>16.600000000000001</v>
      </c>
      <c r="E266" s="114">
        <f t="shared" ca="1" si="28"/>
        <v>0.12083153633564091</v>
      </c>
      <c r="F266" s="117" t="s">
        <v>328</v>
      </c>
    </row>
    <row r="267" spans="3:6" s="74" customFormat="1" x14ac:dyDescent="0.2">
      <c r="C267" s="74">
        <v>30</v>
      </c>
      <c r="D267" s="74">
        <v>16.7</v>
      </c>
      <c r="E267" s="114">
        <f t="shared" ca="1" si="28"/>
        <v>0.12138192062714587</v>
      </c>
      <c r="F267" s="117" t="s">
        <v>328</v>
      </c>
    </row>
    <row r="268" spans="3:6" s="74" customFormat="1" x14ac:dyDescent="0.2">
      <c r="C268" s="74">
        <v>30</v>
      </c>
      <c r="D268" s="74">
        <v>16.8</v>
      </c>
      <c r="E268" s="114">
        <f t="shared" ca="1" si="28"/>
        <v>0.12192449084048201</v>
      </c>
      <c r="F268" s="117" t="s">
        <v>328</v>
      </c>
    </row>
    <row r="269" spans="3:6" s="74" customFormat="1" x14ac:dyDescent="0.2">
      <c r="C269" s="74">
        <v>30</v>
      </c>
      <c r="D269" s="74">
        <v>16.899999999999999</v>
      </c>
      <c r="E269" s="114">
        <f t="shared" ca="1" si="28"/>
        <v>0.12245913227812737</v>
      </c>
      <c r="F269" s="117" t="s">
        <v>328</v>
      </c>
    </row>
    <row r="270" spans="3:6" s="74" customFormat="1" x14ac:dyDescent="0.2">
      <c r="C270" s="74">
        <v>30</v>
      </c>
      <c r="D270" s="74">
        <v>17</v>
      </c>
      <c r="E270" s="114">
        <f t="shared" ca="1" si="28"/>
        <v>0.1229857302425601</v>
      </c>
      <c r="F270" s="117" t="s">
        <v>328</v>
      </c>
    </row>
    <row r="271" spans="3:6" s="74" customFormat="1" x14ac:dyDescent="0.2">
      <c r="C271" s="74">
        <v>30</v>
      </c>
      <c r="D271" s="74">
        <v>17.100000000000001</v>
      </c>
      <c r="E271" s="114">
        <f t="shared" ca="1" si="28"/>
        <v>0.12350417003625819</v>
      </c>
      <c r="F271" s="117" t="s">
        <v>328</v>
      </c>
    </row>
    <row r="272" spans="3:6" s="74" customFormat="1" x14ac:dyDescent="0.2">
      <c r="C272" s="74">
        <v>30</v>
      </c>
      <c r="D272" s="74">
        <v>17.2</v>
      </c>
      <c r="E272" s="114">
        <f t="shared" ca="1" si="28"/>
        <v>0.12401433696169978</v>
      </c>
      <c r="F272" s="117" t="s">
        <v>328</v>
      </c>
    </row>
    <row r="273" spans="3:6" s="74" customFormat="1" x14ac:dyDescent="0.2">
      <c r="C273" s="74">
        <v>30</v>
      </c>
      <c r="D273" s="74">
        <v>17.3</v>
      </c>
      <c r="E273" s="114">
        <f t="shared" ca="1" si="28"/>
        <v>0.12451611632136295</v>
      </c>
      <c r="F273" s="117" t="s">
        <v>328</v>
      </c>
    </row>
    <row r="274" spans="3:6" s="74" customFormat="1" x14ac:dyDescent="0.2">
      <c r="C274" s="74">
        <v>30</v>
      </c>
      <c r="D274" s="74">
        <v>17.399999999999999</v>
      </c>
      <c r="E274" s="114">
        <f t="shared" ca="1" si="28"/>
        <v>0.12500939341772571</v>
      </c>
      <c r="F274" s="117" t="s">
        <v>328</v>
      </c>
    </row>
    <row r="275" spans="3:6" s="74" customFormat="1" x14ac:dyDescent="0.2">
      <c r="C275" s="74">
        <v>30</v>
      </c>
      <c r="D275" s="74">
        <v>17.5</v>
      </c>
      <c r="E275" s="114">
        <f t="shared" ca="1" si="28"/>
        <v>0.12549405355326629</v>
      </c>
      <c r="F275" s="117" t="s">
        <v>328</v>
      </c>
    </row>
    <row r="276" spans="3:6" s="74" customFormat="1" x14ac:dyDescent="0.2">
      <c r="C276" s="74">
        <v>30</v>
      </c>
      <c r="D276" s="74">
        <v>17.600000000000001</v>
      </c>
      <c r="E276" s="114">
        <f t="shared" ca="1" si="28"/>
        <v>0.12596998203046264</v>
      </c>
      <c r="F276" s="117" t="s">
        <v>328</v>
      </c>
    </row>
    <row r="277" spans="3:6" s="74" customFormat="1" x14ac:dyDescent="0.2">
      <c r="C277" s="74">
        <v>30</v>
      </c>
      <c r="D277" s="74">
        <v>17.7</v>
      </c>
      <c r="E277" s="114">
        <f t="shared" ca="1" si="28"/>
        <v>0.1264370641517929</v>
      </c>
      <c r="F277" s="117" t="s">
        <v>328</v>
      </c>
    </row>
    <row r="278" spans="3:6" s="74" customFormat="1" x14ac:dyDescent="0.2">
      <c r="C278" s="74">
        <v>30</v>
      </c>
      <c r="D278" s="74">
        <v>17.8</v>
      </c>
      <c r="E278" s="114">
        <f t="shared" ca="1" si="28"/>
        <v>0.12689518521973514</v>
      </c>
      <c r="F278" s="117" t="s">
        <v>328</v>
      </c>
    </row>
    <row r="279" spans="3:6" s="74" customFormat="1" x14ac:dyDescent="0.2">
      <c r="C279" s="74">
        <v>30</v>
      </c>
      <c r="D279" s="74">
        <v>17.899999999999999</v>
      </c>
      <c r="E279" s="114">
        <f t="shared" ca="1" si="28"/>
        <v>0.12734423053676747</v>
      </c>
      <c r="F279" s="117" t="s">
        <v>328</v>
      </c>
    </row>
    <row r="280" spans="3:6" s="74" customFormat="1" x14ac:dyDescent="0.2">
      <c r="C280" s="74">
        <v>30</v>
      </c>
      <c r="D280" s="74">
        <v>18</v>
      </c>
      <c r="E280" s="114">
        <f t="shared" ca="1" si="28"/>
        <v>0.12778408540536793</v>
      </c>
      <c r="F280" s="117" t="s">
        <v>328</v>
      </c>
    </row>
    <row r="281" spans="3:6" s="74" customFormat="1" x14ac:dyDescent="0.2">
      <c r="C281" s="74">
        <v>30</v>
      </c>
      <c r="D281" s="74">
        <v>18.100000000000001</v>
      </c>
      <c r="E281" s="114">
        <f t="shared" ca="1" si="28"/>
        <v>0.12821463512801462</v>
      </c>
      <c r="F281" s="117" t="s">
        <v>328</v>
      </c>
    </row>
    <row r="282" spans="3:6" s="74" customFormat="1" x14ac:dyDescent="0.2">
      <c r="C282" s="74">
        <v>30</v>
      </c>
      <c r="D282" s="74">
        <v>18.2</v>
      </c>
      <c r="E282" s="114">
        <f t="shared" ca="1" si="28"/>
        <v>0.1286357650071856</v>
      </c>
      <c r="F282" s="117" t="s">
        <v>328</v>
      </c>
    </row>
    <row r="283" spans="3:6" s="74" customFormat="1" x14ac:dyDescent="0.2">
      <c r="C283" s="74">
        <v>30</v>
      </c>
      <c r="D283" s="74">
        <v>18.3</v>
      </c>
      <c r="E283" s="114">
        <f t="shared" ca="1" si="28"/>
        <v>0.12904736034535902</v>
      </c>
      <c r="F283" s="117" t="s">
        <v>328</v>
      </c>
    </row>
    <row r="284" spans="3:6" s="74" customFormat="1" x14ac:dyDescent="0.2">
      <c r="C284" s="74">
        <v>30</v>
      </c>
      <c r="D284" s="74">
        <v>18.399999999999999</v>
      </c>
      <c r="E284" s="114">
        <f t="shared" ca="1" si="28"/>
        <v>0.12944930644501287</v>
      </c>
      <c r="F284" s="117" t="s">
        <v>328</v>
      </c>
    </row>
    <row r="285" spans="3:6" s="74" customFormat="1" x14ac:dyDescent="0.2">
      <c r="C285" s="74">
        <v>30</v>
      </c>
      <c r="D285" s="74">
        <v>18.5</v>
      </c>
      <c r="E285" s="114">
        <f t="shared" ca="1" si="28"/>
        <v>0.12984148860862532</v>
      </c>
      <c r="F285" s="117" t="s">
        <v>328</v>
      </c>
    </row>
    <row r="286" spans="3:6" s="74" customFormat="1" x14ac:dyDescent="0.2">
      <c r="C286" s="74">
        <v>30</v>
      </c>
      <c r="D286" s="74">
        <v>18.600000000000001</v>
      </c>
      <c r="E286" s="114">
        <f t="shared" ca="1" si="28"/>
        <v>0.13022379213867441</v>
      </c>
      <c r="F286" s="117" t="s">
        <v>328</v>
      </c>
    </row>
    <row r="287" spans="3:6" s="74" customFormat="1" x14ac:dyDescent="0.2">
      <c r="C287" s="74">
        <v>30</v>
      </c>
      <c r="D287" s="74">
        <v>18.7</v>
      </c>
      <c r="E287" s="114">
        <f t="shared" ca="1" si="28"/>
        <v>0.13059610233763824</v>
      </c>
      <c r="F287" s="117" t="s">
        <v>328</v>
      </c>
    </row>
    <row r="288" spans="3:6" s="74" customFormat="1" x14ac:dyDescent="0.2">
      <c r="C288" s="74">
        <v>30</v>
      </c>
      <c r="D288" s="74">
        <v>18.8</v>
      </c>
      <c r="E288" s="114">
        <f t="shared" ca="1" si="28"/>
        <v>0.13095830450799487</v>
      </c>
      <c r="F288" s="117" t="s">
        <v>328</v>
      </c>
    </row>
    <row r="289" spans="3:6" s="74" customFormat="1" x14ac:dyDescent="0.2">
      <c r="C289" s="74">
        <v>30</v>
      </c>
      <c r="D289" s="74">
        <v>18.899999999999999</v>
      </c>
      <c r="E289" s="114">
        <f t="shared" ca="1" si="28"/>
        <v>0.13131028395222236</v>
      </c>
      <c r="F289" s="117" t="s">
        <v>328</v>
      </c>
    </row>
    <row r="290" spans="3:6" s="74" customFormat="1" x14ac:dyDescent="0.2">
      <c r="C290" s="74">
        <v>30</v>
      </c>
      <c r="D290" s="74">
        <v>19</v>
      </c>
      <c r="E290" s="114">
        <f t="shared" ca="1" si="28"/>
        <v>0.13165192597279887</v>
      </c>
      <c r="F290" s="117" t="s">
        <v>328</v>
      </c>
    </row>
    <row r="291" spans="3:6" s="74" customFormat="1" x14ac:dyDescent="0.2">
      <c r="C291" s="74">
        <v>30</v>
      </c>
      <c r="D291" s="74">
        <v>19.100000000000001</v>
      </c>
      <c r="E291" s="114">
        <f t="shared" ca="1" si="28"/>
        <v>0.13198311587220243</v>
      </c>
      <c r="F291" s="117" t="s">
        <v>328</v>
      </c>
    </row>
    <row r="292" spans="3:6" s="74" customFormat="1" x14ac:dyDescent="0.2">
      <c r="C292" s="74">
        <v>30</v>
      </c>
      <c r="D292" s="74">
        <v>19.2</v>
      </c>
      <c r="E292" s="114">
        <f t="shared" ref="E292:E355" ca="1" si="29">INDIRECT("a_" &amp; i) * t^3 + INDIRECT("b_" &amp; i) * t^2 + INDIRECT("c_" &amp; i) * t^1 + INDIRECT("d_" &amp; i)</f>
        <v>0.13230373895291112</v>
      </c>
      <c r="F292" s="117" t="s">
        <v>328</v>
      </c>
    </row>
    <row r="293" spans="3:6" s="74" customFormat="1" x14ac:dyDescent="0.2">
      <c r="C293" s="74">
        <v>30</v>
      </c>
      <c r="D293" s="74">
        <v>19.3</v>
      </c>
      <c r="E293" s="114">
        <f t="shared" ca="1" si="29"/>
        <v>0.13261368051740305</v>
      </c>
      <c r="F293" s="117" t="s">
        <v>328</v>
      </c>
    </row>
    <row r="294" spans="3:6" s="74" customFormat="1" x14ac:dyDescent="0.2">
      <c r="C294" s="74">
        <v>30</v>
      </c>
      <c r="D294" s="74">
        <v>19.399999999999999</v>
      </c>
      <c r="E294" s="114">
        <f t="shared" ca="1" si="29"/>
        <v>0.13291282586815628</v>
      </c>
      <c r="F294" s="117" t="s">
        <v>328</v>
      </c>
    </row>
    <row r="295" spans="3:6" s="74" customFormat="1" x14ac:dyDescent="0.2">
      <c r="C295" s="74">
        <v>30</v>
      </c>
      <c r="D295" s="74">
        <v>19.5</v>
      </c>
      <c r="E295" s="114">
        <f t="shared" ca="1" si="29"/>
        <v>0.13320106030764892</v>
      </c>
      <c r="F295" s="117" t="s">
        <v>328</v>
      </c>
    </row>
    <row r="296" spans="3:6" s="74" customFormat="1" x14ac:dyDescent="0.2">
      <c r="C296" s="74">
        <v>30</v>
      </c>
      <c r="D296" s="74">
        <v>19.600000000000001</v>
      </c>
      <c r="E296" s="114">
        <f t="shared" ca="1" si="29"/>
        <v>0.13347826913835906</v>
      </c>
      <c r="F296" s="117" t="s">
        <v>328</v>
      </c>
    </row>
    <row r="297" spans="3:6" s="74" customFormat="1" x14ac:dyDescent="0.2">
      <c r="C297" s="74">
        <v>30</v>
      </c>
      <c r="D297" s="74">
        <v>19.7</v>
      </c>
      <c r="E297" s="114">
        <f t="shared" ca="1" si="29"/>
        <v>0.13374433766276467</v>
      </c>
      <c r="F297" s="117" t="s">
        <v>328</v>
      </c>
    </row>
    <row r="298" spans="3:6" s="74" customFormat="1" x14ac:dyDescent="0.2">
      <c r="C298" s="74">
        <v>30</v>
      </c>
      <c r="D298" s="74">
        <v>19.8</v>
      </c>
      <c r="E298" s="114">
        <f t="shared" ca="1" si="29"/>
        <v>0.13399915118334396</v>
      </c>
      <c r="F298" s="117" t="s">
        <v>328</v>
      </c>
    </row>
    <row r="299" spans="3:6" s="74" customFormat="1" x14ac:dyDescent="0.2">
      <c r="C299" s="74">
        <v>30</v>
      </c>
      <c r="D299" s="74">
        <v>19.899999999999999</v>
      </c>
      <c r="E299" s="114">
        <f t="shared" ca="1" si="29"/>
        <v>0.13424259500257499</v>
      </c>
      <c r="F299" s="117" t="s">
        <v>328</v>
      </c>
    </row>
    <row r="300" spans="3:6" s="74" customFormat="1" x14ac:dyDescent="0.2">
      <c r="C300" s="74">
        <v>30</v>
      </c>
      <c r="D300" s="74">
        <v>20</v>
      </c>
      <c r="E300" s="114">
        <f t="shared" ca="1" si="29"/>
        <v>0.13447455442293582</v>
      </c>
      <c r="F300" s="117" t="s">
        <v>328</v>
      </c>
    </row>
    <row r="301" spans="3:6" s="74" customFormat="1" x14ac:dyDescent="0.2">
      <c r="C301" s="74">
        <v>30</v>
      </c>
      <c r="D301" s="74">
        <v>20.100000000000001</v>
      </c>
      <c r="E301" s="114">
        <f t="shared" ca="1" si="29"/>
        <v>0.13469491474690454</v>
      </c>
      <c r="F301" s="117" t="s">
        <v>328</v>
      </c>
    </row>
    <row r="302" spans="3:6" s="74" customFormat="1" x14ac:dyDescent="0.2">
      <c r="C302" s="74">
        <v>30</v>
      </c>
      <c r="D302" s="74">
        <v>20.2</v>
      </c>
      <c r="E302" s="114">
        <f t="shared" ca="1" si="29"/>
        <v>0.13490356127695921</v>
      </c>
      <c r="F302" s="117" t="s">
        <v>328</v>
      </c>
    </row>
    <row r="303" spans="3:6" s="74" customFormat="1" x14ac:dyDescent="0.2">
      <c r="C303" s="74">
        <v>30</v>
      </c>
      <c r="D303" s="74">
        <v>20.3</v>
      </c>
      <c r="E303" s="114">
        <f t="shared" ca="1" si="29"/>
        <v>0.13510037931557795</v>
      </c>
      <c r="F303" s="117" t="s">
        <v>328</v>
      </c>
    </row>
    <row r="304" spans="3:6" s="74" customFormat="1" x14ac:dyDescent="0.2">
      <c r="C304" s="74">
        <v>30</v>
      </c>
      <c r="D304" s="74">
        <v>20.399999999999999</v>
      </c>
      <c r="E304" s="114">
        <f t="shared" ca="1" si="29"/>
        <v>0.13528525416523884</v>
      </c>
      <c r="F304" s="117" t="s">
        <v>328</v>
      </c>
    </row>
    <row r="305" spans="3:6" s="74" customFormat="1" x14ac:dyDescent="0.2">
      <c r="C305" s="74">
        <v>30</v>
      </c>
      <c r="D305" s="74">
        <v>20.5</v>
      </c>
      <c r="E305" s="114">
        <f t="shared" ca="1" si="29"/>
        <v>0.13545807112841995</v>
      </c>
      <c r="F305" s="117" t="s">
        <v>328</v>
      </c>
    </row>
    <row r="306" spans="3:6" s="74" customFormat="1" x14ac:dyDescent="0.2">
      <c r="C306" s="74">
        <v>30</v>
      </c>
      <c r="D306" s="74">
        <v>20.6</v>
      </c>
      <c r="E306" s="114">
        <f t="shared" ca="1" si="29"/>
        <v>0.13561871550759932</v>
      </c>
      <c r="F306" s="117" t="s">
        <v>328</v>
      </c>
    </row>
    <row r="307" spans="3:6" s="74" customFormat="1" x14ac:dyDescent="0.2">
      <c r="C307" s="74">
        <v>30</v>
      </c>
      <c r="D307" s="74">
        <v>20.7</v>
      </c>
      <c r="E307" s="114">
        <f t="shared" ca="1" si="29"/>
        <v>0.13576707260525511</v>
      </c>
      <c r="F307" s="117" t="s">
        <v>328</v>
      </c>
    </row>
    <row r="308" spans="3:6" s="74" customFormat="1" x14ac:dyDescent="0.2">
      <c r="C308" s="74">
        <v>30</v>
      </c>
      <c r="D308" s="74">
        <v>20.8</v>
      </c>
      <c r="E308" s="114">
        <f t="shared" ca="1" si="29"/>
        <v>0.13590302772386537</v>
      </c>
      <c r="F308" s="117" t="s">
        <v>328</v>
      </c>
    </row>
    <row r="309" spans="3:6" s="74" customFormat="1" x14ac:dyDescent="0.2">
      <c r="C309" s="74">
        <v>30</v>
      </c>
      <c r="D309" s="74">
        <v>20.9</v>
      </c>
      <c r="E309" s="114">
        <f t="shared" ca="1" si="29"/>
        <v>0.13602646616590822</v>
      </c>
      <c r="F309" s="117" t="s">
        <v>328</v>
      </c>
    </row>
    <row r="310" spans="3:6" s="74" customFormat="1" x14ac:dyDescent="0.2">
      <c r="C310" s="74">
        <v>30</v>
      </c>
      <c r="D310" s="74">
        <v>21</v>
      </c>
      <c r="E310" s="114">
        <f t="shared" ca="1" si="29"/>
        <v>0.13613727323386163</v>
      </c>
      <c r="F310" s="117" t="s">
        <v>328</v>
      </c>
    </row>
    <row r="311" spans="3:6" s="74" customFormat="1" x14ac:dyDescent="0.2">
      <c r="C311" s="74">
        <v>30</v>
      </c>
      <c r="D311" s="74">
        <v>21.1</v>
      </c>
      <c r="E311" s="114">
        <f t="shared" ca="1" si="29"/>
        <v>0.13623533423020381</v>
      </c>
      <c r="F311" s="117" t="s">
        <v>328</v>
      </c>
    </row>
    <row r="312" spans="3:6" s="74" customFormat="1" x14ac:dyDescent="0.2">
      <c r="C312" s="74">
        <v>30</v>
      </c>
      <c r="D312" s="74">
        <v>21.2</v>
      </c>
      <c r="E312" s="114">
        <f t="shared" ca="1" si="29"/>
        <v>0.13632053445741274</v>
      </c>
      <c r="F312" s="117" t="s">
        <v>328</v>
      </c>
    </row>
    <row r="313" spans="3:6" s="74" customFormat="1" x14ac:dyDescent="0.2">
      <c r="C313" s="74">
        <v>30</v>
      </c>
      <c r="D313" s="74">
        <v>21.3</v>
      </c>
      <c r="E313" s="114">
        <f t="shared" ca="1" si="29"/>
        <v>0.13639275921796654</v>
      </c>
      <c r="F313" s="117" t="s">
        <v>328</v>
      </c>
    </row>
    <row r="314" spans="3:6" s="74" customFormat="1" x14ac:dyDescent="0.2">
      <c r="C314" s="74">
        <v>30</v>
      </c>
      <c r="D314" s="74">
        <v>21.4</v>
      </c>
      <c r="E314" s="114">
        <f t="shared" ca="1" si="29"/>
        <v>0.13645189381434336</v>
      </c>
      <c r="F314" s="117" t="s">
        <v>328</v>
      </c>
    </row>
    <row r="315" spans="3:6" s="74" customFormat="1" x14ac:dyDescent="0.2">
      <c r="C315" s="74">
        <v>30</v>
      </c>
      <c r="D315" s="74">
        <v>21.5</v>
      </c>
      <c r="E315" s="114">
        <f t="shared" ca="1" si="29"/>
        <v>0.13649782354902121</v>
      </c>
      <c r="F315" s="117" t="s">
        <v>328</v>
      </c>
    </row>
    <row r="316" spans="3:6" s="74" customFormat="1" x14ac:dyDescent="0.2">
      <c r="C316" s="74">
        <v>30</v>
      </c>
      <c r="D316" s="74">
        <v>21.6</v>
      </c>
      <c r="E316" s="114">
        <f t="shared" ca="1" si="29"/>
        <v>0.13653043372447821</v>
      </c>
      <c r="F316" s="117" t="s">
        <v>328</v>
      </c>
    </row>
    <row r="317" spans="3:6" s="74" customFormat="1" x14ac:dyDescent="0.2">
      <c r="C317" s="74">
        <v>30</v>
      </c>
      <c r="D317" s="74">
        <v>21.7</v>
      </c>
      <c r="E317" s="114">
        <f t="shared" ca="1" si="29"/>
        <v>0.13654960964319238</v>
      </c>
      <c r="F317" s="117" t="s">
        <v>328</v>
      </c>
    </row>
    <row r="318" spans="3:6" s="74" customFormat="1" x14ac:dyDescent="0.2">
      <c r="C318" s="74">
        <v>30</v>
      </c>
      <c r="D318" s="74">
        <v>21.8</v>
      </c>
      <c r="E318" s="114">
        <f t="shared" ca="1" si="29"/>
        <v>0.13655523660764188</v>
      </c>
      <c r="F318" s="117" t="s">
        <v>328</v>
      </c>
    </row>
    <row r="319" spans="3:6" s="74" customFormat="1" x14ac:dyDescent="0.2">
      <c r="C319" s="74">
        <v>30</v>
      </c>
      <c r="D319" s="74">
        <v>21.9</v>
      </c>
      <c r="E319" s="114">
        <f t="shared" ca="1" si="29"/>
        <v>0.13654719992030476</v>
      </c>
      <c r="F319" s="117" t="s">
        <v>328</v>
      </c>
    </row>
    <row r="320" spans="3:6" s="74" customFormat="1" x14ac:dyDescent="0.2">
      <c r="C320" s="74">
        <v>30</v>
      </c>
      <c r="D320" s="74">
        <v>22</v>
      </c>
      <c r="E320" s="114">
        <f t="shared" ca="1" si="29"/>
        <v>0.13652538488365912</v>
      </c>
      <c r="F320" s="117" t="s">
        <v>328</v>
      </c>
    </row>
    <row r="321" spans="3:6" s="74" customFormat="1" x14ac:dyDescent="0.2">
      <c r="C321" s="74">
        <v>30</v>
      </c>
      <c r="D321" s="74">
        <v>22.1</v>
      </c>
      <c r="E321" s="114">
        <f t="shared" ca="1" si="29"/>
        <v>0.13648967680018298</v>
      </c>
      <c r="F321" s="117" t="s">
        <v>328</v>
      </c>
    </row>
    <row r="322" spans="3:6" s="74" customFormat="1" x14ac:dyDescent="0.2">
      <c r="C322" s="74">
        <v>30</v>
      </c>
      <c r="D322" s="74">
        <v>22.2</v>
      </c>
      <c r="E322" s="114">
        <f t="shared" ca="1" si="29"/>
        <v>0.13643996097235453</v>
      </c>
      <c r="F322" s="117" t="s">
        <v>328</v>
      </c>
    </row>
    <row r="323" spans="3:6" s="74" customFormat="1" x14ac:dyDescent="0.2">
      <c r="C323" s="74">
        <v>30</v>
      </c>
      <c r="D323" s="74">
        <v>22.3</v>
      </c>
      <c r="E323" s="114">
        <f t="shared" ca="1" si="29"/>
        <v>0.13637612270265173</v>
      </c>
      <c r="F323" s="117" t="s">
        <v>328</v>
      </c>
    </row>
    <row r="324" spans="3:6" s="74" customFormat="1" x14ac:dyDescent="0.2">
      <c r="C324" s="74">
        <v>30</v>
      </c>
      <c r="D324" s="74">
        <v>22.4</v>
      </c>
      <c r="E324" s="114">
        <f t="shared" ca="1" si="29"/>
        <v>0.13629804729355274</v>
      </c>
      <c r="F324" s="117" t="s">
        <v>328</v>
      </c>
    </row>
    <row r="325" spans="3:6" s="74" customFormat="1" x14ac:dyDescent="0.2">
      <c r="C325" s="74">
        <v>30</v>
      </c>
      <c r="D325" s="74">
        <v>22.5</v>
      </c>
      <c r="E325" s="114">
        <f t="shared" ca="1" si="29"/>
        <v>0.13620562004753564</v>
      </c>
      <c r="F325" s="117" t="s">
        <v>328</v>
      </c>
    </row>
    <row r="326" spans="3:6" s="74" customFormat="1" x14ac:dyDescent="0.2">
      <c r="C326" s="74">
        <v>30</v>
      </c>
      <c r="D326" s="74">
        <v>22.6</v>
      </c>
      <c r="E326" s="114">
        <f t="shared" ca="1" si="29"/>
        <v>0.1360987262670785</v>
      </c>
      <c r="F326" s="117" t="s">
        <v>328</v>
      </c>
    </row>
    <row r="327" spans="3:6" s="74" customFormat="1" x14ac:dyDescent="0.2">
      <c r="C327" s="74">
        <v>30</v>
      </c>
      <c r="D327" s="74">
        <v>22.7</v>
      </c>
      <c r="E327" s="114">
        <f t="shared" ca="1" si="29"/>
        <v>0.13597725125465934</v>
      </c>
      <c r="F327" s="117" t="s">
        <v>328</v>
      </c>
    </row>
    <row r="328" spans="3:6" s="74" customFormat="1" x14ac:dyDescent="0.2">
      <c r="C328" s="74">
        <v>30</v>
      </c>
      <c r="D328" s="74">
        <v>22.8</v>
      </c>
      <c r="E328" s="114">
        <f t="shared" ca="1" si="29"/>
        <v>0.13584108031275638</v>
      </c>
      <c r="F328" s="117" t="s">
        <v>328</v>
      </c>
    </row>
    <row r="329" spans="3:6" s="74" customFormat="1" x14ac:dyDescent="0.2">
      <c r="C329" s="74">
        <v>30</v>
      </c>
      <c r="D329" s="74">
        <v>22.9</v>
      </c>
      <c r="E329" s="114">
        <f t="shared" ca="1" si="29"/>
        <v>0.13569009874384766</v>
      </c>
      <c r="F329" s="117" t="s">
        <v>328</v>
      </c>
    </row>
    <row r="330" spans="3:6" s="74" customFormat="1" x14ac:dyDescent="0.2">
      <c r="C330" s="74">
        <v>30</v>
      </c>
      <c r="D330" s="74">
        <v>23</v>
      </c>
      <c r="E330" s="114">
        <f t="shared" ca="1" si="29"/>
        <v>0.13552419185041112</v>
      </c>
      <c r="F330" s="117" t="s">
        <v>328</v>
      </c>
    </row>
    <row r="331" spans="3:6" s="74" customFormat="1" x14ac:dyDescent="0.2">
      <c r="C331" s="74">
        <v>30</v>
      </c>
      <c r="D331" s="74">
        <v>23.1</v>
      </c>
      <c r="E331" s="114">
        <f t="shared" ca="1" si="29"/>
        <v>0.13534324493492503</v>
      </c>
      <c r="F331" s="117" t="s">
        <v>328</v>
      </c>
    </row>
    <row r="332" spans="3:6" s="74" customFormat="1" x14ac:dyDescent="0.2">
      <c r="C332" s="74">
        <v>30</v>
      </c>
      <c r="D332" s="74">
        <v>23.2</v>
      </c>
      <c r="E332" s="114">
        <f t="shared" ca="1" si="29"/>
        <v>0.13514714329986738</v>
      </c>
      <c r="F332" s="117" t="s">
        <v>328</v>
      </c>
    </row>
    <row r="333" spans="3:6" s="74" customFormat="1" x14ac:dyDescent="0.2">
      <c r="C333" s="74">
        <v>30</v>
      </c>
      <c r="D333" s="74">
        <v>23.3</v>
      </c>
      <c r="E333" s="114">
        <f t="shared" ca="1" si="29"/>
        <v>0.13493577224771625</v>
      </c>
      <c r="F333" s="117" t="s">
        <v>328</v>
      </c>
    </row>
    <row r="334" spans="3:6" s="74" customFormat="1" x14ac:dyDescent="0.2">
      <c r="C334" s="74">
        <v>30</v>
      </c>
      <c r="D334" s="74">
        <v>23.4</v>
      </c>
      <c r="E334" s="114">
        <f t="shared" ca="1" si="29"/>
        <v>0.13470901708094976</v>
      </c>
      <c r="F334" s="117" t="s">
        <v>328</v>
      </c>
    </row>
    <row r="335" spans="3:6" s="74" customFormat="1" x14ac:dyDescent="0.2">
      <c r="C335" s="74">
        <v>30</v>
      </c>
      <c r="D335" s="74">
        <v>23.5</v>
      </c>
      <c r="E335" s="114">
        <f t="shared" ca="1" si="29"/>
        <v>0.13446676310204603</v>
      </c>
      <c r="F335" s="117" t="s">
        <v>328</v>
      </c>
    </row>
    <row r="336" spans="3:6" s="74" customFormat="1" x14ac:dyDescent="0.2">
      <c r="C336" s="74">
        <v>30</v>
      </c>
      <c r="D336" s="74">
        <v>23.6</v>
      </c>
      <c r="E336" s="114">
        <f t="shared" ca="1" si="29"/>
        <v>0.13420889561348304</v>
      </c>
      <c r="F336" s="117" t="s">
        <v>328</v>
      </c>
    </row>
    <row r="337" spans="3:6" s="74" customFormat="1" x14ac:dyDescent="0.2">
      <c r="C337" s="74">
        <v>30</v>
      </c>
      <c r="D337" s="74">
        <v>23.7</v>
      </c>
      <c r="E337" s="114">
        <f t="shared" ca="1" si="29"/>
        <v>0.13393529991773884</v>
      </c>
      <c r="F337" s="117" t="s">
        <v>328</v>
      </c>
    </row>
    <row r="338" spans="3:6" s="74" customFormat="1" x14ac:dyDescent="0.2">
      <c r="C338" s="74">
        <v>30</v>
      </c>
      <c r="D338" s="74">
        <v>23.8</v>
      </c>
      <c r="E338" s="114">
        <f t="shared" ca="1" si="29"/>
        <v>0.1336458613172917</v>
      </c>
      <c r="F338" s="117" t="s">
        <v>328</v>
      </c>
    </row>
    <row r="339" spans="3:6" s="74" customFormat="1" x14ac:dyDescent="0.2">
      <c r="C339" s="74">
        <v>30</v>
      </c>
      <c r="D339" s="74">
        <v>23.9</v>
      </c>
      <c r="E339" s="114">
        <f t="shared" ca="1" si="29"/>
        <v>0.13334046511461956</v>
      </c>
      <c r="F339" s="117" t="s">
        <v>328</v>
      </c>
    </row>
    <row r="340" spans="3:6" s="74" customFormat="1" x14ac:dyDescent="0.2">
      <c r="C340" s="74">
        <v>30</v>
      </c>
      <c r="D340" s="74">
        <v>24</v>
      </c>
      <c r="E340" s="114">
        <f t="shared" ca="1" si="29"/>
        <v>0.13301899661220054</v>
      </c>
      <c r="F340" s="117" t="s">
        <v>328</v>
      </c>
    </row>
    <row r="341" spans="3:6" s="74" customFormat="1" x14ac:dyDescent="0.2">
      <c r="C341" s="74">
        <v>30</v>
      </c>
      <c r="D341" s="74">
        <v>24.1</v>
      </c>
      <c r="E341" s="114">
        <f t="shared" ca="1" si="29"/>
        <v>0.13268134111251273</v>
      </c>
      <c r="F341" s="117" t="s">
        <v>328</v>
      </c>
    </row>
    <row r="342" spans="3:6" s="74" customFormat="1" x14ac:dyDescent="0.2">
      <c r="C342" s="74">
        <v>30</v>
      </c>
      <c r="D342" s="74">
        <v>24.2</v>
      </c>
      <c r="E342" s="114">
        <f t="shared" ca="1" si="29"/>
        <v>0.1323273839180342</v>
      </c>
      <c r="F342" s="117" t="s">
        <v>328</v>
      </c>
    </row>
    <row r="343" spans="3:6" s="74" customFormat="1" x14ac:dyDescent="0.2">
      <c r="C343" s="74">
        <v>30</v>
      </c>
      <c r="D343" s="74">
        <v>24.3</v>
      </c>
      <c r="E343" s="114">
        <f t="shared" ca="1" si="29"/>
        <v>0.13195701033124307</v>
      </c>
      <c r="F343" s="117" t="s">
        <v>328</v>
      </c>
    </row>
    <row r="344" spans="3:6" s="74" customFormat="1" x14ac:dyDescent="0.2">
      <c r="C344" s="74">
        <v>30</v>
      </c>
      <c r="D344" s="74">
        <v>24.4</v>
      </c>
      <c r="E344" s="114">
        <f t="shared" ca="1" si="29"/>
        <v>0.13157010565461738</v>
      </c>
      <c r="F344" s="117" t="s">
        <v>328</v>
      </c>
    </row>
    <row r="345" spans="3:6" s="74" customFormat="1" x14ac:dyDescent="0.2">
      <c r="C345" s="74">
        <v>30</v>
      </c>
      <c r="D345" s="74">
        <v>24.5</v>
      </c>
      <c r="E345" s="114">
        <f t="shared" ca="1" si="29"/>
        <v>0.13116655519063519</v>
      </c>
      <c r="F345" s="117" t="s">
        <v>328</v>
      </c>
    </row>
    <row r="346" spans="3:6" s="74" customFormat="1" x14ac:dyDescent="0.2">
      <c r="C346" s="74">
        <v>30</v>
      </c>
      <c r="D346" s="74">
        <v>24.6</v>
      </c>
      <c r="E346" s="114">
        <f t="shared" ca="1" si="29"/>
        <v>0.13074624424177464</v>
      </c>
      <c r="F346" s="117" t="s">
        <v>328</v>
      </c>
    </row>
    <row r="347" spans="3:6" s="74" customFormat="1" x14ac:dyDescent="0.2">
      <c r="C347" s="74">
        <v>30</v>
      </c>
      <c r="D347" s="74">
        <v>24.7</v>
      </c>
      <c r="E347" s="114">
        <f t="shared" ca="1" si="29"/>
        <v>0.1303090581105138</v>
      </c>
      <c r="F347" s="117" t="s">
        <v>328</v>
      </c>
    </row>
    <row r="348" spans="3:6" s="74" customFormat="1" x14ac:dyDescent="0.2">
      <c r="C348" s="74">
        <v>30</v>
      </c>
      <c r="D348" s="74">
        <v>24.8</v>
      </c>
      <c r="E348" s="114">
        <f t="shared" ca="1" si="29"/>
        <v>0.12985488209933069</v>
      </c>
      <c r="F348" s="117" t="s">
        <v>328</v>
      </c>
    </row>
    <row r="349" spans="3:6" s="74" customFormat="1" x14ac:dyDescent="0.2">
      <c r="C349" s="74">
        <v>30</v>
      </c>
      <c r="D349" s="74">
        <v>24.9</v>
      </c>
      <c r="E349" s="114">
        <f t="shared" ca="1" si="29"/>
        <v>0.12938360151070347</v>
      </c>
      <c r="F349" s="117" t="s">
        <v>328</v>
      </c>
    </row>
    <row r="350" spans="3:6" s="74" customFormat="1" x14ac:dyDescent="0.2">
      <c r="C350" s="74">
        <v>30</v>
      </c>
      <c r="D350" s="74">
        <v>25</v>
      </c>
      <c r="E350" s="114">
        <f t="shared" ca="1" si="29"/>
        <v>0.12889510164711021</v>
      </c>
      <c r="F350" s="117" t="s">
        <v>328</v>
      </c>
    </row>
    <row r="351" spans="3:6" s="74" customFormat="1" x14ac:dyDescent="0.2">
      <c r="C351" s="74">
        <v>30</v>
      </c>
      <c r="D351" s="74">
        <v>25.1</v>
      </c>
      <c r="E351" s="114">
        <f t="shared" ca="1" si="29"/>
        <v>0.12838926781102897</v>
      </c>
      <c r="F351" s="117" t="s">
        <v>328</v>
      </c>
    </row>
    <row r="352" spans="3:6" s="74" customFormat="1" x14ac:dyDescent="0.2">
      <c r="C352" s="74">
        <v>30</v>
      </c>
      <c r="D352" s="74">
        <v>25.2</v>
      </c>
      <c r="E352" s="114">
        <f t="shared" ca="1" si="29"/>
        <v>0.12786598530493787</v>
      </c>
      <c r="F352" s="117" t="s">
        <v>328</v>
      </c>
    </row>
    <row r="353" spans="3:6" s="74" customFormat="1" x14ac:dyDescent="0.2">
      <c r="C353" s="74">
        <v>30</v>
      </c>
      <c r="D353" s="74">
        <v>25.3</v>
      </c>
      <c r="E353" s="114">
        <f t="shared" ca="1" si="29"/>
        <v>0.12732513943131493</v>
      </c>
      <c r="F353" s="117" t="s">
        <v>328</v>
      </c>
    </row>
    <row r="354" spans="3:6" s="74" customFormat="1" x14ac:dyDescent="0.2">
      <c r="C354" s="74">
        <v>30</v>
      </c>
      <c r="D354" s="74">
        <v>25.4</v>
      </c>
      <c r="E354" s="114">
        <f t="shared" ca="1" si="29"/>
        <v>0.12676661549263835</v>
      </c>
      <c r="F354" s="117" t="s">
        <v>328</v>
      </c>
    </row>
    <row r="355" spans="3:6" s="74" customFormat="1" x14ac:dyDescent="0.2">
      <c r="C355" s="74">
        <v>30</v>
      </c>
      <c r="D355" s="74">
        <v>25.5</v>
      </c>
      <c r="E355" s="114">
        <f t="shared" ca="1" si="29"/>
        <v>0.12619029879138602</v>
      </c>
      <c r="F355" s="117" t="s">
        <v>328</v>
      </c>
    </row>
    <row r="356" spans="3:6" s="74" customFormat="1" x14ac:dyDescent="0.2">
      <c r="C356" s="74">
        <v>30</v>
      </c>
      <c r="D356" s="74">
        <v>25.6</v>
      </c>
      <c r="E356" s="114">
        <f t="shared" ref="E356:E400" ca="1" si="30">INDIRECT("a_" &amp; i) * t^3 + INDIRECT("b_" &amp; i) * t^2 + INDIRECT("c_" &amp; i) * t^1 + INDIRECT("d_" &amp; i)</f>
        <v>0.12559607463003625</v>
      </c>
      <c r="F356" s="117" t="s">
        <v>328</v>
      </c>
    </row>
    <row r="357" spans="3:6" s="74" customFormat="1" x14ac:dyDescent="0.2">
      <c r="C357" s="74">
        <v>30</v>
      </c>
      <c r="D357" s="74">
        <v>25.7</v>
      </c>
      <c r="E357" s="114">
        <f t="shared" ca="1" si="30"/>
        <v>0.12498382831106689</v>
      </c>
      <c r="F357" s="117" t="s">
        <v>328</v>
      </c>
    </row>
    <row r="358" spans="3:6" s="74" customFormat="1" x14ac:dyDescent="0.2">
      <c r="C358" s="74">
        <v>30</v>
      </c>
      <c r="D358" s="74">
        <v>25.8</v>
      </c>
      <c r="E358" s="114">
        <f t="shared" ca="1" si="30"/>
        <v>0.12435344513695623</v>
      </c>
      <c r="F358" s="117" t="s">
        <v>328</v>
      </c>
    </row>
    <row r="359" spans="3:6" s="74" customFormat="1" x14ac:dyDescent="0.2">
      <c r="C359" s="74">
        <v>30</v>
      </c>
      <c r="D359" s="74">
        <v>25.9</v>
      </c>
      <c r="E359" s="114">
        <f t="shared" ca="1" si="30"/>
        <v>0.12370481041018219</v>
      </c>
      <c r="F359" s="117" t="s">
        <v>328</v>
      </c>
    </row>
    <row r="360" spans="3:6" s="74" customFormat="1" x14ac:dyDescent="0.2">
      <c r="C360" s="74">
        <v>30</v>
      </c>
      <c r="D360" s="74">
        <v>26</v>
      </c>
      <c r="E360" s="114">
        <f t="shared" ca="1" si="30"/>
        <v>0.12303780943322296</v>
      </c>
      <c r="F360" s="117" t="s">
        <v>328</v>
      </c>
    </row>
    <row r="361" spans="3:6" s="74" customFormat="1" x14ac:dyDescent="0.2">
      <c r="C361" s="74">
        <v>30</v>
      </c>
      <c r="D361" s="74">
        <v>26.1</v>
      </c>
      <c r="E361" s="114">
        <f t="shared" ca="1" si="30"/>
        <v>0.1223523275085566</v>
      </c>
      <c r="F361" s="117" t="s">
        <v>328</v>
      </c>
    </row>
    <row r="362" spans="3:6" s="74" customFormat="1" x14ac:dyDescent="0.2">
      <c r="C362" s="74">
        <v>30</v>
      </c>
      <c r="D362" s="74">
        <v>26.2</v>
      </c>
      <c r="E362" s="114">
        <f t="shared" ca="1" si="30"/>
        <v>0.12164824993866123</v>
      </c>
      <c r="F362" s="117" t="s">
        <v>328</v>
      </c>
    </row>
    <row r="363" spans="3:6" s="74" customFormat="1" x14ac:dyDescent="0.2">
      <c r="C363" s="74">
        <v>30</v>
      </c>
      <c r="D363" s="74">
        <v>26.3</v>
      </c>
      <c r="E363" s="114">
        <f t="shared" ca="1" si="30"/>
        <v>0.12092546202601487</v>
      </c>
      <c r="F363" s="117" t="s">
        <v>328</v>
      </c>
    </row>
    <row r="364" spans="3:6" s="74" customFormat="1" x14ac:dyDescent="0.2">
      <c r="C364" s="74">
        <v>30</v>
      </c>
      <c r="D364" s="74">
        <v>26.4</v>
      </c>
      <c r="E364" s="114">
        <f t="shared" ca="1" si="30"/>
        <v>0.12018384907309553</v>
      </c>
      <c r="F364" s="117" t="s">
        <v>328</v>
      </c>
    </row>
    <row r="365" spans="3:6" s="74" customFormat="1" x14ac:dyDescent="0.2">
      <c r="C365" s="74">
        <v>30</v>
      </c>
      <c r="D365" s="74">
        <v>26.5</v>
      </c>
      <c r="E365" s="114">
        <f t="shared" ca="1" si="30"/>
        <v>0.11942329638238143</v>
      </c>
      <c r="F365" s="117" t="s">
        <v>328</v>
      </c>
    </row>
    <row r="366" spans="3:6" s="74" customFormat="1" x14ac:dyDescent="0.2">
      <c r="C366" s="74">
        <v>30</v>
      </c>
      <c r="D366" s="74">
        <v>26.6</v>
      </c>
      <c r="E366" s="114">
        <f t="shared" ca="1" si="30"/>
        <v>0.11864368925635059</v>
      </c>
      <c r="F366" s="117" t="s">
        <v>328</v>
      </c>
    </row>
    <row r="367" spans="3:6" s="74" customFormat="1" x14ac:dyDescent="0.2">
      <c r="C367" s="74">
        <v>30</v>
      </c>
      <c r="D367" s="74">
        <v>26.7</v>
      </c>
      <c r="E367" s="114">
        <f t="shared" ca="1" si="30"/>
        <v>0.11784491299748114</v>
      </c>
      <c r="F367" s="117" t="s">
        <v>328</v>
      </c>
    </row>
    <row r="368" spans="3:6" s="74" customFormat="1" x14ac:dyDescent="0.2">
      <c r="C368" s="74">
        <v>30</v>
      </c>
      <c r="D368" s="74">
        <v>26.8</v>
      </c>
      <c r="E368" s="114">
        <f t="shared" ca="1" si="30"/>
        <v>0.11702685290825109</v>
      </c>
      <c r="F368" s="117" t="s">
        <v>328</v>
      </c>
    </row>
    <row r="369" spans="3:6" s="74" customFormat="1" x14ac:dyDescent="0.2">
      <c r="C369" s="74">
        <v>30</v>
      </c>
      <c r="D369" s="74">
        <v>26.9</v>
      </c>
      <c r="E369" s="114">
        <f t="shared" ca="1" si="30"/>
        <v>0.11618939429113861</v>
      </c>
      <c r="F369" s="117" t="s">
        <v>328</v>
      </c>
    </row>
    <row r="370" spans="3:6" s="74" customFormat="1" x14ac:dyDescent="0.2">
      <c r="C370" s="74">
        <v>30</v>
      </c>
      <c r="D370" s="74">
        <v>27</v>
      </c>
      <c r="E370" s="114">
        <f t="shared" ca="1" si="30"/>
        <v>0.11533242244862171</v>
      </c>
      <c r="F370" s="117" t="s">
        <v>328</v>
      </c>
    </row>
    <row r="371" spans="3:6" s="74" customFormat="1" x14ac:dyDescent="0.2">
      <c r="C371" s="74">
        <v>30</v>
      </c>
      <c r="D371" s="74">
        <v>27.1</v>
      </c>
      <c r="E371" s="114">
        <f t="shared" ca="1" si="30"/>
        <v>0.1144558226831785</v>
      </c>
      <c r="F371" s="117" t="s">
        <v>328</v>
      </c>
    </row>
    <row r="372" spans="3:6" s="74" customFormat="1" x14ac:dyDescent="0.2">
      <c r="C372" s="74">
        <v>30</v>
      </c>
      <c r="D372" s="74">
        <v>27.2</v>
      </c>
      <c r="E372" s="114">
        <f t="shared" ca="1" si="30"/>
        <v>0.1135594802972871</v>
      </c>
      <c r="F372" s="117" t="s">
        <v>328</v>
      </c>
    </row>
    <row r="373" spans="3:6" s="74" customFormat="1" x14ac:dyDescent="0.2">
      <c r="C373" s="74">
        <v>30</v>
      </c>
      <c r="D373" s="74">
        <v>27.3</v>
      </c>
      <c r="E373" s="114">
        <f t="shared" ca="1" si="30"/>
        <v>0.11264328059342549</v>
      </c>
      <c r="F373" s="117" t="s">
        <v>328</v>
      </c>
    </row>
    <row r="374" spans="3:6" s="74" customFormat="1" x14ac:dyDescent="0.2">
      <c r="C374" s="74">
        <v>30</v>
      </c>
      <c r="D374" s="74">
        <v>27.4</v>
      </c>
      <c r="E374" s="114">
        <f t="shared" ca="1" si="30"/>
        <v>0.11170710887407177</v>
      </c>
      <c r="F374" s="117" t="s">
        <v>328</v>
      </c>
    </row>
    <row r="375" spans="3:6" s="74" customFormat="1" x14ac:dyDescent="0.2">
      <c r="C375" s="74">
        <v>30</v>
      </c>
      <c r="D375" s="74">
        <v>27.5</v>
      </c>
      <c r="E375" s="114">
        <f t="shared" ca="1" si="30"/>
        <v>0.11075085044170419</v>
      </c>
      <c r="F375" s="117" t="s">
        <v>328</v>
      </c>
    </row>
    <row r="376" spans="3:6" s="74" customFormat="1" x14ac:dyDescent="0.2">
      <c r="C376" s="74">
        <v>30</v>
      </c>
      <c r="D376" s="74">
        <v>27.6</v>
      </c>
      <c r="E376" s="114">
        <f t="shared" ca="1" si="30"/>
        <v>0.10977439059880065</v>
      </c>
      <c r="F376" s="117" t="s">
        <v>328</v>
      </c>
    </row>
    <row r="377" spans="3:6" s="74" customFormat="1" x14ac:dyDescent="0.2">
      <c r="C377" s="74">
        <v>30</v>
      </c>
      <c r="D377" s="74">
        <v>27.7</v>
      </c>
      <c r="E377" s="114">
        <f t="shared" ca="1" si="30"/>
        <v>0.10877761464783935</v>
      </c>
      <c r="F377" s="117" t="s">
        <v>328</v>
      </c>
    </row>
    <row r="378" spans="3:6" s="74" customFormat="1" x14ac:dyDescent="0.2">
      <c r="C378" s="74">
        <v>30</v>
      </c>
      <c r="D378" s="74">
        <v>27.8</v>
      </c>
      <c r="E378" s="114">
        <f t="shared" ca="1" si="30"/>
        <v>0.10776040789129827</v>
      </c>
      <c r="F378" s="117" t="s">
        <v>328</v>
      </c>
    </row>
    <row r="379" spans="3:6" s="74" customFormat="1" x14ac:dyDescent="0.2">
      <c r="C379" s="74">
        <v>30</v>
      </c>
      <c r="D379" s="74">
        <v>27.9</v>
      </c>
      <c r="E379" s="114">
        <f t="shared" ca="1" si="30"/>
        <v>0.10672265563165549</v>
      </c>
      <c r="F379" s="117" t="s">
        <v>328</v>
      </c>
    </row>
    <row r="380" spans="3:6" s="74" customFormat="1" x14ac:dyDescent="0.2">
      <c r="C380" s="74">
        <v>30</v>
      </c>
      <c r="D380" s="74">
        <v>28</v>
      </c>
      <c r="E380" s="114">
        <f t="shared" ca="1" si="30"/>
        <v>0.10566424317138924</v>
      </c>
      <c r="F380" s="117" t="s">
        <v>328</v>
      </c>
    </row>
    <row r="381" spans="3:6" s="74" customFormat="1" x14ac:dyDescent="0.2">
      <c r="C381" s="74">
        <v>30</v>
      </c>
      <c r="D381" s="74">
        <v>28.1</v>
      </c>
      <c r="E381" s="114">
        <f t="shared" ca="1" si="30"/>
        <v>0.10458505581297743</v>
      </c>
      <c r="F381" s="117" t="s">
        <v>328</v>
      </c>
    </row>
    <row r="382" spans="3:6" s="74" customFormat="1" x14ac:dyDescent="0.2">
      <c r="C382" s="74">
        <v>30</v>
      </c>
      <c r="D382" s="74">
        <v>28.2</v>
      </c>
      <c r="E382" s="114">
        <f t="shared" ca="1" si="30"/>
        <v>0.10348497885889829</v>
      </c>
      <c r="F382" s="117" t="s">
        <v>328</v>
      </c>
    </row>
    <row r="383" spans="3:6" s="74" customFormat="1" x14ac:dyDescent="0.2">
      <c r="C383" s="74">
        <v>30</v>
      </c>
      <c r="D383" s="74">
        <v>28.3</v>
      </c>
      <c r="E383" s="114">
        <f t="shared" ca="1" si="30"/>
        <v>0.10236389761162977</v>
      </c>
      <c r="F383" s="117" t="s">
        <v>328</v>
      </c>
    </row>
    <row r="384" spans="3:6" s="74" customFormat="1" x14ac:dyDescent="0.2">
      <c r="C384" s="74">
        <v>30</v>
      </c>
      <c r="D384" s="74">
        <v>28.4</v>
      </c>
      <c r="E384" s="114">
        <f t="shared" ca="1" si="30"/>
        <v>0.10122169737365005</v>
      </c>
      <c r="F384" s="117" t="s">
        <v>328</v>
      </c>
    </row>
    <row r="385" spans="3:9" s="74" customFormat="1" x14ac:dyDescent="0.2">
      <c r="C385" s="74">
        <v>30</v>
      </c>
      <c r="D385" s="74">
        <v>28.5</v>
      </c>
      <c r="E385" s="114">
        <f t="shared" ca="1" si="30"/>
        <v>0.10005826344743721</v>
      </c>
      <c r="F385" s="117" t="s">
        <v>328</v>
      </c>
    </row>
    <row r="386" spans="3:9" s="74" customFormat="1" x14ac:dyDescent="0.2">
      <c r="C386" s="74">
        <v>30</v>
      </c>
      <c r="D386" s="74">
        <v>28.6</v>
      </c>
      <c r="E386" s="114">
        <f t="shared" ca="1" si="30"/>
        <v>9.8873481135469232E-2</v>
      </c>
      <c r="F386" s="117" t="s">
        <v>328</v>
      </c>
    </row>
    <row r="387" spans="3:9" s="74" customFormat="1" x14ac:dyDescent="0.2">
      <c r="C387" s="74">
        <v>30</v>
      </c>
      <c r="D387" s="74">
        <v>28.7</v>
      </c>
      <c r="E387" s="114">
        <f t="shared" ca="1" si="30"/>
        <v>9.7667235740224317E-2</v>
      </c>
      <c r="F387" s="117" t="s">
        <v>328</v>
      </c>
    </row>
    <row r="388" spans="3:9" s="74" customFormat="1" x14ac:dyDescent="0.2">
      <c r="C388" s="74">
        <v>30</v>
      </c>
      <c r="D388" s="74">
        <v>28.8</v>
      </c>
      <c r="E388" s="114">
        <f t="shared" ca="1" si="30"/>
        <v>9.6439412564180427E-2</v>
      </c>
      <c r="F388" s="117" t="s">
        <v>328</v>
      </c>
    </row>
    <row r="389" spans="3:9" s="74" customFormat="1" x14ac:dyDescent="0.2">
      <c r="C389" s="74">
        <v>30</v>
      </c>
      <c r="D389" s="74">
        <v>28.9</v>
      </c>
      <c r="E389" s="114">
        <f t="shared" ca="1" si="30"/>
        <v>9.5189896909815788E-2</v>
      </c>
      <c r="F389" s="117" t="s">
        <v>328</v>
      </c>
    </row>
    <row r="390" spans="3:9" s="74" customFormat="1" x14ac:dyDescent="0.2">
      <c r="C390" s="74">
        <v>30</v>
      </c>
      <c r="D390" s="74">
        <v>29</v>
      </c>
      <c r="E390" s="114">
        <f t="shared" ca="1" si="30"/>
        <v>9.391857407960845E-2</v>
      </c>
      <c r="F390" s="117" t="s">
        <v>328</v>
      </c>
    </row>
    <row r="391" spans="3:9" s="74" customFormat="1" x14ac:dyDescent="0.2">
      <c r="C391" s="74">
        <v>30</v>
      </c>
      <c r="D391" s="74">
        <v>29.1</v>
      </c>
      <c r="E391" s="114">
        <f t="shared" ca="1" si="30"/>
        <v>9.2625329376036375E-2</v>
      </c>
      <c r="F391" s="117" t="s">
        <v>328</v>
      </c>
    </row>
    <row r="392" spans="3:9" s="74" customFormat="1" x14ac:dyDescent="0.2">
      <c r="C392" s="74">
        <v>30</v>
      </c>
      <c r="D392" s="74">
        <v>29.2</v>
      </c>
      <c r="E392" s="114">
        <f t="shared" ca="1" si="30"/>
        <v>9.1310048101577709E-2</v>
      </c>
      <c r="F392" s="117" t="s">
        <v>328</v>
      </c>
    </row>
    <row r="393" spans="3:9" s="74" customFormat="1" x14ac:dyDescent="0.2">
      <c r="C393" s="74">
        <v>30</v>
      </c>
      <c r="D393" s="74">
        <v>29.3</v>
      </c>
      <c r="E393" s="114">
        <f t="shared" ca="1" si="30"/>
        <v>8.997261555871057E-2</v>
      </c>
      <c r="F393" s="117" t="s">
        <v>328</v>
      </c>
    </row>
    <row r="394" spans="3:9" s="74" customFormat="1" x14ac:dyDescent="0.2">
      <c r="C394" s="74">
        <v>30</v>
      </c>
      <c r="D394" s="74">
        <v>29.4</v>
      </c>
      <c r="E394" s="114">
        <f t="shared" ca="1" si="30"/>
        <v>8.8612917049913073E-2</v>
      </c>
      <c r="F394" s="117" t="s">
        <v>328</v>
      </c>
    </row>
    <row r="395" spans="3:9" s="74" customFormat="1" x14ac:dyDescent="0.2">
      <c r="C395" s="74">
        <v>30</v>
      </c>
      <c r="D395" s="74">
        <v>29.5</v>
      </c>
      <c r="E395" s="114">
        <f t="shared" ca="1" si="30"/>
        <v>8.7230837877663239E-2</v>
      </c>
      <c r="F395" s="117" t="s">
        <v>328</v>
      </c>
    </row>
    <row r="396" spans="3:9" s="74" customFormat="1" x14ac:dyDescent="0.2">
      <c r="C396" s="74">
        <v>30</v>
      </c>
      <c r="D396" s="74">
        <v>29.6</v>
      </c>
      <c r="E396" s="114">
        <f t="shared" ca="1" si="30"/>
        <v>8.5826263344439199E-2</v>
      </c>
      <c r="F396" s="117" t="s">
        <v>328</v>
      </c>
    </row>
    <row r="397" spans="3:9" s="74" customFormat="1" x14ac:dyDescent="0.2">
      <c r="C397" s="74">
        <v>30</v>
      </c>
      <c r="D397" s="74">
        <v>29.7</v>
      </c>
      <c r="E397" s="114">
        <f t="shared" ca="1" si="30"/>
        <v>8.4399078752718959E-2</v>
      </c>
      <c r="F397" s="117" t="s">
        <v>328</v>
      </c>
    </row>
    <row r="398" spans="3:9" s="74" customFormat="1" x14ac:dyDescent="0.2">
      <c r="C398" s="74">
        <v>30</v>
      </c>
      <c r="D398" s="74">
        <v>29.8</v>
      </c>
      <c r="E398" s="114">
        <f t="shared" ca="1" si="30"/>
        <v>8.2949169404980622E-2</v>
      </c>
      <c r="F398" s="117" t="s">
        <v>328</v>
      </c>
    </row>
    <row r="399" spans="3:9" s="74" customFormat="1" x14ac:dyDescent="0.2">
      <c r="C399" s="74">
        <v>30</v>
      </c>
      <c r="D399" s="74">
        <v>29.9</v>
      </c>
      <c r="E399" s="114">
        <f t="shared" ca="1" si="30"/>
        <v>8.1476420603702415E-2</v>
      </c>
      <c r="F399" s="117" t="s">
        <v>328</v>
      </c>
    </row>
    <row r="400" spans="3:9" s="74" customFormat="1" x14ac:dyDescent="0.2">
      <c r="C400" s="74">
        <v>30</v>
      </c>
      <c r="D400" s="74">
        <v>30</v>
      </c>
      <c r="E400" s="114">
        <f t="shared" ca="1" si="30"/>
        <v>7.9980717651362082E-2</v>
      </c>
      <c r="F400" s="117">
        <v>0.08</v>
      </c>
      <c r="G400" s="117">
        <f ca="1">F400-E400</f>
        <v>1.9282348637919555E-5</v>
      </c>
      <c r="H400" s="117"/>
      <c r="I400" s="117"/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E5B2C-8B57-DD4D-A7AC-EBBE265DEA0F}">
  <sheetPr codeName="Sheet55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74"/>
    <col min="4" max="4" width="22.33203125" style="74" bestFit="1" customWidth="1"/>
    <col min="5" max="5" width="10.83203125" style="74"/>
    <col min="6" max="38" width="3.83203125" style="74" customWidth="1"/>
    <col min="39" max="39" width="5.1640625" style="74" bestFit="1" customWidth="1"/>
    <col min="40" max="40" width="7" style="74" bestFit="1" customWidth="1"/>
    <col min="41" max="42" width="3.83203125" customWidth="1"/>
    <col min="44" max="16384" width="10.83203125" style="74"/>
  </cols>
  <sheetData>
    <row r="1" spans="1:43" x14ac:dyDescent="0.2">
      <c r="A1" s="74" t="s">
        <v>257</v>
      </c>
      <c r="AO1" s="74"/>
      <c r="AP1" s="74"/>
      <c r="AQ1" s="74"/>
    </row>
    <row r="2" spans="1:43" s="73" customFormat="1" ht="26" x14ac:dyDescent="0.3"/>
    <row r="3" spans="1:43" ht="29" x14ac:dyDescent="0.3">
      <c r="C3" s="73" t="s">
        <v>206</v>
      </c>
      <c r="AO3" s="74"/>
      <c r="AP3" s="74"/>
      <c r="AQ3" s="74"/>
    </row>
    <row r="4" spans="1:43" ht="26" x14ac:dyDescent="0.3">
      <c r="C4" s="73"/>
      <c r="AO4" s="74"/>
      <c r="AP4" s="74"/>
      <c r="AQ4" s="74"/>
    </row>
    <row r="5" spans="1:43" ht="29" x14ac:dyDescent="0.3">
      <c r="C5" s="73" t="s">
        <v>207</v>
      </c>
      <c r="AO5" s="74"/>
      <c r="AP5" s="74"/>
      <c r="AQ5" s="74"/>
    </row>
    <row r="6" spans="1:43" ht="26" x14ac:dyDescent="0.3">
      <c r="C6" s="73"/>
      <c r="AO6" s="74"/>
      <c r="AP6" s="74"/>
      <c r="AQ6" s="74"/>
    </row>
    <row r="7" spans="1:43" ht="26" x14ac:dyDescent="0.3">
      <c r="C7" s="73" t="s">
        <v>208</v>
      </c>
      <c r="AO7" s="74"/>
      <c r="AP7" s="74"/>
      <c r="AQ7" s="74"/>
    </row>
    <row r="8" spans="1:43" x14ac:dyDescent="0.2">
      <c r="AO8" s="74"/>
      <c r="AP8" s="74"/>
      <c r="AQ8" s="74"/>
    </row>
    <row r="9" spans="1:43" x14ac:dyDescent="0.2">
      <c r="AO9" s="74"/>
      <c r="AP9" s="74"/>
      <c r="AQ9" s="74"/>
    </row>
    <row r="10" spans="1:43" x14ac:dyDescent="0.2">
      <c r="AO10" s="74"/>
      <c r="AP10" s="74"/>
      <c r="AQ10" s="74"/>
    </row>
    <row r="11" spans="1:43" x14ac:dyDescent="0.2">
      <c r="B11" s="55" t="s">
        <v>184</v>
      </c>
      <c r="C11" s="55" t="s">
        <v>185</v>
      </c>
      <c r="AO11" s="74"/>
      <c r="AP11" s="74"/>
      <c r="AQ11" s="74"/>
    </row>
    <row r="12" spans="1:43" x14ac:dyDescent="0.2">
      <c r="B12" s="74">
        <v>0</v>
      </c>
      <c r="C12" s="90">
        <v>0</v>
      </c>
      <c r="D12" s="91"/>
      <c r="AO12" s="74"/>
      <c r="AP12" s="74"/>
      <c r="AQ12" s="74"/>
    </row>
    <row r="13" spans="1:43" x14ac:dyDescent="0.2">
      <c r="B13" s="74">
        <v>1</v>
      </c>
      <c r="C13" s="90">
        <v>0.02</v>
      </c>
      <c r="D13" s="91"/>
      <c r="AO13" s="74"/>
      <c r="AP13" s="74"/>
      <c r="AQ13" s="74"/>
    </row>
    <row r="14" spans="1:43" x14ac:dyDescent="0.2">
      <c r="B14" s="74">
        <v>2</v>
      </c>
      <c r="C14" s="90">
        <v>3.7869296080000003E-2</v>
      </c>
      <c r="D14" s="91"/>
      <c r="AO14" s="74"/>
      <c r="AP14" s="74"/>
      <c r="AQ14" s="74"/>
    </row>
    <row r="15" spans="1:43" x14ac:dyDescent="0.2">
      <c r="B15" s="74">
        <v>3</v>
      </c>
      <c r="C15" s="90">
        <v>4.4685005659999999E-2</v>
      </c>
      <c r="D15" s="91"/>
      <c r="AO15" s="74"/>
      <c r="AP15" s="74"/>
      <c r="AQ15" s="74"/>
    </row>
    <row r="16" spans="1:43" x14ac:dyDescent="0.2">
      <c r="B16" s="74">
        <v>4</v>
      </c>
      <c r="C16" s="90">
        <v>5.1500715240000002E-2</v>
      </c>
      <c r="D16" s="91"/>
      <c r="AO16" s="74"/>
      <c r="AP16" s="74"/>
      <c r="AQ16" s="74"/>
    </row>
    <row r="17" spans="2:43" x14ac:dyDescent="0.2">
      <c r="B17" s="74">
        <v>5</v>
      </c>
      <c r="C17" s="90">
        <v>5.8316424819999997E-2</v>
      </c>
      <c r="D17" s="91"/>
      <c r="AO17" s="74"/>
      <c r="AP17" s="74"/>
      <c r="AQ17" s="74"/>
    </row>
    <row r="18" spans="2:43" x14ac:dyDescent="0.2">
      <c r="B18" s="74">
        <v>7</v>
      </c>
      <c r="C18" s="90">
        <v>6.51321344E-2</v>
      </c>
      <c r="D18" s="91"/>
      <c r="AO18" s="74"/>
      <c r="AP18" s="74"/>
      <c r="AQ18" s="74"/>
    </row>
    <row r="19" spans="2:43" x14ac:dyDescent="0.2">
      <c r="B19" s="74">
        <v>10</v>
      </c>
      <c r="C19" s="90">
        <v>6.7430707199999995E-2</v>
      </c>
      <c r="D19" s="91"/>
      <c r="AO19" s="74"/>
      <c r="AP19" s="74"/>
      <c r="AQ19" s="74"/>
    </row>
    <row r="20" spans="2:43" x14ac:dyDescent="0.2">
      <c r="B20" s="74">
        <v>30</v>
      </c>
      <c r="C20" s="90">
        <v>0.08</v>
      </c>
      <c r="D20" s="91"/>
      <c r="AO20" s="74"/>
      <c r="AP20" s="74"/>
      <c r="AQ20" s="74"/>
    </row>
    <row r="21" spans="2:43" x14ac:dyDescent="0.2">
      <c r="AO21" s="74"/>
      <c r="AP21" s="74"/>
      <c r="AQ21" s="74"/>
    </row>
    <row r="22" spans="2:43" x14ac:dyDescent="0.2">
      <c r="AO22" s="74"/>
      <c r="AP22" s="74"/>
      <c r="AQ22" s="74"/>
    </row>
    <row r="23" spans="2:43" x14ac:dyDescent="0.2">
      <c r="AO23" s="74"/>
      <c r="AP23" s="74"/>
      <c r="AQ23" s="74"/>
    </row>
    <row r="24" spans="2:43" x14ac:dyDescent="0.2">
      <c r="AO24" s="74"/>
      <c r="AP24" s="74"/>
      <c r="AQ24" s="74"/>
    </row>
    <row r="25" spans="2:43" x14ac:dyDescent="0.2">
      <c r="AO25" s="74"/>
      <c r="AP25" s="74"/>
      <c r="AQ25" s="74"/>
    </row>
    <row r="26" spans="2:43" x14ac:dyDescent="0.2">
      <c r="AO26" s="74"/>
      <c r="AP26" s="74"/>
      <c r="AQ26" s="74"/>
    </row>
    <row r="27" spans="2:43" s="83" customFormat="1" x14ac:dyDescent="0.2">
      <c r="B27" s="83" t="s">
        <v>209</v>
      </c>
      <c r="C27" s="83" t="s">
        <v>210</v>
      </c>
      <c r="D27" s="83" t="s">
        <v>192</v>
      </c>
      <c r="F27" s="116" t="s">
        <v>296</v>
      </c>
      <c r="G27" s="116" t="s">
        <v>297</v>
      </c>
      <c r="H27" s="116" t="s">
        <v>298</v>
      </c>
      <c r="I27" s="116" t="s">
        <v>299</v>
      </c>
      <c r="J27" s="116" t="s">
        <v>300</v>
      </c>
      <c r="K27" s="116" t="s">
        <v>301</v>
      </c>
      <c r="L27" s="116" t="s">
        <v>302</v>
      </c>
      <c r="M27" s="116" t="s">
        <v>303</v>
      </c>
      <c r="N27" s="116" t="s">
        <v>304</v>
      </c>
      <c r="O27" s="116" t="s">
        <v>305</v>
      </c>
      <c r="P27" s="116" t="s">
        <v>306</v>
      </c>
      <c r="Q27" s="116" t="s">
        <v>307</v>
      </c>
      <c r="R27" s="93" t="s">
        <v>308</v>
      </c>
      <c r="S27" s="93" t="s">
        <v>309</v>
      </c>
      <c r="T27" s="93" t="s">
        <v>310</v>
      </c>
      <c r="U27" s="93" t="s">
        <v>311</v>
      </c>
      <c r="V27" s="93" t="s">
        <v>312</v>
      </c>
      <c r="W27" s="93" t="s">
        <v>313</v>
      </c>
      <c r="X27" s="93" t="s">
        <v>314</v>
      </c>
      <c r="Y27" s="93" t="s">
        <v>315</v>
      </c>
      <c r="Z27" s="93" t="s">
        <v>316</v>
      </c>
      <c r="AA27" s="93" t="s">
        <v>317</v>
      </c>
      <c r="AB27" s="93" t="s">
        <v>318</v>
      </c>
      <c r="AC27" s="93" t="s">
        <v>319</v>
      </c>
      <c r="AD27" s="93" t="s">
        <v>320</v>
      </c>
      <c r="AE27" s="93" t="s">
        <v>321</v>
      </c>
      <c r="AF27" s="93" t="s">
        <v>322</v>
      </c>
      <c r="AG27" s="93" t="s">
        <v>323</v>
      </c>
      <c r="AH27" s="93" t="s">
        <v>292</v>
      </c>
      <c r="AI27" s="93" t="s">
        <v>293</v>
      </c>
      <c r="AJ27" s="93" t="s">
        <v>324</v>
      </c>
      <c r="AK27" s="93" t="s">
        <v>325</v>
      </c>
      <c r="AL27" s="93"/>
      <c r="AM27" s="93"/>
      <c r="AN27" s="83" t="s">
        <v>291</v>
      </c>
      <c r="AO27" s="74"/>
      <c r="AP27" s="74"/>
      <c r="AQ27" s="74"/>
    </row>
    <row r="28" spans="2:43" x14ac:dyDescent="0.2">
      <c r="B28" s="55" t="str">
        <f>"y(" &amp; D28 &amp; ")"</f>
        <v>y(1)</v>
      </c>
      <c r="C28" s="74">
        <f>VLOOKUP(D28,$B$12:$C$20,2,0)</f>
        <v>0.02</v>
      </c>
      <c r="D28" s="74">
        <v>1</v>
      </c>
      <c r="F28" s="94">
        <f>time^3</f>
        <v>1</v>
      </c>
      <c r="G28" s="95">
        <f>time^2</f>
        <v>1</v>
      </c>
      <c r="H28" s="95">
        <f>time^1</f>
        <v>1</v>
      </c>
      <c r="I28" s="95">
        <f>time^0</f>
        <v>1</v>
      </c>
      <c r="J28" s="95">
        <v>0</v>
      </c>
      <c r="K28" s="95">
        <v>0</v>
      </c>
      <c r="L28" s="95">
        <v>0</v>
      </c>
      <c r="M28" s="96">
        <v>0</v>
      </c>
      <c r="N28" s="95"/>
      <c r="O28" s="95"/>
      <c r="P28" s="95"/>
      <c r="Q28" s="95"/>
      <c r="R28" s="95"/>
      <c r="S28" s="97"/>
      <c r="T28" s="95"/>
      <c r="U28" s="95"/>
      <c r="V28" s="95"/>
      <c r="W28" s="95"/>
      <c r="X28" s="95"/>
      <c r="Y28" s="95"/>
      <c r="Z28" s="95"/>
      <c r="AA28" s="95"/>
      <c r="AB28" s="95"/>
      <c r="AC28" s="95"/>
      <c r="AD28" s="95"/>
      <c r="AE28" s="95"/>
      <c r="AF28" s="95"/>
      <c r="AG28" s="95"/>
      <c r="AH28" s="95"/>
      <c r="AI28" s="95"/>
      <c r="AJ28" s="95"/>
      <c r="AK28" s="96"/>
      <c r="AM28" s="74" t="str">
        <f>"a_"&amp; time</f>
        <v>a_1</v>
      </c>
      <c r="AN28" s="98">
        <v>7.735444560806384E-5</v>
      </c>
      <c r="AO28" s="74"/>
      <c r="AP28" s="74"/>
      <c r="AQ28" s="74"/>
    </row>
    <row r="29" spans="2:43" x14ac:dyDescent="0.2">
      <c r="B29" s="55" t="str">
        <f t="shared" ref="B29:B37" si="0">"y(" &amp; D29 &amp; ")"</f>
        <v>y(1)</v>
      </c>
      <c r="C29" s="74">
        <f>VLOOKUP(D29,$B$12:$C$20,2,0)</f>
        <v>0.02</v>
      </c>
      <c r="D29" s="74">
        <v>1</v>
      </c>
      <c r="F29" s="99">
        <v>0</v>
      </c>
      <c r="G29" s="100">
        <v>0</v>
      </c>
      <c r="H29" s="100">
        <v>0</v>
      </c>
      <c r="I29" s="100">
        <v>0</v>
      </c>
      <c r="J29" s="100">
        <f>time^3</f>
        <v>1</v>
      </c>
      <c r="K29" s="100">
        <f>time^2</f>
        <v>1</v>
      </c>
      <c r="L29" s="100">
        <f>time^1</f>
        <v>1</v>
      </c>
      <c r="M29" s="101">
        <f>time^0</f>
        <v>1</v>
      </c>
      <c r="N29" s="100"/>
      <c r="O29" s="100"/>
      <c r="P29" s="100"/>
      <c r="Q29" s="100"/>
      <c r="R29" s="100"/>
      <c r="S29" s="92"/>
      <c r="T29" s="100"/>
      <c r="U29" s="100"/>
      <c r="V29" s="100"/>
      <c r="W29" s="100"/>
      <c r="X29" s="100"/>
      <c r="Y29" s="100"/>
      <c r="Z29" s="100"/>
      <c r="AA29" s="100"/>
      <c r="AB29" s="100"/>
      <c r="AC29" s="100"/>
      <c r="AD29" s="100"/>
      <c r="AE29" s="100"/>
      <c r="AF29" s="100"/>
      <c r="AG29" s="100"/>
      <c r="AH29" s="100"/>
      <c r="AI29" s="100"/>
      <c r="AJ29" s="100"/>
      <c r="AK29" s="101"/>
      <c r="AM29" s="74" t="str">
        <f>"b_"&amp; time</f>
        <v>b_1</v>
      </c>
      <c r="AN29" s="98">
        <v>8.2100044301208308E-5</v>
      </c>
      <c r="AO29" s="74"/>
      <c r="AP29" s="74"/>
      <c r="AQ29" s="74"/>
    </row>
    <row r="30" spans="2:43" x14ac:dyDescent="0.2">
      <c r="B30" s="55" t="str">
        <f>"y'(" &amp; D30 &amp; ")"</f>
        <v>y'(1)</v>
      </c>
      <c r="C30" s="74">
        <v>0</v>
      </c>
      <c r="D30" s="74">
        <v>1</v>
      </c>
      <c r="F30" s="99">
        <f>3*time^2</f>
        <v>3</v>
      </c>
      <c r="G30" s="100">
        <f>2*time</f>
        <v>2</v>
      </c>
      <c r="H30" s="100">
        <f>time^0</f>
        <v>1</v>
      </c>
      <c r="I30" s="100">
        <v>0</v>
      </c>
      <c r="J30" s="100">
        <f>-3*time^2</f>
        <v>-3</v>
      </c>
      <c r="K30" s="100">
        <f>-2*time</f>
        <v>-2</v>
      </c>
      <c r="L30" s="100">
        <f>-(time^0)</f>
        <v>-1</v>
      </c>
      <c r="M30" s="101">
        <v>0</v>
      </c>
      <c r="N30" s="100"/>
      <c r="O30" s="100"/>
      <c r="P30" s="100"/>
      <c r="Q30" s="100"/>
      <c r="R30" s="100"/>
      <c r="S30" s="92"/>
      <c r="T30" s="100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100"/>
      <c r="AF30" s="100"/>
      <c r="AG30" s="100"/>
      <c r="AH30" s="100"/>
      <c r="AI30" s="100"/>
      <c r="AJ30" s="100"/>
      <c r="AK30" s="101"/>
      <c r="AM30" s="74" t="str">
        <f>"c_"&amp; time</f>
        <v>c_1</v>
      </c>
      <c r="AN30" s="98">
        <v>8.6516527900132079E-5</v>
      </c>
      <c r="AO30" s="74"/>
      <c r="AP30" s="74"/>
      <c r="AQ30" s="74"/>
    </row>
    <row r="31" spans="2:43" x14ac:dyDescent="0.2">
      <c r="B31" s="55" t="str">
        <f>"y''(" &amp; D31 &amp; ")"</f>
        <v>y''(1)</v>
      </c>
      <c r="C31" s="74">
        <v>0</v>
      </c>
      <c r="D31" s="74">
        <v>1</v>
      </c>
      <c r="F31" s="102">
        <f>2*3*time^1</f>
        <v>6</v>
      </c>
      <c r="G31" s="103">
        <f>2*time^0</f>
        <v>2</v>
      </c>
      <c r="H31" s="103">
        <v>0</v>
      </c>
      <c r="I31" s="103">
        <v>0</v>
      </c>
      <c r="J31" s="103">
        <f>-2*3*time^1</f>
        <v>-6</v>
      </c>
      <c r="K31" s="103">
        <f>-2*time^0</f>
        <v>-2</v>
      </c>
      <c r="L31" s="103">
        <v>0</v>
      </c>
      <c r="M31" s="104">
        <v>0</v>
      </c>
      <c r="N31" s="100"/>
      <c r="O31" s="100"/>
      <c r="P31" s="100"/>
      <c r="Q31" s="100"/>
      <c r="R31" s="100"/>
      <c r="S31" s="92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0"/>
      <c r="AJ31" s="100"/>
      <c r="AK31" s="101"/>
      <c r="AM31" s="74" t="str">
        <f>"d_"&amp; time</f>
        <v>d_1</v>
      </c>
      <c r="AN31" s="98">
        <v>9.0339808310368851E-5</v>
      </c>
      <c r="AO31" s="74"/>
      <c r="AP31" s="74"/>
      <c r="AQ31" s="74"/>
    </row>
    <row r="32" spans="2:43" x14ac:dyDescent="0.2">
      <c r="B32" s="55" t="str">
        <f t="shared" ref="B32" si="1">"y(" &amp; D32 &amp; ")"</f>
        <v>y(2)</v>
      </c>
      <c r="C32" s="74">
        <f t="shared" ref="C32:C33" si="2">VLOOKUP(D32,$B$12:$C$20,2,0)</f>
        <v>3.7869296080000003E-2</v>
      </c>
      <c r="D32" s="74">
        <f>D28+1</f>
        <v>2</v>
      </c>
      <c r="F32" s="99"/>
      <c r="G32" s="100"/>
      <c r="H32" s="100"/>
      <c r="I32" s="100"/>
      <c r="J32" s="94">
        <f>time^3</f>
        <v>8</v>
      </c>
      <c r="K32" s="95">
        <f>time^2</f>
        <v>4</v>
      </c>
      <c r="L32" s="95">
        <f>time^1</f>
        <v>2</v>
      </c>
      <c r="M32" s="95">
        <f>time^0</f>
        <v>1</v>
      </c>
      <c r="N32" s="95">
        <v>0</v>
      </c>
      <c r="O32" s="95">
        <v>0</v>
      </c>
      <c r="P32" s="95">
        <v>0</v>
      </c>
      <c r="Q32" s="96">
        <v>0</v>
      </c>
      <c r="R32" s="100"/>
      <c r="S32" s="92"/>
      <c r="T32" s="100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  <c r="AE32" s="100"/>
      <c r="AF32" s="100"/>
      <c r="AG32" s="100"/>
      <c r="AH32" s="100"/>
      <c r="AI32" s="100"/>
      <c r="AJ32" s="100"/>
      <c r="AK32" s="101"/>
      <c r="AM32" s="74" t="str">
        <f>"a_"&amp; time</f>
        <v>a_2</v>
      </c>
      <c r="AN32" s="98">
        <v>7.6360414150203435E-4</v>
      </c>
      <c r="AO32" s="74"/>
      <c r="AP32" s="74"/>
      <c r="AQ32" s="74"/>
    </row>
    <row r="33" spans="2:43" x14ac:dyDescent="0.2">
      <c r="B33" s="55" t="str">
        <f t="shared" si="0"/>
        <v>y(2)</v>
      </c>
      <c r="C33" s="74">
        <f t="shared" si="2"/>
        <v>3.7869296080000003E-2</v>
      </c>
      <c r="D33" s="74">
        <f t="shared" ref="D33:D47" si="3">D29+1</f>
        <v>2</v>
      </c>
      <c r="F33" s="99"/>
      <c r="G33" s="100"/>
      <c r="H33" s="100"/>
      <c r="I33" s="100"/>
      <c r="J33" s="99">
        <v>0</v>
      </c>
      <c r="K33" s="100">
        <v>0</v>
      </c>
      <c r="L33" s="100">
        <v>0</v>
      </c>
      <c r="M33" s="100">
        <v>0</v>
      </c>
      <c r="N33" s="100">
        <f>time^3</f>
        <v>8</v>
      </c>
      <c r="O33" s="100">
        <f>time^2</f>
        <v>4</v>
      </c>
      <c r="P33" s="100">
        <f>time^1</f>
        <v>2</v>
      </c>
      <c r="Q33" s="101">
        <f>time^0</f>
        <v>1</v>
      </c>
      <c r="R33" s="100"/>
      <c r="S33" s="92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1"/>
      <c r="AM33" s="74" t="str">
        <f>"b_"&amp; time</f>
        <v>b_2</v>
      </c>
      <c r="AN33" s="98">
        <v>5.6650685881859842E-4</v>
      </c>
      <c r="AO33" s="74"/>
      <c r="AP33" s="74"/>
      <c r="AQ33" s="74"/>
    </row>
    <row r="34" spans="2:43" x14ac:dyDescent="0.2">
      <c r="B34" s="55" t="str">
        <f t="shared" ref="B34" si="4">"y'(" &amp; D34 &amp; ")"</f>
        <v>y'(2)</v>
      </c>
      <c r="C34" s="74">
        <v>0</v>
      </c>
      <c r="D34" s="74">
        <f t="shared" si="3"/>
        <v>2</v>
      </c>
      <c r="F34" s="99"/>
      <c r="G34" s="100"/>
      <c r="H34" s="100"/>
      <c r="I34" s="100"/>
      <c r="J34" s="99">
        <f>3*time^2</f>
        <v>12</v>
      </c>
      <c r="K34" s="100">
        <f>2*time</f>
        <v>4</v>
      </c>
      <c r="L34" s="100">
        <f>time^0</f>
        <v>1</v>
      </c>
      <c r="M34" s="100">
        <v>0</v>
      </c>
      <c r="N34" s="100">
        <f>-3*time^2</f>
        <v>-12</v>
      </c>
      <c r="O34" s="100">
        <f>-2*time</f>
        <v>-4</v>
      </c>
      <c r="P34" s="100">
        <f>-(time^0)</f>
        <v>-1</v>
      </c>
      <c r="Q34" s="101">
        <v>0</v>
      </c>
      <c r="R34" s="100"/>
      <c r="S34" s="92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  <c r="AJ34" s="100"/>
      <c r="AK34" s="101"/>
      <c r="AM34" s="74" t="str">
        <f>"c_"&amp; time</f>
        <v>c_2</v>
      </c>
      <c r="AN34" s="98">
        <v>4.7337228908141317E-4</v>
      </c>
      <c r="AO34" s="74"/>
      <c r="AP34" s="74"/>
      <c r="AQ34" s="74"/>
    </row>
    <row r="35" spans="2:43" x14ac:dyDescent="0.2">
      <c r="B35" s="55" t="str">
        <f t="shared" ref="B35" si="5">"y''(" &amp; D35 &amp; ")"</f>
        <v>y''(2)</v>
      </c>
      <c r="C35" s="74">
        <v>0</v>
      </c>
      <c r="D35" s="74">
        <f t="shared" si="3"/>
        <v>2</v>
      </c>
      <c r="F35" s="99"/>
      <c r="G35" s="100"/>
      <c r="H35" s="100"/>
      <c r="I35" s="100"/>
      <c r="J35" s="102">
        <f>2*3*time^1</f>
        <v>12</v>
      </c>
      <c r="K35" s="103">
        <f>2*time^0</f>
        <v>2</v>
      </c>
      <c r="L35" s="103">
        <v>0</v>
      </c>
      <c r="M35" s="103">
        <v>0</v>
      </c>
      <c r="N35" s="103">
        <f>-2*3*time^1</f>
        <v>-12</v>
      </c>
      <c r="O35" s="103">
        <f>-2*time^0</f>
        <v>-2</v>
      </c>
      <c r="P35" s="103">
        <v>0</v>
      </c>
      <c r="Q35" s="104">
        <v>0</v>
      </c>
      <c r="R35" s="100"/>
      <c r="S35" s="92"/>
      <c r="T35" s="100"/>
      <c r="U35" s="100"/>
      <c r="V35" s="100"/>
      <c r="W35" s="100"/>
      <c r="X35" s="100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0"/>
      <c r="AJ35" s="100"/>
      <c r="AK35" s="101"/>
      <c r="AM35" s="74" t="str">
        <f>"d_"&amp; time</f>
        <v>d_2</v>
      </c>
      <c r="AN35" s="98">
        <v>4.286961065182151E-4</v>
      </c>
      <c r="AO35" s="74"/>
      <c r="AP35" s="74"/>
      <c r="AQ35" s="74"/>
    </row>
    <row r="36" spans="2:43" x14ac:dyDescent="0.2">
      <c r="B36" s="55" t="str">
        <f t="shared" ref="B36:B53" si="6">"y(" &amp; D36 &amp; ")"</f>
        <v>y(3)</v>
      </c>
      <c r="C36" s="74">
        <f t="shared" ref="C36:C37" si="7">VLOOKUP(D36,$B$12:$C$20,2,0)</f>
        <v>4.4685005659999999E-2</v>
      </c>
      <c r="D36" s="74">
        <f t="shared" si="3"/>
        <v>3</v>
      </c>
      <c r="F36" s="99"/>
      <c r="G36" s="100"/>
      <c r="H36" s="100"/>
      <c r="I36" s="100"/>
      <c r="J36" s="100"/>
      <c r="K36" s="100"/>
      <c r="L36" s="100"/>
      <c r="M36" s="100"/>
      <c r="N36" s="94">
        <f>time^3</f>
        <v>27</v>
      </c>
      <c r="O36" s="95">
        <f>time^2</f>
        <v>9</v>
      </c>
      <c r="P36" s="95">
        <f>time^1</f>
        <v>3</v>
      </c>
      <c r="Q36" s="95">
        <f>time^0</f>
        <v>1</v>
      </c>
      <c r="R36" s="95">
        <v>0</v>
      </c>
      <c r="S36" s="95">
        <v>0</v>
      </c>
      <c r="T36" s="95">
        <v>0</v>
      </c>
      <c r="U36" s="96">
        <v>0</v>
      </c>
      <c r="V36" s="100"/>
      <c r="W36" s="100"/>
      <c r="X36" s="100"/>
      <c r="Y36" s="100"/>
      <c r="Z36" s="100"/>
      <c r="AA36" s="100"/>
      <c r="AB36" s="100"/>
      <c r="AC36" s="100"/>
      <c r="AD36" s="100"/>
      <c r="AE36" s="100"/>
      <c r="AF36" s="100"/>
      <c r="AG36" s="100"/>
      <c r="AH36" s="100"/>
      <c r="AI36" s="100"/>
      <c r="AJ36" s="100"/>
      <c r="AK36" s="101"/>
      <c r="AM36" s="74" t="str">
        <f>"a_"&amp; time</f>
        <v>a_3</v>
      </c>
      <c r="AN36" s="98">
        <v>4.3697091013100166E-4</v>
      </c>
      <c r="AO36" s="74"/>
      <c r="AP36" s="74"/>
      <c r="AQ36" s="74"/>
    </row>
    <row r="37" spans="2:43" x14ac:dyDescent="0.2">
      <c r="B37" s="55" t="str">
        <f t="shared" si="0"/>
        <v>y(3)</v>
      </c>
      <c r="C37" s="74">
        <f t="shared" si="7"/>
        <v>4.4685005659999999E-2</v>
      </c>
      <c r="D37" s="74">
        <f t="shared" si="3"/>
        <v>3</v>
      </c>
      <c r="E37" s="55"/>
      <c r="F37" s="105"/>
      <c r="G37" s="106"/>
      <c r="H37" s="106"/>
      <c r="I37" s="106"/>
      <c r="J37" s="106"/>
      <c r="K37" s="106"/>
      <c r="L37" s="106"/>
      <c r="M37" s="106"/>
      <c r="N37" s="99">
        <v>0</v>
      </c>
      <c r="O37" s="100">
        <v>0</v>
      </c>
      <c r="P37" s="100">
        <v>0</v>
      </c>
      <c r="Q37" s="100">
        <v>0</v>
      </c>
      <c r="R37" s="100">
        <f>time^3</f>
        <v>27</v>
      </c>
      <c r="S37" s="100">
        <f>time^2</f>
        <v>9</v>
      </c>
      <c r="T37" s="100">
        <f>time^1</f>
        <v>3</v>
      </c>
      <c r="U37" s="101">
        <f>time^0</f>
        <v>1</v>
      </c>
      <c r="V37" s="100"/>
      <c r="W37" s="100"/>
      <c r="X37" s="100"/>
      <c r="Y37" s="100"/>
      <c r="Z37" s="100"/>
      <c r="AA37" s="100"/>
      <c r="AB37" s="100"/>
      <c r="AC37" s="100"/>
      <c r="AD37" s="100"/>
      <c r="AE37" s="100"/>
      <c r="AF37" s="100"/>
      <c r="AG37" s="100"/>
      <c r="AH37" s="100"/>
      <c r="AI37" s="100"/>
      <c r="AJ37" s="100"/>
      <c r="AK37" s="101"/>
      <c r="AM37" s="74" t="str">
        <f>"b_"&amp; time</f>
        <v>b_3</v>
      </c>
      <c r="AN37" s="98">
        <v>1.0765825950435676E-3</v>
      </c>
      <c r="AO37" s="74"/>
      <c r="AP37" s="74"/>
      <c r="AQ37" s="74"/>
    </row>
    <row r="38" spans="2:43" x14ac:dyDescent="0.2">
      <c r="B38" s="55" t="str">
        <f t="shared" ref="B38" si="8">"y'(" &amp; D38 &amp; ")"</f>
        <v>y'(3)</v>
      </c>
      <c r="C38" s="74">
        <v>0</v>
      </c>
      <c r="D38" s="74">
        <f t="shared" si="3"/>
        <v>3</v>
      </c>
      <c r="F38" s="99"/>
      <c r="G38" s="107"/>
      <c r="H38" s="100"/>
      <c r="I38" s="100"/>
      <c r="J38" s="100"/>
      <c r="K38" s="100"/>
      <c r="L38" s="100"/>
      <c r="M38" s="100"/>
      <c r="N38" s="99">
        <f>3*time^2</f>
        <v>27</v>
      </c>
      <c r="O38" s="100">
        <f>2*time</f>
        <v>6</v>
      </c>
      <c r="P38" s="100">
        <f>time^0</f>
        <v>1</v>
      </c>
      <c r="Q38" s="100">
        <v>0</v>
      </c>
      <c r="R38" s="100">
        <f>-3*time^2</f>
        <v>-27</v>
      </c>
      <c r="S38" s="100">
        <f>-2*time</f>
        <v>-6</v>
      </c>
      <c r="T38" s="100">
        <f>-(time^0)</f>
        <v>-1</v>
      </c>
      <c r="U38" s="101">
        <v>0</v>
      </c>
      <c r="V38" s="100"/>
      <c r="W38" s="100"/>
      <c r="X38" s="100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0"/>
      <c r="AJ38" s="100"/>
      <c r="AK38" s="101"/>
      <c r="AM38" s="74" t="str">
        <f>"c_"&amp; time</f>
        <v>c_3</v>
      </c>
      <c r="AN38" s="98">
        <v>8.2637205135232454E-4</v>
      </c>
      <c r="AO38" s="74"/>
      <c r="AP38" s="74"/>
      <c r="AQ38" s="74"/>
    </row>
    <row r="39" spans="2:43" x14ac:dyDescent="0.2">
      <c r="B39" s="55" t="str">
        <f t="shared" ref="B39" si="9">"y''(" &amp; D39 &amp; ")"</f>
        <v>y''(3)</v>
      </c>
      <c r="C39" s="74">
        <v>0</v>
      </c>
      <c r="D39" s="74">
        <f t="shared" si="3"/>
        <v>3</v>
      </c>
      <c r="F39" s="99"/>
      <c r="G39" s="107"/>
      <c r="H39" s="100"/>
      <c r="I39" s="100"/>
      <c r="J39" s="100"/>
      <c r="K39" s="100"/>
      <c r="L39" s="100"/>
      <c r="M39" s="100"/>
      <c r="N39" s="102">
        <f>2*3*time^1</f>
        <v>18</v>
      </c>
      <c r="O39" s="103">
        <f>2*time^0</f>
        <v>2</v>
      </c>
      <c r="P39" s="103">
        <v>0</v>
      </c>
      <c r="Q39" s="103">
        <v>0</v>
      </c>
      <c r="R39" s="103">
        <f>-2*3*time^1</f>
        <v>-18</v>
      </c>
      <c r="S39" s="103">
        <f>-2*time^0</f>
        <v>-2</v>
      </c>
      <c r="T39" s="103">
        <v>0</v>
      </c>
      <c r="U39" s="104">
        <v>0</v>
      </c>
      <c r="V39" s="100"/>
      <c r="W39" s="100"/>
      <c r="X39" s="100"/>
      <c r="Y39" s="100"/>
      <c r="Z39" s="100"/>
      <c r="AA39" s="100"/>
      <c r="AB39" s="100"/>
      <c r="AC39" s="100"/>
      <c r="AD39" s="100"/>
      <c r="AE39" s="100"/>
      <c r="AF39" s="100"/>
      <c r="AG39" s="100"/>
      <c r="AH39" s="100"/>
      <c r="AI39" s="100"/>
      <c r="AJ39" s="100"/>
      <c r="AK39" s="101"/>
      <c r="AM39" s="74" t="str">
        <f>"d_"&amp; time</f>
        <v>d_3</v>
      </c>
      <c r="AN39" s="98">
        <v>5.1053899318857343E-4</v>
      </c>
      <c r="AO39" s="74"/>
      <c r="AP39" s="74"/>
      <c r="AQ39" s="74"/>
    </row>
    <row r="40" spans="2:43" x14ac:dyDescent="0.2">
      <c r="B40" s="55" t="str">
        <f t="shared" si="6"/>
        <v>y(4)</v>
      </c>
      <c r="C40" s="74">
        <f t="shared" ref="C40:C41" si="10">VLOOKUP(D40,$B$12:$C$20,2,0)</f>
        <v>5.1500715240000002E-2</v>
      </c>
      <c r="D40" s="74">
        <f t="shared" si="3"/>
        <v>4</v>
      </c>
      <c r="F40" s="99"/>
      <c r="G40" s="107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94">
        <f>time^3</f>
        <v>64</v>
      </c>
      <c r="S40" s="95">
        <f>time^2</f>
        <v>16</v>
      </c>
      <c r="T40" s="95">
        <f>time^1</f>
        <v>4</v>
      </c>
      <c r="U40" s="95">
        <f>time^0</f>
        <v>1</v>
      </c>
      <c r="V40" s="95">
        <v>0</v>
      </c>
      <c r="W40" s="95">
        <v>0</v>
      </c>
      <c r="X40" s="95">
        <v>0</v>
      </c>
      <c r="Y40" s="96">
        <v>0</v>
      </c>
      <c r="Z40" s="100"/>
      <c r="AA40" s="100"/>
      <c r="AB40" s="100"/>
      <c r="AC40" s="100"/>
      <c r="AD40" s="100"/>
      <c r="AE40" s="100"/>
      <c r="AF40" s="100"/>
      <c r="AG40" s="100"/>
      <c r="AH40" s="100"/>
      <c r="AI40" s="100"/>
      <c r="AJ40" s="100"/>
      <c r="AK40" s="101"/>
      <c r="AM40" s="74" t="str">
        <f>"a_"&amp; time</f>
        <v>a_4</v>
      </c>
      <c r="AN40" s="98">
        <v>1.2791698714492505E-4</v>
      </c>
      <c r="AO40" s="74"/>
      <c r="AP40" s="74"/>
      <c r="AQ40" s="74"/>
    </row>
    <row r="41" spans="2:43" x14ac:dyDescent="0.2">
      <c r="B41" s="55" t="str">
        <f t="shared" si="6"/>
        <v>y(4)</v>
      </c>
      <c r="C41" s="74">
        <f t="shared" si="10"/>
        <v>5.1500715240000002E-2</v>
      </c>
      <c r="D41" s="74">
        <f t="shared" si="3"/>
        <v>4</v>
      </c>
      <c r="F41" s="99"/>
      <c r="G41" s="107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99">
        <v>0</v>
      </c>
      <c r="S41" s="100">
        <v>0</v>
      </c>
      <c r="T41" s="100">
        <v>0</v>
      </c>
      <c r="U41" s="100">
        <v>0</v>
      </c>
      <c r="V41" s="100">
        <f>time^3</f>
        <v>64</v>
      </c>
      <c r="W41" s="100">
        <f>time^2</f>
        <v>16</v>
      </c>
      <c r="X41" s="100">
        <f>time^1</f>
        <v>4</v>
      </c>
      <c r="Y41" s="101">
        <f>time^0</f>
        <v>1</v>
      </c>
      <c r="Z41" s="100"/>
      <c r="AA41" s="100"/>
      <c r="AB41" s="100"/>
      <c r="AC41" s="100"/>
      <c r="AD41" s="100"/>
      <c r="AE41" s="100"/>
      <c r="AF41" s="100"/>
      <c r="AG41" s="100"/>
      <c r="AH41" s="100"/>
      <c r="AI41" s="100"/>
      <c r="AJ41" s="100"/>
      <c r="AK41" s="101"/>
      <c r="AM41" s="74" t="str">
        <f>"b_"&amp; time</f>
        <v>b_4</v>
      </c>
      <c r="AN41" s="98">
        <v>1.9089126300750416E-3</v>
      </c>
      <c r="AO41" s="74"/>
      <c r="AP41" s="74"/>
      <c r="AQ41" s="74"/>
    </row>
    <row r="42" spans="2:43" s="55" customFormat="1" x14ac:dyDescent="0.2">
      <c r="B42" s="55" t="str">
        <f t="shared" ref="B42:B54" si="11">"y'(" &amp; D42 &amp; ")"</f>
        <v>y'(4)</v>
      </c>
      <c r="C42" s="74">
        <v>0</v>
      </c>
      <c r="D42" s="74">
        <f t="shared" si="3"/>
        <v>4</v>
      </c>
      <c r="E42" s="74"/>
      <c r="F42" s="99"/>
      <c r="G42" s="107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99">
        <f>3*time^2</f>
        <v>48</v>
      </c>
      <c r="S42" s="100">
        <f>2*time</f>
        <v>8</v>
      </c>
      <c r="T42" s="100">
        <f>time^0</f>
        <v>1</v>
      </c>
      <c r="U42" s="100">
        <v>0</v>
      </c>
      <c r="V42" s="100">
        <f>-3*time^2</f>
        <v>-48</v>
      </c>
      <c r="W42" s="100">
        <f>-2*time</f>
        <v>-8</v>
      </c>
      <c r="X42" s="100">
        <f>-(time^0)</f>
        <v>-1</v>
      </c>
      <c r="Y42" s="101">
        <v>0</v>
      </c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8"/>
      <c r="AM42" s="74" t="str">
        <f>"c_"&amp; time</f>
        <v>c_4</v>
      </c>
      <c r="AN42" s="98">
        <v>1.0976767001326384E-3</v>
      </c>
    </row>
    <row r="43" spans="2:43" x14ac:dyDescent="0.2">
      <c r="B43" s="55" t="str">
        <f t="shared" ref="B43:B59" si="12">"y''(" &amp; D43 &amp; ")"</f>
        <v>y''(4)</v>
      </c>
      <c r="C43" s="74">
        <v>0</v>
      </c>
      <c r="D43" s="74">
        <f t="shared" si="3"/>
        <v>4</v>
      </c>
      <c r="F43" s="99"/>
      <c r="G43" s="107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2">
        <f>2*3*time^1</f>
        <v>24</v>
      </c>
      <c r="S43" s="103">
        <f>2*time^0</f>
        <v>2</v>
      </c>
      <c r="T43" s="103">
        <v>0</v>
      </c>
      <c r="U43" s="103">
        <v>0</v>
      </c>
      <c r="V43" s="103">
        <f>-2*3*time^1</f>
        <v>-24</v>
      </c>
      <c r="W43" s="103">
        <f>-2*time^0</f>
        <v>-2</v>
      </c>
      <c r="X43" s="103">
        <v>0</v>
      </c>
      <c r="Y43" s="104">
        <v>0</v>
      </c>
      <c r="Z43" s="100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1"/>
      <c r="AM43" s="74" t="str">
        <f>"d_"&amp; time</f>
        <v>d_4</v>
      </c>
      <c r="AN43" s="98">
        <v>4.8111707959180502E-4</v>
      </c>
      <c r="AO43" s="74"/>
      <c r="AP43" s="74"/>
      <c r="AQ43" s="74"/>
    </row>
    <row r="44" spans="2:43" x14ac:dyDescent="0.2">
      <c r="B44" s="55" t="str">
        <f t="shared" si="6"/>
        <v>y(5)</v>
      </c>
      <c r="C44" s="74">
        <f t="shared" ref="C44:C58" si="13">VLOOKUP(D44,$B$12:$C$20,2,0)</f>
        <v>5.8316424819999997E-2</v>
      </c>
      <c r="D44" s="74">
        <f t="shared" si="3"/>
        <v>5</v>
      </c>
      <c r="F44" s="99"/>
      <c r="G44" s="107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94">
        <f>time^3</f>
        <v>125</v>
      </c>
      <c r="W44" s="95">
        <f>time^2</f>
        <v>25</v>
      </c>
      <c r="X44" s="95">
        <f>time^1</f>
        <v>5</v>
      </c>
      <c r="Y44" s="95">
        <f>time^0</f>
        <v>1</v>
      </c>
      <c r="Z44" s="95">
        <v>0</v>
      </c>
      <c r="AA44" s="95">
        <v>0</v>
      </c>
      <c r="AB44" s="95">
        <v>0</v>
      </c>
      <c r="AC44" s="96">
        <v>0</v>
      </c>
      <c r="AD44" s="100"/>
      <c r="AE44" s="100"/>
      <c r="AF44" s="100"/>
      <c r="AG44" s="100"/>
      <c r="AH44" s="100"/>
      <c r="AI44" s="92"/>
      <c r="AJ44" s="100"/>
      <c r="AK44" s="101"/>
      <c r="AM44" s="74" t="str">
        <f>"a_"&amp; time</f>
        <v>a_5</v>
      </c>
      <c r="AN44" s="98">
        <v>-1.2139295817215997E-4</v>
      </c>
      <c r="AO44" s="74"/>
      <c r="AP44" s="74"/>
      <c r="AQ44" s="74"/>
    </row>
    <row r="45" spans="2:43" x14ac:dyDescent="0.2">
      <c r="B45" s="55" t="str">
        <f t="shared" si="6"/>
        <v>y(5)</v>
      </c>
      <c r="C45" s="74">
        <f t="shared" si="13"/>
        <v>5.8316424819999997E-2</v>
      </c>
      <c r="D45" s="74">
        <f t="shared" si="3"/>
        <v>5</v>
      </c>
      <c r="F45" s="99"/>
      <c r="G45" s="107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99">
        <v>0</v>
      </c>
      <c r="W45" s="100">
        <v>0</v>
      </c>
      <c r="X45" s="100">
        <v>0</v>
      </c>
      <c r="Y45" s="100">
        <v>0</v>
      </c>
      <c r="Z45" s="100">
        <f>time^3</f>
        <v>125</v>
      </c>
      <c r="AA45" s="100">
        <f>time^2</f>
        <v>25</v>
      </c>
      <c r="AB45" s="100">
        <f>time^1</f>
        <v>5</v>
      </c>
      <c r="AC45" s="101">
        <f>time^0</f>
        <v>1</v>
      </c>
      <c r="AD45" s="100"/>
      <c r="AE45" s="100"/>
      <c r="AF45" s="100"/>
      <c r="AG45" s="100"/>
      <c r="AH45" s="100"/>
      <c r="AI45" s="92"/>
      <c r="AJ45" s="100"/>
      <c r="AK45" s="101"/>
      <c r="AM45" s="74" t="str">
        <f>"b_"&amp; time</f>
        <v>b_5</v>
      </c>
      <c r="AN45" s="98">
        <v>2.8545103371257329E-3</v>
      </c>
      <c r="AO45" s="74"/>
      <c r="AP45" s="74"/>
      <c r="AQ45" s="74"/>
    </row>
    <row r="46" spans="2:43" x14ac:dyDescent="0.2">
      <c r="B46" s="55" t="str">
        <f t="shared" si="11"/>
        <v>y'(5)</v>
      </c>
      <c r="C46" s="74">
        <v>0</v>
      </c>
      <c r="D46" s="74">
        <f t="shared" si="3"/>
        <v>5</v>
      </c>
      <c r="F46" s="99"/>
      <c r="G46" s="107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99">
        <f>3*time^2</f>
        <v>75</v>
      </c>
      <c r="W46" s="100">
        <f>2*time</f>
        <v>10</v>
      </c>
      <c r="X46" s="100">
        <f>time^0</f>
        <v>1</v>
      </c>
      <c r="Y46" s="100">
        <v>0</v>
      </c>
      <c r="Z46" s="100">
        <f>-3*time^2</f>
        <v>-75</v>
      </c>
      <c r="AA46" s="100">
        <f>-2*time</f>
        <v>-10</v>
      </c>
      <c r="AB46" s="100">
        <f>-(time^0)</f>
        <v>-1</v>
      </c>
      <c r="AC46" s="101">
        <v>0</v>
      </c>
      <c r="AD46" s="100"/>
      <c r="AE46" s="100"/>
      <c r="AF46" s="100"/>
      <c r="AG46" s="100"/>
      <c r="AH46" s="100"/>
      <c r="AI46" s="92"/>
      <c r="AJ46" s="100"/>
      <c r="AK46" s="101"/>
      <c r="AM46" s="74" t="str">
        <f>"c_"&amp; time</f>
        <v>c_5</v>
      </c>
      <c r="AN46" s="98">
        <v>1.2726699077089218E-3</v>
      </c>
      <c r="AO46" s="74"/>
      <c r="AP46" s="74"/>
      <c r="AQ46" s="74"/>
    </row>
    <row r="47" spans="2:43" x14ac:dyDescent="0.2">
      <c r="B47" s="55" t="str">
        <f t="shared" si="12"/>
        <v>y''(5)</v>
      </c>
      <c r="C47" s="74">
        <v>0</v>
      </c>
      <c r="D47" s="74">
        <f t="shared" si="3"/>
        <v>5</v>
      </c>
      <c r="F47" s="99"/>
      <c r="G47" s="107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2">
        <f>2*3*time^1</f>
        <v>30</v>
      </c>
      <c r="W47" s="103">
        <f>2*time^0</f>
        <v>2</v>
      </c>
      <c r="X47" s="103">
        <v>0</v>
      </c>
      <c r="Y47" s="103">
        <v>0</v>
      </c>
      <c r="Z47" s="103">
        <f>-2*3*time^1</f>
        <v>-30</v>
      </c>
      <c r="AA47" s="103">
        <f>-2*time^0</f>
        <v>-2</v>
      </c>
      <c r="AB47" s="103">
        <v>0</v>
      </c>
      <c r="AC47" s="104">
        <v>0</v>
      </c>
      <c r="AD47" s="100"/>
      <c r="AE47" s="100"/>
      <c r="AF47" s="100"/>
      <c r="AG47" s="100"/>
      <c r="AH47" s="100"/>
      <c r="AI47" s="92"/>
      <c r="AJ47" s="100"/>
      <c r="AK47" s="101"/>
      <c r="AM47" s="74" t="str">
        <f>"d_"&amp; time</f>
        <v>d_5</v>
      </c>
      <c r="AN47" s="98">
        <v>4.2917446539963451E-4</v>
      </c>
      <c r="AO47" s="74"/>
      <c r="AP47" s="74"/>
      <c r="AQ47" s="74"/>
    </row>
    <row r="48" spans="2:43" x14ac:dyDescent="0.2">
      <c r="B48" s="55" t="str">
        <f t="shared" si="6"/>
        <v>y(7)</v>
      </c>
      <c r="C48" s="74">
        <f t="shared" ref="C48:C49" si="14">VLOOKUP(D48,$B$12:$C$20,2,0)</f>
        <v>6.51321344E-2</v>
      </c>
      <c r="D48" s="74">
        <v>7</v>
      </c>
      <c r="F48" s="99"/>
      <c r="G48" s="107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94">
        <f>time^3</f>
        <v>343</v>
      </c>
      <c r="AA48" s="95">
        <f>time^2</f>
        <v>49</v>
      </c>
      <c r="AB48" s="95">
        <f>time^1</f>
        <v>7</v>
      </c>
      <c r="AC48" s="95">
        <f>time^0</f>
        <v>1</v>
      </c>
      <c r="AD48" s="95">
        <v>0</v>
      </c>
      <c r="AE48" s="95">
        <v>0</v>
      </c>
      <c r="AF48" s="95">
        <v>0</v>
      </c>
      <c r="AG48" s="96">
        <v>0</v>
      </c>
      <c r="AH48" s="100"/>
      <c r="AI48" s="92"/>
      <c r="AJ48" s="100"/>
      <c r="AK48" s="101"/>
      <c r="AM48" s="74" t="str">
        <f>"a_"&amp; time</f>
        <v>a_7</v>
      </c>
      <c r="AN48" s="98">
        <v>-9.5572170044169735E-4</v>
      </c>
      <c r="AO48" s="74"/>
      <c r="AP48" s="74"/>
      <c r="AQ48" s="74"/>
    </row>
    <row r="49" spans="2:40" s="74" customFormat="1" x14ac:dyDescent="0.2">
      <c r="B49" s="55" t="str">
        <f t="shared" si="6"/>
        <v>y(7)</v>
      </c>
      <c r="C49" s="74">
        <f t="shared" si="14"/>
        <v>6.51321344E-2</v>
      </c>
      <c r="D49" s="74">
        <v>7</v>
      </c>
      <c r="F49" s="99"/>
      <c r="G49" s="107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99">
        <v>0</v>
      </c>
      <c r="AA49" s="100">
        <v>0</v>
      </c>
      <c r="AB49" s="100">
        <v>0</v>
      </c>
      <c r="AC49" s="100">
        <v>0</v>
      </c>
      <c r="AD49" s="100">
        <f>time^3</f>
        <v>343</v>
      </c>
      <c r="AE49" s="100">
        <f>time^2</f>
        <v>49</v>
      </c>
      <c r="AF49" s="100">
        <f>time^1</f>
        <v>7</v>
      </c>
      <c r="AG49" s="101">
        <f>time^0</f>
        <v>1</v>
      </c>
      <c r="AH49" s="100"/>
      <c r="AI49" s="92"/>
      <c r="AJ49" s="100"/>
      <c r="AK49" s="101"/>
      <c r="AM49" s="74" t="str">
        <f>"b_"&amp; time</f>
        <v>b_7</v>
      </c>
      <c r="AN49" s="98">
        <v>6.7757398148075888E-3</v>
      </c>
    </row>
    <row r="50" spans="2:40" s="74" customFormat="1" x14ac:dyDescent="0.2">
      <c r="B50" s="55" t="str">
        <f t="shared" si="11"/>
        <v>y'(7)</v>
      </c>
      <c r="C50" s="74">
        <v>0</v>
      </c>
      <c r="D50" s="74">
        <v>7</v>
      </c>
      <c r="F50" s="99"/>
      <c r="G50" s="107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99">
        <f>3*time^2</f>
        <v>147</v>
      </c>
      <c r="AA50" s="100">
        <f>2*time</f>
        <v>14</v>
      </c>
      <c r="AB50" s="100">
        <f>time^0</f>
        <v>1</v>
      </c>
      <c r="AC50" s="100">
        <v>0</v>
      </c>
      <c r="AD50" s="100">
        <f>-3*time^2</f>
        <v>-147</v>
      </c>
      <c r="AE50" s="100">
        <f>-2*time</f>
        <v>-14</v>
      </c>
      <c r="AF50" s="100">
        <f>-(time^0)</f>
        <v>-1</v>
      </c>
      <c r="AG50" s="101">
        <v>0</v>
      </c>
      <c r="AH50" s="100"/>
      <c r="AI50" s="92"/>
      <c r="AJ50" s="100"/>
      <c r="AK50" s="101"/>
      <c r="AM50" s="74" t="str">
        <f>"c_"&amp; time</f>
        <v>c_7</v>
      </c>
      <c r="AN50" s="98">
        <v>2.2717573425505089E-3</v>
      </c>
    </row>
    <row r="51" spans="2:40" s="74" customFormat="1" x14ac:dyDescent="0.2">
      <c r="B51" s="55" t="str">
        <f t="shared" si="12"/>
        <v>y''(7)</v>
      </c>
      <c r="C51" s="74">
        <v>0</v>
      </c>
      <c r="D51" s="74">
        <v>7</v>
      </c>
      <c r="F51" s="99"/>
      <c r="G51" s="107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2">
        <f>2*3*time^1</f>
        <v>42</v>
      </c>
      <c r="AA51" s="103">
        <f>2*time^0</f>
        <v>2</v>
      </c>
      <c r="AB51" s="103">
        <v>0</v>
      </c>
      <c r="AC51" s="103">
        <v>0</v>
      </c>
      <c r="AD51" s="103">
        <f>-2*3*time^1</f>
        <v>-42</v>
      </c>
      <c r="AE51" s="103">
        <f>-2*time^0</f>
        <v>-2</v>
      </c>
      <c r="AF51" s="103">
        <v>0</v>
      </c>
      <c r="AG51" s="104">
        <v>0</v>
      </c>
      <c r="AH51" s="100"/>
      <c r="AI51" s="92"/>
      <c r="AJ51" s="100"/>
      <c r="AK51" s="101"/>
      <c r="AM51" s="74" t="str">
        <f>"d_"&amp; time</f>
        <v>d_7</v>
      </c>
      <c r="AN51" s="98">
        <v>5.8357827845356626E-4</v>
      </c>
    </row>
    <row r="52" spans="2:40" s="74" customFormat="1" x14ac:dyDescent="0.2">
      <c r="B52" s="55" t="str">
        <f t="shared" si="6"/>
        <v>y(10)</v>
      </c>
      <c r="C52" s="74">
        <f t="shared" ref="C52:C53" si="15">VLOOKUP(D52,$B$12:$C$20,2,0)</f>
        <v>6.7430707199999995E-2</v>
      </c>
      <c r="D52" s="74">
        <v>10</v>
      </c>
      <c r="F52" s="99"/>
      <c r="G52" s="107"/>
      <c r="H52" s="100"/>
      <c r="I52" s="100"/>
      <c r="J52" s="100"/>
      <c r="K52" s="100"/>
      <c r="L52" s="100"/>
      <c r="M52" s="100"/>
      <c r="N52" s="100"/>
      <c r="O52" s="100"/>
      <c r="P52" s="100"/>
      <c r="Q52" s="100"/>
      <c r="R52" s="100"/>
      <c r="S52" s="100"/>
      <c r="T52" s="100"/>
      <c r="U52" s="100"/>
      <c r="V52" s="100"/>
      <c r="W52" s="100"/>
      <c r="X52" s="100"/>
      <c r="Y52" s="100"/>
      <c r="Z52" s="100"/>
      <c r="AA52" s="100"/>
      <c r="AB52" s="100"/>
      <c r="AC52" s="100"/>
      <c r="AD52" s="94">
        <f>time^3</f>
        <v>1000</v>
      </c>
      <c r="AE52" s="95">
        <f>time^2</f>
        <v>100</v>
      </c>
      <c r="AF52" s="95">
        <f>time^1</f>
        <v>10</v>
      </c>
      <c r="AG52" s="95">
        <f>time^0</f>
        <v>1</v>
      </c>
      <c r="AH52" s="95">
        <v>0</v>
      </c>
      <c r="AI52" s="95">
        <v>0</v>
      </c>
      <c r="AJ52" s="95">
        <v>0</v>
      </c>
      <c r="AK52" s="96">
        <v>0</v>
      </c>
      <c r="AM52" s="74" t="str">
        <f>"a_"&amp; time</f>
        <v>a_10</v>
      </c>
      <c r="AN52" s="98">
        <v>-5.2512154040262894E-5</v>
      </c>
    </row>
    <row r="53" spans="2:40" s="74" customFormat="1" x14ac:dyDescent="0.2">
      <c r="B53" s="55" t="str">
        <f t="shared" si="6"/>
        <v>y(10)</v>
      </c>
      <c r="C53" s="74">
        <f t="shared" si="15"/>
        <v>6.7430707199999995E-2</v>
      </c>
      <c r="D53" s="74">
        <v>10</v>
      </c>
      <c r="F53" s="99"/>
      <c r="G53" s="107"/>
      <c r="H53" s="100"/>
      <c r="I53" s="100"/>
      <c r="J53" s="100"/>
      <c r="K53" s="100"/>
      <c r="L53" s="100"/>
      <c r="M53" s="100"/>
      <c r="N53" s="100"/>
      <c r="O53" s="100"/>
      <c r="P53" s="100"/>
      <c r="Q53" s="100"/>
      <c r="R53" s="100"/>
      <c r="S53" s="100"/>
      <c r="T53" s="100"/>
      <c r="U53" s="100"/>
      <c r="V53" s="106"/>
      <c r="W53" s="106"/>
      <c r="X53" s="106"/>
      <c r="Y53" s="106"/>
      <c r="Z53" s="106"/>
      <c r="AA53" s="106"/>
      <c r="AB53" s="106"/>
      <c r="AC53" s="106"/>
      <c r="AD53" s="99">
        <v>0</v>
      </c>
      <c r="AE53" s="100">
        <v>0</v>
      </c>
      <c r="AF53" s="100">
        <v>0</v>
      </c>
      <c r="AG53" s="100">
        <v>0</v>
      </c>
      <c r="AH53" s="100">
        <f>time^3</f>
        <v>1000</v>
      </c>
      <c r="AI53" s="100">
        <f>time^2</f>
        <v>100</v>
      </c>
      <c r="AJ53" s="100">
        <f>time^1</f>
        <v>10</v>
      </c>
      <c r="AK53" s="101">
        <f>time^0</f>
        <v>1</v>
      </c>
      <c r="AM53" s="74" t="str">
        <f>"b_"&amp; time</f>
        <v>b_10</v>
      </c>
      <c r="AN53" s="98">
        <v>8.6247481724226335E-4</v>
      </c>
    </row>
    <row r="54" spans="2:40" s="74" customFormat="1" x14ac:dyDescent="0.2">
      <c r="B54" s="55" t="str">
        <f t="shared" si="11"/>
        <v>y'(10)</v>
      </c>
      <c r="C54" s="74">
        <v>0</v>
      </c>
      <c r="D54" s="74">
        <v>10</v>
      </c>
      <c r="F54" s="99"/>
      <c r="G54" s="107"/>
      <c r="H54" s="100"/>
      <c r="I54" s="100"/>
      <c r="J54" s="100"/>
      <c r="K54" s="100"/>
      <c r="L54" s="100"/>
      <c r="M54" s="100"/>
      <c r="N54" s="100"/>
      <c r="O54" s="100"/>
      <c r="P54" s="100"/>
      <c r="Q54" s="100"/>
      <c r="R54" s="100"/>
      <c r="S54" s="100"/>
      <c r="T54" s="100"/>
      <c r="U54" s="100"/>
      <c r="V54" s="100"/>
      <c r="W54" s="107"/>
      <c r="X54" s="100"/>
      <c r="Y54" s="100"/>
      <c r="Z54" s="100"/>
      <c r="AA54" s="100"/>
      <c r="AB54" s="100"/>
      <c r="AC54" s="100"/>
      <c r="AD54" s="99">
        <f>3*time^2</f>
        <v>300</v>
      </c>
      <c r="AE54" s="100">
        <f>2*time</f>
        <v>20</v>
      </c>
      <c r="AF54" s="100">
        <f>time^0</f>
        <v>1</v>
      </c>
      <c r="AG54" s="100">
        <v>0</v>
      </c>
      <c r="AH54" s="100">
        <f>-3*time^2</f>
        <v>-300</v>
      </c>
      <c r="AI54" s="100">
        <f>-2*time</f>
        <v>-20</v>
      </c>
      <c r="AJ54" s="100">
        <f>-(time^0)</f>
        <v>-1</v>
      </c>
      <c r="AK54" s="101">
        <v>0</v>
      </c>
      <c r="AM54" s="74" t="str">
        <f>"c_"&amp; time</f>
        <v>c_10</v>
      </c>
      <c r="AN54" s="98">
        <v>-1.5848655310924964E-4</v>
      </c>
    </row>
    <row r="55" spans="2:40" s="74" customFormat="1" x14ac:dyDescent="0.2">
      <c r="B55" s="55" t="str">
        <f t="shared" si="12"/>
        <v>y''(10)</v>
      </c>
      <c r="C55" s="74">
        <v>0</v>
      </c>
      <c r="D55" s="74">
        <v>10</v>
      </c>
      <c r="F55" s="99"/>
      <c r="G55" s="107"/>
      <c r="H55" s="100"/>
      <c r="I55" s="100"/>
      <c r="J55" s="100"/>
      <c r="K55" s="100"/>
      <c r="L55" s="100"/>
      <c r="M55" s="100"/>
      <c r="N55" s="100"/>
      <c r="O55" s="100"/>
      <c r="P55" s="100"/>
      <c r="Q55" s="100"/>
      <c r="R55" s="100"/>
      <c r="S55" s="100"/>
      <c r="T55" s="100"/>
      <c r="U55" s="100"/>
      <c r="V55" s="100"/>
      <c r="W55" s="107"/>
      <c r="X55" s="100"/>
      <c r="Y55" s="100"/>
      <c r="Z55" s="100"/>
      <c r="AA55" s="100"/>
      <c r="AB55" s="100"/>
      <c r="AC55" s="100"/>
      <c r="AD55" s="102">
        <f>2*3*time^1</f>
        <v>60</v>
      </c>
      <c r="AE55" s="103">
        <f>2*time^0</f>
        <v>2</v>
      </c>
      <c r="AF55" s="103">
        <v>0</v>
      </c>
      <c r="AG55" s="103">
        <v>0</v>
      </c>
      <c r="AH55" s="103">
        <f>-2*3*time^1</f>
        <v>-60</v>
      </c>
      <c r="AI55" s="103">
        <f>-2*time^0</f>
        <v>-2</v>
      </c>
      <c r="AJ55" s="103">
        <v>0</v>
      </c>
      <c r="AK55" s="104">
        <v>0</v>
      </c>
      <c r="AM55" s="74" t="str">
        <f>"d_"&amp; time</f>
        <v>d_10</v>
      </c>
      <c r="AN55" s="98">
        <v>-5.4854428804596831E-5</v>
      </c>
    </row>
    <row r="56" spans="2:40" s="74" customFormat="1" x14ac:dyDescent="0.2">
      <c r="B56" s="55" t="str">
        <f t="shared" ref="B56" si="16">"y(" &amp; D56 &amp; ")"</f>
        <v>y(0)</v>
      </c>
      <c r="C56" s="74">
        <f t="shared" si="13"/>
        <v>0</v>
      </c>
      <c r="D56" s="74">
        <v>0</v>
      </c>
      <c r="F56" s="109">
        <f>time^3</f>
        <v>0</v>
      </c>
      <c r="G56" s="110">
        <f>time^2</f>
        <v>0</v>
      </c>
      <c r="H56" s="110">
        <f>time^1</f>
        <v>0</v>
      </c>
      <c r="I56" s="111">
        <v>1</v>
      </c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7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1"/>
      <c r="AM56" s="74" t="s">
        <v>292</v>
      </c>
      <c r="AN56" s="98">
        <v>-1.0687934822827866E-4</v>
      </c>
    </row>
    <row r="57" spans="2:40" s="74" customFormat="1" x14ac:dyDescent="0.2">
      <c r="B57" s="55" t="str">
        <f t="shared" si="12"/>
        <v>y''(0)</v>
      </c>
      <c r="C57" s="74">
        <v>0</v>
      </c>
      <c r="D57" s="74">
        <v>0</v>
      </c>
      <c r="F57" s="109">
        <f>2*3*time^1</f>
        <v>0</v>
      </c>
      <c r="G57" s="110">
        <f>2*1</f>
        <v>2</v>
      </c>
      <c r="H57" s="110">
        <v>0</v>
      </c>
      <c r="I57" s="111">
        <v>0</v>
      </c>
      <c r="J57" s="100"/>
      <c r="K57" s="100"/>
      <c r="L57" s="100"/>
      <c r="M57" s="100"/>
      <c r="N57" s="100"/>
      <c r="O57" s="100"/>
      <c r="P57" s="100"/>
      <c r="Q57" s="100"/>
      <c r="R57" s="100"/>
      <c r="S57" s="100"/>
      <c r="T57" s="100"/>
      <c r="U57" s="100"/>
      <c r="V57" s="100"/>
      <c r="W57" s="107"/>
      <c r="X57" s="100"/>
      <c r="Y57" s="100"/>
      <c r="Z57" s="100"/>
      <c r="AA57" s="100"/>
      <c r="AB57" s="100"/>
      <c r="AC57" s="100"/>
      <c r="AD57" s="100"/>
      <c r="AE57" s="100"/>
      <c r="AF57" s="100"/>
      <c r="AG57" s="100"/>
      <c r="AH57" s="100"/>
      <c r="AI57" s="92"/>
      <c r="AJ57" s="100"/>
      <c r="AK57" s="101"/>
      <c r="AM57" s="74" t="s">
        <v>293</v>
      </c>
      <c r="AN57" s="98">
        <v>4.2282350775342042E-3</v>
      </c>
    </row>
    <row r="58" spans="2:40" s="74" customFormat="1" x14ac:dyDescent="0.2">
      <c r="B58" s="55" t="str">
        <f t="shared" ref="B58" si="17">"y(" &amp; D58 &amp; ")"</f>
        <v>y(30)</v>
      </c>
      <c r="C58" s="74">
        <f t="shared" si="13"/>
        <v>0.08</v>
      </c>
      <c r="D58" s="74">
        <v>30</v>
      </c>
      <c r="F58" s="99"/>
      <c r="G58" s="107"/>
      <c r="H58" s="100"/>
      <c r="I58" s="100"/>
      <c r="J58" s="100"/>
      <c r="K58" s="100"/>
      <c r="L58" s="100"/>
      <c r="M58" s="100"/>
      <c r="N58" s="100"/>
      <c r="O58" s="100"/>
      <c r="P58" s="100"/>
      <c r="Q58" s="100"/>
      <c r="R58" s="100"/>
      <c r="S58" s="100"/>
      <c r="T58" s="100"/>
      <c r="U58" s="100"/>
      <c r="V58" s="100"/>
      <c r="W58" s="107"/>
      <c r="X58" s="100"/>
      <c r="Y58" s="100"/>
      <c r="Z58" s="100"/>
      <c r="AA58" s="100"/>
      <c r="AB58" s="100"/>
      <c r="AC58" s="100"/>
      <c r="AD58" s="100"/>
      <c r="AE58" s="100"/>
      <c r="AF58" s="100"/>
      <c r="AG58" s="100"/>
      <c r="AH58" s="109">
        <f>time^3</f>
        <v>27000</v>
      </c>
      <c r="AI58" s="110">
        <f>time^2</f>
        <v>900</v>
      </c>
      <c r="AJ58" s="110">
        <f>time^1</f>
        <v>30</v>
      </c>
      <c r="AK58" s="111">
        <f>time^0</f>
        <v>1</v>
      </c>
      <c r="AM58" s="74" t="str">
        <f>"c_"&amp; time</f>
        <v>c_30</v>
      </c>
      <c r="AN58" s="98">
        <v>-2.7892578867593925E-2</v>
      </c>
    </row>
    <row r="59" spans="2:40" s="74" customFormat="1" x14ac:dyDescent="0.2">
      <c r="B59" s="55" t="str">
        <f t="shared" si="12"/>
        <v>y''(30)</v>
      </c>
      <c r="C59" s="74">
        <v>0</v>
      </c>
      <c r="D59" s="74">
        <v>30</v>
      </c>
      <c r="F59" s="102"/>
      <c r="G59" s="112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12"/>
      <c r="X59" s="103"/>
      <c r="Y59" s="103"/>
      <c r="Z59" s="103"/>
      <c r="AA59" s="103"/>
      <c r="AB59" s="103"/>
      <c r="AC59" s="103"/>
      <c r="AD59" s="103"/>
      <c r="AE59" s="103"/>
      <c r="AF59" s="103"/>
      <c r="AG59" s="103"/>
      <c r="AH59" s="109">
        <f>2*3*time^1</f>
        <v>180</v>
      </c>
      <c r="AI59" s="110">
        <f>2*time^0</f>
        <v>2</v>
      </c>
      <c r="AJ59" s="110">
        <v>0</v>
      </c>
      <c r="AK59" s="111">
        <v>0</v>
      </c>
      <c r="AM59" s="74" t="str">
        <f>"d_"&amp; time</f>
        <v>d_30</v>
      </c>
      <c r="AN59" s="98">
        <v>-3.7656018538891282E-3</v>
      </c>
    </row>
    <row r="60" spans="2:40" s="74" customFormat="1" x14ac:dyDescent="0.2">
      <c r="G60" s="113"/>
    </row>
    <row r="61" spans="2:40" s="74" customFormat="1" x14ac:dyDescent="0.2">
      <c r="G61" s="113"/>
    </row>
    <row r="62" spans="2:40" s="74" customFormat="1" x14ac:dyDescent="0.2">
      <c r="G62" s="113"/>
    </row>
    <row r="63" spans="2:40" s="74" customFormat="1" x14ac:dyDescent="0.2">
      <c r="G63" s="113"/>
    </row>
    <row r="64" spans="2:40" s="74" customFormat="1" x14ac:dyDescent="0.2">
      <c r="G64" s="113"/>
    </row>
    <row r="65" spans="6:37" s="74" customFormat="1" x14ac:dyDescent="0.2">
      <c r="F65" s="100">
        <f>IF(ISBLANK(F28),0,F28)</f>
        <v>1</v>
      </c>
      <c r="G65" s="100">
        <f t="shared" ref="G65:AK65" si="18">IF(ISBLANK(G28),0,G28)</f>
        <v>1</v>
      </c>
      <c r="H65" s="100">
        <f t="shared" si="18"/>
        <v>1</v>
      </c>
      <c r="I65" s="100">
        <f t="shared" si="18"/>
        <v>1</v>
      </c>
      <c r="J65" s="100">
        <f t="shared" si="18"/>
        <v>0</v>
      </c>
      <c r="K65" s="100">
        <f t="shared" si="18"/>
        <v>0</v>
      </c>
      <c r="L65" s="100">
        <f t="shared" si="18"/>
        <v>0</v>
      </c>
      <c r="M65" s="100">
        <f t="shared" si="18"/>
        <v>0</v>
      </c>
      <c r="N65" s="100">
        <f t="shared" si="18"/>
        <v>0</v>
      </c>
      <c r="O65" s="100">
        <f t="shared" si="18"/>
        <v>0</v>
      </c>
      <c r="P65" s="100">
        <f t="shared" si="18"/>
        <v>0</v>
      </c>
      <c r="Q65" s="100">
        <f t="shared" si="18"/>
        <v>0</v>
      </c>
      <c r="R65" s="100">
        <f t="shared" si="18"/>
        <v>0</v>
      </c>
      <c r="S65" s="100">
        <f t="shared" si="18"/>
        <v>0</v>
      </c>
      <c r="T65" s="100">
        <f t="shared" si="18"/>
        <v>0</v>
      </c>
      <c r="U65" s="100">
        <f t="shared" si="18"/>
        <v>0</v>
      </c>
      <c r="V65" s="100">
        <f t="shared" si="18"/>
        <v>0</v>
      </c>
      <c r="W65" s="100">
        <f t="shared" si="18"/>
        <v>0</v>
      </c>
      <c r="X65" s="100">
        <f t="shared" si="18"/>
        <v>0</v>
      </c>
      <c r="Y65" s="100">
        <f t="shared" si="18"/>
        <v>0</v>
      </c>
      <c r="Z65" s="100">
        <f t="shared" si="18"/>
        <v>0</v>
      </c>
      <c r="AA65" s="100">
        <f t="shared" si="18"/>
        <v>0</v>
      </c>
      <c r="AB65" s="100">
        <f t="shared" si="18"/>
        <v>0</v>
      </c>
      <c r="AC65" s="100">
        <f t="shared" si="18"/>
        <v>0</v>
      </c>
      <c r="AD65" s="100">
        <f t="shared" si="18"/>
        <v>0</v>
      </c>
      <c r="AE65" s="100">
        <f t="shared" si="18"/>
        <v>0</v>
      </c>
      <c r="AF65" s="100">
        <f t="shared" si="18"/>
        <v>0</v>
      </c>
      <c r="AG65" s="100">
        <f t="shared" si="18"/>
        <v>0</v>
      </c>
      <c r="AH65" s="100">
        <f t="shared" si="18"/>
        <v>0</v>
      </c>
      <c r="AI65" s="100">
        <f t="shared" si="18"/>
        <v>0</v>
      </c>
      <c r="AJ65" s="100">
        <f t="shared" si="18"/>
        <v>0</v>
      </c>
      <c r="AK65" s="100">
        <f t="shared" si="18"/>
        <v>0</v>
      </c>
    </row>
    <row r="66" spans="6:37" s="74" customFormat="1" x14ac:dyDescent="0.2">
      <c r="F66" s="100">
        <f t="shared" ref="F66:AK73" si="19">IF(ISBLANK(F29),0,F29)</f>
        <v>0</v>
      </c>
      <c r="G66" s="100">
        <f t="shared" si="19"/>
        <v>0</v>
      </c>
      <c r="H66" s="100">
        <f t="shared" si="19"/>
        <v>0</v>
      </c>
      <c r="I66" s="100">
        <f t="shared" si="19"/>
        <v>0</v>
      </c>
      <c r="J66" s="100">
        <f t="shared" si="19"/>
        <v>1</v>
      </c>
      <c r="K66" s="100">
        <f t="shared" si="19"/>
        <v>1</v>
      </c>
      <c r="L66" s="100">
        <f t="shared" si="19"/>
        <v>1</v>
      </c>
      <c r="M66" s="100">
        <f t="shared" si="19"/>
        <v>1</v>
      </c>
      <c r="N66" s="100">
        <f t="shared" si="19"/>
        <v>0</v>
      </c>
      <c r="O66" s="100">
        <f t="shared" si="19"/>
        <v>0</v>
      </c>
      <c r="P66" s="100">
        <f t="shared" si="19"/>
        <v>0</v>
      </c>
      <c r="Q66" s="100">
        <f t="shared" si="19"/>
        <v>0</v>
      </c>
      <c r="R66" s="100">
        <f t="shared" si="19"/>
        <v>0</v>
      </c>
      <c r="S66" s="100">
        <f t="shared" si="19"/>
        <v>0</v>
      </c>
      <c r="T66" s="100">
        <f t="shared" si="19"/>
        <v>0</v>
      </c>
      <c r="U66" s="100">
        <f t="shared" si="19"/>
        <v>0</v>
      </c>
      <c r="V66" s="100">
        <f t="shared" si="19"/>
        <v>0</v>
      </c>
      <c r="W66" s="100">
        <f t="shared" si="19"/>
        <v>0</v>
      </c>
      <c r="X66" s="100">
        <f t="shared" si="19"/>
        <v>0</v>
      </c>
      <c r="Y66" s="100">
        <f t="shared" si="19"/>
        <v>0</v>
      </c>
      <c r="Z66" s="100">
        <f t="shared" si="19"/>
        <v>0</v>
      </c>
      <c r="AA66" s="100">
        <f t="shared" si="19"/>
        <v>0</v>
      </c>
      <c r="AB66" s="100">
        <f t="shared" si="19"/>
        <v>0</v>
      </c>
      <c r="AC66" s="100">
        <f t="shared" si="19"/>
        <v>0</v>
      </c>
      <c r="AD66" s="100">
        <f t="shared" si="19"/>
        <v>0</v>
      </c>
      <c r="AE66" s="100">
        <f t="shared" si="19"/>
        <v>0</v>
      </c>
      <c r="AF66" s="100">
        <f t="shared" si="19"/>
        <v>0</v>
      </c>
      <c r="AG66" s="100">
        <f t="shared" si="19"/>
        <v>0</v>
      </c>
      <c r="AH66" s="100">
        <f t="shared" si="19"/>
        <v>0</v>
      </c>
      <c r="AI66" s="100">
        <f t="shared" si="19"/>
        <v>0</v>
      </c>
      <c r="AJ66" s="100">
        <f t="shared" si="19"/>
        <v>0</v>
      </c>
      <c r="AK66" s="100">
        <f t="shared" si="19"/>
        <v>0</v>
      </c>
    </row>
    <row r="67" spans="6:37" s="74" customFormat="1" x14ac:dyDescent="0.2">
      <c r="F67" s="100">
        <f t="shared" si="19"/>
        <v>3</v>
      </c>
      <c r="G67" s="100">
        <f t="shared" si="19"/>
        <v>2</v>
      </c>
      <c r="H67" s="100">
        <f t="shared" si="19"/>
        <v>1</v>
      </c>
      <c r="I67" s="100">
        <f t="shared" si="19"/>
        <v>0</v>
      </c>
      <c r="J67" s="100">
        <f t="shared" si="19"/>
        <v>-3</v>
      </c>
      <c r="K67" s="100">
        <f t="shared" si="19"/>
        <v>-2</v>
      </c>
      <c r="L67" s="100">
        <f t="shared" si="19"/>
        <v>-1</v>
      </c>
      <c r="M67" s="100">
        <f t="shared" si="19"/>
        <v>0</v>
      </c>
      <c r="N67" s="100">
        <f t="shared" si="19"/>
        <v>0</v>
      </c>
      <c r="O67" s="100">
        <f t="shared" si="19"/>
        <v>0</v>
      </c>
      <c r="P67" s="100">
        <f t="shared" si="19"/>
        <v>0</v>
      </c>
      <c r="Q67" s="100">
        <f t="shared" si="19"/>
        <v>0</v>
      </c>
      <c r="R67" s="100">
        <f t="shared" si="19"/>
        <v>0</v>
      </c>
      <c r="S67" s="100">
        <f t="shared" si="19"/>
        <v>0</v>
      </c>
      <c r="T67" s="100">
        <f t="shared" si="19"/>
        <v>0</v>
      </c>
      <c r="U67" s="100">
        <f t="shared" si="19"/>
        <v>0</v>
      </c>
      <c r="V67" s="100">
        <f t="shared" si="19"/>
        <v>0</v>
      </c>
      <c r="W67" s="100">
        <f t="shared" si="19"/>
        <v>0</v>
      </c>
      <c r="X67" s="100">
        <f t="shared" si="19"/>
        <v>0</v>
      </c>
      <c r="Y67" s="100">
        <f t="shared" si="19"/>
        <v>0</v>
      </c>
      <c r="Z67" s="100">
        <f t="shared" si="19"/>
        <v>0</v>
      </c>
      <c r="AA67" s="100">
        <f t="shared" si="19"/>
        <v>0</v>
      </c>
      <c r="AB67" s="100">
        <f t="shared" si="19"/>
        <v>0</v>
      </c>
      <c r="AC67" s="100">
        <f t="shared" si="19"/>
        <v>0</v>
      </c>
      <c r="AD67" s="100">
        <f t="shared" si="19"/>
        <v>0</v>
      </c>
      <c r="AE67" s="100">
        <f t="shared" si="19"/>
        <v>0</v>
      </c>
      <c r="AF67" s="100">
        <f t="shared" si="19"/>
        <v>0</v>
      </c>
      <c r="AG67" s="100">
        <f t="shared" si="19"/>
        <v>0</v>
      </c>
      <c r="AH67" s="100">
        <f t="shared" si="19"/>
        <v>0</v>
      </c>
      <c r="AI67" s="100">
        <f t="shared" si="19"/>
        <v>0</v>
      </c>
      <c r="AJ67" s="100">
        <f t="shared" si="19"/>
        <v>0</v>
      </c>
      <c r="AK67" s="100">
        <f t="shared" si="19"/>
        <v>0</v>
      </c>
    </row>
    <row r="68" spans="6:37" s="74" customFormat="1" x14ac:dyDescent="0.2">
      <c r="F68" s="100">
        <f t="shared" si="19"/>
        <v>6</v>
      </c>
      <c r="G68" s="100">
        <f t="shared" si="19"/>
        <v>2</v>
      </c>
      <c r="H68" s="100">
        <f t="shared" si="19"/>
        <v>0</v>
      </c>
      <c r="I68" s="100">
        <f t="shared" si="19"/>
        <v>0</v>
      </c>
      <c r="J68" s="100">
        <f t="shared" si="19"/>
        <v>-6</v>
      </c>
      <c r="K68" s="100">
        <f t="shared" si="19"/>
        <v>-2</v>
      </c>
      <c r="L68" s="100">
        <f t="shared" si="19"/>
        <v>0</v>
      </c>
      <c r="M68" s="100">
        <f t="shared" si="19"/>
        <v>0</v>
      </c>
      <c r="N68" s="100">
        <f t="shared" si="19"/>
        <v>0</v>
      </c>
      <c r="O68" s="100">
        <f t="shared" si="19"/>
        <v>0</v>
      </c>
      <c r="P68" s="100">
        <f t="shared" si="19"/>
        <v>0</v>
      </c>
      <c r="Q68" s="100">
        <f t="shared" si="19"/>
        <v>0</v>
      </c>
      <c r="R68" s="100">
        <f t="shared" si="19"/>
        <v>0</v>
      </c>
      <c r="S68" s="100">
        <f t="shared" si="19"/>
        <v>0</v>
      </c>
      <c r="T68" s="100">
        <f t="shared" si="19"/>
        <v>0</v>
      </c>
      <c r="U68" s="100">
        <f t="shared" si="19"/>
        <v>0</v>
      </c>
      <c r="V68" s="100">
        <f t="shared" si="19"/>
        <v>0</v>
      </c>
      <c r="W68" s="100">
        <f t="shared" si="19"/>
        <v>0</v>
      </c>
      <c r="X68" s="100">
        <f t="shared" si="19"/>
        <v>0</v>
      </c>
      <c r="Y68" s="100">
        <f t="shared" si="19"/>
        <v>0</v>
      </c>
      <c r="Z68" s="100">
        <f t="shared" si="19"/>
        <v>0</v>
      </c>
      <c r="AA68" s="100">
        <f t="shared" si="19"/>
        <v>0</v>
      </c>
      <c r="AB68" s="100">
        <f t="shared" si="19"/>
        <v>0</v>
      </c>
      <c r="AC68" s="100">
        <f t="shared" si="19"/>
        <v>0</v>
      </c>
      <c r="AD68" s="100">
        <f t="shared" si="19"/>
        <v>0</v>
      </c>
      <c r="AE68" s="100">
        <f t="shared" si="19"/>
        <v>0</v>
      </c>
      <c r="AF68" s="100">
        <f t="shared" si="19"/>
        <v>0</v>
      </c>
      <c r="AG68" s="100">
        <f t="shared" si="19"/>
        <v>0</v>
      </c>
      <c r="AH68" s="100">
        <f t="shared" si="19"/>
        <v>0</v>
      </c>
      <c r="AI68" s="100">
        <f t="shared" si="19"/>
        <v>0</v>
      </c>
      <c r="AJ68" s="100">
        <f t="shared" si="19"/>
        <v>0</v>
      </c>
      <c r="AK68" s="100">
        <f t="shared" si="19"/>
        <v>0</v>
      </c>
    </row>
    <row r="69" spans="6:37" s="74" customFormat="1" x14ac:dyDescent="0.2">
      <c r="F69" s="100">
        <f t="shared" si="19"/>
        <v>0</v>
      </c>
      <c r="G69" s="100">
        <f t="shared" si="19"/>
        <v>0</v>
      </c>
      <c r="H69" s="100">
        <f t="shared" si="19"/>
        <v>0</v>
      </c>
      <c r="I69" s="100">
        <f t="shared" si="19"/>
        <v>0</v>
      </c>
      <c r="J69" s="100">
        <f t="shared" si="19"/>
        <v>8</v>
      </c>
      <c r="K69" s="100">
        <f t="shared" si="19"/>
        <v>4</v>
      </c>
      <c r="L69" s="100">
        <f t="shared" si="19"/>
        <v>2</v>
      </c>
      <c r="M69" s="100">
        <f t="shared" si="19"/>
        <v>1</v>
      </c>
      <c r="N69" s="100">
        <f t="shared" si="19"/>
        <v>0</v>
      </c>
      <c r="O69" s="100">
        <f t="shared" si="19"/>
        <v>0</v>
      </c>
      <c r="P69" s="100">
        <f t="shared" si="19"/>
        <v>0</v>
      </c>
      <c r="Q69" s="100">
        <f t="shared" si="19"/>
        <v>0</v>
      </c>
      <c r="R69" s="100">
        <f t="shared" si="19"/>
        <v>0</v>
      </c>
      <c r="S69" s="100">
        <f t="shared" si="19"/>
        <v>0</v>
      </c>
      <c r="T69" s="100">
        <f t="shared" si="19"/>
        <v>0</v>
      </c>
      <c r="U69" s="100">
        <f t="shared" si="19"/>
        <v>0</v>
      </c>
      <c r="V69" s="100">
        <f t="shared" si="19"/>
        <v>0</v>
      </c>
      <c r="W69" s="100">
        <f t="shared" si="19"/>
        <v>0</v>
      </c>
      <c r="X69" s="100">
        <f t="shared" si="19"/>
        <v>0</v>
      </c>
      <c r="Y69" s="100">
        <f t="shared" si="19"/>
        <v>0</v>
      </c>
      <c r="Z69" s="100">
        <f t="shared" si="19"/>
        <v>0</v>
      </c>
      <c r="AA69" s="100">
        <f t="shared" si="19"/>
        <v>0</v>
      </c>
      <c r="AB69" s="100">
        <f t="shared" si="19"/>
        <v>0</v>
      </c>
      <c r="AC69" s="100">
        <f t="shared" si="19"/>
        <v>0</v>
      </c>
      <c r="AD69" s="100">
        <f t="shared" si="19"/>
        <v>0</v>
      </c>
      <c r="AE69" s="100">
        <f t="shared" si="19"/>
        <v>0</v>
      </c>
      <c r="AF69" s="100">
        <f t="shared" si="19"/>
        <v>0</v>
      </c>
      <c r="AG69" s="100">
        <f t="shared" si="19"/>
        <v>0</v>
      </c>
      <c r="AH69" s="100">
        <f t="shared" si="19"/>
        <v>0</v>
      </c>
      <c r="AI69" s="100">
        <f t="shared" si="19"/>
        <v>0</v>
      </c>
      <c r="AJ69" s="100">
        <f t="shared" si="19"/>
        <v>0</v>
      </c>
      <c r="AK69" s="100">
        <f t="shared" si="19"/>
        <v>0</v>
      </c>
    </row>
    <row r="70" spans="6:37" s="74" customFormat="1" x14ac:dyDescent="0.2">
      <c r="F70" s="100">
        <f t="shared" si="19"/>
        <v>0</v>
      </c>
      <c r="G70" s="100">
        <f t="shared" si="19"/>
        <v>0</v>
      </c>
      <c r="H70" s="100">
        <f t="shared" si="19"/>
        <v>0</v>
      </c>
      <c r="I70" s="100">
        <f t="shared" si="19"/>
        <v>0</v>
      </c>
      <c r="J70" s="100">
        <f t="shared" si="19"/>
        <v>0</v>
      </c>
      <c r="K70" s="100">
        <f t="shared" si="19"/>
        <v>0</v>
      </c>
      <c r="L70" s="100">
        <f t="shared" si="19"/>
        <v>0</v>
      </c>
      <c r="M70" s="100">
        <f t="shared" si="19"/>
        <v>0</v>
      </c>
      <c r="N70" s="100">
        <f t="shared" si="19"/>
        <v>8</v>
      </c>
      <c r="O70" s="100">
        <f t="shared" si="19"/>
        <v>4</v>
      </c>
      <c r="P70" s="100">
        <f t="shared" si="19"/>
        <v>2</v>
      </c>
      <c r="Q70" s="100">
        <f t="shared" si="19"/>
        <v>1</v>
      </c>
      <c r="R70" s="100">
        <f t="shared" si="19"/>
        <v>0</v>
      </c>
      <c r="S70" s="100">
        <f t="shared" si="19"/>
        <v>0</v>
      </c>
      <c r="T70" s="100">
        <f t="shared" si="19"/>
        <v>0</v>
      </c>
      <c r="U70" s="100">
        <f t="shared" si="19"/>
        <v>0</v>
      </c>
      <c r="V70" s="100">
        <f t="shared" si="19"/>
        <v>0</v>
      </c>
      <c r="W70" s="100">
        <f t="shared" si="19"/>
        <v>0</v>
      </c>
      <c r="X70" s="100">
        <f t="shared" si="19"/>
        <v>0</v>
      </c>
      <c r="Y70" s="100">
        <f t="shared" si="19"/>
        <v>0</v>
      </c>
      <c r="Z70" s="100">
        <f t="shared" si="19"/>
        <v>0</v>
      </c>
      <c r="AA70" s="100">
        <f t="shared" si="19"/>
        <v>0</v>
      </c>
      <c r="AB70" s="100">
        <f t="shared" si="19"/>
        <v>0</v>
      </c>
      <c r="AC70" s="100">
        <f t="shared" si="19"/>
        <v>0</v>
      </c>
      <c r="AD70" s="100">
        <f t="shared" si="19"/>
        <v>0</v>
      </c>
      <c r="AE70" s="100">
        <f t="shared" si="19"/>
        <v>0</v>
      </c>
      <c r="AF70" s="100">
        <f t="shared" si="19"/>
        <v>0</v>
      </c>
      <c r="AG70" s="100">
        <f t="shared" si="19"/>
        <v>0</v>
      </c>
      <c r="AH70" s="100">
        <f t="shared" si="19"/>
        <v>0</v>
      </c>
      <c r="AI70" s="100">
        <f t="shared" si="19"/>
        <v>0</v>
      </c>
      <c r="AJ70" s="100">
        <f t="shared" si="19"/>
        <v>0</v>
      </c>
      <c r="AK70" s="100">
        <f t="shared" si="19"/>
        <v>0</v>
      </c>
    </row>
    <row r="71" spans="6:37" s="74" customFormat="1" x14ac:dyDescent="0.2">
      <c r="F71" s="100">
        <f t="shared" si="19"/>
        <v>0</v>
      </c>
      <c r="G71" s="100">
        <f t="shared" si="19"/>
        <v>0</v>
      </c>
      <c r="H71" s="100">
        <f t="shared" si="19"/>
        <v>0</v>
      </c>
      <c r="I71" s="100">
        <f t="shared" si="19"/>
        <v>0</v>
      </c>
      <c r="J71" s="100">
        <f t="shared" si="19"/>
        <v>12</v>
      </c>
      <c r="K71" s="100">
        <f t="shared" si="19"/>
        <v>4</v>
      </c>
      <c r="L71" s="100">
        <f t="shared" si="19"/>
        <v>1</v>
      </c>
      <c r="M71" s="100">
        <f t="shared" si="19"/>
        <v>0</v>
      </c>
      <c r="N71" s="100">
        <f t="shared" si="19"/>
        <v>-12</v>
      </c>
      <c r="O71" s="100">
        <f t="shared" si="19"/>
        <v>-4</v>
      </c>
      <c r="P71" s="100">
        <f t="shared" si="19"/>
        <v>-1</v>
      </c>
      <c r="Q71" s="100">
        <f t="shared" si="19"/>
        <v>0</v>
      </c>
      <c r="R71" s="100">
        <f t="shared" si="19"/>
        <v>0</v>
      </c>
      <c r="S71" s="100">
        <f t="shared" si="19"/>
        <v>0</v>
      </c>
      <c r="T71" s="100">
        <f t="shared" si="19"/>
        <v>0</v>
      </c>
      <c r="U71" s="100">
        <f t="shared" si="19"/>
        <v>0</v>
      </c>
      <c r="V71" s="100">
        <f t="shared" si="19"/>
        <v>0</v>
      </c>
      <c r="W71" s="100">
        <f t="shared" si="19"/>
        <v>0</v>
      </c>
      <c r="X71" s="100">
        <f t="shared" si="19"/>
        <v>0</v>
      </c>
      <c r="Y71" s="100">
        <f t="shared" si="19"/>
        <v>0</v>
      </c>
      <c r="Z71" s="100">
        <f t="shared" si="19"/>
        <v>0</v>
      </c>
      <c r="AA71" s="100">
        <f t="shared" si="19"/>
        <v>0</v>
      </c>
      <c r="AB71" s="100">
        <f t="shared" si="19"/>
        <v>0</v>
      </c>
      <c r="AC71" s="100">
        <f t="shared" si="19"/>
        <v>0</v>
      </c>
      <c r="AD71" s="100">
        <f t="shared" si="19"/>
        <v>0</v>
      </c>
      <c r="AE71" s="100">
        <f t="shared" si="19"/>
        <v>0</v>
      </c>
      <c r="AF71" s="100">
        <f t="shared" si="19"/>
        <v>0</v>
      </c>
      <c r="AG71" s="100">
        <f t="shared" si="19"/>
        <v>0</v>
      </c>
      <c r="AH71" s="100">
        <f t="shared" si="19"/>
        <v>0</v>
      </c>
      <c r="AI71" s="100">
        <f t="shared" si="19"/>
        <v>0</v>
      </c>
      <c r="AJ71" s="100">
        <f t="shared" si="19"/>
        <v>0</v>
      </c>
      <c r="AK71" s="100">
        <f t="shared" si="19"/>
        <v>0</v>
      </c>
    </row>
    <row r="72" spans="6:37" s="74" customFormat="1" x14ac:dyDescent="0.2">
      <c r="F72" s="100">
        <f t="shared" si="19"/>
        <v>0</v>
      </c>
      <c r="G72" s="100">
        <f t="shared" si="19"/>
        <v>0</v>
      </c>
      <c r="H72" s="100">
        <f t="shared" si="19"/>
        <v>0</v>
      </c>
      <c r="I72" s="100">
        <f t="shared" si="19"/>
        <v>0</v>
      </c>
      <c r="J72" s="100">
        <f t="shared" si="19"/>
        <v>12</v>
      </c>
      <c r="K72" s="100">
        <f t="shared" si="19"/>
        <v>2</v>
      </c>
      <c r="L72" s="100">
        <f t="shared" si="19"/>
        <v>0</v>
      </c>
      <c r="M72" s="100">
        <f t="shared" si="19"/>
        <v>0</v>
      </c>
      <c r="N72" s="100">
        <f t="shared" si="19"/>
        <v>-12</v>
      </c>
      <c r="O72" s="100">
        <f t="shared" si="19"/>
        <v>-2</v>
      </c>
      <c r="P72" s="100">
        <f t="shared" si="19"/>
        <v>0</v>
      </c>
      <c r="Q72" s="100">
        <f t="shared" si="19"/>
        <v>0</v>
      </c>
      <c r="R72" s="100">
        <f t="shared" si="19"/>
        <v>0</v>
      </c>
      <c r="S72" s="100">
        <f t="shared" si="19"/>
        <v>0</v>
      </c>
      <c r="T72" s="100">
        <f t="shared" si="19"/>
        <v>0</v>
      </c>
      <c r="U72" s="100">
        <f t="shared" si="19"/>
        <v>0</v>
      </c>
      <c r="V72" s="100">
        <f t="shared" si="19"/>
        <v>0</v>
      </c>
      <c r="W72" s="100">
        <f t="shared" si="19"/>
        <v>0</v>
      </c>
      <c r="X72" s="100">
        <f t="shared" si="19"/>
        <v>0</v>
      </c>
      <c r="Y72" s="100">
        <f t="shared" si="19"/>
        <v>0</v>
      </c>
      <c r="Z72" s="100">
        <f t="shared" si="19"/>
        <v>0</v>
      </c>
      <c r="AA72" s="100">
        <f t="shared" si="19"/>
        <v>0</v>
      </c>
      <c r="AB72" s="100">
        <f t="shared" si="19"/>
        <v>0</v>
      </c>
      <c r="AC72" s="100">
        <f t="shared" si="19"/>
        <v>0</v>
      </c>
      <c r="AD72" s="100">
        <f t="shared" si="19"/>
        <v>0</v>
      </c>
      <c r="AE72" s="100">
        <f t="shared" si="19"/>
        <v>0</v>
      </c>
      <c r="AF72" s="100">
        <f t="shared" si="19"/>
        <v>0</v>
      </c>
      <c r="AG72" s="100">
        <f t="shared" si="19"/>
        <v>0</v>
      </c>
      <c r="AH72" s="100">
        <f t="shared" si="19"/>
        <v>0</v>
      </c>
      <c r="AI72" s="100">
        <f t="shared" si="19"/>
        <v>0</v>
      </c>
      <c r="AJ72" s="100">
        <f t="shared" si="19"/>
        <v>0</v>
      </c>
      <c r="AK72" s="100">
        <f t="shared" si="19"/>
        <v>0</v>
      </c>
    </row>
    <row r="73" spans="6:37" s="74" customFormat="1" x14ac:dyDescent="0.2">
      <c r="F73" s="100">
        <f t="shared" si="19"/>
        <v>0</v>
      </c>
      <c r="G73" s="100">
        <f t="shared" si="19"/>
        <v>0</v>
      </c>
      <c r="H73" s="100">
        <f t="shared" si="19"/>
        <v>0</v>
      </c>
      <c r="I73" s="100">
        <f t="shared" si="19"/>
        <v>0</v>
      </c>
      <c r="J73" s="100">
        <f t="shared" si="19"/>
        <v>0</v>
      </c>
      <c r="K73" s="100">
        <f t="shared" si="19"/>
        <v>0</v>
      </c>
      <c r="L73" s="100">
        <f t="shared" si="19"/>
        <v>0</v>
      </c>
      <c r="M73" s="100">
        <f t="shared" si="19"/>
        <v>0</v>
      </c>
      <c r="N73" s="100">
        <f t="shared" si="19"/>
        <v>27</v>
      </c>
      <c r="O73" s="100">
        <f t="shared" si="19"/>
        <v>9</v>
      </c>
      <c r="P73" s="100">
        <f t="shared" si="19"/>
        <v>3</v>
      </c>
      <c r="Q73" s="100">
        <f t="shared" si="19"/>
        <v>1</v>
      </c>
      <c r="R73" s="100">
        <f t="shared" si="19"/>
        <v>0</v>
      </c>
      <c r="S73" s="100">
        <f t="shared" si="19"/>
        <v>0</v>
      </c>
      <c r="T73" s="100">
        <f t="shared" si="19"/>
        <v>0</v>
      </c>
      <c r="U73" s="100">
        <f t="shared" si="19"/>
        <v>0</v>
      </c>
      <c r="V73" s="100">
        <f t="shared" si="19"/>
        <v>0</v>
      </c>
      <c r="W73" s="100">
        <f t="shared" si="19"/>
        <v>0</v>
      </c>
      <c r="X73" s="100">
        <f t="shared" si="19"/>
        <v>0</v>
      </c>
      <c r="Y73" s="100">
        <f t="shared" si="19"/>
        <v>0</v>
      </c>
      <c r="Z73" s="100">
        <f t="shared" si="19"/>
        <v>0</v>
      </c>
      <c r="AA73" s="100">
        <f t="shared" si="19"/>
        <v>0</v>
      </c>
      <c r="AB73" s="100">
        <f t="shared" si="19"/>
        <v>0</v>
      </c>
      <c r="AC73" s="100">
        <f t="shared" si="19"/>
        <v>0</v>
      </c>
      <c r="AD73" s="100">
        <f t="shared" si="19"/>
        <v>0</v>
      </c>
      <c r="AE73" s="100">
        <f t="shared" si="19"/>
        <v>0</v>
      </c>
      <c r="AF73" s="100">
        <f t="shared" si="19"/>
        <v>0</v>
      </c>
      <c r="AG73" s="100">
        <f t="shared" si="19"/>
        <v>0</v>
      </c>
      <c r="AH73" s="100">
        <f t="shared" si="19"/>
        <v>0</v>
      </c>
      <c r="AI73" s="100">
        <f t="shared" si="19"/>
        <v>0</v>
      </c>
      <c r="AJ73" s="100">
        <f t="shared" si="19"/>
        <v>0</v>
      </c>
      <c r="AK73" s="100">
        <f t="shared" ref="AK73" si="20">IF(ISBLANK(AK36),0,AK36)</f>
        <v>0</v>
      </c>
    </row>
    <row r="74" spans="6:37" s="74" customFormat="1" x14ac:dyDescent="0.2">
      <c r="F74" s="100">
        <f t="shared" ref="F74:AK81" si="21">IF(ISBLANK(F37),0,F37)</f>
        <v>0</v>
      </c>
      <c r="G74" s="100">
        <f t="shared" si="21"/>
        <v>0</v>
      </c>
      <c r="H74" s="100">
        <f t="shared" si="21"/>
        <v>0</v>
      </c>
      <c r="I74" s="100">
        <f t="shared" si="21"/>
        <v>0</v>
      </c>
      <c r="J74" s="100">
        <f t="shared" si="21"/>
        <v>0</v>
      </c>
      <c r="K74" s="100">
        <f t="shared" si="21"/>
        <v>0</v>
      </c>
      <c r="L74" s="100">
        <f t="shared" si="21"/>
        <v>0</v>
      </c>
      <c r="M74" s="100">
        <f t="shared" si="21"/>
        <v>0</v>
      </c>
      <c r="N74" s="100">
        <f t="shared" si="21"/>
        <v>0</v>
      </c>
      <c r="O74" s="100">
        <f t="shared" si="21"/>
        <v>0</v>
      </c>
      <c r="P74" s="100">
        <f t="shared" si="21"/>
        <v>0</v>
      </c>
      <c r="Q74" s="100">
        <f t="shared" si="21"/>
        <v>0</v>
      </c>
      <c r="R74" s="100">
        <f t="shared" si="21"/>
        <v>27</v>
      </c>
      <c r="S74" s="100">
        <f t="shared" si="21"/>
        <v>9</v>
      </c>
      <c r="T74" s="100">
        <f t="shared" si="21"/>
        <v>3</v>
      </c>
      <c r="U74" s="100">
        <f t="shared" si="21"/>
        <v>1</v>
      </c>
      <c r="V74" s="100">
        <f t="shared" si="21"/>
        <v>0</v>
      </c>
      <c r="W74" s="100">
        <f t="shared" si="21"/>
        <v>0</v>
      </c>
      <c r="X74" s="100">
        <f t="shared" si="21"/>
        <v>0</v>
      </c>
      <c r="Y74" s="100">
        <f t="shared" si="21"/>
        <v>0</v>
      </c>
      <c r="Z74" s="100">
        <f t="shared" si="21"/>
        <v>0</v>
      </c>
      <c r="AA74" s="100">
        <f t="shared" si="21"/>
        <v>0</v>
      </c>
      <c r="AB74" s="100">
        <f t="shared" si="21"/>
        <v>0</v>
      </c>
      <c r="AC74" s="100">
        <f t="shared" si="21"/>
        <v>0</v>
      </c>
      <c r="AD74" s="100">
        <f t="shared" si="21"/>
        <v>0</v>
      </c>
      <c r="AE74" s="100">
        <f t="shared" si="21"/>
        <v>0</v>
      </c>
      <c r="AF74" s="100">
        <f t="shared" si="21"/>
        <v>0</v>
      </c>
      <c r="AG74" s="100">
        <f t="shared" si="21"/>
        <v>0</v>
      </c>
      <c r="AH74" s="100">
        <f t="shared" si="21"/>
        <v>0</v>
      </c>
      <c r="AI74" s="100">
        <f t="shared" si="21"/>
        <v>0</v>
      </c>
      <c r="AJ74" s="100">
        <f t="shared" si="21"/>
        <v>0</v>
      </c>
      <c r="AK74" s="100">
        <f t="shared" si="21"/>
        <v>0</v>
      </c>
    </row>
    <row r="75" spans="6:37" s="74" customFormat="1" x14ac:dyDescent="0.2">
      <c r="F75" s="100">
        <f t="shared" si="21"/>
        <v>0</v>
      </c>
      <c r="G75" s="100">
        <f t="shared" si="21"/>
        <v>0</v>
      </c>
      <c r="H75" s="100">
        <f t="shared" si="21"/>
        <v>0</v>
      </c>
      <c r="I75" s="100">
        <f t="shared" si="21"/>
        <v>0</v>
      </c>
      <c r="J75" s="100">
        <f t="shared" si="21"/>
        <v>0</v>
      </c>
      <c r="K75" s="100">
        <f t="shared" si="21"/>
        <v>0</v>
      </c>
      <c r="L75" s="100">
        <f t="shared" si="21"/>
        <v>0</v>
      </c>
      <c r="M75" s="100">
        <f t="shared" si="21"/>
        <v>0</v>
      </c>
      <c r="N75" s="100">
        <f t="shared" si="21"/>
        <v>27</v>
      </c>
      <c r="O75" s="100">
        <f t="shared" si="21"/>
        <v>6</v>
      </c>
      <c r="P75" s="100">
        <f t="shared" si="21"/>
        <v>1</v>
      </c>
      <c r="Q75" s="100">
        <f t="shared" si="21"/>
        <v>0</v>
      </c>
      <c r="R75" s="100">
        <f t="shared" si="21"/>
        <v>-27</v>
      </c>
      <c r="S75" s="100">
        <f t="shared" si="21"/>
        <v>-6</v>
      </c>
      <c r="T75" s="100">
        <f t="shared" si="21"/>
        <v>-1</v>
      </c>
      <c r="U75" s="100">
        <f t="shared" si="21"/>
        <v>0</v>
      </c>
      <c r="V75" s="100">
        <f t="shared" si="21"/>
        <v>0</v>
      </c>
      <c r="W75" s="100">
        <f t="shared" si="21"/>
        <v>0</v>
      </c>
      <c r="X75" s="100">
        <f t="shared" si="21"/>
        <v>0</v>
      </c>
      <c r="Y75" s="100">
        <f t="shared" si="21"/>
        <v>0</v>
      </c>
      <c r="Z75" s="100">
        <f t="shared" si="21"/>
        <v>0</v>
      </c>
      <c r="AA75" s="100">
        <f t="shared" si="21"/>
        <v>0</v>
      </c>
      <c r="AB75" s="100">
        <f t="shared" si="21"/>
        <v>0</v>
      </c>
      <c r="AC75" s="100">
        <f t="shared" si="21"/>
        <v>0</v>
      </c>
      <c r="AD75" s="100">
        <f t="shared" si="21"/>
        <v>0</v>
      </c>
      <c r="AE75" s="100">
        <f t="shared" si="21"/>
        <v>0</v>
      </c>
      <c r="AF75" s="100">
        <f t="shared" si="21"/>
        <v>0</v>
      </c>
      <c r="AG75" s="100">
        <f t="shared" si="21"/>
        <v>0</v>
      </c>
      <c r="AH75" s="100">
        <f t="shared" si="21"/>
        <v>0</v>
      </c>
      <c r="AI75" s="100">
        <f t="shared" si="21"/>
        <v>0</v>
      </c>
      <c r="AJ75" s="100">
        <f t="shared" si="21"/>
        <v>0</v>
      </c>
      <c r="AK75" s="100">
        <f t="shared" si="21"/>
        <v>0</v>
      </c>
    </row>
    <row r="76" spans="6:37" s="74" customFormat="1" x14ac:dyDescent="0.2">
      <c r="F76" s="100">
        <f t="shared" si="21"/>
        <v>0</v>
      </c>
      <c r="G76" s="100">
        <f t="shared" si="21"/>
        <v>0</v>
      </c>
      <c r="H76" s="100">
        <f t="shared" si="21"/>
        <v>0</v>
      </c>
      <c r="I76" s="100">
        <f t="shared" si="21"/>
        <v>0</v>
      </c>
      <c r="J76" s="100">
        <f t="shared" si="21"/>
        <v>0</v>
      </c>
      <c r="K76" s="100">
        <f t="shared" si="21"/>
        <v>0</v>
      </c>
      <c r="L76" s="100">
        <f t="shared" si="21"/>
        <v>0</v>
      </c>
      <c r="M76" s="100">
        <f t="shared" si="21"/>
        <v>0</v>
      </c>
      <c r="N76" s="100">
        <f t="shared" si="21"/>
        <v>18</v>
      </c>
      <c r="O76" s="100">
        <f t="shared" si="21"/>
        <v>2</v>
      </c>
      <c r="P76" s="100">
        <f t="shared" si="21"/>
        <v>0</v>
      </c>
      <c r="Q76" s="100">
        <f t="shared" si="21"/>
        <v>0</v>
      </c>
      <c r="R76" s="100">
        <f t="shared" si="21"/>
        <v>-18</v>
      </c>
      <c r="S76" s="100">
        <f t="shared" si="21"/>
        <v>-2</v>
      </c>
      <c r="T76" s="100">
        <f t="shared" si="21"/>
        <v>0</v>
      </c>
      <c r="U76" s="100">
        <f t="shared" si="21"/>
        <v>0</v>
      </c>
      <c r="V76" s="100">
        <f t="shared" si="21"/>
        <v>0</v>
      </c>
      <c r="W76" s="100">
        <f t="shared" si="21"/>
        <v>0</v>
      </c>
      <c r="X76" s="100">
        <f t="shared" si="21"/>
        <v>0</v>
      </c>
      <c r="Y76" s="100">
        <f t="shared" si="21"/>
        <v>0</v>
      </c>
      <c r="Z76" s="100">
        <f t="shared" si="21"/>
        <v>0</v>
      </c>
      <c r="AA76" s="100">
        <f t="shared" si="21"/>
        <v>0</v>
      </c>
      <c r="AB76" s="100">
        <f t="shared" si="21"/>
        <v>0</v>
      </c>
      <c r="AC76" s="100">
        <f t="shared" si="21"/>
        <v>0</v>
      </c>
      <c r="AD76" s="100">
        <f t="shared" si="21"/>
        <v>0</v>
      </c>
      <c r="AE76" s="100">
        <f t="shared" si="21"/>
        <v>0</v>
      </c>
      <c r="AF76" s="100">
        <f t="shared" si="21"/>
        <v>0</v>
      </c>
      <c r="AG76" s="100">
        <f t="shared" si="21"/>
        <v>0</v>
      </c>
      <c r="AH76" s="100">
        <f t="shared" si="21"/>
        <v>0</v>
      </c>
      <c r="AI76" s="100">
        <f t="shared" si="21"/>
        <v>0</v>
      </c>
      <c r="AJ76" s="100">
        <f t="shared" si="21"/>
        <v>0</v>
      </c>
      <c r="AK76" s="100">
        <f t="shared" si="21"/>
        <v>0</v>
      </c>
    </row>
    <row r="77" spans="6:37" s="74" customFormat="1" x14ac:dyDescent="0.2">
      <c r="F77" s="100">
        <f t="shared" si="21"/>
        <v>0</v>
      </c>
      <c r="G77" s="100">
        <f t="shared" si="21"/>
        <v>0</v>
      </c>
      <c r="H77" s="100">
        <f t="shared" si="21"/>
        <v>0</v>
      </c>
      <c r="I77" s="100">
        <f t="shared" si="21"/>
        <v>0</v>
      </c>
      <c r="J77" s="100">
        <f t="shared" si="21"/>
        <v>0</v>
      </c>
      <c r="K77" s="100">
        <f t="shared" si="21"/>
        <v>0</v>
      </c>
      <c r="L77" s="100">
        <f t="shared" si="21"/>
        <v>0</v>
      </c>
      <c r="M77" s="100">
        <f t="shared" si="21"/>
        <v>0</v>
      </c>
      <c r="N77" s="100">
        <f t="shared" si="21"/>
        <v>0</v>
      </c>
      <c r="O77" s="100">
        <f t="shared" si="21"/>
        <v>0</v>
      </c>
      <c r="P77" s="100">
        <f t="shared" si="21"/>
        <v>0</v>
      </c>
      <c r="Q77" s="100">
        <f t="shared" si="21"/>
        <v>0</v>
      </c>
      <c r="R77" s="100">
        <f t="shared" si="21"/>
        <v>64</v>
      </c>
      <c r="S77" s="100">
        <f t="shared" si="21"/>
        <v>16</v>
      </c>
      <c r="T77" s="100">
        <f t="shared" si="21"/>
        <v>4</v>
      </c>
      <c r="U77" s="100">
        <f t="shared" si="21"/>
        <v>1</v>
      </c>
      <c r="V77" s="100">
        <f t="shared" si="21"/>
        <v>0</v>
      </c>
      <c r="W77" s="100">
        <f t="shared" si="21"/>
        <v>0</v>
      </c>
      <c r="X77" s="100">
        <f t="shared" si="21"/>
        <v>0</v>
      </c>
      <c r="Y77" s="100">
        <f t="shared" si="21"/>
        <v>0</v>
      </c>
      <c r="Z77" s="100">
        <f t="shared" si="21"/>
        <v>0</v>
      </c>
      <c r="AA77" s="100">
        <f t="shared" si="21"/>
        <v>0</v>
      </c>
      <c r="AB77" s="100">
        <f t="shared" si="21"/>
        <v>0</v>
      </c>
      <c r="AC77" s="100">
        <f t="shared" si="21"/>
        <v>0</v>
      </c>
      <c r="AD77" s="100">
        <f t="shared" si="21"/>
        <v>0</v>
      </c>
      <c r="AE77" s="100">
        <f t="shared" si="21"/>
        <v>0</v>
      </c>
      <c r="AF77" s="100">
        <f t="shared" si="21"/>
        <v>0</v>
      </c>
      <c r="AG77" s="100">
        <f t="shared" si="21"/>
        <v>0</v>
      </c>
      <c r="AH77" s="100">
        <f t="shared" si="21"/>
        <v>0</v>
      </c>
      <c r="AI77" s="100">
        <f t="shared" si="21"/>
        <v>0</v>
      </c>
      <c r="AJ77" s="100">
        <f t="shared" si="21"/>
        <v>0</v>
      </c>
      <c r="AK77" s="100">
        <f t="shared" si="21"/>
        <v>0</v>
      </c>
    </row>
    <row r="78" spans="6:37" s="74" customFormat="1" x14ac:dyDescent="0.2">
      <c r="F78" s="100">
        <f t="shared" si="21"/>
        <v>0</v>
      </c>
      <c r="G78" s="100">
        <f t="shared" si="21"/>
        <v>0</v>
      </c>
      <c r="H78" s="100">
        <f t="shared" si="21"/>
        <v>0</v>
      </c>
      <c r="I78" s="100">
        <f t="shared" si="21"/>
        <v>0</v>
      </c>
      <c r="J78" s="100">
        <f t="shared" si="21"/>
        <v>0</v>
      </c>
      <c r="K78" s="100">
        <f t="shared" si="21"/>
        <v>0</v>
      </c>
      <c r="L78" s="100">
        <f t="shared" si="21"/>
        <v>0</v>
      </c>
      <c r="M78" s="100">
        <f t="shared" si="21"/>
        <v>0</v>
      </c>
      <c r="N78" s="100">
        <f t="shared" si="21"/>
        <v>0</v>
      </c>
      <c r="O78" s="100">
        <f t="shared" si="21"/>
        <v>0</v>
      </c>
      <c r="P78" s="100">
        <f t="shared" si="21"/>
        <v>0</v>
      </c>
      <c r="Q78" s="100">
        <f t="shared" si="21"/>
        <v>0</v>
      </c>
      <c r="R78" s="100">
        <f t="shared" si="21"/>
        <v>0</v>
      </c>
      <c r="S78" s="100">
        <f t="shared" si="21"/>
        <v>0</v>
      </c>
      <c r="T78" s="100">
        <f t="shared" si="21"/>
        <v>0</v>
      </c>
      <c r="U78" s="100">
        <f t="shared" si="21"/>
        <v>0</v>
      </c>
      <c r="V78" s="100">
        <f t="shared" si="21"/>
        <v>64</v>
      </c>
      <c r="W78" s="100">
        <f t="shared" si="21"/>
        <v>16</v>
      </c>
      <c r="X78" s="100">
        <f t="shared" si="21"/>
        <v>4</v>
      </c>
      <c r="Y78" s="100">
        <f t="shared" si="21"/>
        <v>1</v>
      </c>
      <c r="Z78" s="100">
        <f t="shared" si="21"/>
        <v>0</v>
      </c>
      <c r="AA78" s="100">
        <f t="shared" si="21"/>
        <v>0</v>
      </c>
      <c r="AB78" s="100">
        <f t="shared" si="21"/>
        <v>0</v>
      </c>
      <c r="AC78" s="100">
        <f t="shared" si="21"/>
        <v>0</v>
      </c>
      <c r="AD78" s="100">
        <f t="shared" si="21"/>
        <v>0</v>
      </c>
      <c r="AE78" s="100">
        <f t="shared" si="21"/>
        <v>0</v>
      </c>
      <c r="AF78" s="100">
        <f t="shared" si="21"/>
        <v>0</v>
      </c>
      <c r="AG78" s="100">
        <f t="shared" si="21"/>
        <v>0</v>
      </c>
      <c r="AH78" s="100">
        <f t="shared" si="21"/>
        <v>0</v>
      </c>
      <c r="AI78" s="100">
        <f t="shared" si="21"/>
        <v>0</v>
      </c>
      <c r="AJ78" s="100">
        <f t="shared" si="21"/>
        <v>0</v>
      </c>
      <c r="AK78" s="100">
        <f t="shared" si="21"/>
        <v>0</v>
      </c>
    </row>
    <row r="79" spans="6:37" s="74" customFormat="1" x14ac:dyDescent="0.2">
      <c r="F79" s="100">
        <f t="shared" si="21"/>
        <v>0</v>
      </c>
      <c r="G79" s="100">
        <f t="shared" si="21"/>
        <v>0</v>
      </c>
      <c r="H79" s="100">
        <f t="shared" si="21"/>
        <v>0</v>
      </c>
      <c r="I79" s="100">
        <f t="shared" si="21"/>
        <v>0</v>
      </c>
      <c r="J79" s="100">
        <f t="shared" si="21"/>
        <v>0</v>
      </c>
      <c r="K79" s="100">
        <f t="shared" si="21"/>
        <v>0</v>
      </c>
      <c r="L79" s="100">
        <f t="shared" si="21"/>
        <v>0</v>
      </c>
      <c r="M79" s="100">
        <f t="shared" si="21"/>
        <v>0</v>
      </c>
      <c r="N79" s="100">
        <f t="shared" si="21"/>
        <v>0</v>
      </c>
      <c r="O79" s="100">
        <f t="shared" si="21"/>
        <v>0</v>
      </c>
      <c r="P79" s="100">
        <f t="shared" si="21"/>
        <v>0</v>
      </c>
      <c r="Q79" s="100">
        <f t="shared" si="21"/>
        <v>0</v>
      </c>
      <c r="R79" s="100">
        <f t="shared" si="21"/>
        <v>48</v>
      </c>
      <c r="S79" s="100">
        <f t="shared" si="21"/>
        <v>8</v>
      </c>
      <c r="T79" s="100">
        <f t="shared" si="21"/>
        <v>1</v>
      </c>
      <c r="U79" s="100">
        <f t="shared" si="21"/>
        <v>0</v>
      </c>
      <c r="V79" s="100">
        <f t="shared" si="21"/>
        <v>-48</v>
      </c>
      <c r="W79" s="100">
        <f t="shared" si="21"/>
        <v>-8</v>
      </c>
      <c r="X79" s="100">
        <f t="shared" si="21"/>
        <v>-1</v>
      </c>
      <c r="Y79" s="100">
        <f t="shared" si="21"/>
        <v>0</v>
      </c>
      <c r="Z79" s="100">
        <f t="shared" si="21"/>
        <v>0</v>
      </c>
      <c r="AA79" s="100">
        <f t="shared" si="21"/>
        <v>0</v>
      </c>
      <c r="AB79" s="100">
        <f t="shared" si="21"/>
        <v>0</v>
      </c>
      <c r="AC79" s="100">
        <f t="shared" si="21"/>
        <v>0</v>
      </c>
      <c r="AD79" s="100">
        <f t="shared" si="21"/>
        <v>0</v>
      </c>
      <c r="AE79" s="100">
        <f t="shared" si="21"/>
        <v>0</v>
      </c>
      <c r="AF79" s="100">
        <f t="shared" si="21"/>
        <v>0</v>
      </c>
      <c r="AG79" s="100">
        <f t="shared" si="21"/>
        <v>0</v>
      </c>
      <c r="AH79" s="100">
        <f t="shared" si="21"/>
        <v>0</v>
      </c>
      <c r="AI79" s="100">
        <f t="shared" si="21"/>
        <v>0</v>
      </c>
      <c r="AJ79" s="100">
        <f t="shared" si="21"/>
        <v>0</v>
      </c>
      <c r="AK79" s="100">
        <f t="shared" si="21"/>
        <v>0</v>
      </c>
    </row>
    <row r="80" spans="6:37" s="74" customFormat="1" x14ac:dyDescent="0.2">
      <c r="F80" s="100">
        <f t="shared" si="21"/>
        <v>0</v>
      </c>
      <c r="G80" s="100">
        <f t="shared" si="21"/>
        <v>0</v>
      </c>
      <c r="H80" s="100">
        <f t="shared" si="21"/>
        <v>0</v>
      </c>
      <c r="I80" s="100">
        <f t="shared" si="21"/>
        <v>0</v>
      </c>
      <c r="J80" s="100">
        <f t="shared" si="21"/>
        <v>0</v>
      </c>
      <c r="K80" s="100">
        <f t="shared" si="21"/>
        <v>0</v>
      </c>
      <c r="L80" s="100">
        <f t="shared" si="21"/>
        <v>0</v>
      </c>
      <c r="M80" s="100">
        <f t="shared" si="21"/>
        <v>0</v>
      </c>
      <c r="N80" s="100">
        <f t="shared" si="21"/>
        <v>0</v>
      </c>
      <c r="O80" s="100">
        <f t="shared" si="21"/>
        <v>0</v>
      </c>
      <c r="P80" s="100">
        <f t="shared" si="21"/>
        <v>0</v>
      </c>
      <c r="Q80" s="100">
        <f t="shared" si="21"/>
        <v>0</v>
      </c>
      <c r="R80" s="100">
        <f t="shared" si="21"/>
        <v>24</v>
      </c>
      <c r="S80" s="100">
        <f t="shared" si="21"/>
        <v>2</v>
      </c>
      <c r="T80" s="100">
        <f t="shared" si="21"/>
        <v>0</v>
      </c>
      <c r="U80" s="100">
        <f t="shared" si="21"/>
        <v>0</v>
      </c>
      <c r="V80" s="100">
        <f t="shared" si="21"/>
        <v>-24</v>
      </c>
      <c r="W80" s="100">
        <f t="shared" si="21"/>
        <v>-2</v>
      </c>
      <c r="X80" s="100">
        <f t="shared" si="21"/>
        <v>0</v>
      </c>
      <c r="Y80" s="100">
        <f t="shared" si="21"/>
        <v>0</v>
      </c>
      <c r="Z80" s="100">
        <f t="shared" si="21"/>
        <v>0</v>
      </c>
      <c r="AA80" s="100">
        <f t="shared" si="21"/>
        <v>0</v>
      </c>
      <c r="AB80" s="100">
        <f t="shared" si="21"/>
        <v>0</v>
      </c>
      <c r="AC80" s="100">
        <f t="shared" si="21"/>
        <v>0</v>
      </c>
      <c r="AD80" s="100">
        <f t="shared" si="21"/>
        <v>0</v>
      </c>
      <c r="AE80" s="100">
        <f t="shared" si="21"/>
        <v>0</v>
      </c>
      <c r="AF80" s="100">
        <f t="shared" si="21"/>
        <v>0</v>
      </c>
      <c r="AG80" s="100">
        <f t="shared" si="21"/>
        <v>0</v>
      </c>
      <c r="AH80" s="100">
        <f t="shared" si="21"/>
        <v>0</v>
      </c>
      <c r="AI80" s="100">
        <f t="shared" si="21"/>
        <v>0</v>
      </c>
      <c r="AJ80" s="100">
        <f t="shared" si="21"/>
        <v>0</v>
      </c>
      <c r="AK80" s="100">
        <f t="shared" si="21"/>
        <v>0</v>
      </c>
    </row>
    <row r="81" spans="6:37" s="74" customFormat="1" x14ac:dyDescent="0.2">
      <c r="F81" s="100">
        <f t="shared" si="21"/>
        <v>0</v>
      </c>
      <c r="G81" s="100">
        <f t="shared" si="21"/>
        <v>0</v>
      </c>
      <c r="H81" s="100">
        <f t="shared" si="21"/>
        <v>0</v>
      </c>
      <c r="I81" s="100">
        <f t="shared" si="21"/>
        <v>0</v>
      </c>
      <c r="J81" s="100">
        <f t="shared" si="21"/>
        <v>0</v>
      </c>
      <c r="K81" s="100">
        <f t="shared" si="21"/>
        <v>0</v>
      </c>
      <c r="L81" s="100">
        <f t="shared" si="21"/>
        <v>0</v>
      </c>
      <c r="M81" s="100">
        <f t="shared" si="21"/>
        <v>0</v>
      </c>
      <c r="N81" s="100">
        <f t="shared" si="21"/>
        <v>0</v>
      </c>
      <c r="O81" s="100">
        <f t="shared" si="21"/>
        <v>0</v>
      </c>
      <c r="P81" s="100">
        <f t="shared" si="21"/>
        <v>0</v>
      </c>
      <c r="Q81" s="100">
        <f t="shared" si="21"/>
        <v>0</v>
      </c>
      <c r="R81" s="100">
        <f t="shared" si="21"/>
        <v>0</v>
      </c>
      <c r="S81" s="100">
        <f t="shared" si="21"/>
        <v>0</v>
      </c>
      <c r="T81" s="100">
        <f t="shared" si="21"/>
        <v>0</v>
      </c>
      <c r="U81" s="100">
        <f t="shared" si="21"/>
        <v>0</v>
      </c>
      <c r="V81" s="100">
        <f t="shared" si="21"/>
        <v>125</v>
      </c>
      <c r="W81" s="100">
        <f t="shared" si="21"/>
        <v>25</v>
      </c>
      <c r="X81" s="100">
        <f t="shared" si="21"/>
        <v>5</v>
      </c>
      <c r="Y81" s="100">
        <f t="shared" si="21"/>
        <v>1</v>
      </c>
      <c r="Z81" s="100">
        <f t="shared" si="21"/>
        <v>0</v>
      </c>
      <c r="AA81" s="100">
        <f t="shared" si="21"/>
        <v>0</v>
      </c>
      <c r="AB81" s="100">
        <f t="shared" si="21"/>
        <v>0</v>
      </c>
      <c r="AC81" s="100">
        <f t="shared" si="21"/>
        <v>0</v>
      </c>
      <c r="AD81" s="100">
        <f t="shared" si="21"/>
        <v>0</v>
      </c>
      <c r="AE81" s="100">
        <f t="shared" si="21"/>
        <v>0</v>
      </c>
      <c r="AF81" s="100">
        <f t="shared" si="21"/>
        <v>0</v>
      </c>
      <c r="AG81" s="100">
        <f t="shared" si="21"/>
        <v>0</v>
      </c>
      <c r="AH81" s="100">
        <f t="shared" si="21"/>
        <v>0</v>
      </c>
      <c r="AI81" s="100">
        <f t="shared" si="21"/>
        <v>0</v>
      </c>
      <c r="AJ81" s="100">
        <f t="shared" si="21"/>
        <v>0</v>
      </c>
      <c r="AK81" s="100">
        <f t="shared" ref="AK81" si="22">IF(ISBLANK(AK44),0,AK44)</f>
        <v>0</v>
      </c>
    </row>
    <row r="82" spans="6:37" s="74" customFormat="1" x14ac:dyDescent="0.2">
      <c r="F82" s="100">
        <f t="shared" ref="F82:AK89" si="23">IF(ISBLANK(F45),0,F45)</f>
        <v>0</v>
      </c>
      <c r="G82" s="100">
        <f t="shared" si="23"/>
        <v>0</v>
      </c>
      <c r="H82" s="100">
        <f t="shared" si="23"/>
        <v>0</v>
      </c>
      <c r="I82" s="100">
        <f t="shared" si="23"/>
        <v>0</v>
      </c>
      <c r="J82" s="100">
        <f t="shared" si="23"/>
        <v>0</v>
      </c>
      <c r="K82" s="100">
        <f t="shared" si="23"/>
        <v>0</v>
      </c>
      <c r="L82" s="100">
        <f t="shared" si="23"/>
        <v>0</v>
      </c>
      <c r="M82" s="100">
        <f t="shared" si="23"/>
        <v>0</v>
      </c>
      <c r="N82" s="100">
        <f t="shared" si="23"/>
        <v>0</v>
      </c>
      <c r="O82" s="100">
        <f t="shared" si="23"/>
        <v>0</v>
      </c>
      <c r="P82" s="100">
        <f t="shared" si="23"/>
        <v>0</v>
      </c>
      <c r="Q82" s="100">
        <f t="shared" si="23"/>
        <v>0</v>
      </c>
      <c r="R82" s="100">
        <f t="shared" si="23"/>
        <v>0</v>
      </c>
      <c r="S82" s="100">
        <f t="shared" si="23"/>
        <v>0</v>
      </c>
      <c r="T82" s="100">
        <f t="shared" si="23"/>
        <v>0</v>
      </c>
      <c r="U82" s="100">
        <f t="shared" si="23"/>
        <v>0</v>
      </c>
      <c r="V82" s="100">
        <f t="shared" si="23"/>
        <v>0</v>
      </c>
      <c r="W82" s="100">
        <f t="shared" si="23"/>
        <v>0</v>
      </c>
      <c r="X82" s="100">
        <f t="shared" si="23"/>
        <v>0</v>
      </c>
      <c r="Y82" s="100">
        <f t="shared" si="23"/>
        <v>0</v>
      </c>
      <c r="Z82" s="100">
        <f t="shared" si="23"/>
        <v>125</v>
      </c>
      <c r="AA82" s="100">
        <f t="shared" si="23"/>
        <v>25</v>
      </c>
      <c r="AB82" s="100">
        <f t="shared" si="23"/>
        <v>5</v>
      </c>
      <c r="AC82" s="100">
        <f t="shared" si="23"/>
        <v>1</v>
      </c>
      <c r="AD82" s="100">
        <f t="shared" si="23"/>
        <v>0</v>
      </c>
      <c r="AE82" s="100">
        <f t="shared" si="23"/>
        <v>0</v>
      </c>
      <c r="AF82" s="100">
        <f t="shared" si="23"/>
        <v>0</v>
      </c>
      <c r="AG82" s="100">
        <f t="shared" si="23"/>
        <v>0</v>
      </c>
      <c r="AH82" s="100">
        <f t="shared" si="23"/>
        <v>0</v>
      </c>
      <c r="AI82" s="100">
        <f t="shared" si="23"/>
        <v>0</v>
      </c>
      <c r="AJ82" s="100">
        <f t="shared" si="23"/>
        <v>0</v>
      </c>
      <c r="AK82" s="100">
        <f t="shared" si="23"/>
        <v>0</v>
      </c>
    </row>
    <row r="83" spans="6:37" s="74" customFormat="1" x14ac:dyDescent="0.2">
      <c r="F83" s="100">
        <f t="shared" si="23"/>
        <v>0</v>
      </c>
      <c r="G83" s="100">
        <f t="shared" si="23"/>
        <v>0</v>
      </c>
      <c r="H83" s="100">
        <f t="shared" si="23"/>
        <v>0</v>
      </c>
      <c r="I83" s="100">
        <f t="shared" si="23"/>
        <v>0</v>
      </c>
      <c r="J83" s="100">
        <f t="shared" si="23"/>
        <v>0</v>
      </c>
      <c r="K83" s="100">
        <f t="shared" si="23"/>
        <v>0</v>
      </c>
      <c r="L83" s="100">
        <f t="shared" si="23"/>
        <v>0</v>
      </c>
      <c r="M83" s="100">
        <f t="shared" si="23"/>
        <v>0</v>
      </c>
      <c r="N83" s="100">
        <f t="shared" si="23"/>
        <v>0</v>
      </c>
      <c r="O83" s="100">
        <f t="shared" si="23"/>
        <v>0</v>
      </c>
      <c r="P83" s="100">
        <f t="shared" si="23"/>
        <v>0</v>
      </c>
      <c r="Q83" s="100">
        <f t="shared" si="23"/>
        <v>0</v>
      </c>
      <c r="R83" s="100">
        <f t="shared" si="23"/>
        <v>0</v>
      </c>
      <c r="S83" s="100">
        <f t="shared" si="23"/>
        <v>0</v>
      </c>
      <c r="T83" s="100">
        <f t="shared" si="23"/>
        <v>0</v>
      </c>
      <c r="U83" s="100">
        <f t="shared" si="23"/>
        <v>0</v>
      </c>
      <c r="V83" s="100">
        <f t="shared" si="23"/>
        <v>75</v>
      </c>
      <c r="W83" s="100">
        <f t="shared" si="23"/>
        <v>10</v>
      </c>
      <c r="X83" s="100">
        <f t="shared" si="23"/>
        <v>1</v>
      </c>
      <c r="Y83" s="100">
        <f t="shared" si="23"/>
        <v>0</v>
      </c>
      <c r="Z83" s="100">
        <f t="shared" si="23"/>
        <v>-75</v>
      </c>
      <c r="AA83" s="100">
        <f t="shared" si="23"/>
        <v>-10</v>
      </c>
      <c r="AB83" s="100">
        <f t="shared" si="23"/>
        <v>-1</v>
      </c>
      <c r="AC83" s="100">
        <f t="shared" si="23"/>
        <v>0</v>
      </c>
      <c r="AD83" s="100">
        <f t="shared" si="23"/>
        <v>0</v>
      </c>
      <c r="AE83" s="100">
        <f t="shared" si="23"/>
        <v>0</v>
      </c>
      <c r="AF83" s="100">
        <f t="shared" si="23"/>
        <v>0</v>
      </c>
      <c r="AG83" s="100">
        <f t="shared" si="23"/>
        <v>0</v>
      </c>
      <c r="AH83" s="100">
        <f t="shared" si="23"/>
        <v>0</v>
      </c>
      <c r="AI83" s="100">
        <f t="shared" si="23"/>
        <v>0</v>
      </c>
      <c r="AJ83" s="100">
        <f t="shared" si="23"/>
        <v>0</v>
      </c>
      <c r="AK83" s="100">
        <f t="shared" si="23"/>
        <v>0</v>
      </c>
    </row>
    <row r="84" spans="6:37" s="74" customFormat="1" x14ac:dyDescent="0.2">
      <c r="F84" s="100">
        <f t="shared" si="23"/>
        <v>0</v>
      </c>
      <c r="G84" s="100">
        <f t="shared" si="23"/>
        <v>0</v>
      </c>
      <c r="H84" s="100">
        <f t="shared" si="23"/>
        <v>0</v>
      </c>
      <c r="I84" s="100">
        <f t="shared" si="23"/>
        <v>0</v>
      </c>
      <c r="J84" s="100">
        <f t="shared" si="23"/>
        <v>0</v>
      </c>
      <c r="K84" s="100">
        <f t="shared" si="23"/>
        <v>0</v>
      </c>
      <c r="L84" s="100">
        <f t="shared" si="23"/>
        <v>0</v>
      </c>
      <c r="M84" s="100">
        <f t="shared" si="23"/>
        <v>0</v>
      </c>
      <c r="N84" s="100">
        <f t="shared" si="23"/>
        <v>0</v>
      </c>
      <c r="O84" s="100">
        <f t="shared" si="23"/>
        <v>0</v>
      </c>
      <c r="P84" s="100">
        <f t="shared" si="23"/>
        <v>0</v>
      </c>
      <c r="Q84" s="100">
        <f t="shared" si="23"/>
        <v>0</v>
      </c>
      <c r="R84" s="100">
        <f t="shared" si="23"/>
        <v>0</v>
      </c>
      <c r="S84" s="100">
        <f t="shared" si="23"/>
        <v>0</v>
      </c>
      <c r="T84" s="100">
        <f t="shared" si="23"/>
        <v>0</v>
      </c>
      <c r="U84" s="100">
        <f t="shared" si="23"/>
        <v>0</v>
      </c>
      <c r="V84" s="100">
        <f t="shared" si="23"/>
        <v>30</v>
      </c>
      <c r="W84" s="100">
        <f t="shared" si="23"/>
        <v>2</v>
      </c>
      <c r="X84" s="100">
        <f t="shared" si="23"/>
        <v>0</v>
      </c>
      <c r="Y84" s="100">
        <f t="shared" si="23"/>
        <v>0</v>
      </c>
      <c r="Z84" s="100">
        <f t="shared" si="23"/>
        <v>-30</v>
      </c>
      <c r="AA84" s="100">
        <f t="shared" si="23"/>
        <v>-2</v>
      </c>
      <c r="AB84" s="100">
        <f t="shared" si="23"/>
        <v>0</v>
      </c>
      <c r="AC84" s="100">
        <f t="shared" si="23"/>
        <v>0</v>
      </c>
      <c r="AD84" s="100">
        <f t="shared" si="23"/>
        <v>0</v>
      </c>
      <c r="AE84" s="100">
        <f t="shared" si="23"/>
        <v>0</v>
      </c>
      <c r="AF84" s="100">
        <f t="shared" si="23"/>
        <v>0</v>
      </c>
      <c r="AG84" s="100">
        <f t="shared" si="23"/>
        <v>0</v>
      </c>
      <c r="AH84" s="100">
        <f t="shared" si="23"/>
        <v>0</v>
      </c>
      <c r="AI84" s="100">
        <f t="shared" si="23"/>
        <v>0</v>
      </c>
      <c r="AJ84" s="100">
        <f t="shared" si="23"/>
        <v>0</v>
      </c>
      <c r="AK84" s="100">
        <f t="shared" si="23"/>
        <v>0</v>
      </c>
    </row>
    <row r="85" spans="6:37" s="74" customFormat="1" x14ac:dyDescent="0.2">
      <c r="F85" s="100">
        <f t="shared" si="23"/>
        <v>0</v>
      </c>
      <c r="G85" s="100">
        <f t="shared" si="23"/>
        <v>0</v>
      </c>
      <c r="H85" s="100">
        <f t="shared" si="23"/>
        <v>0</v>
      </c>
      <c r="I85" s="100">
        <f t="shared" si="23"/>
        <v>0</v>
      </c>
      <c r="J85" s="100">
        <f t="shared" si="23"/>
        <v>0</v>
      </c>
      <c r="K85" s="100">
        <f t="shared" si="23"/>
        <v>0</v>
      </c>
      <c r="L85" s="100">
        <f t="shared" si="23"/>
        <v>0</v>
      </c>
      <c r="M85" s="100">
        <f t="shared" si="23"/>
        <v>0</v>
      </c>
      <c r="N85" s="100">
        <f t="shared" si="23"/>
        <v>0</v>
      </c>
      <c r="O85" s="100">
        <f t="shared" si="23"/>
        <v>0</v>
      </c>
      <c r="P85" s="100">
        <f t="shared" si="23"/>
        <v>0</v>
      </c>
      <c r="Q85" s="100">
        <f t="shared" si="23"/>
        <v>0</v>
      </c>
      <c r="R85" s="100">
        <f t="shared" si="23"/>
        <v>0</v>
      </c>
      <c r="S85" s="100">
        <f t="shared" si="23"/>
        <v>0</v>
      </c>
      <c r="T85" s="100">
        <f t="shared" si="23"/>
        <v>0</v>
      </c>
      <c r="U85" s="100">
        <f t="shared" si="23"/>
        <v>0</v>
      </c>
      <c r="V85" s="100">
        <f t="shared" si="23"/>
        <v>0</v>
      </c>
      <c r="W85" s="100">
        <f t="shared" si="23"/>
        <v>0</v>
      </c>
      <c r="X85" s="100">
        <f t="shared" si="23"/>
        <v>0</v>
      </c>
      <c r="Y85" s="100">
        <f t="shared" si="23"/>
        <v>0</v>
      </c>
      <c r="Z85" s="100">
        <f t="shared" si="23"/>
        <v>343</v>
      </c>
      <c r="AA85" s="100">
        <f t="shared" si="23"/>
        <v>49</v>
      </c>
      <c r="AB85" s="100">
        <f t="shared" si="23"/>
        <v>7</v>
      </c>
      <c r="AC85" s="100">
        <f t="shared" si="23"/>
        <v>1</v>
      </c>
      <c r="AD85" s="100">
        <f t="shared" si="23"/>
        <v>0</v>
      </c>
      <c r="AE85" s="100">
        <f t="shared" si="23"/>
        <v>0</v>
      </c>
      <c r="AF85" s="100">
        <f t="shared" si="23"/>
        <v>0</v>
      </c>
      <c r="AG85" s="100">
        <f t="shared" si="23"/>
        <v>0</v>
      </c>
      <c r="AH85" s="100">
        <f t="shared" si="23"/>
        <v>0</v>
      </c>
      <c r="AI85" s="100">
        <f t="shared" si="23"/>
        <v>0</v>
      </c>
      <c r="AJ85" s="100">
        <f t="shared" si="23"/>
        <v>0</v>
      </c>
      <c r="AK85" s="100">
        <f t="shared" si="23"/>
        <v>0</v>
      </c>
    </row>
    <row r="86" spans="6:37" s="74" customFormat="1" x14ac:dyDescent="0.2">
      <c r="F86" s="100">
        <f t="shared" si="23"/>
        <v>0</v>
      </c>
      <c r="G86" s="100">
        <f t="shared" si="23"/>
        <v>0</v>
      </c>
      <c r="H86" s="100">
        <f t="shared" si="23"/>
        <v>0</v>
      </c>
      <c r="I86" s="100">
        <f t="shared" si="23"/>
        <v>0</v>
      </c>
      <c r="J86" s="100">
        <f t="shared" si="23"/>
        <v>0</v>
      </c>
      <c r="K86" s="100">
        <f t="shared" si="23"/>
        <v>0</v>
      </c>
      <c r="L86" s="100">
        <f t="shared" si="23"/>
        <v>0</v>
      </c>
      <c r="M86" s="100">
        <f t="shared" si="23"/>
        <v>0</v>
      </c>
      <c r="N86" s="100">
        <f t="shared" si="23"/>
        <v>0</v>
      </c>
      <c r="O86" s="100">
        <f t="shared" si="23"/>
        <v>0</v>
      </c>
      <c r="P86" s="100">
        <f t="shared" si="23"/>
        <v>0</v>
      </c>
      <c r="Q86" s="100">
        <f t="shared" si="23"/>
        <v>0</v>
      </c>
      <c r="R86" s="100">
        <f t="shared" si="23"/>
        <v>0</v>
      </c>
      <c r="S86" s="100">
        <f t="shared" si="23"/>
        <v>0</v>
      </c>
      <c r="T86" s="100">
        <f t="shared" si="23"/>
        <v>0</v>
      </c>
      <c r="U86" s="100">
        <f t="shared" si="23"/>
        <v>0</v>
      </c>
      <c r="V86" s="100">
        <f t="shared" si="23"/>
        <v>0</v>
      </c>
      <c r="W86" s="100">
        <f t="shared" si="23"/>
        <v>0</v>
      </c>
      <c r="X86" s="100">
        <f t="shared" si="23"/>
        <v>0</v>
      </c>
      <c r="Y86" s="100">
        <f t="shared" si="23"/>
        <v>0</v>
      </c>
      <c r="Z86" s="100">
        <f t="shared" si="23"/>
        <v>0</v>
      </c>
      <c r="AA86" s="100">
        <f t="shared" si="23"/>
        <v>0</v>
      </c>
      <c r="AB86" s="100">
        <f t="shared" si="23"/>
        <v>0</v>
      </c>
      <c r="AC86" s="100">
        <f t="shared" si="23"/>
        <v>0</v>
      </c>
      <c r="AD86" s="100">
        <f t="shared" si="23"/>
        <v>343</v>
      </c>
      <c r="AE86" s="100">
        <f t="shared" si="23"/>
        <v>49</v>
      </c>
      <c r="AF86" s="100">
        <f t="shared" si="23"/>
        <v>7</v>
      </c>
      <c r="AG86" s="100">
        <f t="shared" si="23"/>
        <v>1</v>
      </c>
      <c r="AH86" s="100">
        <f t="shared" si="23"/>
        <v>0</v>
      </c>
      <c r="AI86" s="100">
        <f t="shared" si="23"/>
        <v>0</v>
      </c>
      <c r="AJ86" s="100">
        <f t="shared" si="23"/>
        <v>0</v>
      </c>
      <c r="AK86" s="100">
        <f t="shared" si="23"/>
        <v>0</v>
      </c>
    </row>
    <row r="87" spans="6:37" s="74" customFormat="1" x14ac:dyDescent="0.2">
      <c r="F87" s="100">
        <f t="shared" si="23"/>
        <v>0</v>
      </c>
      <c r="G87" s="100">
        <f t="shared" si="23"/>
        <v>0</v>
      </c>
      <c r="H87" s="100">
        <f t="shared" si="23"/>
        <v>0</v>
      </c>
      <c r="I87" s="100">
        <f t="shared" si="23"/>
        <v>0</v>
      </c>
      <c r="J87" s="100">
        <f t="shared" si="23"/>
        <v>0</v>
      </c>
      <c r="K87" s="100">
        <f t="shared" si="23"/>
        <v>0</v>
      </c>
      <c r="L87" s="100">
        <f t="shared" si="23"/>
        <v>0</v>
      </c>
      <c r="M87" s="100">
        <f t="shared" si="23"/>
        <v>0</v>
      </c>
      <c r="N87" s="100">
        <f t="shared" si="23"/>
        <v>0</v>
      </c>
      <c r="O87" s="100">
        <f t="shared" si="23"/>
        <v>0</v>
      </c>
      <c r="P87" s="100">
        <f t="shared" si="23"/>
        <v>0</v>
      </c>
      <c r="Q87" s="100">
        <f t="shared" si="23"/>
        <v>0</v>
      </c>
      <c r="R87" s="100">
        <f t="shared" si="23"/>
        <v>0</v>
      </c>
      <c r="S87" s="100">
        <f t="shared" si="23"/>
        <v>0</v>
      </c>
      <c r="T87" s="100">
        <f t="shared" si="23"/>
        <v>0</v>
      </c>
      <c r="U87" s="100">
        <f t="shared" si="23"/>
        <v>0</v>
      </c>
      <c r="V87" s="100">
        <f t="shared" si="23"/>
        <v>0</v>
      </c>
      <c r="W87" s="100">
        <f t="shared" si="23"/>
        <v>0</v>
      </c>
      <c r="X87" s="100">
        <f t="shared" si="23"/>
        <v>0</v>
      </c>
      <c r="Y87" s="100">
        <f t="shared" si="23"/>
        <v>0</v>
      </c>
      <c r="Z87" s="100">
        <f t="shared" si="23"/>
        <v>147</v>
      </c>
      <c r="AA87" s="100">
        <f t="shared" si="23"/>
        <v>14</v>
      </c>
      <c r="AB87" s="100">
        <f t="shared" si="23"/>
        <v>1</v>
      </c>
      <c r="AC87" s="100">
        <f t="shared" si="23"/>
        <v>0</v>
      </c>
      <c r="AD87" s="100">
        <f t="shared" si="23"/>
        <v>-147</v>
      </c>
      <c r="AE87" s="100">
        <f t="shared" si="23"/>
        <v>-14</v>
      </c>
      <c r="AF87" s="100">
        <f t="shared" si="23"/>
        <v>-1</v>
      </c>
      <c r="AG87" s="100">
        <f t="shared" si="23"/>
        <v>0</v>
      </c>
      <c r="AH87" s="100">
        <f t="shared" si="23"/>
        <v>0</v>
      </c>
      <c r="AI87" s="100">
        <f t="shared" si="23"/>
        <v>0</v>
      </c>
      <c r="AJ87" s="100">
        <f t="shared" si="23"/>
        <v>0</v>
      </c>
      <c r="AK87" s="100">
        <f t="shared" si="23"/>
        <v>0</v>
      </c>
    </row>
    <row r="88" spans="6:37" s="74" customFormat="1" x14ac:dyDescent="0.2">
      <c r="F88" s="100">
        <f t="shared" si="23"/>
        <v>0</v>
      </c>
      <c r="G88" s="100">
        <f t="shared" si="23"/>
        <v>0</v>
      </c>
      <c r="H88" s="100">
        <f t="shared" si="23"/>
        <v>0</v>
      </c>
      <c r="I88" s="100">
        <f t="shared" si="23"/>
        <v>0</v>
      </c>
      <c r="J88" s="100">
        <f t="shared" si="23"/>
        <v>0</v>
      </c>
      <c r="K88" s="100">
        <f t="shared" si="23"/>
        <v>0</v>
      </c>
      <c r="L88" s="100">
        <f t="shared" si="23"/>
        <v>0</v>
      </c>
      <c r="M88" s="100">
        <f t="shared" si="23"/>
        <v>0</v>
      </c>
      <c r="N88" s="100">
        <f t="shared" si="23"/>
        <v>0</v>
      </c>
      <c r="O88" s="100">
        <f t="shared" si="23"/>
        <v>0</v>
      </c>
      <c r="P88" s="100">
        <f t="shared" si="23"/>
        <v>0</v>
      </c>
      <c r="Q88" s="100">
        <f t="shared" si="23"/>
        <v>0</v>
      </c>
      <c r="R88" s="100">
        <f t="shared" si="23"/>
        <v>0</v>
      </c>
      <c r="S88" s="100">
        <f t="shared" si="23"/>
        <v>0</v>
      </c>
      <c r="T88" s="100">
        <f t="shared" si="23"/>
        <v>0</v>
      </c>
      <c r="U88" s="100">
        <f t="shared" si="23"/>
        <v>0</v>
      </c>
      <c r="V88" s="100">
        <f t="shared" si="23"/>
        <v>0</v>
      </c>
      <c r="W88" s="100">
        <f t="shared" si="23"/>
        <v>0</v>
      </c>
      <c r="X88" s="100">
        <f t="shared" si="23"/>
        <v>0</v>
      </c>
      <c r="Y88" s="100">
        <f t="shared" si="23"/>
        <v>0</v>
      </c>
      <c r="Z88" s="100">
        <f t="shared" si="23"/>
        <v>42</v>
      </c>
      <c r="AA88" s="100">
        <f t="shared" si="23"/>
        <v>2</v>
      </c>
      <c r="AB88" s="100">
        <f t="shared" si="23"/>
        <v>0</v>
      </c>
      <c r="AC88" s="100">
        <f t="shared" si="23"/>
        <v>0</v>
      </c>
      <c r="AD88" s="100">
        <f t="shared" si="23"/>
        <v>-42</v>
      </c>
      <c r="AE88" s="100">
        <f t="shared" si="23"/>
        <v>-2</v>
      </c>
      <c r="AF88" s="100">
        <f t="shared" si="23"/>
        <v>0</v>
      </c>
      <c r="AG88" s="100">
        <f t="shared" si="23"/>
        <v>0</v>
      </c>
      <c r="AH88" s="100">
        <f t="shared" si="23"/>
        <v>0</v>
      </c>
      <c r="AI88" s="100">
        <f t="shared" si="23"/>
        <v>0</v>
      </c>
      <c r="AJ88" s="100">
        <f t="shared" si="23"/>
        <v>0</v>
      </c>
      <c r="AK88" s="100">
        <f t="shared" si="23"/>
        <v>0</v>
      </c>
    </row>
    <row r="89" spans="6:37" s="74" customFormat="1" x14ac:dyDescent="0.2">
      <c r="F89" s="100">
        <f t="shared" si="23"/>
        <v>0</v>
      </c>
      <c r="G89" s="100">
        <f t="shared" si="23"/>
        <v>0</v>
      </c>
      <c r="H89" s="100">
        <f t="shared" si="23"/>
        <v>0</v>
      </c>
      <c r="I89" s="100">
        <f t="shared" si="23"/>
        <v>0</v>
      </c>
      <c r="J89" s="100">
        <f t="shared" si="23"/>
        <v>0</v>
      </c>
      <c r="K89" s="100">
        <f t="shared" si="23"/>
        <v>0</v>
      </c>
      <c r="L89" s="100">
        <f t="shared" si="23"/>
        <v>0</v>
      </c>
      <c r="M89" s="100">
        <f t="shared" si="23"/>
        <v>0</v>
      </c>
      <c r="N89" s="100">
        <f t="shared" si="23"/>
        <v>0</v>
      </c>
      <c r="O89" s="100">
        <f t="shared" si="23"/>
        <v>0</v>
      </c>
      <c r="P89" s="100">
        <f t="shared" si="23"/>
        <v>0</v>
      </c>
      <c r="Q89" s="100">
        <f t="shared" si="23"/>
        <v>0</v>
      </c>
      <c r="R89" s="100">
        <f t="shared" si="23"/>
        <v>0</v>
      </c>
      <c r="S89" s="100">
        <f t="shared" si="23"/>
        <v>0</v>
      </c>
      <c r="T89" s="100">
        <f t="shared" si="23"/>
        <v>0</v>
      </c>
      <c r="U89" s="100">
        <f t="shared" si="23"/>
        <v>0</v>
      </c>
      <c r="V89" s="100">
        <f t="shared" si="23"/>
        <v>0</v>
      </c>
      <c r="W89" s="100">
        <f t="shared" si="23"/>
        <v>0</v>
      </c>
      <c r="X89" s="100">
        <f t="shared" si="23"/>
        <v>0</v>
      </c>
      <c r="Y89" s="100">
        <f t="shared" si="23"/>
        <v>0</v>
      </c>
      <c r="Z89" s="100">
        <f t="shared" si="23"/>
        <v>0</v>
      </c>
      <c r="AA89" s="100">
        <f t="shared" si="23"/>
        <v>0</v>
      </c>
      <c r="AB89" s="100">
        <f t="shared" si="23"/>
        <v>0</v>
      </c>
      <c r="AC89" s="100">
        <f t="shared" si="23"/>
        <v>0</v>
      </c>
      <c r="AD89" s="100">
        <f t="shared" si="23"/>
        <v>1000</v>
      </c>
      <c r="AE89" s="100">
        <f t="shared" si="23"/>
        <v>100</v>
      </c>
      <c r="AF89" s="100">
        <f t="shared" si="23"/>
        <v>10</v>
      </c>
      <c r="AG89" s="100">
        <f t="shared" si="23"/>
        <v>1</v>
      </c>
      <c r="AH89" s="100">
        <f t="shared" si="23"/>
        <v>0</v>
      </c>
      <c r="AI89" s="100">
        <f t="shared" si="23"/>
        <v>0</v>
      </c>
      <c r="AJ89" s="100">
        <f t="shared" si="23"/>
        <v>0</v>
      </c>
      <c r="AK89" s="100">
        <f t="shared" ref="AK89" si="24">IF(ISBLANK(AK52),0,AK52)</f>
        <v>0</v>
      </c>
    </row>
    <row r="90" spans="6:37" s="74" customFormat="1" x14ac:dyDescent="0.2">
      <c r="F90" s="100">
        <f t="shared" ref="F90:AK96" si="25">IF(ISBLANK(F53),0,F53)</f>
        <v>0</v>
      </c>
      <c r="G90" s="100">
        <f t="shared" si="25"/>
        <v>0</v>
      </c>
      <c r="H90" s="100">
        <f t="shared" si="25"/>
        <v>0</v>
      </c>
      <c r="I90" s="100">
        <f t="shared" si="25"/>
        <v>0</v>
      </c>
      <c r="J90" s="100">
        <f t="shared" si="25"/>
        <v>0</v>
      </c>
      <c r="K90" s="100">
        <f t="shared" si="25"/>
        <v>0</v>
      </c>
      <c r="L90" s="100">
        <f t="shared" si="25"/>
        <v>0</v>
      </c>
      <c r="M90" s="100">
        <f t="shared" si="25"/>
        <v>0</v>
      </c>
      <c r="N90" s="100">
        <f t="shared" si="25"/>
        <v>0</v>
      </c>
      <c r="O90" s="100">
        <f t="shared" si="25"/>
        <v>0</v>
      </c>
      <c r="P90" s="100">
        <f t="shared" si="25"/>
        <v>0</v>
      </c>
      <c r="Q90" s="100">
        <f t="shared" si="25"/>
        <v>0</v>
      </c>
      <c r="R90" s="100">
        <f t="shared" si="25"/>
        <v>0</v>
      </c>
      <c r="S90" s="100">
        <f t="shared" si="25"/>
        <v>0</v>
      </c>
      <c r="T90" s="100">
        <f t="shared" si="25"/>
        <v>0</v>
      </c>
      <c r="U90" s="100">
        <f t="shared" si="25"/>
        <v>0</v>
      </c>
      <c r="V90" s="100">
        <f t="shared" si="25"/>
        <v>0</v>
      </c>
      <c r="W90" s="100">
        <f t="shared" si="25"/>
        <v>0</v>
      </c>
      <c r="X90" s="100">
        <f t="shared" si="25"/>
        <v>0</v>
      </c>
      <c r="Y90" s="100">
        <f t="shared" si="25"/>
        <v>0</v>
      </c>
      <c r="Z90" s="100">
        <f t="shared" si="25"/>
        <v>0</v>
      </c>
      <c r="AA90" s="100">
        <f t="shared" si="25"/>
        <v>0</v>
      </c>
      <c r="AB90" s="100">
        <f t="shared" si="25"/>
        <v>0</v>
      </c>
      <c r="AC90" s="100">
        <f t="shared" si="25"/>
        <v>0</v>
      </c>
      <c r="AD90" s="100">
        <f t="shared" si="25"/>
        <v>0</v>
      </c>
      <c r="AE90" s="100">
        <f t="shared" si="25"/>
        <v>0</v>
      </c>
      <c r="AF90" s="100">
        <f t="shared" si="25"/>
        <v>0</v>
      </c>
      <c r="AG90" s="100">
        <f t="shared" si="25"/>
        <v>0</v>
      </c>
      <c r="AH90" s="100">
        <f t="shared" si="25"/>
        <v>1000</v>
      </c>
      <c r="AI90" s="100">
        <f t="shared" si="25"/>
        <v>100</v>
      </c>
      <c r="AJ90" s="100">
        <f t="shared" si="25"/>
        <v>10</v>
      </c>
      <c r="AK90" s="100">
        <f t="shared" si="25"/>
        <v>1</v>
      </c>
    </row>
    <row r="91" spans="6:37" s="74" customFormat="1" x14ac:dyDescent="0.2">
      <c r="F91" s="100">
        <f t="shared" si="25"/>
        <v>0</v>
      </c>
      <c r="G91" s="100">
        <f t="shared" si="25"/>
        <v>0</v>
      </c>
      <c r="H91" s="100">
        <f t="shared" si="25"/>
        <v>0</v>
      </c>
      <c r="I91" s="100">
        <f t="shared" si="25"/>
        <v>0</v>
      </c>
      <c r="J91" s="100">
        <f t="shared" si="25"/>
        <v>0</v>
      </c>
      <c r="K91" s="100">
        <f t="shared" si="25"/>
        <v>0</v>
      </c>
      <c r="L91" s="100">
        <f t="shared" si="25"/>
        <v>0</v>
      </c>
      <c r="M91" s="100">
        <f t="shared" si="25"/>
        <v>0</v>
      </c>
      <c r="N91" s="100">
        <f t="shared" si="25"/>
        <v>0</v>
      </c>
      <c r="O91" s="100">
        <f t="shared" si="25"/>
        <v>0</v>
      </c>
      <c r="P91" s="100">
        <f t="shared" si="25"/>
        <v>0</v>
      </c>
      <c r="Q91" s="100">
        <f t="shared" si="25"/>
        <v>0</v>
      </c>
      <c r="R91" s="100">
        <f t="shared" si="25"/>
        <v>0</v>
      </c>
      <c r="S91" s="100">
        <f t="shared" si="25"/>
        <v>0</v>
      </c>
      <c r="T91" s="100">
        <f t="shared" si="25"/>
        <v>0</v>
      </c>
      <c r="U91" s="100">
        <f t="shared" si="25"/>
        <v>0</v>
      </c>
      <c r="V91" s="100">
        <f t="shared" si="25"/>
        <v>0</v>
      </c>
      <c r="W91" s="100">
        <f t="shared" si="25"/>
        <v>0</v>
      </c>
      <c r="X91" s="100">
        <f t="shared" si="25"/>
        <v>0</v>
      </c>
      <c r="Y91" s="100">
        <f t="shared" si="25"/>
        <v>0</v>
      </c>
      <c r="Z91" s="100">
        <f t="shared" si="25"/>
        <v>0</v>
      </c>
      <c r="AA91" s="100">
        <f t="shared" si="25"/>
        <v>0</v>
      </c>
      <c r="AB91" s="100">
        <f t="shared" si="25"/>
        <v>0</v>
      </c>
      <c r="AC91" s="100">
        <f t="shared" si="25"/>
        <v>0</v>
      </c>
      <c r="AD91" s="100">
        <f t="shared" si="25"/>
        <v>300</v>
      </c>
      <c r="AE91" s="100">
        <f t="shared" si="25"/>
        <v>20</v>
      </c>
      <c r="AF91" s="100">
        <f t="shared" si="25"/>
        <v>1</v>
      </c>
      <c r="AG91" s="100">
        <f t="shared" si="25"/>
        <v>0</v>
      </c>
      <c r="AH91" s="100">
        <f t="shared" si="25"/>
        <v>-300</v>
      </c>
      <c r="AI91" s="100">
        <f t="shared" si="25"/>
        <v>-20</v>
      </c>
      <c r="AJ91" s="100">
        <f t="shared" si="25"/>
        <v>-1</v>
      </c>
      <c r="AK91" s="100">
        <f t="shared" si="25"/>
        <v>0</v>
      </c>
    </row>
    <row r="92" spans="6:37" s="74" customFormat="1" x14ac:dyDescent="0.2">
      <c r="F92" s="100">
        <f t="shared" si="25"/>
        <v>0</v>
      </c>
      <c r="G92" s="100">
        <f t="shared" si="25"/>
        <v>0</v>
      </c>
      <c r="H92" s="100">
        <f t="shared" si="25"/>
        <v>0</v>
      </c>
      <c r="I92" s="100">
        <f t="shared" si="25"/>
        <v>0</v>
      </c>
      <c r="J92" s="100">
        <f t="shared" si="25"/>
        <v>0</v>
      </c>
      <c r="K92" s="100">
        <f t="shared" si="25"/>
        <v>0</v>
      </c>
      <c r="L92" s="100">
        <f t="shared" si="25"/>
        <v>0</v>
      </c>
      <c r="M92" s="100">
        <f t="shared" si="25"/>
        <v>0</v>
      </c>
      <c r="N92" s="100">
        <f t="shared" si="25"/>
        <v>0</v>
      </c>
      <c r="O92" s="100">
        <f t="shared" si="25"/>
        <v>0</v>
      </c>
      <c r="P92" s="100">
        <f t="shared" si="25"/>
        <v>0</v>
      </c>
      <c r="Q92" s="100">
        <f t="shared" si="25"/>
        <v>0</v>
      </c>
      <c r="R92" s="100">
        <f t="shared" si="25"/>
        <v>0</v>
      </c>
      <c r="S92" s="100">
        <f t="shared" si="25"/>
        <v>0</v>
      </c>
      <c r="T92" s="100">
        <f t="shared" si="25"/>
        <v>0</v>
      </c>
      <c r="U92" s="100">
        <f t="shared" si="25"/>
        <v>0</v>
      </c>
      <c r="V92" s="100">
        <f t="shared" si="25"/>
        <v>0</v>
      </c>
      <c r="W92" s="100">
        <f t="shared" si="25"/>
        <v>0</v>
      </c>
      <c r="X92" s="100">
        <f t="shared" si="25"/>
        <v>0</v>
      </c>
      <c r="Y92" s="100">
        <f t="shared" si="25"/>
        <v>0</v>
      </c>
      <c r="Z92" s="100">
        <f t="shared" si="25"/>
        <v>0</v>
      </c>
      <c r="AA92" s="100">
        <f t="shared" si="25"/>
        <v>0</v>
      </c>
      <c r="AB92" s="100">
        <f t="shared" si="25"/>
        <v>0</v>
      </c>
      <c r="AC92" s="100">
        <f t="shared" si="25"/>
        <v>0</v>
      </c>
      <c r="AD92" s="100">
        <f t="shared" si="25"/>
        <v>60</v>
      </c>
      <c r="AE92" s="100">
        <f t="shared" si="25"/>
        <v>2</v>
      </c>
      <c r="AF92" s="100">
        <f t="shared" si="25"/>
        <v>0</v>
      </c>
      <c r="AG92" s="100">
        <f t="shared" si="25"/>
        <v>0</v>
      </c>
      <c r="AH92" s="100">
        <f t="shared" si="25"/>
        <v>-60</v>
      </c>
      <c r="AI92" s="100">
        <f t="shared" si="25"/>
        <v>-2</v>
      </c>
      <c r="AJ92" s="100">
        <f t="shared" si="25"/>
        <v>0</v>
      </c>
      <c r="AK92" s="100">
        <f t="shared" si="25"/>
        <v>0</v>
      </c>
    </row>
    <row r="93" spans="6:37" s="74" customFormat="1" x14ac:dyDescent="0.2">
      <c r="F93" s="100">
        <f t="shared" si="25"/>
        <v>0</v>
      </c>
      <c r="G93" s="100">
        <f t="shared" si="25"/>
        <v>0</v>
      </c>
      <c r="H93" s="100">
        <f t="shared" si="25"/>
        <v>0</v>
      </c>
      <c r="I93" s="100">
        <f t="shared" si="25"/>
        <v>1</v>
      </c>
      <c r="J93" s="100">
        <f t="shared" si="25"/>
        <v>0</v>
      </c>
      <c r="K93" s="100">
        <f t="shared" si="25"/>
        <v>0</v>
      </c>
      <c r="L93" s="100">
        <f t="shared" si="25"/>
        <v>0</v>
      </c>
      <c r="M93" s="100">
        <f t="shared" si="25"/>
        <v>0</v>
      </c>
      <c r="N93" s="100">
        <f t="shared" si="25"/>
        <v>0</v>
      </c>
      <c r="O93" s="100">
        <f t="shared" si="25"/>
        <v>0</v>
      </c>
      <c r="P93" s="100">
        <f t="shared" si="25"/>
        <v>0</v>
      </c>
      <c r="Q93" s="100">
        <f t="shared" si="25"/>
        <v>0</v>
      </c>
      <c r="R93" s="100">
        <f t="shared" si="25"/>
        <v>0</v>
      </c>
      <c r="S93" s="100">
        <f t="shared" si="25"/>
        <v>0</v>
      </c>
      <c r="T93" s="100">
        <f t="shared" si="25"/>
        <v>0</v>
      </c>
      <c r="U93" s="100">
        <f t="shared" si="25"/>
        <v>0</v>
      </c>
      <c r="V93" s="100">
        <f t="shared" si="25"/>
        <v>0</v>
      </c>
      <c r="W93" s="100">
        <f t="shared" si="25"/>
        <v>0</v>
      </c>
      <c r="X93" s="100">
        <f t="shared" si="25"/>
        <v>0</v>
      </c>
      <c r="Y93" s="100">
        <f t="shared" si="25"/>
        <v>0</v>
      </c>
      <c r="Z93" s="100">
        <f t="shared" si="25"/>
        <v>0</v>
      </c>
      <c r="AA93" s="100">
        <f t="shared" si="25"/>
        <v>0</v>
      </c>
      <c r="AB93" s="100">
        <f t="shared" si="25"/>
        <v>0</v>
      </c>
      <c r="AC93" s="100">
        <f t="shared" si="25"/>
        <v>0</v>
      </c>
      <c r="AD93" s="100">
        <f t="shared" si="25"/>
        <v>0</v>
      </c>
      <c r="AE93" s="100">
        <f t="shared" si="25"/>
        <v>0</v>
      </c>
      <c r="AF93" s="100">
        <f t="shared" si="25"/>
        <v>0</v>
      </c>
      <c r="AG93" s="100">
        <f t="shared" si="25"/>
        <v>0</v>
      </c>
      <c r="AH93" s="100">
        <f t="shared" si="25"/>
        <v>0</v>
      </c>
      <c r="AI93" s="100">
        <f t="shared" si="25"/>
        <v>0</v>
      </c>
      <c r="AJ93" s="100">
        <f t="shared" si="25"/>
        <v>0</v>
      </c>
      <c r="AK93" s="100">
        <f t="shared" si="25"/>
        <v>0</v>
      </c>
    </row>
    <row r="94" spans="6:37" s="74" customFormat="1" x14ac:dyDescent="0.2">
      <c r="F94" s="100">
        <f t="shared" si="25"/>
        <v>0</v>
      </c>
      <c r="G94" s="100">
        <f t="shared" si="25"/>
        <v>2</v>
      </c>
      <c r="H94" s="100">
        <f t="shared" si="25"/>
        <v>0</v>
      </c>
      <c r="I94" s="100">
        <f t="shared" si="25"/>
        <v>0</v>
      </c>
      <c r="J94" s="100">
        <f t="shared" si="25"/>
        <v>0</v>
      </c>
      <c r="K94" s="100">
        <f t="shared" si="25"/>
        <v>0</v>
      </c>
      <c r="L94" s="100">
        <f t="shared" si="25"/>
        <v>0</v>
      </c>
      <c r="M94" s="100">
        <f t="shared" si="25"/>
        <v>0</v>
      </c>
      <c r="N94" s="100">
        <f t="shared" si="25"/>
        <v>0</v>
      </c>
      <c r="O94" s="100">
        <f t="shared" si="25"/>
        <v>0</v>
      </c>
      <c r="P94" s="100">
        <f t="shared" si="25"/>
        <v>0</v>
      </c>
      <c r="Q94" s="100">
        <f t="shared" si="25"/>
        <v>0</v>
      </c>
      <c r="R94" s="100">
        <f t="shared" si="25"/>
        <v>0</v>
      </c>
      <c r="S94" s="100">
        <f t="shared" si="25"/>
        <v>0</v>
      </c>
      <c r="T94" s="100">
        <f t="shared" si="25"/>
        <v>0</v>
      </c>
      <c r="U94" s="100">
        <f t="shared" si="25"/>
        <v>0</v>
      </c>
      <c r="V94" s="100">
        <f t="shared" si="25"/>
        <v>0</v>
      </c>
      <c r="W94" s="100">
        <f t="shared" si="25"/>
        <v>0</v>
      </c>
      <c r="X94" s="100">
        <f t="shared" si="25"/>
        <v>0</v>
      </c>
      <c r="Y94" s="100">
        <f t="shared" si="25"/>
        <v>0</v>
      </c>
      <c r="Z94" s="100">
        <f t="shared" si="25"/>
        <v>0</v>
      </c>
      <c r="AA94" s="100">
        <f t="shared" si="25"/>
        <v>0</v>
      </c>
      <c r="AB94" s="100">
        <f t="shared" si="25"/>
        <v>0</v>
      </c>
      <c r="AC94" s="100">
        <f t="shared" si="25"/>
        <v>0</v>
      </c>
      <c r="AD94" s="100">
        <f t="shared" si="25"/>
        <v>0</v>
      </c>
      <c r="AE94" s="100">
        <f t="shared" si="25"/>
        <v>0</v>
      </c>
      <c r="AF94" s="100">
        <f t="shared" si="25"/>
        <v>0</v>
      </c>
      <c r="AG94" s="100">
        <f t="shared" si="25"/>
        <v>0</v>
      </c>
      <c r="AH94" s="100">
        <f t="shared" si="25"/>
        <v>0</v>
      </c>
      <c r="AI94" s="100">
        <f t="shared" si="25"/>
        <v>0</v>
      </c>
      <c r="AJ94" s="100">
        <f t="shared" si="25"/>
        <v>0</v>
      </c>
      <c r="AK94" s="100">
        <f t="shared" si="25"/>
        <v>0</v>
      </c>
    </row>
    <row r="95" spans="6:37" s="74" customFormat="1" x14ac:dyDescent="0.2">
      <c r="F95" s="100">
        <f t="shared" si="25"/>
        <v>0</v>
      </c>
      <c r="G95" s="100">
        <f t="shared" si="25"/>
        <v>0</v>
      </c>
      <c r="H95" s="100">
        <f t="shared" si="25"/>
        <v>0</v>
      </c>
      <c r="I95" s="100">
        <f t="shared" si="25"/>
        <v>0</v>
      </c>
      <c r="J95" s="100">
        <f t="shared" si="25"/>
        <v>0</v>
      </c>
      <c r="K95" s="100">
        <f t="shared" si="25"/>
        <v>0</v>
      </c>
      <c r="L95" s="100">
        <f t="shared" si="25"/>
        <v>0</v>
      </c>
      <c r="M95" s="100">
        <f t="shared" si="25"/>
        <v>0</v>
      </c>
      <c r="N95" s="100">
        <f t="shared" si="25"/>
        <v>0</v>
      </c>
      <c r="O95" s="100">
        <f t="shared" si="25"/>
        <v>0</v>
      </c>
      <c r="P95" s="100">
        <f t="shared" si="25"/>
        <v>0</v>
      </c>
      <c r="Q95" s="100">
        <f t="shared" si="25"/>
        <v>0</v>
      </c>
      <c r="R95" s="100">
        <f t="shared" si="25"/>
        <v>0</v>
      </c>
      <c r="S95" s="100">
        <f t="shared" si="25"/>
        <v>0</v>
      </c>
      <c r="T95" s="100">
        <f t="shared" si="25"/>
        <v>0</v>
      </c>
      <c r="U95" s="100">
        <f t="shared" si="25"/>
        <v>0</v>
      </c>
      <c r="V95" s="100">
        <f t="shared" si="25"/>
        <v>0</v>
      </c>
      <c r="W95" s="100">
        <f t="shared" si="25"/>
        <v>0</v>
      </c>
      <c r="X95" s="100">
        <f t="shared" si="25"/>
        <v>0</v>
      </c>
      <c r="Y95" s="100">
        <f t="shared" si="25"/>
        <v>0</v>
      </c>
      <c r="Z95" s="100">
        <f t="shared" si="25"/>
        <v>0</v>
      </c>
      <c r="AA95" s="100">
        <f t="shared" si="25"/>
        <v>0</v>
      </c>
      <c r="AB95" s="100">
        <f t="shared" si="25"/>
        <v>0</v>
      </c>
      <c r="AC95" s="100">
        <f t="shared" si="25"/>
        <v>0</v>
      </c>
      <c r="AD95" s="100">
        <f t="shared" si="25"/>
        <v>0</v>
      </c>
      <c r="AE95" s="100">
        <f t="shared" si="25"/>
        <v>0</v>
      </c>
      <c r="AF95" s="100">
        <f t="shared" si="25"/>
        <v>0</v>
      </c>
      <c r="AG95" s="100">
        <f t="shared" si="25"/>
        <v>0</v>
      </c>
      <c r="AH95" s="100">
        <f t="shared" si="25"/>
        <v>27000</v>
      </c>
      <c r="AI95" s="100">
        <f t="shared" si="25"/>
        <v>900</v>
      </c>
      <c r="AJ95" s="100">
        <f t="shared" si="25"/>
        <v>30</v>
      </c>
      <c r="AK95" s="100">
        <f t="shared" si="25"/>
        <v>1</v>
      </c>
    </row>
    <row r="96" spans="6:37" s="74" customFormat="1" x14ac:dyDescent="0.2">
      <c r="F96" s="100">
        <f t="shared" si="25"/>
        <v>0</v>
      </c>
      <c r="G96" s="100">
        <f t="shared" si="25"/>
        <v>0</v>
      </c>
      <c r="H96" s="100">
        <f t="shared" si="25"/>
        <v>0</v>
      </c>
      <c r="I96" s="100">
        <f t="shared" si="25"/>
        <v>0</v>
      </c>
      <c r="J96" s="100">
        <f t="shared" si="25"/>
        <v>0</v>
      </c>
      <c r="K96" s="100">
        <f t="shared" si="25"/>
        <v>0</v>
      </c>
      <c r="L96" s="100">
        <f t="shared" si="25"/>
        <v>0</v>
      </c>
      <c r="M96" s="100">
        <f t="shared" si="25"/>
        <v>0</v>
      </c>
      <c r="N96" s="100">
        <f t="shared" si="25"/>
        <v>0</v>
      </c>
      <c r="O96" s="100">
        <f t="shared" si="25"/>
        <v>0</v>
      </c>
      <c r="P96" s="100">
        <f t="shared" si="25"/>
        <v>0</v>
      </c>
      <c r="Q96" s="100">
        <f t="shared" si="25"/>
        <v>0</v>
      </c>
      <c r="R96" s="100">
        <f t="shared" si="25"/>
        <v>0</v>
      </c>
      <c r="S96" s="100">
        <f t="shared" si="25"/>
        <v>0</v>
      </c>
      <c r="T96" s="100">
        <f t="shared" si="25"/>
        <v>0</v>
      </c>
      <c r="U96" s="100">
        <f t="shared" si="25"/>
        <v>0</v>
      </c>
      <c r="V96" s="100">
        <f t="shared" si="25"/>
        <v>0</v>
      </c>
      <c r="W96" s="100">
        <f t="shared" si="25"/>
        <v>0</v>
      </c>
      <c r="X96" s="100">
        <f t="shared" si="25"/>
        <v>0</v>
      </c>
      <c r="Y96" s="100">
        <f t="shared" si="25"/>
        <v>0</v>
      </c>
      <c r="Z96" s="100">
        <f t="shared" si="25"/>
        <v>0</v>
      </c>
      <c r="AA96" s="100">
        <f t="shared" si="25"/>
        <v>0</v>
      </c>
      <c r="AB96" s="100">
        <f t="shared" si="25"/>
        <v>0</v>
      </c>
      <c r="AC96" s="100">
        <f t="shared" si="25"/>
        <v>0</v>
      </c>
      <c r="AD96" s="100">
        <f t="shared" si="25"/>
        <v>0</v>
      </c>
      <c r="AE96" s="100">
        <f t="shared" si="25"/>
        <v>0</v>
      </c>
      <c r="AF96" s="100">
        <f t="shared" si="25"/>
        <v>0</v>
      </c>
      <c r="AG96" s="100">
        <f t="shared" si="25"/>
        <v>0</v>
      </c>
      <c r="AH96" s="100">
        <f t="shared" si="25"/>
        <v>180</v>
      </c>
      <c r="AI96" s="100">
        <f t="shared" si="25"/>
        <v>2</v>
      </c>
      <c r="AJ96" s="100">
        <f t="shared" si="25"/>
        <v>0</v>
      </c>
      <c r="AK96" s="100">
        <f t="shared" si="25"/>
        <v>0</v>
      </c>
    </row>
    <row r="97" spans="2:43" x14ac:dyDescent="0.2">
      <c r="AO97" s="74"/>
      <c r="AP97" s="74"/>
      <c r="AQ97" s="74"/>
    </row>
    <row r="98" spans="2:43" x14ac:dyDescent="0.2">
      <c r="AO98" s="74"/>
      <c r="AP98" s="74"/>
      <c r="AQ98" s="74"/>
    </row>
    <row r="99" spans="2:43" s="55" customFormat="1" x14ac:dyDescent="0.2">
      <c r="B99" s="55" t="s">
        <v>326</v>
      </c>
      <c r="C99" s="55" t="s">
        <v>258</v>
      </c>
      <c r="D99" s="55" t="s">
        <v>294</v>
      </c>
      <c r="E99" s="55" t="s">
        <v>295</v>
      </c>
      <c r="R99" s="55" t="s">
        <v>295</v>
      </c>
      <c r="S99" s="55" t="s">
        <v>329</v>
      </c>
      <c r="T99" s="55" t="s">
        <v>330</v>
      </c>
      <c r="AO99" s="74"/>
      <c r="AP99" s="74"/>
      <c r="AQ99" s="74"/>
    </row>
    <row r="100" spans="2:43" x14ac:dyDescent="0.2">
      <c r="C100" s="74">
        <v>1</v>
      </c>
      <c r="D100" s="74">
        <v>0</v>
      </c>
      <c r="E100" s="114">
        <f t="shared" ref="E100" ca="1" si="26">INDIRECT("a_" &amp; i) * t^3 + INDIRECT("b_" &amp; i) * t^2 + INDIRECT("c_" &amp; i) * t^1 + INDIRECT("d_" &amp; i)</f>
        <v>9.0339808310368851E-5</v>
      </c>
      <c r="F100" s="117">
        <v>0</v>
      </c>
      <c r="G100" s="117">
        <f ca="1">F100-E100</f>
        <v>-9.0339808310368851E-5</v>
      </c>
      <c r="K100" s="74" t="s">
        <v>327</v>
      </c>
      <c r="L100" s="118"/>
      <c r="M100" s="74" t="s">
        <v>327</v>
      </c>
      <c r="O100" s="74" t="s">
        <v>327</v>
      </c>
      <c r="Q100" s="119"/>
      <c r="R100" s="120">
        <f t="array" aca="1" ref="R100" ca="1">E100:E400</f>
        <v>9.0339808310368851E-5</v>
      </c>
      <c r="X100" s="74" t="s">
        <v>327</v>
      </c>
      <c r="Y100" s="55"/>
      <c r="AA100" s="74" t="s">
        <v>331</v>
      </c>
      <c r="AD100" s="74" t="s">
        <v>332</v>
      </c>
      <c r="AF100" s="74" t="s">
        <v>333</v>
      </c>
      <c r="AO100" s="74"/>
      <c r="AP100" s="74"/>
      <c r="AQ100" s="74"/>
    </row>
    <row r="101" spans="2:43" x14ac:dyDescent="0.2">
      <c r="C101" s="74">
        <v>1</v>
      </c>
      <c r="D101" s="74">
        <v>0.1</v>
      </c>
      <c r="E101" s="114">
        <f t="shared" ref="E101" ca="1" si="27">INDIRECT("a_" &amp; i) * t^3 + INDIRECT("b_" &amp; i) * t^2 + INDIRECT("c_" &amp; i) * t^1 + INDIRECT("d_" &amp; i)</f>
        <v>9.9889815989002203E-5</v>
      </c>
      <c r="F101" s="117" t="s">
        <v>328</v>
      </c>
      <c r="K101" s="74">
        <f ca="1">SUMSQ(G100,G110,G120,G130,G140,G150,G170,G200,G400)</f>
        <v>4.520196461019599E-3</v>
      </c>
      <c r="M101" s="74">
        <f ca="1">SUMSQ(I110,I120,I130,I140,I150,I170,I200)</f>
        <v>1.2012971387661331E-5</v>
      </c>
      <c r="O101" s="74">
        <f ca="1">K101+M101</f>
        <v>4.5322094324072608E-3</v>
      </c>
      <c r="R101" s="120">
        <f t="array" aca="1" ref="R101" ca="1">E101:E401</f>
        <v>9.9889815989002203E-5</v>
      </c>
      <c r="S101" s="121">
        <f ca="1">(R101-R100)/(D101-D100)</f>
        <v>9.5500076786333521E-5</v>
      </c>
      <c r="X101" s="74">
        <f ca="1">SUMSQ(T110:T111,T120:T121,T130:T131,T140:T141,T150:T151,T170:T171,T200:T201)</f>
        <v>0.20987925571887722</v>
      </c>
      <c r="Y101" s="55"/>
      <c r="AA101" s="122">
        <f ca="1">X101</f>
        <v>0.20987925571887722</v>
      </c>
      <c r="AB101" s="100"/>
      <c r="AC101" s="100"/>
      <c r="AD101" s="100">
        <v>1</v>
      </c>
      <c r="AE101" s="100"/>
      <c r="AF101" s="122">
        <f ca="1">O101+AD101*X101</f>
        <v>0.21441146515128448</v>
      </c>
      <c r="AO101" s="74"/>
      <c r="AP101" s="74"/>
      <c r="AQ101" s="74"/>
    </row>
    <row r="102" spans="2:43" x14ac:dyDescent="0.2">
      <c r="C102" s="74">
        <v>1</v>
      </c>
      <c r="D102" s="74">
        <v>0.2</v>
      </c>
      <c r="E102" s="114">
        <f t="shared" ref="E102" ca="1" si="28">INDIRECT("a_" &amp; i) * t^3 + INDIRECT("b_" &amp; i) * t^2 + INDIRECT("c_" &amp; i) * t^1 + INDIRECT("d_" &amp; i)</f>
        <v>1.1154595122730811E-4</v>
      </c>
      <c r="F102" s="117" t="s">
        <v>328</v>
      </c>
      <c r="R102" s="120">
        <f t="array" aca="1" ref="R102" ca="1">E102:E402</f>
        <v>1.1154595122730811E-4</v>
      </c>
      <c r="S102" s="121">
        <f t="shared" ref="S102:S165" ca="1" si="29">(R102-R101)/(D102-D101)</f>
        <v>1.1656135238305904E-4</v>
      </c>
      <c r="T102" s="121">
        <f ca="1">(S102-S101)/(D102-D101)</f>
        <v>2.1061275596725515E-4</v>
      </c>
      <c r="AO102" s="74"/>
      <c r="AP102" s="74"/>
      <c r="AQ102" s="74"/>
    </row>
    <row r="103" spans="2:43" x14ac:dyDescent="0.2">
      <c r="C103" s="74">
        <v>1</v>
      </c>
      <c r="D103" s="74">
        <v>0.3</v>
      </c>
      <c r="E103" s="114">
        <f t="shared" ref="E103" ca="1" si="30">INDIRECT("a_" &amp; i) * t^3 + INDIRECT("b_" &amp; i) * t^2 + INDIRECT("c_" &amp; i) * t^1 + INDIRECT("d_" &amp; i)</f>
        <v>1.2577234069893495E-4</v>
      </c>
      <c r="F103" s="117" t="s">
        <v>328</v>
      </c>
      <c r="O103" s="74">
        <f ca="1">LOG10(O101)</f>
        <v>-2.3436900296918575</v>
      </c>
      <c r="R103" s="120">
        <f t="array" aca="1" ref="R103" ca="1">E103:E403</f>
        <v>1.2577234069893495E-4</v>
      </c>
      <c r="S103" s="121">
        <f t="shared" ca="1" si="29"/>
        <v>1.422638947162685E-4</v>
      </c>
      <c r="T103" s="121">
        <f t="shared" ref="T103:T166" ca="1" si="31">(S103-S102)/(D103-D102)</f>
        <v>2.5702542333209467E-4</v>
      </c>
      <c r="AO103" s="74"/>
      <c r="AP103" s="74"/>
      <c r="AQ103" s="74"/>
    </row>
    <row r="104" spans="2:43" x14ac:dyDescent="0.2">
      <c r="C104" s="74">
        <v>1</v>
      </c>
      <c r="D104" s="74">
        <v>0.4</v>
      </c>
      <c r="E104" s="114">
        <f t="shared" ref="E104" ca="1" si="32">INDIRECT("a_" &amp; i) * t^3 + INDIRECT("b_" &amp; i) * t^2 + INDIRECT("c_" &amp; i) * t^1 + INDIRECT("d_" &amp; i)</f>
        <v>1.4303311107753111E-4</v>
      </c>
      <c r="F104" s="117" t="s">
        <v>328</v>
      </c>
      <c r="R104" s="120">
        <f t="array" aca="1" ref="R104" ca="1">E104:E404</f>
        <v>1.4303311107753111E-4</v>
      </c>
      <c r="S104" s="121">
        <f t="shared" ca="1" si="29"/>
        <v>1.726077037859615E-4</v>
      </c>
      <c r="T104" s="121">
        <f t="shared" ca="1" si="31"/>
        <v>3.034380906969299E-4</v>
      </c>
      <c r="AO104" s="74"/>
      <c r="AP104" s="74"/>
      <c r="AQ104" s="74"/>
    </row>
    <row r="105" spans="2:43" x14ac:dyDescent="0.2">
      <c r="C105" s="74">
        <v>1</v>
      </c>
      <c r="D105" s="74">
        <v>0.5</v>
      </c>
      <c r="E105" s="114">
        <f t="shared" ref="E105" ca="1" si="33">INDIRECT("a_" &amp; i) * t^3 + INDIRECT("b_" &amp; i) * t^2 + INDIRECT("c_" &amp; i) * t^1 + INDIRECT("d_" &amp; i)</f>
        <v>1.6379238903674494E-4</v>
      </c>
      <c r="F105" s="117" t="s">
        <v>328</v>
      </c>
      <c r="R105" s="120">
        <f t="array" aca="1" ref="R105" ca="1">E105:E405</f>
        <v>1.6379238903674494E-4</v>
      </c>
      <c r="S105" s="121">
        <f t="shared" ca="1" si="29"/>
        <v>2.0759277959213834E-4</v>
      </c>
      <c r="T105" s="121">
        <f t="shared" ca="1" si="31"/>
        <v>3.4985075806176843E-4</v>
      </c>
      <c r="AO105" s="74"/>
      <c r="AP105" s="74"/>
      <c r="AQ105" s="74"/>
    </row>
    <row r="106" spans="2:43" x14ac:dyDescent="0.2">
      <c r="C106" s="74">
        <v>1</v>
      </c>
      <c r="D106" s="74">
        <v>0.6</v>
      </c>
      <c r="E106" s="114">
        <f t="shared" ref="E106" ca="1" si="34">INDIRECT("a_" &amp; i) * t^3 + INDIRECT("b_" &amp; i) * t^2 + INDIRECT("c_" &amp; i) * t^1 + INDIRECT("d_" &amp; i)</f>
        <v>1.8851430125022488E-4</v>
      </c>
      <c r="F106" s="117" t="s">
        <v>328</v>
      </c>
      <c r="R106" s="120">
        <f t="array" aca="1" ref="R106" ca="1">E106:E406</f>
        <v>1.8851430125022488E-4</v>
      </c>
      <c r="S106" s="121">
        <f t="shared" ca="1" si="29"/>
        <v>2.4721912213479953E-4</v>
      </c>
      <c r="T106" s="121">
        <f t="shared" ca="1" si="31"/>
        <v>3.9626342542661201E-4</v>
      </c>
      <c r="AO106" s="74"/>
      <c r="AP106" s="74"/>
      <c r="AQ106" s="74"/>
    </row>
    <row r="107" spans="2:43" x14ac:dyDescent="0.2">
      <c r="C107" s="74">
        <v>1</v>
      </c>
      <c r="D107" s="74">
        <v>0.7</v>
      </c>
      <c r="E107" s="114">
        <f t="shared" ref="E107" ca="1" si="35">INDIRECT("a_" &amp; i) * t^3 + INDIRECT("b_" &amp; i) * t^2 + INDIRECT("c_" &amp; i) * t^1 + INDIRECT("d_" &amp; i)</f>
        <v>2.1766297439161926E-4</v>
      </c>
      <c r="F107" s="117" t="s">
        <v>328</v>
      </c>
      <c r="R107" s="120">
        <f t="array" aca="1" ref="R107" ca="1">E107:E407</f>
        <v>2.1766297439161926E-4</v>
      </c>
      <c r="S107" s="121">
        <f t="shared" ca="1" si="29"/>
        <v>2.9148673141394382E-4</v>
      </c>
      <c r="T107" s="121">
        <f t="shared" ca="1" si="31"/>
        <v>4.4267609279144307E-4</v>
      </c>
      <c r="AO107" s="74"/>
      <c r="AP107" s="74"/>
      <c r="AQ107" s="74"/>
    </row>
    <row r="108" spans="2:43" x14ac:dyDescent="0.2">
      <c r="C108" s="74">
        <v>1</v>
      </c>
      <c r="D108" s="74">
        <v>0.8</v>
      </c>
      <c r="E108" s="114">
        <f t="shared" ref="E108" ca="1" si="36">INDIRECT("a_" &amp; i) * t^3 + INDIRECT("b_" &amp; i) * t^2 + INDIRECT("c_" &amp; i) * t^1 + INDIRECT("d_" &amp; i)</f>
        <v>2.5170253513457654E-4</v>
      </c>
      <c r="F108" s="117" t="s">
        <v>328</v>
      </c>
      <c r="R108" s="120">
        <f t="array" aca="1" ref="R108" ca="1">E108:E408</f>
        <v>2.5170253513457654E-4</v>
      </c>
      <c r="S108" s="121">
        <f t="shared" ca="1" si="29"/>
        <v>3.4039560742957247E-4</v>
      </c>
      <c r="T108" s="121">
        <f t="shared" ca="1" si="31"/>
        <v>4.8908876015628605E-4</v>
      </c>
      <c r="AO108" s="74"/>
      <c r="AP108" s="74"/>
      <c r="AQ108" s="74"/>
    </row>
    <row r="109" spans="2:43" x14ac:dyDescent="0.2">
      <c r="C109" s="74">
        <v>1</v>
      </c>
      <c r="D109" s="74">
        <v>0.9</v>
      </c>
      <c r="E109" s="114">
        <f t="shared" ref="E109" ca="1" si="37">INDIRECT("a_" &amp; i) * t^3 + INDIRECT("b_" &amp; i) * t^2 + INDIRECT("c_" &amp; i) * t^1 + INDIRECT("d_" &amp; i)</f>
        <v>2.9109711015274503E-4</v>
      </c>
      <c r="F109" s="117" t="s">
        <v>328</v>
      </c>
      <c r="R109" s="120">
        <f t="array" aca="1" ref="R109" ca="1">E109:E409</f>
        <v>2.9109711015274503E-4</v>
      </c>
      <c r="S109" s="121">
        <f t="shared" ca="1" si="29"/>
        <v>3.9394575018168504E-4</v>
      </c>
      <c r="T109" s="121">
        <f t="shared" ca="1" si="31"/>
        <v>5.3550142752112578E-4</v>
      </c>
      <c r="AO109" s="74"/>
      <c r="AP109" s="74"/>
      <c r="AQ109" s="74"/>
    </row>
    <row r="110" spans="2:43" x14ac:dyDescent="0.2">
      <c r="B110" s="74">
        <v>1</v>
      </c>
      <c r="C110" s="74">
        <v>2</v>
      </c>
      <c r="D110" s="74">
        <v>1</v>
      </c>
      <c r="E110" s="114">
        <f t="shared" ref="E110" ca="1" si="38">INDIRECT("a_" &amp; i) * t^3 + INDIRECT("b_" &amp; i) * t^2 + INDIRECT("c_" &amp; i) * t^1 + INDIRECT("d_" &amp; i)</f>
        <v>2.2321793959202609E-3</v>
      </c>
      <c r="F110" s="117">
        <v>0.02</v>
      </c>
      <c r="G110" s="117">
        <f ca="1">F110-E110</f>
        <v>1.7767820604079741E-2</v>
      </c>
      <c r="H110" s="117">
        <f ca="1">INDIRECT("a_" &amp; i_1) * t^3 + INDIRECT("b_" &amp; i_1) * t^2 + INDIRECT("c_" &amp; i_1) * t^1 + INDIRECT("d_" &amp; i_1)</f>
        <v>3.363108261197731E-4</v>
      </c>
      <c r="I110" s="117">
        <f ca="1">H110-E110</f>
        <v>-1.8958685698004878E-3</v>
      </c>
      <c r="K110" s="119"/>
      <c r="Q110" s="119"/>
      <c r="R110" s="120">
        <f t="array" aca="1" ref="R110" ca="1">E110:E410</f>
        <v>2.2321793959202609E-3</v>
      </c>
      <c r="S110" s="121">
        <f t="shared" ca="1" si="29"/>
        <v>1.9410822857675161E-2</v>
      </c>
      <c r="T110" s="121">
        <f t="shared" ca="1" si="31"/>
        <v>0.19016877107493482</v>
      </c>
      <c r="AO110" s="74"/>
      <c r="AP110" s="74"/>
      <c r="AQ110" s="74"/>
    </row>
    <row r="111" spans="2:43" x14ac:dyDescent="0.2">
      <c r="C111" s="74">
        <v>2</v>
      </c>
      <c r="D111" s="74">
        <v>1.1000000000000001</v>
      </c>
      <c r="E111" s="114">
        <f t="shared" ref="E111" ca="1" si="39">INDIRECT("a_" &amp; i) * t^3 + INDIRECT("b_" &amp; i) * t^2 + INDIRECT("c_" &amp; i) * t^1 + INDIRECT("d_" &amp; i)</f>
        <v>2.6512360360174815E-3</v>
      </c>
      <c r="F111" s="117" t="s">
        <v>328</v>
      </c>
      <c r="R111" s="120">
        <f t="array" aca="1" ref="R111" ca="1">E111:E411</f>
        <v>2.6512360360174815E-3</v>
      </c>
      <c r="S111" s="121">
        <f t="shared" ca="1" si="29"/>
        <v>4.1905664009722022E-3</v>
      </c>
      <c r="T111" s="121">
        <f t="shared" ca="1" si="31"/>
        <v>-0.15220256456702944</v>
      </c>
      <c r="AO111" s="74"/>
      <c r="AP111" s="74"/>
      <c r="AQ111" s="74"/>
    </row>
    <row r="112" spans="2:43" x14ac:dyDescent="0.2">
      <c r="C112" s="74">
        <v>2</v>
      </c>
      <c r="D112" s="74">
        <v>1.2</v>
      </c>
      <c r="E112" s="114">
        <f t="shared" ref="E112" ca="1" si="40">INDIRECT("a_" &amp; i) * t^3 + INDIRECT("b_" &amp; i) * t^2 + INDIRECT("c_" &amp; i) * t^1 + INDIRECT("d_" &amp; i)</f>
        <v>3.1320206866302081E-3</v>
      </c>
      <c r="F112" s="117" t="s">
        <v>328</v>
      </c>
      <c r="R112" s="120">
        <f t="array" aca="1" ref="R112" ca="1">E112:E412</f>
        <v>3.1320206866302081E-3</v>
      </c>
      <c r="S112" s="121">
        <f t="shared" ca="1" si="29"/>
        <v>4.8078465061272722E-3</v>
      </c>
      <c r="T112" s="121">
        <f t="shared" ca="1" si="31"/>
        <v>6.1728010515507076E-3</v>
      </c>
      <c r="AO112" s="74"/>
      <c r="AP112" s="74"/>
      <c r="AQ112" s="74"/>
    </row>
    <row r="113" spans="2:20" s="74" customFormat="1" x14ac:dyDescent="0.2">
      <c r="C113" s="74">
        <v>2</v>
      </c>
      <c r="D113" s="74">
        <v>1.3</v>
      </c>
      <c r="E113" s="114">
        <f t="shared" ref="E113" ca="1" si="41">INDIRECT("a_" &amp; i) * t^3 + INDIRECT("b_" &amp; i) * t^2 + INDIRECT("c_" &amp; i) * t^1 + INDIRECT("d_" &amp; i)</f>
        <v>3.6791149726074532E-3</v>
      </c>
      <c r="F113" s="117" t="s">
        <v>328</v>
      </c>
      <c r="R113" s="120">
        <f t="array" aca="1" ref="R113" ca="1">E113:E413</f>
        <v>3.6791149726074532E-3</v>
      </c>
      <c r="S113" s="121">
        <f t="shared" ca="1" si="29"/>
        <v>5.4709428597724454E-3</v>
      </c>
      <c r="T113" s="121">
        <f t="shared" ca="1" si="31"/>
        <v>6.6309635364517261E-3</v>
      </c>
    </row>
    <row r="114" spans="2:20" s="74" customFormat="1" x14ac:dyDescent="0.2">
      <c r="C114" s="74">
        <v>2</v>
      </c>
      <c r="D114" s="74">
        <v>1.4</v>
      </c>
      <c r="E114" s="114">
        <f t="shared" ref="E114" ca="1" si="42">INDIRECT("a_" &amp; i) * t^3 + INDIRECT("b_" &amp; i) * t^2 + INDIRECT("c_" &amp; i) * t^1 + INDIRECT("d_" &amp; i)</f>
        <v>4.2971005187982282E-3</v>
      </c>
      <c r="F114" s="117" t="s">
        <v>328</v>
      </c>
      <c r="R114" s="120">
        <f t="array" aca="1" ref="R114" ca="1">E114:E414</f>
        <v>4.2971005187982282E-3</v>
      </c>
      <c r="S114" s="121">
        <f t="shared" ca="1" si="29"/>
        <v>6.1798554619077583E-3</v>
      </c>
      <c r="T114" s="121">
        <f t="shared" ca="1" si="31"/>
        <v>7.0891260213531383E-3</v>
      </c>
    </row>
    <row r="115" spans="2:20" s="74" customFormat="1" x14ac:dyDescent="0.2">
      <c r="C115" s="74">
        <v>2</v>
      </c>
      <c r="D115" s="74">
        <v>1.5</v>
      </c>
      <c r="E115" s="114">
        <f t="shared" ref="E115" ca="1" si="43">INDIRECT("a_" &amp; i) * t^3 + INDIRECT("b_" &amp; i) * t^2 + INDIRECT("c_" &amp; i) * t^1 + INDIRECT("d_" &amp; i)</f>
        <v>4.9905589500515478E-3</v>
      </c>
      <c r="F115" s="117" t="s">
        <v>328</v>
      </c>
      <c r="R115" s="120">
        <f t="array" aca="1" ref="R115" ca="1">E115:E415</f>
        <v>4.9905589500515478E-3</v>
      </c>
      <c r="S115" s="121">
        <f t="shared" ca="1" si="29"/>
        <v>6.93458431253319E-3</v>
      </c>
      <c r="T115" s="121">
        <f t="shared" ca="1" si="31"/>
        <v>7.5472885062543103E-3</v>
      </c>
    </row>
    <row r="116" spans="2:20" s="74" customFormat="1" x14ac:dyDescent="0.2">
      <c r="C116" s="74">
        <v>2</v>
      </c>
      <c r="D116" s="74">
        <v>1.6</v>
      </c>
      <c r="E116" s="114">
        <f t="shared" ref="E116" ca="1" si="44">INDIRECT("a_" &amp; i) * t^3 + INDIRECT("b_" &amp; i) * t^2 + INDIRECT("c_" &amp; i) * t^1 + INDIRECT("d_" &amp; i)</f>
        <v>5.7640718912164218E-3</v>
      </c>
      <c r="F116" s="117" t="s">
        <v>328</v>
      </c>
      <c r="R116" s="120">
        <f t="array" aca="1" ref="R116" ca="1">E116:E416</f>
        <v>5.7640718912164218E-3</v>
      </c>
      <c r="S116" s="121">
        <f t="shared" ca="1" si="29"/>
        <v>7.7351294116487328E-3</v>
      </c>
      <c r="T116" s="121">
        <f t="shared" ca="1" si="31"/>
        <v>8.0054509911554207E-3</v>
      </c>
    </row>
    <row r="117" spans="2:20" s="74" customFormat="1" x14ac:dyDescent="0.2">
      <c r="C117" s="74">
        <v>2</v>
      </c>
      <c r="D117" s="74">
        <v>1.7</v>
      </c>
      <c r="E117" s="114">
        <f t="shared" ref="E117" ca="1" si="45">INDIRECT("a_" &amp; i) * t^3 + INDIRECT("b_" &amp; i) * t^2 + INDIRECT("c_" &amp; i) * t^1 + INDIRECT("d_" &amp; i)</f>
        <v>6.6222209671418604E-3</v>
      </c>
      <c r="F117" s="117" t="s">
        <v>328</v>
      </c>
      <c r="R117" s="120">
        <f t="array" aca="1" ref="R117" ca="1">E117:E417</f>
        <v>6.6222209671418604E-3</v>
      </c>
      <c r="S117" s="121">
        <f t="shared" ca="1" si="29"/>
        <v>8.5814907592543978E-3</v>
      </c>
      <c r="T117" s="121">
        <f t="shared" ca="1" si="31"/>
        <v>8.4636134760566629E-3</v>
      </c>
    </row>
    <row r="118" spans="2:20" s="74" customFormat="1" x14ac:dyDescent="0.2">
      <c r="C118" s="74">
        <v>2</v>
      </c>
      <c r="D118" s="74">
        <v>1.8</v>
      </c>
      <c r="E118" s="114">
        <f t="shared" ref="E118" ca="1" si="46">INDIRECT("a_" &amp; i) * t^3 + INDIRECT("b_" &amp; i) * t^2 + INDIRECT("c_" &amp; i) * t^1 + INDIRECT("d_" &amp; i)</f>
        <v>7.5695878026768824E-3</v>
      </c>
      <c r="F118" s="117" t="s">
        <v>328</v>
      </c>
      <c r="R118" s="120">
        <f t="array" aca="1" ref="R118" ca="1">E118:E418</f>
        <v>7.5695878026768824E-3</v>
      </c>
      <c r="S118" s="121">
        <f t="shared" ca="1" si="29"/>
        <v>9.4736683553502121E-3</v>
      </c>
      <c r="T118" s="121">
        <f t="shared" ca="1" si="31"/>
        <v>8.9217759609581341E-3</v>
      </c>
    </row>
    <row r="119" spans="2:20" s="74" customFormat="1" x14ac:dyDescent="0.2">
      <c r="C119" s="74">
        <v>2</v>
      </c>
      <c r="D119" s="74">
        <v>1.9</v>
      </c>
      <c r="E119" s="114">
        <f t="shared" ref="E119" ca="1" si="47">INDIRECT("a_" &amp; i) * t^3 + INDIRECT("b_" &amp; i) * t^2 + INDIRECT("c_" &amp; i) * t^1 + INDIRECT("d_" &amp; i)</f>
        <v>8.6107540226704939E-3</v>
      </c>
      <c r="F119" s="117" t="s">
        <v>328</v>
      </c>
      <c r="R119" s="120">
        <f t="array" aca="1" ref="R119" ca="1">E119:E419</f>
        <v>8.6107540226704939E-3</v>
      </c>
      <c r="S119" s="121">
        <f t="shared" ca="1" si="29"/>
        <v>1.0411662199936129E-2</v>
      </c>
      <c r="T119" s="121">
        <f t="shared" ca="1" si="31"/>
        <v>9.3799384458591786E-3</v>
      </c>
    </row>
    <row r="120" spans="2:20" s="74" customFormat="1" x14ac:dyDescent="0.2">
      <c r="B120" s="74">
        <v>2</v>
      </c>
      <c r="C120" s="74">
        <v>3</v>
      </c>
      <c r="D120" s="74">
        <v>2</v>
      </c>
      <c r="E120" s="114">
        <f t="shared" ref="E120" ca="1" si="48">INDIRECT("a_" &amp; i) * t^3 + INDIRECT("b_" &amp; i) * t^2 + INDIRECT("c_" &amp; i) * t^1 + INDIRECT("d_" &amp; i)</f>
        <v>9.9653807571155051E-3</v>
      </c>
      <c r="F120" s="117">
        <v>3.7869296080000003E-2</v>
      </c>
      <c r="G120" s="117">
        <f ca="1">F120-E120</f>
        <v>2.7903915322884498E-2</v>
      </c>
      <c r="H120" s="117">
        <f ca="1">INDIRECT("a_" &amp; i_1) * t^3 + INDIRECT("b_" &amp; i_1) * t^2 + INDIRECT("c_" &amp; i_1) * t^1 + INDIRECT("d_" &amp; i_1)</f>
        <v>9.7503012519717103E-3</v>
      </c>
      <c r="I120" s="117">
        <f ca="1">H120-E120</f>
        <v>-2.1507950514379481E-4</v>
      </c>
      <c r="K120" s="119"/>
      <c r="Q120" s="119"/>
      <c r="R120" s="120">
        <f t="array" aca="1" ref="R120" ca="1">E120:E420</f>
        <v>9.9653807571155051E-3</v>
      </c>
      <c r="S120" s="121">
        <f t="shared" ca="1" si="29"/>
        <v>1.3546267344450099E-2</v>
      </c>
      <c r="T120" s="121">
        <f t="shared" ca="1" si="31"/>
        <v>3.1346051445139675E-2</v>
      </c>
    </row>
    <row r="121" spans="2:20" s="74" customFormat="1" x14ac:dyDescent="0.2">
      <c r="C121" s="74">
        <v>3</v>
      </c>
      <c r="D121" s="74">
        <v>2.1</v>
      </c>
      <c r="E121" s="114">
        <f t="shared" ref="E121" ca="1" si="49">INDIRECT("a_" &amp; i) * t^3 + INDIRECT("b_" &amp; i) * t^2 + INDIRECT("c_" &amp; i) * t^1 + INDIRECT("d_" &amp; i)</f>
        <v>1.1040437143893793E-2</v>
      </c>
      <c r="F121" s="117" t="s">
        <v>328</v>
      </c>
      <c r="R121" s="120">
        <f t="array" aca="1" ref="R121" ca="1">E121:E421</f>
        <v>1.1040437143893793E-2</v>
      </c>
      <c r="S121" s="121">
        <f t="shared" ca="1" si="29"/>
        <v>1.0750563867782868E-2</v>
      </c>
      <c r="T121" s="121">
        <f t="shared" ca="1" si="31"/>
        <v>-2.7957034766672294E-2</v>
      </c>
    </row>
    <row r="122" spans="2:20" s="74" customFormat="1" x14ac:dyDescent="0.2">
      <c r="C122" s="74">
        <v>3</v>
      </c>
      <c r="D122" s="74">
        <v>2.2000000000000002</v>
      </c>
      <c r="E122" s="114">
        <f t="shared" ref="E122" ca="1" si="50">INDIRECT("a_" &amp; i) * t^3 + INDIRECT("b_" &amp; i) * t^2 + INDIRECT("c_" &amp; i) * t^1 + INDIRECT("d_" &amp; i)</f>
        <v>1.2192083517249463E-2</v>
      </c>
      <c r="F122" s="117" t="s">
        <v>328</v>
      </c>
      <c r="R122" s="120">
        <f t="array" aca="1" ref="R122" ca="1">E122:E422</f>
        <v>1.2192083517249463E-2</v>
      </c>
      <c r="S122" s="121">
        <f t="shared" ca="1" si="29"/>
        <v>1.1516463733556692E-2</v>
      </c>
      <c r="T122" s="121">
        <f t="shared" ca="1" si="31"/>
        <v>7.6589986577382391E-3</v>
      </c>
    </row>
    <row r="123" spans="2:20" s="74" customFormat="1" x14ac:dyDescent="0.2">
      <c r="C123" s="74">
        <v>3</v>
      </c>
      <c r="D123" s="74">
        <v>2.2999999999999998</v>
      </c>
      <c r="E123" s="114">
        <f t="shared" ref="E123" ca="1" si="51">INDIRECT("a_" &amp; i) * t^3 + INDIRECT("b_" &amp; i) * t^2 + INDIRECT("c_" &amp; i) * t^1 + INDIRECT("d_" &amp; i)</f>
        <v>1.3422941702643286E-2</v>
      </c>
      <c r="F123" s="117" t="s">
        <v>328</v>
      </c>
      <c r="R123" s="120">
        <f t="array" aca="1" ref="R123" ca="1">E123:E423</f>
        <v>1.3422941702643286E-2</v>
      </c>
      <c r="S123" s="121">
        <f t="shared" ca="1" si="29"/>
        <v>1.2308581853938275E-2</v>
      </c>
      <c r="T123" s="121">
        <f t="shared" ca="1" si="31"/>
        <v>7.9211812038158559E-3</v>
      </c>
    </row>
    <row r="124" spans="2:20" s="74" customFormat="1" x14ac:dyDescent="0.2">
      <c r="C124" s="74">
        <v>3</v>
      </c>
      <c r="D124" s="74">
        <v>2.4</v>
      </c>
      <c r="E124" s="114">
        <f t="shared" ref="E124" ca="1" si="52">INDIRECT("a_" &amp; i) * t^3 + INDIRECT("b_" &amp; i) * t^2 + INDIRECT("c_" &amp; i) * t^1 + INDIRECT("d_" &amp; i)</f>
        <v>1.4735633525536068E-2</v>
      </c>
      <c r="F124" s="117" t="s">
        <v>328</v>
      </c>
      <c r="R124" s="120">
        <f t="array" aca="1" ref="R124" ca="1">E124:E424</f>
        <v>1.4735633525536068E-2</v>
      </c>
      <c r="S124" s="121">
        <f t="shared" ca="1" si="29"/>
        <v>1.31269182289278E-2</v>
      </c>
      <c r="T124" s="121">
        <f t="shared" ca="1" si="31"/>
        <v>8.1833637498952422E-3</v>
      </c>
    </row>
    <row r="125" spans="2:20" s="74" customFormat="1" x14ac:dyDescent="0.2">
      <c r="C125" s="74">
        <v>3</v>
      </c>
      <c r="D125" s="74">
        <v>2.5</v>
      </c>
      <c r="E125" s="114">
        <f t="shared" ref="E125" ca="1" si="53">INDIRECT("a_" &amp; i) * t^3 + INDIRECT("b_" &amp; i) * t^2 + INDIRECT("c_" &amp; i) * t^1 + INDIRECT("d_" &amp; i)</f>
        <v>1.6132780811388584E-2</v>
      </c>
      <c r="F125" s="117" t="s">
        <v>328</v>
      </c>
      <c r="R125" s="120">
        <f t="array" aca="1" ref="R125" ca="1">E125:E425</f>
        <v>1.6132780811388584E-2</v>
      </c>
      <c r="S125" s="121">
        <f t="shared" ca="1" si="29"/>
        <v>1.3971472858525154E-2</v>
      </c>
      <c r="T125" s="121">
        <f t="shared" ca="1" si="31"/>
        <v>8.4455462959735356E-3</v>
      </c>
    </row>
    <row r="126" spans="2:20" s="74" customFormat="1" x14ac:dyDescent="0.2">
      <c r="C126" s="74">
        <v>3</v>
      </c>
      <c r="D126" s="74">
        <v>2.6</v>
      </c>
      <c r="E126" s="114">
        <f t="shared" ref="E126" ca="1" si="54">INDIRECT("a_" &amp; i) * t^3 + INDIRECT("b_" &amp; i) * t^2 + INDIRECT("c_" &amp; i) * t^1 + INDIRECT("d_" &amp; i)</f>
        <v>1.7617005385661622E-2</v>
      </c>
      <c r="F126" s="117" t="s">
        <v>328</v>
      </c>
      <c r="R126" s="120">
        <f t="array" aca="1" ref="R126" ca="1">E126:E426</f>
        <v>1.7617005385661622E-2</v>
      </c>
      <c r="S126" s="121">
        <f t="shared" ca="1" si="29"/>
        <v>1.4842245742730367E-2</v>
      </c>
      <c r="T126" s="121">
        <f t="shared" ca="1" si="31"/>
        <v>8.7077288420521239E-3</v>
      </c>
    </row>
    <row r="127" spans="2:20" s="74" customFormat="1" x14ac:dyDescent="0.2">
      <c r="C127" s="74">
        <v>3</v>
      </c>
      <c r="D127" s="74">
        <v>2.7</v>
      </c>
      <c r="E127" s="114">
        <f t="shared" ref="E127" ca="1" si="55">INDIRECT("a_" &amp; i) * t^3 + INDIRECT("b_" &amp; i) * t^2 + INDIRECT("c_" &amp; i) * t^1 + INDIRECT("d_" &amp; i)</f>
        <v>1.9190929073815966E-2</v>
      </c>
      <c r="F127" s="117" t="s">
        <v>328</v>
      </c>
      <c r="R127" s="120">
        <f t="array" aca="1" ref="R127" ca="1">E127:E427</f>
        <v>1.9190929073815966E-2</v>
      </c>
      <c r="S127" s="121">
        <f t="shared" ca="1" si="29"/>
        <v>1.5739236881543425E-2</v>
      </c>
      <c r="T127" s="121">
        <f t="shared" ca="1" si="31"/>
        <v>8.9699113881305716E-3</v>
      </c>
    </row>
    <row r="128" spans="2:20" s="74" customFormat="1" x14ac:dyDescent="0.2">
      <c r="C128" s="74">
        <v>3</v>
      </c>
      <c r="D128" s="74">
        <v>2.8</v>
      </c>
      <c r="E128" s="114">
        <f t="shared" ref="E128" ca="1" si="56">INDIRECT("a_" &amp; i) * t^3 + INDIRECT("b_" &amp; i) * t^2 + INDIRECT("c_" &amp; i) * t^1 + INDIRECT("d_" &amp; i)</f>
        <v>2.0857173701312397E-2</v>
      </c>
      <c r="F128" s="117" t="s">
        <v>328</v>
      </c>
      <c r="R128" s="120">
        <f t="array" aca="1" ref="R128" ca="1">E128:E428</f>
        <v>2.0857173701312397E-2</v>
      </c>
      <c r="S128" s="121">
        <f t="shared" ca="1" si="29"/>
        <v>1.6662446274964365E-2</v>
      </c>
      <c r="T128" s="121">
        <f t="shared" ca="1" si="31"/>
        <v>9.2320939342094271E-3</v>
      </c>
    </row>
    <row r="129" spans="2:20" s="74" customFormat="1" x14ac:dyDescent="0.2">
      <c r="C129" s="74">
        <v>3</v>
      </c>
      <c r="D129" s="74">
        <v>2.9</v>
      </c>
      <c r="E129" s="114">
        <f t="shared" ref="E129" ca="1" si="57">INDIRECT("a_" &amp; i) * t^3 + INDIRECT("b_" &amp; i) * t^2 + INDIRECT("c_" &amp; i) * t^1 + INDIRECT("d_" &amp; i)</f>
        <v>2.2618361093611716E-2</v>
      </c>
      <c r="F129" s="117" t="s">
        <v>328</v>
      </c>
      <c r="R129" s="120">
        <f t="array" aca="1" ref="R129" ca="1">E129:E429</f>
        <v>2.2618361093611716E-2</v>
      </c>
      <c r="S129" s="121">
        <f t="shared" ca="1" si="29"/>
        <v>1.7611873922993172E-2</v>
      </c>
      <c r="T129" s="121">
        <f t="shared" ca="1" si="31"/>
        <v>9.4942764802880605E-3</v>
      </c>
    </row>
    <row r="130" spans="2:20" s="74" customFormat="1" x14ac:dyDescent="0.2">
      <c r="B130" s="74">
        <v>3</v>
      </c>
      <c r="C130" s="74">
        <v>4</v>
      </c>
      <c r="D130" s="74">
        <v>3</v>
      </c>
      <c r="E130" s="114">
        <f t="shared" ref="E130" ca="1" si="58">INDIRECT("a_" &amp; i) * t^3 + INDIRECT("b_" &amp; i) * t^2 + INDIRECT("c_" &amp; i) * t^1 + INDIRECT("d_" &amp; i)</f>
        <v>2.4408119503578071E-2</v>
      </c>
      <c r="F130" s="117">
        <v>4.4685005659999999E-2</v>
      </c>
      <c r="G130" s="117">
        <f ca="1">F130-E130</f>
        <v>2.0276886156421928E-2</v>
      </c>
      <c r="H130" s="117">
        <f ca="1">INDIRECT("a_" &amp; i_1) * t^3 + INDIRECT("b_" &amp; i_1) * t^2 + INDIRECT("c_" &amp; i_1) * t^1 + INDIRECT("d_" &amp; i_1)</f>
        <v>2.4477113076174704E-2</v>
      </c>
      <c r="I130" s="117">
        <f ca="1">H130-E130</f>
        <v>6.8993572596633135E-5</v>
      </c>
      <c r="K130" s="119"/>
      <c r="Q130" s="119"/>
      <c r="R130" s="120">
        <f t="array" aca="1" ref="R130" ca="1">E130:E430</f>
        <v>2.4408119503578071E-2</v>
      </c>
      <c r="S130" s="121">
        <f t="shared" ca="1" si="29"/>
        <v>1.7897584099663532E-2</v>
      </c>
      <c r="T130" s="121">
        <f t="shared" ca="1" si="31"/>
        <v>2.8571017667036016E-3</v>
      </c>
    </row>
    <row r="131" spans="2:20" s="74" customFormat="1" x14ac:dyDescent="0.2">
      <c r="C131" s="74">
        <v>4</v>
      </c>
      <c r="D131" s="74">
        <v>3.1</v>
      </c>
      <c r="E131" s="114">
        <f t="shared" ref="E131" ca="1" si="59">INDIRECT("a_" &amp; i) * t^3 + INDIRECT("b_" &amp; i) * t^2 + INDIRECT("c_" &amp; i) * t^1 + INDIRECT("d_" &amp; i)</f>
        <v>2.60393401890586E-2</v>
      </c>
      <c r="F131" s="117" t="s">
        <v>328</v>
      </c>
      <c r="R131" s="120">
        <f t="array" aca="1" ref="R131" ca="1">E131:E431</f>
        <v>2.60393401890586E-2</v>
      </c>
      <c r="S131" s="121">
        <f t="shared" ca="1" si="29"/>
        <v>1.6312206854805278E-2</v>
      </c>
      <c r="T131" s="121">
        <f t="shared" ca="1" si="31"/>
        <v>-1.5853772448582527E-2</v>
      </c>
    </row>
    <row r="132" spans="2:20" s="74" customFormat="1" x14ac:dyDescent="0.2">
      <c r="C132" s="74">
        <v>4</v>
      </c>
      <c r="D132" s="74">
        <v>3.2</v>
      </c>
      <c r="E132" s="114">
        <f t="shared" ref="E132" ca="1" si="60">INDIRECT("a_" &amp; i) * t^3 + INDIRECT("b_" &amp; i) * t^2 + INDIRECT("c_" &amp; i) * t^1 + INDIRECT("d_" &amp; i)</f>
        <v>2.7732531686749582E-2</v>
      </c>
      <c r="F132" s="117" t="s">
        <v>328</v>
      </c>
      <c r="R132" s="120">
        <f t="array" aca="1" ref="R132" ca="1">E132:E432</f>
        <v>2.7732531686749582E-2</v>
      </c>
      <c r="S132" s="121">
        <f t="shared" ca="1" si="29"/>
        <v>1.6931914976909809E-2</v>
      </c>
      <c r="T132" s="121">
        <f t="shared" ca="1" si="31"/>
        <v>6.1970812210453089E-3</v>
      </c>
    </row>
    <row r="133" spans="2:20" s="74" customFormat="1" x14ac:dyDescent="0.2">
      <c r="C133" s="74">
        <v>4</v>
      </c>
      <c r="D133" s="74">
        <v>3.3</v>
      </c>
      <c r="E133" s="114">
        <f t="shared" ref="E133" ca="1" si="61">INDIRECT("a_" &amp; i) * t^3 + INDIRECT("b_" &amp; i) * t^2 + INDIRECT("c_" &amp; i) * t^1 + INDIRECT("d_" &amp; i)</f>
        <v>2.9488461498573884E-2</v>
      </c>
      <c r="F133" s="117" t="s">
        <v>328</v>
      </c>
      <c r="R133" s="120">
        <f t="array" aca="1" ref="R133" ca="1">E133:E433</f>
        <v>2.9488461498573884E-2</v>
      </c>
      <c r="S133" s="121">
        <f t="shared" ca="1" si="29"/>
        <v>1.7559298118243083E-2</v>
      </c>
      <c r="T133" s="121">
        <f t="shared" ca="1" si="31"/>
        <v>6.2738314133327592E-3</v>
      </c>
    </row>
    <row r="134" spans="2:20" s="74" customFormat="1" x14ac:dyDescent="0.2">
      <c r="C134" s="74">
        <v>4</v>
      </c>
      <c r="D134" s="74">
        <v>3.4</v>
      </c>
      <c r="E134" s="114">
        <f t="shared" ref="E134" ca="1" si="62">INDIRECT("a_" &amp; i) * t^3 + INDIRECT("b_" &amp; i) * t^2 + INDIRECT("c_" &amp; i) * t^1 + INDIRECT("d_" &amp; i)</f>
        <v>3.130789712645439E-2</v>
      </c>
      <c r="F134" s="117" t="s">
        <v>328</v>
      </c>
      <c r="R134" s="120">
        <f t="array" aca="1" ref="R134" ca="1">E134:E434</f>
        <v>3.130789712645439E-2</v>
      </c>
      <c r="S134" s="121">
        <f t="shared" ca="1" si="29"/>
        <v>1.819435627880504E-2</v>
      </c>
      <c r="T134" s="121">
        <f t="shared" ca="1" si="31"/>
        <v>6.3505816056195633E-3</v>
      </c>
    </row>
    <row r="135" spans="2:20" s="74" customFormat="1" x14ac:dyDescent="0.2">
      <c r="C135" s="74">
        <v>4</v>
      </c>
      <c r="D135" s="74">
        <v>3.5</v>
      </c>
      <c r="E135" s="114">
        <f t="shared" ref="E135" ca="1" si="63">INDIRECT("a_" &amp; i) * t^3 + INDIRECT("b_" &amp; i) * t^2 + INDIRECT("c_" &amp; i) * t^1 + INDIRECT("d_" &amp; i)</f>
        <v>3.3191606072313959E-2</v>
      </c>
      <c r="F135" s="117" t="s">
        <v>328</v>
      </c>
      <c r="R135" s="120">
        <f t="array" aca="1" ref="R135" ca="1">E135:E435</f>
        <v>3.3191606072313959E-2</v>
      </c>
      <c r="S135" s="121">
        <f t="shared" ca="1" si="29"/>
        <v>1.8837089458595673E-2</v>
      </c>
      <c r="T135" s="121">
        <f t="shared" ca="1" si="31"/>
        <v>6.4273317979063266E-3</v>
      </c>
    </row>
    <row r="136" spans="2:20" s="74" customFormat="1" x14ac:dyDescent="0.2">
      <c r="C136" s="74">
        <v>4</v>
      </c>
      <c r="D136" s="74">
        <v>3.6</v>
      </c>
      <c r="E136" s="114">
        <f t="shared" ref="E136" ca="1" si="64">INDIRECT("a_" &amp; i) * t^3 + INDIRECT("b_" &amp; i) * t^2 + INDIRECT("c_" &amp; i) * t^1 + INDIRECT("d_" &amp; i)</f>
        <v>3.5140355838075468E-2</v>
      </c>
      <c r="F136" s="117" t="s">
        <v>328</v>
      </c>
      <c r="R136" s="120">
        <f t="array" aca="1" ref="R136" ca="1">E136:E436</f>
        <v>3.5140355838075468E-2</v>
      </c>
      <c r="S136" s="121">
        <f t="shared" ca="1" si="29"/>
        <v>1.9487497657615076E-2</v>
      </c>
      <c r="T136" s="121">
        <f t="shared" ca="1" si="31"/>
        <v>6.5040819901940267E-3</v>
      </c>
    </row>
    <row r="137" spans="2:20" s="74" customFormat="1" x14ac:dyDescent="0.2">
      <c r="C137" s="74">
        <v>4</v>
      </c>
      <c r="D137" s="74">
        <v>3.7</v>
      </c>
      <c r="E137" s="114">
        <f t="shared" ref="E137" ca="1" si="65">INDIRECT("a_" &amp; i) * t^3 + INDIRECT("b_" &amp; i) * t^2 + INDIRECT("c_" &amp; i) * t^1 + INDIRECT("d_" &amp; i)</f>
        <v>3.7154913925661781E-2</v>
      </c>
      <c r="F137" s="117" t="s">
        <v>328</v>
      </c>
      <c r="R137" s="120">
        <f t="array" aca="1" ref="R137" ca="1">E137:E437</f>
        <v>3.7154913925661781E-2</v>
      </c>
      <c r="S137" s="121">
        <f t="shared" ca="1" si="29"/>
        <v>2.0145580875863111E-2</v>
      </c>
      <c r="T137" s="121">
        <f t="shared" ca="1" si="31"/>
        <v>6.580832182480339E-3</v>
      </c>
    </row>
    <row r="138" spans="2:20" s="74" customFormat="1" x14ac:dyDescent="0.2">
      <c r="C138" s="74">
        <v>4</v>
      </c>
      <c r="D138" s="74">
        <v>3.8</v>
      </c>
      <c r="E138" s="114">
        <f t="shared" ref="E138" ca="1" si="66">INDIRECT("a_" &amp; i) * t^3 + INDIRECT("b_" &amp; i) * t^2 + INDIRECT("c_" &amp; i) * t^1 + INDIRECT("d_" &amp; i)</f>
        <v>3.923604783699576E-2</v>
      </c>
      <c r="F138" s="117" t="s">
        <v>328</v>
      </c>
      <c r="R138" s="120">
        <f t="array" aca="1" ref="R138" ca="1">E138:E438</f>
        <v>3.923604783699576E-2</v>
      </c>
      <c r="S138" s="121">
        <f t="shared" ca="1" si="29"/>
        <v>2.0811339113339867E-2</v>
      </c>
      <c r="T138" s="121">
        <f t="shared" ca="1" si="31"/>
        <v>6.6575823747675828E-3</v>
      </c>
    </row>
    <row r="139" spans="2:20" s="74" customFormat="1" x14ac:dyDescent="0.2">
      <c r="C139" s="74">
        <v>4</v>
      </c>
      <c r="D139" s="74">
        <v>3.9</v>
      </c>
      <c r="E139" s="114">
        <f t="shared" ref="E139" ca="1" si="67">INDIRECT("a_" &amp; i) * t^3 + INDIRECT("b_" &amp; i) * t^2 + INDIRECT("c_" &amp; i) * t^1 + INDIRECT("d_" &amp; i)</f>
        <v>4.1384525074000283E-2</v>
      </c>
      <c r="F139" s="117" t="s">
        <v>328</v>
      </c>
      <c r="R139" s="120">
        <f t="array" aca="1" ref="R139" ca="1">E139:E439</f>
        <v>4.1384525074000283E-2</v>
      </c>
      <c r="S139" s="121">
        <f t="shared" ca="1" si="29"/>
        <v>2.1484772370045209E-2</v>
      </c>
      <c r="T139" s="121">
        <f t="shared" ca="1" si="31"/>
        <v>6.7343325670534146E-3</v>
      </c>
    </row>
    <row r="140" spans="2:20" s="74" customFormat="1" x14ac:dyDescent="0.2">
      <c r="B140" s="74">
        <v>4</v>
      </c>
      <c r="C140" s="74">
        <v>5</v>
      </c>
      <c r="D140" s="74">
        <v>4</v>
      </c>
      <c r="E140" s="114">
        <f t="shared" ref="E140" ca="1" si="68">INDIRECT("a_" &amp; i) * t^3 + INDIRECT("b_" &amp; i) * t^2 + INDIRECT("c_" &amp; i) * t^1 + INDIRECT("d_" &amp; i)</f>
        <v>4.3422870167228809E-2</v>
      </c>
      <c r="F140" s="117">
        <v>5.1500715240000002E-2</v>
      </c>
      <c r="G140" s="117">
        <f ca="1">F140-E140</f>
        <v>8.077845072771192E-3</v>
      </c>
      <c r="H140" s="117">
        <f ca="1">INDIRECT("a_" &amp; i_1) * t^3 + INDIRECT("b_" &amp; i_1) * t^2 + INDIRECT("c_" &amp; i_1) * t^1 + INDIRECT("d_" &amp; i_1)</f>
        <v>4.3601113138598227E-2</v>
      </c>
      <c r="I140" s="117">
        <f ca="1">H140-E140</f>
        <v>1.7824297136941752E-4</v>
      </c>
      <c r="K140" s="119"/>
      <c r="Q140" s="119"/>
      <c r="R140" s="120">
        <f t="array" aca="1" ref="R140" ca="1">E140:E440</f>
        <v>4.3422870167228809E-2</v>
      </c>
      <c r="S140" s="121">
        <f t="shared" ca="1" si="29"/>
        <v>2.0383450932285243E-2</v>
      </c>
      <c r="T140" s="121">
        <f t="shared" ca="1" si="31"/>
        <v>-1.101321437759965E-2</v>
      </c>
    </row>
    <row r="141" spans="2:20" s="74" customFormat="1" x14ac:dyDescent="0.2">
      <c r="C141" s="74">
        <v>5</v>
      </c>
      <c r="D141" s="74">
        <v>4.0999999999999996</v>
      </c>
      <c r="E141" s="114">
        <f t="shared" ref="E141" ca="1" si="69">INDIRECT("a_" &amp; i) * t^3 + INDIRECT("b_" &amp; i) * t^2 + INDIRECT("c_" &amp; i) * t^1 + INDIRECT("d_" &amp; i)</f>
        <v>4.5264915783906345E-2</v>
      </c>
      <c r="F141" s="117" t="s">
        <v>328</v>
      </c>
      <c r="R141" s="120">
        <f t="array" aca="1" ref="R141" ca="1">E141:E441</f>
        <v>4.5264915783906345E-2</v>
      </c>
      <c r="S141" s="121">
        <f t="shared" ca="1" si="29"/>
        <v>1.8420456166775425E-2</v>
      </c>
      <c r="T141" s="121">
        <f t="shared" ca="1" si="31"/>
        <v>-1.9629947655098248E-2</v>
      </c>
    </row>
    <row r="142" spans="2:20" s="74" customFormat="1" x14ac:dyDescent="0.2">
      <c r="C142" s="74">
        <v>5</v>
      </c>
      <c r="D142" s="74">
        <v>4.2</v>
      </c>
      <c r="E142" s="114">
        <f t="shared" ref="E142" ca="1" si="70">INDIRECT("a_" &amp; i) * t^3 + INDIRECT("b_" &amp; i) * t^2 + INDIRECT("c_" &amp; i) * t^1 + INDIRECT("d_" &amp; i)</f>
        <v>4.7134188939616045E-2</v>
      </c>
      <c r="F142" s="117" t="s">
        <v>328</v>
      </c>
      <c r="R142" s="120">
        <f t="array" aca="1" ref="R142" ca="1">E142:E442</f>
        <v>4.7134188939616045E-2</v>
      </c>
      <c r="S142" s="121">
        <f t="shared" ca="1" si="29"/>
        <v>1.8692731557096897E-2</v>
      </c>
      <c r="T142" s="121">
        <f t="shared" ca="1" si="31"/>
        <v>2.7227539032147054E-3</v>
      </c>
    </row>
    <row r="143" spans="2:20" s="74" customFormat="1" x14ac:dyDescent="0.2">
      <c r="C143" s="74">
        <v>5</v>
      </c>
      <c r="D143" s="74">
        <v>4.3</v>
      </c>
      <c r="E143" s="114">
        <f t="shared" ref="E143" ca="1" si="71">INDIRECT("a_" &amp; i) * t^3 + INDIRECT("b_" &amp; i) * t^2 + INDIRECT("c_" &amp; i) * t^1 + INDIRECT("d_" &amp; i)</f>
        <v>4.9029961276608872E-2</v>
      </c>
      <c r="F143" s="117" t="s">
        <v>328</v>
      </c>
      <c r="R143" s="120">
        <f t="array" aca="1" ref="R143" ca="1">E143:E443</f>
        <v>4.9029961276608872E-2</v>
      </c>
      <c r="S143" s="121">
        <f t="shared" ca="1" si="29"/>
        <v>1.895772336992833E-2</v>
      </c>
      <c r="T143" s="121">
        <f t="shared" ca="1" si="31"/>
        <v>2.649918128314342E-3</v>
      </c>
    </row>
    <row r="144" spans="2:20" s="74" customFormat="1" x14ac:dyDescent="0.2">
      <c r="C144" s="74">
        <v>5</v>
      </c>
      <c r="D144" s="74">
        <v>4.4000000000000004</v>
      </c>
      <c r="E144" s="114">
        <f t="shared" ref="E144" ca="1" si="72">INDIRECT("a_" &amp; i) * t^3 + INDIRECT("b_" &amp; i) * t^2 + INDIRECT("c_" &amp; i) * t^1 + INDIRECT("d_" &amp; i)</f>
        <v>5.0951504437135808E-2</v>
      </c>
      <c r="F144" s="117" t="s">
        <v>328</v>
      </c>
      <c r="R144" s="120">
        <f t="array" aca="1" ref="R144" ca="1">E144:E444</f>
        <v>5.0951504437135808E-2</v>
      </c>
      <c r="S144" s="121">
        <f t="shared" ca="1" si="29"/>
        <v>1.9215431605269263E-2</v>
      </c>
      <c r="T144" s="121">
        <f t="shared" ca="1" si="31"/>
        <v>2.5770823534093171E-3</v>
      </c>
    </row>
    <row r="145" spans="2:20" s="74" customFormat="1" x14ac:dyDescent="0.2">
      <c r="C145" s="74">
        <v>5</v>
      </c>
      <c r="D145" s="74">
        <v>4.5</v>
      </c>
      <c r="E145" s="114">
        <f t="shared" ref="E145" ca="1" si="73">INDIRECT("a_" &amp; i) * t^3 + INDIRECT("b_" &amp; i) * t^2 + INDIRECT("c_" &amp; i) * t^1 + INDIRECT("d_" &amp; i)</f>
        <v>5.289809006344779E-2</v>
      </c>
      <c r="F145" s="117" t="s">
        <v>328</v>
      </c>
      <c r="R145" s="120">
        <f t="array" aca="1" ref="R145" ca="1">E145:E445</f>
        <v>5.289809006344779E-2</v>
      </c>
      <c r="S145" s="121">
        <f t="shared" ca="1" si="29"/>
        <v>1.9465856263119891E-2</v>
      </c>
      <c r="T145" s="121">
        <f t="shared" ca="1" si="31"/>
        <v>2.5042465785062814E-3</v>
      </c>
    </row>
    <row r="146" spans="2:20" s="74" customFormat="1" x14ac:dyDescent="0.2">
      <c r="C146" s="74">
        <v>5</v>
      </c>
      <c r="D146" s="74">
        <v>4.5999999999999996</v>
      </c>
      <c r="E146" s="114">
        <f t="shared" ref="E146" ca="1" si="74">INDIRECT("a_" &amp; i) * t^3 + INDIRECT("b_" &amp; i) * t^2 + INDIRECT("c_" &amp; i) * t^1 + INDIRECT("d_" &amp; i)</f>
        <v>5.4868989797795815E-2</v>
      </c>
      <c r="F146" s="117" t="s">
        <v>328</v>
      </c>
      <c r="R146" s="120">
        <f t="array" aca="1" ref="R146" ca="1">E146:E446</f>
        <v>5.4868989797795815E-2</v>
      </c>
      <c r="S146" s="121">
        <f t="shared" ca="1" si="29"/>
        <v>1.970899734348032E-2</v>
      </c>
      <c r="T146" s="121">
        <f t="shared" ca="1" si="31"/>
        <v>2.4314108036042979E-3</v>
      </c>
    </row>
    <row r="147" spans="2:20" s="74" customFormat="1" x14ac:dyDescent="0.2">
      <c r="C147" s="74">
        <v>5</v>
      </c>
      <c r="D147" s="74">
        <v>4.7</v>
      </c>
      <c r="E147" s="114">
        <f t="shared" ref="E147" ca="1" si="75">INDIRECT("a_" &amp; i) * t^3 + INDIRECT("b_" &amp; i) * t^2 + INDIRECT("c_" &amp; i) * t^1 + INDIRECT("d_" &amp; i)</f>
        <v>5.6863475282430853E-2</v>
      </c>
      <c r="F147" s="117" t="s">
        <v>328</v>
      </c>
      <c r="R147" s="120">
        <f t="array" aca="1" ref="R147" ca="1">E147:E447</f>
        <v>5.6863475282430853E-2</v>
      </c>
      <c r="S147" s="121">
        <f t="shared" ca="1" si="29"/>
        <v>1.9944854846350269E-2</v>
      </c>
      <c r="T147" s="121">
        <f t="shared" ca="1" si="31"/>
        <v>2.3585750286994832E-3</v>
      </c>
    </row>
    <row r="148" spans="2:20" s="74" customFormat="1" x14ac:dyDescent="0.2">
      <c r="C148" s="74">
        <v>5</v>
      </c>
      <c r="D148" s="74">
        <v>4.8</v>
      </c>
      <c r="E148" s="114">
        <f t="shared" ref="E148" ca="1" si="76">INDIRECT("a_" &amp; i) * t^3 + INDIRECT("b_" &amp; i) * t^2 + INDIRECT("c_" &amp; i) * t^1 + INDIRECT("d_" &amp; i)</f>
        <v>5.8880818159603825E-2</v>
      </c>
      <c r="F148" s="117" t="s">
        <v>328</v>
      </c>
      <c r="R148" s="120">
        <f t="array" aca="1" ref="R148" ca="1">E148:E448</f>
        <v>5.8880818159603825E-2</v>
      </c>
      <c r="S148" s="121">
        <f t="shared" ca="1" si="29"/>
        <v>2.0173428771729788E-2</v>
      </c>
      <c r="T148" s="121">
        <f t="shared" ca="1" si="31"/>
        <v>2.2857392537951964E-3</v>
      </c>
    </row>
    <row r="149" spans="2:20" s="74" customFormat="1" x14ac:dyDescent="0.2">
      <c r="C149" s="74">
        <v>5</v>
      </c>
      <c r="D149" s="74">
        <v>4.9000000000000004</v>
      </c>
      <c r="E149" s="114">
        <f t="shared" ref="E149" ca="1" si="77">INDIRECT("a_" &amp; i) * t^3 + INDIRECT("b_" &amp; i) * t^2 + INDIRECT("c_" &amp; i) * t^1 + INDIRECT("d_" &amp; i)</f>
        <v>6.0920290071565762E-2</v>
      </c>
      <c r="F149" s="117" t="s">
        <v>328</v>
      </c>
      <c r="R149" s="120">
        <f t="array" aca="1" ref="R149" ca="1">E149:E449</f>
        <v>6.0920290071565762E-2</v>
      </c>
      <c r="S149" s="121">
        <f t="shared" ca="1" si="29"/>
        <v>2.0394719119619268E-2</v>
      </c>
      <c r="T149" s="121">
        <f t="shared" ca="1" si="31"/>
        <v>2.2129034788947893E-3</v>
      </c>
    </row>
    <row r="150" spans="2:20" s="74" customFormat="1" x14ac:dyDescent="0.2">
      <c r="B150" s="74">
        <v>5</v>
      </c>
      <c r="C150" s="74">
        <v>7</v>
      </c>
      <c r="D150" s="74">
        <v>5</v>
      </c>
      <c r="E150" s="114">
        <f t="shared" ref="E150" ca="1" si="78">INDIRECT("a_" &amp; i) * t^3 + INDIRECT("b_" &amp; i) * t^2 + INDIRECT("c_" &amp; i) * t^1 + INDIRECT("d_" &amp; i)</f>
        <v>6.1870647806183662E-2</v>
      </c>
      <c r="F150" s="117">
        <v>5.8316424819999997E-2</v>
      </c>
      <c r="G150" s="117">
        <f ca="1">F150-E150</f>
        <v>-3.5542229861836652E-3</v>
      </c>
      <c r="H150" s="117">
        <f ca="1">INDIRECT("a_" &amp; i_1) * t^3 + INDIRECT("b_" &amp; i_1) * t^2 + INDIRECT("c_" &amp; i_1) * t^1 + INDIRECT("d_" &amp; i_1)</f>
        <v>6.298116266056758E-2</v>
      </c>
      <c r="I150" s="117">
        <f ca="1">H150-E150</f>
        <v>1.1105148543839177E-3</v>
      </c>
      <c r="K150" s="119"/>
      <c r="Q150" s="119"/>
      <c r="R150" s="120">
        <f t="array" aca="1" ref="R150" ca="1">E150:E450</f>
        <v>6.1870647806183662E-2</v>
      </c>
      <c r="S150" s="121">
        <f t="shared" ca="1" si="29"/>
        <v>9.5035773461790343E-3</v>
      </c>
      <c r="T150" s="121">
        <f t="shared" ca="1" si="31"/>
        <v>-0.10891141773440273</v>
      </c>
    </row>
    <row r="151" spans="2:20" s="74" customFormat="1" x14ac:dyDescent="0.2">
      <c r="C151" s="74">
        <v>7</v>
      </c>
      <c r="D151" s="74">
        <v>5.0999999999999996</v>
      </c>
      <c r="E151" s="114">
        <f t="shared" ref="E151" ca="1" si="79">INDIRECT("a_" &amp; i) * t^3 + INDIRECT("b_" &amp; i) * t^2 + INDIRECT("c_" &amp; i) * t^1 + INDIRECT("d_" &amp; i)</f>
        <v>6.162909402331495E-2</v>
      </c>
      <c r="F151" s="117" t="s">
        <v>328</v>
      </c>
      <c r="R151" s="120">
        <f t="array" aca="1" ref="R151" ca="1">E151:E451</f>
        <v>6.162909402331495E-2</v>
      </c>
      <c r="S151" s="121">
        <f t="shared" ca="1" si="29"/>
        <v>-2.4155378286871369E-3</v>
      </c>
      <c r="T151" s="121">
        <f t="shared" ca="1" si="31"/>
        <v>-0.11919115174866214</v>
      </c>
    </row>
    <row r="152" spans="2:20" s="74" customFormat="1" x14ac:dyDescent="0.2">
      <c r="C152" s="74">
        <v>7</v>
      </c>
      <c r="D152" s="74">
        <v>5.2</v>
      </c>
      <c r="E152" s="114">
        <f t="shared" ref="E152" ca="1" si="80">INDIRECT("a_" &amp; i) * t^3 + INDIRECT("b_" &amp; i) * t^2 + INDIRECT("c_" &amp; i) * t^1 + INDIRECT("d_" &amp; i)</f>
        <v>6.1230604196407218E-2</v>
      </c>
      <c r="F152" s="117" t="s">
        <v>328</v>
      </c>
      <c r="R152" s="120">
        <f t="array" aca="1" ref="R152" ca="1">E152:E452</f>
        <v>6.1230604196407218E-2</v>
      </c>
      <c r="S152" s="121">
        <f t="shared" ca="1" si="29"/>
        <v>-3.9848982690772958E-3</v>
      </c>
      <c r="T152" s="121">
        <f t="shared" ca="1" si="31"/>
        <v>-1.5693604403901506E-2</v>
      </c>
    </row>
    <row r="153" spans="2:20" s="74" customFormat="1" x14ac:dyDescent="0.2">
      <c r="C153" s="74">
        <v>7</v>
      </c>
      <c r="D153" s="74">
        <v>5.3</v>
      </c>
      <c r="E153" s="114">
        <f t="shared" ref="E153" ca="1" si="81">INDIRECT("a_" &amp; i) * t^3 + INDIRECT("b_" &amp; i) * t^2 + INDIRECT("c_" &amp; i) * t^1 + INDIRECT("d_" &amp; i)</f>
        <v>6.066944399525788E-2</v>
      </c>
      <c r="F153" s="117" t="s">
        <v>328</v>
      </c>
      <c r="R153" s="120">
        <f t="array" aca="1" ref="R153" ca="1">E153:E453</f>
        <v>6.066944399525788E-2</v>
      </c>
      <c r="S153" s="121">
        <f t="shared" ca="1" si="29"/>
        <v>-5.6116020114934028E-3</v>
      </c>
      <c r="T153" s="121">
        <f t="shared" ca="1" si="31"/>
        <v>-1.6267037424161128E-2</v>
      </c>
    </row>
    <row r="154" spans="2:20" s="74" customFormat="1" x14ac:dyDescent="0.2">
      <c r="C154" s="74">
        <v>7</v>
      </c>
      <c r="D154" s="74">
        <v>5.4</v>
      </c>
      <c r="E154" s="114">
        <f t="shared" ref="E154" ca="1" si="82">INDIRECT("a_" &amp; i) * t^3 + INDIRECT("b_" &amp; i) * t^2 + INDIRECT("c_" &amp; i) * t^1 + INDIRECT("d_" &amp; i)</f>
        <v>5.9939879089664187E-2</v>
      </c>
      <c r="F154" s="117" t="s">
        <v>328</v>
      </c>
      <c r="R154" s="120">
        <f t="array" aca="1" ref="R154" ca="1">E154:E454</f>
        <v>5.9939879089664187E-2</v>
      </c>
      <c r="S154" s="121">
        <f t="shared" ca="1" si="29"/>
        <v>-7.295649055936884E-3</v>
      </c>
      <c r="T154" s="121">
        <f t="shared" ca="1" si="31"/>
        <v>-1.6840470444434721E-2</v>
      </c>
    </row>
    <row r="155" spans="2:20" s="74" customFormat="1" x14ac:dyDescent="0.2">
      <c r="C155" s="74">
        <v>7</v>
      </c>
      <c r="D155" s="74">
        <v>5.5</v>
      </c>
      <c r="E155" s="114">
        <f t="shared" ref="E155" ca="1" si="83">INDIRECT("a_" &amp; i) * t^3 + INDIRECT("b_" &amp; i) * t^2 + INDIRECT("c_" &amp; i) * t^1 + INDIRECT("d_" &amp; i)</f>
        <v>5.9036175149423553E-2</v>
      </c>
      <c r="F155" s="117" t="s">
        <v>328</v>
      </c>
      <c r="R155" s="120">
        <f t="array" aca="1" ref="R155" ca="1">E155:E455</f>
        <v>5.9036175149423553E-2</v>
      </c>
      <c r="S155" s="121">
        <f t="shared" ca="1" si="29"/>
        <v>-9.037039402406374E-3</v>
      </c>
      <c r="T155" s="121">
        <f t="shared" ca="1" si="31"/>
        <v>-1.7413903464694961E-2</v>
      </c>
    </row>
    <row r="156" spans="2:20" s="74" customFormat="1" x14ac:dyDescent="0.2">
      <c r="C156" s="74">
        <v>7</v>
      </c>
      <c r="D156" s="74">
        <v>5.6</v>
      </c>
      <c r="E156" s="114">
        <f t="shared" ref="E156" ca="1" si="84">INDIRECT("a_" &amp; i) * t^3 + INDIRECT("b_" &amp; i) * t^2 + INDIRECT("c_" &amp; i) * t^1 + INDIRECT("d_" &amp; i)</f>
        <v>5.7952597844333278E-2</v>
      </c>
      <c r="F156" s="117" t="s">
        <v>328</v>
      </c>
      <c r="R156" s="120">
        <f t="array" aca="1" ref="R156" ca="1">E156:E456</f>
        <v>5.7952597844333278E-2</v>
      </c>
      <c r="S156" s="121">
        <f t="shared" ca="1" si="29"/>
        <v>-1.0835773050902785E-2</v>
      </c>
      <c r="T156" s="121">
        <f t="shared" ca="1" si="31"/>
        <v>-1.7987336484964176E-2</v>
      </c>
    </row>
    <row r="157" spans="2:20" s="74" customFormat="1" x14ac:dyDescent="0.2">
      <c r="C157" s="74">
        <v>7</v>
      </c>
      <c r="D157" s="74">
        <v>5.7</v>
      </c>
      <c r="E157" s="114">
        <f t="shared" ref="E157" ca="1" si="85">INDIRECT("a_" &amp; i) * t^3 + INDIRECT("b_" &amp; i) * t^2 + INDIRECT("c_" &amp; i) * t^1 + INDIRECT("d_" &amp; i)</f>
        <v>5.6683412844190782E-2</v>
      </c>
      <c r="F157" s="117" t="s">
        <v>328</v>
      </c>
      <c r="R157" s="120">
        <f t="array" aca="1" ref="R157" ca="1">E157:E457</f>
        <v>5.6683412844190782E-2</v>
      </c>
      <c r="S157" s="121">
        <f t="shared" ca="1" si="29"/>
        <v>-1.2691850001424894E-2</v>
      </c>
      <c r="T157" s="121">
        <f t="shared" ca="1" si="31"/>
        <v>-1.8560769505220988E-2</v>
      </c>
    </row>
    <row r="158" spans="2:20" s="74" customFormat="1" x14ac:dyDescent="0.2">
      <c r="C158" s="74">
        <v>7</v>
      </c>
      <c r="D158" s="74">
        <v>5.8</v>
      </c>
      <c r="E158" s="114">
        <f t="shared" ref="E158" ca="1" si="86">INDIRECT("a_" &amp; i) * t^3 + INDIRECT("b_" &amp; i) * t^2 + INDIRECT("c_" &amp; i) * t^1 + INDIRECT("d_" &amp; i)</f>
        <v>5.5222885818793366E-2</v>
      </c>
      <c r="F158" s="117" t="s">
        <v>328</v>
      </c>
      <c r="R158" s="120">
        <f t="array" aca="1" ref="R158" ca="1">E158:E458</f>
        <v>5.5222885818793366E-2</v>
      </c>
      <c r="S158" s="121">
        <f t="shared" ca="1" si="29"/>
        <v>-1.4605270253974217E-2</v>
      </c>
      <c r="T158" s="121">
        <f t="shared" ca="1" si="31"/>
        <v>-1.9134202525493294E-2</v>
      </c>
    </row>
    <row r="159" spans="2:20" s="74" customFormat="1" x14ac:dyDescent="0.2">
      <c r="C159" s="74">
        <v>7</v>
      </c>
      <c r="D159" s="74">
        <v>5.9</v>
      </c>
      <c r="E159" s="114">
        <f t="shared" ref="E159" ca="1" si="87">INDIRECT("a_" &amp; i) * t^3 + INDIRECT("b_" &amp; i) * t^2 + INDIRECT("c_" &amp; i) * t^1 + INDIRECT("d_" &amp; i)</f>
        <v>5.3565282437938386E-2</v>
      </c>
      <c r="F159" s="117" t="s">
        <v>328</v>
      </c>
      <c r="R159" s="120">
        <f t="array" aca="1" ref="R159" ca="1">E159:E459</f>
        <v>5.3565282437938386E-2</v>
      </c>
      <c r="S159" s="121">
        <f t="shared" ca="1" si="29"/>
        <v>-1.6576033808549714E-2</v>
      </c>
      <c r="T159" s="121">
        <f t="shared" ca="1" si="31"/>
        <v>-1.9707635545754866E-2</v>
      </c>
    </row>
    <row r="160" spans="2:20" s="74" customFormat="1" x14ac:dyDescent="0.2">
      <c r="C160" s="74">
        <v>7</v>
      </c>
      <c r="D160" s="74">
        <v>6</v>
      </c>
      <c r="E160" s="114">
        <f t="shared" ref="E160" ca="1" si="88">INDIRECT("a_" &amp; i) * t^3 + INDIRECT("b_" &amp; i) * t^2 + INDIRECT("c_" &amp; i) * t^1 + INDIRECT("d_" &amp; i)</f>
        <v>5.1704868371423178E-2</v>
      </c>
      <c r="F160" s="117" t="s">
        <v>328</v>
      </c>
      <c r="R160" s="120">
        <f t="array" aca="1" ref="R160" ca="1">E160:E460</f>
        <v>5.1704868371423178E-2</v>
      </c>
      <c r="S160" s="121">
        <f t="shared" ca="1" si="29"/>
        <v>-1.8604140665152143E-2</v>
      </c>
      <c r="T160" s="121">
        <f t="shared" ca="1" si="31"/>
        <v>-2.0281068566024369E-2</v>
      </c>
    </row>
    <row r="161" spans="2:20" s="74" customFormat="1" x14ac:dyDescent="0.2">
      <c r="C161" s="74">
        <v>7</v>
      </c>
      <c r="D161" s="74">
        <v>6.1</v>
      </c>
      <c r="E161" s="114">
        <f t="shared" ref="E161" ca="1" si="89">INDIRECT("a_" &amp; i) * t^3 + INDIRECT("b_" &amp; i) * t^2 + INDIRECT("c_" &amp; i) * t^1 + INDIRECT("d_" &amp; i)</f>
        <v>4.9635909289045183E-2</v>
      </c>
      <c r="F161" s="117" t="s">
        <v>328</v>
      </c>
      <c r="R161" s="120">
        <f t="array" aca="1" ref="R161" ca="1">E161:E461</f>
        <v>4.9635909289045183E-2</v>
      </c>
      <c r="S161" s="121">
        <f t="shared" ca="1" si="29"/>
        <v>-2.0689590823780028E-2</v>
      </c>
      <c r="T161" s="121">
        <f t="shared" ca="1" si="31"/>
        <v>-2.0854501586278915E-2</v>
      </c>
    </row>
    <row r="162" spans="2:20" s="74" customFormat="1" x14ac:dyDescent="0.2">
      <c r="C162" s="74">
        <v>7</v>
      </c>
      <c r="D162" s="74">
        <v>6.2</v>
      </c>
      <c r="E162" s="114">
        <f t="shared" ref="E162" ca="1" si="90">INDIRECT("a_" &amp; i) * t^3 + INDIRECT("b_" &amp; i) * t^2 + INDIRECT("c_" &amp; i) * t^1 + INDIRECT("d_" &amp; i)</f>
        <v>4.7352670860601589E-2</v>
      </c>
      <c r="F162" s="117" t="s">
        <v>328</v>
      </c>
      <c r="R162" s="120">
        <f t="array" aca="1" ref="R162" ca="1">E162:E462</f>
        <v>4.7352670860601589E-2</v>
      </c>
      <c r="S162" s="121">
        <f t="shared" ca="1" si="29"/>
        <v>-2.2832384284435809E-2</v>
      </c>
      <c r="T162" s="121">
        <f t="shared" ca="1" si="31"/>
        <v>-2.1427934606557699E-2</v>
      </c>
    </row>
    <row r="163" spans="2:20" s="74" customFormat="1" x14ac:dyDescent="0.2">
      <c r="C163" s="74">
        <v>7</v>
      </c>
      <c r="D163" s="74">
        <v>6.3</v>
      </c>
      <c r="E163" s="114">
        <f t="shared" ref="E163" ca="1" si="91">INDIRECT("a_" &amp; i) * t^3 + INDIRECT("b_" &amp; i) * t^2 + INDIRECT("c_" &amp; i) * t^1 + INDIRECT("d_" &amp; i)</f>
        <v>4.4849418755889901E-2</v>
      </c>
      <c r="F163" s="117" t="s">
        <v>328</v>
      </c>
      <c r="R163" s="120">
        <f t="array" aca="1" ref="R163" ca="1">E163:E463</f>
        <v>4.4849418755889901E-2</v>
      </c>
      <c r="S163" s="121">
        <f t="shared" ca="1" si="29"/>
        <v>-2.5032521047116972E-2</v>
      </c>
      <c r="T163" s="121">
        <f t="shared" ca="1" si="31"/>
        <v>-2.2001367626811711E-2</v>
      </c>
    </row>
    <row r="164" spans="2:20" s="74" customFormat="1" x14ac:dyDescent="0.2">
      <c r="C164" s="74">
        <v>7</v>
      </c>
      <c r="D164" s="74">
        <v>6.4</v>
      </c>
      <c r="E164" s="114">
        <f t="shared" ref="E164" ca="1" si="92">INDIRECT("a_" &amp; i) * t^3 + INDIRECT("b_" &amp; i) * t^2 + INDIRECT("c_" &amp; i) * t^1 + INDIRECT("d_" &amp; i)</f>
        <v>4.2120418644707364E-2</v>
      </c>
      <c r="F164" s="117" t="s">
        <v>328</v>
      </c>
      <c r="R164" s="120">
        <f t="array" aca="1" ref="R164" ca="1">E164:E464</f>
        <v>4.2120418644707364E-2</v>
      </c>
      <c r="S164" s="121">
        <f t="shared" ca="1" si="29"/>
        <v>-2.7290001111825231E-2</v>
      </c>
      <c r="T164" s="121">
        <f t="shared" ca="1" si="31"/>
        <v>-2.2574800647082467E-2</v>
      </c>
    </row>
    <row r="165" spans="2:20" s="74" customFormat="1" x14ac:dyDescent="0.2">
      <c r="C165" s="74">
        <v>7</v>
      </c>
      <c r="D165" s="74">
        <v>6.5</v>
      </c>
      <c r="E165" s="114">
        <f t="shared" ref="E165" ca="1" si="93">INDIRECT("a_" &amp; i) * t^3 + INDIRECT("b_" &amp; i) * t^2 + INDIRECT("c_" &amp; i) * t^1 + INDIRECT("d_" &amp; i)</f>
        <v>3.9159936196851382E-2</v>
      </c>
      <c r="F165" s="117" t="s">
        <v>328</v>
      </c>
      <c r="R165" s="120">
        <f t="array" aca="1" ref="R165" ca="1">E165:E465</f>
        <v>3.9159936196851382E-2</v>
      </c>
      <c r="S165" s="121">
        <f t="shared" ca="1" si="29"/>
        <v>-2.9604824478559923E-2</v>
      </c>
      <c r="T165" s="121">
        <f t="shared" ca="1" si="31"/>
        <v>-2.3148233667347001E-2</v>
      </c>
    </row>
    <row r="166" spans="2:20" s="74" customFormat="1" x14ac:dyDescent="0.2">
      <c r="C166" s="74">
        <v>7</v>
      </c>
      <c r="D166" s="74">
        <v>6.6</v>
      </c>
      <c r="E166" s="114">
        <f t="shared" ref="E166" ca="1" si="94">INDIRECT("a_" &amp; i) * t^3 + INDIRECT("b_" &amp; i) * t^2 + INDIRECT("c_" &amp; i) * t^1 + INDIRECT("d_" &amp; i)</f>
        <v>3.596223708211925E-2</v>
      </c>
      <c r="F166" s="117" t="s">
        <v>328</v>
      </c>
      <c r="R166" s="120">
        <f t="array" aca="1" ref="R166" ca="1">E166:E466</f>
        <v>3.596223708211925E-2</v>
      </c>
      <c r="S166" s="121">
        <f t="shared" ref="S166:S229" ca="1" si="95">(R166-R165)/(D166-D165)</f>
        <v>-3.1976991147321429E-2</v>
      </c>
      <c r="T166" s="121">
        <f t="shared" ca="1" si="31"/>
        <v>-2.3721666687615148E-2</v>
      </c>
    </row>
    <row r="167" spans="2:20" s="74" customFormat="1" x14ac:dyDescent="0.2">
      <c r="C167" s="74">
        <v>7</v>
      </c>
      <c r="D167" s="74">
        <v>6.7</v>
      </c>
      <c r="E167" s="114">
        <f t="shared" ref="E167" ca="1" si="96">INDIRECT("a_" &amp; i) * t^3 + INDIRECT("b_" &amp; i) * t^2 + INDIRECT("c_" &amp; i) * t^1 + INDIRECT("d_" &amp; i)</f>
        <v>3.2521586970308408E-2</v>
      </c>
      <c r="F167" s="117" t="s">
        <v>328</v>
      </c>
      <c r="R167" s="120">
        <f t="array" aca="1" ref="R167" ca="1">E167:E467</f>
        <v>3.2521586970308408E-2</v>
      </c>
      <c r="S167" s="121">
        <f t="shared" ca="1" si="95"/>
        <v>-3.4406501118108238E-2</v>
      </c>
      <c r="T167" s="121">
        <f t="shared" ref="T167:T230" ca="1" si="97">(S167-S166)/(D167-D166)</f>
        <v>-2.4295099707867956E-2</v>
      </c>
    </row>
    <row r="168" spans="2:20" s="74" customFormat="1" x14ac:dyDescent="0.2">
      <c r="C168" s="74">
        <v>7</v>
      </c>
      <c r="D168" s="74">
        <v>6.8</v>
      </c>
      <c r="E168" s="114">
        <f t="shared" ref="E168" ca="1" si="98">INDIRECT("a_" &amp; i) * t^3 + INDIRECT("b_" &amp; i) * t^2 + INDIRECT("c_" &amp; i) * t^1 + INDIRECT("d_" &amp; i)</f>
        <v>2.8832251531216165E-2</v>
      </c>
      <c r="F168" s="117" t="s">
        <v>328</v>
      </c>
      <c r="R168" s="120">
        <f t="array" aca="1" ref="R168" ca="1">E168:E468</f>
        <v>2.8832251531216165E-2</v>
      </c>
      <c r="S168" s="121">
        <f t="shared" ca="1" si="95"/>
        <v>-3.6893354390922568E-2</v>
      </c>
      <c r="T168" s="121">
        <f t="shared" ca="1" si="97"/>
        <v>-2.4868532728143395E-2</v>
      </c>
    </row>
    <row r="169" spans="2:20" s="74" customFormat="1" x14ac:dyDescent="0.2">
      <c r="C169" s="74">
        <v>7</v>
      </c>
      <c r="D169" s="74">
        <v>6.9</v>
      </c>
      <c r="E169" s="114">
        <f t="shared" ref="E169" ca="1" si="99">INDIRECT("a_" &amp; i) * t^3 + INDIRECT("b_" &amp; i) * t^2 + INDIRECT("c_" &amp; i) * t^1 + INDIRECT("d_" &amp; i)</f>
        <v>2.4888496434639796E-2</v>
      </c>
      <c r="F169" s="117" t="s">
        <v>328</v>
      </c>
      <c r="R169" s="120">
        <f t="array" aca="1" ref="R169" ca="1">E169:E469</f>
        <v>2.4888496434639796E-2</v>
      </c>
      <c r="S169" s="121">
        <f t="shared" ca="1" si="95"/>
        <v>-3.9437550965763478E-2</v>
      </c>
      <c r="T169" s="121">
        <f t="shared" ca="1" si="97"/>
        <v>-2.544196574840896E-2</v>
      </c>
    </row>
    <row r="170" spans="2:20" s="74" customFormat="1" x14ac:dyDescent="0.2">
      <c r="B170" s="74">
        <v>7</v>
      </c>
      <c r="C170" s="74">
        <v>10</v>
      </c>
      <c r="D170" s="74">
        <v>7</v>
      </c>
      <c r="E170" s="114">
        <f t="shared" ref="E170" ca="1" si="100">INDIRECT("a_" &amp; i) * t^3 + INDIRECT("b_" &amp; i) * t^2 + INDIRECT("c_" &amp; i) * t^1 + INDIRECT("d_" &amp; i)</f>
        <v>2.3085336908491388E-2</v>
      </c>
      <c r="F170" s="117">
        <v>6.51321344E-2</v>
      </c>
      <c r="G170" s="117">
        <f ca="1">F170-E170</f>
        <v>4.2046797491508608E-2</v>
      </c>
      <c r="H170" s="117">
        <f ca="1">INDIRECT("a_" &amp; i_1) * t^3 + INDIRECT("b_" &amp; i_1) * t^2 + INDIRECT("c_" &amp; i_1) * t^1 + INDIRECT("d_" &amp; i_1)</f>
        <v>2.0684587350376787E-2</v>
      </c>
      <c r="I170" s="117">
        <f ca="1">H170-E170</f>
        <v>-2.4007495581146003E-3</v>
      </c>
      <c r="K170" s="119"/>
      <c r="Q170" s="119"/>
      <c r="R170" s="120">
        <f t="array" aca="1" ref="R170" ca="1">E170:E470</f>
        <v>2.3085336908491388E-2</v>
      </c>
      <c r="S170" s="121">
        <f t="shared" ca="1" si="95"/>
        <v>-1.8031595261484144E-2</v>
      </c>
      <c r="T170" s="121">
        <f t="shared" ca="1" si="97"/>
        <v>0.21405955704279409</v>
      </c>
    </row>
    <row r="171" spans="2:20" s="74" customFormat="1" x14ac:dyDescent="0.2">
      <c r="C171" s="74">
        <v>10</v>
      </c>
      <c r="D171" s="74">
        <v>7.1</v>
      </c>
      <c r="E171" s="114">
        <f t="shared" ref="E171" ca="1" si="101">INDIRECT("a_" &amp; i) * t^3 + INDIRECT("b_" &amp; i) * t^2 + INDIRECT("c_" &amp; i) * t^1 + INDIRECT("d_" &amp; i)</f>
        <v>2.3502569016597696E-2</v>
      </c>
      <c r="F171" s="117" t="s">
        <v>328</v>
      </c>
      <c r="R171" s="120">
        <f t="array" aca="1" ref="R171" ca="1">E171:E471</f>
        <v>2.3502569016597696E-2</v>
      </c>
      <c r="S171" s="121">
        <f t="shared" ca="1" si="95"/>
        <v>4.1723210810631012E-3</v>
      </c>
      <c r="T171" s="121">
        <f t="shared" ca="1" si="97"/>
        <v>0.22203916342547322</v>
      </c>
    </row>
    <row r="172" spans="2:20" s="74" customFormat="1" x14ac:dyDescent="0.2">
      <c r="C172" s="74">
        <v>10</v>
      </c>
      <c r="D172" s="74">
        <v>7.2</v>
      </c>
      <c r="E172" s="114">
        <f t="shared" ref="E172" ca="1" si="102">INDIRECT("a_" &amp; i) * t^3 + INDIRECT("b_" &amp; i) * t^2 + INDIRECT("c_" &amp; i) * t^1 + INDIRECT("d_" &amp; i)</f>
        <v>2.3914680443427698E-2</v>
      </c>
      <c r="F172" s="117" t="s">
        <v>328</v>
      </c>
      <c r="R172" s="120">
        <f t="array" aca="1" ref="R172" ca="1">E172:E472</f>
        <v>2.3914680443427698E-2</v>
      </c>
      <c r="S172" s="121">
        <f t="shared" ca="1" si="95"/>
        <v>4.1211142682999946E-3</v>
      </c>
      <c r="T172" s="121">
        <f t="shared" ca="1" si="97"/>
        <v>-5.1206812763106367E-4</v>
      </c>
    </row>
    <row r="173" spans="2:20" s="74" customFormat="1" x14ac:dyDescent="0.2">
      <c r="C173" s="74">
        <v>10</v>
      </c>
      <c r="D173" s="74">
        <v>7.3</v>
      </c>
      <c r="E173" s="114">
        <f t="shared" ref="E173" ca="1" si="103">INDIRECT("a_" &amp; i) * t^3 + INDIRECT("b_" &amp; i) * t^2 + INDIRECT("c_" &amp; i) * t^1 + INDIRECT("d_" &amp; i)</f>
        <v>2.4321356116057149E-2</v>
      </c>
      <c r="F173" s="117" t="s">
        <v>328</v>
      </c>
      <c r="R173" s="120">
        <f t="array" aca="1" ref="R173" ca="1">E173:E473</f>
        <v>2.4321356116057149E-2</v>
      </c>
      <c r="S173" s="121">
        <f t="shared" ca="1" si="95"/>
        <v>4.0667567262945232E-3</v>
      </c>
      <c r="T173" s="121">
        <f t="shared" ca="1" si="97"/>
        <v>-5.4357542005471619E-4</v>
      </c>
    </row>
    <row r="174" spans="2:20" s="74" customFormat="1" x14ac:dyDescent="0.2">
      <c r="C174" s="74">
        <v>10</v>
      </c>
      <c r="D174" s="74">
        <v>7.4</v>
      </c>
      <c r="E174" s="114">
        <f t="shared" ref="E174" ca="1" si="104">INDIRECT("a_" &amp; i) * t^3 + INDIRECT("b_" &amp; i) * t^2 + INDIRECT("c_" &amp; i) * t^1 + INDIRECT("d_" &amp; i)</f>
        <v>2.4722280961561809E-2</v>
      </c>
      <c r="F174" s="117" t="s">
        <v>328</v>
      </c>
      <c r="R174" s="120">
        <f t="array" aca="1" ref="R174" ca="1">E174:E474</f>
        <v>2.4722280961561809E-2</v>
      </c>
      <c r="S174" s="121">
        <f t="shared" ca="1" si="95"/>
        <v>4.0092484550465759E-3</v>
      </c>
      <c r="T174" s="121">
        <f t="shared" ca="1" si="97"/>
        <v>-5.7508271247946928E-4</v>
      </c>
    </row>
    <row r="175" spans="2:20" s="74" customFormat="1" x14ac:dyDescent="0.2">
      <c r="C175" s="74">
        <v>10</v>
      </c>
      <c r="D175" s="74">
        <v>7.5</v>
      </c>
      <c r="E175" s="114">
        <f t="shared" ref="E175" ca="1" si="105">INDIRECT("a_" &amp; i) * t^3 + INDIRECT("b_" &amp; i) * t^2 + INDIRECT("c_" &amp; i) * t^1 + INDIRECT("d_" &amp; i)</f>
        <v>2.5117139907017437E-2</v>
      </c>
      <c r="F175" s="117" t="s">
        <v>328</v>
      </c>
      <c r="R175" s="120">
        <f t="array" aca="1" ref="R175" ca="1">E175:E475</f>
        <v>2.5117139907017437E-2</v>
      </c>
      <c r="S175" s="121">
        <f t="shared" ca="1" si="95"/>
        <v>3.9485894545562977E-3</v>
      </c>
      <c r="T175" s="121">
        <f t="shared" ca="1" si="97"/>
        <v>-6.0659000490278408E-4</v>
      </c>
    </row>
    <row r="176" spans="2:20" s="74" customFormat="1" x14ac:dyDescent="0.2">
      <c r="C176" s="74">
        <v>10</v>
      </c>
      <c r="D176" s="74">
        <v>7.6</v>
      </c>
      <c r="E176" s="114">
        <f t="shared" ref="E176" ca="1" si="106">INDIRECT("a_" &amp; i) * t^3 + INDIRECT("b_" &amp; i) * t^2 + INDIRECT("c_" &amp; i) * t^1 + INDIRECT("d_" &amp; i)</f>
        <v>2.5505617879499797E-2</v>
      </c>
      <c r="F176" s="117" t="s">
        <v>328</v>
      </c>
      <c r="R176" s="120">
        <f t="array" aca="1" ref="R176" ca="1">E176:E476</f>
        <v>2.5505617879499797E-2</v>
      </c>
      <c r="S176" s="121">
        <f t="shared" ca="1" si="95"/>
        <v>3.8847797248236157E-3</v>
      </c>
      <c r="T176" s="121">
        <f t="shared" ca="1" si="97"/>
        <v>-6.3809729732682236E-4</v>
      </c>
    </row>
    <row r="177" spans="3:20" s="74" customFormat="1" x14ac:dyDescent="0.2">
      <c r="C177" s="74">
        <v>10</v>
      </c>
      <c r="D177" s="74">
        <v>7.7</v>
      </c>
      <c r="E177" s="114">
        <f t="shared" ref="E177" ca="1" si="107">INDIRECT("a_" &amp; i) * t^3 + INDIRECT("b_" &amp; i) * t^2 + INDIRECT("c_" &amp; i) * t^1 + INDIRECT("d_" &amp; i)</f>
        <v>2.5887399806084638E-2</v>
      </c>
      <c r="F177" s="117" t="s">
        <v>328</v>
      </c>
      <c r="R177" s="120">
        <f t="array" aca="1" ref="R177" ca="1">E177:E477</f>
        <v>2.5887399806084638E-2</v>
      </c>
      <c r="S177" s="121">
        <f t="shared" ca="1" si="95"/>
        <v>3.8178192658483924E-3</v>
      </c>
      <c r="T177" s="121">
        <f t="shared" ca="1" si="97"/>
        <v>-6.6960458975222944E-4</v>
      </c>
    </row>
    <row r="178" spans="3:20" s="74" customFormat="1" x14ac:dyDescent="0.2">
      <c r="C178" s="74">
        <v>10</v>
      </c>
      <c r="D178" s="74">
        <v>7.8</v>
      </c>
      <c r="E178" s="114">
        <f t="shared" ref="E178" ca="1" si="108">INDIRECT("a_" &amp; i) * t^3 + INDIRECT("b_" &amp; i) * t^2 + INDIRECT("c_" &amp; i) * t^1 + INDIRECT("d_" &amp; i)</f>
        <v>2.6262170613847721E-2</v>
      </c>
      <c r="F178" s="117" t="s">
        <v>328</v>
      </c>
      <c r="R178" s="120">
        <f t="array" aca="1" ref="R178" ca="1">E178:E478</f>
        <v>2.6262170613847721E-2</v>
      </c>
      <c r="S178" s="121">
        <f t="shared" ca="1" si="95"/>
        <v>3.7477080776308343E-3</v>
      </c>
      <c r="T178" s="121">
        <f t="shared" ca="1" si="97"/>
        <v>-7.0111188217558413E-4</v>
      </c>
    </row>
    <row r="179" spans="3:20" s="74" customFormat="1" x14ac:dyDescent="0.2">
      <c r="C179" s="74">
        <v>10</v>
      </c>
      <c r="D179" s="74">
        <v>7.9</v>
      </c>
      <c r="E179" s="114">
        <f t="shared" ref="E179" ca="1" si="109">INDIRECT("a_" &amp; i) * t^3 + INDIRECT("b_" &amp; i) * t^2 + INDIRECT("c_" &amp; i) * t^1 + INDIRECT("d_" &amp; i)</f>
        <v>2.6629615229864814E-2</v>
      </c>
      <c r="F179" s="117" t="s">
        <v>328</v>
      </c>
      <c r="R179" s="120">
        <f t="array" aca="1" ref="R179" ca="1">E179:E479</f>
        <v>2.6629615229864814E-2</v>
      </c>
      <c r="S179" s="121">
        <f t="shared" ca="1" si="95"/>
        <v>3.6744461601709104E-3</v>
      </c>
      <c r="T179" s="121">
        <f t="shared" ca="1" si="97"/>
        <v>-7.3261917459923427E-4</v>
      </c>
    </row>
    <row r="180" spans="3:20" s="74" customFormat="1" x14ac:dyDescent="0.2">
      <c r="C180" s="74">
        <v>10</v>
      </c>
      <c r="D180" s="74">
        <v>8</v>
      </c>
      <c r="E180" s="114">
        <f t="shared" ref="E180" ca="1" si="110">INDIRECT("a_" &amp; i) * t^3 + INDIRECT("b_" &amp; i) * t^2 + INDIRECT("c_" &amp; i) * t^1 + INDIRECT("d_" &amp; i)</f>
        <v>2.698941858121166E-2</v>
      </c>
      <c r="F180" s="117" t="s">
        <v>328</v>
      </c>
      <c r="R180" s="120">
        <f t="array" aca="1" ref="R180" ca="1">E180:E480</f>
        <v>2.698941858121166E-2</v>
      </c>
      <c r="S180" s="121">
        <f t="shared" ca="1" si="95"/>
        <v>3.5980335134684753E-3</v>
      </c>
      <c r="T180" s="121">
        <f t="shared" ca="1" si="97"/>
        <v>-7.6412646702435458E-4</v>
      </c>
    </row>
    <row r="181" spans="3:20" s="74" customFormat="1" x14ac:dyDescent="0.2">
      <c r="C181" s="74">
        <v>10</v>
      </c>
      <c r="D181" s="74">
        <v>8.1</v>
      </c>
      <c r="E181" s="114">
        <f t="shared" ref="E181" ca="1" si="111">INDIRECT("a_" &amp; i) * t^3 + INDIRECT("b_" &amp; i) * t^2 + INDIRECT("c_" &amp; i) * t^1 + INDIRECT("d_" &amp; i)</f>
        <v>2.7341265594964033E-2</v>
      </c>
      <c r="F181" s="117" t="s">
        <v>328</v>
      </c>
      <c r="R181" s="120">
        <f t="array" aca="1" ref="R181" ca="1">E181:E481</f>
        <v>2.7341265594964033E-2</v>
      </c>
      <c r="S181" s="121">
        <f t="shared" ca="1" si="95"/>
        <v>3.5184701375237438E-3</v>
      </c>
      <c r="T181" s="121">
        <f t="shared" ca="1" si="97"/>
        <v>-7.9563375944731733E-4</v>
      </c>
    </row>
    <row r="182" spans="3:20" s="74" customFormat="1" x14ac:dyDescent="0.2">
      <c r="C182" s="74">
        <v>10</v>
      </c>
      <c r="D182" s="74">
        <v>8.1999999999999993</v>
      </c>
      <c r="E182" s="114">
        <f t="shared" ref="E182" ca="1" si="112">INDIRECT("a_" &amp; i) * t^3 + INDIRECT("b_" &amp; i) * t^2 + INDIRECT("c_" &amp; i) * t^1 + INDIRECT("d_" &amp; i)</f>
        <v>2.7684841198197672E-2</v>
      </c>
      <c r="F182" s="117" t="s">
        <v>328</v>
      </c>
      <c r="R182" s="120">
        <f t="array" aca="1" ref="R182" ca="1">E182:E482</f>
        <v>2.7684841198197672E-2</v>
      </c>
      <c r="S182" s="121">
        <f t="shared" ca="1" si="95"/>
        <v>3.4357560323364008E-3</v>
      </c>
      <c r="T182" s="121">
        <f t="shared" ca="1" si="97"/>
        <v>-8.2714105187343295E-4</v>
      </c>
    </row>
    <row r="183" spans="3:20" s="74" customFormat="1" x14ac:dyDescent="0.2">
      <c r="C183" s="74">
        <v>10</v>
      </c>
      <c r="D183" s="74">
        <v>8.3000000000000007</v>
      </c>
      <c r="E183" s="114">
        <f t="shared" ref="E183" ca="1" si="113">INDIRECT("a_" &amp; i) * t^3 + INDIRECT("b_" &amp; i) * t^2 + INDIRECT("c_" &amp; i) * t^1 + INDIRECT("d_" &amp; i)</f>
        <v>2.8019830317988357E-2</v>
      </c>
      <c r="F183" s="117" t="s">
        <v>328</v>
      </c>
      <c r="R183" s="120">
        <f t="array" aca="1" ref="R183" ca="1">E183:E483</f>
        <v>2.8019830317988357E-2</v>
      </c>
      <c r="S183" s="121">
        <f t="shared" ca="1" si="95"/>
        <v>3.3498911979068036E-3</v>
      </c>
      <c r="T183" s="121">
        <f t="shared" ca="1" si="97"/>
        <v>-8.5864834429595974E-4</v>
      </c>
    </row>
    <row r="184" spans="3:20" s="74" customFormat="1" x14ac:dyDescent="0.2">
      <c r="C184" s="74">
        <v>10</v>
      </c>
      <c r="D184" s="74">
        <v>8.4</v>
      </c>
      <c r="E184" s="114">
        <f t="shared" ref="E184" ca="1" si="114">INDIRECT("a_" &amp; i) * t^3 + INDIRECT("b_" &amp; i) * t^2 + INDIRECT("c_" &amp; i) * t^1 + INDIRECT("d_" &amp; i)</f>
        <v>2.8345917881411827E-2</v>
      </c>
      <c r="F184" s="117" t="s">
        <v>328</v>
      </c>
      <c r="R184" s="120">
        <f t="array" aca="1" ref="R184" ca="1">E184:E484</f>
        <v>2.8345917881411827E-2</v>
      </c>
      <c r="S184" s="121">
        <f t="shared" ca="1" si="95"/>
        <v>3.2608756342347145E-3</v>
      </c>
      <c r="T184" s="121">
        <f t="shared" ca="1" si="97"/>
        <v>-8.9015563672089368E-4</v>
      </c>
    </row>
    <row r="185" spans="3:20" s="74" customFormat="1" x14ac:dyDescent="0.2">
      <c r="C185" s="74">
        <v>10</v>
      </c>
      <c r="D185" s="74">
        <v>8.5</v>
      </c>
      <c r="E185" s="114">
        <f t="shared" ref="E185" ca="1" si="115">INDIRECT("a_" &amp; i) * t^3 + INDIRECT("b_" &amp; i) * t^2 + INDIRECT("c_" &amp; i) * t^1 + INDIRECT("d_" &amp; i)</f>
        <v>2.8662788815543856E-2</v>
      </c>
      <c r="F185" s="117" t="s">
        <v>328</v>
      </c>
      <c r="R185" s="120">
        <f t="array" aca="1" ref="R185" ca="1">E185:E485</f>
        <v>2.8662788815543856E-2</v>
      </c>
      <c r="S185" s="121">
        <f t="shared" ca="1" si="95"/>
        <v>3.1687093413203015E-3</v>
      </c>
      <c r="T185" s="121">
        <f t="shared" ca="1" si="97"/>
        <v>-9.2166292914413399E-4</v>
      </c>
    </row>
    <row r="186" spans="3:20" s="74" customFormat="1" x14ac:dyDescent="0.2">
      <c r="C186" s="74">
        <v>10</v>
      </c>
      <c r="D186" s="74">
        <v>8.6</v>
      </c>
      <c r="E186" s="114">
        <f t="shared" ref="E186" ca="1" si="116">INDIRECT("a_" &amp; i) * t^3 + INDIRECT("b_" &amp; i) * t^2 + INDIRECT("c_" &amp; i) * t^1 + INDIRECT("d_" &amp; i)</f>
        <v>2.89701280474602E-2</v>
      </c>
      <c r="F186" s="117" t="s">
        <v>328</v>
      </c>
      <c r="R186" s="120">
        <f t="array" aca="1" ref="R186" ca="1">E186:E486</f>
        <v>2.89701280474602E-2</v>
      </c>
      <c r="S186" s="121">
        <f t="shared" ca="1" si="95"/>
        <v>3.0733923191634508E-3</v>
      </c>
      <c r="T186" s="121">
        <f t="shared" ca="1" si="97"/>
        <v>-9.5317022156851054E-4</v>
      </c>
    </row>
    <row r="187" spans="3:20" s="74" customFormat="1" x14ac:dyDescent="0.2">
      <c r="C187" s="74">
        <v>10</v>
      </c>
      <c r="D187" s="74">
        <v>8.6999999999999993</v>
      </c>
      <c r="E187" s="114">
        <f t="shared" ref="E187" ca="1" si="117">INDIRECT("a_" &amp; i) * t^3 + INDIRECT("b_" &amp; i) * t^2 + INDIRECT("c_" &amp; i) * t^1 + INDIRECT("d_" &amp; i)</f>
        <v>2.9267620504236602E-2</v>
      </c>
      <c r="F187" s="117" t="s">
        <v>328</v>
      </c>
      <c r="R187" s="120">
        <f t="array" aca="1" ref="R187" ca="1">E187:E487</f>
        <v>2.9267620504236602E-2</v>
      </c>
      <c r="S187" s="121">
        <f t="shared" ca="1" si="95"/>
        <v>2.9749245677640236E-3</v>
      </c>
      <c r="T187" s="121">
        <f t="shared" ca="1" si="97"/>
        <v>-9.8467751399427487E-4</v>
      </c>
    </row>
    <row r="188" spans="3:20" s="74" customFormat="1" x14ac:dyDescent="0.2">
      <c r="C188" s="74">
        <v>10</v>
      </c>
      <c r="D188" s="74">
        <v>8.8000000000000007</v>
      </c>
      <c r="E188" s="114">
        <f t="shared" ref="E188" ca="1" si="118">INDIRECT("a_" &amp; i) * t^3 + INDIRECT("b_" &amp; i) * t^2 + INDIRECT("c_" &amp; i) * t^1 + INDIRECT("d_" &amp; i)</f>
        <v>2.9554951112948841E-2</v>
      </c>
      <c r="F188" s="117" t="s">
        <v>328</v>
      </c>
      <c r="R188" s="120">
        <f t="array" aca="1" ref="R188" ca="1">E188:E488</f>
        <v>2.9554951112948841E-2</v>
      </c>
      <c r="S188" s="121">
        <f t="shared" ca="1" si="95"/>
        <v>2.873306087122351E-3</v>
      </c>
      <c r="T188" s="121">
        <f t="shared" ca="1" si="97"/>
        <v>-1.0161848064167121E-3</v>
      </c>
    </row>
    <row r="189" spans="3:20" s="74" customFormat="1" x14ac:dyDescent="0.2">
      <c r="C189" s="74">
        <v>10</v>
      </c>
      <c r="D189" s="74">
        <v>8.9</v>
      </c>
      <c r="E189" s="114">
        <f t="shared" ref="E189" ca="1" si="119">INDIRECT("a_" &amp; i) * t^3 + INDIRECT("b_" &amp; i) * t^2 + INDIRECT("c_" &amp; i) * t^1 + INDIRECT("d_" &amp; i)</f>
        <v>2.9831804800672674E-2</v>
      </c>
      <c r="F189" s="117" t="s">
        <v>328</v>
      </c>
      <c r="R189" s="120">
        <f t="array" aca="1" ref="R189" ca="1">E189:E489</f>
        <v>2.9831804800672674E-2</v>
      </c>
      <c r="S189" s="121">
        <f t="shared" ca="1" si="95"/>
        <v>2.7685368772383426E-3</v>
      </c>
      <c r="T189" s="121">
        <f t="shared" ca="1" si="97"/>
        <v>-1.0476920988400876E-3</v>
      </c>
    </row>
    <row r="190" spans="3:20" s="74" customFormat="1" x14ac:dyDescent="0.2">
      <c r="C190" s="74">
        <v>10</v>
      </c>
      <c r="D190" s="74">
        <v>9</v>
      </c>
      <c r="E190" s="114">
        <f t="shared" ref="E190" ca="1" si="120">INDIRECT("a_" &amp; i) * t^3 + INDIRECT("b_" &amp; i) * t^2 + INDIRECT("c_" &amp; i) * t^1 + INDIRECT("d_" &amp; i)</f>
        <v>3.009786649448384E-2</v>
      </c>
      <c r="F190" s="117" t="s">
        <v>328</v>
      </c>
      <c r="R190" s="120">
        <f t="array" aca="1" ref="R190" ca="1">E190:E490</f>
        <v>3.009786649448384E-2</v>
      </c>
      <c r="S190" s="121">
        <f t="shared" ca="1" si="95"/>
        <v>2.6606169381116719E-3</v>
      </c>
      <c r="T190" s="121">
        <f t="shared" ca="1" si="97"/>
        <v>-1.0791993912667107E-3</v>
      </c>
    </row>
    <row r="191" spans="3:20" s="74" customFormat="1" x14ac:dyDescent="0.2">
      <c r="C191" s="74">
        <v>10</v>
      </c>
      <c r="D191" s="74">
        <v>9.1</v>
      </c>
      <c r="E191" s="114">
        <f t="shared" ref="E191" ca="1" si="121">INDIRECT("a_" &amp; i) * t^3 + INDIRECT("b_" &amp; i) * t^2 + INDIRECT("c_" &amp; i) * t^1 + INDIRECT("d_" &amp; i)</f>
        <v>3.035282112145811E-2</v>
      </c>
      <c r="F191" s="117" t="s">
        <v>328</v>
      </c>
      <c r="R191" s="120">
        <f t="array" aca="1" ref="R191" ca="1">E191:E491</f>
        <v>3.035282112145811E-2</v>
      </c>
      <c r="S191" s="121">
        <f t="shared" ca="1" si="95"/>
        <v>2.5495462697427023E-3</v>
      </c>
      <c r="T191" s="121">
        <f t="shared" ca="1" si="97"/>
        <v>-1.1107066836896994E-3</v>
      </c>
    </row>
    <row r="192" spans="3:20" s="74" customFormat="1" x14ac:dyDescent="0.2">
      <c r="C192" s="74">
        <v>10</v>
      </c>
      <c r="D192" s="74">
        <v>9.1999999999999993</v>
      </c>
      <c r="E192" s="114">
        <f t="shared" ref="E192" ca="1" si="122">INDIRECT("a_" &amp; i) * t^3 + INDIRECT("b_" &amp; i) * t^2 + INDIRECT("c_" &amp; i) * t^1 + INDIRECT("d_" &amp; i)</f>
        <v>3.0596353608671242E-2</v>
      </c>
      <c r="F192" s="117" t="s">
        <v>328</v>
      </c>
      <c r="R192" s="120">
        <f t="array" aca="1" ref="R192" ca="1">E192:E492</f>
        <v>3.0596353608671242E-2</v>
      </c>
      <c r="S192" s="121">
        <f t="shared" ca="1" si="95"/>
        <v>2.4353248721313298E-3</v>
      </c>
      <c r="T192" s="121">
        <f t="shared" ca="1" si="97"/>
        <v>-1.1422139761137291E-3</v>
      </c>
    </row>
    <row r="193" spans="2:20" s="74" customFormat="1" x14ac:dyDescent="0.2">
      <c r="C193" s="74">
        <v>10</v>
      </c>
      <c r="D193" s="74">
        <v>9.3000000000000007</v>
      </c>
      <c r="E193" s="114">
        <f t="shared" ref="E193" ca="1" si="123">INDIRECT("a_" &amp; i) * t^3 + INDIRECT("b_" &amp; i) * t^2 + INDIRECT("c_" &amp; i) * t^1 + INDIRECT("d_" &amp; i)</f>
        <v>3.0828148883198993E-2</v>
      </c>
      <c r="F193" s="117" t="s">
        <v>328</v>
      </c>
      <c r="R193" s="120">
        <f t="array" aca="1" ref="R193" ca="1">E193:E493</f>
        <v>3.0828148883198993E-2</v>
      </c>
      <c r="S193" s="121">
        <f t="shared" ca="1" si="95"/>
        <v>2.3179527452774785E-3</v>
      </c>
      <c r="T193" s="121">
        <f t="shared" ca="1" si="97"/>
        <v>-1.1737212685384967E-3</v>
      </c>
    </row>
    <row r="194" spans="2:20" s="74" customFormat="1" x14ac:dyDescent="0.2">
      <c r="C194" s="74">
        <v>10</v>
      </c>
      <c r="D194" s="74">
        <v>9.4</v>
      </c>
      <c r="E194" s="114">
        <f t="shared" ref="E194" ca="1" si="124">INDIRECT("a_" &amp; i) * t^3 + INDIRECT("b_" &amp; i) * t^2 + INDIRECT("c_" &amp; i) * t^1 + INDIRECT("d_" &amp; i)</f>
        <v>3.104789187211713E-2</v>
      </c>
      <c r="F194" s="117" t="s">
        <v>328</v>
      </c>
      <c r="R194" s="120">
        <f t="array" aca="1" ref="R194" ca="1">E194:E494</f>
        <v>3.104789187211713E-2</v>
      </c>
      <c r="S194" s="121">
        <f t="shared" ca="1" si="95"/>
        <v>2.197429889181376E-3</v>
      </c>
      <c r="T194" s="121">
        <f t="shared" ca="1" si="97"/>
        <v>-1.2052285609610294E-3</v>
      </c>
    </row>
    <row r="195" spans="2:20" s="74" customFormat="1" x14ac:dyDescent="0.2">
      <c r="C195" s="74">
        <v>10</v>
      </c>
      <c r="D195" s="74">
        <v>9.5</v>
      </c>
      <c r="E195" s="114">
        <f t="shared" ref="E195" ca="1" si="125">INDIRECT("a_" &amp; i) * t^3 + INDIRECT("b_" &amp; i) * t^2 + INDIRECT("c_" &amp; i) * t^1 + INDIRECT("d_" &amp; i)</f>
        <v>3.1255267502501405E-2</v>
      </c>
      <c r="F195" s="117" t="s">
        <v>328</v>
      </c>
      <c r="R195" s="120">
        <f t="array" aca="1" ref="R195" ca="1">E195:E495</f>
        <v>3.1255267502501405E-2</v>
      </c>
      <c r="S195" s="121">
        <f t="shared" ca="1" si="95"/>
        <v>2.0737563038427599E-3</v>
      </c>
      <c r="T195" s="121">
        <f t="shared" ca="1" si="97"/>
        <v>-1.2367358533861648E-3</v>
      </c>
    </row>
    <row r="196" spans="2:20" s="74" customFormat="1" x14ac:dyDescent="0.2">
      <c r="C196" s="74">
        <v>10</v>
      </c>
      <c r="D196" s="74">
        <v>9.6</v>
      </c>
      <c r="E196" s="114">
        <f t="shared" ref="E196" ca="1" si="126">INDIRECT("a_" &amp; i) * t^3 + INDIRECT("b_" &amp; i) * t^2 + INDIRECT("c_" &amp; i) * t^1 + INDIRECT("d_" &amp; i)</f>
        <v>3.1449960701427568E-2</v>
      </c>
      <c r="F196" s="117" t="s">
        <v>328</v>
      </c>
      <c r="R196" s="120">
        <f t="array" aca="1" ref="R196" ca="1">E196:E496</f>
        <v>3.1449960701427568E-2</v>
      </c>
      <c r="S196" s="121">
        <f t="shared" ca="1" si="95"/>
        <v>1.9469319892616369E-3</v>
      </c>
      <c r="T196" s="121">
        <f t="shared" ca="1" si="97"/>
        <v>-1.2682431458112353E-3</v>
      </c>
    </row>
    <row r="197" spans="2:20" s="74" customFormat="1" x14ac:dyDescent="0.2">
      <c r="C197" s="74">
        <v>10</v>
      </c>
      <c r="D197" s="74">
        <v>9.6999999999999993</v>
      </c>
      <c r="E197" s="114">
        <f t="shared" ref="E197" ca="1" si="127">INDIRECT("a_" &amp; i) * t^3 + INDIRECT("b_" &amp; i) * t^2 + INDIRECT("c_" &amp; i) * t^1 + INDIRECT("d_" &amp; i)</f>
        <v>3.1631656395971389E-2</v>
      </c>
      <c r="F197" s="117" t="s">
        <v>328</v>
      </c>
      <c r="R197" s="120">
        <f t="array" aca="1" ref="R197" ca="1">E197:E497</f>
        <v>3.1631656395971389E-2</v>
      </c>
      <c r="S197" s="121">
        <f t="shared" ca="1" si="95"/>
        <v>1.8169569454382149E-3</v>
      </c>
      <c r="T197" s="121">
        <f t="shared" ca="1" si="97"/>
        <v>-1.299750438234224E-3</v>
      </c>
    </row>
    <row r="198" spans="2:20" s="74" customFormat="1" x14ac:dyDescent="0.2">
      <c r="C198" s="74">
        <v>10</v>
      </c>
      <c r="D198" s="74">
        <v>9.8000000000000007</v>
      </c>
      <c r="E198" s="114">
        <f t="shared" ref="E198" ca="1" si="128">INDIRECT("a_" &amp; i) * t^3 + INDIRECT("b_" &amp; i) * t^2 + INDIRECT("c_" &amp; i) * t^1 + INDIRECT("d_" &amp; i)</f>
        <v>3.1800039513208617E-2</v>
      </c>
      <c r="F198" s="117" t="s">
        <v>328</v>
      </c>
      <c r="R198" s="120">
        <f t="array" aca="1" ref="R198" ca="1">E198:E498</f>
        <v>3.1800039513208617E-2</v>
      </c>
      <c r="S198" s="121">
        <f t="shared" ca="1" si="95"/>
        <v>1.683831172372256E-3</v>
      </c>
      <c r="T198" s="121">
        <f t="shared" ca="1" si="97"/>
        <v>-1.3312577306595701E-3</v>
      </c>
    </row>
    <row r="199" spans="2:20" s="74" customFormat="1" x14ac:dyDescent="0.2">
      <c r="C199" s="74">
        <v>10</v>
      </c>
      <c r="D199" s="74">
        <v>9.9</v>
      </c>
      <c r="E199" s="114">
        <f t="shared" ref="E199" ca="1" si="129">INDIRECT("a_" &amp; i) * t^3 + INDIRECT("b_" &amp; i) * t^2 + INDIRECT("c_" &amp; i) * t^1 + INDIRECT("d_" &amp; i)</f>
        <v>3.1954794980215015E-2</v>
      </c>
      <c r="F199" s="117" t="s">
        <v>328</v>
      </c>
      <c r="R199" s="120">
        <f t="array" aca="1" ref="R199" ca="1">E199:E499</f>
        <v>3.1954794980215015E-2</v>
      </c>
      <c r="S199" s="121">
        <f t="shared" ca="1" si="95"/>
        <v>1.5475546700639885E-3</v>
      </c>
      <c r="T199" s="121">
        <f t="shared" ca="1" si="97"/>
        <v>-1.36276502308268E-3</v>
      </c>
    </row>
    <row r="200" spans="2:20" s="74" customFormat="1" x14ac:dyDescent="0.2">
      <c r="B200" s="74">
        <v>10</v>
      </c>
      <c r="C200" s="74">
        <v>30</v>
      </c>
      <c r="D200" s="74">
        <v>10</v>
      </c>
      <c r="E200" s="114">
        <f t="shared" ref="E200" ca="1" si="130">INDIRECT("a_" &amp; i) * t^3 + INDIRECT("b_" &amp; i) * t^2 + INDIRECT("c_" &amp; i) * t^1 + INDIRECT("d_" &amp; i)</f>
        <v>3.3252768995313382E-2</v>
      </c>
      <c r="F200" s="117">
        <v>6.7430707199999995E-2</v>
      </c>
      <c r="G200" s="117">
        <f ca="1">F200-E200</f>
        <v>3.4177938204686613E-2</v>
      </c>
      <c r="H200" s="117">
        <f ca="1">INDIRECT("a_" &amp; i_1) * t^3 + INDIRECT("b_" &amp; i_1) * t^2 + INDIRECT("c_" &amp; i_1) * t^1 + INDIRECT("d_" &amp; i_1)</f>
        <v>3.2095607724066347E-2</v>
      </c>
      <c r="I200" s="117">
        <f ca="1">H200-E200</f>
        <v>-1.1571612712470355E-3</v>
      </c>
      <c r="K200" s="119"/>
      <c r="Q200" s="119"/>
      <c r="R200" s="120">
        <f t="array" aca="1" ref="R200" ca="1">E200:E500</f>
        <v>3.3252768995313382E-2</v>
      </c>
      <c r="S200" s="121">
        <f t="shared" ca="1" si="95"/>
        <v>1.297974015098372E-2</v>
      </c>
      <c r="T200" s="121">
        <f t="shared" ca="1" si="97"/>
        <v>0.11432185480919772</v>
      </c>
    </row>
    <row r="201" spans="2:20" s="74" customFormat="1" x14ac:dyDescent="0.2">
      <c r="C201" s="74">
        <v>30</v>
      </c>
      <c r="D201" s="74">
        <v>10.1</v>
      </c>
      <c r="E201" s="114">
        <f t="shared" ref="E201" ca="1" si="131">INDIRECT("a_" &amp; i) * t^3 + INDIRECT("b_" &amp; i) * t^2 + INDIRECT("c_" &amp; i) * t^1 + INDIRECT("d_" &amp; i)</f>
        <v>3.5723712483732635E-2</v>
      </c>
      <c r="F201" s="117" t="s">
        <v>328</v>
      </c>
      <c r="R201" s="120">
        <f t="array" aca="1" ref="R201" ca="1">E201:E501</f>
        <v>3.5723712483732635E-2</v>
      </c>
      <c r="S201" s="121">
        <f t="shared" ca="1" si="95"/>
        <v>2.4709434884192614E-2</v>
      </c>
      <c r="T201" s="121">
        <f t="shared" ca="1" si="97"/>
        <v>0.11729694733208935</v>
      </c>
    </row>
    <row r="202" spans="2:20" s="74" customFormat="1" x14ac:dyDescent="0.2">
      <c r="C202" s="74">
        <v>30</v>
      </c>
      <c r="D202" s="74">
        <v>10.199999999999999</v>
      </c>
      <c r="E202" s="114">
        <f t="shared" ref="E202" ca="1" si="132">INDIRECT("a_" &amp; i) * t^3 + INDIRECT("b_" &amp; i) * t^2 + INDIRECT("c_" &amp; i) * t^1 + INDIRECT("d_" &amp; i)</f>
        <v>3.8214451788676336E-2</v>
      </c>
      <c r="F202" s="117" t="s">
        <v>328</v>
      </c>
      <c r="R202" s="120">
        <f t="array" aca="1" ref="R202" ca="1">E202:E502</f>
        <v>3.8214451788676336E-2</v>
      </c>
      <c r="S202" s="121">
        <f t="shared" ca="1" si="95"/>
        <v>2.49073930494371E-2</v>
      </c>
      <c r="T202" s="121">
        <f t="shared" ca="1" si="97"/>
        <v>1.9795816524448701E-3</v>
      </c>
    </row>
    <row r="203" spans="2:20" s="74" customFormat="1" x14ac:dyDescent="0.2">
      <c r="C203" s="74">
        <v>30</v>
      </c>
      <c r="D203" s="74">
        <v>10.3</v>
      </c>
      <c r="E203" s="114">
        <f t="shared" ref="E203" ca="1" si="133">INDIRECT("a_" &amp; i) * t^3 + INDIRECT("b_" &amp; i) * t^2 + INDIRECT("c_" &amp; i) * t^1 + INDIRECT("d_" &amp; i)</f>
        <v>4.0724345634054922E-2</v>
      </c>
      <c r="F203" s="117" t="s">
        <v>328</v>
      </c>
      <c r="R203" s="120">
        <f t="array" aca="1" ref="R203" ca="1">E203:E503</f>
        <v>4.0724345634054922E-2</v>
      </c>
      <c r="S203" s="121">
        <f t="shared" ca="1" si="95"/>
        <v>2.50989384537855E-2</v>
      </c>
      <c r="T203" s="121">
        <f t="shared" ca="1" si="97"/>
        <v>1.9154540434839708E-3</v>
      </c>
    </row>
    <row r="204" spans="2:20" s="74" customFormat="1" x14ac:dyDescent="0.2">
      <c r="C204" s="74">
        <v>30</v>
      </c>
      <c r="D204" s="74">
        <v>10.4</v>
      </c>
      <c r="E204" s="114">
        <f t="shared" ref="E204" ca="1" si="134">INDIRECT("a_" &amp; i) * t^3 + INDIRECT("b_" &amp; i) * t^2 + INDIRECT("c_" &amp; i) * t^1 + INDIRECT("d_" &amp; i)</f>
        <v>4.3252752743779162E-2</v>
      </c>
      <c r="F204" s="117" t="s">
        <v>328</v>
      </c>
      <c r="R204" s="120">
        <f t="array" aca="1" ref="R204" ca="1">E204:E504</f>
        <v>4.3252752743779162E-2</v>
      </c>
      <c r="S204" s="121">
        <f t="shared" ca="1" si="95"/>
        <v>2.528407109724249E-2</v>
      </c>
      <c r="T204" s="121">
        <f t="shared" ca="1" si="97"/>
        <v>1.8513264345699078E-3</v>
      </c>
    </row>
    <row r="205" spans="2:20" s="74" customFormat="1" x14ac:dyDescent="0.2">
      <c r="C205" s="74">
        <v>30</v>
      </c>
      <c r="D205" s="74">
        <v>10.5</v>
      </c>
      <c r="E205" s="114">
        <f t="shared" ref="E205" ca="1" si="135">INDIRECT("a_" &amp; i) * t^3 + INDIRECT("b_" &amp; i) * t^2 + INDIRECT("c_" &amp; i) * t^1 + INDIRECT("d_" &amp; i)</f>
        <v>4.5799031841759603E-2</v>
      </c>
      <c r="F205" s="117" t="s">
        <v>328</v>
      </c>
      <c r="R205" s="120">
        <f t="array" aca="1" ref="R205" ca="1">E205:E505</f>
        <v>4.5799031841759603E-2</v>
      </c>
      <c r="S205" s="121">
        <f t="shared" ca="1" si="95"/>
        <v>2.5462790979804507E-2</v>
      </c>
      <c r="T205" s="121">
        <f t="shared" ca="1" si="97"/>
        <v>1.7871988256201795E-3</v>
      </c>
    </row>
    <row r="206" spans="2:20" s="74" customFormat="1" x14ac:dyDescent="0.2">
      <c r="C206" s="74">
        <v>30</v>
      </c>
      <c r="D206" s="74">
        <v>10.6</v>
      </c>
      <c r="E206" s="114">
        <f t="shared" ref="E206" ca="1" si="136">INDIRECT("a_" &amp; i) * t^3 + INDIRECT("b_" &amp; i) * t^2 + INDIRECT("c_" &amp; i) * t^1 + INDIRECT("d_" &amp; i)</f>
        <v>4.8362541651906961E-2</v>
      </c>
      <c r="F206" s="117" t="s">
        <v>328</v>
      </c>
      <c r="R206" s="120">
        <f t="array" aca="1" ref="R206" ca="1">E206:E506</f>
        <v>4.8362541651906961E-2</v>
      </c>
      <c r="S206" s="121">
        <f t="shared" ca="1" si="95"/>
        <v>2.5635098101473665E-2</v>
      </c>
      <c r="T206" s="121">
        <f t="shared" ca="1" si="97"/>
        <v>1.7230712166915801E-3</v>
      </c>
    </row>
    <row r="207" spans="2:20" s="74" customFormat="1" x14ac:dyDescent="0.2">
      <c r="C207" s="74">
        <v>30</v>
      </c>
      <c r="D207" s="74">
        <v>10.7</v>
      </c>
      <c r="E207" s="114">
        <f t="shared" ref="E207" ca="1" si="137">INDIRECT("a_" &amp; i) * t^3 + INDIRECT("b_" &amp; i) * t^2 + INDIRECT("c_" &amp; i) * t^1 + INDIRECT("d_" &amp; i)</f>
        <v>5.0942640898131726E-2</v>
      </c>
      <c r="F207" s="117" t="s">
        <v>328</v>
      </c>
      <c r="R207" s="120">
        <f t="array" aca="1" ref="R207" ca="1">E207:E507</f>
        <v>5.0942640898131726E-2</v>
      </c>
      <c r="S207" s="121">
        <f t="shared" ca="1" si="95"/>
        <v>2.5800992462247742E-2</v>
      </c>
      <c r="T207" s="121">
        <f t="shared" ca="1" si="97"/>
        <v>1.6589436077407763E-3</v>
      </c>
    </row>
    <row r="208" spans="2:20" s="74" customFormat="1" x14ac:dyDescent="0.2">
      <c r="C208" s="74">
        <v>30</v>
      </c>
      <c r="D208" s="74">
        <v>10.8</v>
      </c>
      <c r="E208" s="114">
        <f t="shared" ref="E208" ca="1" si="138">INDIRECT("a_" &amp; i) * t^3 + INDIRECT("b_" &amp; i) * t^2 + INDIRECT("c_" &amp; i) * t^1 + INDIRECT("d_" &amp; i)</f>
        <v>5.3538688304344724E-2</v>
      </c>
      <c r="F208" s="117" t="s">
        <v>328</v>
      </c>
      <c r="R208" s="120">
        <f t="array" aca="1" ref="R208" ca="1">E208:E508</f>
        <v>5.3538688304344724E-2</v>
      </c>
      <c r="S208" s="121">
        <f t="shared" ca="1" si="95"/>
        <v>2.5960474062129611E-2</v>
      </c>
      <c r="T208" s="121">
        <f t="shared" ca="1" si="97"/>
        <v>1.5948159988186711E-3</v>
      </c>
    </row>
    <row r="209" spans="3:20" s="74" customFormat="1" x14ac:dyDescent="0.2">
      <c r="C209" s="74">
        <v>30</v>
      </c>
      <c r="D209" s="74">
        <v>10.9</v>
      </c>
      <c r="E209" s="114">
        <f t="shared" ref="E209" ca="1" si="139">INDIRECT("a_" &amp; i) * t^3 + INDIRECT("b_" &amp; i) * t^2 + INDIRECT("c_" &amp; i) * t^1 + INDIRECT("d_" &amp; i)</f>
        <v>5.6150042594456447E-2</v>
      </c>
      <c r="F209" s="117" t="s">
        <v>328</v>
      </c>
      <c r="R209" s="120">
        <f t="array" aca="1" ref="R209" ca="1">E209:E509</f>
        <v>5.6150042594456447E-2</v>
      </c>
      <c r="S209" s="121">
        <f t="shared" ca="1" si="95"/>
        <v>2.611354290111732E-2</v>
      </c>
      <c r="T209" s="121">
        <f t="shared" ca="1" si="97"/>
        <v>1.5306883898770897E-3</v>
      </c>
    </row>
    <row r="210" spans="3:20" s="74" customFormat="1" x14ac:dyDescent="0.2">
      <c r="C210" s="74">
        <v>30</v>
      </c>
      <c r="D210" s="74">
        <v>11</v>
      </c>
      <c r="E210" s="114">
        <f t="shared" ref="E210" ca="1" si="140">INDIRECT("a_" &amp; i) * t^3 + INDIRECT("b_" &amp; i) * t^2 + INDIRECT("c_" &amp; i) * t^1 + INDIRECT("d_" &amp; i)</f>
        <v>5.8776062492377441E-2</v>
      </c>
      <c r="F210" s="117" t="s">
        <v>328</v>
      </c>
      <c r="R210" s="120">
        <f t="array" aca="1" ref="R210" ca="1">E210:E510</f>
        <v>5.8776062492377441E-2</v>
      </c>
      <c r="S210" s="121">
        <f t="shared" ca="1" si="95"/>
        <v>2.6260198979210041E-2</v>
      </c>
      <c r="T210" s="121">
        <f t="shared" ca="1" si="97"/>
        <v>1.4665607809272226E-3</v>
      </c>
    </row>
    <row r="211" spans="3:20" s="74" customFormat="1" x14ac:dyDescent="0.2">
      <c r="C211" s="74">
        <v>30</v>
      </c>
      <c r="D211" s="74">
        <v>11.1</v>
      </c>
      <c r="E211" s="114">
        <f t="shared" ref="E211" ca="1" si="141">INDIRECT("a_" &amp; i) * t^3 + INDIRECT("b_" &amp; i) * t^2 + INDIRECT("c_" &amp; i) * t^1 + INDIRECT("d_" &amp; i)</f>
        <v>6.1416106722018589E-2</v>
      </c>
      <c r="F211" s="117" t="s">
        <v>328</v>
      </c>
      <c r="R211" s="120">
        <f t="array" aca="1" ref="R211" ca="1">E211:E511</f>
        <v>6.1416106722018589E-2</v>
      </c>
      <c r="S211" s="121">
        <f t="shared" ca="1" si="95"/>
        <v>2.6400442296411569E-2</v>
      </c>
      <c r="T211" s="121">
        <f t="shared" ca="1" si="97"/>
        <v>1.4024331720152766E-3</v>
      </c>
    </row>
    <row r="212" spans="3:20" s="74" customFormat="1" x14ac:dyDescent="0.2">
      <c r="C212" s="74">
        <v>30</v>
      </c>
      <c r="D212" s="74">
        <v>11.2</v>
      </c>
      <c r="E212" s="114">
        <f t="shared" ref="E212" ca="1" si="142">INDIRECT("a_" &amp; i) * t^3 + INDIRECT("b_" &amp; i) * t^2 + INDIRECT("c_" &amp; i) * t^1 + INDIRECT("d_" &amp; i)</f>
        <v>6.4069534007290374E-2</v>
      </c>
      <c r="F212" s="117" t="s">
        <v>328</v>
      </c>
      <c r="R212" s="120">
        <f t="array" aca="1" ref="R212" ca="1">E212:E512</f>
        <v>6.4069534007290374E-2</v>
      </c>
      <c r="S212" s="121">
        <f t="shared" ca="1" si="95"/>
        <v>2.6534272852717946E-2</v>
      </c>
      <c r="T212" s="121">
        <f t="shared" ca="1" si="97"/>
        <v>1.3383055630637789E-3</v>
      </c>
    </row>
    <row r="213" spans="3:20" s="74" customFormat="1" x14ac:dyDescent="0.2">
      <c r="C213" s="74">
        <v>30</v>
      </c>
      <c r="D213" s="74">
        <v>11.3</v>
      </c>
      <c r="E213" s="114">
        <f t="shared" ref="E213" ca="1" si="143">INDIRECT("a_" &amp; i) * t^3 + INDIRECT("b_" &amp; i) * t^2 + INDIRECT("c_" &amp; i) * t^1 + INDIRECT("d_" &amp; i)</f>
        <v>6.6735703072103414E-2</v>
      </c>
      <c r="F213" s="117" t="s">
        <v>328</v>
      </c>
      <c r="R213" s="120">
        <f t="array" aca="1" ref="R213" ca="1">E213:E513</f>
        <v>6.6735703072103414E-2</v>
      </c>
      <c r="S213" s="121">
        <f t="shared" ca="1" si="95"/>
        <v>2.666169064813002E-2</v>
      </c>
      <c r="T213" s="121">
        <f t="shared" ca="1" si="97"/>
        <v>1.2741779541207239E-3</v>
      </c>
    </row>
    <row r="214" spans="3:20" s="74" customFormat="1" x14ac:dyDescent="0.2">
      <c r="C214" s="74">
        <v>30</v>
      </c>
      <c r="D214" s="74">
        <v>11.4</v>
      </c>
      <c r="E214" s="114">
        <f t="shared" ref="E214" ca="1" si="144">INDIRECT("a_" &amp; i) * t^3 + INDIRECT("b_" &amp; i) * t^2 + INDIRECT("c_" &amp; i) * t^1 + INDIRECT("d_" &amp; i)</f>
        <v>6.9413972640368415E-2</v>
      </c>
      <c r="F214" s="117" t="s">
        <v>328</v>
      </c>
      <c r="R214" s="120">
        <f t="array" aca="1" ref="R214" ca="1">E214:E514</f>
        <v>6.9413972640368415E-2</v>
      </c>
      <c r="S214" s="121">
        <f t="shared" ca="1" si="95"/>
        <v>2.6782695682650109E-2</v>
      </c>
      <c r="T214" s="121">
        <f t="shared" ca="1" si="97"/>
        <v>1.2100503452008903E-3</v>
      </c>
    </row>
    <row r="215" spans="3:20" s="74" customFormat="1" x14ac:dyDescent="0.2">
      <c r="C215" s="74">
        <v>30</v>
      </c>
      <c r="D215" s="74">
        <v>11.5</v>
      </c>
      <c r="E215" s="114">
        <f t="shared" ref="E215" ca="1" si="145">INDIRECT("a_" &amp; i) * t^3 + INDIRECT("b_" &amp; i) * t^2 + INDIRECT("c_" &amp; i) * t^1 + INDIRECT("d_" &amp; i)</f>
        <v>7.2103701435995926E-2</v>
      </c>
      <c r="F215" s="117" t="s">
        <v>328</v>
      </c>
      <c r="R215" s="120">
        <f t="array" aca="1" ref="R215" ca="1">E215:E515</f>
        <v>7.2103701435995926E-2</v>
      </c>
      <c r="S215" s="121">
        <f t="shared" ca="1" si="95"/>
        <v>2.6897287956275204E-2</v>
      </c>
      <c r="T215" s="121">
        <f t="shared" ca="1" si="97"/>
        <v>1.1459227362509538E-3</v>
      </c>
    </row>
    <row r="216" spans="3:20" s="74" customFormat="1" x14ac:dyDescent="0.2">
      <c r="C216" s="74">
        <v>30</v>
      </c>
      <c r="D216" s="74">
        <v>11.6</v>
      </c>
      <c r="E216" s="114">
        <f t="shared" ref="E216" ca="1" si="146">INDIRECT("a_" &amp; i) * t^3 + INDIRECT("b_" &amp; i) * t^2 + INDIRECT("c_" &amp; i) * t^1 + INDIRECT("d_" &amp; i)</f>
        <v>7.480424818289666E-2</v>
      </c>
      <c r="F216" s="117" t="s">
        <v>328</v>
      </c>
      <c r="R216" s="120">
        <f t="array" aca="1" ref="R216" ca="1">E216:E516</f>
        <v>7.480424818289666E-2</v>
      </c>
      <c r="S216" s="121">
        <f t="shared" ca="1" si="95"/>
        <v>2.7005467469007435E-2</v>
      </c>
      <c r="T216" s="121">
        <f t="shared" ca="1" si="97"/>
        <v>1.0817951273223198E-3</v>
      </c>
    </row>
    <row r="217" spans="3:20" s="74" customFormat="1" x14ac:dyDescent="0.2">
      <c r="C217" s="74">
        <v>30</v>
      </c>
      <c r="D217" s="74">
        <v>11.7</v>
      </c>
      <c r="E217" s="114">
        <f t="shared" ref="E217" ca="1" si="147">INDIRECT("a_" &amp; i) * t^3 + INDIRECT("b_" &amp; i) * t^2 + INDIRECT("c_" &amp; i) * t^1 + INDIRECT("d_" &amp; i)</f>
        <v>7.7514971604981109E-2</v>
      </c>
      <c r="F217" s="117" t="s">
        <v>328</v>
      </c>
      <c r="R217" s="120">
        <f t="array" aca="1" ref="R217" ca="1">E217:E517</f>
        <v>7.7514971604981109E-2</v>
      </c>
      <c r="S217" s="121">
        <f t="shared" ca="1" si="95"/>
        <v>2.7107234220844587E-2</v>
      </c>
      <c r="T217" s="121">
        <f t="shared" ca="1" si="97"/>
        <v>1.0176675183715159E-3</v>
      </c>
    </row>
    <row r="218" spans="3:20" s="74" customFormat="1" x14ac:dyDescent="0.2">
      <c r="C218" s="74">
        <v>30</v>
      </c>
      <c r="D218" s="74">
        <v>11.8</v>
      </c>
      <c r="E218" s="114">
        <f t="shared" ref="E218" ca="1" si="148">INDIRECT("a_" &amp; i) * t^3 + INDIRECT("b_" &amp; i) * t^2 + INDIRECT("c_" &amp; i) * t^1 + INDIRECT("d_" &amp; i)</f>
        <v>8.0235230426160042E-2</v>
      </c>
      <c r="F218" s="117" t="s">
        <v>328</v>
      </c>
      <c r="R218" s="120">
        <f t="array" aca="1" ref="R218" ca="1">E218:E518</f>
        <v>8.0235230426160042E-2</v>
      </c>
      <c r="S218" s="121">
        <f t="shared" ca="1" si="95"/>
        <v>2.7202588211788951E-2</v>
      </c>
      <c r="T218" s="121">
        <f t="shared" ca="1" si="97"/>
        <v>9.5353990944362815E-4</v>
      </c>
    </row>
    <row r="219" spans="3:20" s="74" customFormat="1" x14ac:dyDescent="0.2">
      <c r="C219" s="74">
        <v>30</v>
      </c>
      <c r="D219" s="74">
        <v>11.9</v>
      </c>
      <c r="E219" s="114">
        <f t="shared" ref="E219" ca="1" si="149">INDIRECT("a_" &amp; i) * t^3 + INDIRECT("b_" &amp; i) * t^2 + INDIRECT("c_" &amp; i) * t^1 + INDIRECT("d_" &amp; i)</f>
        <v>8.2964383370344064E-2</v>
      </c>
      <c r="F219" s="117" t="s">
        <v>328</v>
      </c>
      <c r="R219" s="120">
        <f t="array" aca="1" ref="R219" ca="1">E219:E519</f>
        <v>8.2964383370344064E-2</v>
      </c>
      <c r="S219" s="121">
        <f t="shared" ca="1" si="95"/>
        <v>2.7291529441840309E-2</v>
      </c>
      <c r="T219" s="121">
        <f t="shared" ca="1" si="97"/>
        <v>8.8941230051358853E-4</v>
      </c>
    </row>
    <row r="220" spans="3:20" s="74" customFormat="1" x14ac:dyDescent="0.2">
      <c r="C220" s="74">
        <v>30</v>
      </c>
      <c r="D220" s="74">
        <v>12</v>
      </c>
      <c r="E220" s="114">
        <f t="shared" ref="E220" ca="1" si="150">INDIRECT("a_" &amp; i) * t^3 + INDIRECT("b_" &amp; i) * t^2 + INDIRECT("c_" &amp; i) * t^1 + INDIRECT("d_" &amp; i)</f>
        <v>8.570178916144372E-2</v>
      </c>
      <c r="F220" s="117" t="s">
        <v>328</v>
      </c>
      <c r="R220" s="120">
        <f t="array" aca="1" ref="R220" ca="1">E220:E520</f>
        <v>8.570178916144372E-2</v>
      </c>
      <c r="S220" s="121">
        <f t="shared" ca="1" si="95"/>
        <v>2.737405791099666E-2</v>
      </c>
      <c r="T220" s="121">
        <f t="shared" ca="1" si="97"/>
        <v>8.2528469156351329E-4</v>
      </c>
    </row>
    <row r="221" spans="3:20" s="74" customFormat="1" x14ac:dyDescent="0.2">
      <c r="C221" s="74">
        <v>30</v>
      </c>
      <c r="D221" s="74">
        <v>12.1</v>
      </c>
      <c r="E221" s="114">
        <f t="shared" ref="E221" ca="1" si="151">INDIRECT("a_" &amp; i) * t^3 + INDIRECT("b_" &amp; i) * t^2 + INDIRECT("c_" &amp; i) * t^1 + INDIRECT("d_" &amp; i)</f>
        <v>8.844680652336967E-2</v>
      </c>
      <c r="F221" s="117" t="s">
        <v>328</v>
      </c>
      <c r="R221" s="120">
        <f t="array" aca="1" ref="R221" ca="1">E221:E521</f>
        <v>8.844680652336967E-2</v>
      </c>
      <c r="S221" s="121">
        <f t="shared" ca="1" si="95"/>
        <v>2.7450173619259596E-2</v>
      </c>
      <c r="T221" s="121">
        <f t="shared" ca="1" si="97"/>
        <v>7.6115708262936281E-4</v>
      </c>
    </row>
    <row r="222" spans="3:20" s="74" customFormat="1" x14ac:dyDescent="0.2">
      <c r="C222" s="74">
        <v>30</v>
      </c>
      <c r="D222" s="74">
        <v>12.2</v>
      </c>
      <c r="E222" s="114">
        <f t="shared" ref="E222" ca="1" si="152">INDIRECT("a_" &amp; i) * t^3 + INDIRECT("b_" &amp; i) * t^2 + INDIRECT("c_" &amp; i) * t^1 + INDIRECT("d_" &amp; i)</f>
        <v>9.1198794180032572E-2</v>
      </c>
      <c r="F222" s="117" t="s">
        <v>328</v>
      </c>
      <c r="R222" s="120">
        <f t="array" aca="1" ref="R222" ca="1">E222:E522</f>
        <v>9.1198794180032572E-2</v>
      </c>
      <c r="S222" s="121">
        <f t="shared" ca="1" si="95"/>
        <v>2.7519876566629117E-2</v>
      </c>
      <c r="T222" s="121">
        <f t="shared" ca="1" si="97"/>
        <v>6.9702947369521234E-4</v>
      </c>
    </row>
    <row r="223" spans="3:20" s="74" customFormat="1" x14ac:dyDescent="0.2">
      <c r="C223" s="74">
        <v>30</v>
      </c>
      <c r="D223" s="74">
        <v>12.3</v>
      </c>
      <c r="E223" s="114">
        <f t="shared" ref="E223" ca="1" si="153">INDIRECT("a_" &amp; i) * t^3 + INDIRECT("b_" &amp; i) * t^2 + INDIRECT("c_" &amp; i) * t^1 + INDIRECT("d_" &amp; i)</f>
        <v>9.3957110855343251E-2</v>
      </c>
      <c r="F223" s="117" t="s">
        <v>328</v>
      </c>
      <c r="R223" s="120">
        <f t="array" aca="1" ref="R223" ca="1">E223:E523</f>
        <v>9.3957110855343251E-2</v>
      </c>
      <c r="S223" s="121">
        <f t="shared" ca="1" si="95"/>
        <v>2.7583166753106399E-2</v>
      </c>
      <c r="T223" s="121">
        <f t="shared" ca="1" si="97"/>
        <v>6.3290186477281201E-4</v>
      </c>
    </row>
    <row r="224" spans="3:20" s="74" customFormat="1" x14ac:dyDescent="0.2">
      <c r="C224" s="74">
        <v>30</v>
      </c>
      <c r="D224" s="74">
        <v>12.4</v>
      </c>
      <c r="E224" s="114">
        <f t="shared" ref="E224" ca="1" si="154">INDIRECT("a_" &amp; i) * t^3 + INDIRECT("b_" &amp; i) * t^2 + INDIRECT("c_" &amp; i) * t^1 + INDIRECT("d_" &amp; i)</f>
        <v>9.6721115273211866E-2</v>
      </c>
      <c r="F224" s="117" t="s">
        <v>328</v>
      </c>
      <c r="R224" s="120">
        <f t="array" aca="1" ref="R224" ca="1">E224:E524</f>
        <v>9.6721115273211866E-2</v>
      </c>
      <c r="S224" s="121">
        <f t="shared" ca="1" si="95"/>
        <v>2.7640044178686249E-2</v>
      </c>
      <c r="T224" s="121">
        <f t="shared" ca="1" si="97"/>
        <v>5.6877425579849661E-4</v>
      </c>
    </row>
    <row r="225" spans="3:20" s="74" customFormat="1" x14ac:dyDescent="0.2">
      <c r="C225" s="74">
        <v>30</v>
      </c>
      <c r="D225" s="74">
        <v>12.5</v>
      </c>
      <c r="E225" s="114">
        <f t="shared" ref="E225" ca="1" si="155">INDIRECT("a_" &amp; i) * t^3 + INDIRECT("b_" &amp; i) * t^2 + INDIRECT("c_" &amp; i) * t^1 + INDIRECT("d_" &amp; i)</f>
        <v>9.9490166157549353E-2</v>
      </c>
      <c r="F225" s="117" t="s">
        <v>328</v>
      </c>
      <c r="R225" s="120">
        <f t="array" aca="1" ref="R225" ca="1">E225:E525</f>
        <v>9.9490166157549353E-2</v>
      </c>
      <c r="S225" s="121">
        <f t="shared" ca="1" si="95"/>
        <v>2.769050884337497E-2</v>
      </c>
      <c r="T225" s="121">
        <f t="shared" ca="1" si="97"/>
        <v>5.0464664688720979E-4</v>
      </c>
    </row>
    <row r="226" spans="3:20" s="74" customFormat="1" x14ac:dyDescent="0.2">
      <c r="C226" s="74">
        <v>30</v>
      </c>
      <c r="D226" s="74">
        <v>12.6</v>
      </c>
      <c r="E226" s="114">
        <f t="shared" ref="E226" ca="1" si="156">INDIRECT("a_" &amp; i) * t^3 + INDIRECT("b_" &amp; i) * t^2 + INDIRECT("c_" &amp; i) * t^1 + INDIRECT("d_" &amp; i)</f>
        <v>0.10226362223226654</v>
      </c>
      <c r="F226" s="117" t="s">
        <v>328</v>
      </c>
      <c r="R226" s="120">
        <f t="array" aca="1" ref="R226" ca="1">E226:E526</f>
        <v>0.10226362223226654</v>
      </c>
      <c r="S226" s="121">
        <f t="shared" ca="1" si="95"/>
        <v>2.7734560747171941E-2</v>
      </c>
      <c r="T226" s="121">
        <f t="shared" ca="1" si="97"/>
        <v>4.4051903796971261E-4</v>
      </c>
    </row>
    <row r="227" spans="3:20" s="74" customFormat="1" x14ac:dyDescent="0.2">
      <c r="C227" s="74">
        <v>30</v>
      </c>
      <c r="D227" s="74">
        <v>12.7</v>
      </c>
      <c r="E227" s="114">
        <f t="shared" ref="E227" ca="1" si="157">INDIRECT("a_" &amp; i) * t^3 + INDIRECT("b_" &amp; i) * t^2 + INDIRECT("c_" &amp; i) * t^1 + INDIRECT("d_" &amp; i)</f>
        <v>0.10504084222127374</v>
      </c>
      <c r="F227" s="117" t="s">
        <v>328</v>
      </c>
      <c r="R227" s="120">
        <f t="array" aca="1" ref="R227" ca="1">E227:E527</f>
        <v>0.10504084222127374</v>
      </c>
      <c r="S227" s="121">
        <f t="shared" ca="1" si="95"/>
        <v>2.7772199890072166E-2</v>
      </c>
      <c r="T227" s="121">
        <f t="shared" ca="1" si="97"/>
        <v>3.7639142900225544E-4</v>
      </c>
    </row>
    <row r="228" spans="3:20" s="74" customFormat="1" x14ac:dyDescent="0.2">
      <c r="C228" s="74">
        <v>30</v>
      </c>
      <c r="D228" s="74">
        <v>12.8</v>
      </c>
      <c r="E228" s="114">
        <f t="shared" ref="E228" ca="1" si="158">INDIRECT("a_" &amp; i) * t^3 + INDIRECT("b_" &amp; i) * t^2 + INDIRECT("c_" &amp; i) * t^1 + INDIRECT("d_" &amp; i)</f>
        <v>0.10782118484848158</v>
      </c>
      <c r="F228" s="117" t="s">
        <v>328</v>
      </c>
      <c r="R228" s="120">
        <f t="array" aca="1" ref="R228" ca="1">E228:E528</f>
        <v>0.10782118484848158</v>
      </c>
      <c r="S228" s="121">
        <f t="shared" ca="1" si="95"/>
        <v>2.7803426272077929E-2</v>
      </c>
      <c r="T228" s="121">
        <f t="shared" ca="1" si="97"/>
        <v>3.1226382005762165E-4</v>
      </c>
    </row>
    <row r="229" spans="3:20" s="74" customFormat="1" x14ac:dyDescent="0.2">
      <c r="C229" s="74">
        <v>30</v>
      </c>
      <c r="D229" s="74">
        <v>12.9</v>
      </c>
      <c r="E229" s="114">
        <f t="shared" ref="E229" ca="1" si="159">INDIRECT("a_" &amp; i) * t^3 + INDIRECT("b_" &amp; i) * t^2 + INDIRECT("c_" &amp; i) * t^1 + INDIRECT("d_" &amp; i)</f>
        <v>0.11060400883780086</v>
      </c>
      <c r="F229" s="117" t="s">
        <v>328</v>
      </c>
      <c r="R229" s="120">
        <f t="array" aca="1" ref="R229" ca="1">E229:E529</f>
        <v>0.11060400883780086</v>
      </c>
      <c r="S229" s="121">
        <f t="shared" ca="1" si="95"/>
        <v>2.7828239893192927E-2</v>
      </c>
      <c r="T229" s="121">
        <f t="shared" ca="1" si="97"/>
        <v>2.4813621114998328E-4</v>
      </c>
    </row>
    <row r="230" spans="3:20" s="74" customFormat="1" x14ac:dyDescent="0.2">
      <c r="C230" s="74">
        <v>30</v>
      </c>
      <c r="D230" s="74">
        <v>13</v>
      </c>
      <c r="E230" s="114">
        <f t="shared" ref="E230" ca="1" si="160">INDIRECT("a_" &amp; i) * t^3 + INDIRECT("b_" &amp; i) * t^2 + INDIRECT("c_" &amp; i) * t^1 + INDIRECT("d_" &amp; i)</f>
        <v>0.11338867291314214</v>
      </c>
      <c r="F230" s="117" t="s">
        <v>328</v>
      </c>
      <c r="R230" s="120">
        <f t="array" aca="1" ref="R230" ca="1">E230:E530</f>
        <v>0.11338867291314214</v>
      </c>
      <c r="S230" s="121">
        <f t="shared" ref="S230:S293" ca="1" si="161">(R230-R229)/(D230-D229)</f>
        <v>2.7846640753412911E-2</v>
      </c>
      <c r="T230" s="121">
        <f t="shared" ca="1" si="97"/>
        <v>1.8400860219983865E-4</v>
      </c>
    </row>
    <row r="231" spans="3:20" s="74" customFormat="1" x14ac:dyDescent="0.2">
      <c r="C231" s="74">
        <v>30</v>
      </c>
      <c r="D231" s="74">
        <v>13.1</v>
      </c>
      <c r="E231" s="114">
        <f t="shared" ref="E231" ca="1" si="162">INDIRECT("a_" &amp; i) * t^3 + INDIRECT("b_" &amp; i) * t^2 + INDIRECT("c_" &amp; i) * t^1 + INDIRECT("d_" &amp; i)</f>
        <v>0.11617453579841602</v>
      </c>
      <c r="F231" s="117" t="s">
        <v>328</v>
      </c>
      <c r="R231" s="120">
        <f t="array" aca="1" ref="R231" ca="1">E231:E531</f>
        <v>0.11617453579841602</v>
      </c>
      <c r="S231" s="121">
        <f t="shared" ca="1" si="161"/>
        <v>2.7858628852738921E-2</v>
      </c>
      <c r="T231" s="121">
        <f t="shared" ref="T231:T294" ca="1" si="163">(S231-S230)/(D231-D230)</f>
        <v>1.1988099326010235E-4</v>
      </c>
    </row>
    <row r="232" spans="3:20" s="74" customFormat="1" x14ac:dyDescent="0.2">
      <c r="C232" s="74">
        <v>30</v>
      </c>
      <c r="D232" s="74">
        <v>13.2</v>
      </c>
      <c r="E232" s="114">
        <f t="shared" ref="E232" ca="1" si="164">INDIRECT("a_" &amp; i) * t^3 + INDIRECT("b_" &amp; i) * t^2 + INDIRECT("c_" &amp; i) * t^1 + INDIRECT("d_" &amp; i)</f>
        <v>0.11896095621753316</v>
      </c>
      <c r="F232" s="117" t="s">
        <v>328</v>
      </c>
      <c r="R232" s="120">
        <f t="array" aca="1" ref="R232" ca="1">E232:E532</f>
        <v>0.11896095621753316</v>
      </c>
      <c r="S232" s="121">
        <f t="shared" ca="1" si="161"/>
        <v>2.7864204191171516E-2</v>
      </c>
      <c r="T232" s="121">
        <f t="shared" ca="1" si="163"/>
        <v>5.5753384325951868E-5</v>
      </c>
    </row>
    <row r="233" spans="3:20" s="74" customFormat="1" x14ac:dyDescent="0.2">
      <c r="C233" s="74">
        <v>30</v>
      </c>
      <c r="D233" s="74">
        <v>13.3</v>
      </c>
      <c r="E233" s="114">
        <f t="shared" ref="E233" ca="1" si="165">INDIRECT("a_" &amp; i) * t^3 + INDIRECT("b_" &amp; i) * t^2 + INDIRECT("c_" &amp; i) * t^1 + INDIRECT("d_" &amp; i)</f>
        <v>0.12174729289440428</v>
      </c>
      <c r="F233" s="117" t="s">
        <v>328</v>
      </c>
      <c r="R233" s="120">
        <f t="array" aca="1" ref="R233" ca="1">E233:E533</f>
        <v>0.12174729289440428</v>
      </c>
      <c r="S233" s="121">
        <f t="shared" ca="1" si="161"/>
        <v>2.7863366768710755E-2</v>
      </c>
      <c r="T233" s="121">
        <f t="shared" ca="1" si="163"/>
        <v>-8.3742246076086637E-6</v>
      </c>
    </row>
    <row r="234" spans="3:20" s="74" customFormat="1" x14ac:dyDescent="0.2">
      <c r="C234" s="74">
        <v>30</v>
      </c>
      <c r="D234" s="74">
        <v>13.4</v>
      </c>
      <c r="E234" s="114">
        <f t="shared" ref="E234" ca="1" si="166">INDIRECT("a_" &amp; i) * t^3 + INDIRECT("b_" &amp; i) * t^2 + INDIRECT("c_" &amp; i) * t^1 + INDIRECT("d_" &amp; i)</f>
        <v>0.12453290455293969</v>
      </c>
      <c r="F234" s="117" t="s">
        <v>328</v>
      </c>
      <c r="R234" s="120">
        <f t="array" aca="1" ref="R234" ca="1">E234:E534</f>
        <v>0.12453290455293969</v>
      </c>
      <c r="S234" s="121">
        <f t="shared" ca="1" si="161"/>
        <v>2.7856116585354241E-2</v>
      </c>
      <c r="T234" s="121">
        <f t="shared" ca="1" si="163"/>
        <v>-7.2501833565143372E-5</v>
      </c>
    </row>
    <row r="235" spans="3:20" s="74" customFormat="1" x14ac:dyDescent="0.2">
      <c r="C235" s="74">
        <v>30</v>
      </c>
      <c r="D235" s="74">
        <v>13.5</v>
      </c>
      <c r="E235" s="114">
        <f t="shared" ref="E235" ca="1" si="167">INDIRECT("a_" &amp; i) * t^3 + INDIRECT("b_" &amp; i) * t^2 + INDIRECT("c_" &amp; i) * t^1 + INDIRECT("d_" &amp; i)</f>
        <v>0.12731714991705045</v>
      </c>
      <c r="F235" s="117" t="s">
        <v>328</v>
      </c>
      <c r="R235" s="120">
        <f t="array" aca="1" ref="R235" ca="1">E235:E535</f>
        <v>0.12731714991705045</v>
      </c>
      <c r="S235" s="121">
        <f t="shared" ca="1" si="161"/>
        <v>2.7842453641107701E-2</v>
      </c>
      <c r="T235" s="121">
        <f t="shared" ca="1" si="163"/>
        <v>-1.3662944246539737E-4</v>
      </c>
    </row>
    <row r="236" spans="3:20" s="74" customFormat="1" x14ac:dyDescent="0.2">
      <c r="C236" s="74">
        <v>30</v>
      </c>
      <c r="D236" s="74">
        <v>13.6</v>
      </c>
      <c r="E236" s="114">
        <f t="shared" ref="E236" ca="1" si="168">INDIRECT("a_" &amp; i) * t^3 + INDIRECT("b_" &amp; i) * t^2 + INDIRECT("c_" &amp; i) * t^1 + INDIRECT("d_" &amp; i)</f>
        <v>0.13009938771064694</v>
      </c>
      <c r="F236" s="117" t="s">
        <v>328</v>
      </c>
      <c r="R236" s="120">
        <f t="array" aca="1" ref="R236" ca="1">E236:E536</f>
        <v>0.13009938771064694</v>
      </c>
      <c r="S236" s="121">
        <f t="shared" ca="1" si="161"/>
        <v>2.7822377935964968E-2</v>
      </c>
      <c r="T236" s="121">
        <f t="shared" ca="1" si="163"/>
        <v>-2.0075705142733811E-4</v>
      </c>
    </row>
    <row r="237" spans="3:20" s="74" customFormat="1" x14ac:dyDescent="0.2">
      <c r="C237" s="74">
        <v>30</v>
      </c>
      <c r="D237" s="74">
        <v>13.7</v>
      </c>
      <c r="E237" s="114">
        <f t="shared" ref="E237" ca="1" si="169">INDIRECT("a_" &amp; i) * t^3 + INDIRECT("b_" &amp; i) * t^2 + INDIRECT("c_" &amp; i) * t^1 + INDIRECT("d_" &amp; i)</f>
        <v>0.13287897665763981</v>
      </c>
      <c r="F237" s="117" t="s">
        <v>328</v>
      </c>
      <c r="R237" s="120">
        <f t="array" aca="1" ref="R237" ca="1">E237:E537</f>
        <v>0.13287897665763981</v>
      </c>
      <c r="S237" s="121">
        <f t="shared" ca="1" si="161"/>
        <v>2.7795889469928822E-2</v>
      </c>
      <c r="T237" s="121">
        <f t="shared" ca="1" si="163"/>
        <v>-2.6488466036145389E-4</v>
      </c>
    </row>
    <row r="238" spans="3:20" s="74" customFormat="1" x14ac:dyDescent="0.2">
      <c r="C238" s="74">
        <v>30</v>
      </c>
      <c r="D238" s="74">
        <v>13.8</v>
      </c>
      <c r="E238" s="114">
        <f t="shared" ref="E238" ca="1" si="170">INDIRECT("a_" &amp; i) * t^3 + INDIRECT("b_" &amp; i) * t^2 + INDIRECT("c_" &amp; i) * t^1 + INDIRECT("d_" &amp; i)</f>
        <v>0.1356552754819399</v>
      </c>
      <c r="F238" s="117" t="s">
        <v>328</v>
      </c>
      <c r="R238" s="120">
        <f t="array" aca="1" ref="R238" ca="1">E238:E538</f>
        <v>0.1356552754819399</v>
      </c>
      <c r="S238" s="121">
        <f t="shared" ca="1" si="161"/>
        <v>2.7762988243000435E-2</v>
      </c>
      <c r="T238" s="121">
        <f t="shared" ca="1" si="163"/>
        <v>-3.2901226928387184E-4</v>
      </c>
    </row>
    <row r="239" spans="3:20" s="74" customFormat="1" x14ac:dyDescent="0.2">
      <c r="C239" s="74">
        <v>30</v>
      </c>
      <c r="D239" s="74">
        <v>13.9</v>
      </c>
      <c r="E239" s="114">
        <f t="shared" ref="E239" ca="1" si="171">INDIRECT("a_" &amp; i) * t^3 + INDIRECT("b_" &amp; i) * t^2 + INDIRECT("c_" &amp; i) * t^1 + INDIRECT("d_" &amp; i)</f>
        <v>0.13842764290745746</v>
      </c>
      <c r="F239" s="117" t="s">
        <v>328</v>
      </c>
      <c r="R239" s="120">
        <f t="array" aca="1" ref="R239" ca="1">E239:E539</f>
        <v>0.13842764290745746</v>
      </c>
      <c r="S239" s="121">
        <f t="shared" ca="1" si="161"/>
        <v>2.7723674255175731E-2</v>
      </c>
      <c r="T239" s="121">
        <f t="shared" ca="1" si="163"/>
        <v>-3.9313987824703275E-4</v>
      </c>
    </row>
    <row r="240" spans="3:20" s="74" customFormat="1" x14ac:dyDescent="0.2">
      <c r="C240" s="74">
        <v>30</v>
      </c>
      <c r="D240" s="74">
        <v>14</v>
      </c>
      <c r="E240" s="114">
        <f t="shared" ref="E240" ca="1" si="172">INDIRECT("a_" &amp; i) * t^3 + INDIRECT("b_" &amp; i) * t^2 + INDIRECT("c_" &amp; i) * t^1 + INDIRECT("d_" &amp; i)</f>
        <v>0.14119543765810333</v>
      </c>
      <c r="F240" s="117" t="s">
        <v>328</v>
      </c>
      <c r="R240" s="120">
        <f t="array" aca="1" ref="R240" ca="1">E240:E540</f>
        <v>0.14119543765810333</v>
      </c>
      <c r="S240" s="121">
        <f t="shared" ca="1" si="161"/>
        <v>2.7677947506458786E-2</v>
      </c>
      <c r="T240" s="121">
        <f t="shared" ca="1" si="163"/>
        <v>-4.5726748716945649E-4</v>
      </c>
    </row>
    <row r="241" spans="3:20" s="74" customFormat="1" x14ac:dyDescent="0.2">
      <c r="C241" s="74">
        <v>30</v>
      </c>
      <c r="D241" s="74">
        <v>14.1</v>
      </c>
      <c r="E241" s="114">
        <f t="shared" ref="E241" ca="1" si="173">INDIRECT("a_" &amp; i) * t^3 + INDIRECT("b_" &amp; i) * t^2 + INDIRECT("c_" &amp; i) * t^1 + INDIRECT("d_" &amp; i)</f>
        <v>0.14395801845778811</v>
      </c>
      <c r="F241" s="117" t="s">
        <v>328</v>
      </c>
      <c r="R241" s="120">
        <f t="array" aca="1" ref="R241" ca="1">E241:E541</f>
        <v>0.14395801845778811</v>
      </c>
      <c r="S241" s="121">
        <f t="shared" ca="1" si="161"/>
        <v>2.762580799684787E-2</v>
      </c>
      <c r="T241" s="121">
        <f t="shared" ca="1" si="163"/>
        <v>-5.2139509610915809E-4</v>
      </c>
    </row>
    <row r="242" spans="3:20" s="74" customFormat="1" x14ac:dyDescent="0.2">
      <c r="C242" s="74">
        <v>30</v>
      </c>
      <c r="D242" s="74">
        <v>14.2</v>
      </c>
      <c r="E242" s="114">
        <f t="shared" ref="E242" ca="1" si="174">INDIRECT("a_" &amp; i) * t^3 + INDIRECT("b_" &amp; i) * t^2 + INDIRECT("c_" &amp; i) * t^1 + INDIRECT("d_" &amp; i)</f>
        <v>0.14671474403042245</v>
      </c>
      <c r="F242" s="117" t="s">
        <v>328</v>
      </c>
      <c r="R242" s="120">
        <f t="array" aca="1" ref="R242" ca="1">E242:E542</f>
        <v>0.14671474403042245</v>
      </c>
      <c r="S242" s="121">
        <f t="shared" ca="1" si="161"/>
        <v>2.756725572634354E-2</v>
      </c>
      <c r="T242" s="121">
        <f t="shared" ca="1" si="163"/>
        <v>-5.8552270504330856E-4</v>
      </c>
    </row>
    <row r="243" spans="3:20" s="74" customFormat="1" x14ac:dyDescent="0.2">
      <c r="C243" s="74">
        <v>30</v>
      </c>
      <c r="D243" s="74">
        <v>14.3</v>
      </c>
      <c r="E243" s="114">
        <f t="shared" ref="E243" ca="1" si="175">INDIRECT("a_" &amp; i) * t^3 + INDIRECT("b_" &amp; i) * t^2 + INDIRECT("c_" &amp; i) * t^1 + INDIRECT("d_" &amp; i)</f>
        <v>0.14946497309991708</v>
      </c>
      <c r="F243" s="117" t="s">
        <v>328</v>
      </c>
      <c r="R243" s="120">
        <f t="array" aca="1" ref="R243" ca="1">E243:E543</f>
        <v>0.14946497309991708</v>
      </c>
      <c r="S243" s="121">
        <f t="shared" ca="1" si="161"/>
        <v>2.750229069494586E-2</v>
      </c>
      <c r="T243" s="121">
        <f t="shared" ca="1" si="163"/>
        <v>-6.4965031397678835E-4</v>
      </c>
    </row>
    <row r="244" spans="3:20" s="74" customFormat="1" x14ac:dyDescent="0.2">
      <c r="C244" s="74">
        <v>30</v>
      </c>
      <c r="D244" s="74">
        <v>14.4</v>
      </c>
      <c r="E244" s="114">
        <f t="shared" ref="E244" ca="1" si="176">INDIRECT("a_" &amp; i) * t^3 + INDIRECT("b_" &amp; i) * t^2 + INDIRECT("c_" &amp; i) * t^1 + INDIRECT("d_" &amp; i)</f>
        <v>0.15220806439018253</v>
      </c>
      <c r="F244" s="117" t="s">
        <v>328</v>
      </c>
      <c r="R244" s="120">
        <f t="array" aca="1" ref="R244" ca="1">E244:E544</f>
        <v>0.15220806439018253</v>
      </c>
      <c r="S244" s="121">
        <f t="shared" ca="1" si="161"/>
        <v>2.7430912902654633E-2</v>
      </c>
      <c r="T244" s="121">
        <f t="shared" ca="1" si="163"/>
        <v>-7.1377792291226871E-4</v>
      </c>
    </row>
    <row r="245" spans="3:20" s="74" customFormat="1" x14ac:dyDescent="0.2">
      <c r="C245" s="74">
        <v>30</v>
      </c>
      <c r="D245" s="74">
        <v>14.5</v>
      </c>
      <c r="E245" s="114">
        <f t="shared" ref="E245" ca="1" si="177">INDIRECT("a_" &amp; i) * t^3 + INDIRECT("b_" &amp; i) * t^2 + INDIRECT("c_" &amp; i) * t^1 + INDIRECT("d_" &amp; i)</f>
        <v>0.1549433766251293</v>
      </c>
      <c r="F245" s="117" t="s">
        <v>328</v>
      </c>
      <c r="R245" s="120">
        <f t="array" aca="1" ref="R245" ca="1">E245:E545</f>
        <v>0.1549433766251293</v>
      </c>
      <c r="S245" s="121">
        <f t="shared" ca="1" si="161"/>
        <v>2.7353122349467837E-2</v>
      </c>
      <c r="T245" s="121">
        <f t="shared" ca="1" si="163"/>
        <v>-7.7790553186796445E-4</v>
      </c>
    </row>
    <row r="246" spans="3:20" s="74" customFormat="1" x14ac:dyDescent="0.2">
      <c r="C246" s="74">
        <v>30</v>
      </c>
      <c r="D246" s="74">
        <v>14.6</v>
      </c>
      <c r="E246" s="114">
        <f t="shared" ref="E246" ca="1" si="178">INDIRECT("a_" &amp; i) * t^3 + INDIRECT("b_" &amp; i) * t^2 + INDIRECT("c_" &amp; i) * t^1 + INDIRECT("d_" &amp; i)</f>
        <v>0.15767026852866839</v>
      </c>
      <c r="F246" s="117" t="s">
        <v>328</v>
      </c>
      <c r="R246" s="120">
        <f t="array" aca="1" ref="R246" ca="1">E246:E546</f>
        <v>0.15767026852866839</v>
      </c>
      <c r="S246" s="121">
        <f t="shared" ca="1" si="161"/>
        <v>2.7268919035390957E-2</v>
      </c>
      <c r="T246" s="121">
        <f t="shared" ca="1" si="163"/>
        <v>-8.4203314076880835E-4</v>
      </c>
    </row>
    <row r="247" spans="3:20" s="74" customFormat="1" x14ac:dyDescent="0.2">
      <c r="C247" s="74">
        <v>30</v>
      </c>
      <c r="D247" s="74">
        <v>14.7</v>
      </c>
      <c r="E247" s="114">
        <f t="shared" ref="E247" ca="1" si="179">INDIRECT("a_" &amp; i) * t^3 + INDIRECT("b_" &amp; i) * t^2 + INDIRECT("c_" &amp; i) * t^1 + INDIRECT("d_" &amp; i)</f>
        <v>0.16038809882470989</v>
      </c>
      <c r="F247" s="117" t="s">
        <v>328</v>
      </c>
      <c r="R247" s="120">
        <f t="array" aca="1" ref="R247" ca="1">E247:E547</f>
        <v>0.16038809882470989</v>
      </c>
      <c r="S247" s="121">
        <f t="shared" ca="1" si="161"/>
        <v>2.717830296041511E-2</v>
      </c>
      <c r="T247" s="121">
        <f t="shared" ca="1" si="163"/>
        <v>-9.0616074975846997E-4</v>
      </c>
    </row>
    <row r="248" spans="3:20" s="74" customFormat="1" x14ac:dyDescent="0.2">
      <c r="C248" s="74">
        <v>30</v>
      </c>
      <c r="D248" s="74">
        <v>14.8</v>
      </c>
      <c r="E248" s="114">
        <f t="shared" ref="E248" ca="1" si="180">INDIRECT("a_" &amp; i) * t^3 + INDIRECT("b_" &amp; i) * t^2 + INDIRECT("c_" &amp; i) * t^1 + INDIRECT("d_" &amp; i)</f>
        <v>0.16309622623716497</v>
      </c>
      <c r="F248" s="117" t="s">
        <v>328</v>
      </c>
      <c r="R248" s="120">
        <f t="array" aca="1" ref="R248" ca="1">E248:E548</f>
        <v>0.16309622623716497</v>
      </c>
      <c r="S248" s="121">
        <f t="shared" ca="1" si="161"/>
        <v>2.7081274124550362E-2</v>
      </c>
      <c r="T248" s="121">
        <f t="shared" ca="1" si="163"/>
        <v>-9.7028835864746571E-4</v>
      </c>
    </row>
    <row r="249" spans="3:20" s="74" customFormat="1" x14ac:dyDescent="0.2">
      <c r="C249" s="74">
        <v>30</v>
      </c>
      <c r="D249" s="74">
        <v>14.9</v>
      </c>
      <c r="E249" s="114">
        <f t="shared" ref="E249" ca="1" si="181">INDIRECT("a_" &amp; i) * t^3 + INDIRECT("b_" &amp; i) * t^2 + INDIRECT("c_" &amp; i) * t^1 + INDIRECT("d_" &amp; i)</f>
        <v>0.16579400948994405</v>
      </c>
      <c r="F249" s="117" t="s">
        <v>328</v>
      </c>
      <c r="R249" s="120">
        <f t="array" aca="1" ref="R249" ca="1">E249:E549</f>
        <v>0.16579400948994405</v>
      </c>
      <c r="S249" s="121">
        <f t="shared" ca="1" si="161"/>
        <v>2.6977832527790943E-2</v>
      </c>
      <c r="T249" s="121">
        <f t="shared" ca="1" si="163"/>
        <v>-1.0344159675941928E-3</v>
      </c>
    </row>
    <row r="250" spans="3:20" s="74" customFormat="1" x14ac:dyDescent="0.2">
      <c r="C250" s="74">
        <v>30</v>
      </c>
      <c r="D250" s="74">
        <v>15</v>
      </c>
      <c r="E250" s="114">
        <f t="shared" ref="E250" ca="1" si="182">INDIRECT("a_" &amp; i) * t^3 + INDIRECT("b_" &amp; i) * t^2 + INDIRECT("c_" &amp; i) * t^1 + INDIRECT("d_" &amp; i)</f>
        <v>0.16848080730695741</v>
      </c>
      <c r="F250" s="117" t="s">
        <v>328</v>
      </c>
      <c r="R250" s="120">
        <f t="array" aca="1" ref="R250" ca="1">E250:E550</f>
        <v>0.16848080730695741</v>
      </c>
      <c r="S250" s="121">
        <f t="shared" ca="1" si="161"/>
        <v>2.6867978170133741E-2</v>
      </c>
      <c r="T250" s="121">
        <f t="shared" ca="1" si="163"/>
        <v>-1.0985435765720236E-3</v>
      </c>
    </row>
    <row r="251" spans="3:20" s="74" customFormat="1" x14ac:dyDescent="0.2">
      <c r="C251" s="74">
        <v>30</v>
      </c>
      <c r="D251" s="74">
        <v>15.1</v>
      </c>
      <c r="E251" s="114">
        <f t="shared" ref="E251" ca="1" si="183">INDIRECT("a_" &amp; i) * t^3 + INDIRECT("b_" &amp; i) * t^2 + INDIRECT("c_" &amp; i) * t^1 + INDIRECT("d_" &amp; i)</f>
        <v>0.17115597841211627</v>
      </c>
      <c r="F251" s="117" t="s">
        <v>328</v>
      </c>
      <c r="R251" s="120">
        <f t="array" aca="1" ref="R251" ca="1">E251:E551</f>
        <v>0.17115597841211627</v>
      </c>
      <c r="S251" s="121">
        <f t="shared" ca="1" si="161"/>
        <v>2.6751711051588672E-2</v>
      </c>
      <c r="T251" s="121">
        <f t="shared" ca="1" si="163"/>
        <v>-1.1626711854506977E-3</v>
      </c>
    </row>
    <row r="252" spans="3:20" s="74" customFormat="1" x14ac:dyDescent="0.2">
      <c r="C252" s="74">
        <v>30</v>
      </c>
      <c r="D252" s="74">
        <v>15.2</v>
      </c>
      <c r="E252" s="114">
        <f t="shared" ref="E252" ca="1" si="184">INDIRECT("a_" &amp; i) * t^3 + INDIRECT("b_" &amp; i) * t^2 + INDIRECT("c_" &amp; i) * t^1 + INDIRECT("d_" &amp; i)</f>
        <v>0.17381888152933095</v>
      </c>
      <c r="F252" s="117" t="s">
        <v>328</v>
      </c>
      <c r="R252" s="120">
        <f t="array" aca="1" ref="R252" ca="1">E252:E552</f>
        <v>0.17381888152933095</v>
      </c>
      <c r="S252" s="121">
        <f t="shared" ca="1" si="161"/>
        <v>2.662903117214686E-2</v>
      </c>
      <c r="T252" s="121">
        <f t="shared" ca="1" si="163"/>
        <v>-1.2267987944181201E-3</v>
      </c>
    </row>
    <row r="253" spans="3:20" s="74" customFormat="1" x14ac:dyDescent="0.2">
      <c r="C253" s="74">
        <v>30</v>
      </c>
      <c r="D253" s="74">
        <v>15.3</v>
      </c>
      <c r="E253" s="114">
        <f t="shared" ref="E253" ca="1" si="185">INDIRECT("a_" &amp; i) * t^3 + INDIRECT("b_" &amp; i) * t^2 + INDIRECT("c_" &amp; i) * t^1 + INDIRECT("d_" &amp; i)</f>
        <v>0.17646887538251216</v>
      </c>
      <c r="F253" s="117" t="s">
        <v>328</v>
      </c>
      <c r="R253" s="120">
        <f t="array" aca="1" ref="R253" ca="1">E253:E553</f>
        <v>0.17646887538251216</v>
      </c>
      <c r="S253" s="121">
        <f t="shared" ca="1" si="161"/>
        <v>2.6499938531811717E-2</v>
      </c>
      <c r="T253" s="121">
        <f t="shared" ca="1" si="163"/>
        <v>-1.290926403351415E-3</v>
      </c>
    </row>
    <row r="254" spans="3:20" s="74" customFormat="1" x14ac:dyDescent="0.2">
      <c r="C254" s="74">
        <v>30</v>
      </c>
      <c r="D254" s="74">
        <v>15.4</v>
      </c>
      <c r="E254" s="114">
        <f t="shared" ref="E254" ca="1" si="186">INDIRECT("a_" &amp; i) * t^3 + INDIRECT("b_" &amp; i) * t^2 + INDIRECT("c_" &amp; i) * t^1 + INDIRECT("d_" &amp; i)</f>
        <v>0.17910531869557028</v>
      </c>
      <c r="F254" s="117" t="s">
        <v>328</v>
      </c>
      <c r="R254" s="120">
        <f t="array" aca="1" ref="R254" ca="1">E254:E554</f>
        <v>0.17910531869557028</v>
      </c>
      <c r="S254" s="121">
        <f t="shared" ca="1" si="161"/>
        <v>2.6364433130581327E-2</v>
      </c>
      <c r="T254" s="121">
        <f t="shared" ca="1" si="163"/>
        <v>-1.3550540123039071E-3</v>
      </c>
    </row>
    <row r="255" spans="3:20" s="74" customFormat="1" x14ac:dyDescent="0.2">
      <c r="C255" s="74">
        <v>30</v>
      </c>
      <c r="D255" s="74">
        <v>15.5</v>
      </c>
      <c r="E255" s="114">
        <f t="shared" ref="E255" ca="1" si="187">INDIRECT("a_" &amp; i) * t^3 + INDIRECT("b_" &amp; i) * t^2 + INDIRECT("c_" &amp; i) * t^1 + INDIRECT("d_" &amp; i)</f>
        <v>0.18172757019241637</v>
      </c>
      <c r="F255" s="117" t="s">
        <v>328</v>
      </c>
      <c r="R255" s="120">
        <f t="array" aca="1" ref="R255" ca="1">E255:E555</f>
        <v>0.18172757019241637</v>
      </c>
      <c r="S255" s="121">
        <f t="shared" ca="1" si="161"/>
        <v>2.6222514968460935E-2</v>
      </c>
      <c r="T255" s="121">
        <f t="shared" ca="1" si="163"/>
        <v>-1.4191816212039182E-3</v>
      </c>
    </row>
    <row r="256" spans="3:20" s="74" customFormat="1" x14ac:dyDescent="0.2">
      <c r="C256" s="74">
        <v>30</v>
      </c>
      <c r="D256" s="74">
        <v>15.6</v>
      </c>
      <c r="E256" s="114">
        <f t="shared" ref="E256" ca="1" si="188">INDIRECT("a_" &amp; i) * t^3 + INDIRECT("b_" &amp; i) * t^2 + INDIRECT("c_" &amp; i) * t^1 + INDIRECT("d_" &amp; i)</f>
        <v>0.18433498859696068</v>
      </c>
      <c r="F256" s="117" t="s">
        <v>328</v>
      </c>
      <c r="R256" s="120">
        <f t="array" aca="1" ref="R256" ca="1">E256:E556</f>
        <v>0.18433498859696068</v>
      </c>
      <c r="S256" s="121">
        <f t="shared" ca="1" si="161"/>
        <v>2.6074184045443243E-2</v>
      </c>
      <c r="T256" s="121">
        <f t="shared" ca="1" si="163"/>
        <v>-1.4833092301769265E-3</v>
      </c>
    </row>
    <row r="257" spans="3:20" s="74" customFormat="1" x14ac:dyDescent="0.2">
      <c r="C257" s="74">
        <v>30</v>
      </c>
      <c r="D257" s="74">
        <v>15.7</v>
      </c>
      <c r="E257" s="114">
        <f t="shared" ref="E257" ca="1" si="189">INDIRECT("a_" &amp; i) * t^3 + INDIRECT("b_" &amp; i) * t^2 + INDIRECT("c_" &amp; i) * t^1 + INDIRECT("d_" &amp; i)</f>
        <v>0.18692693263311422</v>
      </c>
      <c r="F257" s="117" t="s">
        <v>328</v>
      </c>
      <c r="R257" s="120">
        <f t="array" aca="1" ref="R257" ca="1">E257:E557</f>
        <v>0.18692693263311422</v>
      </c>
      <c r="S257" s="121">
        <f t="shared" ca="1" si="161"/>
        <v>2.5919440361535467E-2</v>
      </c>
      <c r="T257" s="121">
        <f t="shared" ca="1" si="163"/>
        <v>-1.5474368390777703E-3</v>
      </c>
    </row>
    <row r="258" spans="3:20" s="74" customFormat="1" x14ac:dyDescent="0.2">
      <c r="C258" s="74">
        <v>30</v>
      </c>
      <c r="D258" s="74">
        <v>15.8</v>
      </c>
      <c r="E258" s="114">
        <f t="shared" ref="E258" ca="1" si="190">INDIRECT("a_" &amp; i) * t^3 + INDIRECT("b_" &amp; i) * t^2 + INDIRECT("c_" &amp; i) * t^1 + INDIRECT("d_" &amp; i)</f>
        <v>0.18950276102478725</v>
      </c>
      <c r="F258" s="117" t="s">
        <v>328</v>
      </c>
      <c r="R258" s="120">
        <f t="array" aca="1" ref="R258" ca="1">E258:E558</f>
        <v>0.18950276102478725</v>
      </c>
      <c r="S258" s="121">
        <f t="shared" ca="1" si="161"/>
        <v>2.5758283916729928E-2</v>
      </c>
      <c r="T258" s="121">
        <f t="shared" ca="1" si="163"/>
        <v>-1.6115644480553643E-3</v>
      </c>
    </row>
    <row r="259" spans="3:20" s="74" customFormat="1" x14ac:dyDescent="0.2">
      <c r="C259" s="74">
        <v>30</v>
      </c>
      <c r="D259" s="74">
        <v>15.9</v>
      </c>
      <c r="E259" s="114">
        <f t="shared" ref="E259" ca="1" si="191">INDIRECT("a_" &amp; i) * t^3 + INDIRECT("b_" &amp; i) * t^2 + INDIRECT("c_" &amp; i) * t^1 + INDIRECT("d_" &amp; i)</f>
        <v>0.19206183249589076</v>
      </c>
      <c r="F259" s="117" t="s">
        <v>328</v>
      </c>
      <c r="R259" s="120">
        <f t="array" aca="1" ref="R259" ca="1">E259:E559</f>
        <v>0.19206183249589076</v>
      </c>
      <c r="S259" s="121">
        <f t="shared" ca="1" si="161"/>
        <v>2.5590714711035224E-2</v>
      </c>
      <c r="T259" s="121">
        <f t="shared" ca="1" si="163"/>
        <v>-1.6756920569470427E-3</v>
      </c>
    </row>
    <row r="260" spans="3:20" s="74" customFormat="1" x14ac:dyDescent="0.2">
      <c r="C260" s="74">
        <v>30</v>
      </c>
      <c r="D260" s="74">
        <v>16</v>
      </c>
      <c r="E260" s="114">
        <f t="shared" ref="E260" ca="1" si="192">INDIRECT("a_" &amp; i) * t^3 + INDIRECT("b_" &amp; i) * t^2 + INDIRECT("c_" &amp; i) * t^1 + INDIRECT("d_" &amp; i)</f>
        <v>0.19460350577033492</v>
      </c>
      <c r="F260" s="117" t="s">
        <v>328</v>
      </c>
      <c r="R260" s="120">
        <f t="array" aca="1" ref="R260" ca="1">E260:E560</f>
        <v>0.19460350577033492</v>
      </c>
      <c r="S260" s="121">
        <f t="shared" ca="1" si="161"/>
        <v>2.5416732744441652E-2</v>
      </c>
      <c r="T260" s="121">
        <f t="shared" ca="1" si="163"/>
        <v>-1.7398196659357331E-3</v>
      </c>
    </row>
    <row r="261" spans="3:20" s="74" customFormat="1" x14ac:dyDescent="0.2">
      <c r="C261" s="74">
        <v>30</v>
      </c>
      <c r="D261" s="74">
        <v>16.100000000000001</v>
      </c>
      <c r="E261" s="114">
        <f t="shared" ref="E261" ca="1" si="193">INDIRECT("a_" &amp; i) * t^3 + INDIRECT("b_" &amp; i) * t^2 + INDIRECT("c_" &amp; i) * t^1 + INDIRECT("d_" &amp; i)</f>
        <v>0.19712713957203076</v>
      </c>
      <c r="F261" s="117" t="s">
        <v>328</v>
      </c>
      <c r="R261" s="120">
        <f t="array" aca="1" ref="R261" ca="1">E261:E561</f>
        <v>0.19712713957203076</v>
      </c>
      <c r="S261" s="121">
        <f t="shared" ca="1" si="161"/>
        <v>2.5236338016958102E-2</v>
      </c>
      <c r="T261" s="121">
        <f t="shared" ca="1" si="163"/>
        <v>-1.8039472748354692E-3</v>
      </c>
    </row>
    <row r="262" spans="3:20" s="74" customFormat="1" x14ac:dyDescent="0.2">
      <c r="C262" s="74">
        <v>30</v>
      </c>
      <c r="D262" s="74">
        <v>16.2</v>
      </c>
      <c r="E262" s="114">
        <f t="shared" ref="E262" ca="1" si="194">INDIRECT("a_" &amp; i) * t^3 + INDIRECT("b_" &amp; i) * t^2 + INDIRECT("c_" &amp; i) * t^1 + INDIRECT("d_" &amp; i)</f>
        <v>0.19963209262488879</v>
      </c>
      <c r="F262" s="117" t="s">
        <v>328</v>
      </c>
      <c r="R262" s="120">
        <f t="array" aca="1" ref="R262" ca="1">E262:E562</f>
        <v>0.19963209262488879</v>
      </c>
      <c r="S262" s="121">
        <f t="shared" ca="1" si="161"/>
        <v>2.5049530528580811E-2</v>
      </c>
      <c r="T262" s="121">
        <f t="shared" ca="1" si="163"/>
        <v>-1.8680748837729463E-3</v>
      </c>
    </row>
    <row r="263" spans="3:20" s="74" customFormat="1" x14ac:dyDescent="0.2">
      <c r="C263" s="74">
        <v>30</v>
      </c>
      <c r="D263" s="74">
        <v>16.3</v>
      </c>
      <c r="E263" s="114">
        <f t="shared" ref="E263" ca="1" si="195">INDIRECT("a_" &amp; i) * t^3 + INDIRECT("b_" &amp; i) * t^2 + INDIRECT("c_" &amp; i) * t^1 + INDIRECT("d_" &amp; i)</f>
        <v>0.20211772365281933</v>
      </c>
      <c r="F263" s="117" t="s">
        <v>328</v>
      </c>
      <c r="R263" s="120">
        <f t="array" aca="1" ref="R263" ca="1">E263:E563</f>
        <v>0.20211772365281933</v>
      </c>
      <c r="S263" s="121">
        <f t="shared" ca="1" si="161"/>
        <v>2.4856310279304995E-2</v>
      </c>
      <c r="T263" s="121">
        <f t="shared" ca="1" si="163"/>
        <v>-1.932202492758134E-3</v>
      </c>
    </row>
    <row r="264" spans="3:20" s="74" customFormat="1" x14ac:dyDescent="0.2">
      <c r="C264" s="74">
        <v>30</v>
      </c>
      <c r="D264" s="74">
        <v>16.399999999999999</v>
      </c>
      <c r="E264" s="114">
        <f t="shared" ref="E264" ca="1" si="196">INDIRECT("a_" &amp; i) * t^3 + INDIRECT("b_" &amp; i) * t^2 + INDIRECT("c_" &amp; i) * t^1 + INDIRECT("d_" &amp; i)</f>
        <v>0.2045833913797338</v>
      </c>
      <c r="F264" s="117" t="s">
        <v>328</v>
      </c>
      <c r="R264" s="120">
        <f t="array" aca="1" ref="R264" ca="1">E264:E564</f>
        <v>0.2045833913797338</v>
      </c>
      <c r="S264" s="121">
        <f t="shared" ca="1" si="161"/>
        <v>2.4656677269145302E-2</v>
      </c>
      <c r="T264" s="121">
        <f t="shared" ca="1" si="163"/>
        <v>-1.9963301015969792E-3</v>
      </c>
    </row>
    <row r="265" spans="3:20" s="74" customFormat="1" x14ac:dyDescent="0.2">
      <c r="C265" s="74">
        <v>30</v>
      </c>
      <c r="D265" s="74">
        <v>16.5</v>
      </c>
      <c r="E265" s="114">
        <f t="shared" ref="E265" ca="1" si="197">INDIRECT("a_" &amp; i) * t^3 + INDIRECT("b_" &amp; i) * t^2 + INDIRECT("c_" &amp; i) * t^1 + INDIRECT("d_" &amp; i)</f>
        <v>0.20702845452954199</v>
      </c>
      <c r="F265" s="117" t="s">
        <v>328</v>
      </c>
      <c r="R265" s="120">
        <f t="array" aca="1" ref="R265" ca="1">E265:E565</f>
        <v>0.20702845452954199</v>
      </c>
      <c r="S265" s="121">
        <f t="shared" ca="1" si="161"/>
        <v>2.4450631498081563E-2</v>
      </c>
      <c r="T265" s="121">
        <f t="shared" ca="1" si="163"/>
        <v>-2.0604577106373614E-3</v>
      </c>
    </row>
    <row r="266" spans="3:20" s="74" customFormat="1" x14ac:dyDescent="0.2">
      <c r="C266" s="74">
        <v>30</v>
      </c>
      <c r="D266" s="74">
        <v>16.600000000000001</v>
      </c>
      <c r="E266" s="114">
        <f t="shared" ref="E266" ca="1" si="198">INDIRECT("a_" &amp; i) * t^3 + INDIRECT("b_" &amp; i) * t^2 + INDIRECT("c_" &amp; i) * t^1 + INDIRECT("d_" &amp; i)</f>
        <v>0.209452271826155</v>
      </c>
      <c r="F266" s="117" t="s">
        <v>328</v>
      </c>
      <c r="R266" s="120">
        <f t="array" aca="1" ref="R266" ca="1">E266:E566</f>
        <v>0.209452271826155</v>
      </c>
      <c r="S266" s="121">
        <f t="shared" ca="1" si="161"/>
        <v>2.4238172966129724E-2</v>
      </c>
      <c r="T266" s="121">
        <f t="shared" ca="1" si="163"/>
        <v>-2.1245853195183588E-3</v>
      </c>
    </row>
    <row r="267" spans="3:20" s="74" customFormat="1" x14ac:dyDescent="0.2">
      <c r="C267" s="74">
        <v>30</v>
      </c>
      <c r="D267" s="74">
        <v>16.7</v>
      </c>
      <c r="E267" s="114">
        <f t="shared" ref="E267" ca="1" si="199">INDIRECT("a_" &amp; i) * t^3 + INDIRECT("b_" &amp; i) * t^2 + INDIRECT("c_" &amp; i) * t^1 + INDIRECT("d_" &amp; i)</f>
        <v>0.2118542019934832</v>
      </c>
      <c r="F267" s="117" t="s">
        <v>328</v>
      </c>
      <c r="R267" s="120">
        <f t="array" aca="1" ref="R267" ca="1">E267:E567</f>
        <v>0.2118542019934832</v>
      </c>
      <c r="S267" s="121">
        <f t="shared" ca="1" si="161"/>
        <v>2.4019301673282548E-2</v>
      </c>
      <c r="T267" s="121">
        <f t="shared" ca="1" si="163"/>
        <v>-2.188712928471807E-3</v>
      </c>
    </row>
    <row r="268" spans="3:20" s="74" customFormat="1" x14ac:dyDescent="0.2">
      <c r="C268" s="74">
        <v>30</v>
      </c>
      <c r="D268" s="74">
        <v>16.8</v>
      </c>
      <c r="E268" s="114">
        <f t="shared" ref="E268" ca="1" si="200">INDIRECT("a_" &amp; i) * t^3 + INDIRECT("b_" &amp; i) * t^2 + INDIRECT("c_" &amp; i) * t^1 + INDIRECT("d_" &amp; i)</f>
        <v>0.21423360375543726</v>
      </c>
      <c r="F268" s="117" t="s">
        <v>328</v>
      </c>
      <c r="R268" s="120">
        <f t="array" aca="1" ref="R268" ca="1">E268:E568</f>
        <v>0.21423360375543726</v>
      </c>
      <c r="S268" s="121">
        <f t="shared" ca="1" si="161"/>
        <v>2.379401761954025E-2</v>
      </c>
      <c r="T268" s="121">
        <f t="shared" ca="1" si="163"/>
        <v>-2.252840537422948E-3</v>
      </c>
    </row>
    <row r="269" spans="3:20" s="74" customFormat="1" x14ac:dyDescent="0.2">
      <c r="C269" s="74">
        <v>30</v>
      </c>
      <c r="D269" s="74">
        <v>16.899999999999999</v>
      </c>
      <c r="E269" s="114">
        <f t="shared" ref="E269" ca="1" si="201">INDIRECT("a_" &amp; i) * t^3 + INDIRECT("b_" &amp; i) * t^2 + INDIRECT("c_" &amp; i) * t^1 + INDIRECT("d_" &amp; i)</f>
        <v>0.216589835835928</v>
      </c>
      <c r="F269" s="117" t="s">
        <v>328</v>
      </c>
      <c r="R269" s="120">
        <f t="array" aca="1" ref="R269" ca="1">E269:E569</f>
        <v>0.216589835835928</v>
      </c>
      <c r="S269" s="121">
        <f t="shared" ca="1" si="161"/>
        <v>2.3562320804907892E-2</v>
      </c>
      <c r="T269" s="121">
        <f t="shared" ca="1" si="163"/>
        <v>-2.3169681463236303E-3</v>
      </c>
    </row>
    <row r="270" spans="3:20" s="74" customFormat="1" x14ac:dyDescent="0.2">
      <c r="C270" s="74">
        <v>30</v>
      </c>
      <c r="D270" s="74">
        <v>17</v>
      </c>
      <c r="E270" s="114">
        <f t="shared" ref="E270" ca="1" si="202">INDIRECT("a_" &amp; i) * t^3 + INDIRECT("b_" &amp; i) * t^2 + INDIRECT("c_" &amp; i) * t^1 + INDIRECT("d_" &amp; i)</f>
        <v>0.21892225695886619</v>
      </c>
      <c r="F270" s="117" t="s">
        <v>328</v>
      </c>
      <c r="R270" s="120">
        <f t="array" aca="1" ref="R270" ca="1">E270:E570</f>
        <v>0.21892225695886619</v>
      </c>
      <c r="S270" s="121">
        <f t="shared" ca="1" si="161"/>
        <v>2.3324211229381553E-2</v>
      </c>
      <c r="T270" s="121">
        <f t="shared" ca="1" si="163"/>
        <v>-2.3810957552633525E-3</v>
      </c>
    </row>
    <row r="271" spans="3:20" s="74" customFormat="1" x14ac:dyDescent="0.2">
      <c r="C271" s="74">
        <v>30</v>
      </c>
      <c r="D271" s="74">
        <v>17.100000000000001</v>
      </c>
      <c r="E271" s="114">
        <f t="shared" ref="E271" ca="1" si="203">INDIRECT("a_" &amp; i) * t^3 + INDIRECT("b_" &amp; i) * t^2 + INDIRECT("c_" &amp; i) * t^1 + INDIRECT("d_" &amp; i)</f>
        <v>0.22123022584816182</v>
      </c>
      <c r="F271" s="117" t="s">
        <v>328</v>
      </c>
      <c r="R271" s="120">
        <f t="array" aca="1" ref="R271" ca="1">E271:E571</f>
        <v>0.22123022584816182</v>
      </c>
      <c r="S271" s="121">
        <f t="shared" ca="1" si="161"/>
        <v>2.3079688892955978E-2</v>
      </c>
      <c r="T271" s="121">
        <f t="shared" ca="1" si="163"/>
        <v>-2.4452233642557192E-3</v>
      </c>
    </row>
    <row r="272" spans="3:20" s="74" customFormat="1" x14ac:dyDescent="0.2">
      <c r="C272" s="74">
        <v>30</v>
      </c>
      <c r="D272" s="74">
        <v>17.2</v>
      </c>
      <c r="E272" s="114">
        <f t="shared" ref="E272" ca="1" si="204">INDIRECT("a_" &amp; i) * t^3 + INDIRECT("b_" &amp; i) * t^2 + INDIRECT("c_" &amp; i) * t^1 + INDIRECT("d_" &amp; i)</f>
        <v>0.22351310122772633</v>
      </c>
      <c r="F272" s="117" t="s">
        <v>328</v>
      </c>
      <c r="R272" s="120">
        <f t="array" aca="1" ref="R272" ca="1">E272:E572</f>
        <v>0.22351310122772633</v>
      </c>
      <c r="S272" s="121">
        <f t="shared" ca="1" si="161"/>
        <v>2.2828753795645571E-2</v>
      </c>
      <c r="T272" s="121">
        <f t="shared" ca="1" si="163"/>
        <v>-2.5093509731041234E-3</v>
      </c>
    </row>
    <row r="273" spans="3:20" s="74" customFormat="1" x14ac:dyDescent="0.2">
      <c r="C273" s="74">
        <v>30</v>
      </c>
      <c r="D273" s="74">
        <v>17.3</v>
      </c>
      <c r="E273" s="114">
        <f t="shared" ref="E273" ca="1" si="205">INDIRECT("a_" &amp; i) * t^3 + INDIRECT("b_" &amp; i) * t^2 + INDIRECT("c_" &amp; i) * t^1 + INDIRECT("d_" &amp; i)</f>
        <v>0.2257702418214696</v>
      </c>
      <c r="F273" s="117" t="s">
        <v>328</v>
      </c>
      <c r="R273" s="120">
        <f t="array" aca="1" ref="R273" ca="1">E273:E573</f>
        <v>0.2257702418214696</v>
      </c>
      <c r="S273" s="121">
        <f t="shared" ca="1" si="161"/>
        <v>2.2571405937432357E-2</v>
      </c>
      <c r="T273" s="121">
        <f t="shared" ca="1" si="163"/>
        <v>-2.5734785821321018E-3</v>
      </c>
    </row>
    <row r="274" spans="3:20" s="74" customFormat="1" x14ac:dyDescent="0.2">
      <c r="C274" s="74">
        <v>30</v>
      </c>
      <c r="D274" s="74">
        <v>17.399999999999999</v>
      </c>
      <c r="E274" s="114">
        <f t="shared" ref="E274" ca="1" si="206">INDIRECT("a_" &amp; i) * t^3 + INDIRECT("b_" &amp; i) * t^2 + INDIRECT("c_" &amp; i) * t^1 + INDIRECT("d_" &amp; i)</f>
        <v>0.22800100635330273</v>
      </c>
      <c r="F274" s="117" t="s">
        <v>328</v>
      </c>
      <c r="R274" s="120">
        <f t="array" aca="1" ref="R274" ca="1">E274:E574</f>
        <v>0.22800100635330273</v>
      </c>
      <c r="S274" s="121">
        <f t="shared" ca="1" si="161"/>
        <v>2.2307645318331768E-2</v>
      </c>
      <c r="T274" s="121">
        <f t="shared" ca="1" si="163"/>
        <v>-2.6376061910059418E-3</v>
      </c>
    </row>
    <row r="275" spans="3:20" s="74" customFormat="1" x14ac:dyDescent="0.2">
      <c r="C275" s="74">
        <v>30</v>
      </c>
      <c r="D275" s="74">
        <v>17.5</v>
      </c>
      <c r="E275" s="114">
        <f t="shared" ref="E275" ca="1" si="207">INDIRECT("a_" &amp; i) * t^3 + INDIRECT("b_" &amp; i) * t^2 + INDIRECT("c_" &amp; i) * t^1 + INDIRECT("d_" &amp; i)</f>
        <v>0.23020475354713638</v>
      </c>
      <c r="F275" s="117" t="s">
        <v>328</v>
      </c>
      <c r="R275" s="120">
        <f t="array" aca="1" ref="R275" ca="1">E275:E575</f>
        <v>0.23020475354713638</v>
      </c>
      <c r="S275" s="121">
        <f t="shared" ca="1" si="161"/>
        <v>2.2037471938336183E-2</v>
      </c>
      <c r="T275" s="121">
        <f t="shared" ca="1" si="163"/>
        <v>-2.7017337999558177E-3</v>
      </c>
    </row>
    <row r="276" spans="3:20" s="74" customFormat="1" x14ac:dyDescent="0.2">
      <c r="C276" s="74">
        <v>30</v>
      </c>
      <c r="D276" s="74">
        <v>17.600000000000001</v>
      </c>
      <c r="E276" s="114">
        <f t="shared" ref="E276" ca="1" si="208">INDIRECT("a_" &amp; i) * t^3 + INDIRECT("b_" &amp; i) * t^2 + INDIRECT("c_" &amp; i) * t^1 + INDIRECT("d_" &amp; i)</f>
        <v>0.23238084212688065</v>
      </c>
      <c r="F276" s="117" t="s">
        <v>328</v>
      </c>
      <c r="R276" s="120">
        <f t="array" aca="1" ref="R276" ca="1">E276:E576</f>
        <v>0.23238084212688065</v>
      </c>
      <c r="S276" s="121">
        <f t="shared" ca="1" si="161"/>
        <v>2.1760885797442422E-2</v>
      </c>
      <c r="T276" s="121">
        <f t="shared" ca="1" si="163"/>
        <v>-2.7658614089375679E-3</v>
      </c>
    </row>
    <row r="277" spans="3:20" s="74" customFormat="1" x14ac:dyDescent="0.2">
      <c r="C277" s="74">
        <v>30</v>
      </c>
      <c r="D277" s="74">
        <v>17.7</v>
      </c>
      <c r="E277" s="114">
        <f t="shared" ref="E277" ca="1" si="209">INDIRECT("a_" &amp; i) * t^3 + INDIRECT("b_" &amp; i) * t^2 + INDIRECT("c_" &amp; i) * t^1 + INDIRECT("d_" &amp; i)</f>
        <v>0.23452863081644687</v>
      </c>
      <c r="F277" s="117" t="s">
        <v>328</v>
      </c>
      <c r="R277" s="120">
        <f t="array" aca="1" ref="R277" ca="1">E277:E577</f>
        <v>0.23452863081644687</v>
      </c>
      <c r="S277" s="121">
        <f t="shared" ca="1" si="161"/>
        <v>2.1477886895662671E-2</v>
      </c>
      <c r="T277" s="121">
        <f t="shared" ca="1" si="163"/>
        <v>-2.8299890177975718E-3</v>
      </c>
    </row>
    <row r="278" spans="3:20" s="74" customFormat="1" x14ac:dyDescent="0.2">
      <c r="C278" s="74">
        <v>30</v>
      </c>
      <c r="D278" s="74">
        <v>17.8</v>
      </c>
      <c r="E278" s="114">
        <f t="shared" ref="E278" ca="1" si="210">INDIRECT("a_" &amp; i) * t^3 + INDIRECT("b_" &amp; i) * t^2 + INDIRECT("c_" &amp; i) * t^1 + INDIRECT("d_" &amp; i)</f>
        <v>0.23664747833974537</v>
      </c>
      <c r="F278" s="117" t="s">
        <v>328</v>
      </c>
      <c r="R278" s="120">
        <f t="array" aca="1" ref="R278" ca="1">E278:E578</f>
        <v>0.23664747833974537</v>
      </c>
      <c r="S278" s="121">
        <f t="shared" ca="1" si="161"/>
        <v>2.1188475232984647E-2</v>
      </c>
      <c r="T278" s="121">
        <f t="shared" ca="1" si="163"/>
        <v>-2.8941166267801928E-3</v>
      </c>
    </row>
    <row r="279" spans="3:20" s="74" customFormat="1" x14ac:dyDescent="0.2">
      <c r="C279" s="74">
        <v>30</v>
      </c>
      <c r="D279" s="74">
        <v>17.899999999999999</v>
      </c>
      <c r="E279" s="114">
        <f t="shared" ref="E279" ca="1" si="211">INDIRECT("a_" &amp; i) * t^3 + INDIRECT("b_" &amp; i) * t^2 + INDIRECT("c_" &amp; i) * t^1 + INDIRECT("d_" &amp; i)</f>
        <v>0.23873674342068646</v>
      </c>
      <c r="F279" s="117" t="s">
        <v>328</v>
      </c>
      <c r="R279" s="120">
        <f t="array" aca="1" ref="R279" ca="1">E279:E579</f>
        <v>0.23873674342068646</v>
      </c>
      <c r="S279" s="121">
        <f t="shared" ca="1" si="161"/>
        <v>2.0892650809411384E-2</v>
      </c>
      <c r="T279" s="121">
        <f t="shared" ca="1" si="163"/>
        <v>-2.9582442357326964E-3</v>
      </c>
    </row>
    <row r="280" spans="3:20" s="74" customFormat="1" x14ac:dyDescent="0.2">
      <c r="C280" s="74">
        <v>30</v>
      </c>
      <c r="D280" s="74">
        <v>18</v>
      </c>
      <c r="E280" s="114">
        <f t="shared" ref="E280" ca="1" si="212">INDIRECT("a_" &amp; i) * t^3 + INDIRECT("b_" &amp; i) * t^2 + INDIRECT("c_" &amp; i) * t^1 + INDIRECT("d_" &amp; i)</f>
        <v>0.24079578478318125</v>
      </c>
      <c r="F280" s="117" t="s">
        <v>328</v>
      </c>
      <c r="R280" s="120">
        <f t="array" aca="1" ref="R280" ca="1">E280:E580</f>
        <v>0.24079578478318125</v>
      </c>
      <c r="S280" s="121">
        <f t="shared" ca="1" si="161"/>
        <v>2.0590413624947665E-2</v>
      </c>
      <c r="T280" s="121">
        <f t="shared" ca="1" si="163"/>
        <v>-3.0223718446371465E-3</v>
      </c>
    </row>
    <row r="281" spans="3:20" s="74" customFormat="1" x14ac:dyDescent="0.2">
      <c r="C281" s="74">
        <v>30</v>
      </c>
      <c r="D281" s="74">
        <v>18.100000000000001</v>
      </c>
      <c r="E281" s="114">
        <f t="shared" ref="E281" ca="1" si="213">INDIRECT("a_" &amp; i) * t^3 + INDIRECT("b_" &amp; i) * t^2 + INDIRECT("c_" &amp; i) * t^1 + INDIRECT("d_" &amp; i)</f>
        <v>0.24282396115114019</v>
      </c>
      <c r="F281" s="117" t="s">
        <v>328</v>
      </c>
      <c r="R281" s="120">
        <f t="array" aca="1" ref="R281" ca="1">E281:E581</f>
        <v>0.24282396115114019</v>
      </c>
      <c r="S281" s="121">
        <f t="shared" ca="1" si="161"/>
        <v>2.0281763679589049E-2</v>
      </c>
      <c r="T281" s="121">
        <f t="shared" ca="1" si="163"/>
        <v>-3.0864994535861104E-3</v>
      </c>
    </row>
    <row r="282" spans="3:20" s="74" customFormat="1" x14ac:dyDescent="0.2">
      <c r="C282" s="74">
        <v>30</v>
      </c>
      <c r="D282" s="74">
        <v>18.2</v>
      </c>
      <c r="E282" s="114">
        <f t="shared" ref="E282" ca="1" si="214">INDIRECT("a_" &amp; i) * t^3 + INDIRECT("b_" &amp; i) * t^2 + INDIRECT("c_" &amp; i) * t^1 + INDIRECT("d_" &amp; i)</f>
        <v>0.2448206312484737</v>
      </c>
      <c r="F282" s="117" t="s">
        <v>328</v>
      </c>
      <c r="R282" s="120">
        <f t="array" aca="1" ref="R282" ca="1">E282:E582</f>
        <v>0.2448206312484737</v>
      </c>
      <c r="S282" s="121">
        <f t="shared" ca="1" si="161"/>
        <v>1.996670097333551E-2</v>
      </c>
      <c r="T282" s="121">
        <f t="shared" ca="1" si="163"/>
        <v>-3.1506270625354638E-3</v>
      </c>
    </row>
    <row r="283" spans="3:20" s="74" customFormat="1" x14ac:dyDescent="0.2">
      <c r="C283" s="74">
        <v>30</v>
      </c>
      <c r="D283" s="74">
        <v>18.3</v>
      </c>
      <c r="E283" s="114">
        <f t="shared" ref="E283" ca="1" si="215">INDIRECT("a_" &amp; i) * t^3 + INDIRECT("b_" &amp; i) * t^2 + INDIRECT("c_" &amp; i) * t^1 + INDIRECT("d_" &amp; i)</f>
        <v>0.24678515379909299</v>
      </c>
      <c r="F283" s="117" t="s">
        <v>328</v>
      </c>
      <c r="R283" s="120">
        <f t="array" aca="1" ref="R283" ca="1">E283:E583</f>
        <v>0.24678515379909299</v>
      </c>
      <c r="S283" s="121">
        <f t="shared" ca="1" si="161"/>
        <v>1.9645225506192687E-2</v>
      </c>
      <c r="T283" s="121">
        <f t="shared" ca="1" si="163"/>
        <v>-3.2147546714281802E-3</v>
      </c>
    </row>
    <row r="284" spans="3:20" s="74" customFormat="1" x14ac:dyDescent="0.2">
      <c r="C284" s="74">
        <v>30</v>
      </c>
      <c r="D284" s="74">
        <v>18.399999999999999</v>
      </c>
      <c r="E284" s="114">
        <f t="shared" ref="E284" ca="1" si="216">INDIRECT("a_" &amp; i) * t^3 + INDIRECT("b_" &amp; i) * t^2 + INDIRECT("c_" &amp; i) * t^1 + INDIRECT("d_" &amp; i)</f>
        <v>0.24871688752690807</v>
      </c>
      <c r="F284" s="117" t="s">
        <v>328</v>
      </c>
      <c r="R284" s="120">
        <f t="array" aca="1" ref="R284" ca="1">E284:E584</f>
        <v>0.24871688752690807</v>
      </c>
      <c r="S284" s="121">
        <f t="shared" ca="1" si="161"/>
        <v>1.9317337278151183E-2</v>
      </c>
      <c r="T284" s="121">
        <f t="shared" ca="1" si="163"/>
        <v>-3.278882280415112E-3</v>
      </c>
    </row>
    <row r="285" spans="3:20" s="74" customFormat="1" x14ac:dyDescent="0.2">
      <c r="C285" s="74">
        <v>30</v>
      </c>
      <c r="D285" s="74">
        <v>18.5</v>
      </c>
      <c r="E285" s="114">
        <f t="shared" ref="E285" ca="1" si="217">INDIRECT("a_" &amp; i) * t^3 + INDIRECT("b_" &amp; i) * t^2 + INDIRECT("c_" &amp; i) * t^1 + INDIRECT("d_" &amp; i)</f>
        <v>0.25061519115582981</v>
      </c>
      <c r="F285" s="117" t="s">
        <v>328</v>
      </c>
      <c r="R285" s="120">
        <f t="array" aca="1" ref="R285" ca="1">E285:E585</f>
        <v>0.25061519115582981</v>
      </c>
      <c r="S285" s="121">
        <f t="shared" ca="1" si="161"/>
        <v>1.898303628921711E-2</v>
      </c>
      <c r="T285" s="121">
        <f t="shared" ca="1" si="163"/>
        <v>-3.3430098893406793E-3</v>
      </c>
    </row>
    <row r="286" spans="3:20" s="74" customFormat="1" x14ac:dyDescent="0.2">
      <c r="C286" s="74">
        <v>30</v>
      </c>
      <c r="D286" s="74">
        <v>18.600000000000001</v>
      </c>
      <c r="E286" s="114">
        <f t="shared" ref="E286" ca="1" si="218">INDIRECT("a_" &amp; i) * t^3 + INDIRECT("b_" &amp; i) * t^2 + INDIRECT("c_" &amp; i) * t^1 + INDIRECT("d_" &amp; i)</f>
        <v>0.25247942340976887</v>
      </c>
      <c r="F286" s="117" t="s">
        <v>328</v>
      </c>
      <c r="R286" s="120">
        <f t="array" aca="1" ref="R286" ca="1">E286:E586</f>
        <v>0.25247942340976887</v>
      </c>
      <c r="S286" s="121">
        <f t="shared" ca="1" si="161"/>
        <v>1.8642322539390313E-2</v>
      </c>
      <c r="T286" s="121">
        <f t="shared" ca="1" si="163"/>
        <v>-3.4071374982679245E-3</v>
      </c>
    </row>
    <row r="287" spans="3:20" s="74" customFormat="1" x14ac:dyDescent="0.2">
      <c r="C287" s="74">
        <v>30</v>
      </c>
      <c r="D287" s="74">
        <v>18.7</v>
      </c>
      <c r="E287" s="114">
        <f t="shared" ref="E287" ca="1" si="219">INDIRECT("a_" &amp; i) * t^3 + INDIRECT("b_" &amp; i) * t^2 + INDIRECT("c_" &amp; i) * t^1 + INDIRECT("d_" &amp; i)</f>
        <v>0.2543089430126359</v>
      </c>
      <c r="F287" s="117" t="s">
        <v>328</v>
      </c>
      <c r="R287" s="120">
        <f t="array" aca="1" ref="R287" ca="1">E287:E587</f>
        <v>0.2543089430126359</v>
      </c>
      <c r="S287" s="121">
        <f t="shared" ca="1" si="161"/>
        <v>1.8295196028670746E-2</v>
      </c>
      <c r="T287" s="121">
        <f t="shared" ca="1" si="163"/>
        <v>-3.4712651071957443E-3</v>
      </c>
    </row>
    <row r="288" spans="3:20" s="74" customFormat="1" x14ac:dyDescent="0.2">
      <c r="C288" s="74">
        <v>30</v>
      </c>
      <c r="D288" s="74">
        <v>18.8</v>
      </c>
      <c r="E288" s="114">
        <f t="shared" ref="E288" ca="1" si="220">INDIRECT("a_" &amp; i) * t^3 + INDIRECT("b_" &amp; i) * t^2 + INDIRECT("c_" &amp; i) * t^1 + INDIRECT("d_" &amp; i)</f>
        <v>0.25610310868834146</v>
      </c>
      <c r="F288" s="117" t="s">
        <v>328</v>
      </c>
      <c r="R288" s="120">
        <f t="array" aca="1" ref="R288" ca="1">E288:E588</f>
        <v>0.25610310868834146</v>
      </c>
      <c r="S288" s="121">
        <f t="shared" ca="1" si="161"/>
        <v>1.794165675705536E-2</v>
      </c>
      <c r="T288" s="121">
        <f t="shared" ca="1" si="163"/>
        <v>-3.5353927161538134E-3</v>
      </c>
    </row>
    <row r="289" spans="3:20" s="74" customFormat="1" x14ac:dyDescent="0.2">
      <c r="C289" s="74">
        <v>30</v>
      </c>
      <c r="D289" s="74">
        <v>18.899999999999999</v>
      </c>
      <c r="E289" s="114">
        <f t="shared" ref="E289" ca="1" si="221">INDIRECT("a_" &amp; i) * t^3 + INDIRECT("b_" &amp; i) * t^2 + INDIRECT("c_" &amp; i) * t^1 + INDIRECT("d_" &amp; i)</f>
        <v>0.25786127916079588</v>
      </c>
      <c r="F289" s="117" t="s">
        <v>328</v>
      </c>
      <c r="R289" s="120">
        <f t="array" aca="1" ref="R289" ca="1">E289:E589</f>
        <v>0.25786127916079588</v>
      </c>
      <c r="S289" s="121">
        <f t="shared" ca="1" si="161"/>
        <v>1.7581704724544497E-2</v>
      </c>
      <c r="T289" s="121">
        <f t="shared" ca="1" si="163"/>
        <v>-3.5995203251086992E-3</v>
      </c>
    </row>
    <row r="290" spans="3:20" s="74" customFormat="1" x14ac:dyDescent="0.2">
      <c r="C290" s="74">
        <v>30</v>
      </c>
      <c r="D290" s="74">
        <v>19</v>
      </c>
      <c r="E290" s="114">
        <f t="shared" ref="E290" ca="1" si="222">INDIRECT("a_" &amp; i) * t^3 + INDIRECT("b_" &amp; i) * t^2 + INDIRECT("c_" &amp; i) * t^1 + INDIRECT("d_" &amp; i)</f>
        <v>0.25958281315391069</v>
      </c>
      <c r="F290" s="117" t="s">
        <v>328</v>
      </c>
      <c r="R290" s="120">
        <f t="array" aca="1" ref="R290" ca="1">E290:E590</f>
        <v>0.25958281315391069</v>
      </c>
      <c r="S290" s="121">
        <f t="shared" ca="1" si="161"/>
        <v>1.7215339931147853E-2</v>
      </c>
      <c r="T290" s="121">
        <f t="shared" ca="1" si="163"/>
        <v>-3.6636479339663929E-3</v>
      </c>
    </row>
    <row r="291" spans="3:20" s="74" customFormat="1" x14ac:dyDescent="0.2">
      <c r="C291" s="74">
        <v>30</v>
      </c>
      <c r="D291" s="74">
        <v>19.100000000000001</v>
      </c>
      <c r="E291" s="114">
        <f t="shared" ref="E291" ca="1" si="223">INDIRECT("a_" &amp; i) * t^3 + INDIRECT("b_" &amp; i) * t^2 + INDIRECT("c_" &amp; i) * t^1 + INDIRECT("d_" &amp; i)</f>
        <v>0.26126706939159566</v>
      </c>
      <c r="F291" s="117" t="s">
        <v>328</v>
      </c>
      <c r="R291" s="120">
        <f t="array" aca="1" ref="R291" ca="1">E291:E591</f>
        <v>0.26126706939159566</v>
      </c>
      <c r="S291" s="121">
        <f t="shared" ca="1" si="161"/>
        <v>1.684256237684954E-2</v>
      </c>
      <c r="T291" s="121">
        <f t="shared" ca="1" si="163"/>
        <v>-3.7277755429830804E-3</v>
      </c>
    </row>
    <row r="292" spans="3:20" s="74" customFormat="1" x14ac:dyDescent="0.2">
      <c r="C292" s="74">
        <v>30</v>
      </c>
      <c r="D292" s="74">
        <v>19.2</v>
      </c>
      <c r="E292" s="114">
        <f t="shared" ref="E292" ca="1" si="224">INDIRECT("a_" &amp; i) * t^3 + INDIRECT("b_" &amp; i) * t^2 + INDIRECT("c_" &amp; i) * t^1 + INDIRECT("d_" &amp; i)</f>
        <v>0.26291340659776169</v>
      </c>
      <c r="F292" s="117" t="s">
        <v>328</v>
      </c>
      <c r="R292" s="120">
        <f t="array" aca="1" ref="R292" ca="1">E292:E592</f>
        <v>0.26291340659776169</v>
      </c>
      <c r="S292" s="121">
        <f t="shared" ca="1" si="161"/>
        <v>1.6463372061660615E-2</v>
      </c>
      <c r="T292" s="121">
        <f t="shared" ca="1" si="163"/>
        <v>-3.7919031518893311E-3</v>
      </c>
    </row>
    <row r="293" spans="3:20" s="74" customFormat="1" x14ac:dyDescent="0.2">
      <c r="C293" s="74">
        <v>30</v>
      </c>
      <c r="D293" s="74">
        <v>19.3</v>
      </c>
      <c r="E293" s="114">
        <f t="shared" ref="E293" ca="1" si="225">INDIRECT("a_" &amp; i) * t^3 + INDIRECT("b_" &amp; i) * t^2 + INDIRECT("c_" &amp; i) * t^1 + INDIRECT("d_" &amp; i)</f>
        <v>0.26452118349631953</v>
      </c>
      <c r="F293" s="117" t="s">
        <v>328</v>
      </c>
      <c r="R293" s="120">
        <f t="array" aca="1" ref="R293" ca="1">E293:E593</f>
        <v>0.26452118349631953</v>
      </c>
      <c r="S293" s="121">
        <f t="shared" ca="1" si="161"/>
        <v>1.6077768985578215E-2</v>
      </c>
      <c r="T293" s="121">
        <f t="shared" ca="1" si="163"/>
        <v>-3.8560307608239358E-3</v>
      </c>
    </row>
    <row r="294" spans="3:20" s="74" customFormat="1" x14ac:dyDescent="0.2">
      <c r="C294" s="74">
        <v>30</v>
      </c>
      <c r="D294" s="74">
        <v>19.399999999999999</v>
      </c>
      <c r="E294" s="114">
        <f t="shared" ref="E294" ca="1" si="226">INDIRECT("a_" &amp; i) * t^3 + INDIRECT("b_" &amp; i) * t^2 + INDIRECT("c_" &amp; i) * t^1 + INDIRECT("d_" &amp; i)</f>
        <v>0.26608975881117974</v>
      </c>
      <c r="F294" s="117" t="s">
        <v>328</v>
      </c>
      <c r="R294" s="120">
        <f t="array" aca="1" ref="R294" ca="1">E294:E594</f>
        <v>0.26608975881117974</v>
      </c>
      <c r="S294" s="121">
        <f t="shared" ref="S294:S357" ca="1" si="227">(R294-R293)/(D294-D293)</f>
        <v>1.5685753148602433E-2</v>
      </c>
      <c r="T294" s="121">
        <f t="shared" ca="1" si="163"/>
        <v>-3.9201583697579118E-3</v>
      </c>
    </row>
    <row r="295" spans="3:20" s="74" customFormat="1" x14ac:dyDescent="0.2">
      <c r="C295" s="74">
        <v>30</v>
      </c>
      <c r="D295" s="74">
        <v>19.5</v>
      </c>
      <c r="E295" s="114">
        <f t="shared" ref="E295" ca="1" si="228">INDIRECT("a_" &amp; i) * t^3 + INDIRECT("b_" &amp; i) * t^2 + INDIRECT("c_" &amp; i) * t^1 + INDIRECT("d_" &amp; i)</f>
        <v>0.26761849126625264</v>
      </c>
      <c r="F295" s="117" t="s">
        <v>328</v>
      </c>
      <c r="R295" s="120">
        <f t="array" aca="1" ref="R295" ca="1">E295:E595</f>
        <v>0.26761849126625264</v>
      </c>
      <c r="S295" s="121">
        <f t="shared" ca="1" si="227"/>
        <v>1.5287324550728792E-2</v>
      </c>
      <c r="T295" s="121">
        <f t="shared" ref="T295:T358" ca="1" si="229">(S295-S294)/(D295-D294)</f>
        <v>-3.9842859787363486E-3</v>
      </c>
    </row>
    <row r="296" spans="3:20" s="74" customFormat="1" x14ac:dyDescent="0.2">
      <c r="C296" s="74">
        <v>30</v>
      </c>
      <c r="D296" s="74">
        <v>19.600000000000001</v>
      </c>
      <c r="E296" s="114">
        <f t="shared" ref="E296" ca="1" si="230">INDIRECT("a_" &amp; i) * t^3 + INDIRECT("b_" &amp; i) * t^2 + INDIRECT("c_" &amp; i) * t^1 + INDIRECT("d_" &amp; i)</f>
        <v>0.26910673958544956</v>
      </c>
      <c r="F296" s="117" t="s">
        <v>328</v>
      </c>
      <c r="R296" s="120">
        <f t="array" aca="1" ref="R296" ca="1">E296:E596</f>
        <v>0.26910673958544956</v>
      </c>
      <c r="S296" s="121">
        <f t="shared" ca="1" si="227"/>
        <v>1.4882483191968953E-2</v>
      </c>
      <c r="T296" s="121">
        <f t="shared" ca="1" si="229"/>
        <v>-4.0484135875983335E-3</v>
      </c>
    </row>
    <row r="297" spans="3:20" s="74" customFormat="1" x14ac:dyDescent="0.2">
      <c r="C297" s="74">
        <v>30</v>
      </c>
      <c r="D297" s="74">
        <v>19.7</v>
      </c>
      <c r="E297" s="114">
        <f t="shared" ref="E297" ca="1" si="231">INDIRECT("a_" &amp; i) * t^3 + INDIRECT("b_" &amp; i) * t^2 + INDIRECT("c_" &amp; i) * t^1 + INDIRECT("d_" &amp; i)</f>
        <v>0.27055386249268026</v>
      </c>
      <c r="F297" s="117" t="s">
        <v>328</v>
      </c>
      <c r="R297" s="120">
        <f t="array" aca="1" ref="R297" ca="1">E297:E597</f>
        <v>0.27055386249268026</v>
      </c>
      <c r="S297" s="121">
        <f t="shared" ca="1" si="227"/>
        <v>1.4471229072307332E-2</v>
      </c>
      <c r="T297" s="121">
        <f t="shared" ca="1" si="229"/>
        <v>-4.1125411966162944E-3</v>
      </c>
    </row>
    <row r="298" spans="3:20" s="74" customFormat="1" x14ac:dyDescent="0.2">
      <c r="C298" s="74">
        <v>30</v>
      </c>
      <c r="D298" s="74">
        <v>19.8</v>
      </c>
      <c r="E298" s="114">
        <f t="shared" ref="E298" ca="1" si="232">INDIRECT("a_" &amp; i) * t^3 + INDIRECT("b_" &amp; i) * t^2 + INDIRECT("c_" &amp; i) * t^1 + INDIRECT("d_" &amp; i)</f>
        <v>0.27195921871185619</v>
      </c>
      <c r="F298" s="117" t="s">
        <v>328</v>
      </c>
      <c r="R298" s="120">
        <f t="array" aca="1" ref="R298" ca="1">E298:E598</f>
        <v>0.27195921871185619</v>
      </c>
      <c r="S298" s="121">
        <f t="shared" ca="1" si="227"/>
        <v>1.405356219175904E-2</v>
      </c>
      <c r="T298" s="121">
        <f t="shared" ca="1" si="229"/>
        <v>-4.1766688054828693E-3</v>
      </c>
    </row>
    <row r="299" spans="3:20" s="74" customFormat="1" x14ac:dyDescent="0.2">
      <c r="C299" s="74">
        <v>30</v>
      </c>
      <c r="D299" s="74">
        <v>19.899999999999999</v>
      </c>
      <c r="E299" s="114">
        <f t="shared" ref="E299" ca="1" si="233">INDIRECT("a_" &amp; i) * t^3 + INDIRECT("b_" &amp; i) * t^2 + INDIRECT("c_" &amp; i) * t^1 + INDIRECT("d_" &amp; i)</f>
        <v>0.27332216696688733</v>
      </c>
      <c r="F299" s="117" t="s">
        <v>328</v>
      </c>
      <c r="R299" s="120">
        <f t="array" aca="1" ref="R299" ca="1">E299:E599</f>
        <v>0.27332216696688733</v>
      </c>
      <c r="S299" s="121">
        <f t="shared" ca="1" si="227"/>
        <v>1.3629482550311668E-2</v>
      </c>
      <c r="T299" s="121">
        <f t="shared" ca="1" si="229"/>
        <v>-4.2407964144738075E-3</v>
      </c>
    </row>
    <row r="300" spans="3:20" s="74" customFormat="1" x14ac:dyDescent="0.2">
      <c r="C300" s="74">
        <v>30</v>
      </c>
      <c r="D300" s="74">
        <v>20</v>
      </c>
      <c r="E300" s="114">
        <f t="shared" ref="E300" ca="1" si="234">INDIRECT("a_" &amp; i) * t^3 + INDIRECT("b_" &amp; i) * t^2 + INDIRECT("c_" &amp; i) * t^1 + INDIRECT("d_" &amp; i)</f>
        <v>0.27464206598168478</v>
      </c>
      <c r="F300" s="117" t="s">
        <v>328</v>
      </c>
      <c r="R300" s="120">
        <f t="array" aca="1" ref="R300" ca="1">E300:E600</f>
        <v>0.27464206598168478</v>
      </c>
      <c r="S300" s="121">
        <f t="shared" ca="1" si="227"/>
        <v>1.3198990147974356E-2</v>
      </c>
      <c r="T300" s="121">
        <f t="shared" ca="1" si="229"/>
        <v>-4.3049240233730595E-3</v>
      </c>
    </row>
    <row r="301" spans="3:20" s="74" customFormat="1" x14ac:dyDescent="0.2">
      <c r="C301" s="74">
        <v>30</v>
      </c>
      <c r="D301" s="74">
        <v>20.100000000000001</v>
      </c>
      <c r="E301" s="114">
        <f t="shared" ref="E301" ca="1" si="235">INDIRECT("a_" &amp; i) * t^3 + INDIRECT("b_" &amp; i) * t^2 + INDIRECT("c_" &amp; i) * t^1 + INDIRECT("d_" &amp; i)</f>
        <v>0.27591827448015899</v>
      </c>
      <c r="F301" s="117" t="s">
        <v>328</v>
      </c>
      <c r="R301" s="120">
        <f t="array" aca="1" ref="R301" ca="1">E301:E601</f>
        <v>0.27591827448015899</v>
      </c>
      <c r="S301" s="121">
        <f t="shared" ca="1" si="227"/>
        <v>1.276208498474189E-2</v>
      </c>
      <c r="T301" s="121">
        <f t="shared" ca="1" si="229"/>
        <v>-4.3690516323245908E-3</v>
      </c>
    </row>
    <row r="302" spans="3:20" s="74" customFormat="1" x14ac:dyDescent="0.2">
      <c r="C302" s="74">
        <v>30</v>
      </c>
      <c r="D302" s="74">
        <v>20.2</v>
      </c>
      <c r="E302" s="114">
        <f t="shared" ref="E302" ca="1" si="236">INDIRECT("a_" &amp; i) * t^3 + INDIRECT("b_" &amp; i) * t^2 + INDIRECT("c_" &amp; i) * t^1 + INDIRECT("d_" &amp; i)</f>
        <v>0.27715015118622038</v>
      </c>
      <c r="F302" s="117" t="s">
        <v>328</v>
      </c>
      <c r="R302" s="120">
        <f t="array" aca="1" ref="R302" ca="1">E302:E602</f>
        <v>0.27715015118622038</v>
      </c>
      <c r="S302" s="121">
        <f t="shared" ca="1" si="227"/>
        <v>1.2318767060614228E-2</v>
      </c>
      <c r="T302" s="121">
        <f t="shared" ca="1" si="229"/>
        <v>-4.4331792412767137E-3</v>
      </c>
    </row>
    <row r="303" spans="3:20" s="74" customFormat="1" x14ac:dyDescent="0.2">
      <c r="C303" s="74">
        <v>30</v>
      </c>
      <c r="D303" s="74">
        <v>20.3</v>
      </c>
      <c r="E303" s="114">
        <f t="shared" ref="E303" ca="1" si="237">INDIRECT("a_" &amp; i) * t^3 + INDIRECT("b_" &amp; i) * t^2 + INDIRECT("c_" &amp; i) * t^1 + INDIRECT("d_" &amp; i)</f>
        <v>0.27833705482377996</v>
      </c>
      <c r="F303" s="117" t="s">
        <v>328</v>
      </c>
      <c r="R303" s="120">
        <f t="array" aca="1" ref="R303" ca="1">E303:E603</f>
        <v>0.27833705482377996</v>
      </c>
      <c r="S303" s="121">
        <f t="shared" ca="1" si="227"/>
        <v>1.1869036375595608E-2</v>
      </c>
      <c r="T303" s="121">
        <f t="shared" ca="1" si="229"/>
        <v>-4.4973068501861415E-3</v>
      </c>
    </row>
    <row r="304" spans="3:20" s="74" customFormat="1" x14ac:dyDescent="0.2">
      <c r="C304" s="74">
        <v>30</v>
      </c>
      <c r="D304" s="74">
        <v>20.399999999999999</v>
      </c>
      <c r="E304" s="114">
        <f t="shared" ref="E304" ca="1" si="238">INDIRECT("a_" &amp; i) * t^3 + INDIRECT("b_" &amp; i) * t^2 + INDIRECT("c_" &amp; i) * t^1 + INDIRECT("d_" &amp; i)</f>
        <v>0.27947834411674827</v>
      </c>
      <c r="F304" s="117" t="s">
        <v>328</v>
      </c>
      <c r="R304" s="120">
        <f t="array" aca="1" ref="R304" ca="1">E304:E604</f>
        <v>0.27947834411674827</v>
      </c>
      <c r="S304" s="121">
        <f t="shared" ca="1" si="227"/>
        <v>1.1412892929683303E-2</v>
      </c>
      <c r="T304" s="121">
        <f t="shared" ca="1" si="229"/>
        <v>-4.5614344591231419E-3</v>
      </c>
    </row>
    <row r="305" spans="3:20" s="74" customFormat="1" x14ac:dyDescent="0.2">
      <c r="C305" s="74">
        <v>30</v>
      </c>
      <c r="D305" s="74">
        <v>20.5</v>
      </c>
      <c r="E305" s="114">
        <f t="shared" ref="E305" ca="1" si="239">INDIRECT("a_" &amp; i) * t^3 + INDIRECT("b_" &amp; i) * t^2 + INDIRECT("c_" &amp; i) * t^1 + INDIRECT("d_" &amp; i)</f>
        <v>0.28057337778903552</v>
      </c>
      <c r="F305" s="117" t="s">
        <v>328</v>
      </c>
      <c r="R305" s="120">
        <f t="array" aca="1" ref="R305" ca="1">E305:E605</f>
        <v>0.28057337778903552</v>
      </c>
      <c r="S305" s="121">
        <f t="shared" ca="1" si="227"/>
        <v>1.0950336722872333E-2</v>
      </c>
      <c r="T305" s="121">
        <f t="shared" ca="1" si="229"/>
        <v>-4.6255620681096392E-3</v>
      </c>
    </row>
    <row r="306" spans="3:20" s="74" customFormat="1" x14ac:dyDescent="0.2">
      <c r="C306" s="74">
        <v>30</v>
      </c>
      <c r="D306" s="74">
        <v>20.6</v>
      </c>
      <c r="E306" s="114">
        <f t="shared" ref="E306" ca="1" si="240">INDIRECT("a_" &amp; i) * t^3 + INDIRECT("b_" &amp; i) * t^2 + INDIRECT("c_" &amp; i) * t^1 + INDIRECT("d_" &amp; i)</f>
        <v>0.28162151456455281</v>
      </c>
      <c r="F306" s="117" t="s">
        <v>328</v>
      </c>
      <c r="R306" s="120">
        <f t="array" aca="1" ref="R306" ca="1">E306:E606</f>
        <v>0.28162151456455281</v>
      </c>
      <c r="S306" s="121">
        <f t="shared" ca="1" si="227"/>
        <v>1.0481367755172794E-2</v>
      </c>
      <c r="T306" s="121">
        <f t="shared" ca="1" si="229"/>
        <v>-4.6896896769953204E-3</v>
      </c>
    </row>
    <row r="307" spans="3:20" s="74" customFormat="1" x14ac:dyDescent="0.2">
      <c r="C307" s="74">
        <v>30</v>
      </c>
      <c r="D307" s="74">
        <v>20.7</v>
      </c>
      <c r="E307" s="114">
        <f t="shared" ref="E307" ca="1" si="241">INDIRECT("a_" &amp; i) * t^3 + INDIRECT("b_" &amp; i) * t^2 + INDIRECT("c_" &amp; i) * t^1 + INDIRECT("d_" &amp; i)</f>
        <v>0.2826221131672107</v>
      </c>
      <c r="F307" s="117" t="s">
        <v>328</v>
      </c>
      <c r="R307" s="120">
        <f t="array" aca="1" ref="R307" ca="1">E307:E607</f>
        <v>0.2826221131672107</v>
      </c>
      <c r="S307" s="121">
        <f t="shared" ca="1" si="227"/>
        <v>1.0005986026579086E-2</v>
      </c>
      <c r="T307" s="121">
        <f t="shared" ca="1" si="229"/>
        <v>-4.753817285937185E-3</v>
      </c>
    </row>
    <row r="308" spans="3:20" s="74" customFormat="1" x14ac:dyDescent="0.2">
      <c r="C308" s="74">
        <v>30</v>
      </c>
      <c r="D308" s="74">
        <v>20.8</v>
      </c>
      <c r="E308" s="114">
        <f t="shared" ref="E308" ca="1" si="242">INDIRECT("a_" &amp; i) * t^3 + INDIRECT("b_" &amp; i) * t^2 + INDIRECT("c_" &amp; i) * t^1 + INDIRECT("d_" &amp; i)</f>
        <v>0.28357453232091973</v>
      </c>
      <c r="F308" s="117" t="s">
        <v>328</v>
      </c>
      <c r="R308" s="120">
        <f t="array" aca="1" ref="R308" ca="1">E308:E608</f>
        <v>0.28357453232091973</v>
      </c>
      <c r="S308" s="121">
        <f t="shared" ca="1" si="227"/>
        <v>9.524191537090141E-3</v>
      </c>
      <c r="T308" s="121">
        <f t="shared" ca="1" si="229"/>
        <v>-4.8179448948893798E-3</v>
      </c>
    </row>
    <row r="309" spans="3:20" s="74" customFormat="1" x14ac:dyDescent="0.2">
      <c r="C309" s="74">
        <v>30</v>
      </c>
      <c r="D309" s="74">
        <v>20.9</v>
      </c>
      <c r="E309" s="114">
        <f t="shared" ref="E309" ca="1" si="243">INDIRECT("a_" &amp; i) * t^3 + INDIRECT("b_" &amp; i) * t^2 + INDIRECT("c_" &amp; i) * t^1 + INDIRECT("d_" &amp; i)</f>
        <v>0.28447813074959066</v>
      </c>
      <c r="F309" s="117" t="s">
        <v>328</v>
      </c>
      <c r="R309" s="120">
        <f t="array" aca="1" ref="R309" ca="1">E309:E609</f>
        <v>0.28447813074959066</v>
      </c>
      <c r="S309" s="121">
        <f t="shared" ca="1" si="227"/>
        <v>9.0359842867095679E-3</v>
      </c>
      <c r="T309" s="121">
        <f t="shared" ca="1" si="229"/>
        <v>-4.882072503805835E-3</v>
      </c>
    </row>
    <row r="310" spans="3:20" s="74" customFormat="1" x14ac:dyDescent="0.2">
      <c r="C310" s="74">
        <v>30</v>
      </c>
      <c r="D310" s="74">
        <v>21</v>
      </c>
      <c r="E310" s="114">
        <f t="shared" ref="E310" ca="1" si="244">INDIRECT("a_" &amp; i) * t^3 + INDIRECT("b_" &amp; i) * t^2 + INDIRECT("c_" &amp; i) * t^1 + INDIRECT("d_" &amp; i)</f>
        <v>0.28533226717713395</v>
      </c>
      <c r="F310" s="117" t="s">
        <v>328</v>
      </c>
      <c r="R310" s="120">
        <f t="array" aca="1" ref="R310" ca="1">E310:E610</f>
        <v>0.28533226717713395</v>
      </c>
      <c r="S310" s="121">
        <f t="shared" ca="1" si="227"/>
        <v>8.5413642754327175E-3</v>
      </c>
      <c r="T310" s="121">
        <f t="shared" ca="1" si="229"/>
        <v>-4.9462001127684339E-3</v>
      </c>
    </row>
    <row r="311" spans="3:20" s="74" customFormat="1" x14ac:dyDescent="0.2">
      <c r="C311" s="74">
        <v>30</v>
      </c>
      <c r="D311" s="74">
        <v>21.1</v>
      </c>
      <c r="E311" s="114">
        <f t="shared" ref="E311" ca="1" si="245">INDIRECT("a_" &amp; i) * t^3 + INDIRECT("b_" &amp; i) * t^2 + INDIRECT("c_" &amp; i) * t^1 + INDIRECT("d_" &amp; i)</f>
        <v>0.28613630032746035</v>
      </c>
      <c r="F311" s="117" t="s">
        <v>328</v>
      </c>
      <c r="R311" s="120">
        <f t="array" aca="1" ref="R311" ca="1">E311:E611</f>
        <v>0.28613630032746035</v>
      </c>
      <c r="S311" s="121">
        <f t="shared" ca="1" si="227"/>
        <v>8.0403315032638832E-3</v>
      </c>
      <c r="T311" s="121">
        <f t="shared" ca="1" si="229"/>
        <v>-5.0103277216882718E-3</v>
      </c>
    </row>
    <row r="312" spans="3:20" s="74" customFormat="1" x14ac:dyDescent="0.2">
      <c r="C312" s="74">
        <v>30</v>
      </c>
      <c r="D312" s="74">
        <v>21.2</v>
      </c>
      <c r="E312" s="114">
        <f t="shared" ref="E312" ca="1" si="246">INDIRECT("a_" &amp; i) * t^3 + INDIRECT("b_" &amp; i) * t^2 + INDIRECT("c_" &amp; i) * t^1 + INDIRECT("d_" &amp; i)</f>
        <v>0.2868895889244803</v>
      </c>
      <c r="F312" s="117" t="s">
        <v>328</v>
      </c>
      <c r="R312" s="120">
        <f t="array" aca="1" ref="R312" ca="1">E312:E612</f>
        <v>0.2868895889244803</v>
      </c>
      <c r="S312" s="121">
        <f t="shared" ca="1" si="227"/>
        <v>7.5328859701996815E-3</v>
      </c>
      <c r="T312" s="121">
        <f t="shared" ca="1" si="229"/>
        <v>-5.0744553306421259E-3</v>
      </c>
    </row>
    <row r="313" spans="3:20" s="74" customFormat="1" x14ac:dyDescent="0.2">
      <c r="C313" s="74">
        <v>30</v>
      </c>
      <c r="D313" s="74">
        <v>21.3</v>
      </c>
      <c r="E313" s="114">
        <f t="shared" ref="E313" ca="1" si="247">INDIRECT("a_" &amp; i) * t^3 + INDIRECT("b_" &amp; i) * t^2 + INDIRECT("c_" &amp; i) * t^1 + INDIRECT("d_" &amp; i)</f>
        <v>0.28759149169210457</v>
      </c>
      <c r="F313" s="117" t="s">
        <v>328</v>
      </c>
      <c r="R313" s="120">
        <f t="array" aca="1" ref="R313" ca="1">E313:E613</f>
        <v>0.28759149169210457</v>
      </c>
      <c r="S313" s="121">
        <f t="shared" ca="1" si="227"/>
        <v>7.0190276762426397E-3</v>
      </c>
      <c r="T313" s="121">
        <f t="shared" ca="1" si="229"/>
        <v>-5.1385829395703443E-3</v>
      </c>
    </row>
    <row r="314" spans="3:20" s="74" customFormat="1" x14ac:dyDescent="0.2">
      <c r="C314" s="74">
        <v>30</v>
      </c>
      <c r="D314" s="74">
        <v>21.4</v>
      </c>
      <c r="E314" s="114">
        <f t="shared" ref="E314" ca="1" si="248">INDIRECT("a_" &amp; i) * t^3 + INDIRECT("b_" &amp; i) * t^2 + INDIRECT("c_" &amp; i) * t^1 + INDIRECT("d_" &amp; i)</f>
        <v>0.28824136735424361</v>
      </c>
      <c r="F314" s="117" t="s">
        <v>328</v>
      </c>
      <c r="R314" s="120">
        <f t="array" aca="1" ref="R314" ca="1">E314:E614</f>
        <v>0.28824136735424361</v>
      </c>
      <c r="S314" s="121">
        <f t="shared" ca="1" si="227"/>
        <v>6.4987566213904613E-3</v>
      </c>
      <c r="T314" s="121">
        <f t="shared" ca="1" si="229"/>
        <v>-5.2027105485218956E-3</v>
      </c>
    </row>
    <row r="315" spans="3:20" s="74" customFormat="1" x14ac:dyDescent="0.2">
      <c r="C315" s="74">
        <v>30</v>
      </c>
      <c r="D315" s="74">
        <v>21.5</v>
      </c>
      <c r="E315" s="114">
        <f t="shared" ref="E315" ca="1" si="249">INDIRECT("a_" &amp; i) * t^3 + INDIRECT("b_" &amp; i) * t^2 + INDIRECT("c_" &amp; i) * t^1 + INDIRECT("d_" &amp; i)</f>
        <v>0.2888385746348085</v>
      </c>
      <c r="F315" s="117" t="s">
        <v>328</v>
      </c>
      <c r="R315" s="120">
        <f t="array" aca="1" ref="R315" ca="1">E315:E615</f>
        <v>0.2888385746348085</v>
      </c>
      <c r="S315" s="121">
        <f t="shared" ca="1" si="227"/>
        <v>5.9720728056488464E-3</v>
      </c>
      <c r="T315" s="121">
        <f t="shared" ca="1" si="229"/>
        <v>-5.2668381574160743E-3</v>
      </c>
    </row>
    <row r="316" spans="3:20" s="74" customFormat="1" x14ac:dyDescent="0.2">
      <c r="C316" s="74">
        <v>30</v>
      </c>
      <c r="D316" s="74">
        <v>21.6</v>
      </c>
      <c r="E316" s="114">
        <f t="shared" ref="E316" ca="1" si="250">INDIRECT("a_" &amp; i) * t^3 + INDIRECT("b_" &amp; i) * t^2 + INDIRECT("c_" &amp; i) * t^1 + INDIRECT("d_" &amp; i)</f>
        <v>0.28938247225770958</v>
      </c>
      <c r="F316" s="117" t="s">
        <v>328</v>
      </c>
      <c r="R316" s="120">
        <f t="array" aca="1" ref="R316" ca="1">E316:E616</f>
        <v>0.28938247225770958</v>
      </c>
      <c r="S316" s="121">
        <f t="shared" ca="1" si="227"/>
        <v>5.4389762290107174E-3</v>
      </c>
      <c r="T316" s="121">
        <f t="shared" ca="1" si="229"/>
        <v>-5.3309657663812146E-3</v>
      </c>
    </row>
    <row r="317" spans="3:20" s="74" customFormat="1" x14ac:dyDescent="0.2">
      <c r="C317" s="74">
        <v>30</v>
      </c>
      <c r="D317" s="74">
        <v>21.7</v>
      </c>
      <c r="E317" s="114">
        <f t="shared" ref="E317" ca="1" si="251">INDIRECT("a_" &amp; i) * t^3 + INDIRECT("b_" &amp; i) * t^2 + INDIRECT("c_" &amp; i) * t^1 + INDIRECT("d_" &amp; i)</f>
        <v>0.28987241894685739</v>
      </c>
      <c r="F317" s="117" t="s">
        <v>328</v>
      </c>
      <c r="R317" s="120">
        <f t="array" aca="1" ref="R317" ca="1">E317:E617</f>
        <v>0.28987241894685739</v>
      </c>
      <c r="S317" s="121">
        <f t="shared" ca="1" si="227"/>
        <v>4.8994668914782366E-3</v>
      </c>
      <c r="T317" s="121">
        <f t="shared" ca="1" si="229"/>
        <v>-5.3950933753249232E-3</v>
      </c>
    </row>
    <row r="318" spans="3:20" s="74" customFormat="1" x14ac:dyDescent="0.2">
      <c r="C318" s="74">
        <v>30</v>
      </c>
      <c r="D318" s="74">
        <v>21.8</v>
      </c>
      <c r="E318" s="114">
        <f t="shared" ref="E318" ca="1" si="252">INDIRECT("a_" &amp; i) * t^3 + INDIRECT("b_" &amp; i) * t^2 + INDIRECT("c_" &amp; i) * t^1 + INDIRECT("d_" &amp; i)</f>
        <v>0.29030777342616282</v>
      </c>
      <c r="F318" s="117" t="s">
        <v>328</v>
      </c>
      <c r="R318" s="120">
        <f t="array" aca="1" ref="R318" ca="1">E318:E618</f>
        <v>0.29030777342616282</v>
      </c>
      <c r="S318" s="121">
        <f t="shared" ca="1" si="227"/>
        <v>4.3535447930542143E-3</v>
      </c>
      <c r="T318" s="121">
        <f t="shared" ca="1" si="229"/>
        <v>-5.4592209842401459E-3</v>
      </c>
    </row>
    <row r="319" spans="3:20" s="74" customFormat="1" x14ac:dyDescent="0.2">
      <c r="C319" s="74">
        <v>30</v>
      </c>
      <c r="D319" s="74">
        <v>21.9</v>
      </c>
      <c r="E319" s="114">
        <f t="shared" ref="E319" ca="1" si="253">INDIRECT("a_" &amp; i) * t^3 + INDIRECT("b_" &amp; i) * t^2 + INDIRECT("c_" &amp; i) * t^1 + INDIRECT("d_" &amp; i)</f>
        <v>0.29068789441953619</v>
      </c>
      <c r="F319" s="117" t="s">
        <v>328</v>
      </c>
      <c r="R319" s="120">
        <f t="array" aca="1" ref="R319" ca="1">E319:E619</f>
        <v>0.29068789441953619</v>
      </c>
      <c r="S319" s="121">
        <f t="shared" ca="1" si="227"/>
        <v>3.8012099337337546E-3</v>
      </c>
      <c r="T319" s="121">
        <f t="shared" ca="1" si="229"/>
        <v>-5.5233485932047145E-3</v>
      </c>
    </row>
    <row r="320" spans="3:20" s="74" customFormat="1" x14ac:dyDescent="0.2">
      <c r="C320" s="74">
        <v>30</v>
      </c>
      <c r="D320" s="74">
        <v>22</v>
      </c>
      <c r="E320" s="114">
        <f t="shared" ref="E320" ca="1" si="254">INDIRECT("a_" &amp; i) * t^3 + INDIRECT("b_" &amp; i) * t^2 + INDIRECT("c_" &amp; i) * t^1 + INDIRECT("d_" &amp; i)</f>
        <v>0.29101214065088793</v>
      </c>
      <c r="F320" s="117" t="s">
        <v>328</v>
      </c>
      <c r="R320" s="120">
        <f t="array" aca="1" ref="R320" ca="1">E320:E620</f>
        <v>0.29101214065088793</v>
      </c>
      <c r="S320" s="121">
        <f t="shared" ca="1" si="227"/>
        <v>3.2424623135173898E-3</v>
      </c>
      <c r="T320" s="121">
        <f t="shared" ca="1" si="229"/>
        <v>-5.5874762021635689E-3</v>
      </c>
    </row>
    <row r="321" spans="3:20" s="74" customFormat="1" x14ac:dyDescent="0.2">
      <c r="C321" s="74">
        <v>30</v>
      </c>
      <c r="D321" s="74">
        <v>22.1</v>
      </c>
      <c r="E321" s="114">
        <f t="shared" ref="E321" ca="1" si="255">INDIRECT("a_" &amp; i) * t^3 + INDIRECT("b_" &amp; i) * t^2 + INDIRECT("c_" &amp; i) * t^1 + INDIRECT("d_" &amp; i)</f>
        <v>0.29127987084412982</v>
      </c>
      <c r="F321" s="117" t="s">
        <v>328</v>
      </c>
      <c r="R321" s="120">
        <f t="array" aca="1" ref="R321" ca="1">E321:E621</f>
        <v>0.29127987084412982</v>
      </c>
      <c r="S321" s="121">
        <f t="shared" ca="1" si="227"/>
        <v>2.677301932418847E-3</v>
      </c>
      <c r="T321" s="121">
        <f t="shared" ca="1" si="229"/>
        <v>-5.6516038109853473E-3</v>
      </c>
    </row>
    <row r="322" spans="3:20" s="74" customFormat="1" x14ac:dyDescent="0.2">
      <c r="C322" s="74">
        <v>30</v>
      </c>
      <c r="D322" s="74">
        <v>22.2</v>
      </c>
      <c r="E322" s="114">
        <f t="shared" ref="E322" ca="1" si="256">INDIRECT("a_" &amp; i) * t^3 + INDIRECT("b_" &amp; i) * t^2 + INDIRECT("c_" &amp; i) * t^1 + INDIRECT("d_" &amp; i)</f>
        <v>0.29149044372317107</v>
      </c>
      <c r="F322" s="117" t="s">
        <v>328</v>
      </c>
      <c r="R322" s="120">
        <f t="array" aca="1" ref="R322" ca="1">E322:E622</f>
        <v>0.29149044372317107</v>
      </c>
      <c r="S322" s="121">
        <f t="shared" ca="1" si="227"/>
        <v>2.1057287904125317E-3</v>
      </c>
      <c r="T322" s="121">
        <f t="shared" ca="1" si="229"/>
        <v>-5.715731420063274E-3</v>
      </c>
    </row>
    <row r="323" spans="3:20" s="74" customFormat="1" x14ac:dyDescent="0.2">
      <c r="C323" s="74">
        <v>30</v>
      </c>
      <c r="D323" s="74">
        <v>22.3</v>
      </c>
      <c r="E323" s="114">
        <f t="shared" ref="E323" ca="1" si="257">INDIRECT("a_" &amp; i) * t^3 + INDIRECT("b_" &amp; i) * t^2 + INDIRECT("c_" &amp; i) * t^1 + INDIRECT("d_" &amp; i)</f>
        <v>0.29164321801192344</v>
      </c>
      <c r="F323" s="117" t="s">
        <v>328</v>
      </c>
      <c r="R323" s="120">
        <f t="array" aca="1" ref="R323" ca="1">E323:E623</f>
        <v>0.29164321801192344</v>
      </c>
      <c r="S323" s="121">
        <f t="shared" ca="1" si="227"/>
        <v>1.5277428875237536E-3</v>
      </c>
      <c r="T323" s="121">
        <f t="shared" ca="1" si="229"/>
        <v>-5.7798590288876987E-3</v>
      </c>
    </row>
    <row r="324" spans="3:20" s="74" customFormat="1" x14ac:dyDescent="0.2">
      <c r="C324" s="74">
        <v>30</v>
      </c>
      <c r="D324" s="74">
        <v>22.4</v>
      </c>
      <c r="E324" s="114">
        <f t="shared" ref="E324" ca="1" si="258">INDIRECT("a_" &amp; i) * t^3 + INDIRECT("b_" &amp; i) * t^2 + INDIRECT("c_" &amp; i) * t^1 + INDIRECT("d_" &amp; i)</f>
        <v>0.29173755243429672</v>
      </c>
      <c r="F324" s="117" t="s">
        <v>328</v>
      </c>
      <c r="R324" s="120">
        <f t="array" aca="1" ref="R324" ca="1">E324:E624</f>
        <v>0.29173755243429672</v>
      </c>
      <c r="S324" s="121">
        <f t="shared" ca="1" si="227"/>
        <v>9.4334422373278722E-4</v>
      </c>
      <c r="T324" s="121">
        <f t="shared" ca="1" si="229"/>
        <v>-5.8439866379097882E-3</v>
      </c>
    </row>
    <row r="325" spans="3:20" s="74" customFormat="1" x14ac:dyDescent="0.2">
      <c r="C325" s="74">
        <v>30</v>
      </c>
      <c r="D325" s="74">
        <v>22.5</v>
      </c>
      <c r="E325" s="114">
        <f t="shared" ref="E325" ca="1" si="259">INDIRECT("a_" &amp; i) * t^3 + INDIRECT("b_" &amp; i) * t^2 + INDIRECT("c_" &amp; i) * t^1 + INDIRECT("d_" &amp; i)</f>
        <v>0.291772805714202</v>
      </c>
      <c r="F325" s="117" t="s">
        <v>328</v>
      </c>
      <c r="R325" s="120">
        <f t="array" aca="1" ref="R325" ca="1">E325:E625</f>
        <v>0.291772805714202</v>
      </c>
      <c r="S325" s="121">
        <f t="shared" ca="1" si="227"/>
        <v>3.5253279905277991E-4</v>
      </c>
      <c r="T325" s="121">
        <f t="shared" ca="1" si="229"/>
        <v>-5.9081142467999892E-3</v>
      </c>
    </row>
    <row r="326" spans="3:20" s="74" customFormat="1" x14ac:dyDescent="0.2">
      <c r="C326" s="74">
        <v>30</v>
      </c>
      <c r="D326" s="74">
        <v>22.6</v>
      </c>
      <c r="E326" s="114">
        <f t="shared" ref="E326" ca="1" si="260">INDIRECT("a_" &amp; i) * t^3 + INDIRECT("b_" &amp; i) * t^2 + INDIRECT("c_" &amp; i) * t^1 + INDIRECT("d_" &amp; i)</f>
        <v>0.29174833657554938</v>
      </c>
      <c r="F326" s="117" t="s">
        <v>328</v>
      </c>
      <c r="R326" s="120">
        <f t="array" aca="1" ref="R326" ca="1">E326:E626</f>
        <v>0.29174833657554938</v>
      </c>
      <c r="S326" s="121">
        <f t="shared" ca="1" si="227"/>
        <v>-2.4469138652616004E-4</v>
      </c>
      <c r="T326" s="121">
        <f t="shared" ca="1" si="229"/>
        <v>-5.9722418557893149E-3</v>
      </c>
    </row>
    <row r="327" spans="3:20" s="74" customFormat="1" x14ac:dyDescent="0.2">
      <c r="C327" s="74">
        <v>30</v>
      </c>
      <c r="D327" s="74">
        <v>22.7</v>
      </c>
      <c r="E327" s="114">
        <f t="shared" ref="E327" ca="1" si="261">INDIRECT("a_" &amp; i) * t^3 + INDIRECT("b_" &amp; i) * t^2 + INDIRECT("c_" &amp; i) * t^1 + INDIRECT("d_" &amp; i)</f>
        <v>0.29166350374225031</v>
      </c>
      <c r="F327" s="117" t="s">
        <v>328</v>
      </c>
      <c r="R327" s="120">
        <f t="array" aca="1" ref="R327" ca="1">E327:E627</f>
        <v>0.29166350374225031</v>
      </c>
      <c r="S327" s="121">
        <f t="shared" ca="1" si="227"/>
        <v>-8.4832833299077349E-4</v>
      </c>
      <c r="T327" s="121">
        <f t="shared" ca="1" si="229"/>
        <v>-6.0363694646462631E-3</v>
      </c>
    </row>
    <row r="328" spans="3:20" s="74" customFormat="1" x14ac:dyDescent="0.2">
      <c r="C328" s="74">
        <v>30</v>
      </c>
      <c r="D328" s="74">
        <v>22.8</v>
      </c>
      <c r="E328" s="114">
        <f t="shared" ref="E328" ca="1" si="262">INDIRECT("a_" &amp; i) * t^3 + INDIRECT("b_" &amp; i) * t^2 + INDIRECT("c_" &amp; i) * t^1 + INDIRECT("d_" &amp; i)</f>
        <v>0.29151766593821499</v>
      </c>
      <c r="F328" s="117" t="s">
        <v>328</v>
      </c>
      <c r="R328" s="120">
        <f t="array" aca="1" ref="R328" ca="1">E328:E628</f>
        <v>0.29151766593821499</v>
      </c>
      <c r="S328" s="121">
        <f t="shared" ca="1" si="227"/>
        <v>-1.4583780403531824E-3</v>
      </c>
      <c r="T328" s="121">
        <f t="shared" ca="1" si="229"/>
        <v>-6.1004970736240017E-3</v>
      </c>
    </row>
    <row r="329" spans="3:20" s="74" customFormat="1" x14ac:dyDescent="0.2">
      <c r="C329" s="74">
        <v>30</v>
      </c>
      <c r="D329" s="74">
        <v>22.9</v>
      </c>
      <c r="E329" s="114">
        <f t="shared" ref="E329" ca="1" si="263">INDIRECT("a_" &amp; i) * t^3 + INDIRECT("b_" &amp; i) * t^2 + INDIRECT("c_" &amp; i) * t^1 + INDIRECT("d_" &amp; i)</f>
        <v>0.2913101818873543</v>
      </c>
      <c r="F329" s="117" t="s">
        <v>328</v>
      </c>
      <c r="R329" s="120">
        <f t="array" aca="1" ref="R329" ca="1">E329:E629</f>
        <v>0.2913101818873543</v>
      </c>
      <c r="S329" s="121">
        <f t="shared" ca="1" si="227"/>
        <v>-2.0748405086068898E-3</v>
      </c>
      <c r="T329" s="121">
        <f t="shared" ca="1" si="229"/>
        <v>-6.1646246825372061E-3</v>
      </c>
    </row>
    <row r="330" spans="3:20" s="74" customFormat="1" x14ac:dyDescent="0.2">
      <c r="C330" s="74">
        <v>30</v>
      </c>
      <c r="D330" s="74">
        <v>23</v>
      </c>
      <c r="E330" s="114">
        <f t="shared" ref="E330" ca="1" si="264">INDIRECT("a_" &amp; i) * t^3 + INDIRECT("b_" &amp; i) * t^2 + INDIRECT("c_" &amp; i) * t^1 + INDIRECT("d_" &amp; i)</f>
        <v>0.29104041031357802</v>
      </c>
      <c r="F330" s="117" t="s">
        <v>328</v>
      </c>
      <c r="R330" s="120">
        <f t="array" aca="1" ref="R330" ca="1">E330:E630</f>
        <v>0.29104041031357802</v>
      </c>
      <c r="S330" s="121">
        <f t="shared" ca="1" si="227"/>
        <v>-2.6977157377627466E-3</v>
      </c>
      <c r="T330" s="121">
        <f t="shared" ca="1" si="229"/>
        <v>-6.2287522915584793E-3</v>
      </c>
    </row>
    <row r="331" spans="3:20" s="74" customFormat="1" x14ac:dyDescent="0.2">
      <c r="C331" s="74">
        <v>30</v>
      </c>
      <c r="D331" s="74">
        <v>23.1</v>
      </c>
      <c r="E331" s="114">
        <f t="shared" ref="E331" ca="1" si="265">INDIRECT("a_" &amp; i) * t^3 + INDIRECT("b_" &amp; i) * t^2 + INDIRECT("c_" &amp; i) * t^1 + INDIRECT("d_" &amp; i)</f>
        <v>0.29070770994079803</v>
      </c>
      <c r="F331" s="117" t="s">
        <v>328</v>
      </c>
      <c r="R331" s="120">
        <f t="array" aca="1" ref="R331" ca="1">E331:E631</f>
        <v>0.29070770994079803</v>
      </c>
      <c r="S331" s="121">
        <f t="shared" ca="1" si="227"/>
        <v>-3.3270037277998792E-3</v>
      </c>
      <c r="T331" s="121">
        <f t="shared" ca="1" si="229"/>
        <v>-6.2928799003712371E-3</v>
      </c>
    </row>
    <row r="332" spans="3:20" s="74" customFormat="1" x14ac:dyDescent="0.2">
      <c r="C332" s="74">
        <v>30</v>
      </c>
      <c r="D332" s="74">
        <v>23.2</v>
      </c>
      <c r="E332" s="114">
        <f t="shared" ref="E332" ca="1" si="266">INDIRECT("a_" &amp; i) * t^3 + INDIRECT("b_" &amp; i) * t^2 + INDIRECT("c_" &amp; i) * t^1 + INDIRECT("d_" &amp; i)</f>
        <v>0.29031143949292398</v>
      </c>
      <c r="F332" s="117" t="s">
        <v>328</v>
      </c>
      <c r="R332" s="120">
        <f t="array" aca="1" ref="R332" ca="1">E332:E632</f>
        <v>0.29031143949292398</v>
      </c>
      <c r="S332" s="121">
        <f t="shared" ca="1" si="227"/>
        <v>-3.9627044787405594E-3</v>
      </c>
      <c r="T332" s="121">
        <f t="shared" ca="1" si="229"/>
        <v>-6.3570075094069372E-3</v>
      </c>
    </row>
    <row r="333" spans="3:20" s="74" customFormat="1" x14ac:dyDescent="0.2">
      <c r="C333" s="74">
        <v>30</v>
      </c>
      <c r="D333" s="74">
        <v>23.3</v>
      </c>
      <c r="E333" s="114">
        <f t="shared" ref="E333" ca="1" si="267">INDIRECT("a_" &amp; i) * t^3 + INDIRECT("b_" &amp; i) * t^2 + INDIRECT("c_" &amp; i) * t^1 + INDIRECT("d_" &amp; i)</f>
        <v>0.28985095769386676</v>
      </c>
      <c r="F333" s="117" t="s">
        <v>328</v>
      </c>
      <c r="R333" s="120">
        <f t="array" aca="1" ref="R333" ca="1">E333:E633</f>
        <v>0.28985095769386676</v>
      </c>
      <c r="S333" s="121">
        <f t="shared" ca="1" si="227"/>
        <v>-4.6048179905721536E-3</v>
      </c>
      <c r="T333" s="121">
        <f t="shared" ca="1" si="229"/>
        <v>-6.4211351183158507E-3</v>
      </c>
    </row>
    <row r="334" spans="3:20" s="74" customFormat="1" x14ac:dyDescent="0.2">
      <c r="C334" s="74">
        <v>30</v>
      </c>
      <c r="D334" s="74">
        <v>23.4</v>
      </c>
      <c r="E334" s="114">
        <f t="shared" ref="E334" ca="1" si="268">INDIRECT("a_" &amp; i) * t^3 + INDIRECT("b_" &amp; i) * t^2 + INDIRECT("c_" &amp; i) * t^1 + INDIRECT("d_" &amp; i)</f>
        <v>0.28932562326753747</v>
      </c>
      <c r="F334" s="117" t="s">
        <v>328</v>
      </c>
      <c r="R334" s="120">
        <f t="array" aca="1" ref="R334" ca="1">E334:E634</f>
        <v>0.28932562326753747</v>
      </c>
      <c r="S334" s="121">
        <f t="shared" ca="1" si="227"/>
        <v>-5.253344263293048E-3</v>
      </c>
      <c r="T334" s="121">
        <f t="shared" ca="1" si="229"/>
        <v>-6.4852627272090823E-3</v>
      </c>
    </row>
    <row r="335" spans="3:20" s="74" customFormat="1" x14ac:dyDescent="0.2">
      <c r="C335" s="74">
        <v>30</v>
      </c>
      <c r="D335" s="74">
        <v>23.5</v>
      </c>
      <c r="E335" s="114">
        <f t="shared" ref="E335" ca="1" si="269">INDIRECT("a_" &amp; i) * t^3 + INDIRECT("b_" &amp; i) * t^2 + INDIRECT("c_" &amp; i) * t^1 + INDIRECT("d_" &amp; i)</f>
        <v>0.28873479493784587</v>
      </c>
      <c r="F335" s="117" t="s">
        <v>328</v>
      </c>
      <c r="R335" s="120">
        <f t="array" aca="1" ref="R335" ca="1">E335:E635</f>
        <v>0.28873479493784587</v>
      </c>
      <c r="S335" s="121">
        <f t="shared" ca="1" si="227"/>
        <v>-5.9082832969158663E-3</v>
      </c>
      <c r="T335" s="121">
        <f t="shared" ca="1" si="229"/>
        <v>-6.5493903362280901E-3</v>
      </c>
    </row>
    <row r="336" spans="3:20" s="74" customFormat="1" x14ac:dyDescent="0.2">
      <c r="C336" s="74">
        <v>30</v>
      </c>
      <c r="D336" s="74">
        <v>23.6</v>
      </c>
      <c r="E336" s="114">
        <f t="shared" ref="E336" ca="1" si="270">INDIRECT("a_" &amp; i) * t^3 + INDIRECT("b_" &amp; i) * t^2 + INDIRECT("c_" &amp; i) * t^1 + INDIRECT("d_" &amp; i)</f>
        <v>0.28807783142870363</v>
      </c>
      <c r="F336" s="117" t="s">
        <v>328</v>
      </c>
      <c r="R336" s="120">
        <f t="array" aca="1" ref="R336" ca="1">E336:E636</f>
        <v>0.28807783142870363</v>
      </c>
      <c r="S336" s="121">
        <f t="shared" ca="1" si="227"/>
        <v>-6.5696350914222941E-3</v>
      </c>
      <c r="T336" s="121">
        <f t="shared" ca="1" si="229"/>
        <v>-6.6135179450641842E-3</v>
      </c>
    </row>
    <row r="337" spans="3:20" s="74" customFormat="1" x14ac:dyDescent="0.2">
      <c r="C337" s="74">
        <v>30</v>
      </c>
      <c r="D337" s="74">
        <v>23.7</v>
      </c>
      <c r="E337" s="114">
        <f t="shared" ref="E337" ca="1" si="271">INDIRECT("a_" &amp; i) * t^3 + INDIRECT("b_" &amp; i) * t^2 + INDIRECT("c_" &amp; i) * t^1 + INDIRECT("d_" &amp; i)</f>
        <v>0.28735409146402041</v>
      </c>
      <c r="F337" s="117" t="s">
        <v>328</v>
      </c>
      <c r="R337" s="120">
        <f t="array" aca="1" ref="R337" ca="1">E337:E637</f>
        <v>0.28735409146402041</v>
      </c>
      <c r="S337" s="121">
        <f t="shared" ca="1" si="227"/>
        <v>-7.2373996468323865E-3</v>
      </c>
      <c r="T337" s="121">
        <f t="shared" ca="1" si="229"/>
        <v>-6.6776455541010665E-3</v>
      </c>
    </row>
    <row r="338" spans="3:20" s="74" customFormat="1" x14ac:dyDescent="0.2">
      <c r="C338" s="74">
        <v>30</v>
      </c>
      <c r="D338" s="74">
        <v>23.8</v>
      </c>
      <c r="E338" s="114">
        <f t="shared" ref="E338" ca="1" si="272">INDIRECT("a_" &amp; i) * t^3 + INDIRECT("b_" &amp; i) * t^2 + INDIRECT("c_" &amp; i) * t^1 + INDIRECT("d_" &amp; i)</f>
        <v>0.28656293376770775</v>
      </c>
      <c r="F338" s="117" t="s">
        <v>328</v>
      </c>
      <c r="R338" s="120">
        <f t="array" aca="1" ref="R338" ca="1">E338:E638</f>
        <v>0.28656293376770775</v>
      </c>
      <c r="S338" s="121">
        <f t="shared" ca="1" si="227"/>
        <v>-7.911576963126497E-3</v>
      </c>
      <c r="T338" s="121">
        <f t="shared" ca="1" si="229"/>
        <v>-6.7417731629410092E-3</v>
      </c>
    </row>
    <row r="339" spans="3:20" s="74" customFormat="1" x14ac:dyDescent="0.2">
      <c r="C339" s="74">
        <v>30</v>
      </c>
      <c r="D339" s="74">
        <v>23.9</v>
      </c>
      <c r="E339" s="114">
        <f t="shared" ref="E339" ca="1" si="273">INDIRECT("a_" &amp; i) * t^3 + INDIRECT("b_" &amp; i) * t^2 + INDIRECT("c_" &amp; i) * t^1 + INDIRECT("d_" &amp; i)</f>
        <v>0.28570371706367498</v>
      </c>
      <c r="F339" s="117" t="s">
        <v>328</v>
      </c>
      <c r="R339" s="120">
        <f t="array" aca="1" ref="R339" ca="1">E339:E639</f>
        <v>0.28570371706367498</v>
      </c>
      <c r="S339" s="121">
        <f t="shared" ca="1" si="227"/>
        <v>-8.5921670403279089E-3</v>
      </c>
      <c r="T339" s="121">
        <f t="shared" ca="1" si="229"/>
        <v>-6.8059007720142643E-3</v>
      </c>
    </row>
    <row r="340" spans="3:20" s="74" customFormat="1" x14ac:dyDescent="0.2">
      <c r="C340" s="74">
        <v>30</v>
      </c>
      <c r="D340" s="74">
        <v>24</v>
      </c>
      <c r="E340" s="114">
        <f t="shared" ref="E340" ca="1" si="274">INDIRECT("a_" &amp; i) * t^3 + INDIRECT("b_" &amp; i) * t^2 + INDIRECT("c_" &amp; i) * t^1 + INDIRECT("d_" &amp; i)</f>
        <v>0.28477580007583431</v>
      </c>
      <c r="F340" s="117" t="s">
        <v>328</v>
      </c>
      <c r="R340" s="120">
        <f t="array" aca="1" ref="R340" ca="1">E340:E640</f>
        <v>0.28477580007583431</v>
      </c>
      <c r="S340" s="121">
        <f t="shared" ca="1" si="227"/>
        <v>-9.2791698784065804E-3</v>
      </c>
      <c r="T340" s="121">
        <f t="shared" ca="1" si="229"/>
        <v>-6.8700283807866169E-3</v>
      </c>
    </row>
    <row r="341" spans="3:20" s="74" customFormat="1" x14ac:dyDescent="0.2">
      <c r="C341" s="74">
        <v>30</v>
      </c>
      <c r="D341" s="74">
        <v>24.1</v>
      </c>
      <c r="E341" s="114">
        <f t="shared" ref="E341" ca="1" si="275">INDIRECT("a_" &amp; i) * t^3 + INDIRECT("b_" &amp; i) * t^2 + INDIRECT("c_" &amp; i) * t^1 + INDIRECT("d_" &amp; i)</f>
        <v>0.28377854152809495</v>
      </c>
      <c r="F341" s="117" t="s">
        <v>328</v>
      </c>
      <c r="R341" s="120">
        <f t="array" aca="1" ref="R341" ca="1">E341:E641</f>
        <v>0.28377854152809495</v>
      </c>
      <c r="S341" s="121">
        <f t="shared" ca="1" si="227"/>
        <v>-9.9725854773934051E-3</v>
      </c>
      <c r="T341" s="121">
        <f t="shared" ca="1" si="229"/>
        <v>-6.9341559898681484E-3</v>
      </c>
    </row>
    <row r="342" spans="3:20" s="74" customFormat="1" x14ac:dyDescent="0.2">
      <c r="C342" s="74">
        <v>30</v>
      </c>
      <c r="D342" s="74">
        <v>24.2</v>
      </c>
      <c r="E342" s="114">
        <f t="shared" ref="E342" ca="1" si="276">INDIRECT("a_" &amp; i) * t^3 + INDIRECT("b_" &amp; i) * t^2 + INDIRECT("c_" &amp; i) * t^1 + INDIRECT("d_" &amp; i)</f>
        <v>0.28271130014436879</v>
      </c>
      <c r="F342" s="117" t="s">
        <v>328</v>
      </c>
      <c r="R342" s="120">
        <f t="array" aca="1" ref="R342" ca="1">E342:E642</f>
        <v>0.28271130014436879</v>
      </c>
      <c r="S342" s="121">
        <f t="shared" ca="1" si="227"/>
        <v>-1.0672413837261812E-2</v>
      </c>
      <c r="T342" s="121">
        <f t="shared" ca="1" si="229"/>
        <v>-6.9982835986842212E-3</v>
      </c>
    </row>
    <row r="343" spans="3:20" s="74" customFormat="1" x14ac:dyDescent="0.2">
      <c r="C343" s="74">
        <v>30</v>
      </c>
      <c r="D343" s="74">
        <v>24.3</v>
      </c>
      <c r="E343" s="114">
        <f t="shared" ref="E343" ca="1" si="277">INDIRECT("a_" &amp; i) * t^3 + INDIRECT("b_" &amp; i) * t^2 + INDIRECT("c_" &amp; i) * t^1 + INDIRECT("d_" &amp; i)</f>
        <v>0.2815734346485656</v>
      </c>
      <c r="F343" s="117" t="s">
        <v>328</v>
      </c>
      <c r="R343" s="120">
        <f t="array" aca="1" ref="R343" ca="1">E343:E643</f>
        <v>0.2815734346485656</v>
      </c>
      <c r="S343" s="121">
        <f t="shared" ca="1" si="227"/>
        <v>-1.1378654958031758E-2</v>
      </c>
      <c r="T343" s="121">
        <f t="shared" ca="1" si="229"/>
        <v>-7.0624112076993588E-3</v>
      </c>
    </row>
    <row r="344" spans="3:20" s="74" customFormat="1" x14ac:dyDescent="0.2">
      <c r="C344" s="74">
        <v>30</v>
      </c>
      <c r="D344" s="74">
        <v>24.4</v>
      </c>
      <c r="E344" s="114">
        <f t="shared" ref="E344" ca="1" si="278">INDIRECT("a_" &amp; i) * t^3 + INDIRECT("b_" &amp; i) * t^2 + INDIRECT("c_" &amp; i) * t^1 + INDIRECT("d_" &amp; i)</f>
        <v>0.28036430376459626</v>
      </c>
      <c r="F344" s="117" t="s">
        <v>328</v>
      </c>
      <c r="R344" s="120">
        <f t="array" aca="1" ref="R344" ca="1">E344:E644</f>
        <v>0.28036430376459626</v>
      </c>
      <c r="S344" s="121">
        <f t="shared" ca="1" si="227"/>
        <v>-1.2091308839693707E-2</v>
      </c>
      <c r="T344" s="121">
        <f t="shared" ca="1" si="229"/>
        <v>-7.1265388166196408E-3</v>
      </c>
    </row>
    <row r="345" spans="3:20" s="74" customFormat="1" x14ac:dyDescent="0.2">
      <c r="C345" s="74">
        <v>30</v>
      </c>
      <c r="D345" s="74">
        <v>24.5</v>
      </c>
      <c r="E345" s="114">
        <f t="shared" ref="E345" ca="1" si="279">INDIRECT("a_" &amp; i) * t^3 + INDIRECT("b_" &amp; i) * t^2 + INDIRECT("c_" &amp; i) * t^1 + INDIRECT("d_" &amp; i)</f>
        <v>0.27908326621637142</v>
      </c>
      <c r="F345" s="117" t="s">
        <v>328</v>
      </c>
      <c r="R345" s="120">
        <f t="array" aca="1" ref="R345" ca="1">E345:E645</f>
        <v>0.27908326621637142</v>
      </c>
      <c r="S345" s="121">
        <f t="shared" ca="1" si="227"/>
        <v>-1.2810375482248211E-2</v>
      </c>
      <c r="T345" s="121">
        <f t="shared" ca="1" si="229"/>
        <v>-7.1906664255449327E-3</v>
      </c>
    </row>
    <row r="346" spans="3:20" s="74" customFormat="1" x14ac:dyDescent="0.2">
      <c r="C346" s="74">
        <v>30</v>
      </c>
      <c r="D346" s="74">
        <v>24.6</v>
      </c>
      <c r="E346" s="114">
        <f t="shared" ref="E346" ca="1" si="280">INDIRECT("a_" &amp; i) * t^3 + INDIRECT("b_" &amp; i) * t^2 + INDIRECT("c_" &amp; i) * t^1 + INDIRECT("d_" &amp; i)</f>
        <v>0.27772968072780185</v>
      </c>
      <c r="F346" s="117" t="s">
        <v>328</v>
      </c>
      <c r="R346" s="120">
        <f t="array" aca="1" ref="R346" ca="1">E346:E646</f>
        <v>0.27772968072780185</v>
      </c>
      <c r="S346" s="121">
        <f t="shared" ca="1" si="227"/>
        <v>-1.3535854885695449E-2</v>
      </c>
      <c r="T346" s="121">
        <f t="shared" ca="1" si="229"/>
        <v>-7.254794034472282E-3</v>
      </c>
    </row>
    <row r="347" spans="3:20" s="74" customFormat="1" x14ac:dyDescent="0.2">
      <c r="C347" s="74">
        <v>30</v>
      </c>
      <c r="D347" s="74">
        <v>24.7</v>
      </c>
      <c r="E347" s="114">
        <f t="shared" ref="E347" ca="1" si="281">INDIRECT("a_" &amp; i) * t^3 + INDIRECT("b_" &amp; i) * t^2 + INDIRECT("c_" &amp; i) * t^1 + INDIRECT("d_" &amp; i)</f>
        <v>0.27630290602279733</v>
      </c>
      <c r="F347" s="117" t="s">
        <v>328</v>
      </c>
      <c r="R347" s="120">
        <f t="array" aca="1" ref="R347" ca="1">E347:E647</f>
        <v>0.27630290602279733</v>
      </c>
      <c r="S347" s="121">
        <f t="shared" ca="1" si="227"/>
        <v>-1.4267747050045491E-2</v>
      </c>
      <c r="T347" s="121">
        <f t="shared" ca="1" si="229"/>
        <v>-7.3189216435005748E-3</v>
      </c>
    </row>
    <row r="348" spans="3:20" s="74" customFormat="1" x14ac:dyDescent="0.2">
      <c r="C348" s="74">
        <v>30</v>
      </c>
      <c r="D348" s="74">
        <v>24.8</v>
      </c>
      <c r="E348" s="114">
        <f t="shared" ref="E348" ca="1" si="282">INDIRECT("a_" &amp; i) * t^3 + INDIRECT("b_" &amp; i) * t^2 + INDIRECT("c_" &amp; i) * t^1 + INDIRECT("d_" &amp; i)</f>
        <v>0.27480230082527007</v>
      </c>
      <c r="F348" s="117" t="s">
        <v>328</v>
      </c>
      <c r="R348" s="120">
        <f t="array" aca="1" ref="R348" ca="1">E348:E648</f>
        <v>0.27480230082527007</v>
      </c>
      <c r="S348" s="121">
        <f t="shared" ca="1" si="227"/>
        <v>-1.5006051975272392E-2</v>
      </c>
      <c r="T348" s="121">
        <f t="shared" ca="1" si="229"/>
        <v>-7.383049252268902E-3</v>
      </c>
    </row>
    <row r="349" spans="3:20" s="74" customFormat="1" x14ac:dyDescent="0.2">
      <c r="C349" s="74">
        <v>30</v>
      </c>
      <c r="D349" s="74">
        <v>24.9</v>
      </c>
      <c r="E349" s="114">
        <f t="shared" ref="E349" ca="1" si="283">INDIRECT("a_" &amp; i) * t^3 + INDIRECT("b_" &amp; i) * t^2 + INDIRECT("c_" &amp; i) * t^1 + INDIRECT("d_" &amp; i)</f>
        <v>0.27322722385912951</v>
      </c>
      <c r="F349" s="117" t="s">
        <v>328</v>
      </c>
      <c r="R349" s="120">
        <f t="array" aca="1" ref="R349" ca="1">E349:E649</f>
        <v>0.27322722385912951</v>
      </c>
      <c r="S349" s="121">
        <f t="shared" ca="1" si="227"/>
        <v>-1.5750769661405987E-2</v>
      </c>
      <c r="T349" s="121">
        <f t="shared" ca="1" si="229"/>
        <v>-7.447176861336109E-3</v>
      </c>
    </row>
    <row r="350" spans="3:20" s="74" customFormat="1" x14ac:dyDescent="0.2">
      <c r="C350" s="74">
        <v>30</v>
      </c>
      <c r="D350" s="74">
        <v>25</v>
      </c>
      <c r="E350" s="114">
        <f t="shared" ref="E350" ca="1" si="284">INDIRECT("a_" &amp; i) * t^3 + INDIRECT("b_" &amp; i) * t^2 + INDIRECT("c_" &amp; i) * t^1 + INDIRECT("d_" &amp; i)</f>
        <v>0.27157703384828608</v>
      </c>
      <c r="F350" s="117" t="s">
        <v>328</v>
      </c>
      <c r="R350" s="120">
        <f t="array" aca="1" ref="R350" ca="1">E350:E650</f>
        <v>0.27157703384828608</v>
      </c>
      <c r="S350" s="121">
        <f t="shared" ca="1" si="227"/>
        <v>-1.6501900108434095E-2</v>
      </c>
      <c r="T350" s="121">
        <f t="shared" ca="1" si="229"/>
        <v>-7.5113044702809747E-3</v>
      </c>
    </row>
    <row r="351" spans="3:20" s="74" customFormat="1" x14ac:dyDescent="0.2">
      <c r="C351" s="74">
        <v>30</v>
      </c>
      <c r="D351" s="74">
        <v>25.1</v>
      </c>
      <c r="E351" s="114">
        <f t="shared" ref="E351" ca="1" si="285">INDIRECT("a_" &amp; i) * t^3 + INDIRECT("b_" &amp; i) * t^2 + INDIRECT("c_" &amp; i) * t^1 + INDIRECT("d_" &amp; i)</f>
        <v>0.26985108951665143</v>
      </c>
      <c r="F351" s="117" t="s">
        <v>328</v>
      </c>
      <c r="R351" s="120">
        <f t="array" aca="1" ref="R351" ca="1">E351:E651</f>
        <v>0.26985108951665143</v>
      </c>
      <c r="S351" s="121">
        <f t="shared" ca="1" si="227"/>
        <v>-1.7259443316346188E-2</v>
      </c>
      <c r="T351" s="121">
        <f t="shared" ca="1" si="229"/>
        <v>-7.5754320791208245E-3</v>
      </c>
    </row>
    <row r="352" spans="3:20" s="74" customFormat="1" x14ac:dyDescent="0.2">
      <c r="C352" s="74">
        <v>30</v>
      </c>
      <c r="D352" s="74">
        <v>25.2</v>
      </c>
      <c r="E352" s="114">
        <f t="shared" ref="E352" ca="1" si="286">INDIRECT("a_" &amp; i) * t^3 + INDIRECT("b_" &amp; i) * t^2 + INDIRECT("c_" &amp; i) * t^1 + INDIRECT("d_" &amp; i)</f>
        <v>0.2680487495881359</v>
      </c>
      <c r="F352" s="117" t="s">
        <v>328</v>
      </c>
      <c r="R352" s="120">
        <f t="array" aca="1" ref="R352" ca="1">E352:E652</f>
        <v>0.2680487495881359</v>
      </c>
      <c r="S352" s="121">
        <f t="shared" ca="1" si="227"/>
        <v>-1.8023399285155669E-2</v>
      </c>
      <c r="T352" s="121">
        <f t="shared" ca="1" si="229"/>
        <v>-7.6395596880949705E-3</v>
      </c>
    </row>
    <row r="353" spans="3:20" s="74" customFormat="1" x14ac:dyDescent="0.2">
      <c r="C353" s="74">
        <v>30</v>
      </c>
      <c r="D353" s="74">
        <v>25.3</v>
      </c>
      <c r="E353" s="114">
        <f t="shared" ref="E353" ca="1" si="287">INDIRECT("a_" &amp; i) * t^3 + INDIRECT("b_" &amp; i) * t^2 + INDIRECT("c_" &amp; i) * t^1 + INDIRECT("d_" &amp; i)</f>
        <v>0.26616937278664948</v>
      </c>
      <c r="F353" s="117" t="s">
        <v>328</v>
      </c>
      <c r="R353" s="120">
        <f t="array" aca="1" ref="R353" ca="1">E353:E653</f>
        <v>0.26616937278664948</v>
      </c>
      <c r="S353" s="121">
        <f t="shared" ca="1" si="227"/>
        <v>-1.8793768014863942E-2</v>
      </c>
      <c r="T353" s="121">
        <f t="shared" ca="1" si="229"/>
        <v>-7.7036872970826249E-3</v>
      </c>
    </row>
    <row r="354" spans="3:20" s="74" customFormat="1" x14ac:dyDescent="0.2">
      <c r="C354" s="74">
        <v>30</v>
      </c>
      <c r="D354" s="74">
        <v>25.4</v>
      </c>
      <c r="E354" s="114">
        <f t="shared" ref="E354" ca="1" si="288">INDIRECT("a_" &amp; i) * t^3 + INDIRECT("b_" &amp; i) * t^2 + INDIRECT("c_" &amp; i) * t^1 + INDIRECT("d_" &amp; i)</f>
        <v>0.26421231783610372</v>
      </c>
      <c r="F354" s="117" t="s">
        <v>328</v>
      </c>
      <c r="R354" s="120">
        <f t="array" aca="1" ref="R354" ca="1">E354:E654</f>
        <v>0.26421231783610372</v>
      </c>
      <c r="S354" s="121">
        <f t="shared" ca="1" si="227"/>
        <v>-1.9570549505458085E-2</v>
      </c>
      <c r="T354" s="121">
        <f t="shared" ca="1" si="229"/>
        <v>-7.7678149059415896E-3</v>
      </c>
    </row>
    <row r="355" spans="3:20" s="74" customFormat="1" x14ac:dyDescent="0.2">
      <c r="C355" s="74">
        <v>30</v>
      </c>
      <c r="D355" s="74">
        <v>25.5</v>
      </c>
      <c r="E355" s="114">
        <f t="shared" ref="E355" ca="1" si="289">INDIRECT("a_" &amp; i) * t^3 + INDIRECT("b_" &amp; i) * t^2 + INDIRECT("c_" &amp; i) * t^1 + INDIRECT("d_" &amp; i)</f>
        <v>0.26217694346040793</v>
      </c>
      <c r="F355" s="117" t="s">
        <v>328</v>
      </c>
      <c r="R355" s="120">
        <f t="array" aca="1" ref="R355" ca="1">E355:E655</f>
        <v>0.26217694346040793</v>
      </c>
      <c r="S355" s="121">
        <f t="shared" ca="1" si="227"/>
        <v>-2.0353743756957577E-2</v>
      </c>
      <c r="T355" s="121">
        <f t="shared" ca="1" si="229"/>
        <v>-7.8319425149948121E-3</v>
      </c>
    </row>
    <row r="356" spans="3:20" s="74" customFormat="1" x14ac:dyDescent="0.2">
      <c r="C356" s="74">
        <v>30</v>
      </c>
      <c r="D356" s="74">
        <v>25.6</v>
      </c>
      <c r="E356" s="114">
        <f t="shared" ref="E356" ca="1" si="290">INDIRECT("a_" &amp; i) * t^3 + INDIRECT("b_" &amp; i) * t^2 + INDIRECT("c_" &amp; i) * t^1 + INDIRECT("d_" &amp; i)</f>
        <v>0.260062608383474</v>
      </c>
      <c r="F356" s="117" t="s">
        <v>328</v>
      </c>
      <c r="R356" s="120">
        <f t="array" aca="1" ref="R356" ca="1">E356:E656</f>
        <v>0.260062608383474</v>
      </c>
      <c r="S356" s="121">
        <f t="shared" ca="1" si="227"/>
        <v>-2.1143350769338962E-2</v>
      </c>
      <c r="T356" s="121">
        <f t="shared" ca="1" si="229"/>
        <v>-7.8960701238137403E-3</v>
      </c>
    </row>
    <row r="357" spans="3:20" s="74" customFormat="1" x14ac:dyDescent="0.2">
      <c r="C357" s="74">
        <v>30</v>
      </c>
      <c r="D357" s="74">
        <v>25.7</v>
      </c>
      <c r="E357" s="114">
        <f t="shared" ref="E357" ca="1" si="291">INDIRECT("a_" &amp; i) * t^3 + INDIRECT("b_" &amp; i) * t^2 + INDIRECT("c_" &amp; i) * t^1 + INDIRECT("d_" &amp; i)</f>
        <v>0.25786867132921204</v>
      </c>
      <c r="F357" s="117" t="s">
        <v>328</v>
      </c>
      <c r="R357" s="120">
        <f t="array" aca="1" ref="R357" ca="1">E357:E657</f>
        <v>0.25786867132921204</v>
      </c>
      <c r="S357" s="121">
        <f t="shared" ca="1" si="227"/>
        <v>-2.1939370542620098E-2</v>
      </c>
      <c r="T357" s="121">
        <f t="shared" ca="1" si="229"/>
        <v>-7.9601977328115255E-3</v>
      </c>
    </row>
    <row r="358" spans="3:20" s="74" customFormat="1" x14ac:dyDescent="0.2">
      <c r="C358" s="74">
        <v>30</v>
      </c>
      <c r="D358" s="74">
        <v>25.8</v>
      </c>
      <c r="E358" s="114">
        <f t="shared" ref="E358" ca="1" si="292">INDIRECT("a_" &amp; i) * t^3 + INDIRECT("b_" &amp; i) * t^2 + INDIRECT("c_" &amp; i) * t^1 + INDIRECT("d_" &amp; i)</f>
        <v>0.25559449102153314</v>
      </c>
      <c r="F358" s="117" t="s">
        <v>328</v>
      </c>
      <c r="R358" s="120">
        <f t="array" aca="1" ref="R358" ca="1">E358:E658</f>
        <v>0.25559449102153314</v>
      </c>
      <c r="S358" s="121">
        <f t="shared" ref="S358:S400" ca="1" si="293">(R358-R357)/(D358-D357)</f>
        <v>-2.2741803076788646E-2</v>
      </c>
      <c r="T358" s="121">
        <f t="shared" ca="1" si="229"/>
        <v>-8.0243253416853698E-3</v>
      </c>
    </row>
    <row r="359" spans="3:20" s="74" customFormat="1" x14ac:dyDescent="0.2">
      <c r="C359" s="74">
        <v>30</v>
      </c>
      <c r="D359" s="74">
        <v>25.9</v>
      </c>
      <c r="E359" s="114">
        <f t="shared" ref="E359" ca="1" si="294">INDIRECT("a_" &amp; i) * t^3 + INDIRECT("b_" &amp; i) * t^2 + INDIRECT("c_" &amp; i) * t^1 + INDIRECT("d_" &amp; i)</f>
        <v>0.25323942618434708</v>
      </c>
      <c r="F359" s="117" t="s">
        <v>328</v>
      </c>
      <c r="R359" s="120">
        <f t="array" aca="1" ref="R359" ca="1">E359:E659</f>
        <v>0.25323942618434708</v>
      </c>
      <c r="S359" s="121">
        <f t="shared" ca="1" si="293"/>
        <v>-2.3550648371861108E-2</v>
      </c>
      <c r="T359" s="121">
        <f t="shared" ref="T359:T400" ca="1" si="295">(S359-S358)/(D359-D358)</f>
        <v>-8.0884529507247917E-3</v>
      </c>
    </row>
    <row r="360" spans="3:20" s="74" customFormat="1" x14ac:dyDescent="0.2">
      <c r="C360" s="74">
        <v>30</v>
      </c>
      <c r="D360" s="74">
        <v>26</v>
      </c>
      <c r="E360" s="114">
        <f t="shared" ref="E360" ca="1" si="296">INDIRECT("a_" &amp; i) * t^3 + INDIRECT("b_" &amp; i) * t^2 + INDIRECT("c_" &amp; i) * t^1 + INDIRECT("d_" &amp; i)</f>
        <v>0.25080283554156518</v>
      </c>
      <c r="F360" s="117" t="s">
        <v>328</v>
      </c>
      <c r="R360" s="120">
        <f t="array" aca="1" ref="R360" ca="1">E360:E660</f>
        <v>0.25080283554156518</v>
      </c>
      <c r="S360" s="121">
        <f t="shared" ca="1" si="293"/>
        <v>-2.4365906427818648E-2</v>
      </c>
      <c r="T360" s="121">
        <f t="shared" ca="1" si="295"/>
        <v>-8.1525805595752832E-3</v>
      </c>
    </row>
    <row r="361" spans="3:20" s="74" customFormat="1" x14ac:dyDescent="0.2">
      <c r="C361" s="74">
        <v>30</v>
      </c>
      <c r="D361" s="74">
        <v>26.1</v>
      </c>
      <c r="E361" s="114">
        <f t="shared" ref="E361" ca="1" si="297">INDIRECT("a_" &amp; i) * t^3 + INDIRECT("b_" &amp; i) * t^2 + INDIRECT("c_" &amp; i) * t^1 + INDIRECT("d_" &amp; i)</f>
        <v>0.24828407781709777</v>
      </c>
      <c r="F361" s="117" t="s">
        <v>328</v>
      </c>
      <c r="R361" s="120">
        <f t="array" aca="1" ref="R361" ca="1">E361:E661</f>
        <v>0.24828407781709777</v>
      </c>
      <c r="S361" s="121">
        <f t="shared" ca="1" si="293"/>
        <v>-2.5187577244673773E-2</v>
      </c>
      <c r="T361" s="121">
        <f t="shared" ca="1" si="295"/>
        <v>-8.2167081685511362E-3</v>
      </c>
    </row>
    <row r="362" spans="3:20" s="74" customFormat="1" x14ac:dyDescent="0.2">
      <c r="C362" s="74">
        <v>30</v>
      </c>
      <c r="D362" s="74">
        <v>26.2</v>
      </c>
      <c r="E362" s="114">
        <f t="shared" ref="E362" ca="1" si="298">INDIRECT("a_" &amp; i) * t^3 + INDIRECT("b_" &amp; i) * t^2 + INDIRECT("c_" &amp; i) * t^1 + INDIRECT("d_" &amp; i)</f>
        <v>0.24568251173485561</v>
      </c>
      <c r="F362" s="117" t="s">
        <v>328</v>
      </c>
      <c r="R362" s="120">
        <f t="array" aca="1" ref="R362" ca="1">E362:E662</f>
        <v>0.24568251173485561</v>
      </c>
      <c r="S362" s="121">
        <f t="shared" ca="1" si="293"/>
        <v>-2.6015660822422126E-2</v>
      </c>
      <c r="T362" s="121">
        <f t="shared" ca="1" si="295"/>
        <v>-8.2808357774837062E-3</v>
      </c>
    </row>
    <row r="363" spans="3:20" s="74" customFormat="1" x14ac:dyDescent="0.2">
      <c r="C363" s="74">
        <v>30</v>
      </c>
      <c r="D363" s="74">
        <v>26.3</v>
      </c>
      <c r="E363" s="114">
        <f t="shared" ref="E363" ca="1" si="299">INDIRECT("a_" &amp; i) * t^3 + INDIRECT("b_" &amp; i) * t^2 + INDIRECT("c_" &amp; i) * t^1 + INDIRECT("d_" &amp; i)</f>
        <v>0.24299749601874959</v>
      </c>
      <c r="F363" s="117" t="s">
        <v>328</v>
      </c>
      <c r="R363" s="120">
        <f t="array" aca="1" ref="R363" ca="1">E363:E663</f>
        <v>0.24299749601874959</v>
      </c>
      <c r="S363" s="121">
        <f t="shared" ca="1" si="293"/>
        <v>-2.6850157161059825E-2</v>
      </c>
      <c r="T363" s="121">
        <f t="shared" ca="1" si="295"/>
        <v>-8.3449633863768649E-3</v>
      </c>
    </row>
    <row r="364" spans="3:20" s="74" customFormat="1" x14ac:dyDescent="0.2">
      <c r="C364" s="74">
        <v>30</v>
      </c>
      <c r="D364" s="74">
        <v>26.4</v>
      </c>
      <c r="E364" s="114">
        <f t="shared" ref="E364" ca="1" si="300">INDIRECT("a_" &amp; i) * t^3 + INDIRECT("b_" &amp; i) * t^2 + INDIRECT("c_" &amp; i) * t^1 + INDIRECT("d_" &amp; i)</f>
        <v>0.24022838939268926</v>
      </c>
      <c r="F364" s="117" t="s">
        <v>328</v>
      </c>
      <c r="R364" s="120">
        <f t="array" aca="1" ref="R364" ca="1">E364:E664</f>
        <v>0.24022838939268926</v>
      </c>
      <c r="S364" s="121">
        <f t="shared" ca="1" si="293"/>
        <v>-2.7691066260603948E-2</v>
      </c>
      <c r="T364" s="121">
        <f t="shared" ca="1" si="295"/>
        <v>-8.4090909954414161E-3</v>
      </c>
    </row>
    <row r="365" spans="3:20" s="74" customFormat="1" x14ac:dyDescent="0.2">
      <c r="C365" s="74">
        <v>30</v>
      </c>
      <c r="D365" s="74">
        <v>26.5</v>
      </c>
      <c r="E365" s="114">
        <f t="shared" ref="E365" ca="1" si="301">INDIRECT("a_" &amp; i) * t^3 + INDIRECT("b_" &amp; i) * t^2 + INDIRECT("c_" &amp; i) * t^1 + INDIRECT("d_" &amp; i)</f>
        <v>0.2373745505805866</v>
      </c>
      <c r="F365" s="117" t="s">
        <v>328</v>
      </c>
      <c r="R365" s="120">
        <f t="array" aca="1" ref="R365" ca="1">E365:E665</f>
        <v>0.2373745505805866</v>
      </c>
      <c r="S365" s="121">
        <f t="shared" ca="1" si="293"/>
        <v>-2.8538388121026197E-2</v>
      </c>
      <c r="T365" s="121">
        <f t="shared" ca="1" si="295"/>
        <v>-8.4732186042223694E-3</v>
      </c>
    </row>
    <row r="366" spans="3:20" s="74" customFormat="1" x14ac:dyDescent="0.2">
      <c r="C366" s="74">
        <v>30</v>
      </c>
      <c r="D366" s="74">
        <v>26.6</v>
      </c>
      <c r="E366" s="114">
        <f t="shared" ref="E366" ca="1" si="302">INDIRECT("a_" &amp; i) * t^3 + INDIRECT("b_" &amp; i) * t^2 + INDIRECT("c_" &amp; i) * t^1 + INDIRECT("d_" &amp; i)</f>
        <v>0.23443533830635171</v>
      </c>
      <c r="F366" s="117" t="s">
        <v>328</v>
      </c>
      <c r="R366" s="120">
        <f t="array" aca="1" ref="R366" ca="1">E366:E666</f>
        <v>0.23443533830635171</v>
      </c>
      <c r="S366" s="121">
        <f t="shared" ca="1" si="293"/>
        <v>-2.9392122742348398E-2</v>
      </c>
      <c r="T366" s="121">
        <f t="shared" ca="1" si="295"/>
        <v>-8.5373462132218823E-3</v>
      </c>
    </row>
    <row r="367" spans="3:20" s="74" customFormat="1" x14ac:dyDescent="0.2">
      <c r="C367" s="74">
        <v>30</v>
      </c>
      <c r="D367" s="74">
        <v>26.7</v>
      </c>
      <c r="E367" s="114">
        <f t="shared" ref="E367" ca="1" si="303">INDIRECT("a_" &amp; i) * t^3 + INDIRECT("b_" &amp; i) * t^2 + INDIRECT("c_" &amp; i) * t^1 + INDIRECT("d_" &amp; i)</f>
        <v>0.23141011129389449</v>
      </c>
      <c r="F367" s="117" t="s">
        <v>328</v>
      </c>
      <c r="R367" s="120">
        <f t="array" aca="1" ref="R367" ca="1">E367:E667</f>
        <v>0.23141011129389449</v>
      </c>
      <c r="S367" s="121">
        <f t="shared" ca="1" si="293"/>
        <v>-3.0252270124572857E-2</v>
      </c>
      <c r="T367" s="121">
        <f t="shared" ca="1" si="295"/>
        <v>-8.6014738222447741E-3</v>
      </c>
    </row>
    <row r="368" spans="3:20" s="74" customFormat="1" x14ac:dyDescent="0.2">
      <c r="C368" s="74">
        <v>30</v>
      </c>
      <c r="D368" s="74">
        <v>26.8</v>
      </c>
      <c r="E368" s="114">
        <f t="shared" ref="E368" ca="1" si="304">INDIRECT("a_" &amp; i) * t^3 + INDIRECT("b_" &amp; i) * t^2 + INDIRECT("c_" &amp; i) * t^1 + INDIRECT("d_" &amp; i)</f>
        <v>0.2282982282671267</v>
      </c>
      <c r="F368" s="117" t="s">
        <v>328</v>
      </c>
      <c r="R368" s="120">
        <f t="array" aca="1" ref="R368" ca="1">E368:E668</f>
        <v>0.2282982282671267</v>
      </c>
      <c r="S368" s="121">
        <f t="shared" ca="1" si="293"/>
        <v>-3.1118830267677481E-2</v>
      </c>
      <c r="T368" s="121">
        <f t="shared" ca="1" si="295"/>
        <v>-8.6656014310461191E-3</v>
      </c>
    </row>
    <row r="369" spans="3:20" s="74" customFormat="1" x14ac:dyDescent="0.2">
      <c r="C369" s="74">
        <v>30</v>
      </c>
      <c r="D369" s="74">
        <v>26.9</v>
      </c>
      <c r="E369" s="114">
        <f t="shared" ref="E369" ca="1" si="305">INDIRECT("a_" &amp; i) * t^3 + INDIRECT("b_" &amp; i) * t^2 + INDIRECT("c_" &amp; i) * t^1 + INDIRECT("d_" &amp; i)</f>
        <v>0.225099047949959</v>
      </c>
      <c r="F369" s="117" t="s">
        <v>328</v>
      </c>
      <c r="R369" s="120">
        <f t="array" aca="1" ref="R369" ca="1">E369:E669</f>
        <v>0.225099047949959</v>
      </c>
      <c r="S369" s="121">
        <f t="shared" ca="1" si="293"/>
        <v>-3.1991803171677727E-2</v>
      </c>
      <c r="T369" s="121">
        <f t="shared" ca="1" si="295"/>
        <v>-8.7297290400026439E-3</v>
      </c>
    </row>
    <row r="370" spans="3:20" s="74" customFormat="1" x14ac:dyDescent="0.2">
      <c r="C370" s="74">
        <v>30</v>
      </c>
      <c r="D370" s="74">
        <v>27</v>
      </c>
      <c r="E370" s="114">
        <f t="shared" ref="E370" ca="1" si="306">INDIRECT("a_" &amp; i) * t^3 + INDIRECT("b_" &amp; i) * t^2 + INDIRECT("c_" &amp; i) * t^1 + INDIRECT("d_" &amp; i)</f>
        <v>0.22181192906630071</v>
      </c>
      <c r="F370" s="117" t="s">
        <v>328</v>
      </c>
      <c r="R370" s="120">
        <f t="array" aca="1" ref="R370" ca="1">E370:E670</f>
        <v>0.22181192906630071</v>
      </c>
      <c r="S370" s="121">
        <f t="shared" ca="1" si="293"/>
        <v>-3.2871188836582445E-2</v>
      </c>
      <c r="T370" s="121">
        <f t="shared" ca="1" si="295"/>
        <v>-8.7938566490470549E-3</v>
      </c>
    </row>
    <row r="371" spans="3:20" s="74" customFormat="1" x14ac:dyDescent="0.2">
      <c r="C371" s="74">
        <v>30</v>
      </c>
      <c r="D371" s="74">
        <v>27.1</v>
      </c>
      <c r="E371" s="114">
        <f t="shared" ref="E371" ca="1" si="307">INDIRECT("a_" &amp; i) * t^3 + INDIRECT("b_" &amp; i) * t^2 + INDIRECT("c_" &amp; i) * t^1 + INDIRECT("d_" &amp; i)</f>
        <v>0.21843623034006415</v>
      </c>
      <c r="F371" s="117" t="s">
        <v>328</v>
      </c>
      <c r="R371" s="120">
        <f t="array" aca="1" ref="R371" ca="1">E371:E671</f>
        <v>0.21843623034006415</v>
      </c>
      <c r="S371" s="121">
        <f t="shared" ca="1" si="293"/>
        <v>-3.3756987262365055E-2</v>
      </c>
      <c r="T371" s="121">
        <f t="shared" ca="1" si="295"/>
        <v>-8.8579842578259804E-3</v>
      </c>
    </row>
    <row r="372" spans="3:20" s="74" customFormat="1" x14ac:dyDescent="0.2">
      <c r="C372" s="74">
        <v>30</v>
      </c>
      <c r="D372" s="74">
        <v>27.2</v>
      </c>
      <c r="E372" s="114">
        <f t="shared" ref="E372" ca="1" si="308">INDIRECT("a_" &amp; i) * t^3 + INDIRECT("b_" &amp; i) * t^2 + INDIRECT("c_" &amp; i) * t^1 + INDIRECT("d_" &amp; i)</f>
        <v>0.21497131049515855</v>
      </c>
      <c r="F372" s="117" t="s">
        <v>328</v>
      </c>
      <c r="R372" s="120">
        <f t="array" aca="1" ref="R372" ca="1">E372:E672</f>
        <v>0.21497131049515855</v>
      </c>
      <c r="S372" s="121">
        <f t="shared" ca="1" si="293"/>
        <v>-3.4649198449056742E-2</v>
      </c>
      <c r="T372" s="121">
        <f t="shared" ca="1" si="295"/>
        <v>-8.9221118669170589E-3</v>
      </c>
    </row>
    <row r="373" spans="3:20" s="74" customFormat="1" x14ac:dyDescent="0.2">
      <c r="C373" s="74">
        <v>30</v>
      </c>
      <c r="D373" s="74">
        <v>27.3</v>
      </c>
      <c r="E373" s="114">
        <f t="shared" ref="E373" ca="1" si="309">INDIRECT("a_" &amp; i) * t^3 + INDIRECT("b_" &amp; i) * t^2 + INDIRECT("c_" &amp; i) * t^1 + INDIRECT("d_" &amp; i)</f>
        <v>0.21141652825549545</v>
      </c>
      <c r="F373" s="117" t="s">
        <v>328</v>
      </c>
      <c r="R373" s="120">
        <f t="array" aca="1" ref="R373" ca="1">E373:E673</f>
        <v>0.21141652825549545</v>
      </c>
      <c r="S373" s="121">
        <f t="shared" ca="1" si="293"/>
        <v>-3.5547822396630506E-2</v>
      </c>
      <c r="T373" s="121">
        <f t="shared" ca="1" si="295"/>
        <v>-8.9862394757375084E-3</v>
      </c>
    </row>
    <row r="374" spans="3:20" s="74" customFormat="1" x14ac:dyDescent="0.2">
      <c r="C374" s="74">
        <v>30</v>
      </c>
      <c r="D374" s="74">
        <v>27.4</v>
      </c>
      <c r="E374" s="114">
        <f t="shared" ref="E374" ca="1" si="310">INDIRECT("a_" &amp; i) * t^3 + INDIRECT("b_" &amp; i) * t^2 + INDIRECT("c_" &amp; i) * t^1 + INDIRECT("d_" &amp; i)</f>
        <v>0.20777124234498417</v>
      </c>
      <c r="F374" s="117" t="s">
        <v>328</v>
      </c>
      <c r="R374" s="120">
        <f t="array" aca="1" ref="R374" ca="1">E374:E674</f>
        <v>0.20777124234498417</v>
      </c>
      <c r="S374" s="121">
        <f t="shared" ca="1" si="293"/>
        <v>-3.6452859105113533E-2</v>
      </c>
      <c r="T374" s="121">
        <f t="shared" ca="1" si="295"/>
        <v>-9.050367084830464E-3</v>
      </c>
    </row>
    <row r="375" spans="3:20" s="74" customFormat="1" x14ac:dyDescent="0.2">
      <c r="C375" s="74">
        <v>30</v>
      </c>
      <c r="D375" s="74">
        <v>27.5</v>
      </c>
      <c r="E375" s="114">
        <f t="shared" ref="E375" ca="1" si="311">INDIRECT("a_" &amp; i) * t^3 + INDIRECT("b_" &amp; i) * t^2 + INDIRECT("c_" &amp; i) * t^1 + INDIRECT("d_" &amp; i)</f>
        <v>0.20403481148753716</v>
      </c>
      <c r="F375" s="117" t="s">
        <v>328</v>
      </c>
      <c r="R375" s="120">
        <f t="array" aca="1" ref="R375" ca="1">E375:E675</f>
        <v>0.20403481148753716</v>
      </c>
      <c r="S375" s="121">
        <f t="shared" ca="1" si="293"/>
        <v>-3.7364308574469617E-2</v>
      </c>
      <c r="T375" s="121">
        <f t="shared" ca="1" si="295"/>
        <v>-9.1144946935607044E-3</v>
      </c>
    </row>
    <row r="376" spans="3:20" s="74" customFormat="1" x14ac:dyDescent="0.2">
      <c r="C376" s="74">
        <v>30</v>
      </c>
      <c r="D376" s="74">
        <v>27.6</v>
      </c>
      <c r="E376" s="114">
        <f t="shared" ref="E376" ca="1" si="312">INDIRECT("a_" &amp; i) * t^3 + INDIRECT("b_" &amp; i) * t^2 + INDIRECT("c_" &amp; i) * t^1 + INDIRECT("d_" &amp; i)</f>
        <v>0.20020659440706406</v>
      </c>
      <c r="F376" s="117" t="s">
        <v>328</v>
      </c>
      <c r="R376" s="120">
        <f t="array" aca="1" ref="R376" ca="1">E376:E676</f>
        <v>0.20020659440706406</v>
      </c>
      <c r="S376" s="121">
        <f t="shared" ca="1" si="293"/>
        <v>-3.8282170804730412E-2</v>
      </c>
      <c r="T376" s="121">
        <f t="shared" ca="1" si="295"/>
        <v>-9.1786223026078199E-3</v>
      </c>
    </row>
    <row r="377" spans="3:20" s="74" customFormat="1" x14ac:dyDescent="0.2">
      <c r="C377" s="74">
        <v>30</v>
      </c>
      <c r="D377" s="74">
        <v>27.7</v>
      </c>
      <c r="E377" s="114">
        <f t="shared" ref="E377" ca="1" si="313">INDIRECT("a_" &amp; i) * t^3 + INDIRECT("b_" &amp; i) * t^2 + INDIRECT("c_" &amp; i) * t^1 + INDIRECT("d_" &amp; i)</f>
        <v>0.19628594982747577</v>
      </c>
      <c r="F377" s="117" t="s">
        <v>328</v>
      </c>
      <c r="R377" s="120">
        <f t="array" aca="1" ref="R377" ca="1">E377:E677</f>
        <v>0.19628594982747577</v>
      </c>
      <c r="S377" s="121">
        <f t="shared" ca="1" si="293"/>
        <v>-3.9206445795883782E-2</v>
      </c>
      <c r="T377" s="121">
        <f t="shared" ca="1" si="295"/>
        <v>-9.2427499115339019E-3</v>
      </c>
    </row>
    <row r="378" spans="3:20" s="74" customFormat="1" x14ac:dyDescent="0.2">
      <c r="C378" s="74">
        <v>30</v>
      </c>
      <c r="D378" s="74">
        <v>27.8</v>
      </c>
      <c r="E378" s="114">
        <f t="shared" ref="E378" ca="1" si="314">INDIRECT("a_" &amp; i) * t^3 + INDIRECT("b_" &amp; i) * t^2 + INDIRECT("c_" &amp; i) * t^1 + INDIRECT("d_" &amp; i)</f>
        <v>0.19227223647268227</v>
      </c>
      <c r="F378" s="117" t="s">
        <v>328</v>
      </c>
      <c r="R378" s="120">
        <f t="array" aca="1" ref="R378" ca="1">E378:E678</f>
        <v>0.19227223647268227</v>
      </c>
      <c r="S378" s="121">
        <f t="shared" ca="1" si="293"/>
        <v>-4.0137133547934453E-2</v>
      </c>
      <c r="T378" s="121">
        <f t="shared" ca="1" si="295"/>
        <v>-9.3068775205065804E-3</v>
      </c>
    </row>
    <row r="379" spans="3:20" s="74" customFormat="1" x14ac:dyDescent="0.2">
      <c r="C379" s="74">
        <v>30</v>
      </c>
      <c r="D379" s="74">
        <v>27.9</v>
      </c>
      <c r="E379" s="114">
        <f t="shared" ref="E379" ca="1" si="315">INDIRECT("a_" &amp; i) * t^3 + INDIRECT("b_" &amp; i) * t^2 + INDIRECT("c_" &amp; i) * t^1 + INDIRECT("d_" &amp; i)</f>
        <v>0.18816481306659455</v>
      </c>
      <c r="F379" s="117" t="s">
        <v>328</v>
      </c>
      <c r="R379" s="120">
        <f t="array" aca="1" ref="R379" ca="1">E379:E679</f>
        <v>0.18816481306659455</v>
      </c>
      <c r="S379" s="121">
        <f t="shared" ca="1" si="293"/>
        <v>-4.1074234060878054E-2</v>
      </c>
      <c r="T379" s="121">
        <f t="shared" ca="1" si="295"/>
        <v>-9.3710051294362048E-3</v>
      </c>
    </row>
    <row r="380" spans="3:20" s="74" customFormat="1" x14ac:dyDescent="0.2">
      <c r="C380" s="74">
        <v>30</v>
      </c>
      <c r="D380" s="74">
        <v>28</v>
      </c>
      <c r="E380" s="114">
        <f t="shared" ref="E380" ca="1" si="316">INDIRECT("a_" &amp; i) * t^3 + INDIRECT("b_" &amp; i) * t^2 + INDIRECT("c_" &amp; i) * t^1 + INDIRECT("d_" &amp; i)</f>
        <v>0.18396303833312416</v>
      </c>
      <c r="F380" s="117" t="s">
        <v>328</v>
      </c>
      <c r="R380" s="120">
        <f t="array" aca="1" ref="R380" ca="1">E380:E680</f>
        <v>0.18396303833312416</v>
      </c>
      <c r="S380" s="121">
        <f t="shared" ca="1" si="293"/>
        <v>-4.2017747334703273E-2</v>
      </c>
      <c r="T380" s="121">
        <f t="shared" ca="1" si="295"/>
        <v>-9.4351327382520608E-3</v>
      </c>
    </row>
    <row r="381" spans="3:20" s="74" customFormat="1" x14ac:dyDescent="0.2">
      <c r="C381" s="74">
        <v>30</v>
      </c>
      <c r="D381" s="74">
        <v>28.1</v>
      </c>
      <c r="E381" s="114">
        <f t="shared" ref="E381" ca="1" si="317">INDIRECT("a_" &amp; i) * t^3 + INDIRECT("b_" &amp; i) * t^2 + INDIRECT("c_" &amp; i) * t^1 + INDIRECT("d_" &amp; i)</f>
        <v>0.17966627099618032</v>
      </c>
      <c r="F381" s="117" t="s">
        <v>328</v>
      </c>
      <c r="R381" s="120">
        <f t="array" aca="1" ref="R381" ca="1">E381:E681</f>
        <v>0.17966627099618032</v>
      </c>
      <c r="S381" s="121">
        <f t="shared" ca="1" si="293"/>
        <v>-4.2967673369437798E-2</v>
      </c>
      <c r="T381" s="121">
        <f t="shared" ca="1" si="295"/>
        <v>-9.49926034734511E-3</v>
      </c>
    </row>
    <row r="382" spans="3:20" s="74" customFormat="1" x14ac:dyDescent="0.2">
      <c r="C382" s="74">
        <v>30</v>
      </c>
      <c r="D382" s="74">
        <v>28.2</v>
      </c>
      <c r="E382" s="114">
        <f t="shared" ref="E382" ca="1" si="318">INDIRECT("a_" &amp; i) * t^3 + INDIRECT("b_" &amp; i) * t^2 + INDIRECT("c_" &amp; i) * t^1 + INDIRECT("d_" &amp; i)</f>
        <v>0.17527386977967446</v>
      </c>
      <c r="F382" s="117" t="s">
        <v>328</v>
      </c>
      <c r="R382" s="120">
        <f t="array" aca="1" ref="R382" ca="1">E382:E682</f>
        <v>0.17527386977967446</v>
      </c>
      <c r="S382" s="121">
        <f t="shared" ca="1" si="293"/>
        <v>-4.3924012165059527E-2</v>
      </c>
      <c r="T382" s="121">
        <f t="shared" ca="1" si="295"/>
        <v>-9.5633879562174971E-3</v>
      </c>
    </row>
    <row r="383" spans="3:20" s="74" customFormat="1" x14ac:dyDescent="0.2">
      <c r="C383" s="74">
        <v>30</v>
      </c>
      <c r="D383" s="74">
        <v>28.3</v>
      </c>
      <c r="E383" s="114">
        <f t="shared" ref="E383" ca="1" si="319">INDIRECT("a_" &amp; i) * t^3 + INDIRECT("b_" &amp; i) * t^2 + INDIRECT("c_" &amp; i) * t^1 + INDIRECT("d_" &amp; i)</f>
        <v>0.1707851934075168</v>
      </c>
      <c r="F383" s="117" t="s">
        <v>328</v>
      </c>
      <c r="R383" s="120">
        <f t="array" aca="1" ref="R383" ca="1">E383:E683</f>
        <v>0.1707851934075168</v>
      </c>
      <c r="S383" s="121">
        <f t="shared" ca="1" si="293"/>
        <v>-4.488676372157599E-2</v>
      </c>
      <c r="T383" s="121">
        <f t="shared" ca="1" si="295"/>
        <v>-9.6275155651644895E-3</v>
      </c>
    </row>
    <row r="384" spans="3:20" s="74" customFormat="1" x14ac:dyDescent="0.2">
      <c r="C384" s="74">
        <v>30</v>
      </c>
      <c r="D384" s="74">
        <v>28.4</v>
      </c>
      <c r="E384" s="114">
        <f t="shared" ref="E384" ca="1" si="320">INDIRECT("a_" &amp; i) * t^3 + INDIRECT("b_" &amp; i) * t^2 + INDIRECT("c_" &amp; i) * t^1 + INDIRECT("d_" &amp; i)</f>
        <v>0.16619960060361888</v>
      </c>
      <c r="F384" s="117" t="s">
        <v>328</v>
      </c>
      <c r="R384" s="120">
        <f t="array" aca="1" ref="R384" ca="1">E384:E684</f>
        <v>0.16619960060361888</v>
      </c>
      <c r="S384" s="121">
        <f t="shared" ca="1" si="293"/>
        <v>-4.5855928038980177E-2</v>
      </c>
      <c r="T384" s="121">
        <f t="shared" ca="1" si="295"/>
        <v>-9.6916431740420843E-3</v>
      </c>
    </row>
    <row r="385" spans="3:20" s="74" customFormat="1" x14ac:dyDescent="0.2">
      <c r="C385" s="74">
        <v>30</v>
      </c>
      <c r="D385" s="74">
        <v>28.5</v>
      </c>
      <c r="E385" s="114">
        <f t="shared" ref="E385" ca="1" si="321">INDIRECT("a_" &amp; i) * t^3 + INDIRECT("b_" &amp; i) * t^2 + INDIRECT("c_" &amp; i) * t^1 + INDIRECT("d_" &amp; i)</f>
        <v>0.16151645009189047</v>
      </c>
      <c r="F385" s="117" t="s">
        <v>328</v>
      </c>
      <c r="R385" s="120">
        <f t="array" aca="1" ref="R385" ca="1">E385:E685</f>
        <v>0.16151645009189047</v>
      </c>
      <c r="S385" s="121">
        <f t="shared" ca="1" si="293"/>
        <v>-4.6831505117283401E-2</v>
      </c>
      <c r="T385" s="121">
        <f t="shared" ca="1" si="295"/>
        <v>-9.7557707830320944E-3</v>
      </c>
    </row>
    <row r="386" spans="3:20" s="74" customFormat="1" x14ac:dyDescent="0.2">
      <c r="C386" s="74">
        <v>30</v>
      </c>
      <c r="D386" s="74">
        <v>28.6</v>
      </c>
      <c r="E386" s="114">
        <f t="shared" ref="E386" ca="1" si="322">INDIRECT("a_" &amp; i) * t^3 + INDIRECT("b_" &amp; i) * t^2 + INDIRECT("c_" &amp; i) * t^1 + INDIRECT("d_" &amp; i)</f>
        <v>0.15673510059624168</v>
      </c>
      <c r="F386" s="117" t="s">
        <v>328</v>
      </c>
      <c r="R386" s="120">
        <f t="array" aca="1" ref="R386" ca="1">E386:E686</f>
        <v>0.15673510059624168</v>
      </c>
      <c r="S386" s="121">
        <f t="shared" ca="1" si="293"/>
        <v>-4.7813494956487221E-2</v>
      </c>
      <c r="T386" s="121">
        <f t="shared" ca="1" si="295"/>
        <v>-9.8198983920380623E-3</v>
      </c>
    </row>
    <row r="387" spans="3:20" s="74" customFormat="1" x14ac:dyDescent="0.2">
      <c r="C387" s="74">
        <v>30</v>
      </c>
      <c r="D387" s="74">
        <v>28.7</v>
      </c>
      <c r="E387" s="114">
        <f t="shared" ref="E387" ca="1" si="323">INDIRECT("a_" &amp; i) * t^3 + INDIRECT("b_" &amp; i) * t^2 + INDIRECT("c_" &amp; i) * t^1 + INDIRECT("d_" &amp; i)</f>
        <v>0.15185491084058439</v>
      </c>
      <c r="F387" s="117" t="s">
        <v>328</v>
      </c>
      <c r="R387" s="120">
        <f t="array" aca="1" ref="R387" ca="1">E387:E687</f>
        <v>0.15185491084058439</v>
      </c>
      <c r="S387" s="121">
        <f t="shared" ca="1" si="293"/>
        <v>-4.8801897556573978E-2</v>
      </c>
      <c r="T387" s="121">
        <f t="shared" ca="1" si="295"/>
        <v>-9.8840260008677839E-3</v>
      </c>
    </row>
    <row r="388" spans="3:20" s="74" customFormat="1" x14ac:dyDescent="0.2">
      <c r="C388" s="74">
        <v>30</v>
      </c>
      <c r="D388" s="74">
        <v>28.8</v>
      </c>
      <c r="E388" s="114">
        <f t="shared" ref="E388" ca="1" si="324">INDIRECT("a_" &amp; i) * t^3 + INDIRECT("b_" &amp; i) * t^2 + INDIRECT("c_" &amp; i) * t^1 + INDIRECT("d_" &amp; i)</f>
        <v>0.14687523954882881</v>
      </c>
      <c r="F388" s="117" t="s">
        <v>328</v>
      </c>
      <c r="R388" s="120">
        <f t="array" aca="1" ref="R388" ca="1">E388:E688</f>
        <v>0.14687523954882881</v>
      </c>
      <c r="S388" s="121">
        <f t="shared" ca="1" si="293"/>
        <v>-4.9796712917555122E-2</v>
      </c>
      <c r="T388" s="121">
        <f t="shared" ca="1" si="295"/>
        <v>-9.9481536098112982E-3</v>
      </c>
    </row>
    <row r="389" spans="3:20" s="74" customFormat="1" x14ac:dyDescent="0.2">
      <c r="C389" s="74">
        <v>30</v>
      </c>
      <c r="D389" s="74">
        <v>28.9</v>
      </c>
      <c r="E389" s="114">
        <f t="shared" ref="E389" ca="1" si="325">INDIRECT("a_" &amp; i) * t^3 + INDIRECT("b_" &amp; i) * t^2 + INDIRECT("c_" &amp; i) * t^1 + INDIRECT("d_" &amp; i)</f>
        <v>0.14179544544488515</v>
      </c>
      <c r="F389" s="117" t="s">
        <v>328</v>
      </c>
      <c r="R389" s="120">
        <f t="array" aca="1" ref="R389" ca="1">E389:E689</f>
        <v>0.14179544544488515</v>
      </c>
      <c r="S389" s="121">
        <f t="shared" ca="1" si="293"/>
        <v>-5.0797941039437661E-2</v>
      </c>
      <c r="T389" s="121">
        <f t="shared" ca="1" si="295"/>
        <v>-1.00122812188256E-2</v>
      </c>
    </row>
    <row r="390" spans="3:20" s="74" customFormat="1" x14ac:dyDescent="0.2">
      <c r="C390" s="74">
        <v>30</v>
      </c>
      <c r="D390" s="74">
        <v>29</v>
      </c>
      <c r="E390" s="114">
        <f t="shared" ref="E390" ca="1" si="326">INDIRECT("a_" &amp; i) * t^3 + INDIRECT("b_" &amp; i) * t^2 + INDIRECT("c_" &amp; i) * t^1 + INDIRECT("d_" &amp; i)</f>
        <v>0.13661488725266452</v>
      </c>
      <c r="F390" s="117" t="s">
        <v>328</v>
      </c>
      <c r="R390" s="120">
        <f t="array" aca="1" ref="R390" ca="1">E390:E690</f>
        <v>0.13661488725266452</v>
      </c>
      <c r="S390" s="121">
        <f t="shared" ca="1" si="293"/>
        <v>-5.1805581922205565E-2</v>
      </c>
      <c r="T390" s="121">
        <f t="shared" ca="1" si="295"/>
        <v>-1.0076408827678901E-2</v>
      </c>
    </row>
    <row r="391" spans="3:20" s="74" customFormat="1" x14ac:dyDescent="0.2">
      <c r="C391" s="74">
        <v>30</v>
      </c>
      <c r="D391" s="74">
        <v>29.1</v>
      </c>
      <c r="E391" s="114">
        <f t="shared" ref="E391" ca="1" si="327">INDIRECT("a_" &amp; i) * t^3 + INDIRECT("b_" &amp; i) * t^2 + INDIRECT("c_" &amp; i) * t^1 + INDIRECT("d_" &amp; i)</f>
        <v>0.13133292369607746</v>
      </c>
      <c r="F391" s="117" t="s">
        <v>328</v>
      </c>
      <c r="R391" s="120">
        <f t="array" aca="1" ref="R391" ca="1">E391:E691</f>
        <v>0.13133292369607746</v>
      </c>
      <c r="S391" s="121">
        <f t="shared" ca="1" si="293"/>
        <v>-5.2819635565869799E-2</v>
      </c>
      <c r="T391" s="121">
        <f t="shared" ca="1" si="295"/>
        <v>-1.0140536436642195E-2</v>
      </c>
    </row>
    <row r="392" spans="3:20" s="74" customFormat="1" x14ac:dyDescent="0.2">
      <c r="C392" s="74">
        <v>30</v>
      </c>
      <c r="D392" s="74">
        <v>29.2</v>
      </c>
      <c r="E392" s="114">
        <f t="shared" ref="E392" ca="1" si="328">INDIRECT("a_" &amp; i) * t^3 + INDIRECT("b_" &amp; i) * t^2 + INDIRECT("c_" &amp; i) * t^1 + INDIRECT("d_" &amp; i)</f>
        <v>0.12594891349903453</v>
      </c>
      <c r="F392" s="117" t="s">
        <v>328</v>
      </c>
      <c r="R392" s="120">
        <f t="array" aca="1" ref="R392" ca="1">E392:E692</f>
        <v>0.12594891349903453</v>
      </c>
      <c r="S392" s="121">
        <f t="shared" ca="1" si="293"/>
        <v>-5.3840101970430466E-2</v>
      </c>
      <c r="T392" s="121">
        <f t="shared" ca="1" si="295"/>
        <v>-1.020466404560689E-2</v>
      </c>
    </row>
    <row r="393" spans="3:20" s="74" customFormat="1" x14ac:dyDescent="0.2">
      <c r="C393" s="74">
        <v>30</v>
      </c>
      <c r="D393" s="74">
        <v>29.3</v>
      </c>
      <c r="E393" s="114">
        <f t="shared" ref="E393" ca="1" si="329">INDIRECT("a_" &amp; i) * t^3 + INDIRECT("b_" &amp; i) * t^2 + INDIRECT("c_" &amp; i) * t^1 + INDIRECT("d_" &amp; i)</f>
        <v>0.12046221538544594</v>
      </c>
      <c r="F393" s="117" t="s">
        <v>328</v>
      </c>
      <c r="R393" s="120">
        <f t="array" aca="1" ref="R393" ca="1">E393:E693</f>
        <v>0.12046221538544594</v>
      </c>
      <c r="S393" s="121">
        <f t="shared" ca="1" si="293"/>
        <v>-5.4866981135885173E-2</v>
      </c>
      <c r="T393" s="121">
        <f t="shared" ca="1" si="295"/>
        <v>-1.0268791654546923E-2</v>
      </c>
    </row>
    <row r="394" spans="3:20" s="74" customFormat="1" x14ac:dyDescent="0.2">
      <c r="C394" s="74">
        <v>30</v>
      </c>
      <c r="D394" s="74">
        <v>29.4</v>
      </c>
      <c r="E394" s="114">
        <f t="shared" ref="E394" ca="1" si="330">INDIRECT("a_" &amp; i) * t^3 + INDIRECT("b_" &amp; i) * t^2 + INDIRECT("c_" &amp; i) * t^1 + INDIRECT("d_" &amp; i)</f>
        <v>0.11487218807922278</v>
      </c>
      <c r="F394" s="117" t="s">
        <v>328</v>
      </c>
      <c r="R394" s="120">
        <f t="array" aca="1" ref="R394" ca="1">E394:E694</f>
        <v>0.11487218807922278</v>
      </c>
      <c r="S394" s="121">
        <f t="shared" ca="1" si="293"/>
        <v>-5.5900273062232747E-2</v>
      </c>
      <c r="T394" s="121">
        <f t="shared" ca="1" si="295"/>
        <v>-1.0332919263475958E-2</v>
      </c>
    </row>
    <row r="395" spans="3:20" s="74" customFormat="1" x14ac:dyDescent="0.2">
      <c r="C395" s="74">
        <v>30</v>
      </c>
      <c r="D395" s="74">
        <v>29.5</v>
      </c>
      <c r="E395" s="114">
        <f t="shared" ref="E395" ca="1" si="331">INDIRECT("a_" &amp; i) * t^3 + INDIRECT("b_" &amp; i) * t^2 + INDIRECT("c_" &amp; i) * t^1 + INDIRECT("d_" &amp; i)</f>
        <v>0.10917819030427617</v>
      </c>
      <c r="F395" s="117" t="s">
        <v>328</v>
      </c>
      <c r="R395" s="120">
        <f t="array" aca="1" ref="R395" ca="1">E395:E695</f>
        <v>0.10917819030427617</v>
      </c>
      <c r="S395" s="121">
        <f t="shared" ca="1" si="293"/>
        <v>-5.6939977749465319E-2</v>
      </c>
      <c r="T395" s="121">
        <f t="shared" ca="1" si="295"/>
        <v>-1.0397046872325571E-2</v>
      </c>
    </row>
    <row r="396" spans="3:20" s="74" customFormat="1" x14ac:dyDescent="0.2">
      <c r="C396" s="74">
        <v>30</v>
      </c>
      <c r="D396" s="74">
        <v>29.6</v>
      </c>
      <c r="E396" s="114">
        <f t="shared" ref="E396" ca="1" si="332">INDIRECT("a_" &amp; i) * t^3 + INDIRECT("b_" &amp; i) * t^2 + INDIRECT("c_" &amp; i) * t^1 + INDIRECT("d_" &amp; i)</f>
        <v>0.10337958078451531</v>
      </c>
      <c r="F396" s="117" t="s">
        <v>328</v>
      </c>
      <c r="R396" s="120">
        <f t="array" aca="1" ref="R396" ca="1">E396:E696</f>
        <v>0.10337958078451531</v>
      </c>
      <c r="S396" s="121">
        <f t="shared" ca="1" si="293"/>
        <v>-5.798609519760773E-2</v>
      </c>
      <c r="T396" s="121">
        <f t="shared" ca="1" si="295"/>
        <v>-1.0461174481423963E-2</v>
      </c>
    </row>
    <row r="397" spans="3:20" s="74" customFormat="1" x14ac:dyDescent="0.2">
      <c r="C397" s="74">
        <v>30</v>
      </c>
      <c r="D397" s="74">
        <v>29.7</v>
      </c>
      <c r="E397" s="114">
        <f t="shared" ref="E397" ca="1" si="333">INDIRECT("a_" &amp; i) * t^3 + INDIRECT("b_" &amp; i) * t^2 + INDIRECT("c_" &amp; i) * t^1 + INDIRECT("d_" &amp; i)</f>
        <v>9.7475718243852538E-2</v>
      </c>
      <c r="F397" s="117" t="s">
        <v>328</v>
      </c>
      <c r="R397" s="120">
        <f t="array" aca="1" ref="R397" ca="1">E397:E697</f>
        <v>9.7475718243852538E-2</v>
      </c>
      <c r="S397" s="121">
        <f t="shared" ca="1" si="293"/>
        <v>-5.9038625406628999E-2</v>
      </c>
      <c r="T397" s="121">
        <f t="shared" ca="1" si="295"/>
        <v>-1.0525302090212909E-2</v>
      </c>
    </row>
    <row r="398" spans="3:20" s="74" customFormat="1" x14ac:dyDescent="0.2">
      <c r="C398" s="74">
        <v>30</v>
      </c>
      <c r="D398" s="74">
        <v>29.8</v>
      </c>
      <c r="E398" s="114">
        <f t="shared" ref="E398" ca="1" si="334">INDIRECT("a_" &amp; i) * t^3 + INDIRECT("b_" &amp; i) * t^2 + INDIRECT("c_" &amp; i) * t^1 + INDIRECT("d_" &amp; i)</f>
        <v>9.1465961406197616E-2</v>
      </c>
      <c r="F398" s="117" t="s">
        <v>328</v>
      </c>
      <c r="R398" s="120">
        <f t="array" aca="1" ref="R398" ca="1">E398:E698</f>
        <v>9.1465961406197616E-2</v>
      </c>
      <c r="S398" s="121">
        <f t="shared" ca="1" si="293"/>
        <v>-6.0097568376548373E-2</v>
      </c>
      <c r="T398" s="121">
        <f t="shared" ca="1" si="295"/>
        <v>-1.0589429699193591E-2</v>
      </c>
    </row>
    <row r="399" spans="3:20" s="74" customFormat="1" x14ac:dyDescent="0.2">
      <c r="C399" s="74">
        <v>30</v>
      </c>
      <c r="D399" s="74">
        <v>29.9</v>
      </c>
      <c r="E399" s="114">
        <f t="shared" ref="E399" ca="1" si="335">INDIRECT("a_" &amp; i) * t^3 + INDIRECT("b_" &amp; i) * t^2 + INDIRECT("c_" &amp; i) * t^1 + INDIRECT("d_" &amp; i)</f>
        <v>8.5349668995460759E-2</v>
      </c>
      <c r="F399" s="117" t="s">
        <v>328</v>
      </c>
      <c r="R399" s="120">
        <f t="array" aca="1" ref="R399" ca="1">E399:E699</f>
        <v>8.5349668995460759E-2</v>
      </c>
      <c r="S399" s="121">
        <f t="shared" ca="1" si="293"/>
        <v>-6.116292410736987E-2</v>
      </c>
      <c r="T399" s="121">
        <f t="shared" ca="1" si="295"/>
        <v>-1.0653557308215203E-2</v>
      </c>
    </row>
    <row r="400" spans="3:20" s="74" customFormat="1" x14ac:dyDescent="0.2">
      <c r="C400" s="74">
        <v>30</v>
      </c>
      <c r="D400" s="74">
        <v>30</v>
      </c>
      <c r="E400" s="114">
        <f t="shared" ref="E400" ca="1" si="336">INDIRECT("a_" &amp; i) * t^3 + INDIRECT("b_" &amp; i) * t^2 + INDIRECT("c_" &amp; i) * t^1 + INDIRECT("d_" &amp; i)</f>
        <v>7.9126199735553071E-2</v>
      </c>
      <c r="F400" s="117">
        <v>0.08</v>
      </c>
      <c r="G400" s="123">
        <f ca="1">F400-E400</f>
        <v>8.738002644469306E-4</v>
      </c>
      <c r="H400" s="117"/>
      <c r="I400" s="117"/>
      <c r="R400" s="120">
        <f t="array" aca="1" ref="R400" ca="1">E400:E700</f>
        <v>7.9126199735553071E-2</v>
      </c>
      <c r="S400" s="121">
        <f t="shared" ca="1" si="293"/>
        <v>-6.2234692599075998E-2</v>
      </c>
      <c r="T400" s="121">
        <f t="shared" ca="1" si="295"/>
        <v>-1.0717684917061127E-2</v>
      </c>
    </row>
  </sheetData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3:B6"/>
  <sheetViews>
    <sheetView workbookViewId="0">
      <selection activeCell="B6" sqref="B6"/>
    </sheetView>
  </sheetViews>
  <sheetFormatPr baseColWidth="10" defaultRowHeight="26" x14ac:dyDescent="0.3"/>
  <cols>
    <col min="1" max="16384" width="10.83203125" style="1"/>
  </cols>
  <sheetData>
    <row r="3" spans="2:2" x14ac:dyDescent="0.3">
      <c r="B3" s="1" t="s">
        <v>160</v>
      </c>
    </row>
    <row r="4" spans="2:2" x14ac:dyDescent="0.3">
      <c r="B4" s="1" t="s">
        <v>352</v>
      </c>
    </row>
    <row r="6" spans="2:2" x14ac:dyDescent="0.3">
      <c r="B6" s="1" t="s">
        <v>353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A2:C5"/>
  <sheetViews>
    <sheetView workbookViewId="0"/>
  </sheetViews>
  <sheetFormatPr baseColWidth="10" defaultRowHeight="26" x14ac:dyDescent="0.3"/>
  <cols>
    <col min="1" max="1" width="10.83203125" style="1"/>
    <col min="2" max="2" width="36.6640625" style="1" bestFit="1" customWidth="1"/>
    <col min="3" max="3" width="22.5" style="1" customWidth="1"/>
    <col min="4" max="16384" width="10.83203125" style="1"/>
  </cols>
  <sheetData>
    <row r="2" spans="1:3" x14ac:dyDescent="0.3">
      <c r="B2" s="1" t="s">
        <v>77</v>
      </c>
      <c r="C2" s="24" t="s">
        <v>78</v>
      </c>
    </row>
    <row r="3" spans="1:3" x14ac:dyDescent="0.3">
      <c r="A3" s="1">
        <v>1</v>
      </c>
      <c r="B3" s="1" t="s">
        <v>148</v>
      </c>
      <c r="C3" s="1">
        <v>10</v>
      </c>
    </row>
    <row r="4" spans="1:3" x14ac:dyDescent="0.3">
      <c r="A4" s="1">
        <v>2</v>
      </c>
      <c r="B4" s="1" t="s">
        <v>149</v>
      </c>
      <c r="C4" s="1">
        <v>10</v>
      </c>
    </row>
    <row r="5" spans="1:3" x14ac:dyDescent="0.3">
      <c r="A5" s="1">
        <v>3</v>
      </c>
      <c r="B5" s="1" t="s">
        <v>354</v>
      </c>
      <c r="C5" s="1">
        <v>30</v>
      </c>
    </row>
  </sheetData>
  <phoneticPr fontId="8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B5"/>
  <sheetViews>
    <sheetView workbookViewId="0">
      <selection activeCell="B5" sqref="B5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160</v>
      </c>
    </row>
    <row r="3" spans="2:2" x14ac:dyDescent="0.3">
      <c r="B3" s="1" t="s">
        <v>352</v>
      </c>
    </row>
    <row r="5" spans="2:2" x14ac:dyDescent="0.3">
      <c r="B5" s="1" t="s">
        <v>355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2B8CD-9EF0-E04E-8A1E-A419E83F6DB9}">
  <sheetPr codeName="Sheet22">
    <tabColor rgb="FFFFFF00"/>
  </sheetPr>
  <dimension ref="B2:B4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356</v>
      </c>
    </row>
    <row r="4" spans="2:2" x14ac:dyDescent="0.3">
      <c r="B4" s="1" t="s">
        <v>355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B48A6-33B9-1A47-A008-694314ABF927}">
  <sheetPr codeName="Sheet17">
    <tabColor rgb="FFFFFF00"/>
  </sheetPr>
  <dimension ref="B2:C10"/>
  <sheetViews>
    <sheetView workbookViewId="0">
      <selection activeCell="B6" sqref="B6"/>
    </sheetView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357</v>
      </c>
    </row>
    <row r="3" spans="2:3" x14ac:dyDescent="0.3">
      <c r="B3" s="1" t="s">
        <v>358</v>
      </c>
    </row>
    <row r="4" spans="2:3" x14ac:dyDescent="0.3">
      <c r="B4" s="1" t="s">
        <v>359</v>
      </c>
    </row>
    <row r="5" spans="2:3" x14ac:dyDescent="0.3">
      <c r="B5" s="1" t="s">
        <v>360</v>
      </c>
    </row>
    <row r="7" spans="2:3" x14ac:dyDescent="0.3">
      <c r="B7" s="26" t="s">
        <v>169</v>
      </c>
      <c r="C7" s="26" t="s">
        <v>18</v>
      </c>
    </row>
    <row r="8" spans="2:3" x14ac:dyDescent="0.3">
      <c r="B8" s="48">
        <v>20</v>
      </c>
      <c r="C8" s="48">
        <v>70</v>
      </c>
    </row>
    <row r="9" spans="2:3" x14ac:dyDescent="0.3">
      <c r="B9" s="48">
        <v>30</v>
      </c>
      <c r="C9" s="48">
        <v>80</v>
      </c>
    </row>
    <row r="10" spans="2:3" x14ac:dyDescent="0.3">
      <c r="B10" s="48">
        <v>40</v>
      </c>
      <c r="C10" s="48">
        <v>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179</vt:i4>
      </vt:variant>
    </vt:vector>
  </HeadingPairs>
  <TitlesOfParts>
    <vt:vector size="192" baseType="lpstr">
      <vt:lpstr>Today</vt:lpstr>
      <vt:lpstr>Themes</vt:lpstr>
      <vt:lpstr>Diagnostics</vt:lpstr>
      <vt:lpstr>LogisticRegression</vt:lpstr>
      <vt:lpstr>MultiClass</vt:lpstr>
      <vt:lpstr>ClusterAnalysis</vt:lpstr>
      <vt:lpstr>PieceWiseModels</vt:lpstr>
      <vt:lpstr>Splines</vt:lpstr>
      <vt:lpstr>PreWork4NextClass</vt:lpstr>
      <vt:lpstr>InClassProjects</vt:lpstr>
      <vt:lpstr>Q_Diagnostics1</vt:lpstr>
      <vt:lpstr>Q_Diagnostics2</vt:lpstr>
      <vt:lpstr>Q_Splines</vt:lpstr>
      <vt:lpstr>CubicSpline_YC!_c1</vt:lpstr>
      <vt:lpstr>CubicSpline_YC_Optim!_c1</vt:lpstr>
      <vt:lpstr>CubicSpline_YC_Optim_Penalized!_c1</vt:lpstr>
      <vt:lpstr>_c1</vt:lpstr>
      <vt:lpstr>CubicSpline_YC!_c2</vt:lpstr>
      <vt:lpstr>CubicSpline_YC_Optim!_c2</vt:lpstr>
      <vt:lpstr>CubicSpline_YC_Optim_Penalized!_c2</vt:lpstr>
      <vt:lpstr>_c2</vt:lpstr>
      <vt:lpstr>CubicSpline_YC!_c3</vt:lpstr>
      <vt:lpstr>CubicSpline_YC_Optim!_c3</vt:lpstr>
      <vt:lpstr>CubicSpline_YC_Optim_Penalized!_c3</vt:lpstr>
      <vt:lpstr>_c3</vt:lpstr>
      <vt:lpstr>CubicSpline_YC!a_1</vt:lpstr>
      <vt:lpstr>CubicSpline_YC_Optim!a_1</vt:lpstr>
      <vt:lpstr>CubicSpline_YC_Optim_Penalized!a_1</vt:lpstr>
      <vt:lpstr>CubicSpline_YC!a_10</vt:lpstr>
      <vt:lpstr>CubicSpline_YC_Optim!a_10</vt:lpstr>
      <vt:lpstr>CubicSpline_YC_Optim_Penalized!a_10</vt:lpstr>
      <vt:lpstr>CubicSpline_YC!a_2</vt:lpstr>
      <vt:lpstr>CubicSpline_YC_Optim!a_2</vt:lpstr>
      <vt:lpstr>CubicSpline_YC_Optim_Penalized!a_2</vt:lpstr>
      <vt:lpstr>CubicSpline_YC!a_3</vt:lpstr>
      <vt:lpstr>CubicSpline_YC_Optim!a_3</vt:lpstr>
      <vt:lpstr>CubicSpline_YC_Optim_Penalized!a_3</vt:lpstr>
      <vt:lpstr>CubicSpline_YC!a_30</vt:lpstr>
      <vt:lpstr>CubicSpline_YC_Optim!a_30</vt:lpstr>
      <vt:lpstr>CubicSpline_YC_Optim_Penalized!a_30</vt:lpstr>
      <vt:lpstr>CubicSpline_YC!a_4</vt:lpstr>
      <vt:lpstr>CubicSpline_YC_Optim!a_4</vt:lpstr>
      <vt:lpstr>CubicSpline_YC_Optim_Penalized!a_4</vt:lpstr>
      <vt:lpstr>CubicSpline_YC!a_5</vt:lpstr>
      <vt:lpstr>CubicSpline_YC_Optim!a_5</vt:lpstr>
      <vt:lpstr>CubicSpline_YC_Optim_Penalized!a_5</vt:lpstr>
      <vt:lpstr>CubicSpline_YC!a_7</vt:lpstr>
      <vt:lpstr>CubicSpline_YC_Optim!a_7</vt:lpstr>
      <vt:lpstr>CubicSpline_YC_Optim_Penalized!a_7</vt:lpstr>
      <vt:lpstr>CubicSpline_YC!a1_</vt:lpstr>
      <vt:lpstr>CubicSpline_YC_Optim!a1_</vt:lpstr>
      <vt:lpstr>CubicSpline_YC_Optim_Penalized!a1_</vt:lpstr>
      <vt:lpstr>a1_</vt:lpstr>
      <vt:lpstr>CubicSpline_YC!a2_</vt:lpstr>
      <vt:lpstr>CubicSpline_YC_Optim!a2_</vt:lpstr>
      <vt:lpstr>CubicSpline_YC_Optim_Penalized!a2_</vt:lpstr>
      <vt:lpstr>a2_</vt:lpstr>
      <vt:lpstr>CubicSpline_YC!a3_</vt:lpstr>
      <vt:lpstr>CubicSpline_YC_Optim!a3_</vt:lpstr>
      <vt:lpstr>CubicSpline_YC_Optim_Penalized!a3_</vt:lpstr>
      <vt:lpstr>a3_</vt:lpstr>
      <vt:lpstr>CubicSpline_YC!b_1</vt:lpstr>
      <vt:lpstr>CubicSpline_YC_Optim!b_1</vt:lpstr>
      <vt:lpstr>CubicSpline_YC_Optim_Penalized!b_1</vt:lpstr>
      <vt:lpstr>CubicSpline_YC!b_10</vt:lpstr>
      <vt:lpstr>CubicSpline_YC_Optim!b_10</vt:lpstr>
      <vt:lpstr>CubicSpline_YC_Optim_Penalized!b_10</vt:lpstr>
      <vt:lpstr>CubicSpline_YC!b_2</vt:lpstr>
      <vt:lpstr>CubicSpline_YC_Optim!b_2</vt:lpstr>
      <vt:lpstr>CubicSpline_YC_Optim_Penalized!b_2</vt:lpstr>
      <vt:lpstr>CubicSpline_YC!b_3</vt:lpstr>
      <vt:lpstr>CubicSpline_YC_Optim!b_3</vt:lpstr>
      <vt:lpstr>CubicSpline_YC_Optim_Penalized!b_3</vt:lpstr>
      <vt:lpstr>CubicSpline_YC!b_30</vt:lpstr>
      <vt:lpstr>CubicSpline_YC_Optim!b_30</vt:lpstr>
      <vt:lpstr>CubicSpline_YC_Optim_Penalized!b_30</vt:lpstr>
      <vt:lpstr>CubicSpline_YC!b_4</vt:lpstr>
      <vt:lpstr>CubicSpline_YC_Optim!b_4</vt:lpstr>
      <vt:lpstr>CubicSpline_YC_Optim_Penalized!b_4</vt:lpstr>
      <vt:lpstr>CubicSpline_YC!b_5</vt:lpstr>
      <vt:lpstr>CubicSpline_YC_Optim!b_5</vt:lpstr>
      <vt:lpstr>CubicSpline_YC_Optim_Penalized!b_5</vt:lpstr>
      <vt:lpstr>CubicSpline_YC!b_7</vt:lpstr>
      <vt:lpstr>CubicSpline_YC_Optim!b_7</vt:lpstr>
      <vt:lpstr>CubicSpline_YC_Optim_Penalized!b_7</vt:lpstr>
      <vt:lpstr>CubicSpline_YC!b1_</vt:lpstr>
      <vt:lpstr>CubicSpline_YC_Optim!b1_</vt:lpstr>
      <vt:lpstr>CubicSpline_YC_Optim_Penalized!b1_</vt:lpstr>
      <vt:lpstr>b1_</vt:lpstr>
      <vt:lpstr>CubicSpline_YC!b2_</vt:lpstr>
      <vt:lpstr>CubicSpline_YC_Optim!b2_</vt:lpstr>
      <vt:lpstr>CubicSpline_YC_Optim_Penalized!b2_</vt:lpstr>
      <vt:lpstr>b2_</vt:lpstr>
      <vt:lpstr>CubicSpline_YC!b3_</vt:lpstr>
      <vt:lpstr>CubicSpline_YC_Optim!b3_</vt:lpstr>
      <vt:lpstr>CubicSpline_YC_Optim_Penalized!b3_</vt:lpstr>
      <vt:lpstr>b3_</vt:lpstr>
      <vt:lpstr>CubicSpline_YC!c_0</vt:lpstr>
      <vt:lpstr>CubicSpline_YC_Optim!c_0</vt:lpstr>
      <vt:lpstr>CubicSpline_YC_Optim_Penalized!c_0</vt:lpstr>
      <vt:lpstr>CubicSpline_YC!c_1</vt:lpstr>
      <vt:lpstr>CubicSpline_YC_Optim!c_1</vt:lpstr>
      <vt:lpstr>CubicSpline_YC_Optim_Penalized!c_1</vt:lpstr>
      <vt:lpstr>CubicSpline_YC!c_10</vt:lpstr>
      <vt:lpstr>CubicSpline_YC_Optim!c_10</vt:lpstr>
      <vt:lpstr>CubicSpline_YC_Optim_Penalized!c_10</vt:lpstr>
      <vt:lpstr>CubicSpline_YC!c_2</vt:lpstr>
      <vt:lpstr>CubicSpline_YC_Optim!c_2</vt:lpstr>
      <vt:lpstr>CubicSpline_YC_Optim_Penalized!c_2</vt:lpstr>
      <vt:lpstr>CubicSpline_YC!c_3</vt:lpstr>
      <vt:lpstr>CubicSpline_YC_Optim!c_3</vt:lpstr>
      <vt:lpstr>CubicSpline_YC_Optim_Penalized!c_3</vt:lpstr>
      <vt:lpstr>CubicSpline_YC!c_30</vt:lpstr>
      <vt:lpstr>CubicSpline_YC_Optim!c_30</vt:lpstr>
      <vt:lpstr>CubicSpline_YC_Optim_Penalized!c_30</vt:lpstr>
      <vt:lpstr>CubicSpline_YC!c_4</vt:lpstr>
      <vt:lpstr>CubicSpline_YC_Optim!c_4</vt:lpstr>
      <vt:lpstr>CubicSpline_YC_Optim_Penalized!c_4</vt:lpstr>
      <vt:lpstr>CubicSpline_YC!c_5</vt:lpstr>
      <vt:lpstr>CubicSpline_YC_Optim!c_5</vt:lpstr>
      <vt:lpstr>CubicSpline_YC_Optim_Penalized!c_5</vt:lpstr>
      <vt:lpstr>CubicSpline_YC!c_7</vt:lpstr>
      <vt:lpstr>CubicSpline_YC_Optim!c_7</vt:lpstr>
      <vt:lpstr>CubicSpline_YC_Optim_Penalized!c_7</vt:lpstr>
      <vt:lpstr>CubicSpline_YC!d_0</vt:lpstr>
      <vt:lpstr>CubicSpline_YC_Optim!d_0</vt:lpstr>
      <vt:lpstr>CubicSpline_YC_Optim_Penalized!d_0</vt:lpstr>
      <vt:lpstr>CubicSpline_YC!d_1</vt:lpstr>
      <vt:lpstr>CubicSpline_YC_Optim!d_1</vt:lpstr>
      <vt:lpstr>CubicSpline_YC_Optim_Penalized!d_1</vt:lpstr>
      <vt:lpstr>CubicSpline_YC!d_10</vt:lpstr>
      <vt:lpstr>CubicSpline_YC_Optim!d_10</vt:lpstr>
      <vt:lpstr>CubicSpline_YC_Optim_Penalized!d_10</vt:lpstr>
      <vt:lpstr>CubicSpline_YC!d_2</vt:lpstr>
      <vt:lpstr>CubicSpline_YC_Optim!d_2</vt:lpstr>
      <vt:lpstr>CubicSpline_YC_Optim_Penalized!d_2</vt:lpstr>
      <vt:lpstr>CubicSpline_YC!d_3</vt:lpstr>
      <vt:lpstr>CubicSpline_YC_Optim!d_3</vt:lpstr>
      <vt:lpstr>CubicSpline_YC_Optim_Penalized!d_3</vt:lpstr>
      <vt:lpstr>CubicSpline_YC!d_30</vt:lpstr>
      <vt:lpstr>CubicSpline_YC_Optim!d_30</vt:lpstr>
      <vt:lpstr>CubicSpline_YC_Optim_Penalized!d_30</vt:lpstr>
      <vt:lpstr>CubicSpline_YC!d_4</vt:lpstr>
      <vt:lpstr>CubicSpline_YC_Optim!d_4</vt:lpstr>
      <vt:lpstr>CubicSpline_YC_Optim_Penalized!d_4</vt:lpstr>
      <vt:lpstr>CubicSpline_YC!d_5</vt:lpstr>
      <vt:lpstr>CubicSpline_YC_Optim!d_5</vt:lpstr>
      <vt:lpstr>CubicSpline_YC_Optim_Penalized!d_5</vt:lpstr>
      <vt:lpstr>CubicSpline_YC!d_7</vt:lpstr>
      <vt:lpstr>CubicSpline_YC_Optim!d_7</vt:lpstr>
      <vt:lpstr>CubicSpline_YC_Optim_Penalized!d_7</vt:lpstr>
      <vt:lpstr>CubicSpline_YC!d1_</vt:lpstr>
      <vt:lpstr>CubicSpline_YC_Optim!d1_</vt:lpstr>
      <vt:lpstr>CubicSpline_YC_Optim_Penalized!d1_</vt:lpstr>
      <vt:lpstr>d1_</vt:lpstr>
      <vt:lpstr>CubicSpline_YC!d2_</vt:lpstr>
      <vt:lpstr>CubicSpline_YC_Optim!d2_</vt:lpstr>
      <vt:lpstr>CubicSpline_YC_Optim_Penalized!d2_</vt:lpstr>
      <vt:lpstr>d2_</vt:lpstr>
      <vt:lpstr>CubicSpline_YC!d3_</vt:lpstr>
      <vt:lpstr>CubicSpline_YC_Optim!d3_</vt:lpstr>
      <vt:lpstr>CubicSpline_YC_Optim_Penalized!d3_</vt:lpstr>
      <vt:lpstr>d3_</vt:lpstr>
      <vt:lpstr>CubicSpline_YC!dmat</vt:lpstr>
      <vt:lpstr>CubicSpline_YC_Optim!dmat</vt:lpstr>
      <vt:lpstr>CubicSpline_YC_Optim_Penalized!dmat</vt:lpstr>
      <vt:lpstr>CubicSpline_YC!i</vt:lpstr>
      <vt:lpstr>CubicSpline_YC_Optim!i</vt:lpstr>
      <vt:lpstr>CubicSpline_YC_Optim_Penalized!i</vt:lpstr>
      <vt:lpstr>i</vt:lpstr>
      <vt:lpstr>CubicSpline_YC_Optim_Penalized!i_1</vt:lpstr>
      <vt:lpstr>i_1</vt:lpstr>
      <vt:lpstr>CubicSpline_YC!label</vt:lpstr>
      <vt:lpstr>CubicSpline_YC_Optim!label</vt:lpstr>
      <vt:lpstr>CubicSpline_YC_Optim_Penalized!label</vt:lpstr>
      <vt:lpstr>CubicSpline3!label</vt:lpstr>
      <vt:lpstr>CubicSpline_YC!t</vt:lpstr>
      <vt:lpstr>CubicSpline_YC_Optim!t</vt:lpstr>
      <vt:lpstr>CubicSpline_YC_Optim_Penalized!t</vt:lpstr>
      <vt:lpstr>t</vt:lpstr>
      <vt:lpstr>CubicSpline_YC!time</vt:lpstr>
      <vt:lpstr>CubicSpline_YC_Optim!time</vt:lpstr>
      <vt:lpstr>CubicSpline_YC_Optim_Penalized!time</vt:lpstr>
      <vt:lpstr>CubicSpline2!time</vt:lpstr>
      <vt:lpstr>CubicSpline3!time</vt:lpstr>
      <vt:lpstr>CubicSpline_YC!Time_</vt:lpstr>
      <vt:lpstr>CubicSpline_YC_Optim!Time_</vt:lpstr>
      <vt:lpstr>CubicSpline_YC_Optim_Penalized!Time_</vt:lpstr>
      <vt:lpstr>CubicSpline_YC!value</vt:lpstr>
      <vt:lpstr>CubicSpline_YC_Optim!value</vt:lpstr>
      <vt:lpstr>CubicSpline_YC_Optim_Penalized!value</vt:lpstr>
      <vt:lpstr>CubicSpline3!value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2022-02-25T13:09:19Z</dcterms:modified>
</cp:coreProperties>
</file>