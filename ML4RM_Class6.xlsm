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91D8E339-06F5-6240-9A73-BC679581121E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ClusterAnalysis" sheetId="119" r:id="rId13"/>
    <sheet name="Cluster" sheetId="122" state="veryHidden" r:id="rId14"/>
    <sheet name="Excel_Demo" sheetId="123" state="veryHidden" r:id="rId15"/>
    <sheet name="R_Demo" sheetId="124" state="veryHidden" r:id="rId16"/>
    <sheet name="Silhouette" sheetId="160" state="veryHidden" r:id="rId17"/>
    <sheet name="PieceWiseModels" sheetId="157" r:id="rId18"/>
    <sheet name="Data" sheetId="140" state="veryHidden" r:id="rId19"/>
    <sheet name="Fit_O3" sheetId="141" state="veryHidden" r:id="rId20"/>
    <sheet name="Fit_3Piece_O0" sheetId="142" state="veryHidden" r:id="rId21"/>
    <sheet name="Fit_3Piece_O1" sheetId="143" state="veryHidden" r:id="rId22"/>
    <sheet name="Fit_3Piece_O1_v2" sheetId="144" state="veryHidden" r:id="rId23"/>
    <sheet name="Fit_6Piece_O1" sheetId="145" state="veryHidden" r:id="rId24"/>
    <sheet name="Fit_2Piece_O2" sheetId="146" state="veryHidden" r:id="rId25"/>
    <sheet name="Splines" sheetId="156" r:id="rId26"/>
    <sheet name="NoSpline1" sheetId="147" state="veryHidden" r:id="rId27"/>
    <sheet name="NoSpline2" sheetId="148" state="veryHidden" r:id="rId28"/>
    <sheet name="NoSpline3" sheetId="149" state="veryHidden" r:id="rId29"/>
    <sheet name="CubicSpline1" sheetId="150" state="veryHidden" r:id="rId30"/>
    <sheet name="CubicSpline2" sheetId="151" state="veryHidden" r:id="rId31"/>
    <sheet name="CubicSpline3" sheetId="152" state="veryHidden" r:id="rId32"/>
    <sheet name="CubicSpline_YC" sheetId="153" state="veryHidden" r:id="rId33"/>
    <sheet name="CubicSpline_YC_Optim" sheetId="154" state="veryHidden" r:id="rId34"/>
    <sheet name="CubicSpline_YC_Optim_Penalized" sheetId="155" state="veryHidden" r:id="rId35"/>
    <sheet name="Shapley" sheetId="161" r:id="rId36"/>
    <sheet name="Additive_2Player" sheetId="162" state="veryHidden" r:id="rId37"/>
    <sheet name="Additive_2P_Cases" sheetId="163" state="veryHidden" r:id="rId38"/>
    <sheet name="Additive_2P_Expectation" sheetId="164" state="veryHidden" r:id="rId39"/>
    <sheet name="Website" sheetId="165" state="veryHidden" r:id="rId40"/>
    <sheet name="Additive_3Player" sheetId="166" state="veryHidden" r:id="rId41"/>
    <sheet name="Marginals" sheetId="167" state="veryHidden" r:id="rId42"/>
    <sheet name="Modeling" sheetId="168" state="veryHidden" r:id="rId43"/>
    <sheet name="NaiveBayes" sheetId="178" r:id="rId44"/>
    <sheet name="train" sheetId="173" state="veryHidden" r:id="rId45"/>
    <sheet name="test" sheetId="174" state="veryHidden" r:id="rId46"/>
    <sheet name="fit_forecast" sheetId="175" state="veryHidden" r:id="rId47"/>
    <sheet name="RCode" sheetId="177" state="veryHidden" r:id="rId48"/>
    <sheet name="PreWork4NextClass" sheetId="27" r:id="rId49"/>
    <sheet name="InClassProjects" sheetId="26" r:id="rId50"/>
    <sheet name="Q_Diagnostics" sheetId="31" r:id="rId51"/>
    <sheet name="Q_LogisticRegression" sheetId="137" r:id="rId52"/>
    <sheet name="Q_ClusterAnalysis" sheetId="169" r:id="rId53"/>
    <sheet name="Q_Splines" sheetId="136" r:id="rId54"/>
    <sheet name="Q_Shapley" sheetId="171" r:id="rId55"/>
    <sheet name="Q_NaiveBayes" sheetId="172" r:id="rId56"/>
  </sheets>
  <externalReferences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c1" localSheetId="32">CubicSpline_YC!$T$30</definedName>
    <definedName name="_c1" localSheetId="33">CubicSpline_YC_Optim!$T$30</definedName>
    <definedName name="_c1" localSheetId="34">CubicSpline_YC_Optim_Penalized!$T$30</definedName>
    <definedName name="_c1">CubicSpline3!$T$27</definedName>
    <definedName name="_c2" localSheetId="32">CubicSpline_YC!$T$34</definedName>
    <definedName name="_c2" localSheetId="33">CubicSpline_YC_Optim!$T$34</definedName>
    <definedName name="_c2" localSheetId="34">CubicSpline_YC_Optim_Penalized!$T$34</definedName>
    <definedName name="_c2">CubicSpline3!$T$31</definedName>
    <definedName name="_c3" localSheetId="32">CubicSpline_YC!$T$38</definedName>
    <definedName name="_c3" localSheetId="33">CubicSpline_YC_Optim!$T$38</definedName>
    <definedName name="_c3" localSheetId="34">CubicSpline_YC_Optim_Penalized!$T$38</definedName>
    <definedName name="_c3">CubicSpline3!$T$35</definedName>
    <definedName name="_r2" localSheetId="2">#REF!</definedName>
    <definedName name="_r2">#REF!</definedName>
    <definedName name="_R2_orig">[1]RSquareAdj!$C$6</definedName>
    <definedName name="A">[2]NextClass1_MeanVar!#REF!</definedName>
    <definedName name="a_0" localSheetId="32">CubicSpline_YC!#REF!</definedName>
    <definedName name="a_0" localSheetId="33">CubicSpline_YC_Optim!#REF!</definedName>
    <definedName name="a_0" localSheetId="34">CubicSpline_YC_Optim_Penalized!#REF!</definedName>
    <definedName name="a_0">#REF!</definedName>
    <definedName name="a_1" localSheetId="32">CubicSpline_YC!$AN$28</definedName>
    <definedName name="a_1" localSheetId="33">CubicSpline_YC_Optim!$AN$28</definedName>
    <definedName name="a_1" localSheetId="34">CubicSpline_YC_Optim_Penalized!$AN$28</definedName>
    <definedName name="a_1">#REF!</definedName>
    <definedName name="a_10" localSheetId="32">CubicSpline_YC!$AN$52</definedName>
    <definedName name="a_10" localSheetId="33">CubicSpline_YC_Optim!$AN$52</definedName>
    <definedName name="a_10" localSheetId="34">CubicSpline_YC_Optim_Penalized!$AN$52</definedName>
    <definedName name="a_10">#REF!</definedName>
    <definedName name="a_2" localSheetId="32">CubicSpline_YC!$AN$32</definedName>
    <definedName name="a_2" localSheetId="33">CubicSpline_YC_Optim!$AN$32</definedName>
    <definedName name="a_2" localSheetId="34">CubicSpline_YC_Optim_Penalized!$AN$32</definedName>
    <definedName name="a_2">#REF!</definedName>
    <definedName name="a_3" localSheetId="32">CubicSpline_YC!$AN$36</definedName>
    <definedName name="a_3" localSheetId="33">CubicSpline_YC_Optim!$AN$36</definedName>
    <definedName name="a_3" localSheetId="34">CubicSpline_YC_Optim_Penalized!$AN$36</definedName>
    <definedName name="a_3">#REF!</definedName>
    <definedName name="a_30" localSheetId="32">CubicSpline_YC!$AN$56</definedName>
    <definedName name="a_30" localSheetId="33">CubicSpline_YC_Optim!$AN$56</definedName>
    <definedName name="a_30" localSheetId="34">CubicSpline_YC_Optim_Penalized!$AN$56</definedName>
    <definedName name="a_30">#REF!</definedName>
    <definedName name="a_4" localSheetId="32">CubicSpline_YC!$AN$40</definedName>
    <definedName name="a_4" localSheetId="33">CubicSpline_YC_Optim!$AN$40</definedName>
    <definedName name="a_4" localSheetId="34">CubicSpline_YC_Optim_Penalized!$AN$40</definedName>
    <definedName name="a_4">#REF!</definedName>
    <definedName name="a_5" localSheetId="32">CubicSpline_YC!$AN$44</definedName>
    <definedName name="a_5" localSheetId="33">CubicSpline_YC_Optim!$AN$44</definedName>
    <definedName name="a_5" localSheetId="34">CubicSpline_YC_Optim_Penalized!$AN$44</definedName>
    <definedName name="a_5">#REF!</definedName>
    <definedName name="a_7" localSheetId="32">CubicSpline_YC!$AN$48</definedName>
    <definedName name="a_7" localSheetId="33">CubicSpline_YC_Optim!$AN$48</definedName>
    <definedName name="a_7" localSheetId="34">CubicSpline_YC_Optim_Penalized!$AN$48</definedName>
    <definedName name="a_7">#REF!</definedName>
    <definedName name="A_x">[3]ProductRule!$C$14</definedName>
    <definedName name="A_x_h">[3]ProductRule!$C$16</definedName>
    <definedName name="a1_" localSheetId="32">CubicSpline_YC!$T$28</definedName>
    <definedName name="a1_" localSheetId="33">CubicSpline_YC_Optim!$T$28</definedName>
    <definedName name="a1_" localSheetId="34">CubicSpline_YC_Optim_Penalized!$T$28</definedName>
    <definedName name="a1_">CubicSpline3!$T$25</definedName>
    <definedName name="a2_" localSheetId="32">CubicSpline_YC!$T$32</definedName>
    <definedName name="a2_" localSheetId="33">CubicSpline_YC_Optim!$T$32</definedName>
    <definedName name="a2_" localSheetId="34">CubicSpline_YC_Optim_Penalized!$T$32</definedName>
    <definedName name="a2_">CubicSpline3!$T$29</definedName>
    <definedName name="a3_" localSheetId="32">CubicSpline_YC!$T$36</definedName>
    <definedName name="a3_" localSheetId="33">CubicSpline_YC_Optim!$T$36</definedName>
    <definedName name="a3_" localSheetId="34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2">CubicSpline_YC!#REF!</definedName>
    <definedName name="b_0" localSheetId="33">CubicSpline_YC_Optim!#REF!</definedName>
    <definedName name="b_0" localSheetId="34">CubicSpline_YC_Optim_Penalized!#REF!</definedName>
    <definedName name="b_0">#REF!</definedName>
    <definedName name="b_1" localSheetId="32">CubicSpline_YC!$AN$29</definedName>
    <definedName name="b_1" localSheetId="33">CubicSpline_YC_Optim!$AN$29</definedName>
    <definedName name="b_1" localSheetId="34">CubicSpline_YC_Optim_Penalized!$AN$29</definedName>
    <definedName name="b_1">#REF!</definedName>
    <definedName name="b_10" localSheetId="32">CubicSpline_YC!$AN$53</definedName>
    <definedName name="b_10" localSheetId="33">CubicSpline_YC_Optim!$AN$53</definedName>
    <definedName name="b_10" localSheetId="34">CubicSpline_YC_Optim_Penalized!$AN$53</definedName>
    <definedName name="b_10">#REF!</definedName>
    <definedName name="b_2" localSheetId="32">CubicSpline_YC!$AN$33</definedName>
    <definedName name="b_2" localSheetId="33">CubicSpline_YC_Optim!$AN$33</definedName>
    <definedName name="b_2" localSheetId="34">CubicSpline_YC_Optim_Penalized!$AN$33</definedName>
    <definedName name="b_2">#REF!</definedName>
    <definedName name="b_3" localSheetId="32">CubicSpline_YC!$AN$37</definedName>
    <definedName name="b_3" localSheetId="33">CubicSpline_YC_Optim!$AN$37</definedName>
    <definedName name="b_3" localSheetId="34">CubicSpline_YC_Optim_Penalized!$AN$37</definedName>
    <definedName name="b_3">#REF!</definedName>
    <definedName name="b_30" localSheetId="32">CubicSpline_YC!$AN$57</definedName>
    <definedName name="b_30" localSheetId="33">CubicSpline_YC_Optim!$AN$57</definedName>
    <definedName name="b_30" localSheetId="34">CubicSpline_YC_Optim_Penalized!$AN$57</definedName>
    <definedName name="b_30">#REF!</definedName>
    <definedName name="b_4" localSheetId="32">CubicSpline_YC!$AN$41</definedName>
    <definedName name="b_4" localSheetId="33">CubicSpline_YC_Optim!$AN$41</definedName>
    <definedName name="b_4" localSheetId="34">CubicSpline_YC_Optim_Penalized!$AN$41</definedName>
    <definedName name="b_4">#REF!</definedName>
    <definedName name="b_5" localSheetId="32">CubicSpline_YC!$AN$45</definedName>
    <definedName name="b_5" localSheetId="33">CubicSpline_YC_Optim!$AN$45</definedName>
    <definedName name="b_5" localSheetId="34">CubicSpline_YC_Optim_Penalized!$AN$45</definedName>
    <definedName name="b_5">#REF!</definedName>
    <definedName name="b_7" localSheetId="32">CubicSpline_YC!$AN$49</definedName>
    <definedName name="b_7" localSheetId="33">CubicSpline_YC_Optim!$AN$49</definedName>
    <definedName name="b_7" localSheetId="34">CubicSpline_YC_Optim_Penalized!$AN$49</definedName>
    <definedName name="b_7">#REF!</definedName>
    <definedName name="b0">#REF!</definedName>
    <definedName name="b1_" localSheetId="32">CubicSpline_YC!$T$29</definedName>
    <definedName name="b1_" localSheetId="33">CubicSpline_YC_Optim!$T$29</definedName>
    <definedName name="b1_" localSheetId="34">CubicSpline_YC_Optim_Penalized!$T$29</definedName>
    <definedName name="b1_">CubicSpline3!$T$26</definedName>
    <definedName name="b2_" localSheetId="32">CubicSpline_YC!$T$33</definedName>
    <definedName name="b2_" localSheetId="33">CubicSpline_YC_Optim!$T$33</definedName>
    <definedName name="b2_" localSheetId="34">CubicSpline_YC_Optim_Penalized!$T$33</definedName>
    <definedName name="b2_">CubicSpline3!$T$30</definedName>
    <definedName name="b3_" localSheetId="32">CubicSpline_YC!$T$37</definedName>
    <definedName name="b3_" localSheetId="33">CubicSpline_YC_Optim!$T$37</definedName>
    <definedName name="b3_" localSheetId="34">CubicSpline_YC_Optim_Penalized!$T$37</definedName>
    <definedName name="b3_">CubicSpline3!$T$34</definedName>
    <definedName name="beta" localSheetId="2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2">CubicSpline_YC!$AN$60</definedName>
    <definedName name="c_0" localSheetId="33">CubicSpline_YC_Optim!$AN$60</definedName>
    <definedName name="c_0" localSheetId="34">CubicSpline_YC_Optim_Penalized!$AN$60</definedName>
    <definedName name="c_0">#REF!</definedName>
    <definedName name="c_1" localSheetId="32">CubicSpline_YC!$AN$30</definedName>
    <definedName name="c_1" localSheetId="33">CubicSpline_YC_Optim!$AN$30</definedName>
    <definedName name="c_1" localSheetId="34">CubicSpline_YC_Optim_Penalized!$AN$30</definedName>
    <definedName name="c_1">#REF!</definedName>
    <definedName name="c_10" localSheetId="32">CubicSpline_YC!$AN$54</definedName>
    <definedName name="c_10" localSheetId="33">CubicSpline_YC_Optim!$AN$54</definedName>
    <definedName name="c_10" localSheetId="34">CubicSpline_YC_Optim_Penalized!$AN$54</definedName>
    <definedName name="c_10">#REF!</definedName>
    <definedName name="c_2" localSheetId="32">CubicSpline_YC!$AN$34</definedName>
    <definedName name="c_2" localSheetId="33">CubicSpline_YC_Optim!$AN$34</definedName>
    <definedName name="c_2" localSheetId="34">CubicSpline_YC_Optim_Penalized!$AN$34</definedName>
    <definedName name="c_2">#REF!</definedName>
    <definedName name="c_3" localSheetId="32">CubicSpline_YC!$AN$38</definedName>
    <definedName name="c_3" localSheetId="33">CubicSpline_YC_Optim!$AN$38</definedName>
    <definedName name="c_3" localSheetId="34">CubicSpline_YC_Optim_Penalized!$AN$38</definedName>
    <definedName name="c_3">#REF!</definedName>
    <definedName name="c_30" localSheetId="32">CubicSpline_YC!$AN$58</definedName>
    <definedName name="c_30" localSheetId="33">CubicSpline_YC_Optim!$AN$58</definedName>
    <definedName name="c_30" localSheetId="34">CubicSpline_YC_Optim_Penalized!$AN$58</definedName>
    <definedName name="c_30">#REF!</definedName>
    <definedName name="c_4" localSheetId="32">CubicSpline_YC!$AN$42</definedName>
    <definedName name="c_4" localSheetId="33">CubicSpline_YC_Optim!$AN$42</definedName>
    <definedName name="c_4" localSheetId="34">CubicSpline_YC_Optim_Penalized!$AN$42</definedName>
    <definedName name="c_4">#REF!</definedName>
    <definedName name="c_5" localSheetId="32">CubicSpline_YC!$AN$46</definedName>
    <definedName name="c_5" localSheetId="33">CubicSpline_YC_Optim!$AN$46</definedName>
    <definedName name="c_5" localSheetId="34">CubicSpline_YC_Optim_Penalized!$AN$46</definedName>
    <definedName name="c_5">#REF!</definedName>
    <definedName name="c_7" localSheetId="32">CubicSpline_YC!$AN$50</definedName>
    <definedName name="c_7" localSheetId="33">CubicSpline_YC_Optim!$AN$50</definedName>
    <definedName name="c_7" localSheetId="34">CubicSpline_YC_Optim_Penalized!$AN$50</definedName>
    <definedName name="c_7">#REF!</definedName>
    <definedName name="Cake">#REF!</definedName>
    <definedName name="Cd" localSheetId="2">[8]Options2!#REF!</definedName>
    <definedName name="Cd">[8]Options2!#REF!</definedName>
    <definedName name="Change" localSheetId="2">[5]VaR0!#REF!</definedName>
    <definedName name="Change">[5]VaR0!#REF!</definedName>
    <definedName name="change1" localSheetId="2">#REF!</definedName>
    <definedName name="change1">#REF!</definedName>
    <definedName name="change2" localSheetId="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2">CubicSpline_YC!$AN$61</definedName>
    <definedName name="d_0" localSheetId="33">CubicSpline_YC_Optim!$AN$61</definedName>
    <definedName name="d_0" localSheetId="34">CubicSpline_YC_Optim_Penalized!$AN$61</definedName>
    <definedName name="d_0">#REF!</definedName>
    <definedName name="d_1" localSheetId="32">CubicSpline_YC!$AN$31</definedName>
    <definedName name="d_1" localSheetId="33">CubicSpline_YC_Optim!$AN$31</definedName>
    <definedName name="d_1" localSheetId="34">CubicSpline_YC_Optim_Penalized!$AN$31</definedName>
    <definedName name="d_1">#REF!</definedName>
    <definedName name="d_10" localSheetId="32">CubicSpline_YC!$AN$55</definedName>
    <definedName name="d_10" localSheetId="33">CubicSpline_YC_Optim!$AN$55</definedName>
    <definedName name="d_10" localSheetId="34">CubicSpline_YC_Optim_Penalized!$AN$55</definedName>
    <definedName name="d_10">#REF!</definedName>
    <definedName name="d_2" localSheetId="32">CubicSpline_YC!$AN$35</definedName>
    <definedName name="d_2" localSheetId="33">CubicSpline_YC_Optim!$AN$35</definedName>
    <definedName name="d_2" localSheetId="34">CubicSpline_YC_Optim_Penalized!$AN$35</definedName>
    <definedName name="d_2">#REF!</definedName>
    <definedName name="d_3" localSheetId="32">CubicSpline_YC!$AN$39</definedName>
    <definedName name="d_3" localSheetId="33">CubicSpline_YC_Optim!$AN$39</definedName>
    <definedName name="d_3" localSheetId="34">CubicSpline_YC_Optim_Penalized!$AN$39</definedName>
    <definedName name="d_3">#REF!</definedName>
    <definedName name="d_30" localSheetId="32">CubicSpline_YC!$AN$59</definedName>
    <definedName name="d_30" localSheetId="33">CubicSpline_YC_Optim!$AN$59</definedName>
    <definedName name="d_30" localSheetId="34">CubicSpline_YC_Optim_Penalized!$AN$59</definedName>
    <definedName name="d_30">#REF!</definedName>
    <definedName name="d_4" localSheetId="32">CubicSpline_YC!$AN$43</definedName>
    <definedName name="d_4" localSheetId="33">CubicSpline_YC_Optim!$AN$43</definedName>
    <definedName name="d_4" localSheetId="34">CubicSpline_YC_Optim_Penalized!$AN$43</definedName>
    <definedName name="d_4">#REF!</definedName>
    <definedName name="d_5" localSheetId="32">CubicSpline_YC!$AN$47</definedName>
    <definedName name="d_5" localSheetId="33">CubicSpline_YC_Optim!$AN$47</definedName>
    <definedName name="d_5" localSheetId="34">CubicSpline_YC_Optim_Penalized!$AN$47</definedName>
    <definedName name="d_5">#REF!</definedName>
    <definedName name="d_7" localSheetId="32">CubicSpline_YC!$AN$51</definedName>
    <definedName name="d_7" localSheetId="33">CubicSpline_YC_Optim!$AN$51</definedName>
    <definedName name="d_7" localSheetId="34">CubicSpline_YC_Optim_Penalized!$AN$51</definedName>
    <definedName name="d_7">#REF!</definedName>
    <definedName name="d1_" localSheetId="32">CubicSpline_YC!$T$31</definedName>
    <definedName name="d1_" localSheetId="33">CubicSpline_YC_Optim!$T$31</definedName>
    <definedName name="d1_" localSheetId="34">CubicSpline_YC_Optim_Penalized!$T$31</definedName>
    <definedName name="d1_">CubicSpline3!$T$28</definedName>
    <definedName name="d2_" localSheetId="32">CubicSpline_YC!$T$35</definedName>
    <definedName name="d2_" localSheetId="33">CubicSpline_YC_Optim!$T$35</definedName>
    <definedName name="d2_" localSheetId="34">CubicSpline_YC_Optim_Penalized!$T$35</definedName>
    <definedName name="d2_">CubicSpline3!$T$32</definedName>
    <definedName name="d3_" localSheetId="32">CubicSpline_YC!$T$39</definedName>
    <definedName name="d3_" localSheetId="33">CubicSpline_YC_Optim!$T$39</definedName>
    <definedName name="d3_" localSheetId="34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2">CubicSpline_YC!$F$65:$AK$96</definedName>
    <definedName name="dmat" localSheetId="33">CubicSpline_YC_Optim!$F$65:$AK$96</definedName>
    <definedName name="dmat" localSheetId="34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2">CubicSpline_YC!$C$100:$C$400</definedName>
    <definedName name="i" localSheetId="33">CubicSpline_YC_Optim!$C$100:$C$400</definedName>
    <definedName name="i" localSheetId="34">CubicSpline_YC_Optim_Penalized!$C$100:$C$400</definedName>
    <definedName name="i">CubicSpline3!$AA$8:$AA$38</definedName>
    <definedName name="i_1" localSheetId="34">CubicSpline_YC_Optim_Penalized!$B$100:$B$400</definedName>
    <definedName name="i_1">CubicSpline_YC_Optim!$B$100:$B$400</definedName>
    <definedName name="idx" localSheetId="2">#REF!</definedName>
    <definedName name="idx">#REF!</definedName>
    <definedName name="Inflator">[1]RSquareAdj!$C$10</definedName>
    <definedName name="k" localSheetId="2">[15]KNN_Vote!$AA$3</definedName>
    <definedName name="k">#REF!</definedName>
    <definedName name="L">#REF!</definedName>
    <definedName name="label" localSheetId="32">CubicSpline_YC!$B$28:$B$59</definedName>
    <definedName name="label" localSheetId="33">CubicSpline_YC_Optim!$B$28:$B$59</definedName>
    <definedName name="label" localSheetId="34">CubicSpline_YC_Optim_Penalized!$B$28:$B$59</definedName>
    <definedName name="label" localSheetId="31">CubicSpline3!$B$25:$B$36</definedName>
    <definedName name="label">#REF!</definedName>
    <definedName name="LL">#REF!</definedName>
    <definedName name="LN_Sim" localSheetId="2">#REF!</definedName>
    <definedName name="LN_Sim">#REF!</definedName>
    <definedName name="loss" localSheetId="2">#REF!</definedName>
    <definedName name="loss">#REF!</definedName>
    <definedName name="loss_30" localSheetId="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>#REF!</definedName>
    <definedName name="peso_rate">[12]FX_Intro!$C$66</definedName>
    <definedName name="Pij" localSheetId="2">#REF!</definedName>
    <definedName name="Pij">#REF!</definedName>
    <definedName name="pmt" localSheetId="2">#REF!</definedName>
    <definedName name="pmt">#REF!</definedName>
    <definedName name="pmt_" localSheetId="2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>#REF!</definedName>
    <definedName name="price2" localSheetId="2">#REF!</definedName>
    <definedName name="price2">#REF!</definedName>
    <definedName name="price3" localSheetId="2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>#REF!</definedName>
    <definedName name="risk2" localSheetId="2">#REF!</definedName>
    <definedName name="risk2">#REF!</definedName>
    <definedName name="risk3" localSheetId="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>#REF!</definedName>
    <definedName name="SE1_" localSheetId="2">#REF!</definedName>
    <definedName name="SE1_">#REF!</definedName>
    <definedName name="SE2_" localSheetId="2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3" hidden="1">CubicSpline_YC_Optim!$AN$28:$AN$59</definedName>
    <definedName name="solver_adj" localSheetId="34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3" hidden="1">0.0001</definedName>
    <definedName name="solver_cvg" localSheetId="34" hidden="1">0.0001</definedName>
    <definedName name="solver_cvg" localSheetId="8" hidden="1">0.0001</definedName>
    <definedName name="solver_cvg" localSheetId="9" hidden="1">0.0001</definedName>
    <definedName name="solver_drv" localSheetId="33" hidden="1">1</definedName>
    <definedName name="solver_drv" localSheetId="34" hidden="1">1</definedName>
    <definedName name="solver_drv" localSheetId="8" hidden="1">1</definedName>
    <definedName name="solver_drv" localSheetId="9" hidden="1">1</definedName>
    <definedName name="solver_eng" localSheetId="33" hidden="1">1</definedName>
    <definedName name="solver_eng" localSheetId="34" hidden="1">1</definedName>
    <definedName name="solver_eng" localSheetId="8" hidden="1">1</definedName>
    <definedName name="solver_eng" localSheetId="9" hidden="1">1</definedName>
    <definedName name="solver_itr" localSheetId="33" hidden="1">2147483647</definedName>
    <definedName name="solver_itr" localSheetId="34" hidden="1">2147483647</definedName>
    <definedName name="solver_itr" localSheetId="8" hidden="1">2147483647</definedName>
    <definedName name="solver_itr" localSheetId="9" hidden="1">2147483647</definedName>
    <definedName name="solver_lin" localSheetId="33" hidden="1">2</definedName>
    <definedName name="solver_lin" localSheetId="34" hidden="1">2</definedName>
    <definedName name="solver_lin" localSheetId="8" hidden="1">2</definedName>
    <definedName name="solver_lin" localSheetId="9" hidden="1">2</definedName>
    <definedName name="solver_mip" localSheetId="33" hidden="1">2147483647</definedName>
    <definedName name="solver_mip" localSheetId="34" hidden="1">2147483647</definedName>
    <definedName name="solver_mip" localSheetId="8" hidden="1">2147483647</definedName>
    <definedName name="solver_mip" localSheetId="9" hidden="1">2147483647</definedName>
    <definedName name="solver_mni" localSheetId="33" hidden="1">30</definedName>
    <definedName name="solver_mni" localSheetId="34" hidden="1">30</definedName>
    <definedName name="solver_mni" localSheetId="8" hidden="1">30</definedName>
    <definedName name="solver_mni" localSheetId="9" hidden="1">30</definedName>
    <definedName name="solver_mrt" localSheetId="33" hidden="1">0.075</definedName>
    <definedName name="solver_mrt" localSheetId="34" hidden="1">0.075</definedName>
    <definedName name="solver_mrt" localSheetId="8" hidden="1">0.075</definedName>
    <definedName name="solver_mrt" localSheetId="9" hidden="1">0.075</definedName>
    <definedName name="solver_msl" localSheetId="33" hidden="1">2</definedName>
    <definedName name="solver_msl" localSheetId="34" hidden="1">2</definedName>
    <definedName name="solver_msl" localSheetId="8" hidden="1">2</definedName>
    <definedName name="solver_msl" localSheetId="9" hidden="1">2</definedName>
    <definedName name="solver_neg" localSheetId="33" hidden="1">2</definedName>
    <definedName name="solver_neg" localSheetId="34" hidden="1">2</definedName>
    <definedName name="solver_neg" localSheetId="8" hidden="1">1</definedName>
    <definedName name="solver_neg" localSheetId="9" hidden="1">1</definedName>
    <definedName name="solver_nod" localSheetId="33" hidden="1">2147483647</definedName>
    <definedName name="solver_nod" localSheetId="34" hidden="1">2147483647</definedName>
    <definedName name="solver_nod" localSheetId="8" hidden="1">2147483647</definedName>
    <definedName name="solver_nod" localSheetId="9" hidden="1">2147483647</definedName>
    <definedName name="solver_num" localSheetId="33" hidden="1">0</definedName>
    <definedName name="solver_num" localSheetId="34" hidden="1">0</definedName>
    <definedName name="solver_num" localSheetId="8" hidden="1">0</definedName>
    <definedName name="solver_num" localSheetId="9" hidden="1">0</definedName>
    <definedName name="solver_opt" localSheetId="33" hidden="1">CubicSpline_YC_Optim!$O$101</definedName>
    <definedName name="solver_opt" localSheetId="34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3" hidden="1">0.000001</definedName>
    <definedName name="solver_pre" localSheetId="34" hidden="1">0.000001</definedName>
    <definedName name="solver_pre" localSheetId="8" hidden="1">0.000001</definedName>
    <definedName name="solver_pre" localSheetId="9" hidden="1">0.000001</definedName>
    <definedName name="solver_rbv" localSheetId="33" hidden="1">1</definedName>
    <definedName name="solver_rbv" localSheetId="34" hidden="1">1</definedName>
    <definedName name="solver_rbv" localSheetId="8" hidden="1">1</definedName>
    <definedName name="solver_rbv" localSheetId="9" hidden="1">1</definedName>
    <definedName name="solver_rlx" localSheetId="33" hidden="1">1</definedName>
    <definedName name="solver_rlx" localSheetId="34" hidden="1">1</definedName>
    <definedName name="solver_rlx" localSheetId="8" hidden="1">2</definedName>
    <definedName name="solver_rlx" localSheetId="9" hidden="1">2</definedName>
    <definedName name="solver_rsd" localSheetId="33" hidden="1">0</definedName>
    <definedName name="solver_rsd" localSheetId="34" hidden="1">0</definedName>
    <definedName name="solver_rsd" localSheetId="8" hidden="1">0</definedName>
    <definedName name="solver_rsd" localSheetId="9" hidden="1">0</definedName>
    <definedName name="solver_scl" localSheetId="33" hidden="1">2</definedName>
    <definedName name="solver_scl" localSheetId="34" hidden="1">2</definedName>
    <definedName name="solver_scl" localSheetId="8" hidden="1">1</definedName>
    <definedName name="solver_scl" localSheetId="9" hidden="1">1</definedName>
    <definedName name="solver_sho" localSheetId="33" hidden="1">2</definedName>
    <definedName name="solver_sho" localSheetId="34" hidden="1">2</definedName>
    <definedName name="solver_sho" localSheetId="8" hidden="1">2</definedName>
    <definedName name="solver_sho" localSheetId="9" hidden="1">2</definedName>
    <definedName name="solver_ssz" localSheetId="33" hidden="1">100</definedName>
    <definedName name="solver_ssz" localSheetId="34" hidden="1">100</definedName>
    <definedName name="solver_ssz" localSheetId="8" hidden="1">100</definedName>
    <definedName name="solver_ssz" localSheetId="9" hidden="1">100</definedName>
    <definedName name="solver_tim" localSheetId="33" hidden="1">2147483647</definedName>
    <definedName name="solver_tim" localSheetId="34" hidden="1">2147483647</definedName>
    <definedName name="solver_tim" localSheetId="8" hidden="1">2147483647</definedName>
    <definedName name="solver_tim" localSheetId="9" hidden="1">2147483647</definedName>
    <definedName name="solver_tol" localSheetId="33" hidden="1">0.01</definedName>
    <definedName name="solver_tol" localSheetId="34" hidden="1">0.01</definedName>
    <definedName name="solver_tol" localSheetId="8" hidden="1">0.01</definedName>
    <definedName name="solver_tol" localSheetId="9" hidden="1">0.01</definedName>
    <definedName name="solver_typ" localSheetId="33" hidden="1">2</definedName>
    <definedName name="solver_typ" localSheetId="34" hidden="1">2</definedName>
    <definedName name="solver_typ" localSheetId="8" hidden="1">1</definedName>
    <definedName name="solver_typ" localSheetId="9" hidden="1">1</definedName>
    <definedName name="solver_val" localSheetId="33" hidden="1">0</definedName>
    <definedName name="solver_val" localSheetId="34" hidden="1">0</definedName>
    <definedName name="solver_val" localSheetId="8" hidden="1">0</definedName>
    <definedName name="solver_val" localSheetId="9" hidden="1">0</definedName>
    <definedName name="solver_ver" localSheetId="33" hidden="1">2</definedName>
    <definedName name="solver_ver" localSheetId="34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>#REF!</definedName>
    <definedName name="Sum">[13]CentralLimitTheorem!$C$7:$C$106</definedName>
    <definedName name="t" localSheetId="32">CubicSpline_YC!$D$100:$D$400</definedName>
    <definedName name="t" localSheetId="33">CubicSpline_YC_Optim!$D$100:$D$400</definedName>
    <definedName name="t" localSheetId="34">CubicSpline_YC_Optim_Penalized!$D$100:$D$400</definedName>
    <definedName name="t" localSheetId="2">#REF!</definedName>
    <definedName name="t">CubicSpline3!$AB$8:$AB$38</definedName>
    <definedName name="t_">[4]CDS!$B$21:$B$25</definedName>
    <definedName name="table_asf">[19]ASF!$C$31:$D$34</definedName>
    <definedName name="time" localSheetId="32">CubicSpline_YC!$D$28:$D$59</definedName>
    <definedName name="time" localSheetId="33">CubicSpline_YC_Optim!$D$28:$D$59</definedName>
    <definedName name="time" localSheetId="34">CubicSpline_YC_Optim_Penalized!$D$28:$D$59</definedName>
    <definedName name="time" localSheetId="30">CubicSpline2!$D$25:$D$36</definedName>
    <definedName name="time" localSheetId="31">CubicSpline3!$D$25:$D$36</definedName>
    <definedName name="Time" localSheetId="2">#REF!</definedName>
    <definedName name="time">CubicSpline1!$D$24:$D$27</definedName>
    <definedName name="Time_" localSheetId="32">CubicSpline_YC!$F$37:$F$66</definedName>
    <definedName name="Time_" localSheetId="33">CubicSpline_YC_Optim!$F$37:$F$66</definedName>
    <definedName name="Time_" localSheetId="34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2">CubicSpline_YC!$C$28:$C$59</definedName>
    <definedName name="value" localSheetId="33">CubicSpline_YC_Optim!$C$28:$C$59</definedName>
    <definedName name="value" localSheetId="34">CubicSpline_YC_Optim_Penalized!$C$28:$C$59</definedName>
    <definedName name="value" localSheetId="31">CubicSpline3!$C$25:$C$36</definedName>
    <definedName name="Value">[11]VaR3!$D$50:$H$50</definedName>
    <definedName name="value_01">[17]Dur2!$I$12</definedName>
    <definedName name="value_lo" localSheetId="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>#REF!</definedName>
    <definedName name="ybar" localSheetId="2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175" l="1"/>
  <c r="I15" i="175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G4" i="168" l="1"/>
  <c r="H4" i="168"/>
  <c r="I4" i="168"/>
  <c r="K4" i="168"/>
  <c r="G5" i="168"/>
  <c r="K5" i="168" s="1"/>
  <c r="H5" i="168"/>
  <c r="I5" i="168"/>
  <c r="G6" i="168"/>
  <c r="H6" i="168"/>
  <c r="I6" i="168"/>
  <c r="K6" i="168"/>
  <c r="G8" i="168"/>
  <c r="K8" i="168" s="1"/>
  <c r="H8" i="168"/>
  <c r="I8" i="168"/>
  <c r="G9" i="168"/>
  <c r="H9" i="168"/>
  <c r="I9" i="168"/>
  <c r="K9" i="168"/>
  <c r="G10" i="168"/>
  <c r="K10" i="168" s="1"/>
  <c r="H10" i="168"/>
  <c r="I10" i="168"/>
  <c r="G12" i="168"/>
  <c r="H12" i="168"/>
  <c r="I12" i="168"/>
  <c r="K12" i="168"/>
  <c r="D15" i="167"/>
  <c r="H15" i="167"/>
  <c r="L15" i="167"/>
  <c r="D17" i="167"/>
  <c r="F17" i="167"/>
  <c r="H17" i="167"/>
  <c r="J17" i="167"/>
  <c r="L17" i="167"/>
  <c r="N17" i="167"/>
  <c r="D18" i="167"/>
  <c r="F18" i="167"/>
  <c r="H18" i="167"/>
  <c r="J18" i="167"/>
  <c r="L18" i="167"/>
  <c r="N18" i="167"/>
  <c r="J20" i="167"/>
  <c r="N20" i="167"/>
  <c r="D12" i="166"/>
  <c r="D17" i="166" s="1"/>
  <c r="N17" i="166" s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T25" i="151" l="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E304" i="155"/>
  <c r="E266" i="154"/>
  <c r="E354" i="155"/>
  <c r="E123" i="155"/>
  <c r="E254" i="154"/>
  <c r="E234" i="154"/>
  <c r="E185" i="154"/>
  <c r="E224" i="154"/>
  <c r="E278" i="154"/>
  <c r="E351" i="155"/>
  <c r="E341" i="154"/>
  <c r="E364" i="155"/>
  <c r="E392" i="155"/>
  <c r="E347" i="155"/>
  <c r="E201" i="154"/>
  <c r="E167" i="154"/>
  <c r="E380" i="155"/>
  <c r="E162" i="154"/>
  <c r="E211" i="154"/>
  <c r="E192" i="155"/>
  <c r="E399" i="154"/>
  <c r="E267" i="154"/>
  <c r="E357" i="155"/>
  <c r="E117" i="155"/>
  <c r="E141" i="155"/>
  <c r="E260" i="154"/>
  <c r="E167" i="155"/>
  <c r="E382" i="155"/>
  <c r="E387" i="155"/>
  <c r="E356" i="154"/>
  <c r="E384" i="155"/>
  <c r="E305" i="154"/>
  <c r="E290" i="154"/>
  <c r="E304" i="154"/>
  <c r="E147" i="155"/>
  <c r="E283" i="155"/>
  <c r="E171" i="154"/>
  <c r="E142" i="154"/>
  <c r="E367" i="154"/>
  <c r="E220" i="155"/>
  <c r="E348" i="155"/>
  <c r="E291" i="155"/>
  <c r="E285" i="155"/>
  <c r="E186" i="155"/>
  <c r="E251" i="155"/>
  <c r="E230" i="154"/>
  <c r="E301" i="155"/>
  <c r="E239" i="155"/>
  <c r="E264" i="154"/>
  <c r="E323" i="154"/>
  <c r="E112" i="154"/>
  <c r="E205" i="154"/>
  <c r="E379" i="155"/>
  <c r="E104" i="154"/>
  <c r="E210" i="155"/>
  <c r="E386" i="155"/>
  <c r="E153" i="155"/>
  <c r="E319" i="154"/>
  <c r="E151" i="154"/>
  <c r="E308" i="155"/>
  <c r="E306" i="155"/>
  <c r="E261" i="155"/>
  <c r="E276" i="154"/>
  <c r="E373" i="155"/>
  <c r="E238" i="155"/>
  <c r="E183" i="155"/>
  <c r="E294" i="154"/>
  <c r="E229" i="155"/>
  <c r="E384" i="154"/>
  <c r="H200" i="154"/>
  <c r="E326" i="155"/>
  <c r="E211" i="155"/>
  <c r="E320" i="155"/>
  <c r="H130" i="154"/>
  <c r="E258" i="154"/>
  <c r="E200" i="154"/>
  <c r="E290" i="155"/>
  <c r="H130" i="155"/>
  <c r="E393" i="155"/>
  <c r="E130" i="155"/>
  <c r="E144" i="155"/>
  <c r="E250" i="155"/>
  <c r="E138" i="154"/>
  <c r="E213" i="155"/>
  <c r="E296" i="155"/>
  <c r="E381" i="155"/>
  <c r="E122" i="154"/>
  <c r="E390" i="154"/>
  <c r="E312" i="154"/>
  <c r="E229" i="154"/>
  <c r="E148" i="155"/>
  <c r="E250" i="154"/>
  <c r="E270" i="155"/>
  <c r="E393" i="154"/>
  <c r="E155" i="154"/>
  <c r="E207" i="154"/>
  <c r="E166" i="155"/>
  <c r="E318" i="154"/>
  <c r="E273" i="154"/>
  <c r="E283" i="154"/>
  <c r="E197" i="154"/>
  <c r="E292" i="154"/>
  <c r="E196" i="154"/>
  <c r="E358" i="155"/>
  <c r="E398" i="155"/>
  <c r="E281" i="154"/>
  <c r="E219" i="155"/>
  <c r="E361" i="154"/>
  <c r="E106" i="155"/>
  <c r="E366" i="155"/>
  <c r="E160" i="155"/>
  <c r="E192" i="154"/>
  <c r="E148" i="154"/>
  <c r="E354" i="154"/>
  <c r="E175" i="155"/>
  <c r="E303" i="154"/>
  <c r="E309" i="154"/>
  <c r="E369" i="154"/>
  <c r="E359" i="155"/>
  <c r="E257" i="155"/>
  <c r="E195" i="154"/>
  <c r="E346" i="154"/>
  <c r="E371" i="155"/>
  <c r="E316" i="154"/>
  <c r="E279" i="155"/>
  <c r="E187" i="155"/>
  <c r="E253" i="154"/>
  <c r="E160" i="154"/>
  <c r="E131" i="154"/>
  <c r="E130" i="154"/>
  <c r="E202" i="154"/>
  <c r="E295" i="155"/>
  <c r="E340" i="155"/>
  <c r="E321" i="154"/>
  <c r="E125" i="155"/>
  <c r="E202" i="155"/>
  <c r="E208" i="154"/>
  <c r="E216" i="154"/>
  <c r="E372" i="154"/>
  <c r="H120" i="154"/>
  <c r="E394" i="155"/>
  <c r="E214" i="155"/>
  <c r="E113" i="154"/>
  <c r="E212" i="155"/>
  <c r="E266" i="155"/>
  <c r="E365" i="155"/>
  <c r="E383" i="155"/>
  <c r="E370" i="154"/>
  <c r="E376" i="154"/>
  <c r="E318" i="155"/>
  <c r="E343" i="155"/>
  <c r="E215" i="155"/>
  <c r="E292" i="155"/>
  <c r="E375" i="154"/>
  <c r="E345" i="154"/>
  <c r="E288" i="155"/>
  <c r="E156" i="155"/>
  <c r="E114" i="155"/>
  <c r="E263" i="154"/>
  <c r="E129" i="155"/>
  <c r="E378" i="154"/>
  <c r="E355" i="155"/>
  <c r="E232" i="155"/>
  <c r="E305" i="155"/>
  <c r="E237" i="155"/>
  <c r="E333" i="155"/>
  <c r="E147" i="154"/>
  <c r="E332" i="155"/>
  <c r="E293" i="155"/>
  <c r="E399" i="155"/>
  <c r="E243" i="155"/>
  <c r="E244" i="154"/>
  <c r="E347" i="154"/>
  <c r="E373" i="154"/>
  <c r="E206" i="154"/>
  <c r="E176" i="154"/>
  <c r="E235" i="155"/>
  <c r="E282" i="155"/>
  <c r="E176" i="155"/>
  <c r="E398" i="154"/>
  <c r="E291" i="154"/>
  <c r="E252" i="155"/>
  <c r="E179" i="154"/>
  <c r="E355" i="154"/>
  <c r="E300" i="155"/>
  <c r="E240" i="154"/>
  <c r="E151" i="155"/>
  <c r="E236" i="155"/>
  <c r="E274" i="154"/>
  <c r="E293" i="154"/>
  <c r="E112" i="155"/>
  <c r="E395" i="154"/>
  <c r="E172" i="154"/>
  <c r="E350" i="155"/>
  <c r="E382" i="154"/>
  <c r="E325" i="155"/>
  <c r="E111" i="154"/>
  <c r="E228" i="155"/>
  <c r="E216" i="155"/>
  <c r="E299" i="155"/>
  <c r="E109" i="155"/>
  <c r="E395" i="155"/>
  <c r="E185" i="155"/>
  <c r="E336" i="155"/>
  <c r="E175" i="154"/>
  <c r="E328" i="155"/>
  <c r="E307" i="154"/>
  <c r="E253" i="155"/>
  <c r="E182" i="154"/>
  <c r="E105" i="154"/>
  <c r="E227" i="155"/>
  <c r="E124" i="154"/>
  <c r="E116" i="155"/>
  <c r="E198" i="154"/>
  <c r="E113" i="155"/>
  <c r="E117" i="154"/>
  <c r="E352" i="155"/>
  <c r="E335" i="155"/>
  <c r="E271" i="155"/>
  <c r="E280" i="154"/>
  <c r="E256" i="154"/>
  <c r="E360" i="155"/>
  <c r="E145" i="155"/>
  <c r="E188" i="154"/>
  <c r="E252" i="154"/>
  <c r="E336" i="154"/>
  <c r="E276" i="155"/>
  <c r="E174" i="155"/>
  <c r="E389" i="154"/>
  <c r="E289" i="155"/>
  <c r="E194" i="155"/>
  <c r="E235" i="154"/>
  <c r="E115" i="154"/>
  <c r="E286" i="155"/>
  <c r="E288" i="154"/>
  <c r="E247" i="155"/>
  <c r="E191" i="154"/>
  <c r="H140" i="154"/>
  <c r="E329" i="155"/>
  <c r="E194" i="154"/>
  <c r="E197" i="155"/>
  <c r="E269" i="154"/>
  <c r="E278" i="155"/>
  <c r="E238" i="154"/>
  <c r="E307" i="155"/>
  <c r="E367" i="155"/>
  <c r="E400" i="155"/>
  <c r="E383" i="154"/>
  <c r="E164" i="155"/>
  <c r="E118" i="155"/>
  <c r="E159" i="154"/>
  <c r="E394" i="154"/>
  <c r="E195" i="155"/>
  <c r="E100" i="154"/>
  <c r="E199" i="154"/>
  <c r="E123" i="154"/>
  <c r="E254" i="155"/>
  <c r="E248" i="155"/>
  <c r="E268" i="154"/>
  <c r="E122" i="155"/>
  <c r="E352" i="154"/>
  <c r="E298" i="155"/>
  <c r="E374" i="155"/>
  <c r="E275" i="155"/>
  <c r="E143" i="155"/>
  <c r="E321" i="155"/>
  <c r="E121" i="155"/>
  <c r="E308" i="154"/>
  <c r="E121" i="154"/>
  <c r="E161" i="154"/>
  <c r="E140" i="155"/>
  <c r="E164" i="154"/>
  <c r="E208" i="155"/>
  <c r="E386" i="154"/>
  <c r="E328" i="154"/>
  <c r="E116" i="154"/>
  <c r="E242" i="154"/>
  <c r="H150" i="154"/>
  <c r="E340" i="154"/>
  <c r="E400" i="154"/>
  <c r="E120" i="155"/>
  <c r="E219" i="154"/>
  <c r="E251" i="154"/>
  <c r="E330" i="155"/>
  <c r="E181" i="155"/>
  <c r="E343" i="154"/>
  <c r="E389" i="155"/>
  <c r="E128" i="154"/>
  <c r="E391" i="155"/>
  <c r="E390" i="155"/>
  <c r="E294" i="155"/>
  <c r="E385" i="154"/>
  <c r="E379" i="154"/>
  <c r="E270" i="154"/>
  <c r="E225" i="154"/>
  <c r="E177" i="154"/>
  <c r="E312" i="155"/>
  <c r="E209" i="154"/>
  <c r="E313" i="155"/>
  <c r="H170" i="155"/>
  <c r="E242" i="155"/>
  <c r="E115" i="155"/>
  <c r="E368" i="155"/>
  <c r="E136" i="154"/>
  <c r="E344" i="155"/>
  <c r="E255" i="154"/>
  <c r="E139" i="154"/>
  <c r="E104" i="155"/>
  <c r="E157" i="155"/>
  <c r="E233" i="155"/>
  <c r="E162" i="155"/>
  <c r="E306" i="154"/>
  <c r="E332" i="154"/>
  <c r="E209" i="155"/>
  <c r="E363" i="155"/>
  <c r="E271" i="154"/>
  <c r="E218" i="154"/>
  <c r="E337" i="154"/>
  <c r="E245" i="155"/>
  <c r="E282" i="154"/>
  <c r="E377" i="155"/>
  <c r="E158" i="155"/>
  <c r="E118" i="154"/>
  <c r="E203" i="155"/>
  <c r="E119" i="154"/>
  <c r="E370" i="155"/>
  <c r="E315" i="155"/>
  <c r="E184" i="155"/>
  <c r="E249" i="155"/>
  <c r="E237" i="154"/>
  <c r="E344" i="154"/>
  <c r="E156" i="154"/>
  <c r="E170" i="155"/>
  <c r="E273" i="155"/>
  <c r="E342" i="154"/>
  <c r="E240" i="155"/>
  <c r="E106" i="154"/>
  <c r="E124" i="155"/>
  <c r="E241" i="154"/>
  <c r="E301" i="154"/>
  <c r="E245" i="154"/>
  <c r="E135" i="155"/>
  <c r="E224" i="155"/>
  <c r="E189" i="155"/>
  <c r="E287" i="154"/>
  <c r="E226" i="154"/>
  <c r="E396" i="154"/>
  <c r="E258" i="155"/>
  <c r="E257" i="154"/>
  <c r="E376" i="155"/>
  <c r="E310" i="155"/>
  <c r="E101" i="154"/>
  <c r="E159" i="155"/>
  <c r="H200" i="155"/>
  <c r="E345" i="155"/>
  <c r="E218" i="155"/>
  <c r="E149" i="155"/>
  <c r="E272" i="154"/>
  <c r="E222" i="154"/>
  <c r="E145" i="154"/>
  <c r="E182" i="155"/>
  <c r="E171" i="155"/>
  <c r="E362" i="155"/>
  <c r="E330" i="154"/>
  <c r="E179" i="155"/>
  <c r="E204" i="154"/>
  <c r="E349" i="154"/>
  <c r="E199" i="155"/>
  <c r="E334" i="154"/>
  <c r="E338" i="154"/>
  <c r="E234" i="155"/>
  <c r="E259" i="155"/>
  <c r="E327" i="155"/>
  <c r="E259" i="154"/>
  <c r="E214" i="154"/>
  <c r="E349" i="155"/>
  <c r="E378" i="155"/>
  <c r="E152" i="155"/>
  <c r="E193" i="155"/>
  <c r="E335" i="154"/>
  <c r="E203" i="154"/>
  <c r="E333" i="154"/>
  <c r="E138" i="155"/>
  <c r="E298" i="154"/>
  <c r="E272" i="155"/>
  <c r="E141" i="154"/>
  <c r="E297" i="155"/>
  <c r="E206" i="155"/>
  <c r="E375" i="155"/>
  <c r="E350" i="154"/>
  <c r="E356" i="155"/>
  <c r="E144" i="154"/>
  <c r="E125" i="154"/>
  <c r="E262" i="154"/>
  <c r="E317" i="154"/>
  <c r="E396" i="155"/>
  <c r="E152" i="154"/>
  <c r="E331" i="154"/>
  <c r="E150" i="154"/>
  <c r="E126" i="154"/>
  <c r="E149" i="154"/>
  <c r="E146" i="155"/>
  <c r="E178" i="154"/>
  <c r="E217" i="155"/>
  <c r="E157" i="154"/>
  <c r="E381" i="154"/>
  <c r="E334" i="155"/>
  <c r="E236" i="154"/>
  <c r="E388" i="154"/>
  <c r="E302" i="155"/>
  <c r="E269" i="155"/>
  <c r="E274" i="155"/>
  <c r="E358" i="154"/>
  <c r="E369" i="155"/>
  <c r="E137" i="155"/>
  <c r="E322" i="155"/>
  <c r="E178" i="155"/>
  <c r="E108" i="155"/>
  <c r="E102" i="155"/>
  <c r="E114" i="154"/>
  <c r="E387" i="154"/>
  <c r="E221" i="155"/>
  <c r="E397" i="154"/>
  <c r="E134" i="155"/>
  <c r="E225" i="155"/>
  <c r="E359" i="154"/>
  <c r="E132" i="154"/>
  <c r="E239" i="154"/>
  <c r="E170" i="154"/>
  <c r="E163" i="154"/>
  <c r="E196" i="155"/>
  <c r="E132" i="155"/>
  <c r="H120" i="155"/>
  <c r="E205" i="155"/>
  <c r="E207" i="155"/>
  <c r="E111" i="155"/>
  <c r="E365" i="154"/>
  <c r="E262" i="155"/>
  <c r="E161" i="155"/>
  <c r="E213" i="154"/>
  <c r="E361" i="155"/>
  <c r="E210" i="154"/>
  <c r="E186" i="154"/>
  <c r="E314" i="154"/>
  <c r="E342" i="155"/>
  <c r="E346" i="155"/>
  <c r="E368" i="154"/>
  <c r="E284" i="155"/>
  <c r="E128" i="155"/>
  <c r="H150" i="155"/>
  <c r="E357" i="154"/>
  <c r="E256" i="155"/>
  <c r="E158" i="154"/>
  <c r="E127" i="154"/>
  <c r="E311" i="155"/>
  <c r="E320" i="154"/>
  <c r="E215" i="154"/>
  <c r="E169" i="154"/>
  <c r="E217" i="154"/>
  <c r="E287" i="155"/>
  <c r="E338" i="155"/>
  <c r="E222" i="155"/>
  <c r="E181" i="154"/>
  <c r="E324" i="154"/>
  <c r="E140" i="154"/>
  <c r="E267" i="155"/>
  <c r="E337" i="155"/>
  <c r="E169" i="155"/>
  <c r="E249" i="154"/>
  <c r="E177" i="155"/>
  <c r="E131" i="155"/>
  <c r="E316" i="155"/>
  <c r="E126" i="155"/>
  <c r="E193" i="154"/>
  <c r="E146" i="154"/>
  <c r="E309" i="155"/>
  <c r="E200" i="155"/>
  <c r="E372" i="155"/>
  <c r="E362" i="154"/>
  <c r="E102" i="154"/>
  <c r="E265" i="154"/>
  <c r="E322" i="154"/>
  <c r="E397" i="155"/>
  <c r="E297" i="154"/>
  <c r="E201" i="155"/>
  <c r="E275" i="154"/>
  <c r="E296" i="154"/>
  <c r="E190" i="155"/>
  <c r="E299" i="154"/>
  <c r="E103" i="155"/>
  <c r="E166" i="154"/>
  <c r="E353" i="155"/>
  <c r="E139" i="155"/>
  <c r="E129" i="154"/>
  <c r="E353" i="154"/>
  <c r="E277" i="155"/>
  <c r="E100" i="155"/>
  <c r="E127" i="155"/>
  <c r="E366" i="154"/>
  <c r="E174" i="154"/>
  <c r="E168" i="155"/>
  <c r="E351" i="154"/>
  <c r="E233" i="154"/>
  <c r="E315" i="154"/>
  <c r="H110" i="154"/>
  <c r="E284" i="154"/>
  <c r="E348" i="154"/>
  <c r="E137" i="154"/>
  <c r="E154" i="155"/>
  <c r="E153" i="154"/>
  <c r="E246" i="154"/>
  <c r="E228" i="154"/>
  <c r="E263" i="155"/>
  <c r="E310" i="154"/>
  <c r="E172" i="155"/>
  <c r="E241" i="155"/>
  <c r="E281" i="155"/>
  <c r="E133" i="155"/>
  <c r="E391" i="154"/>
  <c r="E119" i="155"/>
  <c r="H140" i="155"/>
  <c r="E247" i="154"/>
  <c r="E246" i="155"/>
  <c r="E339" i="154"/>
  <c r="E374" i="154"/>
  <c r="E108" i="154"/>
  <c r="E105" i="155"/>
  <c r="E264" i="155"/>
  <c r="E109" i="154"/>
  <c r="E244" i="155"/>
  <c r="E204" i="155"/>
  <c r="E223" i="155"/>
  <c r="E165" i="154"/>
  <c r="E360" i="154"/>
  <c r="E260" i="155"/>
  <c r="E168" i="154"/>
  <c r="E220" i="154"/>
  <c r="E150" i="155"/>
  <c r="E303" i="155"/>
  <c r="H110" i="155"/>
  <c r="E279" i="154"/>
  <c r="E289" i="154"/>
  <c r="E107" i="155"/>
  <c r="E189" i="154"/>
  <c r="E173" i="155"/>
  <c r="E339" i="155"/>
  <c r="E286" i="154"/>
  <c r="E101" i="155"/>
  <c r="E110" i="154"/>
  <c r="E230" i="155"/>
  <c r="E134" i="154"/>
  <c r="E341" i="155"/>
  <c r="E231" i="155"/>
  <c r="E363" i="154"/>
  <c r="E183" i="154"/>
  <c r="E180" i="155"/>
  <c r="E184" i="154"/>
  <c r="E223" i="154"/>
  <c r="E371" i="154"/>
  <c r="E323" i="155"/>
  <c r="E110" i="155"/>
  <c r="E255" i="155"/>
  <c r="E317" i="155"/>
  <c r="E173" i="154"/>
  <c r="E324" i="155"/>
  <c r="E295" i="154"/>
  <c r="E285" i="154"/>
  <c r="E212" i="154"/>
  <c r="E392" i="154"/>
  <c r="E388" i="155"/>
  <c r="E314" i="155"/>
  <c r="E142" i="155"/>
  <c r="E325" i="154"/>
  <c r="E120" i="154"/>
  <c r="E380" i="154"/>
  <c r="E198" i="155"/>
  <c r="E231" i="154"/>
  <c r="E154" i="154"/>
  <c r="E331" i="155"/>
  <c r="H170" i="154"/>
  <c r="E133" i="154"/>
  <c r="E300" i="154"/>
  <c r="E143" i="154"/>
  <c r="E261" i="154"/>
  <c r="E103" i="154"/>
  <c r="E226" i="155"/>
  <c r="E187" i="154"/>
  <c r="E364" i="154"/>
  <c r="E248" i="154"/>
  <c r="E280" i="155"/>
  <c r="E190" i="154"/>
  <c r="E377" i="154"/>
  <c r="E191" i="155"/>
  <c r="E180" i="154"/>
  <c r="E107" i="154"/>
  <c r="E313" i="154"/>
  <c r="E326" i="154"/>
  <c r="E221" i="154"/>
  <c r="E265" i="155"/>
  <c r="E136" i="155"/>
  <c r="E311" i="154"/>
  <c r="E268" i="155"/>
  <c r="E227" i="154"/>
  <c r="E243" i="154"/>
  <c r="E329" i="154"/>
  <c r="E327" i="154"/>
  <c r="E385" i="155"/>
  <c r="E163" i="155"/>
  <c r="E277" i="154"/>
  <c r="E302" i="154"/>
  <c r="E165" i="155"/>
  <c r="E155" i="155"/>
  <c r="E319" i="155"/>
  <c r="E188" i="155"/>
  <c r="E135" i="154"/>
  <c r="E232" i="154"/>
  <c r="R277" i="155" l="1" a="1"/>
  <c r="R277" i="155" s="1"/>
  <c r="R112" i="155" a="1"/>
  <c r="R112" i="155" s="1"/>
  <c r="R382" i="155" a="1"/>
  <c r="R382" i="155" s="1"/>
  <c r="R180" i="155" a="1"/>
  <c r="R180" i="155" s="1"/>
  <c r="R285" i="155" a="1"/>
  <c r="R285" i="155" s="1"/>
  <c r="R164" i="155" a="1"/>
  <c r="R164" i="155" s="1"/>
  <c r="R251" i="155" a="1"/>
  <c r="R251" i="155" s="1"/>
  <c r="R166" i="155" a="1"/>
  <c r="R166" i="155" s="1"/>
  <c r="R314" i="155" a="1"/>
  <c r="R314" i="155" s="1"/>
  <c r="G120" i="154"/>
  <c r="I130" i="155"/>
  <c r="R157" i="155" a="1"/>
  <c r="R157" i="155" s="1"/>
  <c r="R364" i="155" a="1"/>
  <c r="R364" i="155" s="1"/>
  <c r="R182" i="155" a="1"/>
  <c r="R182" i="155" s="1"/>
  <c r="R208" i="155" a="1"/>
  <c r="R208" i="155" s="1"/>
  <c r="R148" i="155" a="1"/>
  <c r="R148" i="155" s="1"/>
  <c r="R143" i="155" a="1"/>
  <c r="R143" i="155" s="1"/>
  <c r="R107" i="155" a="1"/>
  <c r="R107" i="155" s="1"/>
  <c r="R245" i="155" a="1"/>
  <c r="R245" i="155" s="1"/>
  <c r="R154" i="155" a="1"/>
  <c r="R154" i="155" s="1"/>
  <c r="R172" i="155" a="1"/>
  <c r="R172" i="155" s="1"/>
  <c r="R275" i="155" a="1"/>
  <c r="R275" i="155" s="1"/>
  <c r="R324" i="155" a="1"/>
  <c r="R324" i="155" s="1"/>
  <c r="R206" i="155" a="1"/>
  <c r="R206" i="155" s="1"/>
  <c r="R290" i="155" a="1"/>
  <c r="R290" i="155" s="1"/>
  <c r="R286" i="155" a="1"/>
  <c r="R286" i="155" s="1"/>
  <c r="R331" i="155" a="1"/>
  <c r="R331" i="155" s="1"/>
  <c r="I110" i="155"/>
  <c r="R160" i="155" a="1"/>
  <c r="R160" i="155" s="1"/>
  <c r="R217" i="155" a="1"/>
  <c r="R217" i="155" s="1"/>
  <c r="R281" i="155" a="1"/>
  <c r="R281" i="155" s="1"/>
  <c r="R247" i="155" a="1"/>
  <c r="R247" i="155" s="1"/>
  <c r="R178" i="155" a="1"/>
  <c r="R178" i="155" s="1"/>
  <c r="R390" i="155" a="1"/>
  <c r="R390" i="155" s="1"/>
  <c r="R198" i="155" a="1"/>
  <c r="R198" i="155" s="1"/>
  <c r="R263" i="155" a="1"/>
  <c r="R263" i="155" s="1"/>
  <c r="R213" i="155" a="1"/>
  <c r="R213" i="155" s="1"/>
  <c r="R259" i="155" a="1"/>
  <c r="R259" i="155" s="1"/>
  <c r="R356" i="155" a="1"/>
  <c r="R356" i="155" s="1"/>
  <c r="I130" i="154"/>
  <c r="G130" i="154"/>
  <c r="R105" i="155" a="1"/>
  <c r="R105" i="155" s="1"/>
  <c r="R395" i="155" a="1"/>
  <c r="R395" i="155" s="1"/>
  <c r="R310" i="155" a="1"/>
  <c r="R310" i="155" s="1"/>
  <c r="R349" i="155" a="1"/>
  <c r="R349" i="155" s="1"/>
  <c r="R337" i="155" a="1"/>
  <c r="R337" i="155" s="1"/>
  <c r="G120" i="155"/>
  <c r="R120" i="155" a="1"/>
  <c r="R120" i="155" s="1"/>
  <c r="R197" i="155" a="1"/>
  <c r="R197" i="155" s="1"/>
  <c r="R230" i="155" a="1"/>
  <c r="R230" i="155" s="1"/>
  <c r="R330" i="155" a="1"/>
  <c r="R330" i="155" s="1"/>
  <c r="R366" i="155" a="1"/>
  <c r="R366" i="155" s="1"/>
  <c r="R280" i="155" a="1"/>
  <c r="R280" i="155" s="1"/>
  <c r="I140" i="155"/>
  <c r="R318" i="155" a="1"/>
  <c r="R318" i="155" s="1"/>
  <c r="R188" i="155" a="1"/>
  <c r="R188" i="155" s="1"/>
  <c r="R354" i="155" a="1"/>
  <c r="R354" i="155" s="1"/>
  <c r="I150" i="154"/>
  <c r="R136" i="155" a="1"/>
  <c r="R136" i="155" s="1"/>
  <c r="G400" i="155"/>
  <c r="R400" i="155" a="1"/>
  <c r="R400" i="155" s="1"/>
  <c r="R132" i="155" a="1"/>
  <c r="R132" i="155" s="1"/>
  <c r="R218" i="155" a="1"/>
  <c r="R218" i="155" s="1"/>
  <c r="R222" i="155" a="1"/>
  <c r="R222" i="155" s="1"/>
  <c r="R162" i="155" a="1"/>
  <c r="R162" i="155" s="1"/>
  <c r="R302" i="155" a="1"/>
  <c r="R302" i="155" s="1"/>
  <c r="R293" i="155" a="1"/>
  <c r="R293" i="155" s="1"/>
  <c r="R345" i="155" a="1"/>
  <c r="R345" i="155" s="1"/>
  <c r="R209" i="155" a="1"/>
  <c r="R209" i="155" s="1"/>
  <c r="R165" i="155" a="1"/>
  <c r="R165" i="155" s="1"/>
  <c r="R156" i="155" a="1"/>
  <c r="R156" i="155" s="1"/>
  <c r="R191" i="155" a="1"/>
  <c r="R191" i="155" s="1"/>
  <c r="R262" i="155" a="1"/>
  <c r="R262" i="155" s="1"/>
  <c r="R327" i="155" a="1"/>
  <c r="R327" i="155" s="1"/>
  <c r="R339" i="155" a="1"/>
  <c r="R339" i="155" s="1"/>
  <c r="R128" i="155" a="1"/>
  <c r="R128" i="155" s="1"/>
  <c r="R323" i="155" a="1"/>
  <c r="R323" i="155" s="1"/>
  <c r="R140" i="155" a="1"/>
  <c r="R140" i="155" s="1"/>
  <c r="G140" i="155"/>
  <c r="R207" i="155" a="1"/>
  <c r="R207" i="155" s="1"/>
  <c r="R271" i="155" a="1"/>
  <c r="R271" i="155" s="1"/>
  <c r="I140" i="154"/>
  <c r="R306" i="155" a="1"/>
  <c r="R306" i="155" s="1"/>
  <c r="R102" i="155" a="1"/>
  <c r="R102" i="155" s="1"/>
  <c r="R340" i="155" a="1"/>
  <c r="R340" i="155" s="1"/>
  <c r="R118" i="155" a="1"/>
  <c r="R118" i="155" s="1"/>
  <c r="R134" i="155" a="1"/>
  <c r="R134" i="155" s="1"/>
  <c r="R351" i="155" a="1"/>
  <c r="R351" i="155" s="1"/>
  <c r="R350" i="155" a="1"/>
  <c r="R350" i="155" s="1"/>
  <c r="R282" i="155" a="1"/>
  <c r="R282" i="155" s="1"/>
  <c r="R101" i="155" a="1"/>
  <c r="R101" i="155" s="1"/>
  <c r="R232" i="155" a="1"/>
  <c r="R232" i="155" s="1"/>
  <c r="R294" i="155" a="1"/>
  <c r="R294" i="155" s="1"/>
  <c r="R379" i="155" a="1"/>
  <c r="R379" i="155" s="1"/>
  <c r="R388" i="155" a="1"/>
  <c r="R388" i="155" s="1"/>
  <c r="R394" i="155" a="1"/>
  <c r="R394" i="155" s="1"/>
  <c r="R334" i="155" a="1"/>
  <c r="R334" i="155" s="1"/>
  <c r="R220" i="155" a="1"/>
  <c r="R220" i="155" s="1"/>
  <c r="R365" i="155" a="1"/>
  <c r="R365" i="155" s="1"/>
  <c r="G150" i="154"/>
  <c r="R223" i="155" a="1"/>
  <c r="R223" i="155" s="1"/>
  <c r="R231" i="155" a="1"/>
  <c r="R231" i="155" s="1"/>
  <c r="R139" i="155" a="1"/>
  <c r="R139" i="155" s="1"/>
  <c r="R313" i="155" a="1"/>
  <c r="R313" i="155" s="1"/>
  <c r="R278" i="155" a="1"/>
  <c r="R278" i="155" s="1"/>
  <c r="R299" i="155" a="1"/>
  <c r="R299" i="155" s="1"/>
  <c r="R228" i="155" a="1"/>
  <c r="R228" i="155" s="1"/>
  <c r="R137" i="155" a="1"/>
  <c r="R137" i="155" s="1"/>
  <c r="R126" i="155" a="1"/>
  <c r="R126" i="155" s="1"/>
  <c r="R130" i="155" a="1"/>
  <c r="R130" i="155" s="1"/>
  <c r="G130" i="155"/>
  <c r="R185" i="155" a="1"/>
  <c r="R185" i="155" s="1"/>
  <c r="R241" i="155" a="1"/>
  <c r="R241" i="155" s="1"/>
  <c r="R305" i="155" a="1"/>
  <c r="R305" i="155" s="1"/>
  <c r="R186" i="155" a="1"/>
  <c r="R186" i="155" s="1"/>
  <c r="R329" i="155" a="1"/>
  <c r="R329" i="155" s="1"/>
  <c r="R355" i="155" a="1"/>
  <c r="R355" i="155" s="1"/>
  <c r="R344" i="155" a="1"/>
  <c r="R344" i="155" s="1"/>
  <c r="R240" i="155" a="1"/>
  <c r="R240" i="155" s="1"/>
  <c r="R261" i="155" a="1"/>
  <c r="R261" i="155" s="1"/>
  <c r="R333" i="155" a="1"/>
  <c r="R333" i="155" s="1"/>
  <c r="R224" i="155" a="1"/>
  <c r="R224" i="155" s="1"/>
  <c r="R145" i="155" a="1"/>
  <c r="R145" i="155" s="1"/>
  <c r="R311" i="155" a="1"/>
  <c r="R311" i="155" s="1"/>
  <c r="R115" i="155" a="1"/>
  <c r="R115" i="155" s="1"/>
  <c r="R219" i="155" a="1"/>
  <c r="R219" i="155" s="1"/>
  <c r="R296" i="155" a="1"/>
  <c r="R296" i="155" s="1"/>
  <c r="R387" i="155" a="1"/>
  <c r="R387" i="155" s="1"/>
  <c r="R391" i="155" a="1"/>
  <c r="R391" i="155" s="1"/>
  <c r="R283" i="155" a="1"/>
  <c r="R283" i="155" s="1"/>
  <c r="S283" i="155" s="1"/>
  <c r="R174" i="155" a="1"/>
  <c r="R174" i="155" s="1"/>
  <c r="R170" i="155" a="1"/>
  <c r="R170" i="155" s="1"/>
  <c r="G170" i="155"/>
  <c r="R161" i="155" a="1"/>
  <c r="R161" i="155" s="1"/>
  <c r="I200" i="155"/>
  <c r="R267" i="155" a="1"/>
  <c r="R267" i="155" s="1"/>
  <c r="R335" i="155" a="1"/>
  <c r="R335" i="155" s="1"/>
  <c r="S335" i="155" s="1"/>
  <c r="R260" i="155" a="1"/>
  <c r="R260" i="155" s="1"/>
  <c r="R341" i="155" a="1"/>
  <c r="R341" i="155" s="1"/>
  <c r="R361" i="155" a="1"/>
  <c r="R361" i="155" s="1"/>
  <c r="G100" i="154"/>
  <c r="R238" i="155" a="1"/>
  <c r="R238" i="155" s="1"/>
  <c r="I120" i="155"/>
  <c r="R234" i="155" a="1"/>
  <c r="R234" i="155" s="1"/>
  <c r="R346" i="155" a="1"/>
  <c r="R346" i="155" s="1"/>
  <c r="R369" i="155" a="1"/>
  <c r="R369" i="155" s="1"/>
  <c r="R169" i="155" a="1"/>
  <c r="R169" i="155" s="1"/>
  <c r="R288" i="155" a="1"/>
  <c r="R288" i="155" s="1"/>
  <c r="R173" i="155" a="1"/>
  <c r="R173" i="155" s="1"/>
  <c r="R358" i="155" a="1"/>
  <c r="R358" i="155" s="1"/>
  <c r="R386" i="155" a="1"/>
  <c r="R386" i="155" s="1"/>
  <c r="R397" i="155" a="1"/>
  <c r="R397" i="155" s="1"/>
  <c r="R398" i="155" a="1"/>
  <c r="R398" i="155" s="1"/>
  <c r="R309" i="155" a="1"/>
  <c r="R309" i="155" s="1"/>
  <c r="R273" i="155" a="1"/>
  <c r="R273" i="155" s="1"/>
  <c r="R229" i="155" a="1"/>
  <c r="R229" i="155" s="1"/>
  <c r="R125" i="155" a="1"/>
  <c r="R125" i="155" s="1"/>
  <c r="R155" i="155" a="1"/>
  <c r="R155" i="155" s="1"/>
  <c r="R252" i="155" a="1"/>
  <c r="R252" i="155" s="1"/>
  <c r="R308" i="155" a="1"/>
  <c r="R308" i="155" s="1"/>
  <c r="R381" i="155" a="1"/>
  <c r="R381" i="155" s="1"/>
  <c r="R326" i="155" a="1"/>
  <c r="R326" i="155" s="1"/>
  <c r="R124" i="155" a="1"/>
  <c r="R124" i="155" s="1"/>
  <c r="R227" i="155" a="1"/>
  <c r="R227" i="155" s="1"/>
  <c r="R301" i="155" a="1"/>
  <c r="R301" i="155" s="1"/>
  <c r="R195" i="155" a="1"/>
  <c r="R195" i="155" s="1"/>
  <c r="R399" i="155" a="1"/>
  <c r="R399" i="155" s="1"/>
  <c r="G400" i="154"/>
  <c r="R179" i="155" a="1"/>
  <c r="R179" i="155" s="1"/>
  <c r="R256" i="155" a="1"/>
  <c r="R256" i="155" s="1"/>
  <c r="R312" i="155" a="1"/>
  <c r="R312" i="155" s="1"/>
  <c r="R158" i="155" a="1"/>
  <c r="R158" i="155" s="1"/>
  <c r="S158" i="155" s="1"/>
  <c r="R378" i="155" a="1"/>
  <c r="R378" i="155" s="1"/>
  <c r="R357" i="155" a="1"/>
  <c r="R357" i="155" s="1"/>
  <c r="R151" i="155" a="1"/>
  <c r="R151" i="155" s="1"/>
  <c r="R255" i="155" a="1"/>
  <c r="R255" i="155" s="1"/>
  <c r="R319" i="155" a="1"/>
  <c r="R319" i="155" s="1"/>
  <c r="R239" i="155" a="1"/>
  <c r="R239" i="155" s="1"/>
  <c r="R153" i="155" a="1"/>
  <c r="R153" i="155" s="1"/>
  <c r="R121" i="155" a="1"/>
  <c r="R121" i="155" s="1"/>
  <c r="R184" i="155" a="1"/>
  <c r="R184" i="155" s="1"/>
  <c r="R254" i="155" a="1"/>
  <c r="R254" i="155" s="1"/>
  <c r="R368" i="155" a="1"/>
  <c r="R368" i="155" s="1"/>
  <c r="R372" i="155" a="1"/>
  <c r="R372" i="155" s="1"/>
  <c r="R265" i="155" a="1"/>
  <c r="R265" i="155" s="1"/>
  <c r="I110" i="154"/>
  <c r="R205" i="155" a="1"/>
  <c r="R205" i="155" s="1"/>
  <c r="R237" i="155" a="1"/>
  <c r="R237" i="155" s="1"/>
  <c r="R144" i="155" a="1"/>
  <c r="R144" i="155" s="1"/>
  <c r="R163" i="155" a="1"/>
  <c r="R163" i="155" s="1"/>
  <c r="R270" i="155" a="1"/>
  <c r="R270" i="155" s="1"/>
  <c r="R316" i="155" a="1"/>
  <c r="R316" i="155" s="1"/>
  <c r="R235" i="155" a="1"/>
  <c r="R235" i="155" s="1"/>
  <c r="R360" i="155" a="1"/>
  <c r="R360" i="155" s="1"/>
  <c r="R210" i="155" a="1"/>
  <c r="R210" i="155" s="1"/>
  <c r="R284" i="155" a="1"/>
  <c r="R284" i="155" s="1"/>
  <c r="R248" i="155" a="1"/>
  <c r="R248" i="155" s="1"/>
  <c r="R320" i="155" a="1"/>
  <c r="R320" i="155" s="1"/>
  <c r="R133" i="155" a="1"/>
  <c r="R133" i="155" s="1"/>
  <c r="R249" i="155" a="1"/>
  <c r="R249" i="155" s="1"/>
  <c r="R196" i="155" a="1"/>
  <c r="R196" i="155" s="1"/>
  <c r="R332" i="155" a="1"/>
  <c r="R332" i="155" s="1"/>
  <c r="R304" i="155" a="1"/>
  <c r="R304" i="155" s="1"/>
  <c r="G200" i="155"/>
  <c r="R200" i="155" a="1"/>
  <c r="R200" i="155" s="1"/>
  <c r="R359" i="155" a="1"/>
  <c r="R359" i="155" s="1"/>
  <c r="R250" i="155" a="1"/>
  <c r="R250" i="155" s="1"/>
  <c r="R187" i="155" a="1"/>
  <c r="R187" i="155" s="1"/>
  <c r="R212" i="155" a="1"/>
  <c r="R212" i="155" s="1"/>
  <c r="R192" i="155" a="1"/>
  <c r="R192" i="155" s="1"/>
  <c r="R258" i="155" a="1"/>
  <c r="R258" i="155" s="1"/>
  <c r="R127" i="155" a="1"/>
  <c r="R127" i="155" s="1"/>
  <c r="R216" i="155" a="1"/>
  <c r="R216" i="155" s="1"/>
  <c r="R131" i="155" a="1"/>
  <c r="R131" i="155" s="1"/>
  <c r="R321" i="155" a="1"/>
  <c r="R321" i="155" s="1"/>
  <c r="R119" i="155" a="1"/>
  <c r="R119" i="155" s="1"/>
  <c r="R114" i="155" a="1"/>
  <c r="R114" i="155" s="1"/>
  <c r="R315" i="155" a="1"/>
  <c r="R315" i="155" s="1"/>
  <c r="R147" i="155" a="1"/>
  <c r="R147" i="155" s="1"/>
  <c r="R103" i="155" a="1"/>
  <c r="R103" i="155" s="1"/>
  <c r="R150" i="155" a="1"/>
  <c r="R150" i="155" s="1"/>
  <c r="G150" i="155"/>
  <c r="R362" i="155" a="1"/>
  <c r="R362" i="155" s="1"/>
  <c r="R287" i="155" a="1"/>
  <c r="R287" i="155" s="1"/>
  <c r="R242" i="155" a="1"/>
  <c r="R242" i="155" s="1"/>
  <c r="S242" i="155" s="1"/>
  <c r="R269" i="155" a="1"/>
  <c r="R269" i="155" s="1"/>
  <c r="I120" i="154"/>
  <c r="I170" i="155"/>
  <c r="R257" i="155" a="1"/>
  <c r="R257" i="155" s="1"/>
  <c r="I170" i="154"/>
  <c r="R246" i="155" a="1"/>
  <c r="R246" i="155" s="1"/>
  <c r="R243" i="155" a="1"/>
  <c r="R243" i="155" s="1"/>
  <c r="R264" i="155" a="1"/>
  <c r="R264" i="155" s="1"/>
  <c r="R110" i="155" a="1"/>
  <c r="R110" i="155" s="1"/>
  <c r="G110" i="155"/>
  <c r="R181" i="155" a="1"/>
  <c r="R181" i="155" s="1"/>
  <c r="G100" i="155"/>
  <c r="R100" i="155" a="1"/>
  <c r="R100" i="155" s="1"/>
  <c r="I200" i="154"/>
  <c r="R389" i="155" a="1"/>
  <c r="R389" i="155" s="1"/>
  <c r="G200" i="154"/>
  <c r="R109" i="155" a="1"/>
  <c r="R109" i="155" s="1"/>
  <c r="R374" i="155" a="1"/>
  <c r="R374" i="155" s="1"/>
  <c r="R141" i="155" a="1"/>
  <c r="R141" i="155" s="1"/>
  <c r="R215" i="155" a="1"/>
  <c r="R215" i="155" s="1"/>
  <c r="R279" i="155" a="1"/>
  <c r="R279" i="155" s="1"/>
  <c r="R385" i="155" a="1"/>
  <c r="R385" i="155" s="1"/>
  <c r="R274" i="155" a="1"/>
  <c r="R274" i="155" s="1"/>
  <c r="R214" i="155" a="1"/>
  <c r="R214" i="155" s="1"/>
  <c r="R106" i="155" a="1"/>
  <c r="R106" i="155" s="1"/>
  <c r="S106" i="155" s="1"/>
  <c r="R211" i="155" a="1"/>
  <c r="R211" i="155" s="1"/>
  <c r="R291" i="155" a="1"/>
  <c r="R291" i="155" s="1"/>
  <c r="R371" i="155" a="1"/>
  <c r="R371" i="155" s="1"/>
  <c r="R383" i="155" a="1"/>
  <c r="R383" i="155" s="1"/>
  <c r="R201" i="155" a="1"/>
  <c r="R201" i="155" s="1"/>
  <c r="R104" i="155" a="1"/>
  <c r="R104" i="155" s="1"/>
  <c r="G110" i="154"/>
  <c r="R108" i="155" a="1"/>
  <c r="R108" i="155" s="1"/>
  <c r="S108" i="155" s="1"/>
  <c r="R113" i="155" a="1"/>
  <c r="R113" i="155" s="1"/>
  <c r="R168" i="155" a="1"/>
  <c r="R168" i="155" s="1"/>
  <c r="R225" i="155" a="1"/>
  <c r="R225" i="155" s="1"/>
  <c r="R289" i="155" a="1"/>
  <c r="R289" i="155" s="1"/>
  <c r="R370" i="155" a="1"/>
  <c r="R370" i="155" s="1"/>
  <c r="R129" i="155" a="1"/>
  <c r="R129" i="155" s="1"/>
  <c r="R189" i="155" a="1"/>
  <c r="R189" i="155" s="1"/>
  <c r="R347" i="155" a="1"/>
  <c r="R347" i="155" s="1"/>
  <c r="R384" i="155" a="1"/>
  <c r="R384" i="155" s="1"/>
  <c r="R380" i="155" a="1"/>
  <c r="R380" i="155" s="1"/>
  <c r="R204" i="155" a="1"/>
  <c r="R204" i="155" s="1"/>
  <c r="R352" i="155" a="1"/>
  <c r="R352" i="155" s="1"/>
  <c r="R152" i="155" a="1"/>
  <c r="R152" i="155" s="1"/>
  <c r="R266" i="155" a="1"/>
  <c r="R266" i="155" s="1"/>
  <c r="R325" i="155" a="1"/>
  <c r="R325" i="155" s="1"/>
  <c r="R373" i="155" a="1"/>
  <c r="R373" i="155" s="1"/>
  <c r="I150" i="155"/>
  <c r="R328" i="155" a="1"/>
  <c r="R328" i="155" s="1"/>
  <c r="R159" i="155" a="1"/>
  <c r="R159" i="155" s="1"/>
  <c r="R322" i="155" a="1"/>
  <c r="R322" i="155" s="1"/>
  <c r="G170" i="154"/>
  <c r="R176" i="155" a="1"/>
  <c r="R176" i="155" s="1"/>
  <c r="R342" i="155" a="1"/>
  <c r="R342" i="155" s="1"/>
  <c r="R367" i="155" a="1"/>
  <c r="R367" i="155" s="1"/>
  <c r="R392" i="155" a="1"/>
  <c r="R392" i="155" s="1"/>
  <c r="R317" i="155" a="1"/>
  <c r="R317" i="155" s="1"/>
  <c r="R276" i="155" a="1"/>
  <c r="R276" i="155" s="1"/>
  <c r="R138" i="155" a="1"/>
  <c r="R138" i="155" s="1"/>
  <c r="R295" i="155" a="1"/>
  <c r="R295" i="155" s="1"/>
  <c r="R123" i="155" a="1"/>
  <c r="R123" i="155" s="1"/>
  <c r="R194" i="155" a="1"/>
  <c r="R194" i="155" s="1"/>
  <c r="R348" i="155" a="1"/>
  <c r="R348" i="155" s="1"/>
  <c r="R336" i="155" a="1"/>
  <c r="R336" i="155" s="1"/>
  <c r="R376" i="155" a="1"/>
  <c r="R376" i="155" s="1"/>
  <c r="R377" i="155" a="1"/>
  <c r="R377" i="155" s="1"/>
  <c r="R375" i="155" a="1"/>
  <c r="R375" i="155" s="1"/>
  <c r="R183" i="155" a="1"/>
  <c r="R183" i="155" s="1"/>
  <c r="R268" i="155" a="1"/>
  <c r="R268" i="155" s="1"/>
  <c r="R253" i="155" a="1"/>
  <c r="R253" i="155" s="1"/>
  <c r="R338" i="155" a="1"/>
  <c r="R338" i="155" s="1"/>
  <c r="R396" i="155" a="1"/>
  <c r="R396" i="155" s="1"/>
  <c r="S396" i="155" s="1"/>
  <c r="R111" i="155" a="1"/>
  <c r="R111" i="155" s="1"/>
  <c r="R203" i="155" a="1"/>
  <c r="R203" i="155" s="1"/>
  <c r="R149" i="155" a="1"/>
  <c r="R149" i="155" s="1"/>
  <c r="R142" i="155" a="1"/>
  <c r="R142" i="155" s="1"/>
  <c r="R135" i="155" a="1"/>
  <c r="R135" i="155" s="1"/>
  <c r="R363" i="155" a="1"/>
  <c r="R363" i="155" s="1"/>
  <c r="R292" i="155" a="1"/>
  <c r="R292" i="155" s="1"/>
  <c r="R190" i="155" a="1"/>
  <c r="R190" i="155" s="1"/>
  <c r="R171" i="155" a="1"/>
  <c r="R171" i="155" s="1"/>
  <c r="R202" i="155" a="1"/>
  <c r="R202" i="155" s="1"/>
  <c r="R272" i="155" a="1"/>
  <c r="R272" i="155" s="1"/>
  <c r="R343" i="155" a="1"/>
  <c r="R343" i="155" s="1"/>
  <c r="R393" i="155" a="1"/>
  <c r="R393" i="155" s="1"/>
  <c r="R193" i="155" a="1"/>
  <c r="R193" i="155" s="1"/>
  <c r="G140" i="154"/>
  <c r="R199" i="155" a="1"/>
  <c r="R199" i="155" s="1"/>
  <c r="S199" i="155" s="1"/>
  <c r="R221" i="155" a="1"/>
  <c r="R221" i="155" s="1"/>
  <c r="S221" i="155" s="1"/>
  <c r="R116" i="155" a="1"/>
  <c r="R116" i="155" s="1"/>
  <c r="R146" i="155" a="1"/>
  <c r="R146" i="155" s="1"/>
  <c r="R244" i="155" a="1"/>
  <c r="R244" i="155" s="1"/>
  <c r="R300" i="155" a="1"/>
  <c r="R300" i="155" s="1"/>
  <c r="R303" i="155" a="1"/>
  <c r="R303" i="155" s="1"/>
  <c r="R175" i="155" a="1"/>
  <c r="R175" i="155" s="1"/>
  <c r="R226" i="155" a="1"/>
  <c r="R226" i="155" s="1"/>
  <c r="R167" i="155" a="1"/>
  <c r="R167" i="155" s="1"/>
  <c r="R307" i="155" a="1"/>
  <c r="R307" i="155" s="1"/>
  <c r="R298" i="155" a="1"/>
  <c r="R298" i="155" s="1"/>
  <c r="R353" i="155" a="1"/>
  <c r="R353" i="155" s="1"/>
  <c r="R236" i="155" a="1"/>
  <c r="R236" i="155" s="1"/>
  <c r="R117" i="155" a="1"/>
  <c r="R117" i="155" s="1"/>
  <c r="R122" i="155" a="1"/>
  <c r="R122" i="155" s="1"/>
  <c r="R177" i="155" a="1"/>
  <c r="R177" i="155" s="1"/>
  <c r="R233" i="155" a="1"/>
  <c r="R233" i="155" s="1"/>
  <c r="R297" i="155" a="1"/>
  <c r="R297" i="155" s="1"/>
  <c r="T25" i="152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S211" i="155" l="1"/>
  <c r="S268" i="155"/>
  <c r="S205" i="155"/>
  <c r="S327" i="155"/>
  <c r="S299" i="155"/>
  <c r="S225" i="155"/>
  <c r="S257" i="155"/>
  <c r="S302" i="155"/>
  <c r="S294" i="155"/>
  <c r="S330" i="155"/>
  <c r="S144" i="155"/>
  <c r="S355" i="155"/>
  <c r="S291" i="155"/>
  <c r="S370" i="155"/>
  <c r="S369" i="155"/>
  <c r="S300" i="155"/>
  <c r="S220" i="155"/>
  <c r="T221" i="155" s="1"/>
  <c r="S340" i="155"/>
  <c r="S137" i="155"/>
  <c r="S136" i="155"/>
  <c r="S274" i="155"/>
  <c r="S187" i="155"/>
  <c r="S153" i="155"/>
  <c r="S272" i="155"/>
  <c r="S383" i="155"/>
  <c r="S279" i="155"/>
  <c r="S320" i="155"/>
  <c r="S163" i="155"/>
  <c r="S231" i="155"/>
  <c r="S347" i="155"/>
  <c r="S112" i="155"/>
  <c r="S328" i="155"/>
  <c r="S293" i="155"/>
  <c r="S194" i="155"/>
  <c r="S265" i="155"/>
  <c r="S334" i="155"/>
  <c r="T335" i="155" s="1"/>
  <c r="S278" i="155"/>
  <c r="S266" i="155"/>
  <c r="S262" i="155"/>
  <c r="S343" i="155"/>
  <c r="S399" i="155"/>
  <c r="S178" i="155"/>
  <c r="S190" i="155"/>
  <c r="S392" i="155"/>
  <c r="S114" i="155"/>
  <c r="S315" i="155"/>
  <c r="S333" i="155"/>
  <c r="S243" i="155"/>
  <c r="T243" i="155" s="1"/>
  <c r="T31" i="152"/>
  <c r="S162" i="155"/>
  <c r="T26" i="152"/>
  <c r="T33" i="152"/>
  <c r="T32" i="152"/>
  <c r="T28" i="152"/>
  <c r="T36" i="152"/>
  <c r="T27" i="152"/>
  <c r="T34" i="152"/>
  <c r="T29" i="152"/>
  <c r="T30" i="152"/>
  <c r="T35" i="152"/>
  <c r="S303" i="155"/>
  <c r="S287" i="155"/>
  <c r="S131" i="155"/>
  <c r="S256" i="155"/>
  <c r="S348" i="155"/>
  <c r="S309" i="155"/>
  <c r="S331" i="155"/>
  <c r="S110" i="155"/>
  <c r="S107" i="155"/>
  <c r="T107" i="155" s="1"/>
  <c r="S212" i="155"/>
  <c r="T212" i="155" s="1"/>
  <c r="S332" i="155"/>
  <c r="S171" i="155"/>
  <c r="S351" i="155"/>
  <c r="S215" i="155"/>
  <c r="S147" i="155"/>
  <c r="S103" i="155"/>
  <c r="S359" i="155"/>
  <c r="S198" i="155"/>
  <c r="T199" i="155" s="1"/>
  <c r="S339" i="155"/>
  <c r="S382" i="155"/>
  <c r="S193" i="155"/>
  <c r="S117" i="155"/>
  <c r="S229" i="155"/>
  <c r="S102" i="155"/>
  <c r="S366" i="155"/>
  <c r="S207" i="155"/>
  <c r="S353" i="155"/>
  <c r="S142" i="155"/>
  <c r="S183" i="155"/>
  <c r="S295" i="155"/>
  <c r="S201" i="155"/>
  <c r="S385" i="155"/>
  <c r="S362" i="155"/>
  <c r="S321" i="155"/>
  <c r="S133" i="155"/>
  <c r="S270" i="155"/>
  <c r="S253" i="155"/>
  <c r="S240" i="155"/>
  <c r="S157" i="155"/>
  <c r="T158" i="155" s="1"/>
  <c r="S181" i="155"/>
  <c r="S233" i="155"/>
  <c r="S138" i="155"/>
  <c r="S173" i="155"/>
  <c r="S186" i="155"/>
  <c r="S189" i="155"/>
  <c r="S206" i="155"/>
  <c r="S218" i="155"/>
  <c r="S167" i="155"/>
  <c r="S325" i="155"/>
  <c r="S377" i="155"/>
  <c r="S159" i="155"/>
  <c r="T159" i="155" s="1"/>
  <c r="S200" i="155"/>
  <c r="T200" i="155" s="1"/>
  <c r="S125" i="155"/>
  <c r="S115" i="155"/>
  <c r="S349" i="155"/>
  <c r="S213" i="155"/>
  <c r="S364" i="155"/>
  <c r="S285" i="155"/>
  <c r="S151" i="155"/>
  <c r="S281" i="155"/>
  <c r="S254" i="155"/>
  <c r="S195" i="155"/>
  <c r="S155" i="155"/>
  <c r="S239" i="155"/>
  <c r="S379" i="155"/>
  <c r="S338" i="155"/>
  <c r="S259" i="155"/>
  <c r="S247" i="155"/>
  <c r="S164" i="155"/>
  <c r="S317" i="155"/>
  <c r="S127" i="155"/>
  <c r="S122" i="155"/>
  <c r="S227" i="155"/>
  <c r="S361" i="155"/>
  <c r="S170" i="155"/>
  <c r="S312" i="155"/>
  <c r="S346" i="155"/>
  <c r="S367" i="155"/>
  <c r="S310" i="155"/>
  <c r="S263" i="155"/>
  <c r="S180" i="155"/>
  <c r="S149" i="155"/>
  <c r="S223" i="155"/>
  <c r="S260" i="155"/>
  <c r="S311" i="155"/>
  <c r="S292" i="155"/>
  <c r="S123" i="155"/>
  <c r="S176" i="155"/>
  <c r="S104" i="155"/>
  <c r="S373" i="155"/>
  <c r="S397" i="155"/>
  <c r="T397" i="155" s="1"/>
  <c r="S235" i="155"/>
  <c r="S394" i="155"/>
  <c r="S191" i="155"/>
  <c r="S188" i="155"/>
  <c r="S209" i="155"/>
  <c r="S357" i="155"/>
  <c r="S165" i="155"/>
  <c r="S282" i="155"/>
  <c r="S324" i="155"/>
  <c r="S304" i="155"/>
  <c r="S145" i="155"/>
  <c r="S101" i="155"/>
  <c r="S306" i="155"/>
  <c r="S203" i="155"/>
  <c r="S228" i="155"/>
  <c r="S174" i="155"/>
  <c r="S139" i="155"/>
  <c r="S244" i="155"/>
  <c r="S389" i="155"/>
  <c r="S156" i="155"/>
  <c r="S318" i="155"/>
  <c r="S208" i="155"/>
  <c r="S217" i="155"/>
  <c r="S276" i="155"/>
  <c r="S182" i="155"/>
  <c r="K101" i="154"/>
  <c r="S297" i="155"/>
  <c r="S202" i="155"/>
  <c r="S204" i="155"/>
  <c r="K101" i="155"/>
  <c r="S216" i="155"/>
  <c r="S248" i="155"/>
  <c r="S185" i="155"/>
  <c r="S301" i="155"/>
  <c r="S126" i="155"/>
  <c r="S400" i="155"/>
  <c r="S160" i="155"/>
  <c r="S172" i="155"/>
  <c r="S365" i="155"/>
  <c r="M101" i="155"/>
  <c r="S154" i="155"/>
  <c r="S296" i="155"/>
  <c r="M101" i="154"/>
  <c r="S124" i="155"/>
  <c r="S121" i="155"/>
  <c r="S329" i="155"/>
  <c r="S129" i="155"/>
  <c r="S238" i="155"/>
  <c r="S250" i="155"/>
  <c r="S395" i="155"/>
  <c r="T396" i="155" s="1"/>
  <c r="S352" i="155"/>
  <c r="S372" i="155"/>
  <c r="S358" i="155"/>
  <c r="S130" i="155"/>
  <c r="S308" i="155"/>
  <c r="S237" i="155"/>
  <c r="S232" i="155"/>
  <c r="S264" i="155"/>
  <c r="S261" i="155"/>
  <c r="S313" i="155"/>
  <c r="S175" i="155"/>
  <c r="S374" i="155"/>
  <c r="S386" i="155"/>
  <c r="S322" i="155"/>
  <c r="S380" i="155"/>
  <c r="S177" i="155"/>
  <c r="S381" i="155"/>
  <c r="S275" i="155"/>
  <c r="S398" i="155"/>
  <c r="S391" i="155"/>
  <c r="S371" i="155"/>
  <c r="S143" i="155"/>
  <c r="S384" i="155"/>
  <c r="S298" i="155"/>
  <c r="S150" i="155"/>
  <c r="S378" i="155"/>
  <c r="S152" i="155"/>
  <c r="S252" i="155"/>
  <c r="S184" i="155"/>
  <c r="S341" i="155"/>
  <c r="S234" i="155"/>
  <c r="S222" i="155"/>
  <c r="S241" i="155"/>
  <c r="T242" i="155" s="1"/>
  <c r="S128" i="155"/>
  <c r="S214" i="155"/>
  <c r="S393" i="155"/>
  <c r="S269" i="155"/>
  <c r="S316" i="155"/>
  <c r="S267" i="155"/>
  <c r="T268" i="155" s="1"/>
  <c r="S387" i="155"/>
  <c r="S192" i="155"/>
  <c r="S120" i="155"/>
  <c r="S148" i="155"/>
  <c r="S134" i="155"/>
  <c r="S356" i="155"/>
  <c r="S251" i="155"/>
  <c r="S376" i="155"/>
  <c r="S375" i="155"/>
  <c r="S344" i="155"/>
  <c r="S140" i="155"/>
  <c r="S323" i="155"/>
  <c r="S161" i="155"/>
  <c r="S245" i="155"/>
  <c r="S289" i="155"/>
  <c r="S288" i="155"/>
  <c r="S219" i="155"/>
  <c r="S111" i="155"/>
  <c r="S166" i="155"/>
  <c r="S249" i="155"/>
  <c r="S246" i="155"/>
  <c r="S388" i="155"/>
  <c r="S226" i="155"/>
  <c r="S258" i="155"/>
  <c r="S210" i="155"/>
  <c r="S273" i="155"/>
  <c r="S169" i="155"/>
  <c r="S342" i="155"/>
  <c r="S307" i="155"/>
  <c r="S132" i="155"/>
  <c r="S368" i="155"/>
  <c r="S141" i="155"/>
  <c r="S255" i="155"/>
  <c r="S280" i="155"/>
  <c r="S345" i="155"/>
  <c r="S354" i="155"/>
  <c r="S271" i="155"/>
  <c r="S116" i="155"/>
  <c r="S350" i="155"/>
  <c r="S109" i="155"/>
  <c r="T109" i="155" s="1"/>
  <c r="S360" i="155"/>
  <c r="S326" i="155"/>
  <c r="S284" i="155"/>
  <c r="S224" i="155"/>
  <c r="S305" i="155"/>
  <c r="S105" i="155"/>
  <c r="T106" i="155" s="1"/>
  <c r="S390" i="155"/>
  <c r="S286" i="155"/>
  <c r="S113" i="155"/>
  <c r="S119" i="155"/>
  <c r="S118" i="155"/>
  <c r="S319" i="155"/>
  <c r="S168" i="155"/>
  <c r="S337" i="155"/>
  <c r="S146" i="155"/>
  <c r="S230" i="155"/>
  <c r="S135" i="155"/>
  <c r="S363" i="155"/>
  <c r="S196" i="155"/>
  <c r="S236" i="155"/>
  <c r="S336" i="155"/>
  <c r="T336" i="155" s="1"/>
  <c r="S197" i="155"/>
  <c r="S179" i="155"/>
  <c r="S290" i="155"/>
  <c r="S314" i="155"/>
  <c r="S277" i="155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C30" i="152"/>
  <c r="AC34" i="152"/>
  <c r="AC12" i="152"/>
  <c r="AC10" i="152"/>
  <c r="AC36" i="152"/>
  <c r="AC11" i="152"/>
  <c r="AC17" i="152"/>
  <c r="AC31" i="152"/>
  <c r="AC29" i="152"/>
  <c r="AC15" i="152"/>
  <c r="AC37" i="152"/>
  <c r="AC38" i="152"/>
  <c r="AC27" i="152"/>
  <c r="AC19" i="152"/>
  <c r="AC24" i="152"/>
  <c r="AC20" i="152"/>
  <c r="AC28" i="152"/>
  <c r="AC14" i="152"/>
  <c r="AC23" i="152"/>
  <c r="AC18" i="152"/>
  <c r="AC13" i="152"/>
  <c r="AC33" i="152"/>
  <c r="AC22" i="152"/>
  <c r="AC35" i="152"/>
  <c r="AC32" i="152"/>
  <c r="AC16" i="152"/>
  <c r="AC21" i="152"/>
  <c r="AC8" i="152"/>
  <c r="AC25" i="152"/>
  <c r="AC9" i="152"/>
  <c r="AC26" i="152"/>
  <c r="T356" i="155" l="1"/>
  <c r="T257" i="155"/>
  <c r="T299" i="155"/>
  <c r="T328" i="155"/>
  <c r="T300" i="155"/>
  <c r="T302" i="155"/>
  <c r="T205" i="155"/>
  <c r="T327" i="155"/>
  <c r="T206" i="155"/>
  <c r="T371" i="155"/>
  <c r="T294" i="155"/>
  <c r="T225" i="155"/>
  <c r="T295" i="155"/>
  <c r="T331" i="155"/>
  <c r="T144" i="155"/>
  <c r="T330" i="155"/>
  <c r="T303" i="155"/>
  <c r="T145" i="155"/>
  <c r="T171" i="155"/>
  <c r="T370" i="155"/>
  <c r="T291" i="155"/>
  <c r="T131" i="155"/>
  <c r="T173" i="155"/>
  <c r="T137" i="155"/>
  <c r="T320" i="155"/>
  <c r="T138" i="155"/>
  <c r="T341" i="155"/>
  <c r="T340" i="155"/>
  <c r="T232" i="155"/>
  <c r="T188" i="155"/>
  <c r="T154" i="155"/>
  <c r="T347" i="155"/>
  <c r="T164" i="155"/>
  <c r="T163" i="155"/>
  <c r="T348" i="155"/>
  <c r="T187" i="155"/>
  <c r="T383" i="155"/>
  <c r="T293" i="155"/>
  <c r="T195" i="155"/>
  <c r="T321" i="155"/>
  <c r="T153" i="155"/>
  <c r="T279" i="155"/>
  <c r="T280" i="155"/>
  <c r="T273" i="155"/>
  <c r="T191" i="155"/>
  <c r="T266" i="155"/>
  <c r="T334" i="155"/>
  <c r="T194" i="155"/>
  <c r="T190" i="155"/>
  <c r="T316" i="155"/>
  <c r="T179" i="155"/>
  <c r="T343" i="155"/>
  <c r="T344" i="155"/>
  <c r="T400" i="155"/>
  <c r="T263" i="155"/>
  <c r="T262" i="155"/>
  <c r="T114" i="155"/>
  <c r="T178" i="155"/>
  <c r="T244" i="155"/>
  <c r="T115" i="155"/>
  <c r="T393" i="155"/>
  <c r="T392" i="155"/>
  <c r="T162" i="155"/>
  <c r="T287" i="155"/>
  <c r="T288" i="155"/>
  <c r="T304" i="155"/>
  <c r="T310" i="155"/>
  <c r="T349" i="155"/>
  <c r="T359" i="155"/>
  <c r="T309" i="155"/>
  <c r="T332" i="155"/>
  <c r="T111" i="155"/>
  <c r="T282" i="155"/>
  <c r="T108" i="155"/>
  <c r="T184" i="155"/>
  <c r="T213" i="155"/>
  <c r="T333" i="155"/>
  <c r="T216" i="155"/>
  <c r="T147" i="155"/>
  <c r="T148" i="155"/>
  <c r="T103" i="155"/>
  <c r="T104" i="155"/>
  <c r="T339" i="155"/>
  <c r="T271" i="155"/>
  <c r="T230" i="155"/>
  <c r="T202" i="155"/>
  <c r="T102" i="155"/>
  <c r="T118" i="155"/>
  <c r="T193" i="155"/>
  <c r="T181" i="155"/>
  <c r="T350" i="155"/>
  <c r="T385" i="155"/>
  <c r="T134" i="155"/>
  <c r="T229" i="155"/>
  <c r="T366" i="155"/>
  <c r="T133" i="155"/>
  <c r="T208" i="155"/>
  <c r="T142" i="155"/>
  <c r="T246" i="155"/>
  <c r="T270" i="155"/>
  <c r="T186" i="155"/>
  <c r="T254" i="155"/>
  <c r="T174" i="155"/>
  <c r="T354" i="155"/>
  <c r="T240" i="155"/>
  <c r="T353" i="155"/>
  <c r="T296" i="155"/>
  <c r="T367" i="155"/>
  <c r="T201" i="155"/>
  <c r="T322" i="155"/>
  <c r="T182" i="155"/>
  <c r="T168" i="155"/>
  <c r="T386" i="155"/>
  <c r="T139" i="155"/>
  <c r="T362" i="155"/>
  <c r="T248" i="155"/>
  <c r="T312" i="155"/>
  <c r="T207" i="155"/>
  <c r="T219" i="155"/>
  <c r="T261" i="155"/>
  <c r="T125" i="155"/>
  <c r="T365" i="155"/>
  <c r="T156" i="155"/>
  <c r="T218" i="155"/>
  <c r="T259" i="155"/>
  <c r="T223" i="155"/>
  <c r="T380" i="155"/>
  <c r="T373" i="155"/>
  <c r="T358" i="155"/>
  <c r="T214" i="155"/>
  <c r="T325" i="155"/>
  <c r="T165" i="155"/>
  <c r="T364" i="155"/>
  <c r="T314" i="155"/>
  <c r="T285" i="155"/>
  <c r="T167" i="155"/>
  <c r="T121" i="155"/>
  <c r="T128" i="155"/>
  <c r="T260" i="155"/>
  <c r="T150" i="155"/>
  <c r="T276" i="155"/>
  <c r="T313" i="155"/>
  <c r="T329" i="155"/>
  <c r="T116" i="155"/>
  <c r="T277" i="155"/>
  <c r="T126" i="155"/>
  <c r="T122" i="155"/>
  <c r="T283" i="155"/>
  <c r="T247" i="155"/>
  <c r="T196" i="155"/>
  <c r="T166" i="155"/>
  <c r="T255" i="155"/>
  <c r="T123" i="155"/>
  <c r="T269" i="155"/>
  <c r="T250" i="155"/>
  <c r="T389" i="155"/>
  <c r="T157" i="155"/>
  <c r="T210" i="155"/>
  <c r="T361" i="155"/>
  <c r="T357" i="155"/>
  <c r="T368" i="155"/>
  <c r="T298" i="155"/>
  <c r="T305" i="155"/>
  <c r="T317" i="155"/>
  <c r="T237" i="155"/>
  <c r="T391" i="155"/>
  <c r="T140" i="155"/>
  <c r="T129" i="155"/>
  <c r="T224" i="155"/>
  <c r="T395" i="155"/>
  <c r="T127" i="155"/>
  <c r="T227" i="155"/>
  <c r="T384" i="155"/>
  <c r="T245" i="155"/>
  <c r="T228" i="155"/>
  <c r="T146" i="155"/>
  <c r="T292" i="155"/>
  <c r="O101" i="155"/>
  <c r="O103" i="155" s="1"/>
  <c r="T203" i="155"/>
  <c r="T155" i="155"/>
  <c r="T249" i="155"/>
  <c r="T311" i="155"/>
  <c r="T264" i="155"/>
  <c r="T161" i="155"/>
  <c r="T204" i="155"/>
  <c r="T189" i="155"/>
  <c r="O101" i="154"/>
  <c r="T318" i="155"/>
  <c r="T209" i="155"/>
  <c r="T135" i="155"/>
  <c r="T265" i="155"/>
  <c r="T233" i="155"/>
  <c r="T381" i="155"/>
  <c r="T297" i="155"/>
  <c r="T394" i="155"/>
  <c r="T387" i="155"/>
  <c r="T185" i="155"/>
  <c r="T160" i="155"/>
  <c r="T352" i="155"/>
  <c r="T284" i="155"/>
  <c r="T176" i="155"/>
  <c r="T143" i="155"/>
  <c r="T274" i="155"/>
  <c r="T278" i="155"/>
  <c r="T124" i="155"/>
  <c r="T177" i="155"/>
  <c r="T337" i="155"/>
  <c r="T355" i="155"/>
  <c r="T369" i="155"/>
  <c r="T326" i="155"/>
  <c r="T382" i="155"/>
  <c r="T151" i="155"/>
  <c r="T301" i="155"/>
  <c r="T215" i="155"/>
  <c r="T235" i="155"/>
  <c r="T374" i="155"/>
  <c r="T238" i="155"/>
  <c r="T211" i="155"/>
  <c r="T113" i="155"/>
  <c r="T324" i="155"/>
  <c r="T398" i="155"/>
  <c r="T172" i="155"/>
  <c r="T112" i="155"/>
  <c r="T234" i="155"/>
  <c r="T183" i="155"/>
  <c r="T375" i="155"/>
  <c r="T308" i="155"/>
  <c r="T130" i="155"/>
  <c r="T251" i="155"/>
  <c r="T323" i="155"/>
  <c r="T217" i="155"/>
  <c r="T152" i="155"/>
  <c r="T319" i="155"/>
  <c r="T117" i="155"/>
  <c r="T399" i="155"/>
  <c r="T105" i="155"/>
  <c r="T239" i="155"/>
  <c r="T315" i="155"/>
  <c r="T256" i="155"/>
  <c r="T281" i="155"/>
  <c r="T175" i="155"/>
  <c r="T192" i="155"/>
  <c r="T231" i="155"/>
  <c r="T197" i="155"/>
  <c r="T390" i="155"/>
  <c r="T275" i="155"/>
  <c r="T363" i="155"/>
  <c r="T272" i="155"/>
  <c r="T136" i="155"/>
  <c r="T180" i="155"/>
  <c r="T345" i="155"/>
  <c r="T306" i="155"/>
  <c r="T252" i="155"/>
  <c r="T286" i="155"/>
  <c r="T289" i="155"/>
  <c r="T307" i="155"/>
  <c r="T110" i="155"/>
  <c r="T258" i="155"/>
  <c r="T198" i="155"/>
  <c r="T378" i="155"/>
  <c r="T379" i="155"/>
  <c r="T338" i="155"/>
  <c r="T253" i="155"/>
  <c r="T222" i="155"/>
  <c r="T376" i="155"/>
  <c r="T226" i="155"/>
  <c r="T119" i="155"/>
  <c r="T388" i="155"/>
  <c r="T220" i="155"/>
  <c r="T132" i="155"/>
  <c r="T241" i="155"/>
  <c r="T267" i="155"/>
  <c r="T169" i="155"/>
  <c r="T170" i="155"/>
  <c r="T360" i="155"/>
  <c r="T342" i="155"/>
  <c r="T346" i="155"/>
  <c r="T351" i="155"/>
  <c r="T372" i="155"/>
  <c r="T290" i="155"/>
  <c r="T236" i="155"/>
  <c r="T141" i="155"/>
  <c r="T149" i="155"/>
  <c r="T120" i="155"/>
  <c r="T377" i="155"/>
  <c r="AN28" i="153" a="1"/>
  <c r="X101" i="155" l="1"/>
  <c r="AA101" i="155" s="1"/>
  <c r="AN57" i="153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04" i="153"/>
  <c r="E187" i="153"/>
  <c r="E122" i="153"/>
  <c r="E316" i="153"/>
  <c r="E250" i="153"/>
  <c r="E209" i="153"/>
  <c r="E296" i="153"/>
  <c r="E354" i="153"/>
  <c r="E190" i="153"/>
  <c r="E357" i="153"/>
  <c r="E276" i="153"/>
  <c r="E177" i="153"/>
  <c r="E351" i="153"/>
  <c r="E129" i="153"/>
  <c r="E386" i="153"/>
  <c r="E359" i="153"/>
  <c r="E258" i="153"/>
  <c r="E156" i="153"/>
  <c r="E230" i="153"/>
  <c r="E175" i="153"/>
  <c r="E213" i="153"/>
  <c r="E318" i="153"/>
  <c r="E127" i="153"/>
  <c r="E343" i="153"/>
  <c r="E241" i="153"/>
  <c r="E355" i="153"/>
  <c r="E144" i="153"/>
  <c r="E300" i="153"/>
  <c r="E117" i="153"/>
  <c r="E299" i="153"/>
  <c r="E173" i="153"/>
  <c r="E208" i="153"/>
  <c r="E243" i="153"/>
  <c r="E375" i="153"/>
  <c r="E387" i="153"/>
  <c r="E264" i="153"/>
  <c r="E368" i="153"/>
  <c r="E182" i="153"/>
  <c r="E393" i="153"/>
  <c r="E360" i="153"/>
  <c r="E297" i="153"/>
  <c r="E259" i="153"/>
  <c r="E317" i="153"/>
  <c r="E193" i="153"/>
  <c r="E133" i="153"/>
  <c r="E106" i="153"/>
  <c r="E292" i="153"/>
  <c r="E108" i="153"/>
  <c r="E167" i="153"/>
  <c r="E323" i="153"/>
  <c r="E109" i="153"/>
  <c r="E174" i="153"/>
  <c r="E305" i="153"/>
  <c r="E274" i="153"/>
  <c r="E381" i="153"/>
  <c r="E329" i="153"/>
  <c r="E183" i="153"/>
  <c r="E306" i="153"/>
  <c r="E164" i="153"/>
  <c r="E272" i="153"/>
  <c r="E218" i="153"/>
  <c r="E314" i="153"/>
  <c r="E255" i="153"/>
  <c r="E192" i="153"/>
  <c r="E275" i="153"/>
  <c r="E238" i="153"/>
  <c r="E352" i="153"/>
  <c r="E233" i="153"/>
  <c r="E179" i="153"/>
  <c r="E204" i="153"/>
  <c r="E157" i="153"/>
  <c r="E251" i="153"/>
  <c r="E257" i="153"/>
  <c r="E383" i="153"/>
  <c r="E195" i="153"/>
  <c r="E261" i="153"/>
  <c r="E378" i="153"/>
  <c r="E308" i="153"/>
  <c r="E245" i="153"/>
  <c r="E200" i="153"/>
  <c r="E111" i="153"/>
  <c r="E333" i="153"/>
  <c r="E307" i="153"/>
  <c r="E366" i="153"/>
  <c r="E277" i="153"/>
  <c r="E113" i="153"/>
  <c r="E104" i="153"/>
  <c r="E231" i="153"/>
  <c r="E202" i="153"/>
  <c r="E298" i="153"/>
  <c r="E184" i="153"/>
  <c r="E397" i="153"/>
  <c r="E240" i="153"/>
  <c r="E334" i="153"/>
  <c r="E371" i="153"/>
  <c r="E346" i="153"/>
  <c r="E286" i="153"/>
  <c r="E362" i="153"/>
  <c r="E171" i="153"/>
  <c r="E203" i="153"/>
  <c r="E159" i="153"/>
  <c r="E278" i="153"/>
  <c r="E153" i="153"/>
  <c r="E166" i="153"/>
  <c r="E136" i="153"/>
  <c r="E165" i="153"/>
  <c r="E151" i="153"/>
  <c r="E196" i="153"/>
  <c r="E103" i="153"/>
  <c r="E392" i="153"/>
  <c r="E273" i="153"/>
  <c r="E389" i="153"/>
  <c r="E388" i="153"/>
  <c r="E212" i="153"/>
  <c r="E146" i="153"/>
  <c r="E162" i="153"/>
  <c r="E140" i="153"/>
  <c r="E115" i="153"/>
  <c r="E169" i="153"/>
  <c r="E225" i="153"/>
  <c r="E331" i="153"/>
  <c r="E163" i="153"/>
  <c r="E279" i="153"/>
  <c r="E155" i="153"/>
  <c r="E188" i="153"/>
  <c r="E284" i="153"/>
  <c r="E301" i="153"/>
  <c r="E322" i="153"/>
  <c r="E384" i="153"/>
  <c r="E201" i="153"/>
  <c r="E205" i="153"/>
  <c r="E242" i="153"/>
  <c r="E399" i="153"/>
  <c r="E189" i="153"/>
  <c r="E319" i="153"/>
  <c r="E313" i="153"/>
  <c r="E148" i="153"/>
  <c r="E142" i="153"/>
  <c r="E349" i="153"/>
  <c r="E248" i="153"/>
  <c r="E358" i="153"/>
  <c r="E283" i="153"/>
  <c r="E345" i="153"/>
  <c r="E326" i="153"/>
  <c r="E207" i="153"/>
  <c r="E244" i="153"/>
  <c r="E269" i="153"/>
  <c r="E364" i="153"/>
  <c r="E395" i="153"/>
  <c r="E223" i="153"/>
  <c r="E252" i="153"/>
  <c r="E309" i="153"/>
  <c r="E285" i="153"/>
  <c r="E332" i="153"/>
  <c r="E390" i="153"/>
  <c r="E396" i="153"/>
  <c r="E138" i="153"/>
  <c r="E353" i="153"/>
  <c r="E185" i="153"/>
  <c r="E234" i="153"/>
  <c r="E199" i="153"/>
  <c r="E210" i="153"/>
  <c r="E266" i="153"/>
  <c r="E293" i="153"/>
  <c r="E254" i="153"/>
  <c r="E119" i="153"/>
  <c r="E227" i="153"/>
  <c r="E194" i="153"/>
  <c r="E337" i="153"/>
  <c r="E239" i="153"/>
  <c r="E221" i="153"/>
  <c r="E118" i="153"/>
  <c r="E370" i="153"/>
  <c r="E145" i="153"/>
  <c r="E132" i="153"/>
  <c r="E247" i="153"/>
  <c r="E325" i="153"/>
  <c r="E249" i="153"/>
  <c r="E287" i="153"/>
  <c r="E246" i="153"/>
  <c r="E369" i="153"/>
  <c r="E294" i="153"/>
  <c r="E267" i="153"/>
  <c r="E253" i="153"/>
  <c r="E161" i="153"/>
  <c r="E282" i="153"/>
  <c r="E121" i="153"/>
  <c r="E288" i="153"/>
  <c r="E268" i="153"/>
  <c r="E235" i="153"/>
  <c r="E147" i="153"/>
  <c r="E160" i="153"/>
  <c r="E365" i="153"/>
  <c r="E135" i="153"/>
  <c r="E214" i="153"/>
  <c r="E126" i="153"/>
  <c r="E262" i="153"/>
  <c r="E229" i="153"/>
  <c r="E321" i="153"/>
  <c r="E320" i="153"/>
  <c r="E215" i="153"/>
  <c r="E330" i="153"/>
  <c r="E172" i="153"/>
  <c r="E186" i="153"/>
  <c r="E372" i="153"/>
  <c r="E280" i="153"/>
  <c r="E116" i="153"/>
  <c r="E128" i="153"/>
  <c r="E178" i="153"/>
  <c r="E168" i="153"/>
  <c r="E150" i="153"/>
  <c r="E391" i="153"/>
  <c r="E382" i="153"/>
  <c r="E336" i="153"/>
  <c r="E120" i="153"/>
  <c r="E110" i="153"/>
  <c r="E137" i="153"/>
  <c r="E289" i="153"/>
  <c r="E303" i="153"/>
  <c r="E377" i="153"/>
  <c r="E356" i="153"/>
  <c r="E312" i="153"/>
  <c r="E341" i="153"/>
  <c r="E112" i="153"/>
  <c r="E328" i="153"/>
  <c r="E340" i="153"/>
  <c r="E335" i="153"/>
  <c r="E149" i="153"/>
  <c r="E347" i="153"/>
  <c r="E394" i="153"/>
  <c r="E380" i="153"/>
  <c r="E107" i="153"/>
  <c r="E211" i="153"/>
  <c r="E181" i="153"/>
  <c r="E311" i="153"/>
  <c r="E310" i="153"/>
  <c r="E374" i="153"/>
  <c r="E363" i="153"/>
  <c r="E260" i="153"/>
  <c r="E131" i="153"/>
  <c r="E226" i="153"/>
  <c r="E139" i="153"/>
  <c r="E158" i="153"/>
  <c r="E342" i="153"/>
  <c r="E263" i="153"/>
  <c r="E216" i="153"/>
  <c r="E385" i="153"/>
  <c r="E130" i="153"/>
  <c r="E191" i="153"/>
  <c r="E228" i="153"/>
  <c r="E125" i="153"/>
  <c r="E232" i="153"/>
  <c r="E198" i="153"/>
  <c r="E361" i="153"/>
  <c r="E344" i="153"/>
  <c r="E102" i="153"/>
  <c r="E295" i="153"/>
  <c r="E105" i="153"/>
  <c r="E271" i="153"/>
  <c r="E154" i="153"/>
  <c r="E327" i="153"/>
  <c r="E134" i="153"/>
  <c r="E180" i="153"/>
  <c r="E236" i="153"/>
  <c r="E400" i="153"/>
  <c r="E220" i="153"/>
  <c r="E348" i="153"/>
  <c r="E141" i="153"/>
  <c r="E114" i="153"/>
  <c r="E291" i="153"/>
  <c r="E176" i="153"/>
  <c r="E339" i="153"/>
  <c r="E101" i="153"/>
  <c r="E219" i="153"/>
  <c r="E290" i="153"/>
  <c r="E100" i="153"/>
  <c r="E373" i="153"/>
  <c r="E170" i="153"/>
  <c r="E217" i="153"/>
  <c r="E398" i="153"/>
  <c r="E224" i="153"/>
  <c r="E237" i="153"/>
  <c r="E152" i="153"/>
  <c r="E197" i="153"/>
  <c r="E143" i="153"/>
  <c r="E124" i="153"/>
  <c r="E281" i="153"/>
  <c r="E315" i="153"/>
  <c r="E256" i="153"/>
  <c r="E379" i="153"/>
  <c r="E338" i="153"/>
  <c r="E123" i="153"/>
  <c r="E367" i="153"/>
  <c r="E270" i="153"/>
  <c r="E206" i="153"/>
  <c r="E265" i="153"/>
  <c r="E376" i="153"/>
  <c r="E222" i="153"/>
  <c r="E324" i="153"/>
  <c r="E302" i="153"/>
  <c r="E350" i="153"/>
  <c r="AF101" i="155" l="1"/>
  <c r="E3" i="146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G17" i="123" l="1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<sst xmlns="http://schemas.openxmlformats.org/spreadsheetml/2006/main" count="1541" uniqueCount="384">
  <si>
    <t>Diagnostics</t>
  </si>
  <si>
    <t>Logistic Regression</t>
  </si>
  <si>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</si>
  <si>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</si>
  <si>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</si>
  <si>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</si>
  <si>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</si>
  <si>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</si>
  <si>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</si>
  <si>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</si>
  <si>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</si>
  <si>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</si>
  <si>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</si>
  <si>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</si>
  <si>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</si>
  <si>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</si>
  <si>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</si>
  <si>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</si>
  <si>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</si>
  <si>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</si>
  <si>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</si>
  <si>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</si>
  <si>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</si>
  <si>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</si>
  <si>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</si>
  <si>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</si>
  <si>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</si>
  <si>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</si>
  <si>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</si>
  <si>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</si>
  <si>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</si>
  <si>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</si>
  <si>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</si>
  <si>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</si>
  <si>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</si>
  <si>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</si>
  <si>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</si>
  <si>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</si>
  <si>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</si>
  <si>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</si>
  <si>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</si>
  <si>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</si>
  <si>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</si>
  <si>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</si>
  <si>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</si>
  <si>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</si>
  <si>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</si>
  <si>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</si>
  <si>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</si>
  <si>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</si>
  <si>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</si>
  <si>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</si>
  <si>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</si>
  <si>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</si>
  <si>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</si>
  <si>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</si>
  <si>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</si>
  <si>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</si>
  <si>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</si>
  <si>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</si>
  <si>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</si>
  <si>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</si>
  <si>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</si>
  <si>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 Analysis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</si>
  <si>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</si>
  <si>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</si>
  <si>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</si>
  <si>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</si>
  <si>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</si>
  <si>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</si>
  <si>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</si>
  <si>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</si>
  <si>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</si>
  <si>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</si>
  <si>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</si>
  <si>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</si>
  <si>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</si>
  <si>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</si>
  <si>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</si>
  <si>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</si>
  <si>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</si>
  <si>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</si>
  <si>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</si>
  <si>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</si>
  <si>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</si>
  <si>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</si>
  <si>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</si>
  <si>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</si>
  <si>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</si>
  <si>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</si>
  <si>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</si>
  <si>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</si>
  <si>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</si>
  <si>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</si>
  <si>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</si>
  <si>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</si>
  <si>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</si>
  <si>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</si>
  <si>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</si>
  <si>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</si>
  <si>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</si>
  <si>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</si>
  <si>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</si>
  <si>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</si>
  <si>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</si>
  <si>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</si>
  <si>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</si>
  <si>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</si>
  <si>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</si>
  <si>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</si>
  <si>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</si>
  <si>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</si>
  <si>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</si>
  <si>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</si>
  <si>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</si>
  <si>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</si>
  <si>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</si>
  <si>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</si>
  <si>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</si>
  <si>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</si>
  <si>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</si>
  <si>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</si>
  <si>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</si>
  <si>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</si>
  <si>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</si>
  <si>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</si>
  <si>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</si>
  <si>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</si>
  <si>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</si>
  <si>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</si>
  <si>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</si>
  <si>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</si>
  <si>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</si>
  <si>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</si>
  <si>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</si>
  <si>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</si>
  <si>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</si>
  <si>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</si>
  <si>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</si>
  <si>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</si>
  <si>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</si>
  <si>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</si>
  <si>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</si>
  <si>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</si>
  <si>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</si>
  <si>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</si>
  <si>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</si>
  <si>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</si>
  <si>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</si>
  <si>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</si>
  <si>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</si>
  <si>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</si>
  <si>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</si>
  <si>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</si>
  <si>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</si>
  <si>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</si>
  <si>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</si>
  <si>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</si>
  <si>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</si>
  <si>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</si>
  <si>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</si>
  <si>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</si>
  <si>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</si>
  <si>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</si>
  <si>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</si>
  <si>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</si>
  <si>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</si>
  <si>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</si>
  <si>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</si>
  <si>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</si>
  <si>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</si>
  <si>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</si>
  <si>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</si>
  <si>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</si>
  <si>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</si>
  <si>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</si>
  <si>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</si>
  <si>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</si>
  <si>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</si>
  <si>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</si>
  <si>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</si>
  <si>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</si>
  <si>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</si>
  <si>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</si>
  <si>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</si>
  <si>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</si>
  <si>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</si>
  <si>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</si>
  <si>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</si>
  <si>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</si>
  <si>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</si>
  <si>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</si>
  <si>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</si>
  <si>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</si>
  <si>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</si>
  <si>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</si>
  <si>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</si>
  <si>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</si>
  <si>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</si>
  <si>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</si>
  <si>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</si>
  <si>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</si>
  <si>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</si>
  <si>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</si>
  <si>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</si>
  <si>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</si>
  <si>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</si>
  <si>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</si>
  <si>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</si>
  <si>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</si>
  <si>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</si>
  <si>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</si>
  <si>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</si>
  <si>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</si>
  <si>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</si>
  <si>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</si>
  <si>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</si>
  <si>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</si>
  <si>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</si>
  <si>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</si>
  <si>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</si>
  <si>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</si>
  <si>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</si>
  <si>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</si>
  <si>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</si>
  <si>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</si>
  <si>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</si>
  <si>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</si>
  <si>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</si>
  <si>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</si>
  <si>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</si>
  <si>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</si>
  <si>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</si>
  <si>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</si>
  <si>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</si>
  <si>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</si>
  <si>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</si>
  <si>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</si>
  <si>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</si>
  <si>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</si>
  <si>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</si>
  <si>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</si>
  <si>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</si>
  <si>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</si>
  <si>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</si>
  <si>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</si>
  <si>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</si>
  <si>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</si>
  <si>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</si>
  <si>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</si>
  <si>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</si>
  <si>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</si>
  <si>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</si>
  <si>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</si>
  <si>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</si>
  <si>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</si>
  <si>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</si>
  <si>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</si>
  <si>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</si>
  <si>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</si>
  <si>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Plot the points below</t>
  </si>
  <si>
    <t>Interpret them as 2 line segments.</t>
  </si>
  <si>
    <t>Solve for the slope and intercepts of both lines at the same time as part of a system of equations.</t>
  </si>
  <si>
    <t>Repeat the above and change the equation so that system constrains the lines to having the same slope.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</si>
  <si>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</si>
  <si>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</si>
  <si>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</si>
  <si>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</si>
  <si>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</si>
  <si>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</si>
  <si>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</si>
  <si>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</si>
  <si>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</si>
  <si>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</si>
  <si>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</si>
  <si>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</si>
  <si>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</si>
  <si>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</si>
  <si>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</si>
  <si>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</si>
  <si>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</si>
  <si>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</si>
  <si>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</si>
  <si>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</si>
  <si>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</si>
  <si>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</si>
  <si>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</si>
  <si>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</si>
  <si>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</si>
  <si>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</si>
  <si>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</si>
  <si>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-</t>
  </si>
  <si>
    <t>f(1,2,3)</t>
  </si>
  <si>
    <t>f(2,3)</t>
  </si>
  <si>
    <t>Order3</t>
  </si>
  <si>
    <t>Order2</t>
  </si>
  <si>
    <t>E[y]</t>
  </si>
  <si>
    <t>Order1</t>
  </si>
  <si>
    <t>f(1,3)</t>
  </si>
  <si>
    <t>f(1,2)</t>
  </si>
  <si>
    <t>f(3)</t>
  </si>
  <si>
    <t>f(2)</t>
  </si>
  <si>
    <t>f(1)</t>
  </si>
  <si>
    <t>a,b,c</t>
  </si>
  <si>
    <t>b,c</t>
  </si>
  <si>
    <t>a,c</t>
  </si>
  <si>
    <t>a,b</t>
  </si>
  <si>
    <t>c</t>
  </si>
  <si>
    <t>a</t>
  </si>
  <si>
    <t>Letters</t>
  </si>
  <si>
    <t>Additive_2Player</t>
  </si>
  <si>
    <t>Additive_2P_Cases</t>
  </si>
  <si>
    <t>Additive_2P_Expectation</t>
  </si>
  <si>
    <t>Website</t>
  </si>
  <si>
    <t>Additive_3Player</t>
  </si>
  <si>
    <t>Marginals</t>
  </si>
  <si>
    <t>Modeling</t>
  </si>
  <si>
    <t>https://en.wikipedia.org/wiki/Multinomial_logistic_regression</t>
  </si>
  <si>
    <t>https://en.wikipedia.org/wiki/Silhouette_(clustering)</t>
  </si>
  <si>
    <t>Gini Impurity</t>
  </si>
  <si>
    <t>What happens to within cluster variation as k goes to n?</t>
  </si>
  <si>
    <t>For cluster analysis, why can't we use an elbow plot to decide on k?</t>
  </si>
  <si>
    <t>Using the R code provided or a language of your choice …</t>
  </si>
  <si>
    <t>Resimulate data points and plot the silhouette.</t>
  </si>
  <si>
    <t>Simulate until a negative value is obtained.  This might take a minute.</t>
  </si>
  <si>
    <t>Paste the plot of the points and of the silhouette below.</t>
  </si>
  <si>
    <t>Identify and describe the negative silhouette value.</t>
  </si>
  <si>
    <t>Make your own example of a dataset with three players.</t>
  </si>
  <si>
    <t>List the coalitions.</t>
  </si>
  <si>
    <t>List the contributions of the coalitions.</t>
  </si>
  <si>
    <t>Calculated individual contributions.</t>
  </si>
  <si>
    <t>Do this work in Excel and display below.</t>
  </si>
  <si>
    <t>Next class</t>
  </si>
  <si>
    <t>PCA</t>
  </si>
  <si>
    <t>GAMs</t>
  </si>
  <si>
    <t>Naïve Bayes: Text Data</t>
  </si>
  <si>
    <t>Shapley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</si>
  <si>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</si>
  <si>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</si>
  <si>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</si>
  <si>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</si>
  <si>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</si>
  <si>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</si>
  <si>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</si>
  <si>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Perform a multinomial logistic regression.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</si>
  <si>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</si>
  <si>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</si>
  <si>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</si>
  <si>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</si>
  <si>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</si>
  <si>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</si>
  <si>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</si>
  <si>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</si>
  <si>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</si>
  <si>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</si>
  <si>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</si>
  <si>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</si>
  <si>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</si>
  <si>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</si>
  <si>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</si>
  <si>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</si>
  <si>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</si>
  <si>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</si>
  <si>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</si>
  <si>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</si>
  <si>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P(Likedi)</t>
  </si>
  <si>
    <t>P(Dislikedi)</t>
  </si>
  <si>
    <t>train</t>
  </si>
  <si>
    <t>test</t>
  </si>
  <si>
    <t>fit_forecast</t>
  </si>
  <si>
    <t>Rcode</t>
  </si>
  <si>
    <t>Describe the math P(A|B) as the probability A in the Universe of B.</t>
  </si>
  <si>
    <t>What is the formula for P(A|B) in terms of B|A?</t>
  </si>
  <si>
    <t>What is the formula for P(A&amp;B) in terms of A|B and B?</t>
  </si>
  <si>
    <t>What is the formula for P(A&amp;B) when A and B are independent?</t>
  </si>
  <si>
    <t>What is the formula for P(A&amp;B) when A|B and B are independent?</t>
  </si>
  <si>
    <t>Compare the answers to questions 5 and 3?  Is there an interesting interpretation?</t>
  </si>
  <si>
    <t>What is P(A&amp;B&amp;C&amp;D) when A B C D are all independent?</t>
  </si>
  <si>
    <t>What is P(A|Z &amp;B|Z &amp;C|Z &amp;D|Z) when A B C D are all conditionally-dependent-given Z?</t>
  </si>
  <si>
    <t>Offer and example of conditional independence.</t>
  </si>
  <si>
    <t>What is P(A|Z &amp;B|Z &amp;C|Z &amp;D|Z) * P(Z) when A B C D are all conditionally-dependent-given Z?</t>
  </si>
  <si>
    <t>NaïveBayes</t>
  </si>
  <si>
    <t>Free points</t>
  </si>
  <si>
    <t>Shapley: Model Interpretation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</si>
</sst>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0000000000000%"/>
    <numFmt numFmtId="166" formatCode="0.000"/>
    <numFmt numFmtId="167" formatCode="0.00000000000000%"/>
    <numFmt numFmtId="168" formatCode="0.0000"/>
  </numFmts>
  <fonts count="3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2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/>
    <xf numFmtId="0" fontId="9" fillId="2" borderId="0" xfId="0" applyFont="1" applyFill="1" applyAlignment="1">
      <alignment horizontal="righ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7.xml"/><Relationship Id="rId68" Type="http://schemas.openxmlformats.org/officeDocument/2006/relationships/externalLink" Target="externalLinks/externalLink1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74" Type="http://schemas.openxmlformats.org/officeDocument/2006/relationships/externalLink" Target="externalLinks/externalLink18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5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8.xml"/><Relationship Id="rId69" Type="http://schemas.openxmlformats.org/officeDocument/2006/relationships/externalLink" Target="externalLinks/externalLink13.xml"/><Relationship Id="rId77" Type="http://schemas.openxmlformats.org/officeDocument/2006/relationships/externalLink" Target="externalLinks/externalLink2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6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Relationship Id="rId67" Type="http://schemas.openxmlformats.org/officeDocument/2006/relationships/externalLink" Target="externalLinks/externalLink1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6.xml"/><Relationship Id="rId70" Type="http://schemas.openxmlformats.org/officeDocument/2006/relationships/externalLink" Target="externalLinks/externalLink14.xml"/><Relationship Id="rId75" Type="http://schemas.openxmlformats.org/officeDocument/2006/relationships/externalLink" Target="externalLinks/externalLink1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4.xml"/><Relationship Id="rId65" Type="http://schemas.openxmlformats.org/officeDocument/2006/relationships/externalLink" Target="externalLinks/externalLink9.xml"/><Relationship Id="rId73" Type="http://schemas.openxmlformats.org/officeDocument/2006/relationships/externalLink" Target="externalLinks/externalLink17.xml"/><Relationship Id="rId78" Type="http://schemas.openxmlformats.org/officeDocument/2006/relationships/theme" Target="theme/theme1.xml"/><Relationship Id="rId8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20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1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3.7952408358327387</c:v>
                </c:pt>
                <c:pt idx="1">
                  <c:v>3.2259074685603233</c:v>
                </c:pt>
                <c:pt idx="2">
                  <c:v>4.3517457162595141</c:v>
                </c:pt>
                <c:pt idx="3">
                  <c:v>4.0577616978826336</c:v>
                </c:pt>
                <c:pt idx="4">
                  <c:v>4.9417764385399607</c:v>
                </c:pt>
                <c:pt idx="5">
                  <c:v>3.6773969762774494</c:v>
                </c:pt>
                <c:pt idx="6">
                  <c:v>4.2343980535255668</c:v>
                </c:pt>
                <c:pt idx="7">
                  <c:v>4.5311915588854532</c:v>
                </c:pt>
                <c:pt idx="8">
                  <c:v>3.7707468114365841</c:v>
                </c:pt>
                <c:pt idx="9">
                  <c:v>3.3900542023734257</c:v>
                </c:pt>
                <c:pt idx="10">
                  <c:v>2.0136405938095319</c:v>
                </c:pt>
                <c:pt idx="11">
                  <c:v>1.6625215102702728</c:v>
                </c:pt>
                <c:pt idx="12">
                  <c:v>1.7592526417303065</c:v>
                </c:pt>
                <c:pt idx="13">
                  <c:v>1.887432505716697</c:v>
                </c:pt>
                <c:pt idx="14">
                  <c:v>2.3152575960368345</c:v>
                </c:pt>
                <c:pt idx="15">
                  <c:v>2.3531452062301459</c:v>
                </c:pt>
                <c:pt idx="16">
                  <c:v>2.2630276025032305</c:v>
                </c:pt>
                <c:pt idx="17">
                  <c:v>1.8587309951190814</c:v>
                </c:pt>
                <c:pt idx="18">
                  <c:v>2.3966576659085956</c:v>
                </c:pt>
                <c:pt idx="19">
                  <c:v>1.6623903911298632</c:v>
                </c:pt>
                <c:pt idx="20">
                  <c:v>2.2073551631668935</c:v>
                </c:pt>
                <c:pt idx="21">
                  <c:v>2.3352869343135065</c:v>
                </c:pt>
                <c:pt idx="22">
                  <c:v>1.8100447408530682</c:v>
                </c:pt>
                <c:pt idx="23">
                  <c:v>2.1493031285332997</c:v>
                </c:pt>
                <c:pt idx="24">
                  <c:v>2.0515337072988071</c:v>
                </c:pt>
                <c:pt idx="25">
                  <c:v>1.9434527478965804</c:v>
                </c:pt>
                <c:pt idx="26">
                  <c:v>2.0975201894458873</c:v>
                </c:pt>
                <c:pt idx="27">
                  <c:v>1.6607196036641678</c:v>
                </c:pt>
                <c:pt idx="28">
                  <c:v>1.7271231240501526</c:v>
                </c:pt>
                <c:pt idx="29">
                  <c:v>1.4645837340017751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5.8964088225935205</c:v>
                </c:pt>
                <c:pt idx="1">
                  <c:v>5.6010196605490545</c:v>
                </c:pt>
                <c:pt idx="2">
                  <c:v>5.9379048189611012</c:v>
                </c:pt>
                <c:pt idx="3">
                  <c:v>5.9882470251235445</c:v>
                </c:pt>
                <c:pt idx="4">
                  <c:v>6.0659686663654329</c:v>
                </c:pt>
                <c:pt idx="5">
                  <c:v>6.060975564105247</c:v>
                </c:pt>
                <c:pt idx="6">
                  <c:v>5.5461374715581222</c:v>
                </c:pt>
                <c:pt idx="7">
                  <c:v>6.221045194429685</c:v>
                </c:pt>
                <c:pt idx="8">
                  <c:v>5.586473438327662</c:v>
                </c:pt>
                <c:pt idx="9">
                  <c:v>5.9294394489321727</c:v>
                </c:pt>
                <c:pt idx="10">
                  <c:v>1.9723420100781361</c:v>
                </c:pt>
                <c:pt idx="11">
                  <c:v>2.0159379578823913</c:v>
                </c:pt>
                <c:pt idx="12">
                  <c:v>1.7695370193958788</c:v>
                </c:pt>
                <c:pt idx="13">
                  <c:v>2.2356947594934553</c:v>
                </c:pt>
                <c:pt idx="14">
                  <c:v>2.0134789526315719</c:v>
                </c:pt>
                <c:pt idx="15">
                  <c:v>2.2671744596555432</c:v>
                </c:pt>
                <c:pt idx="16">
                  <c:v>2.0847128545852347</c:v>
                </c:pt>
                <c:pt idx="17">
                  <c:v>1.9366856682236899</c:v>
                </c:pt>
                <c:pt idx="18">
                  <c:v>2.0509962235474628</c:v>
                </c:pt>
                <c:pt idx="19">
                  <c:v>1.6049376975732805</c:v>
                </c:pt>
                <c:pt idx="20">
                  <c:v>6.9335518391305309</c:v>
                </c:pt>
                <c:pt idx="21">
                  <c:v>7.4223019858780592</c:v>
                </c:pt>
                <c:pt idx="22">
                  <c:v>6.8185072987796813</c:v>
                </c:pt>
                <c:pt idx="23">
                  <c:v>7.9778100215649888</c:v>
                </c:pt>
                <c:pt idx="24">
                  <c:v>7.8554187551430852</c:v>
                </c:pt>
                <c:pt idx="25">
                  <c:v>7.4587340707123824</c:v>
                </c:pt>
                <c:pt idx="26">
                  <c:v>7.1347005007227855</c:v>
                </c:pt>
                <c:pt idx="27">
                  <c:v>7.5491527192599985</c:v>
                </c:pt>
                <c:pt idx="28">
                  <c:v>7.7268097334928596</c:v>
                </c:pt>
                <c:pt idx="29">
                  <c:v>7.6017515340085353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3.7952408358327387</c:v>
                </c:pt>
                <c:pt idx="1">
                  <c:v>3.2259074685603233</c:v>
                </c:pt>
                <c:pt idx="2">
                  <c:v>4.3517457162595141</c:v>
                </c:pt>
                <c:pt idx="3">
                  <c:v>4.0577616978826336</c:v>
                </c:pt>
                <c:pt idx="4">
                  <c:v>4.9417764385399607</c:v>
                </c:pt>
                <c:pt idx="5">
                  <c:v>3.6773969762774494</c:v>
                </c:pt>
                <c:pt idx="6">
                  <c:v>4.2343980535255668</c:v>
                </c:pt>
                <c:pt idx="7">
                  <c:v>4.5311915588854532</c:v>
                </c:pt>
                <c:pt idx="8">
                  <c:v>3.7707468114365841</c:v>
                </c:pt>
                <c:pt idx="9">
                  <c:v>3.3900542023734257</c:v>
                </c:pt>
                <c:pt idx="10">
                  <c:v>2.0136405938095319</c:v>
                </c:pt>
                <c:pt idx="11">
                  <c:v>1.6625215102702728</c:v>
                </c:pt>
                <c:pt idx="12">
                  <c:v>1.7592526417303065</c:v>
                </c:pt>
                <c:pt idx="13">
                  <c:v>1.887432505716697</c:v>
                </c:pt>
                <c:pt idx="14">
                  <c:v>2.3152575960368345</c:v>
                </c:pt>
                <c:pt idx="15">
                  <c:v>2.3531452062301459</c:v>
                </c:pt>
                <c:pt idx="16">
                  <c:v>2.2630276025032305</c:v>
                </c:pt>
                <c:pt idx="17">
                  <c:v>1.8587309951190814</c:v>
                </c:pt>
                <c:pt idx="18">
                  <c:v>2.3966576659085956</c:v>
                </c:pt>
                <c:pt idx="19">
                  <c:v>1.6623903911298632</c:v>
                </c:pt>
                <c:pt idx="20">
                  <c:v>2.2073551631668935</c:v>
                </c:pt>
                <c:pt idx="21">
                  <c:v>2.3352869343135065</c:v>
                </c:pt>
                <c:pt idx="22">
                  <c:v>1.8100447408530682</c:v>
                </c:pt>
                <c:pt idx="23">
                  <c:v>2.1493031285332997</c:v>
                </c:pt>
                <c:pt idx="24">
                  <c:v>2.0515337072988071</c:v>
                </c:pt>
                <c:pt idx="25">
                  <c:v>1.9434527478965804</c:v>
                </c:pt>
                <c:pt idx="26">
                  <c:v>2.0975201894458873</c:v>
                </c:pt>
                <c:pt idx="27">
                  <c:v>1.6607196036641678</c:v>
                </c:pt>
                <c:pt idx="28">
                  <c:v>1.7271231240501526</c:v>
                </c:pt>
                <c:pt idx="29">
                  <c:v>1.4645837340017751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5.8964088225935205</c:v>
                </c:pt>
                <c:pt idx="1">
                  <c:v>5.6010196605490545</c:v>
                </c:pt>
                <c:pt idx="2">
                  <c:v>5.9379048189611012</c:v>
                </c:pt>
                <c:pt idx="3">
                  <c:v>5.9882470251235445</c:v>
                </c:pt>
                <c:pt idx="4">
                  <c:v>6.0659686663654329</c:v>
                </c:pt>
                <c:pt idx="5">
                  <c:v>6.060975564105247</c:v>
                </c:pt>
                <c:pt idx="6">
                  <c:v>5.5461374715581222</c:v>
                </c:pt>
                <c:pt idx="7">
                  <c:v>6.221045194429685</c:v>
                </c:pt>
                <c:pt idx="8">
                  <c:v>5.586473438327662</c:v>
                </c:pt>
                <c:pt idx="9">
                  <c:v>5.9294394489321727</c:v>
                </c:pt>
                <c:pt idx="10">
                  <c:v>1.9723420100781361</c:v>
                </c:pt>
                <c:pt idx="11">
                  <c:v>2.0159379578823913</c:v>
                </c:pt>
                <c:pt idx="12">
                  <c:v>1.7695370193958788</c:v>
                </c:pt>
                <c:pt idx="13">
                  <c:v>2.2356947594934553</c:v>
                </c:pt>
                <c:pt idx="14">
                  <c:v>2.0134789526315719</c:v>
                </c:pt>
                <c:pt idx="15">
                  <c:v>2.2671744596555432</c:v>
                </c:pt>
                <c:pt idx="16">
                  <c:v>2.0847128545852347</c:v>
                </c:pt>
                <c:pt idx="17">
                  <c:v>1.9366856682236899</c:v>
                </c:pt>
                <c:pt idx="18">
                  <c:v>2.0509962235474628</c:v>
                </c:pt>
                <c:pt idx="19">
                  <c:v>1.6049376975732805</c:v>
                </c:pt>
                <c:pt idx="20">
                  <c:v>6.9335518391305309</c:v>
                </c:pt>
                <c:pt idx="21">
                  <c:v>7.4223019858780592</c:v>
                </c:pt>
                <c:pt idx="22">
                  <c:v>6.8185072987796813</c:v>
                </c:pt>
                <c:pt idx="23">
                  <c:v>7.9778100215649888</c:v>
                </c:pt>
                <c:pt idx="24">
                  <c:v>7.8554187551430852</c:v>
                </c:pt>
                <c:pt idx="25">
                  <c:v>7.4587340707123824</c:v>
                </c:pt>
                <c:pt idx="26">
                  <c:v>7.1347005007227855</c:v>
                </c:pt>
                <c:pt idx="27">
                  <c:v>7.5491527192599985</c:v>
                </c:pt>
                <c:pt idx="28">
                  <c:v>7.7268097334928596</c:v>
                </c:pt>
                <c:pt idx="29">
                  <c:v>7.6017515340085353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3.7952408358327387</c:v>
                </c:pt>
                <c:pt idx="1">
                  <c:v>3.2259074685603233</c:v>
                </c:pt>
                <c:pt idx="2">
                  <c:v>4.3517457162595141</c:v>
                </c:pt>
                <c:pt idx="3">
                  <c:v>4.0577616978826336</c:v>
                </c:pt>
                <c:pt idx="4">
                  <c:v>4.9417764385399607</c:v>
                </c:pt>
                <c:pt idx="5">
                  <c:v>3.6773969762774494</c:v>
                </c:pt>
                <c:pt idx="6">
                  <c:v>4.2343980535255668</c:v>
                </c:pt>
                <c:pt idx="7">
                  <c:v>4.5311915588854532</c:v>
                </c:pt>
                <c:pt idx="8">
                  <c:v>3.7707468114365841</c:v>
                </c:pt>
                <c:pt idx="9">
                  <c:v>3.3900542023734257</c:v>
                </c:pt>
                <c:pt idx="10">
                  <c:v>2.0136405938095319</c:v>
                </c:pt>
                <c:pt idx="11">
                  <c:v>1.6625215102702728</c:v>
                </c:pt>
                <c:pt idx="12">
                  <c:v>1.7592526417303065</c:v>
                </c:pt>
                <c:pt idx="13">
                  <c:v>1.887432505716697</c:v>
                </c:pt>
                <c:pt idx="14">
                  <c:v>2.3152575960368345</c:v>
                </c:pt>
                <c:pt idx="15">
                  <c:v>2.3531452062301459</c:v>
                </c:pt>
                <c:pt idx="16">
                  <c:v>2.2630276025032305</c:v>
                </c:pt>
                <c:pt idx="17">
                  <c:v>1.8587309951190814</c:v>
                </c:pt>
                <c:pt idx="18">
                  <c:v>2.3966576659085956</c:v>
                </c:pt>
                <c:pt idx="19">
                  <c:v>1.6623903911298632</c:v>
                </c:pt>
                <c:pt idx="20">
                  <c:v>2.2073551631668935</c:v>
                </c:pt>
                <c:pt idx="21">
                  <c:v>2.3352869343135065</c:v>
                </c:pt>
                <c:pt idx="22">
                  <c:v>1.8100447408530682</c:v>
                </c:pt>
                <c:pt idx="23">
                  <c:v>2.1493031285332997</c:v>
                </c:pt>
                <c:pt idx="24">
                  <c:v>2.0515337072988071</c:v>
                </c:pt>
                <c:pt idx="25">
                  <c:v>1.9434527478965804</c:v>
                </c:pt>
                <c:pt idx="26">
                  <c:v>2.0975201894458873</c:v>
                </c:pt>
                <c:pt idx="27">
                  <c:v>1.6607196036641678</c:v>
                </c:pt>
                <c:pt idx="28">
                  <c:v>1.7271231240501526</c:v>
                </c:pt>
                <c:pt idx="29">
                  <c:v>1.4645837340017751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5.8964088225935205</c:v>
                </c:pt>
                <c:pt idx="1">
                  <c:v>5.6010196605490545</c:v>
                </c:pt>
                <c:pt idx="2">
                  <c:v>5.9379048189611012</c:v>
                </c:pt>
                <c:pt idx="3">
                  <c:v>5.9882470251235445</c:v>
                </c:pt>
                <c:pt idx="4">
                  <c:v>6.0659686663654329</c:v>
                </c:pt>
                <c:pt idx="5">
                  <c:v>6.060975564105247</c:v>
                </c:pt>
                <c:pt idx="6">
                  <c:v>5.5461374715581222</c:v>
                </c:pt>
                <c:pt idx="7">
                  <c:v>6.221045194429685</c:v>
                </c:pt>
                <c:pt idx="8">
                  <c:v>5.586473438327662</c:v>
                </c:pt>
                <c:pt idx="9">
                  <c:v>5.9294394489321727</c:v>
                </c:pt>
                <c:pt idx="10">
                  <c:v>1.9723420100781361</c:v>
                </c:pt>
                <c:pt idx="11">
                  <c:v>2.0159379578823913</c:v>
                </c:pt>
                <c:pt idx="12">
                  <c:v>1.7695370193958788</c:v>
                </c:pt>
                <c:pt idx="13">
                  <c:v>2.2356947594934553</c:v>
                </c:pt>
                <c:pt idx="14">
                  <c:v>2.0134789526315719</c:v>
                </c:pt>
                <c:pt idx="15">
                  <c:v>2.2671744596555432</c:v>
                </c:pt>
                <c:pt idx="16">
                  <c:v>2.0847128545852347</c:v>
                </c:pt>
                <c:pt idx="17">
                  <c:v>1.9366856682236899</c:v>
                </c:pt>
                <c:pt idx="18">
                  <c:v>2.0509962235474628</c:v>
                </c:pt>
                <c:pt idx="19">
                  <c:v>1.6049376975732805</c:v>
                </c:pt>
                <c:pt idx="20">
                  <c:v>6.9335518391305309</c:v>
                </c:pt>
                <c:pt idx="21">
                  <c:v>7.4223019858780592</c:v>
                </c:pt>
                <c:pt idx="22">
                  <c:v>6.8185072987796813</c:v>
                </c:pt>
                <c:pt idx="23">
                  <c:v>7.9778100215649888</c:v>
                </c:pt>
                <c:pt idx="24">
                  <c:v>7.8554187551430852</c:v>
                </c:pt>
                <c:pt idx="25">
                  <c:v>7.4587340707123824</c:v>
                </c:pt>
                <c:pt idx="26">
                  <c:v>7.1347005007227855</c:v>
                </c:pt>
                <c:pt idx="27">
                  <c:v>7.5491527192599985</c:v>
                </c:pt>
                <c:pt idx="28">
                  <c:v>7.7268097334928596</c:v>
                </c:pt>
                <c:pt idx="29">
                  <c:v>7.6017515340085353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3.7952408358327387</c:v>
                </c:pt>
                <c:pt idx="1">
                  <c:v>3.2259074685603233</c:v>
                </c:pt>
                <c:pt idx="2">
                  <c:v>4.3517457162595141</c:v>
                </c:pt>
                <c:pt idx="3">
                  <c:v>4.0577616978826336</c:v>
                </c:pt>
                <c:pt idx="4">
                  <c:v>4.9417764385399607</c:v>
                </c:pt>
                <c:pt idx="5">
                  <c:v>3.6773969762774494</c:v>
                </c:pt>
                <c:pt idx="6">
                  <c:v>4.2343980535255668</c:v>
                </c:pt>
                <c:pt idx="7">
                  <c:v>4.5311915588854532</c:v>
                </c:pt>
                <c:pt idx="8">
                  <c:v>3.7707468114365841</c:v>
                </c:pt>
                <c:pt idx="9">
                  <c:v>3.3900542023734257</c:v>
                </c:pt>
                <c:pt idx="10">
                  <c:v>2.0136405938095319</c:v>
                </c:pt>
                <c:pt idx="11">
                  <c:v>1.6625215102702728</c:v>
                </c:pt>
                <c:pt idx="12">
                  <c:v>1.7592526417303065</c:v>
                </c:pt>
                <c:pt idx="13">
                  <c:v>1.887432505716697</c:v>
                </c:pt>
                <c:pt idx="14">
                  <c:v>2.3152575960368345</c:v>
                </c:pt>
                <c:pt idx="15">
                  <c:v>2.3531452062301459</c:v>
                </c:pt>
                <c:pt idx="16">
                  <c:v>2.2630276025032305</c:v>
                </c:pt>
                <c:pt idx="17">
                  <c:v>1.8587309951190814</c:v>
                </c:pt>
                <c:pt idx="18">
                  <c:v>2.3966576659085956</c:v>
                </c:pt>
                <c:pt idx="19">
                  <c:v>1.6623903911298632</c:v>
                </c:pt>
                <c:pt idx="20">
                  <c:v>2.2073551631668935</c:v>
                </c:pt>
                <c:pt idx="21">
                  <c:v>2.3352869343135065</c:v>
                </c:pt>
                <c:pt idx="22">
                  <c:v>1.8100447408530682</c:v>
                </c:pt>
                <c:pt idx="23">
                  <c:v>2.1493031285332997</c:v>
                </c:pt>
                <c:pt idx="24">
                  <c:v>2.0515337072988071</c:v>
                </c:pt>
                <c:pt idx="25">
                  <c:v>1.9434527478965804</c:v>
                </c:pt>
                <c:pt idx="26">
                  <c:v>2.0975201894458873</c:v>
                </c:pt>
                <c:pt idx="27">
                  <c:v>1.6607196036641678</c:v>
                </c:pt>
                <c:pt idx="28">
                  <c:v>1.7271231240501526</c:v>
                </c:pt>
                <c:pt idx="29">
                  <c:v>1.4645837340017751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5.8964088225935205</c:v>
                </c:pt>
                <c:pt idx="1">
                  <c:v>5.6010196605490545</c:v>
                </c:pt>
                <c:pt idx="2">
                  <c:v>5.9379048189611012</c:v>
                </c:pt>
                <c:pt idx="3">
                  <c:v>5.9882470251235445</c:v>
                </c:pt>
                <c:pt idx="4">
                  <c:v>6.0659686663654329</c:v>
                </c:pt>
                <c:pt idx="5">
                  <c:v>6.060975564105247</c:v>
                </c:pt>
                <c:pt idx="6">
                  <c:v>5.5461374715581222</c:v>
                </c:pt>
                <c:pt idx="7">
                  <c:v>6.221045194429685</c:v>
                </c:pt>
                <c:pt idx="8">
                  <c:v>5.586473438327662</c:v>
                </c:pt>
                <c:pt idx="9">
                  <c:v>5.9294394489321727</c:v>
                </c:pt>
                <c:pt idx="10">
                  <c:v>1.9723420100781361</c:v>
                </c:pt>
                <c:pt idx="11">
                  <c:v>2.0159379578823913</c:v>
                </c:pt>
                <c:pt idx="12">
                  <c:v>1.7695370193958788</c:v>
                </c:pt>
                <c:pt idx="13">
                  <c:v>2.2356947594934553</c:v>
                </c:pt>
                <c:pt idx="14">
                  <c:v>2.0134789526315719</c:v>
                </c:pt>
                <c:pt idx="15">
                  <c:v>2.2671744596555432</c:v>
                </c:pt>
                <c:pt idx="16">
                  <c:v>2.0847128545852347</c:v>
                </c:pt>
                <c:pt idx="17">
                  <c:v>1.9366856682236899</c:v>
                </c:pt>
                <c:pt idx="18">
                  <c:v>2.0509962235474628</c:v>
                </c:pt>
                <c:pt idx="19">
                  <c:v>1.6049376975732805</c:v>
                </c:pt>
                <c:pt idx="20">
                  <c:v>6.9335518391305309</c:v>
                </c:pt>
                <c:pt idx="21">
                  <c:v>7.4223019858780592</c:v>
                </c:pt>
                <c:pt idx="22">
                  <c:v>6.8185072987796813</c:v>
                </c:pt>
                <c:pt idx="23">
                  <c:v>7.9778100215649888</c:v>
                </c:pt>
                <c:pt idx="24">
                  <c:v>7.8554187551430852</c:v>
                </c:pt>
                <c:pt idx="25">
                  <c:v>7.4587340707123824</c:v>
                </c:pt>
                <c:pt idx="26">
                  <c:v>7.1347005007227855</c:v>
                </c:pt>
                <c:pt idx="27">
                  <c:v>7.5491527192599985</c:v>
                </c:pt>
                <c:pt idx="28">
                  <c:v>7.7268097334928596</c:v>
                </c:pt>
                <c:pt idx="29">
                  <c:v>7.6017515340085353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3.7952408358327387</c:v>
                </c:pt>
                <c:pt idx="1">
                  <c:v>3.2259074685603233</c:v>
                </c:pt>
                <c:pt idx="2">
                  <c:v>4.3517457162595141</c:v>
                </c:pt>
                <c:pt idx="3">
                  <c:v>4.0577616978826336</c:v>
                </c:pt>
                <c:pt idx="4">
                  <c:v>4.9417764385399607</c:v>
                </c:pt>
                <c:pt idx="5">
                  <c:v>3.6773969762774494</c:v>
                </c:pt>
                <c:pt idx="6">
                  <c:v>4.2343980535255668</c:v>
                </c:pt>
                <c:pt idx="7">
                  <c:v>4.5311915588854532</c:v>
                </c:pt>
                <c:pt idx="8">
                  <c:v>3.7707468114365841</c:v>
                </c:pt>
                <c:pt idx="9">
                  <c:v>3.3900542023734257</c:v>
                </c:pt>
                <c:pt idx="10">
                  <c:v>2.0136405938095319</c:v>
                </c:pt>
                <c:pt idx="11">
                  <c:v>1.6625215102702728</c:v>
                </c:pt>
                <c:pt idx="12">
                  <c:v>1.7592526417303065</c:v>
                </c:pt>
                <c:pt idx="13">
                  <c:v>1.887432505716697</c:v>
                </c:pt>
                <c:pt idx="14">
                  <c:v>2.3152575960368345</c:v>
                </c:pt>
                <c:pt idx="15">
                  <c:v>2.3531452062301459</c:v>
                </c:pt>
                <c:pt idx="16">
                  <c:v>2.2630276025032305</c:v>
                </c:pt>
                <c:pt idx="17">
                  <c:v>1.8587309951190814</c:v>
                </c:pt>
                <c:pt idx="18">
                  <c:v>2.3966576659085956</c:v>
                </c:pt>
                <c:pt idx="19">
                  <c:v>1.6623903911298632</c:v>
                </c:pt>
                <c:pt idx="20">
                  <c:v>2.2073551631668935</c:v>
                </c:pt>
                <c:pt idx="21">
                  <c:v>2.3352869343135065</c:v>
                </c:pt>
                <c:pt idx="22">
                  <c:v>1.8100447408530682</c:v>
                </c:pt>
                <c:pt idx="23">
                  <c:v>2.1493031285332997</c:v>
                </c:pt>
                <c:pt idx="24">
                  <c:v>2.0515337072988071</c:v>
                </c:pt>
                <c:pt idx="25">
                  <c:v>1.9434527478965804</c:v>
                </c:pt>
                <c:pt idx="26">
                  <c:v>2.0975201894458873</c:v>
                </c:pt>
                <c:pt idx="27">
                  <c:v>1.6607196036641678</c:v>
                </c:pt>
                <c:pt idx="28">
                  <c:v>1.7271231240501526</c:v>
                </c:pt>
                <c:pt idx="29">
                  <c:v>1.4645837340017751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5.8964088225935205</c:v>
                </c:pt>
                <c:pt idx="1">
                  <c:v>5.6010196605490545</c:v>
                </c:pt>
                <c:pt idx="2">
                  <c:v>5.9379048189611012</c:v>
                </c:pt>
                <c:pt idx="3">
                  <c:v>5.9882470251235445</c:v>
                </c:pt>
                <c:pt idx="4">
                  <c:v>6.0659686663654329</c:v>
                </c:pt>
                <c:pt idx="5">
                  <c:v>6.060975564105247</c:v>
                </c:pt>
                <c:pt idx="6">
                  <c:v>5.5461374715581222</c:v>
                </c:pt>
                <c:pt idx="7">
                  <c:v>6.221045194429685</c:v>
                </c:pt>
                <c:pt idx="8">
                  <c:v>5.586473438327662</c:v>
                </c:pt>
                <c:pt idx="9">
                  <c:v>5.9294394489321727</c:v>
                </c:pt>
                <c:pt idx="10">
                  <c:v>1.9723420100781361</c:v>
                </c:pt>
                <c:pt idx="11">
                  <c:v>2.0159379578823913</c:v>
                </c:pt>
                <c:pt idx="12">
                  <c:v>1.7695370193958788</c:v>
                </c:pt>
                <c:pt idx="13">
                  <c:v>2.2356947594934553</c:v>
                </c:pt>
                <c:pt idx="14">
                  <c:v>2.0134789526315719</c:v>
                </c:pt>
                <c:pt idx="15">
                  <c:v>2.2671744596555432</c:v>
                </c:pt>
                <c:pt idx="16">
                  <c:v>2.0847128545852347</c:v>
                </c:pt>
                <c:pt idx="17">
                  <c:v>1.9366856682236899</c:v>
                </c:pt>
                <c:pt idx="18">
                  <c:v>2.0509962235474628</c:v>
                </c:pt>
                <c:pt idx="19">
                  <c:v>1.6049376975732805</c:v>
                </c:pt>
                <c:pt idx="20">
                  <c:v>6.9335518391305309</c:v>
                </c:pt>
                <c:pt idx="21">
                  <c:v>7.4223019858780592</c:v>
                </c:pt>
                <c:pt idx="22">
                  <c:v>6.8185072987796813</c:v>
                </c:pt>
                <c:pt idx="23">
                  <c:v>7.9778100215649888</c:v>
                </c:pt>
                <c:pt idx="24">
                  <c:v>7.8554187551430852</c:v>
                </c:pt>
                <c:pt idx="25">
                  <c:v>7.4587340707123824</c:v>
                </c:pt>
                <c:pt idx="26">
                  <c:v>7.1347005007227855</c:v>
                </c:pt>
                <c:pt idx="27">
                  <c:v>7.5491527192599985</c:v>
                </c:pt>
                <c:pt idx="28">
                  <c:v>7.7268097334928596</c:v>
                </c:pt>
                <c:pt idx="29">
                  <c:v>7.6017515340085353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1.665089890629929</c:v>
                </c:pt>
                <c:pt idx="1">
                  <c:v>1.9464495465665059</c:v>
                </c:pt>
                <c:pt idx="2">
                  <c:v>2.6864481257737074</c:v>
                </c:pt>
                <c:pt idx="3">
                  <c:v>2.8254580954851551</c:v>
                </c:pt>
                <c:pt idx="4">
                  <c:v>2.9296622826112575</c:v>
                </c:pt>
                <c:pt idx="5">
                  <c:v>2.8998710483809758</c:v>
                </c:pt>
                <c:pt idx="6">
                  <c:v>8.5504067288436509</c:v>
                </c:pt>
                <c:pt idx="7">
                  <c:v>5.7652323657147715</c:v>
                </c:pt>
                <c:pt idx="8">
                  <c:v>6.1345138703117961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2.213825496752635</c:v>
                </c:pt>
                <c:pt idx="1">
                  <c:v>2.2713751703220075</c:v>
                </c:pt>
                <c:pt idx="2">
                  <c:v>3.0419737433196432</c:v>
                </c:pt>
                <c:pt idx="3">
                  <c:v>3.5668988398135952</c:v>
                </c:pt>
                <c:pt idx="4">
                  <c:v>2.5944912630714887</c:v>
                </c:pt>
                <c:pt idx="5">
                  <c:v>5.4172424480857728</c:v>
                </c:pt>
                <c:pt idx="6">
                  <c:v>7.8848937439143736</c:v>
                </c:pt>
                <c:pt idx="7">
                  <c:v>8.7351099457176495</c:v>
                </c:pt>
                <c:pt idx="8">
                  <c:v>8.9167809051854512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2.30691246139535</c:v>
                </c:pt>
                <c:pt idx="1">
                  <c:v>3.8301871698603009</c:v>
                </c:pt>
                <c:pt idx="2">
                  <c:v>7.3424602995777235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2.5304164183664435</c:v>
                </c:pt>
                <c:pt idx="1">
                  <c:v>5.9064170778723382</c:v>
                </c:pt>
                <c:pt idx="2">
                  <c:v>8.4008373245499115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{11436E7B-FF80-CA47-AFF0-851396D473AF}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{D88EA46E-B98A-054A-9883-FBC3CB062060}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{6F4401C3-8A4F-8F43-BEE6-A73054F62F03}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{6581D444-76DB-FB42-BE46-4FBE17BAFCC8}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{29EC2268-1D67-2C40-BDE4-A555603041CE}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{5394419D-0682-EC41-9C7C-2BE59389A3D2}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{0BF46922-BE3D-9540-9CCF-B351EB30B70D}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{514D95BA-C6D3-F445-9F23-740F8D0638E4}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{C1A0185D-D5B0-E84F-A08B-64B33BFF5442}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{47E1FF97-A411-D645-BE8C-7552DC454586}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{9C26087C-80DD-944A-9E05-ABFE932D1BE4}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{A879F14B-DACF-1A4A-85B3-7841FFE68512}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3</xdr:row>
      <xdr:rowOff>25400</xdr:rowOff>
    </xdr:from>
    <xdr:to>
      <xdr:col>10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Multinomial_logistic_regression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en.wikipedia.org/wiki/Silhouette_(clustering)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337</v>
      </c>
    </row>
    <row r="4" spans="2:2" x14ac:dyDescent="0.3">
      <c r="B4" s="1" t="s">
        <v>338</v>
      </c>
    </row>
    <row r="6" spans="2:2" x14ac:dyDescent="0.3">
      <c r="B6" s="1" t="s">
        <v>339</v>
      </c>
    </row>
    <row r="8" spans="2:2" x14ac:dyDescent="0.3">
      <c r="B8" s="1" t="s">
        <v>264</v>
      </c>
    </row>
    <row r="10" spans="2:2" x14ac:dyDescent="0.3">
      <c r="B10" s="1" t="s">
        <v>259</v>
      </c>
    </row>
    <row r="12" spans="2:2" x14ac:dyDescent="0.3">
      <c r="B12" s="1" t="s">
        <v>340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258</v>
      </c>
    </row>
    <row r="2" spans="1:1" x14ac:dyDescent="0.25">
      <c r="A2" s="2" t="s">
        <v>265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67</v>
      </c>
    </row>
    <row r="4" spans="2:4" x14ac:dyDescent="0.3">
      <c r="B4" s="1" t="s">
        <v>68</v>
      </c>
    </row>
    <row r="6" spans="2:4" x14ac:dyDescent="0.3">
      <c r="C6" s="15" t="s">
        <v>69</v>
      </c>
      <c r="D6" s="15" t="s">
        <v>70</v>
      </c>
    </row>
    <row r="7" spans="2:4" x14ac:dyDescent="0.3">
      <c r="C7" s="19">
        <v>1</v>
      </c>
      <c r="D7" s="19" t="s">
        <v>71</v>
      </c>
    </row>
    <row r="8" spans="2:4" x14ac:dyDescent="0.3">
      <c r="C8" s="19">
        <v>0</v>
      </c>
      <c r="D8" s="19" t="s">
        <v>72</v>
      </c>
    </row>
    <row r="11" spans="2:4" x14ac:dyDescent="0.3">
      <c r="B11" s="1" t="s">
        <v>73</v>
      </c>
      <c r="C11" s="20" t="s">
        <v>74</v>
      </c>
    </row>
    <row r="12" spans="2:4" ht="29" x14ac:dyDescent="0.3">
      <c r="B12" s="1" t="s">
        <v>75</v>
      </c>
      <c r="C12" s="20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6</v>
      </c>
    </row>
    <row r="2" spans="1:4" x14ac:dyDescent="0.25">
      <c r="A2" s="2" t="s">
        <v>7</v>
      </c>
      <c r="B2" s="3"/>
    </row>
    <row r="3" spans="1:4" x14ac:dyDescent="0.25">
      <c r="A3" s="2" t="s">
        <v>8</v>
      </c>
    </row>
    <row r="4" spans="1:4" x14ac:dyDescent="0.25">
      <c r="A4" s="2" t="s">
        <v>9</v>
      </c>
    </row>
    <row r="5" spans="1:4" x14ac:dyDescent="0.25">
      <c r="A5" s="2" t="s">
        <v>10</v>
      </c>
    </row>
    <row r="6" spans="1:4" x14ac:dyDescent="0.25">
      <c r="A6" s="2" t="s">
        <v>266</v>
      </c>
      <c r="B6" s="4"/>
      <c r="D6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11</v>
      </c>
    </row>
    <row r="4" spans="2:4" x14ac:dyDescent="0.3">
      <c r="C4" s="5" t="s">
        <v>12</v>
      </c>
    </row>
    <row r="5" spans="2:4" x14ac:dyDescent="0.3">
      <c r="D5" s="6" t="s">
        <v>13</v>
      </c>
    </row>
    <row r="6" spans="2:4" x14ac:dyDescent="0.3">
      <c r="D6" s="6" t="s">
        <v>14</v>
      </c>
    </row>
    <row r="7" spans="2:4" x14ac:dyDescent="0.3">
      <c r="D7" s="6" t="s">
        <v>15</v>
      </c>
    </row>
    <row r="8" spans="2:4" x14ac:dyDescent="0.3">
      <c r="C8" s="5" t="s">
        <v>16</v>
      </c>
    </row>
    <row r="9" spans="2:4" x14ac:dyDescent="0.3">
      <c r="D9" s="6" t="s">
        <v>17</v>
      </c>
    </row>
    <row r="10" spans="2:4" x14ac:dyDescent="0.3">
      <c r="D10" s="6" t="s">
        <v>18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29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29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29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29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29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29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29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29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29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29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29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29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29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29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29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29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29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29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29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29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29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29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29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29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29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29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29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29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29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29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29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29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29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29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29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29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29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29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29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29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29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29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29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29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29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29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29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29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29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29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30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30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30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30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30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30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30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30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30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30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30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30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30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30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30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30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30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30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30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30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30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30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30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30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30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30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30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30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30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30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30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30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30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30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30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30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30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30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30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30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30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30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30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30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30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30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30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30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30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30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31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31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31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31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31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31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31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31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31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31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31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31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31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31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31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31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31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31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31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31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31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31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31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31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31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31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31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31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31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31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31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31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31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31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31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31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31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31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31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31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31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31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31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31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31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31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31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31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31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31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8" t="s">
        <v>23</v>
      </c>
    </row>
    <row r="4" spans="2:12" x14ac:dyDescent="0.3">
      <c r="G4" s="9" t="s">
        <v>33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9"/>
    </row>
    <row r="4" spans="2:12" x14ac:dyDescent="0.3">
      <c r="G4" s="9" t="s">
        <v>33</v>
      </c>
      <c r="H4" s="9" cm="1">
        <f t="array" ref="H4:H8">Iris_Fit!H4:H8</f>
        <v>0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>
    <tabColor rgb="FFFF0000"/>
  </sheetPr>
  <dimension ref="B3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3" t="s">
        <v>317</v>
      </c>
    </row>
  </sheetData>
  <hyperlinks>
    <hyperlink ref="B3" r:id="rId1" xr:uid="{C5CE373A-C05A-1E48-85EE-08E75386BE77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64</v>
      </c>
    </row>
    <row r="2" spans="1:1" x14ac:dyDescent="0.3">
      <c r="A2" s="1" t="s">
        <v>65</v>
      </c>
    </row>
    <row r="3" spans="1:1" x14ac:dyDescent="0.3">
      <c r="A3" s="1" t="s">
        <v>66</v>
      </c>
    </row>
    <row r="4" spans="1:1" x14ac:dyDescent="0.3">
      <c r="A4" s="1" t="s">
        <v>267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43</v>
      </c>
    </row>
    <row r="3" spans="1:8" x14ac:dyDescent="0.3">
      <c r="B3" s="13" t="s">
        <v>21</v>
      </c>
      <c r="C3" s="13" t="s">
        <v>44</v>
      </c>
      <c r="D3" s="13" t="s">
        <v>45</v>
      </c>
      <c r="E3" s="13" t="s">
        <v>46</v>
      </c>
      <c r="F3" s="13" t="s">
        <v>47</v>
      </c>
      <c r="G3" s="13" t="s">
        <v>48</v>
      </c>
      <c r="H3" s="13" t="s">
        <v>49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3.7952408358327387</v>
      </c>
      <c r="H4" s="1">
        <f ca="1">_xlfn.NORM.INV(RAND(),E4,F4)</f>
        <v>5.8964088225935205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3.2259074685603233</v>
      </c>
      <c r="H5" s="1">
        <f t="shared" ref="H5:H33" ca="1" si="1">_xlfn.NORM.INV(RAND(),E5,F5)</f>
        <v>5.6010196605490545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4.3517457162595141</v>
      </c>
      <c r="H6" s="1">
        <f t="shared" ca="1" si="1"/>
        <v>5.9379048189611012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4.0577616978826336</v>
      </c>
      <c r="H7" s="1">
        <f t="shared" ca="1" si="1"/>
        <v>5.9882470251235445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4.9417764385399607</v>
      </c>
      <c r="H8" s="1">
        <f t="shared" ca="1" si="1"/>
        <v>6.0659686663654329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3.6773969762774494</v>
      </c>
      <c r="H9" s="1">
        <f t="shared" ca="1" si="1"/>
        <v>6.060975564105247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4.2343980535255668</v>
      </c>
      <c r="H10" s="1">
        <f t="shared" ca="1" si="1"/>
        <v>5.5461374715581222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4.5311915588854532</v>
      </c>
      <c r="H11" s="1">
        <f t="shared" ca="1" si="1"/>
        <v>6.221045194429685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3.7707468114365841</v>
      </c>
      <c r="H12" s="1">
        <f t="shared" ca="1" si="1"/>
        <v>5.586473438327662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3.3900542023734257</v>
      </c>
      <c r="H13" s="1">
        <f t="shared" ca="1" si="1"/>
        <v>5.9294394489321727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2.0136405938095319</v>
      </c>
      <c r="H14" s="1">
        <f t="shared" ca="1" si="1"/>
        <v>1.9723420100781361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1.6625215102702728</v>
      </c>
      <c r="H15" s="1">
        <f t="shared" ca="1" si="1"/>
        <v>2.0159379578823913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1.7592526417303065</v>
      </c>
      <c r="H16" s="1">
        <f t="shared" ca="1" si="1"/>
        <v>1.7695370193958788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1.887432505716697</v>
      </c>
      <c r="H17" s="1">
        <f t="shared" ca="1" si="1"/>
        <v>2.2356947594934553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2.3152575960368345</v>
      </c>
      <c r="H18" s="1">
        <f t="shared" ca="1" si="1"/>
        <v>2.0134789526315719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2.3531452062301459</v>
      </c>
      <c r="H19" s="1">
        <f t="shared" ca="1" si="1"/>
        <v>2.2671744596555432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2.2630276025032305</v>
      </c>
      <c r="H20" s="1">
        <f t="shared" ca="1" si="1"/>
        <v>2.0847128545852347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1.8587309951190814</v>
      </c>
      <c r="H21" s="1">
        <f t="shared" ca="1" si="1"/>
        <v>1.9366856682236899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2.3966576659085956</v>
      </c>
      <c r="H22" s="1">
        <f t="shared" ca="1" si="1"/>
        <v>2.0509962235474628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1.6623903911298632</v>
      </c>
      <c r="H23" s="1">
        <f t="shared" ca="1" si="1"/>
        <v>1.6049376975732805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2.2073551631668935</v>
      </c>
      <c r="H24" s="1">
        <f t="shared" ca="1" si="1"/>
        <v>6.9335518391305309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2.3352869343135065</v>
      </c>
      <c r="H25" s="1">
        <f t="shared" ca="1" si="1"/>
        <v>7.4223019858780592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1.8100447408530682</v>
      </c>
      <c r="H26" s="1">
        <f t="shared" ca="1" si="1"/>
        <v>6.8185072987796813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2.1493031285332997</v>
      </c>
      <c r="H27" s="1">
        <f t="shared" ca="1" si="1"/>
        <v>7.9778100215649888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2.0515337072988071</v>
      </c>
      <c r="H28" s="1">
        <f t="shared" ca="1" si="1"/>
        <v>7.8554187551430852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1.9434527478965804</v>
      </c>
      <c r="H29" s="1">
        <f t="shared" ca="1" si="1"/>
        <v>7.4587340707123824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2.0975201894458873</v>
      </c>
      <c r="H30" s="1">
        <f t="shared" ca="1" si="1"/>
        <v>7.1347005007227855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1.6607196036641678</v>
      </c>
      <c r="H31" s="1">
        <f t="shared" ca="1" si="1"/>
        <v>7.5491527192599985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1.7271231240501526</v>
      </c>
      <c r="H32" s="1">
        <f t="shared" ca="1" si="1"/>
        <v>7.7268097334928596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1.4645837340017751</v>
      </c>
      <c r="H33" s="1">
        <f t="shared" ca="1" si="1"/>
        <v>7.6017515340085353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50</v>
      </c>
    </row>
    <row r="5" spans="2:8" x14ac:dyDescent="0.3">
      <c r="B5" s="16" t="s">
        <v>51</v>
      </c>
      <c r="C5" s="15">
        <v>1</v>
      </c>
      <c r="D5" s="15">
        <v>1</v>
      </c>
    </row>
    <row r="6" spans="2:8" x14ac:dyDescent="0.3">
      <c r="B6" s="16" t="s">
        <v>52</v>
      </c>
      <c r="C6" s="15">
        <v>5</v>
      </c>
      <c r="D6" s="15">
        <v>5</v>
      </c>
    </row>
    <row r="7" spans="2:8" x14ac:dyDescent="0.3">
      <c r="B7" s="16" t="s">
        <v>53</v>
      </c>
      <c r="C7" s="15">
        <v>10</v>
      </c>
      <c r="D7" s="15">
        <v>10</v>
      </c>
    </row>
    <row r="9" spans="2:8" x14ac:dyDescent="0.3">
      <c r="B9" s="15" t="s">
        <v>54</v>
      </c>
      <c r="C9" s="15">
        <f ca="1">_xlfn.NORM.INV(RAND(),2,1)</f>
        <v>1.665089890629929</v>
      </c>
      <c r="D9" s="15">
        <f ca="1">_xlfn.NORM.INV(RAND(),2,1)</f>
        <v>2.213825496752635</v>
      </c>
      <c r="E9" s="15" cm="1">
        <f t="array" aca="1" ref="E9" ca="1">SUMSQ(C9:D9-C$5:D$5)</f>
        <v>1.9157168991849118</v>
      </c>
      <c r="F9" s="15" cm="1">
        <f t="array" aca="1" ref="F9" ca="1">SUMSQ(C9:D9-C$6:D$6)</f>
        <v>18.8843938001244</v>
      </c>
      <c r="G9" s="15" cm="1">
        <f t="array" aca="1" ref="G9" ca="1">SUMSQ(C9:D9-C$7:D$7)</f>
        <v>130.09523992629875</v>
      </c>
      <c r="H9" s="15">
        <f ca="1">MATCH(MIN(E9:G9),E9:G9,0)</f>
        <v>1</v>
      </c>
    </row>
    <row r="10" spans="2:8" x14ac:dyDescent="0.3">
      <c r="B10" s="15" t="s">
        <v>55</v>
      </c>
      <c r="C10" s="15">
        <f t="shared" ref="C10:D11" ca="1" si="0">_xlfn.NORM.INV(RAND(),2,1)</f>
        <v>1.9464495465665059</v>
      </c>
      <c r="D10" s="15">
        <f t="shared" ca="1" si="0"/>
        <v>2.2713751703220075</v>
      </c>
      <c r="E10" s="15" cm="1">
        <f t="array" aca="1" ref="E10" ca="1">SUMSQ(C10:D10-C$5:D$5)</f>
        <v>2.5121615679072584</v>
      </c>
      <c r="F10" s="15" cm="1">
        <f t="array" aca="1" ref="F10" ca="1">SUMSQ(C10:D10-C$6:D$6)</f>
        <v>16.76956383279915</v>
      </c>
      <c r="G10" s="15" cm="1">
        <f t="array" aca="1" ref="G10" ca="1">SUMSQ(C10:D10-C$7:D$7)</f>
        <v>124.59131666391401</v>
      </c>
      <c r="H10" s="15">
        <f t="shared" ref="H10:H17" ca="1" si="1">MATCH(MIN(E10:G10),E10:G10,0)</f>
        <v>1</v>
      </c>
    </row>
    <row r="11" spans="2:8" x14ac:dyDescent="0.3">
      <c r="B11" s="15" t="s">
        <v>56</v>
      </c>
      <c r="C11" s="15">
        <f t="shared" ca="1" si="0"/>
        <v>2.6864481257737074</v>
      </c>
      <c r="D11" s="15">
        <f t="shared" ca="1" si="0"/>
        <v>3.0419737433196432</v>
      </c>
      <c r="E11" s="15" cm="1">
        <f t="array" aca="1" ref="E11" ca="1">SUMSQ(C11:D11-C$5:D$5)</f>
        <v>7.0137640493324866</v>
      </c>
      <c r="F11" s="15" cm="1">
        <f t="array" aca="1" ref="F11" ca="1">SUMSQ(C11:D11-C$6:D$6)</f>
        <v>9.1863890965856818</v>
      </c>
      <c r="G11" s="15" cm="1">
        <f t="array" aca="1" ref="G11" ca="1">SUMSQ(C11:D11-C$7:D$7)</f>
        <v>101.90217040565219</v>
      </c>
      <c r="H11" s="15">
        <f t="shared" ca="1" si="1"/>
        <v>1</v>
      </c>
    </row>
    <row r="12" spans="2:8" x14ac:dyDescent="0.3">
      <c r="B12" s="15" t="s">
        <v>57</v>
      </c>
      <c r="C12" s="15">
        <f ca="1">_xlfn.NORM.INV(RAND(),4,1)</f>
        <v>2.8254580954851551</v>
      </c>
      <c r="D12" s="15">
        <f ca="1">_xlfn.NORM.INV(RAND(),4,1)</f>
        <v>3.5668988398135952</v>
      </c>
      <c r="E12" s="15" cm="1">
        <f t="array" aca="1" ref="E12" ca="1">SUMSQ(C12:D12-C$5:D$5)</f>
        <v>9.9212669122086705</v>
      </c>
      <c r="F12" s="15" cm="1">
        <f t="array" aca="1" ref="F12" ca="1">SUMSQ(C12:D12-C$6:D$6)</f>
        <v>6.7824114298186675</v>
      </c>
      <c r="G12" s="15" cm="1">
        <f t="array" aca="1" ref="G12" ca="1">SUMSQ(C12:D12-C$7:D$7)</f>
        <v>92.858842076831166</v>
      </c>
      <c r="H12" s="15">
        <f t="shared" ca="1" si="1"/>
        <v>2</v>
      </c>
    </row>
    <row r="13" spans="2:8" x14ac:dyDescent="0.3">
      <c r="B13" s="15" t="s">
        <v>58</v>
      </c>
      <c r="C13" s="15">
        <f t="shared" ref="C13:D14" ca="1" si="2">_xlfn.NORM.INV(RAND(),4,1)</f>
        <v>2.9296622826112575</v>
      </c>
      <c r="D13" s="15">
        <f t="shared" ca="1" si="2"/>
        <v>2.5944912630714887</v>
      </c>
      <c r="E13" s="15" cm="1">
        <f t="array" aca="1" ref="E13" ca="1">SUMSQ(C13:D13-C$5:D$5)</f>
        <v>6.2659989129438003</v>
      </c>
      <c r="F13" s="15" cm="1">
        <f t="array" aca="1" ref="F13" ca="1">SUMSQ(C13:D13-C$6:D$6)</f>
        <v>10.072770547481831</v>
      </c>
      <c r="G13" s="15" cm="1">
        <f t="array" aca="1" ref="G13" ca="1">SUMSQ(C13:D13-C$7:D$7)</f>
        <v>104.83123509065436</v>
      </c>
      <c r="H13" s="15">
        <f t="shared" ca="1" si="1"/>
        <v>1</v>
      </c>
    </row>
    <row r="14" spans="2:8" x14ac:dyDescent="0.3">
      <c r="B14" s="15" t="s">
        <v>59</v>
      </c>
      <c r="C14" s="15">
        <f t="shared" ca="1" si="2"/>
        <v>2.8998710483809758</v>
      </c>
      <c r="D14" s="15">
        <f t="shared" ca="1" si="2"/>
        <v>5.4172424480857728</v>
      </c>
      <c r="E14" s="15" cm="1">
        <f t="array" aca="1" ref="E14" ca="1">SUMSQ(C14:D14-C$5:D$5)</f>
        <v>23.121540845647019</v>
      </c>
      <c r="F14" s="15" cm="1">
        <f t="array" aca="1" ref="F14" ca="1">SUMSQ(C14:D14-C$6:D$6)</f>
        <v>4.5846328739130309</v>
      </c>
      <c r="G14" s="15" cm="1">
        <f t="array" aca="1" ref="G14" ca="1">SUMSQ(C14:D14-C$7:D$7)</f>
        <v>71.413497909245535</v>
      </c>
      <c r="H14" s="15">
        <f t="shared" ca="1" si="1"/>
        <v>2</v>
      </c>
    </row>
    <row r="15" spans="2:8" x14ac:dyDescent="0.3">
      <c r="B15" s="15" t="s">
        <v>60</v>
      </c>
      <c r="C15" s="15">
        <f ca="1">_xlfn.NORM.INV(RAND(),8,1)</f>
        <v>8.5504067288436509</v>
      </c>
      <c r="D15" s="15">
        <f ca="1">_xlfn.NORM.INV(RAND(),8,1)</f>
        <v>7.8848937439143736</v>
      </c>
      <c r="E15" s="15" cm="1">
        <f t="array" aca="1" ref="E15" ca="1">SUMSQ(C15:D15-C$5:D$5)</f>
        <v>104.41040363595876</v>
      </c>
      <c r="F15" s="15" cm="1">
        <f t="array" aca="1" ref="F15" ca="1">SUMSQ(C15:D15-C$6:D$6)</f>
        <v>20.927999853894566</v>
      </c>
      <c r="G15" s="15" cm="1">
        <f t="array" aca="1" ref="G15" ca="1">SUMSQ(C15:D15-C$7:D$7)</f>
        <v>6.5749951263143203</v>
      </c>
      <c r="H15" s="15">
        <f t="shared" ca="1" si="1"/>
        <v>3</v>
      </c>
    </row>
    <row r="16" spans="2:8" x14ac:dyDescent="0.3">
      <c r="B16" s="15" t="s">
        <v>61</v>
      </c>
      <c r="C16" s="15">
        <f t="shared" ref="C16:D17" ca="1" si="3">_xlfn.NORM.INV(RAND(),8,1)</f>
        <v>5.7652323657147715</v>
      </c>
      <c r="D16" s="15">
        <f t="shared" ca="1" si="3"/>
        <v>8.7351099457176495</v>
      </c>
      <c r="E16" s="15" cm="1">
        <f t="array" aca="1" ref="E16" ca="1">SUMSQ(C16:D16-C$5:D$5)</f>
        <v>82.539365371595693</v>
      </c>
      <c r="F16" s="15" cm="1">
        <f t="array" aca="1" ref="F16" ca="1">SUMSQ(C16:D16-C$6:D$6)</f>
        <v>14.536626880136328</v>
      </c>
      <c r="G16" s="15" cm="1">
        <f t="array" aca="1" ref="G16" ca="1">SUMSQ(C16:D16-C$7:D$7)</f>
        <v>19.533203765812122</v>
      </c>
      <c r="H16" s="15">
        <f t="shared" ca="1" si="1"/>
        <v>2</v>
      </c>
    </row>
    <row r="17" spans="1:8" x14ac:dyDescent="0.3">
      <c r="B17" s="15" t="s">
        <v>62</v>
      </c>
      <c r="C17" s="15">
        <f t="shared" ca="1" si="3"/>
        <v>6.1345138703117961</v>
      </c>
      <c r="D17" s="15">
        <f t="shared" ca="1" si="3"/>
        <v>8.9167809051854512</v>
      </c>
      <c r="E17" s="15" cm="1">
        <f t="array" aca="1" ref="E17" ca="1">SUMSQ(C17:D17-C$5:D$5)</f>
        <v>89.038652585133192</v>
      </c>
      <c r="F17" s="15" cm="1">
        <f t="array" aca="1" ref="F17" ca="1">SUMSQ(C17:D17-C$6:D$6)</f>
        <v>16.628294381155214</v>
      </c>
      <c r="G17" s="15" cm="1">
        <f t="array" aca="1" ref="G17" ca="1">SUMSQ(C17:D17-C$7:D$7)</f>
        <v>16.115346626182738</v>
      </c>
      <c r="H17" s="15">
        <f t="shared" ca="1" si="1"/>
        <v>3</v>
      </c>
    </row>
    <row r="19" spans="1:8" x14ac:dyDescent="0.3">
      <c r="A19" s="15">
        <v>1</v>
      </c>
      <c r="B19" s="17" t="s">
        <v>51</v>
      </c>
      <c r="C19" s="15">
        <f ca="1">AVERAGEIF($H$9:$H$17,A19,$C$9:$C$17)</f>
        <v>2.30691246139535</v>
      </c>
      <c r="D19" s="15">
        <f ca="1">AVERAGEIF($H$9:$H$17,A19,$D$9:$D$17)</f>
        <v>2.5304164183664435</v>
      </c>
    </row>
    <row r="20" spans="1:8" x14ac:dyDescent="0.3">
      <c r="A20" s="15">
        <v>2</v>
      </c>
      <c r="B20" s="17" t="s">
        <v>52</v>
      </c>
      <c r="C20" s="15">
        <f ca="1">AVERAGEIF($H$9:$H$17,A20,$C$9:$C$17)</f>
        <v>3.8301871698603009</v>
      </c>
      <c r="D20" s="15">
        <f ca="1">AVERAGEIF($H$9:$H$17,A20,$D$9:$D$17)</f>
        <v>5.9064170778723382</v>
      </c>
    </row>
    <row r="21" spans="1:8" x14ac:dyDescent="0.3">
      <c r="A21" s="15">
        <v>3</v>
      </c>
      <c r="B21" s="17" t="s">
        <v>53</v>
      </c>
      <c r="C21" s="15">
        <f ca="1">AVERAGEIF($H$9:$H$17,A21,$C$9:$C$17)</f>
        <v>7.3424602995777235</v>
      </c>
      <c r="D21" s="15">
        <f ca="1">AVERAGEIF($H$9:$H$17,A21,$D$9:$D$17)</f>
        <v>8.4008373245499115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>
      <selection activeCell="H7" sqref="H7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318</v>
      </c>
    </row>
  </sheetData>
  <hyperlinks>
    <hyperlink ref="B2" r:id="rId1" xr:uid="{29F8E9BE-885B-A244-A630-EA3440AAEEA4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242</v>
      </c>
    </row>
    <row r="2" spans="1:1" x14ac:dyDescent="0.3">
      <c r="A2" s="95" t="s">
        <v>243</v>
      </c>
    </row>
    <row r="3" spans="1:1" x14ac:dyDescent="0.3">
      <c r="A3" s="95" t="s">
        <v>244</v>
      </c>
    </row>
    <row r="4" spans="1:1" x14ac:dyDescent="0.3">
      <c r="A4" s="95" t="s">
        <v>245</v>
      </c>
    </row>
    <row r="5" spans="1:1" x14ac:dyDescent="0.3">
      <c r="A5" s="95" t="s">
        <v>246</v>
      </c>
    </row>
    <row r="6" spans="1:1" x14ac:dyDescent="0.3">
      <c r="A6" s="95" t="s">
        <v>247</v>
      </c>
    </row>
    <row r="7" spans="1:1" x14ac:dyDescent="0.3">
      <c r="A7" s="95" t="s">
        <v>248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2:C32"/>
  <sheetViews>
    <sheetView workbookViewId="0"/>
  </sheetViews>
  <sheetFormatPr baseColWidth="10" defaultRowHeight="19" x14ac:dyDescent="0.25"/>
  <cols>
    <col min="1" max="16384" width="10.83203125" style="21"/>
  </cols>
  <sheetData>
    <row r="2" spans="1:3" x14ac:dyDescent="0.25">
      <c r="B2" s="21" t="s">
        <v>77</v>
      </c>
      <c r="C2" s="21" t="s">
        <v>4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77</v>
      </c>
      <c r="C2" s="21" t="s">
        <v>3</v>
      </c>
      <c r="D2" s="21" t="s">
        <v>5</v>
      </c>
      <c r="E2" s="21" t="s">
        <v>4</v>
      </c>
      <c r="F2" s="21" t="s">
        <v>2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4</v>
      </c>
      <c r="G2" s="22" t="s">
        <v>2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89</v>
      </c>
      <c r="G2" s="22" t="s">
        <v>88</v>
      </c>
      <c r="H2" s="22" t="s">
        <v>87</v>
      </c>
      <c r="I2" s="22" t="s">
        <v>83</v>
      </c>
      <c r="J2" s="22" t="s">
        <v>82</v>
      </c>
      <c r="K2" s="22" t="s">
        <v>81</v>
      </c>
      <c r="L2" s="22" t="s">
        <v>86</v>
      </c>
      <c r="M2" s="22" t="s">
        <v>85</v>
      </c>
      <c r="N2" s="22" t="s">
        <v>84</v>
      </c>
      <c r="O2" s="22" t="s">
        <v>4</v>
      </c>
      <c r="P2" s="22" t="s">
        <v>2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83</v>
      </c>
      <c r="F2" s="22" t="s">
        <v>82</v>
      </c>
      <c r="G2" s="22" t="s">
        <v>91</v>
      </c>
      <c r="H2" s="22" t="s">
        <v>90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249</v>
      </c>
    </row>
    <row r="2" spans="1:1" x14ac:dyDescent="0.3">
      <c r="A2" s="95" t="s">
        <v>250</v>
      </c>
    </row>
    <row r="3" spans="1:1" x14ac:dyDescent="0.3">
      <c r="A3" s="95" t="s">
        <v>251</v>
      </c>
    </row>
    <row r="4" spans="1:1" x14ac:dyDescent="0.3">
      <c r="A4" s="95" t="s">
        <v>252</v>
      </c>
    </row>
    <row r="5" spans="1:1" x14ac:dyDescent="0.3">
      <c r="A5" s="95" t="s">
        <v>253</v>
      </c>
    </row>
    <row r="6" spans="1:1" x14ac:dyDescent="0.3">
      <c r="A6" s="95" t="s">
        <v>254</v>
      </c>
    </row>
    <row r="7" spans="1:1" x14ac:dyDescent="0.3">
      <c r="A7" s="95" t="s">
        <v>255</v>
      </c>
    </row>
    <row r="8" spans="1:1" x14ac:dyDescent="0.3">
      <c r="A8" s="95" t="s">
        <v>256</v>
      </c>
    </row>
    <row r="9" spans="1:1" x14ac:dyDescent="0.3">
      <c r="A9" s="95" t="s">
        <v>257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C4:T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4" spans="3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3:6" ht="18" x14ac:dyDescent="0.25">
      <c r="C5" s="24">
        <v>2</v>
      </c>
      <c r="D5" s="24">
        <f>$O$40*C5+$O$41</f>
        <v>5.0000000000000018</v>
      </c>
      <c r="E5" s="24" t="s">
        <v>96</v>
      </c>
    </row>
    <row r="6" spans="3:6" x14ac:dyDescent="0.2">
      <c r="C6" s="25">
        <v>2.1</v>
      </c>
      <c r="D6" s="24">
        <f t="shared" ref="D6:D15" si="0">$O$40*C6+$O$41</f>
        <v>5.1000000000000014</v>
      </c>
    </row>
    <row r="7" spans="3:6" x14ac:dyDescent="0.2">
      <c r="C7" s="25">
        <v>2.2000000000000002</v>
      </c>
      <c r="D7" s="24">
        <f t="shared" si="0"/>
        <v>5.200000000000002</v>
      </c>
    </row>
    <row r="8" spans="3:6" x14ac:dyDescent="0.2">
      <c r="C8" s="25">
        <v>2.2999999999999998</v>
      </c>
      <c r="D8" s="24">
        <f t="shared" si="0"/>
        <v>5.3000000000000025</v>
      </c>
    </row>
    <row r="9" spans="3:6" x14ac:dyDescent="0.2">
      <c r="C9" s="25">
        <v>2.4</v>
      </c>
      <c r="D9" s="24">
        <f t="shared" si="0"/>
        <v>5.4000000000000021</v>
      </c>
    </row>
    <row r="10" spans="3:6" x14ac:dyDescent="0.2">
      <c r="C10" s="25">
        <v>2.5</v>
      </c>
      <c r="D10" s="24">
        <f t="shared" si="0"/>
        <v>5.5000000000000018</v>
      </c>
    </row>
    <row r="11" spans="3:6" x14ac:dyDescent="0.2">
      <c r="C11" s="25">
        <v>2.6</v>
      </c>
      <c r="D11" s="24">
        <f t="shared" si="0"/>
        <v>5.6000000000000023</v>
      </c>
    </row>
    <row r="12" spans="3:6" x14ac:dyDescent="0.2">
      <c r="C12" s="25">
        <v>2.7</v>
      </c>
      <c r="D12" s="24">
        <f t="shared" si="0"/>
        <v>5.7000000000000028</v>
      </c>
    </row>
    <row r="13" spans="3:6" x14ac:dyDescent="0.2">
      <c r="C13" s="25">
        <v>2.8</v>
      </c>
      <c r="D13" s="24">
        <f t="shared" si="0"/>
        <v>5.8000000000000025</v>
      </c>
    </row>
    <row r="14" spans="3:6" x14ac:dyDescent="0.2">
      <c r="C14" s="25">
        <v>2.9</v>
      </c>
      <c r="D14" s="24">
        <f t="shared" si="0"/>
        <v>5.9000000000000021</v>
      </c>
    </row>
    <row r="15" spans="3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3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98</v>
      </c>
    </row>
    <row r="31" spans="3:20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20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112</v>
      </c>
      <c r="O34" s="35">
        <v>6</v>
      </c>
    </row>
    <row r="35" spans="3:20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9</v>
      </c>
    </row>
    <row r="39" spans="3:20" x14ac:dyDescent="0.2">
      <c r="L39" s="23" t="s">
        <v>105</v>
      </c>
      <c r="O39" s="23" t="s">
        <v>105</v>
      </c>
    </row>
    <row r="40" spans="3:20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20" ht="18" x14ac:dyDescent="0.25">
      <c r="L41" s="34" t="s">
        <v>109</v>
      </c>
      <c r="N41" s="24" t="s">
        <v>110</v>
      </c>
      <c r="O41" s="35">
        <v>3</v>
      </c>
    </row>
    <row r="42" spans="3:20" ht="18" x14ac:dyDescent="0.25">
      <c r="L42" s="34" t="s">
        <v>112</v>
      </c>
      <c r="O42" s="35">
        <v>3</v>
      </c>
    </row>
    <row r="43" spans="3:20" ht="18" x14ac:dyDescent="0.25">
      <c r="L43" s="39" t="s">
        <v>113</v>
      </c>
      <c r="O43" s="40">
        <v>-3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C4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4" spans="3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3:6" ht="18" x14ac:dyDescent="0.25">
      <c r="C5" s="24">
        <v>2</v>
      </c>
      <c r="D5" s="24">
        <f>$O$40*C5+$O$41</f>
        <v>5.0000000000000018</v>
      </c>
      <c r="E5" s="24" t="s">
        <v>96</v>
      </c>
    </row>
    <row r="6" spans="3:6" x14ac:dyDescent="0.2">
      <c r="C6" s="25">
        <v>2.1</v>
      </c>
      <c r="D6" s="24">
        <f t="shared" ref="D6:D15" si="0">$O$40*C6+$O$41</f>
        <v>5.1000000000000014</v>
      </c>
    </row>
    <row r="7" spans="3:6" x14ac:dyDescent="0.2">
      <c r="C7" s="25">
        <v>2.2000000000000002</v>
      </c>
      <c r="D7" s="24">
        <f t="shared" si="0"/>
        <v>5.200000000000002</v>
      </c>
    </row>
    <row r="8" spans="3:6" x14ac:dyDescent="0.2">
      <c r="C8" s="25">
        <v>2.2999999999999998</v>
      </c>
      <c r="D8" s="24">
        <f t="shared" si="0"/>
        <v>5.3000000000000025</v>
      </c>
    </row>
    <row r="9" spans="3:6" x14ac:dyDescent="0.2">
      <c r="C9" s="25">
        <v>2.4</v>
      </c>
      <c r="D9" s="24">
        <f t="shared" si="0"/>
        <v>5.4000000000000021</v>
      </c>
    </row>
    <row r="10" spans="3:6" x14ac:dyDescent="0.2">
      <c r="C10" s="25">
        <v>2.5</v>
      </c>
      <c r="D10" s="24">
        <f t="shared" si="0"/>
        <v>5.5000000000000018</v>
      </c>
    </row>
    <row r="11" spans="3:6" x14ac:dyDescent="0.2">
      <c r="C11" s="25">
        <v>2.6</v>
      </c>
      <c r="D11" s="24">
        <f t="shared" si="0"/>
        <v>5.6000000000000023</v>
      </c>
    </row>
    <row r="12" spans="3:6" x14ac:dyDescent="0.2">
      <c r="C12" s="25">
        <v>2.7</v>
      </c>
      <c r="D12" s="24">
        <f t="shared" si="0"/>
        <v>5.7000000000000028</v>
      </c>
    </row>
    <row r="13" spans="3:6" x14ac:dyDescent="0.2">
      <c r="C13" s="25">
        <v>2.8</v>
      </c>
      <c r="D13" s="24">
        <f t="shared" si="0"/>
        <v>5.8000000000000025</v>
      </c>
    </row>
    <row r="14" spans="3:6" x14ac:dyDescent="0.2">
      <c r="C14" s="25">
        <v>2.9</v>
      </c>
      <c r="D14" s="24">
        <f t="shared" si="0"/>
        <v>5.9000000000000021</v>
      </c>
    </row>
    <row r="15" spans="3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3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</row>
    <row r="34" spans="3:15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C4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4" spans="3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3:6" ht="18" x14ac:dyDescent="0.25">
      <c r="C5" s="24">
        <v>2</v>
      </c>
      <c r="D5" s="24">
        <f>$O$40*C5+$O$41</f>
        <v>5</v>
      </c>
      <c r="E5" s="24" t="s">
        <v>96</v>
      </c>
    </row>
    <row r="6" spans="3:6" x14ac:dyDescent="0.2">
      <c r="C6" s="25">
        <v>2.1</v>
      </c>
      <c r="D6" s="24">
        <f t="shared" ref="D6:D15" si="0">$O$40*C6+$O$41</f>
        <v>5.0999999999999996</v>
      </c>
    </row>
    <row r="7" spans="3:6" x14ac:dyDescent="0.2">
      <c r="C7" s="25">
        <v>2.2000000000000002</v>
      </c>
      <c r="D7" s="24">
        <f t="shared" si="0"/>
        <v>5.2</v>
      </c>
    </row>
    <row r="8" spans="3:6" x14ac:dyDescent="0.2">
      <c r="C8" s="25">
        <v>2.2999999999999998</v>
      </c>
      <c r="D8" s="24">
        <f t="shared" si="0"/>
        <v>5.3</v>
      </c>
    </row>
    <row r="9" spans="3:6" x14ac:dyDescent="0.2">
      <c r="C9" s="25">
        <v>2.4</v>
      </c>
      <c r="D9" s="24">
        <f t="shared" si="0"/>
        <v>5.4</v>
      </c>
    </row>
    <row r="10" spans="3:6" x14ac:dyDescent="0.2">
      <c r="C10" s="25">
        <v>2.5</v>
      </c>
      <c r="D10" s="24">
        <f t="shared" si="0"/>
        <v>5.5</v>
      </c>
    </row>
    <row r="11" spans="3:6" x14ac:dyDescent="0.2">
      <c r="C11" s="25">
        <v>2.6</v>
      </c>
      <c r="D11" s="24">
        <f t="shared" si="0"/>
        <v>5.6</v>
      </c>
    </row>
    <row r="12" spans="3:6" x14ac:dyDescent="0.2">
      <c r="C12" s="25">
        <v>2.7</v>
      </c>
      <c r="D12" s="24">
        <f t="shared" si="0"/>
        <v>5.7</v>
      </c>
    </row>
    <row r="13" spans="3:6" x14ac:dyDescent="0.2">
      <c r="C13" s="25">
        <v>2.8</v>
      </c>
      <c r="D13" s="24">
        <f t="shared" si="0"/>
        <v>5.8</v>
      </c>
    </row>
    <row r="14" spans="3:6" x14ac:dyDescent="0.2">
      <c r="C14" s="25">
        <v>2.9</v>
      </c>
      <c r="D14" s="24">
        <f t="shared" si="0"/>
        <v>5.9</v>
      </c>
    </row>
    <row r="15" spans="3:6" ht="18" x14ac:dyDescent="0.25">
      <c r="C15" s="24">
        <v>3</v>
      </c>
      <c r="D15" s="24">
        <f t="shared" si="0"/>
        <v>6</v>
      </c>
      <c r="E15" s="24" t="s">
        <v>97</v>
      </c>
      <c r="F15" s="24" t="s">
        <v>98</v>
      </c>
    </row>
    <row r="16" spans="3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109</v>
      </c>
      <c r="N33" s="24" t="s">
        <v>110</v>
      </c>
      <c r="O33" s="35">
        <v>0</v>
      </c>
    </row>
    <row r="34" spans="3:15" ht="18" x14ac:dyDescent="0.25">
      <c r="C34" s="24" t="s">
        <v>111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B2:Y33"/>
  <sheetViews>
    <sheetView zoomScale="90" zoomScaleNormal="90" workbookViewId="0">
      <selection activeCell="K32" sqref="K32"/>
    </sheetView>
  </sheetViews>
  <sheetFormatPr baseColWidth="10" defaultRowHeight="16" x14ac:dyDescent="0.2"/>
  <cols>
    <col min="1" max="16384" width="10.83203125" style="45"/>
  </cols>
  <sheetData>
    <row r="2" spans="2:3" s="44" customFormat="1" ht="26" x14ac:dyDescent="0.3"/>
    <row r="3" spans="2:3" ht="29" x14ac:dyDescent="0.3">
      <c r="C3" s="44" t="s">
        <v>114</v>
      </c>
    </row>
    <row r="4" spans="2:3" ht="26" x14ac:dyDescent="0.3">
      <c r="C4" s="44"/>
    </row>
    <row r="5" spans="2:3" ht="29" x14ac:dyDescent="0.3">
      <c r="C5" s="44" t="s">
        <v>115</v>
      </c>
    </row>
    <row r="6" spans="2:3" ht="26" x14ac:dyDescent="0.3">
      <c r="C6" s="44"/>
    </row>
    <row r="7" spans="2:3" ht="26" x14ac:dyDescent="0.3">
      <c r="C7" s="44" t="s">
        <v>116</v>
      </c>
    </row>
    <row r="11" spans="2:3" x14ac:dyDescent="0.2">
      <c r="B11" s="26" t="s">
        <v>92</v>
      </c>
      <c r="C11" s="26" t="s">
        <v>93</v>
      </c>
    </row>
    <row r="12" spans="2:3" x14ac:dyDescent="0.2">
      <c r="B12" s="45">
        <v>2</v>
      </c>
      <c r="C12" s="45">
        <v>1</v>
      </c>
    </row>
    <row r="13" spans="2:3" x14ac:dyDescent="0.2">
      <c r="B13" s="45">
        <v>3</v>
      </c>
      <c r="C13" s="45">
        <v>2</v>
      </c>
    </row>
    <row r="14" spans="2:3" x14ac:dyDescent="0.2">
      <c r="B14" s="45">
        <v>4</v>
      </c>
      <c r="C14" s="45">
        <v>6</v>
      </c>
    </row>
    <row r="15" spans="2:3" x14ac:dyDescent="0.2">
      <c r="B15" s="45">
        <v>5</v>
      </c>
      <c r="C15" s="45">
        <v>9</v>
      </c>
    </row>
    <row r="23" spans="2:25" s="26" customFormat="1" ht="20" x14ac:dyDescent="0.25">
      <c r="B23" s="26" t="s">
        <v>117</v>
      </c>
      <c r="C23" s="26" t="s">
        <v>118</v>
      </c>
      <c r="D23" s="26" t="s">
        <v>100</v>
      </c>
      <c r="F23" s="23" t="s">
        <v>119</v>
      </c>
      <c r="G23" s="23" t="s">
        <v>120</v>
      </c>
      <c r="H23" s="23" t="s">
        <v>101</v>
      </c>
      <c r="I23" s="23" t="s">
        <v>102</v>
      </c>
      <c r="J23" s="23" t="s">
        <v>121</v>
      </c>
      <c r="K23" s="23" t="s">
        <v>122</v>
      </c>
      <c r="L23" s="23" t="s">
        <v>103</v>
      </c>
      <c r="M23" s="23" t="s">
        <v>104</v>
      </c>
      <c r="N23" s="23" t="s">
        <v>123</v>
      </c>
      <c r="O23" s="23" t="s">
        <v>124</v>
      </c>
      <c r="P23" s="23" t="s">
        <v>125</v>
      </c>
      <c r="Q23" s="23" t="s">
        <v>126</v>
      </c>
      <c r="R23" s="23" t="s">
        <v>127</v>
      </c>
      <c r="S23" s="23" t="s">
        <v>128</v>
      </c>
      <c r="T23" s="23" t="s">
        <v>129</v>
      </c>
      <c r="U23" s="23" t="s">
        <v>130</v>
      </c>
      <c r="V23" s="23" t="s">
        <v>131</v>
      </c>
      <c r="W23" s="23" t="s">
        <v>132</v>
      </c>
      <c r="X23" s="23" t="s">
        <v>133</v>
      </c>
      <c r="Y23" s="23" t="s">
        <v>134</v>
      </c>
    </row>
    <row r="24" spans="2:25" x14ac:dyDescent="0.2">
      <c r="B24" s="26" t="s">
        <v>135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135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136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137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B2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2" spans="2:3" s="44" customFormat="1" ht="26" x14ac:dyDescent="0.3"/>
    <row r="3" spans="2:3" ht="29" x14ac:dyDescent="0.3">
      <c r="C3" s="44" t="s">
        <v>114</v>
      </c>
    </row>
    <row r="4" spans="2:3" ht="26" x14ac:dyDescent="0.3">
      <c r="C4" s="44"/>
    </row>
    <row r="5" spans="2:3" ht="29" x14ac:dyDescent="0.3">
      <c r="C5" s="44" t="s">
        <v>115</v>
      </c>
    </row>
    <row r="6" spans="2:3" ht="26" x14ac:dyDescent="0.3">
      <c r="C6" s="44"/>
    </row>
    <row r="7" spans="2:3" ht="26" x14ac:dyDescent="0.3">
      <c r="C7" s="44" t="s">
        <v>116</v>
      </c>
    </row>
    <row r="11" spans="2:3" x14ac:dyDescent="0.2">
      <c r="B11" s="26" t="s">
        <v>92</v>
      </c>
      <c r="C11" s="26" t="s">
        <v>93</v>
      </c>
    </row>
    <row r="12" spans="2:3" x14ac:dyDescent="0.2">
      <c r="B12" s="45">
        <v>2</v>
      </c>
      <c r="C12" s="45">
        <v>1</v>
      </c>
    </row>
    <row r="13" spans="2:3" x14ac:dyDescent="0.2">
      <c r="B13" s="45">
        <v>3</v>
      </c>
      <c r="C13" s="45">
        <v>2</v>
      </c>
    </row>
    <row r="14" spans="2:3" x14ac:dyDescent="0.2">
      <c r="B14" s="45">
        <v>4</v>
      </c>
      <c r="C14" s="45">
        <v>6</v>
      </c>
    </row>
    <row r="15" spans="2:3" x14ac:dyDescent="0.2">
      <c r="B15" s="45">
        <v>5</v>
      </c>
      <c r="C15" s="45">
        <v>9</v>
      </c>
    </row>
    <row r="24" spans="2:25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135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MMULT(MINVERSE(F25:Q36),C25:C36)</f>
        <v>0.86666666666666714</v>
      </c>
    </row>
    <row r="26" spans="2:25" ht="18" x14ac:dyDescent="0.25">
      <c r="B26" s="26" t="s">
        <v>135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-5.1999999999999922</v>
      </c>
    </row>
    <row r="27" spans="2:25" ht="18" x14ac:dyDescent="0.25">
      <c r="B27" s="26" t="s">
        <v>136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10.533333333333299</v>
      </c>
    </row>
    <row r="28" spans="2:25" ht="18" x14ac:dyDescent="0.25">
      <c r="B28" s="26" t="s">
        <v>137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-6.1999999999999789</v>
      </c>
    </row>
    <row r="29" spans="2:25" ht="18" x14ac:dyDescent="0.25">
      <c r="B29" s="26" t="s">
        <v>152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-1.3333333333333339</v>
      </c>
    </row>
    <row r="30" spans="2:25" ht="18" x14ac:dyDescent="0.25">
      <c r="B30" s="26" t="s">
        <v>152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14.600000000000019</v>
      </c>
    </row>
    <row r="31" spans="2:25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-48.86666666666676</v>
      </c>
    </row>
    <row r="32" spans="2:25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53.200000000000088</v>
      </c>
    </row>
    <row r="33" spans="2:20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0.4666666666666659</v>
      </c>
    </row>
    <row r="34" spans="2:20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-6.9999999999999929</v>
      </c>
    </row>
    <row r="35" spans="2:20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37.533333333333303</v>
      </c>
    </row>
    <row r="36" spans="2:20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-61.999999999999943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165</v>
      </c>
    </row>
    <row r="2" spans="1:29" s="44" customFormat="1" ht="26" x14ac:dyDescent="0.3"/>
    <row r="3" spans="1:29" ht="29" x14ac:dyDescent="0.3">
      <c r="C3" s="44" t="s">
        <v>114</v>
      </c>
    </row>
    <row r="4" spans="1:29" ht="26" x14ac:dyDescent="0.3">
      <c r="C4" s="44"/>
    </row>
    <row r="5" spans="1:29" ht="29" x14ac:dyDescent="0.3">
      <c r="C5" s="44" t="s">
        <v>115</v>
      </c>
    </row>
    <row r="6" spans="1:29" ht="26" x14ac:dyDescent="0.3">
      <c r="C6" s="44"/>
    </row>
    <row r="7" spans="1:29" ht="26" x14ac:dyDescent="0.3">
      <c r="C7" s="44" t="s">
        <v>116</v>
      </c>
      <c r="AA7" s="26" t="s">
        <v>166</v>
      </c>
      <c r="AB7" s="26" t="s">
        <v>92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92</v>
      </c>
      <c r="C11" s="26" t="s">
        <v>93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135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135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136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137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152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152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63" t="s">
        <v>167</v>
      </c>
      <c r="G27" s="63" t="s">
        <v>168</v>
      </c>
      <c r="H27" s="63" t="s">
        <v>169</v>
      </c>
      <c r="I27" s="63" t="s">
        <v>170</v>
      </c>
      <c r="J27" s="63" t="s">
        <v>171</v>
      </c>
      <c r="K27" s="63" t="s">
        <v>172</v>
      </c>
      <c r="L27" s="63" t="s">
        <v>173</v>
      </c>
      <c r="M27" s="63" t="s">
        <v>174</v>
      </c>
      <c r="N27" s="63" t="s">
        <v>175</v>
      </c>
      <c r="O27" s="63" t="s">
        <v>176</v>
      </c>
      <c r="P27" s="63" t="s">
        <v>177</v>
      </c>
      <c r="Q27" s="63" t="s">
        <v>178</v>
      </c>
      <c r="R27" s="63" t="s">
        <v>179</v>
      </c>
      <c r="S27" s="63" t="s">
        <v>180</v>
      </c>
      <c r="T27" s="63" t="s">
        <v>181</v>
      </c>
      <c r="U27" s="63" t="s">
        <v>182</v>
      </c>
      <c r="V27" s="63" t="s">
        <v>183</v>
      </c>
      <c r="W27" s="63" t="s">
        <v>184</v>
      </c>
      <c r="X27" s="63" t="s">
        <v>185</v>
      </c>
      <c r="Y27" s="63" t="s">
        <v>186</v>
      </c>
      <c r="Z27" s="63" t="s">
        <v>187</v>
      </c>
      <c r="AA27" s="63" t="s">
        <v>188</v>
      </c>
      <c r="AB27" s="63" t="s">
        <v>189</v>
      </c>
      <c r="AC27" s="63" t="s">
        <v>190</v>
      </c>
      <c r="AD27" s="63" t="s">
        <v>191</v>
      </c>
      <c r="AE27" s="63" t="s">
        <v>192</v>
      </c>
      <c r="AF27" s="63" t="s">
        <v>193</v>
      </c>
      <c r="AG27" s="63" t="s">
        <v>194</v>
      </c>
      <c r="AH27" s="63" t="s">
        <v>195</v>
      </c>
      <c r="AI27" s="63" t="s">
        <v>196</v>
      </c>
      <c r="AJ27" s="63" t="s">
        <v>197</v>
      </c>
      <c r="AK27" s="63" t="s">
        <v>198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235</v>
      </c>
      <c r="L100" s="89"/>
      <c r="M100" s="45" t="s">
        <v>235</v>
      </c>
      <c r="O100" s="45" t="s">
        <v>235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236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236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236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236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236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236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236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236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236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236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236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236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236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236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236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236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236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236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236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236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236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236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236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236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236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236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236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236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236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236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236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236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236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236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236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236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236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236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236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236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236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236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236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236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236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236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236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236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236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236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236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236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236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236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236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236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236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236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236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236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236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236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236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236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236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236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236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236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236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236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236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236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236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236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236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236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236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236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236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236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236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236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236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236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236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236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236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236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236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236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236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236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236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236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236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236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236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236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236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236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236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236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236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236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236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236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236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236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236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236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236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236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236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236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236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236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236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236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236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236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236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236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236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236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236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236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236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236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236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236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236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236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236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236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236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236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236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236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236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236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236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236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236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236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236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236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236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236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236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236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236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236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236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236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236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236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236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236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236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236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236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236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236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236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236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236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236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236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236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236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236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236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236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236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236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236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236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236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236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236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236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236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236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236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236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236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236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236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236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236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236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236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236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236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236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236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236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236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236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236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236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236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236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236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236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236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236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236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236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236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236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236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236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236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236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236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236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236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236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236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236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236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236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236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236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236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236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236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236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236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236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236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236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236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236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236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236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236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236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236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236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236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236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236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236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236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236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236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236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236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236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236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236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236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236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236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236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236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236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236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236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236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236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236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236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236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236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236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236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236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236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236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236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236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236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236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236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236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236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236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236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236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236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236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236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236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236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236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236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236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236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236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R99" s="26" t="s">
        <v>203</v>
      </c>
      <c r="S99" s="26" t="s">
        <v>237</v>
      </c>
      <c r="T99" s="26" t="s">
        <v>238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235</v>
      </c>
      <c r="L100" s="89"/>
      <c r="M100" s="45" t="s">
        <v>235</v>
      </c>
      <c r="O100" s="45" t="s">
        <v>235</v>
      </c>
      <c r="Q100" s="90"/>
      <c r="R100" s="91">
        <f t="array" aca="1" ref="R100" ca="1">E100:E400</f>
        <v>9.0339808310368851E-5</v>
      </c>
      <c r="X100" s="45" t="s">
        <v>235</v>
      </c>
      <c r="Y100" s="26"/>
      <c r="AA100" s="45" t="s">
        <v>239</v>
      </c>
      <c r="AD100" s="45" t="s">
        <v>240</v>
      </c>
      <c r="AF100" s="45" t="s">
        <v>241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236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236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236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236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236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236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236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236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236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236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236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236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236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236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236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236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236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236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236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236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236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236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236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236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236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236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236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236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236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236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236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236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236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236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236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236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236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236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236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236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236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236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236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236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236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236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236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236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236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236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236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236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236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236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236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236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236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236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236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236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236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236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236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236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236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236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236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236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236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236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236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236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236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236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236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236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236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236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236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236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236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236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236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236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236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236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236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236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236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236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236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236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236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236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236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236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236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236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236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236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236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236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236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236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236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236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236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236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236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236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236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236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236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236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236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236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236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236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236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236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236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236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236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236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236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236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236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236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236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236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236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236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236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236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236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236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236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236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236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236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236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236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236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236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236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236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236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236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236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236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236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236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236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236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236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236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236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236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236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236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236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236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236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236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236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236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236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236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236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236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236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236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236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236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236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236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236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236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236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236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236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236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236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236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236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236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236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236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236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236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236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236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236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236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236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236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236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236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236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236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236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236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236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236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236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236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236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236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236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236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236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236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236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236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236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236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236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236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236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236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236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236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236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236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236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236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236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236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236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236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236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236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236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236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236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236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236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236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236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236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236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236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236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236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236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236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236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236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236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236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236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236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236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236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236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236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236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236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236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236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236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236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236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236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236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236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236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236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236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236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236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236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236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236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236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236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236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236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236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236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236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236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236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236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236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236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236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236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236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236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236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236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310</v>
      </c>
    </row>
    <row r="2" spans="1:1" x14ac:dyDescent="0.3">
      <c r="A2" s="95" t="s">
        <v>311</v>
      </c>
    </row>
    <row r="3" spans="1:1" x14ac:dyDescent="0.3">
      <c r="A3" s="95" t="s">
        <v>312</v>
      </c>
    </row>
    <row r="4" spans="1:1" x14ac:dyDescent="0.3">
      <c r="A4" s="95" t="s">
        <v>313</v>
      </c>
    </row>
    <row r="5" spans="1:1" x14ac:dyDescent="0.3">
      <c r="A5" s="95" t="s">
        <v>314</v>
      </c>
    </row>
    <row r="6" spans="1:1" x14ac:dyDescent="0.3">
      <c r="A6" s="95" t="s">
        <v>315</v>
      </c>
    </row>
    <row r="7" spans="1:1" x14ac:dyDescent="0.3">
      <c r="A7" s="95" t="s">
        <v>316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>
    <tabColor rgb="FFFF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 t="s">
        <v>273</v>
      </c>
      <c r="C6" s="1">
        <f>C2</f>
        <v>20</v>
      </c>
      <c r="E6" s="96" t="s">
        <v>272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>
    <tabColor rgb="FFFF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  <row r="12" spans="2:9" x14ac:dyDescent="0.3">
      <c r="B12" s="1" t="s">
        <v>276</v>
      </c>
      <c r="C12" s="97">
        <v>20</v>
      </c>
    </row>
    <row r="13" spans="2:9" x14ac:dyDescent="0.3">
      <c r="B13" s="1" t="s">
        <v>275</v>
      </c>
      <c r="C13" s="97">
        <v>30</v>
      </c>
    </row>
    <row r="14" spans="2:9" x14ac:dyDescent="0.3">
      <c r="B14" s="1" t="s">
        <v>274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271</v>
      </c>
      <c r="C17" s="1">
        <f>C14-C13</f>
        <v>50</v>
      </c>
      <c r="E17" s="1" t="s">
        <v>270</v>
      </c>
      <c r="F17" s="1">
        <f>C14-C12</f>
        <v>60</v>
      </c>
    </row>
    <row r="19" spans="2:9" x14ac:dyDescent="0.3">
      <c r="B19" s="1" t="s">
        <v>269</v>
      </c>
      <c r="C19" s="1">
        <f>AVERAGE(C16:C17)</f>
        <v>35</v>
      </c>
      <c r="E19" s="1" t="s">
        <v>269</v>
      </c>
      <c r="F19" s="1">
        <f>AVERAGE(F16:F17)</f>
        <v>45</v>
      </c>
      <c r="H19" s="1" t="s">
        <v>268</v>
      </c>
      <c r="I19" s="1">
        <f>C19+F19</f>
        <v>80</v>
      </c>
    </row>
    <row r="22" spans="2:9" x14ac:dyDescent="0.3">
      <c r="B22" s="1" t="s">
        <v>276</v>
      </c>
      <c r="C22" s="97">
        <v>20</v>
      </c>
    </row>
    <row r="23" spans="2:9" x14ac:dyDescent="0.3">
      <c r="B23" s="1" t="s">
        <v>275</v>
      </c>
      <c r="C23" s="97">
        <v>30</v>
      </c>
    </row>
    <row r="24" spans="2:9" x14ac:dyDescent="0.3">
      <c r="B24" s="1" t="s">
        <v>274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271</v>
      </c>
      <c r="C27" s="1">
        <f>C24-C23</f>
        <v>10</v>
      </c>
      <c r="E27" s="1" t="s">
        <v>270</v>
      </c>
      <c r="F27" s="1">
        <f>C24-C22</f>
        <v>20</v>
      </c>
    </row>
    <row r="29" spans="2:9" x14ac:dyDescent="0.3">
      <c r="B29" s="1" t="s">
        <v>269</v>
      </c>
      <c r="C29" s="1">
        <f>AVERAGE(C26:C27)</f>
        <v>15</v>
      </c>
      <c r="E29" s="1" t="s">
        <v>269</v>
      </c>
      <c r="F29" s="1">
        <f>AVERAGE(F26:F27)</f>
        <v>25</v>
      </c>
      <c r="H29" s="1" t="s">
        <v>268</v>
      </c>
      <c r="I29" s="1">
        <f>C29+F29</f>
        <v>40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>
    <tabColor rgb="FFFF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40</v>
      </c>
    </row>
    <row r="5" spans="2:9" x14ac:dyDescent="0.3">
      <c r="B5" s="1" t="s">
        <v>277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271</v>
      </c>
      <c r="C10" s="1">
        <f>C4-C3</f>
        <v>10</v>
      </c>
      <c r="E10" s="1" t="s">
        <v>270</v>
      </c>
      <c r="F10" s="1">
        <f>C4-C2</f>
        <v>20</v>
      </c>
    </row>
    <row r="12" spans="2:9" x14ac:dyDescent="0.3">
      <c r="B12" s="1" t="s">
        <v>269</v>
      </c>
      <c r="C12" s="1">
        <f>AVERAGE(C9:C10)</f>
        <v>10</v>
      </c>
      <c r="E12" s="1" t="s">
        <v>269</v>
      </c>
      <c r="F12" s="1">
        <f>AVERAGE(F9:F10)</f>
        <v>20</v>
      </c>
      <c r="H12" s="1" t="s">
        <v>268</v>
      </c>
      <c r="I12" s="1">
        <f>C12+F12</f>
        <v>30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278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290</v>
      </c>
      <c r="D2" s="97">
        <v>1</v>
      </c>
    </row>
    <row r="3" spans="1:10" x14ac:dyDescent="0.3">
      <c r="C3" s="1" t="s">
        <v>276</v>
      </c>
      <c r="D3" s="97">
        <v>3</v>
      </c>
    </row>
    <row r="4" spans="1:10" x14ac:dyDescent="0.3">
      <c r="C4" s="1" t="s">
        <v>275</v>
      </c>
      <c r="D4" s="97">
        <v>9</v>
      </c>
    </row>
    <row r="5" spans="1:10" x14ac:dyDescent="0.3">
      <c r="C5" s="1" t="s">
        <v>289</v>
      </c>
      <c r="D5" s="97">
        <v>17</v>
      </c>
    </row>
    <row r="6" spans="1:10" x14ac:dyDescent="0.3">
      <c r="C6" s="1" t="s">
        <v>288</v>
      </c>
      <c r="D6" s="97">
        <v>45</v>
      </c>
    </row>
    <row r="7" spans="1:10" x14ac:dyDescent="0.3">
      <c r="C7" s="1" t="s">
        <v>287</v>
      </c>
      <c r="D7" s="97">
        <v>55</v>
      </c>
    </row>
    <row r="8" spans="1:10" x14ac:dyDescent="0.3">
      <c r="C8" s="1" t="s">
        <v>286</v>
      </c>
      <c r="D8" s="97">
        <v>77</v>
      </c>
    </row>
    <row r="9" spans="1:10" x14ac:dyDescent="0.3">
      <c r="C9" s="1" t="s">
        <v>285</v>
      </c>
      <c r="D9" s="97">
        <v>100</v>
      </c>
    </row>
    <row r="11" spans="1:10" x14ac:dyDescent="0.3">
      <c r="A11" s="99" t="s">
        <v>284</v>
      </c>
      <c r="C11" s="18" t="s">
        <v>283</v>
      </c>
      <c r="D11" s="18" t="s">
        <v>282</v>
      </c>
      <c r="F11" s="18" t="s">
        <v>283</v>
      </c>
      <c r="G11" s="18" t="s">
        <v>282</v>
      </c>
      <c r="I11" s="18" t="s">
        <v>283</v>
      </c>
      <c r="J11" s="18" t="s">
        <v>282</v>
      </c>
    </row>
    <row r="12" spans="1:10" x14ac:dyDescent="0.3">
      <c r="A12" s="1">
        <v>2</v>
      </c>
      <c r="C12" s="98" t="s">
        <v>273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v>1</v>
      </c>
      <c r="C13" s="98" t="s">
        <v>281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v>1</v>
      </c>
      <c r="C14" s="98" t="s">
        <v>280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2</v>
      </c>
      <c r="C15" s="98" t="s">
        <v>279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269</v>
      </c>
      <c r="D17" s="1">
        <f>SUMPRODUCT(D12:D15,$A$12:$A$15)/SUM($A$12:$A$15)</f>
        <v>20.666666666666668</v>
      </c>
      <c r="F17" s="1" t="s">
        <v>269</v>
      </c>
      <c r="G17" s="1">
        <f>SUMPRODUCT(G12:G15,$A$12:$A$15)/SUM($A$12:$A$15)</f>
        <v>34.666666666666664</v>
      </c>
      <c r="I17" s="1" t="s">
        <v>269</v>
      </c>
      <c r="J17" s="1">
        <f>SUMPRODUCT(J12:J15,$A$12:$A$15)/SUM($A$12:$A$15)</f>
        <v>43.666666666666664</v>
      </c>
      <c r="M17" s="1" t="s">
        <v>268</v>
      </c>
      <c r="N17" s="1">
        <f>D17+G17+J17</f>
        <v>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4517-7532-9046-A063-AF04B7C1DABA}">
  <sheetPr>
    <tabColor rgb="FFFF0000"/>
  </sheetPr>
  <dimension ref="B2:N20"/>
  <sheetViews>
    <sheetView workbookViewId="0"/>
  </sheetViews>
  <sheetFormatPr baseColWidth="10" defaultRowHeight="26" x14ac:dyDescent="0.3"/>
  <cols>
    <col min="1" max="1" width="10.83203125" style="1"/>
    <col min="2" max="2" width="11.1640625" style="1" bestFit="1" customWidth="1"/>
    <col min="3" max="3" width="11.1640625" style="1" customWidth="1"/>
    <col min="4" max="4" width="11.1640625" style="13" bestFit="1" customWidth="1"/>
    <col min="5" max="5" width="2.5" style="1" bestFit="1" customWidth="1"/>
    <col min="6" max="6" width="10.83203125" style="100"/>
    <col min="7" max="8" width="10.83203125" style="1"/>
    <col min="9" max="9" width="2.5" style="1" bestFit="1" customWidth="1"/>
    <col min="10" max="12" width="10.83203125" style="1"/>
    <col min="13" max="13" width="2.5" style="1" bestFit="1" customWidth="1"/>
    <col min="14" max="16384" width="10.83203125" style="1"/>
  </cols>
  <sheetData>
    <row r="2" spans="2:14" s="11" customFormat="1" x14ac:dyDescent="0.3">
      <c r="D2" s="102"/>
      <c r="F2" s="14"/>
    </row>
    <row r="3" spans="2:14" s="11" customFormat="1" x14ac:dyDescent="0.3">
      <c r="D3" s="102"/>
      <c r="F3" s="14"/>
    </row>
    <row r="4" spans="2:14" x14ac:dyDescent="0.3">
      <c r="B4" s="1" t="s">
        <v>302</v>
      </c>
    </row>
    <row r="5" spans="2:14" x14ac:dyDescent="0.3">
      <c r="B5" s="1" t="s">
        <v>301</v>
      </c>
    </row>
    <row r="6" spans="2:14" x14ac:dyDescent="0.3">
      <c r="B6" s="1" t="s">
        <v>300</v>
      </c>
    </row>
    <row r="8" spans="2:14" x14ac:dyDescent="0.3">
      <c r="B8" s="1" t="s">
        <v>299</v>
      </c>
    </row>
    <row r="9" spans="2:14" x14ac:dyDescent="0.3">
      <c r="B9" s="1" t="s">
        <v>298</v>
      </c>
    </row>
    <row r="10" spans="2:14" x14ac:dyDescent="0.3">
      <c r="B10" s="1" t="s">
        <v>293</v>
      </c>
    </row>
    <row r="12" spans="2:14" x14ac:dyDescent="0.3">
      <c r="B12" s="1" t="s">
        <v>292</v>
      </c>
    </row>
    <row r="15" spans="2:14" x14ac:dyDescent="0.3">
      <c r="B15" s="1" t="s">
        <v>297</v>
      </c>
      <c r="D15" s="13" t="str">
        <f>B4</f>
        <v>f(1)</v>
      </c>
      <c r="E15" s="101" t="s">
        <v>291</v>
      </c>
      <c r="F15" s="100" t="s">
        <v>296</v>
      </c>
      <c r="H15" s="13" t="str">
        <f>B5</f>
        <v>f(2)</v>
      </c>
      <c r="I15" s="101" t="s">
        <v>291</v>
      </c>
      <c r="J15" s="100" t="s">
        <v>296</v>
      </c>
      <c r="L15" s="13" t="str">
        <f>B6</f>
        <v>f(3)</v>
      </c>
      <c r="M15" s="101" t="s">
        <v>291</v>
      </c>
      <c r="N15" s="100" t="s">
        <v>296</v>
      </c>
    </row>
    <row r="16" spans="2:14" x14ac:dyDescent="0.3">
      <c r="H16" s="13"/>
      <c r="J16" s="100"/>
      <c r="L16" s="13"/>
      <c r="N16" s="100"/>
    </row>
    <row r="17" spans="2:14" x14ac:dyDescent="0.3">
      <c r="B17" s="1" t="s">
        <v>295</v>
      </c>
      <c r="D17" s="13" t="str">
        <f>B8</f>
        <v>f(1,2)</v>
      </c>
      <c r="E17" s="101" t="s">
        <v>291</v>
      </c>
      <c r="F17" s="100" t="str">
        <f>B5</f>
        <v>f(2)</v>
      </c>
      <c r="H17" s="13" t="str">
        <f>B8</f>
        <v>f(1,2)</v>
      </c>
      <c r="I17" s="101" t="s">
        <v>291</v>
      </c>
      <c r="J17" s="100" t="str">
        <f>B4</f>
        <v>f(1)</v>
      </c>
      <c r="L17" s="13" t="str">
        <f>B9</f>
        <v>f(1,3)</v>
      </c>
      <c r="M17" s="101" t="s">
        <v>291</v>
      </c>
      <c r="N17" s="100" t="str">
        <f>B4</f>
        <v>f(1)</v>
      </c>
    </row>
    <row r="18" spans="2:14" x14ac:dyDescent="0.3">
      <c r="D18" s="13" t="str">
        <f>B9</f>
        <v>f(1,3)</v>
      </c>
      <c r="E18" s="101" t="s">
        <v>291</v>
      </c>
      <c r="F18" s="100" t="str">
        <f>B6</f>
        <v>f(3)</v>
      </c>
      <c r="H18" s="13" t="str">
        <f>B10</f>
        <v>f(2,3)</v>
      </c>
      <c r="I18" s="101" t="s">
        <v>291</v>
      </c>
      <c r="J18" s="100" t="str">
        <f>B6</f>
        <v>f(3)</v>
      </c>
      <c r="L18" s="13" t="str">
        <f>B10</f>
        <v>f(2,3)</v>
      </c>
      <c r="M18" s="101" t="s">
        <v>291</v>
      </c>
      <c r="N18" s="100" t="str">
        <f>B5</f>
        <v>f(2)</v>
      </c>
    </row>
    <row r="19" spans="2:14" x14ac:dyDescent="0.3">
      <c r="H19" s="13"/>
      <c r="J19" s="100"/>
      <c r="L19" s="13"/>
      <c r="N19" s="100"/>
    </row>
    <row r="20" spans="2:14" x14ac:dyDescent="0.3">
      <c r="B20" s="1" t="s">
        <v>294</v>
      </c>
      <c r="D20" s="13" t="s">
        <v>292</v>
      </c>
      <c r="E20" s="101" t="s">
        <v>291</v>
      </c>
      <c r="F20" s="100" t="s">
        <v>293</v>
      </c>
      <c r="H20" s="13" t="s">
        <v>292</v>
      </c>
      <c r="I20" s="101" t="s">
        <v>291</v>
      </c>
      <c r="J20" s="100" t="str">
        <f>B9</f>
        <v>f(1,3)</v>
      </c>
      <c r="L20" s="13" t="s">
        <v>292</v>
      </c>
      <c r="M20" s="101" t="s">
        <v>291</v>
      </c>
      <c r="N20" s="100" t="str">
        <f>B9</f>
        <v>f(1,3)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9D6D5-B5DE-F74B-809D-3B5C3F9AB2D7}">
  <sheetPr>
    <tabColor rgb="FFFF0000"/>
  </sheetPr>
  <dimension ref="B2:K12"/>
  <sheetViews>
    <sheetView workbookViewId="0"/>
  </sheetViews>
  <sheetFormatPr baseColWidth="10" defaultRowHeight="26" x14ac:dyDescent="0.3"/>
  <cols>
    <col min="1" max="2" width="10.83203125" style="1"/>
    <col min="3" max="5" width="3.1640625" style="1" bestFit="1" customWidth="1"/>
    <col min="6" max="10" width="10.83203125" style="1"/>
    <col min="11" max="11" width="23.33203125" style="1" bestFit="1" customWidth="1"/>
    <col min="12" max="16384" width="10.83203125" style="1"/>
  </cols>
  <sheetData>
    <row r="2" spans="2:11" s="11" customFormat="1" x14ac:dyDescent="0.3">
      <c r="B2" s="11" t="s">
        <v>309</v>
      </c>
      <c r="C2" s="102">
        <v>1</v>
      </c>
      <c r="D2" s="102">
        <v>2</v>
      </c>
      <c r="E2" s="102">
        <v>3</v>
      </c>
      <c r="G2" s="11">
        <v>1</v>
      </c>
      <c r="H2" s="11">
        <v>2</v>
      </c>
      <c r="I2" s="11">
        <v>3</v>
      </c>
      <c r="K2" s="11" t="s">
        <v>2</v>
      </c>
    </row>
    <row r="3" spans="2:11" s="11" customFormat="1" x14ac:dyDescent="0.3">
      <c r="C3" s="102"/>
      <c r="D3" s="102"/>
      <c r="E3" s="102"/>
    </row>
    <row r="4" spans="2:11" x14ac:dyDescent="0.3">
      <c r="B4" s="1" t="s">
        <v>308</v>
      </c>
      <c r="C4" s="1">
        <v>1</v>
      </c>
      <c r="D4" s="1">
        <v>0</v>
      </c>
      <c r="E4" s="1">
        <v>0</v>
      </c>
      <c r="G4" s="13" t="str">
        <f t="shared" ref="G4:I6" si="0">IF(C4,"x"&amp;G$2,"E[x"&amp;G$2&amp;"]")</f>
        <v>x1</v>
      </c>
      <c r="H4" s="13" t="str">
        <f t="shared" si="0"/>
        <v>E[x2]</v>
      </c>
      <c r="I4" s="13" t="str">
        <f t="shared" si="0"/>
        <v>E[x3]</v>
      </c>
      <c r="K4" s="1" t="str">
        <f>"f("&amp;G4&amp;","&amp;H4&amp;","&amp;I4&amp;")"</f>
        <v>f(x1,E[x2],E[x3])</v>
      </c>
    </row>
    <row r="5" spans="2:11" x14ac:dyDescent="0.3">
      <c r="B5" s="1" t="s">
        <v>32</v>
      </c>
      <c r="C5" s="1">
        <v>0</v>
      </c>
      <c r="D5" s="1">
        <v>1</v>
      </c>
      <c r="E5" s="1">
        <v>0</v>
      </c>
      <c r="G5" s="13" t="str">
        <f t="shared" si="0"/>
        <v>E[x1]</v>
      </c>
      <c r="H5" s="13" t="str">
        <f t="shared" si="0"/>
        <v>x2</v>
      </c>
      <c r="I5" s="13" t="str">
        <f t="shared" si="0"/>
        <v>E[x3]</v>
      </c>
      <c r="K5" s="1" t="str">
        <f>"f("&amp;G5&amp;","&amp;H5&amp;","&amp;I5&amp;")"</f>
        <v>f(E[x1],x2,E[x3])</v>
      </c>
    </row>
    <row r="6" spans="2:11" x14ac:dyDescent="0.3">
      <c r="B6" s="1" t="s">
        <v>307</v>
      </c>
      <c r="C6" s="1">
        <v>0</v>
      </c>
      <c r="D6" s="1">
        <v>0</v>
      </c>
      <c r="E6" s="1">
        <v>1</v>
      </c>
      <c r="G6" s="13" t="str">
        <f t="shared" si="0"/>
        <v>E[x1]</v>
      </c>
      <c r="H6" s="13" t="str">
        <f t="shared" si="0"/>
        <v>E[x2]</v>
      </c>
      <c r="I6" s="13" t="str">
        <f t="shared" si="0"/>
        <v>x3</v>
      </c>
      <c r="K6" s="1" t="str">
        <f>"f("&amp;G6&amp;","&amp;H6&amp;","&amp;I6&amp;")"</f>
        <v>f(E[x1],E[x2],x3)</v>
      </c>
    </row>
    <row r="7" spans="2:11" x14ac:dyDescent="0.3">
      <c r="G7" s="13"/>
      <c r="H7" s="13"/>
      <c r="I7" s="13"/>
    </row>
    <row r="8" spans="2:11" x14ac:dyDescent="0.3">
      <c r="B8" s="1" t="s">
        <v>306</v>
      </c>
      <c r="C8" s="1">
        <v>1</v>
      </c>
      <c r="D8" s="1">
        <v>1</v>
      </c>
      <c r="E8" s="1">
        <v>0</v>
      </c>
      <c r="G8" s="13" t="str">
        <f t="shared" ref="G8:I10" si="1">IF(C8,"x"&amp;G$2,"E[x"&amp;G$2&amp;"]")</f>
        <v>x1</v>
      </c>
      <c r="H8" s="13" t="str">
        <f t="shared" si="1"/>
        <v>x2</v>
      </c>
      <c r="I8" s="13" t="str">
        <f t="shared" si="1"/>
        <v>E[x3]</v>
      </c>
      <c r="K8" s="1" t="str">
        <f>"f("&amp;G8&amp;","&amp;H8&amp;","&amp;I8&amp;")"</f>
        <v>f(x1,x2,E[x3])</v>
      </c>
    </row>
    <row r="9" spans="2:11" x14ac:dyDescent="0.3">
      <c r="B9" s="1" t="s">
        <v>305</v>
      </c>
      <c r="C9" s="1">
        <v>1</v>
      </c>
      <c r="D9" s="1">
        <v>0</v>
      </c>
      <c r="E9" s="1">
        <v>1</v>
      </c>
      <c r="G9" s="13" t="str">
        <f t="shared" si="1"/>
        <v>x1</v>
      </c>
      <c r="H9" s="13" t="str">
        <f t="shared" si="1"/>
        <v>E[x2]</v>
      </c>
      <c r="I9" s="13" t="str">
        <f t="shared" si="1"/>
        <v>x3</v>
      </c>
      <c r="K9" s="1" t="str">
        <f>"f("&amp;G9&amp;","&amp;H9&amp;","&amp;I9&amp;")"</f>
        <v>f(x1,E[x2],x3)</v>
      </c>
    </row>
    <row r="10" spans="2:11" x14ac:dyDescent="0.3">
      <c r="B10" s="1" t="s">
        <v>304</v>
      </c>
      <c r="C10" s="1">
        <v>0</v>
      </c>
      <c r="D10" s="1">
        <v>1</v>
      </c>
      <c r="E10" s="1">
        <v>1</v>
      </c>
      <c r="G10" s="13" t="str">
        <f t="shared" si="1"/>
        <v>E[x1]</v>
      </c>
      <c r="H10" s="13" t="str">
        <f t="shared" si="1"/>
        <v>x2</v>
      </c>
      <c r="I10" s="13" t="str">
        <f t="shared" si="1"/>
        <v>x3</v>
      </c>
      <c r="K10" s="1" t="str">
        <f>"f("&amp;G10&amp;","&amp;H10&amp;","&amp;I10&amp;")"</f>
        <v>f(E[x1],x2,x3)</v>
      </c>
    </row>
    <row r="11" spans="2:11" x14ac:dyDescent="0.3">
      <c r="G11" s="13"/>
      <c r="H11" s="13"/>
      <c r="I11" s="13"/>
    </row>
    <row r="12" spans="2:11" x14ac:dyDescent="0.3">
      <c r="B12" s="1" t="s">
        <v>303</v>
      </c>
      <c r="C12" s="1">
        <v>1</v>
      </c>
      <c r="D12" s="1">
        <v>1</v>
      </c>
      <c r="E12" s="1">
        <v>1</v>
      </c>
      <c r="G12" s="13" t="str">
        <f>IF(C12,"x"&amp;G$2,"E[x"&amp;G$2&amp;"]")</f>
        <v>x1</v>
      </c>
      <c r="H12" s="13" t="str">
        <f>IF(D12,"x"&amp;H$2,"E[x"&amp;H$2&amp;"]")</f>
        <v>x2</v>
      </c>
      <c r="I12" s="13" t="str">
        <f>IF(E12,"x"&amp;I$2,"E[x"&amp;I$2&amp;"]")</f>
        <v>x3</v>
      </c>
      <c r="K12" s="1" t="str">
        <f>"f("&amp;G12&amp;","&amp;H12&amp;","&amp;I12&amp;")"</f>
        <v>f(x1,x2,x3)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367</v>
      </c>
    </row>
    <row r="2" spans="1:1" x14ac:dyDescent="0.3">
      <c r="A2" s="95" t="s">
        <v>368</v>
      </c>
    </row>
    <row r="3" spans="1:1" x14ac:dyDescent="0.3">
      <c r="A3" s="95" t="s">
        <v>369</v>
      </c>
    </row>
    <row r="4" spans="1:1" x14ac:dyDescent="0.3">
      <c r="A4" s="95" t="s">
        <v>370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>
    <row r="1" spans="1:3" x14ac:dyDescent="0.3">
      <c r="A1" s="15" t="s">
        <v>346</v>
      </c>
      <c r="B1" s="15" t="s">
        <v>347</v>
      </c>
      <c r="C1" s="15" t="s">
        <v>348</v>
      </c>
    </row>
    <row r="2" spans="1:3" x14ac:dyDescent="0.3">
      <c r="A2" s="15" t="s">
        <v>349</v>
      </c>
      <c r="B2" s="15" t="s">
        <v>350</v>
      </c>
      <c r="C2" s="15" t="s">
        <v>351</v>
      </c>
    </row>
    <row r="3" spans="1:3" x14ac:dyDescent="0.3">
      <c r="A3" s="15" t="s">
        <v>349</v>
      </c>
      <c r="B3" s="15" t="s">
        <v>350</v>
      </c>
      <c r="C3" s="15" t="s">
        <v>351</v>
      </c>
    </row>
    <row r="4" spans="1:3" x14ac:dyDescent="0.3">
      <c r="A4" s="15" t="s">
        <v>349</v>
      </c>
      <c r="B4" s="15" t="s">
        <v>350</v>
      </c>
      <c r="C4" s="15" t="s">
        <v>351</v>
      </c>
    </row>
    <row r="5" spans="1:3" x14ac:dyDescent="0.3">
      <c r="A5" s="15" t="s">
        <v>349</v>
      </c>
      <c r="B5" s="15" t="s">
        <v>350</v>
      </c>
      <c r="C5" s="15" t="s">
        <v>352</v>
      </c>
    </row>
    <row r="6" spans="1:3" x14ac:dyDescent="0.3">
      <c r="A6" s="15" t="s">
        <v>349</v>
      </c>
      <c r="B6" s="15" t="s">
        <v>353</v>
      </c>
      <c r="C6" s="15" t="s">
        <v>352</v>
      </c>
    </row>
    <row r="7" spans="1:3" x14ac:dyDescent="0.3">
      <c r="A7" s="15" t="s">
        <v>354</v>
      </c>
      <c r="B7" s="15" t="s">
        <v>353</v>
      </c>
      <c r="C7" s="15" t="s">
        <v>351</v>
      </c>
    </row>
    <row r="8" spans="1:3" x14ac:dyDescent="0.3">
      <c r="A8" s="15" t="s">
        <v>354</v>
      </c>
      <c r="B8" s="15" t="s">
        <v>353</v>
      </c>
      <c r="C8" s="15" t="s">
        <v>352</v>
      </c>
    </row>
    <row r="9" spans="1:3" x14ac:dyDescent="0.3">
      <c r="A9" s="15" t="s">
        <v>354</v>
      </c>
      <c r="B9" s="15" t="s">
        <v>353</v>
      </c>
      <c r="C9" s="15" t="s">
        <v>352</v>
      </c>
    </row>
    <row r="10" spans="1:3" x14ac:dyDescent="0.3">
      <c r="A10" s="15" t="s">
        <v>354</v>
      </c>
      <c r="B10" s="15" t="s">
        <v>350</v>
      </c>
      <c r="C10" s="15" t="s">
        <v>352</v>
      </c>
    </row>
    <row r="11" spans="1:3" x14ac:dyDescent="0.3">
      <c r="A11" s="15" t="s">
        <v>354</v>
      </c>
      <c r="B11" s="15" t="s">
        <v>350</v>
      </c>
      <c r="C11" s="15" t="s">
        <v>352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" bestFit="1" customWidth="1"/>
    <col min="2" max="2" width="21.5" style="1" bestFit="1" customWidth="1"/>
    <col min="3" max="16384" width="10.83203125" style="1"/>
  </cols>
  <sheetData>
    <row r="1" spans="1:2" x14ac:dyDescent="0.3">
      <c r="A1" s="15" t="s">
        <v>347</v>
      </c>
      <c r="B1" s="15" t="s">
        <v>348</v>
      </c>
    </row>
    <row r="2" spans="1:2" x14ac:dyDescent="0.3">
      <c r="A2" s="15" t="s">
        <v>350</v>
      </c>
      <c r="B2" s="15" t="s">
        <v>351</v>
      </c>
    </row>
    <row r="3" spans="1:2" x14ac:dyDescent="0.3">
      <c r="A3" s="15" t="s">
        <v>350</v>
      </c>
      <c r="B3" s="15" t="s">
        <v>352</v>
      </c>
    </row>
    <row r="4" spans="1:2" x14ac:dyDescent="0.3">
      <c r="A4" s="15" t="s">
        <v>353</v>
      </c>
      <c r="B4" s="15" t="s">
        <v>351</v>
      </c>
    </row>
    <row r="5" spans="1:2" x14ac:dyDescent="0.3">
      <c r="A5" s="15" t="s">
        <v>353</v>
      </c>
      <c r="B5" s="15" t="s">
        <v>352</v>
      </c>
    </row>
    <row r="6" spans="1:2" x14ac:dyDescent="0.3">
      <c r="A6" s="15"/>
      <c r="B6" s="15"/>
    </row>
    <row r="7" spans="1:2" x14ac:dyDescent="0.3">
      <c r="A7" s="15"/>
      <c r="B7" s="15"/>
    </row>
    <row r="8" spans="1:2" x14ac:dyDescent="0.3">
      <c r="A8" s="15"/>
      <c r="B8" s="15"/>
    </row>
    <row r="9" spans="1:2" x14ac:dyDescent="0.3">
      <c r="A9" s="15"/>
      <c r="B9" s="15"/>
    </row>
    <row r="10" spans="1:2" x14ac:dyDescent="0.3">
      <c r="A10" s="15"/>
      <c r="B10" s="15"/>
    </row>
    <row r="11" spans="1:2" x14ac:dyDescent="0.3">
      <c r="A11" s="15"/>
      <c r="B11" s="15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>
    <tabColor rgb="FFFF0000"/>
  </sheetPr>
  <dimension ref="A1:P29"/>
  <sheetViews>
    <sheetView zoomScale="80" zoomScaleNormal="80" workbookViewId="0"/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5.66406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355</v>
      </c>
      <c r="I1" s="15" t="s">
        <v>356</v>
      </c>
    </row>
    <row r="2" spans="1:9" x14ac:dyDescent="0.3">
      <c r="A2" s="103" t="s">
        <v>349</v>
      </c>
      <c r="B2" s="104"/>
      <c r="D2" s="105" t="s">
        <v>350</v>
      </c>
      <c r="E2" s="106" t="s">
        <v>351</v>
      </c>
      <c r="F2" s="106"/>
      <c r="G2" s="107"/>
      <c r="H2" s="1">
        <v>1</v>
      </c>
      <c r="I2" s="1">
        <v>1</v>
      </c>
    </row>
    <row r="3" spans="1:9" x14ac:dyDescent="0.3">
      <c r="A3" s="103" t="s">
        <v>349</v>
      </c>
      <c r="B3" s="104"/>
      <c r="D3" s="108" t="s">
        <v>350</v>
      </c>
      <c r="E3" s="104" t="s">
        <v>351</v>
      </c>
      <c r="F3" s="104"/>
      <c r="G3" s="109"/>
      <c r="H3" s="1">
        <v>1</v>
      </c>
      <c r="I3" s="1">
        <v>1</v>
      </c>
    </row>
    <row r="4" spans="1:9" x14ac:dyDescent="0.3">
      <c r="A4" s="103" t="s">
        <v>349</v>
      </c>
      <c r="B4" s="104"/>
      <c r="D4" s="108" t="s">
        <v>350</v>
      </c>
      <c r="E4" s="104" t="s">
        <v>351</v>
      </c>
      <c r="F4" s="104"/>
      <c r="G4" s="109"/>
      <c r="H4" s="1">
        <v>1</v>
      </c>
      <c r="I4" s="1">
        <v>1</v>
      </c>
    </row>
    <row r="5" spans="1:9" x14ac:dyDescent="0.3">
      <c r="A5" s="103" t="s">
        <v>349</v>
      </c>
      <c r="B5" s="104"/>
      <c r="D5" s="108" t="s">
        <v>350</v>
      </c>
      <c r="E5" s="104" t="s">
        <v>352</v>
      </c>
      <c r="F5" s="104"/>
      <c r="G5" s="109"/>
      <c r="H5" s="1">
        <v>1</v>
      </c>
      <c r="I5" s="1">
        <f t="shared" ref="I5:I11" si="0">COUNTIF($D5:$G5,I$1)</f>
        <v>0</v>
      </c>
    </row>
    <row r="6" spans="1:9" x14ac:dyDescent="0.3">
      <c r="A6" s="103" t="s">
        <v>349</v>
      </c>
      <c r="B6" s="104"/>
      <c r="D6" s="108" t="s">
        <v>353</v>
      </c>
      <c r="E6" s="104" t="s">
        <v>352</v>
      </c>
      <c r="F6" s="104"/>
      <c r="G6" s="109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3" t="s">
        <v>354</v>
      </c>
      <c r="B7" s="104"/>
      <c r="D7" s="108" t="s">
        <v>353</v>
      </c>
      <c r="E7" s="104" t="s">
        <v>351</v>
      </c>
      <c r="F7" s="104"/>
      <c r="G7" s="109"/>
      <c r="H7" s="1">
        <f t="shared" si="1"/>
        <v>0</v>
      </c>
      <c r="I7" s="1">
        <v>1</v>
      </c>
    </row>
    <row r="8" spans="1:9" x14ac:dyDescent="0.3">
      <c r="A8" s="103" t="s">
        <v>354</v>
      </c>
      <c r="B8" s="104"/>
      <c r="D8" s="108" t="s">
        <v>353</v>
      </c>
      <c r="E8" s="104" t="s">
        <v>352</v>
      </c>
      <c r="F8" s="104"/>
      <c r="G8" s="109"/>
      <c r="H8" s="1">
        <f t="shared" si="1"/>
        <v>0</v>
      </c>
      <c r="I8" s="1">
        <f t="shared" si="0"/>
        <v>0</v>
      </c>
    </row>
    <row r="9" spans="1:9" x14ac:dyDescent="0.3">
      <c r="A9" s="103" t="s">
        <v>354</v>
      </c>
      <c r="B9" s="104"/>
      <c r="D9" s="108" t="s">
        <v>353</v>
      </c>
      <c r="E9" s="104" t="s">
        <v>352</v>
      </c>
      <c r="F9" s="104"/>
      <c r="G9" s="109"/>
      <c r="H9" s="1">
        <f t="shared" si="1"/>
        <v>0</v>
      </c>
      <c r="I9" s="1">
        <f t="shared" si="0"/>
        <v>0</v>
      </c>
    </row>
    <row r="10" spans="1:9" x14ac:dyDescent="0.3">
      <c r="A10" s="103" t="s">
        <v>354</v>
      </c>
      <c r="B10" s="104"/>
      <c r="D10" s="108" t="s">
        <v>350</v>
      </c>
      <c r="E10" s="104" t="s">
        <v>352</v>
      </c>
      <c r="F10" s="104"/>
      <c r="G10" s="109"/>
      <c r="H10" s="1">
        <v>1</v>
      </c>
      <c r="I10" s="1">
        <f t="shared" si="0"/>
        <v>0</v>
      </c>
    </row>
    <row r="11" spans="1:9" x14ac:dyDescent="0.3">
      <c r="A11" s="103" t="s">
        <v>354</v>
      </c>
      <c r="B11" s="104"/>
      <c r="D11" s="110" t="s">
        <v>350</v>
      </c>
      <c r="E11" s="111" t="s">
        <v>352</v>
      </c>
      <c r="F11" s="111"/>
      <c r="G11" s="112"/>
      <c r="H11" s="1">
        <v>1</v>
      </c>
      <c r="I11" s="1">
        <f t="shared" si="0"/>
        <v>0</v>
      </c>
    </row>
    <row r="13" spans="1:9" ht="30" x14ac:dyDescent="0.4">
      <c r="G13" s="100" t="s">
        <v>357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358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359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360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361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3"/>
      <c r="I18" s="113"/>
    </row>
    <row r="19" spans="1:16" x14ac:dyDescent="0.3">
      <c r="H19" s="15" t="s">
        <v>355</v>
      </c>
      <c r="I19" s="15" t="s">
        <v>356</v>
      </c>
      <c r="K19" s="15" t="s">
        <v>362</v>
      </c>
      <c r="L19" s="15" t="s">
        <v>363</v>
      </c>
      <c r="M19" s="15" t="s">
        <v>364</v>
      </c>
      <c r="N19" s="15"/>
      <c r="O19" s="15" t="s">
        <v>365</v>
      </c>
      <c r="P19" s="15" t="s">
        <v>366</v>
      </c>
    </row>
    <row r="20" spans="1:16" x14ac:dyDescent="0.3">
      <c r="A20" s="114"/>
      <c r="B20" s="115"/>
      <c r="D20" s="116" t="s">
        <v>350</v>
      </c>
      <c r="E20" s="117" t="s">
        <v>351</v>
      </c>
      <c r="F20" s="117"/>
      <c r="G20" s="118"/>
      <c r="H20" s="1">
        <v>1</v>
      </c>
      <c r="I20" s="1">
        <v>1</v>
      </c>
      <c r="K20" s="119" cm="1">
        <f t="array" ref="K20">PRODUCT(IF(H20:I20,$H$16:$I$16,1-$H$16:$I$16))</f>
        <v>0.48</v>
      </c>
      <c r="L20" s="119" cm="1">
        <f t="array" ref="L20">PRODUCT(IF(H20:I20,$H$17:$I$17,1-$H$17:$I$17))</f>
        <v>8.0000000000000016E-2</v>
      </c>
      <c r="M20" s="119">
        <f>K20*$H$14+L20*$H$15</f>
        <v>0.28000000000000003</v>
      </c>
      <c r="N20" s="119"/>
      <c r="O20" s="120">
        <f>K20*$H$14/M20</f>
        <v>0.85714285714285698</v>
      </c>
      <c r="P20" s="120">
        <f>L20*$H$14/M20</f>
        <v>0.14285714285714288</v>
      </c>
    </row>
    <row r="21" spans="1:16" x14ac:dyDescent="0.3">
      <c r="A21" s="114"/>
      <c r="B21" s="115"/>
      <c r="D21" s="121" t="s">
        <v>350</v>
      </c>
      <c r="E21" s="115" t="s">
        <v>352</v>
      </c>
      <c r="F21" s="115"/>
      <c r="G21" s="122"/>
      <c r="H21" s="1">
        <v>1</v>
      </c>
      <c r="I21" s="1">
        <v>0</v>
      </c>
      <c r="K21" s="119" cm="1">
        <f t="array" ref="K21">PRODUCT(IF(H21:I21,$H$16:$I$16,1-$H$16:$I$16))</f>
        <v>0.32000000000000006</v>
      </c>
      <c r="L21" s="119" cm="1">
        <f t="array" ref="L21">PRODUCT(IF(H21:I21,$H$17:$I$17,1-$H$17:$I$17))</f>
        <v>0.32000000000000006</v>
      </c>
      <c r="M21" s="119">
        <f t="shared" ref="M21:M23" si="2">K21*$H$14+L21*$H$15</f>
        <v>0.32000000000000006</v>
      </c>
      <c r="N21" s="119"/>
      <c r="O21" s="120">
        <f t="shared" ref="O21:O23" si="3">K21*$H$14/M21</f>
        <v>0.5</v>
      </c>
      <c r="P21" s="120">
        <f>L21*$H$14/M21</f>
        <v>0.5</v>
      </c>
    </row>
    <row r="22" spans="1:16" x14ac:dyDescent="0.3">
      <c r="A22" s="114"/>
      <c r="B22" s="115"/>
      <c r="D22" s="121" t="s">
        <v>353</v>
      </c>
      <c r="E22" s="115" t="s">
        <v>351</v>
      </c>
      <c r="F22" s="115"/>
      <c r="G22" s="122"/>
      <c r="H22" s="1">
        <v>0</v>
      </c>
      <c r="I22" s="1">
        <v>1</v>
      </c>
      <c r="K22" s="119" cm="1">
        <f t="array" ref="K22">PRODUCT(IF(H22:I22,$H$16:$I$16,1-$H$16:$I$16))</f>
        <v>0.11999999999999997</v>
      </c>
      <c r="L22" s="119" cm="1">
        <f t="array" ref="L22">PRODUCT(IF(H22:I22,$H$17:$I$17,1-$H$17:$I$17))</f>
        <v>0.12</v>
      </c>
      <c r="M22" s="119">
        <f t="shared" si="2"/>
        <v>0.11999999999999998</v>
      </c>
      <c r="N22" s="119"/>
      <c r="O22" s="120">
        <f t="shared" si="3"/>
        <v>0.49999999999999994</v>
      </c>
      <c r="P22" s="120">
        <f>L22*$H$14/M22</f>
        <v>0.50000000000000011</v>
      </c>
    </row>
    <row r="23" spans="1:16" x14ac:dyDescent="0.3">
      <c r="A23" s="114"/>
      <c r="B23" s="115"/>
      <c r="D23" s="121" t="s">
        <v>353</v>
      </c>
      <c r="E23" s="115" t="s">
        <v>352</v>
      </c>
      <c r="F23" s="115"/>
      <c r="G23" s="122"/>
      <c r="H23" s="1">
        <v>0</v>
      </c>
      <c r="I23" s="1">
        <v>0</v>
      </c>
      <c r="K23" s="119" cm="1">
        <f t="array" ref="K23">PRODUCT(IF(H23:I23,$H$16:$I$16,1-$H$16:$I$16))</f>
        <v>7.9999999999999988E-2</v>
      </c>
      <c r="L23" s="119" cm="1">
        <f t="array" ref="L23">PRODUCT(IF(H23:I23,$H$17:$I$17,1-$H$17:$I$17))</f>
        <v>0.48</v>
      </c>
      <c r="M23" s="119">
        <f t="shared" si="2"/>
        <v>0.27999999999999997</v>
      </c>
      <c r="N23" s="119"/>
      <c r="O23" s="120">
        <f t="shared" si="3"/>
        <v>0.14285714285714285</v>
      </c>
      <c r="P23" s="120">
        <f>L23*$H$14/M23</f>
        <v>0.85714285714285721</v>
      </c>
    </row>
    <row r="24" spans="1:16" x14ac:dyDescent="0.3">
      <c r="A24" s="114"/>
      <c r="B24" s="115"/>
      <c r="D24" s="121"/>
      <c r="E24" s="115"/>
      <c r="F24" s="115"/>
      <c r="G24" s="122"/>
      <c r="K24" s="119"/>
      <c r="L24" s="119"/>
      <c r="M24" s="119"/>
      <c r="N24" s="119"/>
      <c r="O24" s="120"/>
      <c r="P24" s="120"/>
    </row>
    <row r="25" spans="1:16" x14ac:dyDescent="0.3">
      <c r="A25" s="114"/>
      <c r="B25" s="115"/>
      <c r="D25" s="121"/>
      <c r="E25" s="115"/>
      <c r="F25" s="115"/>
      <c r="G25" s="122"/>
      <c r="K25" s="119"/>
      <c r="L25" s="119"/>
      <c r="M25" s="119"/>
      <c r="N25" s="119"/>
      <c r="O25" s="120"/>
      <c r="P25" s="120"/>
    </row>
    <row r="26" spans="1:16" x14ac:dyDescent="0.3">
      <c r="A26" s="114"/>
      <c r="B26" s="115"/>
      <c r="D26" s="121"/>
      <c r="E26" s="115"/>
      <c r="F26" s="115"/>
      <c r="G26" s="122"/>
      <c r="K26" s="119"/>
      <c r="L26" s="119"/>
      <c r="M26" s="119"/>
      <c r="N26" s="119"/>
      <c r="O26" s="120"/>
      <c r="P26" s="120"/>
    </row>
    <row r="27" spans="1:16" x14ac:dyDescent="0.3">
      <c r="A27" s="114"/>
      <c r="B27" s="115"/>
      <c r="D27" s="121"/>
      <c r="E27" s="115"/>
      <c r="F27" s="115"/>
      <c r="G27" s="122"/>
      <c r="K27" s="119"/>
      <c r="L27" s="119"/>
      <c r="M27" s="119"/>
      <c r="N27" s="119"/>
      <c r="O27" s="120"/>
      <c r="P27" s="120"/>
    </row>
    <row r="28" spans="1:16" x14ac:dyDescent="0.3">
      <c r="A28" s="114"/>
      <c r="B28" s="115"/>
      <c r="D28" s="121"/>
      <c r="E28" s="115"/>
      <c r="F28" s="115"/>
      <c r="G28" s="122"/>
      <c r="K28" s="119"/>
      <c r="L28" s="119"/>
      <c r="M28" s="119"/>
      <c r="N28" s="119"/>
      <c r="O28" s="120"/>
      <c r="P28" s="120"/>
    </row>
    <row r="29" spans="1:16" x14ac:dyDescent="0.3">
      <c r="A29" s="114"/>
      <c r="B29" s="115"/>
      <c r="D29" s="123"/>
      <c r="E29" s="124"/>
      <c r="F29" s="124"/>
      <c r="G29" s="125"/>
      <c r="K29" s="119"/>
      <c r="L29" s="119"/>
      <c r="M29" s="119"/>
      <c r="N29" s="119"/>
      <c r="O29" s="120"/>
      <c r="P29" s="120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>
    <tabColor rgb="FFFF0000"/>
  </sheetPr>
  <dimension ref="A1"/>
  <sheetViews>
    <sheetView zoomScale="80" zoomScaleNormal="80" workbookViewId="0">
      <selection sqref="A1:XFD1048576"/>
    </sheetView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332</v>
      </c>
    </row>
    <row r="4" spans="2:2" x14ac:dyDescent="0.3">
      <c r="B4" s="1" t="s">
        <v>335</v>
      </c>
    </row>
    <row r="6" spans="2:2" x14ac:dyDescent="0.3">
      <c r="B6" s="1" t="s">
        <v>383</v>
      </c>
    </row>
    <row r="8" spans="2:2" x14ac:dyDescent="0.3">
      <c r="B8" s="1" t="s">
        <v>334</v>
      </c>
    </row>
    <row r="10" spans="2:2" x14ac:dyDescent="0.3">
      <c r="B10" s="1" t="s">
        <v>333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9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41</v>
      </c>
      <c r="C2" s="13" t="s">
        <v>42</v>
      </c>
    </row>
    <row r="3" spans="1:3" x14ac:dyDescent="0.3">
      <c r="A3" s="1">
        <v>1</v>
      </c>
      <c r="B3" s="1" t="s">
        <v>0</v>
      </c>
      <c r="C3" s="1">
        <v>3</v>
      </c>
    </row>
    <row r="4" spans="1:3" x14ac:dyDescent="0.3">
      <c r="A4" s="1">
        <v>2</v>
      </c>
      <c r="B4" s="1" t="s">
        <v>1</v>
      </c>
      <c r="C4" s="1">
        <v>3</v>
      </c>
    </row>
    <row r="5" spans="1:3" x14ac:dyDescent="0.3">
      <c r="A5" s="1">
        <v>3</v>
      </c>
      <c r="B5" s="1" t="s">
        <v>63</v>
      </c>
      <c r="C5" s="1">
        <v>3</v>
      </c>
    </row>
    <row r="6" spans="1:3" x14ac:dyDescent="0.3">
      <c r="A6" s="1">
        <v>4</v>
      </c>
      <c r="B6" s="1" t="s">
        <v>259</v>
      </c>
      <c r="C6" s="1">
        <v>3</v>
      </c>
    </row>
    <row r="7" spans="1:3" x14ac:dyDescent="0.3">
      <c r="A7" s="1">
        <v>5</v>
      </c>
      <c r="B7" s="1" t="s">
        <v>336</v>
      </c>
      <c r="C7" s="1">
        <v>3</v>
      </c>
    </row>
    <row r="8" spans="1:3" x14ac:dyDescent="0.3">
      <c r="A8" s="1">
        <v>6</v>
      </c>
      <c r="B8" s="1" t="s">
        <v>381</v>
      </c>
      <c r="C8" s="1">
        <v>3</v>
      </c>
    </row>
    <row r="9" spans="1:3" x14ac:dyDescent="0.3">
      <c r="B9" s="1" t="s">
        <v>382</v>
      </c>
      <c r="C9" s="1">
        <v>2</v>
      </c>
    </row>
  </sheetData>
  <phoneticPr fontId="7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319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341</v>
      </c>
    </row>
    <row r="3" spans="1:2" x14ac:dyDescent="0.3">
      <c r="B3" s="1" t="s">
        <v>344</v>
      </c>
    </row>
    <row r="4" spans="1:2" x14ac:dyDescent="0.3">
      <c r="B4" s="1" t="s">
        <v>342</v>
      </c>
    </row>
    <row r="5" spans="1:2" x14ac:dyDescent="0.3">
      <c r="A5" s="1">
        <v>1</v>
      </c>
      <c r="B5" s="1" t="s">
        <v>343</v>
      </c>
    </row>
    <row r="6" spans="1:2" x14ac:dyDescent="0.3">
      <c r="A6" s="1">
        <v>2</v>
      </c>
      <c r="B6" s="1" t="s">
        <v>345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A2:B12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320</v>
      </c>
    </row>
    <row r="3" spans="1:2" s="97" customFormat="1" x14ac:dyDescent="0.3">
      <c r="A3" s="1"/>
    </row>
    <row r="5" spans="1:2" x14ac:dyDescent="0.3">
      <c r="A5" s="1">
        <v>2</v>
      </c>
      <c r="B5" s="1" t="s">
        <v>321</v>
      </c>
    </row>
    <row r="6" spans="1:2" s="97" customFormat="1" x14ac:dyDescent="0.3">
      <c r="A6" s="1"/>
    </row>
    <row r="8" spans="1:2" x14ac:dyDescent="0.3">
      <c r="A8" s="1">
        <v>3</v>
      </c>
      <c r="B8" s="1" t="s">
        <v>322</v>
      </c>
    </row>
    <row r="9" spans="1:2" x14ac:dyDescent="0.3">
      <c r="B9" s="1" t="s">
        <v>323</v>
      </c>
    </row>
    <row r="10" spans="1:2" x14ac:dyDescent="0.3">
      <c r="B10" s="1" t="s">
        <v>324</v>
      </c>
    </row>
    <row r="11" spans="1:2" x14ac:dyDescent="0.3">
      <c r="B11" s="1" t="s">
        <v>325</v>
      </c>
    </row>
    <row r="12" spans="1:2" x14ac:dyDescent="0.3">
      <c r="B12" s="1" t="s">
        <v>326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C1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260</v>
      </c>
    </row>
    <row r="3" spans="2:3" x14ac:dyDescent="0.3">
      <c r="B3" s="1" t="s">
        <v>261</v>
      </c>
    </row>
    <row r="4" spans="2:3" x14ac:dyDescent="0.3">
      <c r="B4" s="1" t="s">
        <v>262</v>
      </c>
    </row>
    <row r="5" spans="2:3" x14ac:dyDescent="0.3">
      <c r="B5" s="1" t="s">
        <v>263</v>
      </c>
    </row>
    <row r="7" spans="2:3" x14ac:dyDescent="0.3">
      <c r="B7" s="15" t="s">
        <v>77</v>
      </c>
      <c r="C7" s="15" t="s">
        <v>4</v>
      </c>
    </row>
    <row r="8" spans="2:3" x14ac:dyDescent="0.3">
      <c r="B8" s="19">
        <v>20</v>
      </c>
      <c r="C8" s="19">
        <v>70</v>
      </c>
    </row>
    <row r="9" spans="2:3" x14ac:dyDescent="0.3">
      <c r="B9" s="19">
        <v>30</v>
      </c>
      <c r="C9" s="19">
        <v>80</v>
      </c>
    </row>
    <row r="10" spans="2:3" x14ac:dyDescent="0.3">
      <c r="B10" s="19">
        <v>40</v>
      </c>
      <c r="C10" s="19">
        <v>90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3D2A-669E-B345-B118-0E0356AF8229}">
  <sheetPr codeName="Sheet30"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327</v>
      </c>
    </row>
    <row r="3" spans="2:2" x14ac:dyDescent="0.3">
      <c r="B3" s="1" t="s">
        <v>328</v>
      </c>
    </row>
    <row r="4" spans="2:2" x14ac:dyDescent="0.3">
      <c r="B4" s="1" t="s">
        <v>329</v>
      </c>
    </row>
    <row r="5" spans="2:2" x14ac:dyDescent="0.3">
      <c r="B5" s="1" t="s">
        <v>330</v>
      </c>
    </row>
    <row r="6" spans="2:2" x14ac:dyDescent="0.3">
      <c r="B6" s="1" t="s">
        <v>331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5F788-737E-BA45-8499-CAF7468099F4}">
  <sheetPr codeName="Sheet31">
    <tabColor rgb="FFFFFF00"/>
  </sheetPr>
  <dimension ref="A2:B21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371</v>
      </c>
    </row>
    <row r="3" spans="1:2" s="97" customFormat="1" x14ac:dyDescent="0.3">
      <c r="A3" s="1"/>
    </row>
    <row r="4" spans="1:2" x14ac:dyDescent="0.3">
      <c r="A4" s="1">
        <v>2</v>
      </c>
      <c r="B4" s="1" t="s">
        <v>372</v>
      </c>
    </row>
    <row r="5" spans="1:2" s="97" customFormat="1" x14ac:dyDescent="0.3">
      <c r="A5" s="1"/>
    </row>
    <row r="6" spans="1:2" x14ac:dyDescent="0.3">
      <c r="A6" s="1">
        <v>3</v>
      </c>
      <c r="B6" s="1" t="s">
        <v>373</v>
      </c>
    </row>
    <row r="7" spans="1:2" s="97" customFormat="1" x14ac:dyDescent="0.3">
      <c r="A7" s="1"/>
    </row>
    <row r="8" spans="1:2" x14ac:dyDescent="0.3">
      <c r="A8" s="1">
        <v>4</v>
      </c>
      <c r="B8" s="1" t="s">
        <v>374</v>
      </c>
    </row>
    <row r="9" spans="1:2" s="97" customFormat="1" x14ac:dyDescent="0.3">
      <c r="A9" s="1"/>
    </row>
    <row r="10" spans="1:2" x14ac:dyDescent="0.3">
      <c r="A10" s="1">
        <v>5</v>
      </c>
      <c r="B10" s="1" t="s">
        <v>375</v>
      </c>
    </row>
    <row r="11" spans="1:2" s="97" customFormat="1" x14ac:dyDescent="0.3">
      <c r="A11" s="1"/>
    </row>
    <row r="12" spans="1:2" x14ac:dyDescent="0.3">
      <c r="A12" s="1">
        <v>6</v>
      </c>
      <c r="B12" s="1" t="s">
        <v>376</v>
      </c>
    </row>
    <row r="13" spans="1:2" s="97" customFormat="1" x14ac:dyDescent="0.3">
      <c r="A13" s="1"/>
    </row>
    <row r="14" spans="1:2" x14ac:dyDescent="0.3">
      <c r="A14" s="1">
        <v>7</v>
      </c>
      <c r="B14" s="1" t="s">
        <v>377</v>
      </c>
    </row>
    <row r="15" spans="1:2" s="97" customFormat="1" x14ac:dyDescent="0.3">
      <c r="A15" s="1"/>
    </row>
    <row r="16" spans="1:2" x14ac:dyDescent="0.3">
      <c r="A16" s="1">
        <v>8</v>
      </c>
      <c r="B16" s="1" t="s">
        <v>379</v>
      </c>
    </row>
    <row r="17" spans="1:2" s="97" customFormat="1" x14ac:dyDescent="0.3">
      <c r="A17" s="1"/>
    </row>
    <row r="18" spans="1:2" x14ac:dyDescent="0.3">
      <c r="A18" s="1">
        <v>9</v>
      </c>
      <c r="B18" s="1" t="s">
        <v>378</v>
      </c>
    </row>
    <row r="19" spans="1:2" s="97" customFormat="1" x14ac:dyDescent="0.3">
      <c r="A19" s="1"/>
    </row>
    <row r="20" spans="1:2" x14ac:dyDescent="0.3">
      <c r="A20" s="1">
        <v>10</v>
      </c>
      <c r="B20" s="1" t="s">
        <v>380</v>
      </c>
    </row>
    <row r="21" spans="1:2" s="97" customFormat="1" x14ac:dyDescent="0.3">
      <c r="A21" s="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180</vt:i4>
      </vt:variant>
    </vt:vector>
  </HeadingPairs>
  <TitlesOfParts>
    <vt:vector size="197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PreWork4NextClass</vt:lpstr>
      <vt:lpstr>InClassProjects</vt:lpstr>
      <vt:lpstr>Q_Diagnostics</vt:lpstr>
      <vt:lpstr>Q_LogisticRegression</vt:lpstr>
      <vt:lpstr>Q_ClusterAnalysis</vt:lpstr>
      <vt:lpstr>Q_Splines</vt:lpstr>
      <vt:lpstr>Q_Shapley</vt:lpstr>
      <vt:lpstr>Q_NaiveBayes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2022-06-29T18:14:23Z</dcterms:modified>
</cp:coreProperties>
</file>