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855F0237-DFDC-D04A-8F28-F50155C2B8C4}" xr6:coauthVersionLast="47" xr6:coauthVersionMax="47" xr10:uidLastSave="{00000000-0000-0000-0000-000000000000}"/>
  <bookViews>
    <workbookView xWindow="-20" yWindow="0" windowWidth="28800" windowHeight="16620" xr2:uid="{2528C2F6-2D91-5941-BA0A-8E362C5A735B}"/>
  </bookViews>
  <sheets>
    <sheet name="Today" sheetId="94" r:id="rId1"/>
    <sheet name="Themes" sheetId="13" r:id="rId2"/>
    <sheet name="Diagnostics" sheetId="81" r:id="rId3"/>
    <sheet name="Sensitivity" sheetId="82" state="veryHidden" r:id="rId4"/>
    <sheet name="Specificity" sheetId="32" state="veryHidden" r:id="rId5"/>
    <sheet name="PPF_0" sheetId="86" state="veryHidden" r:id="rId6"/>
    <sheet name="PPF_1" sheetId="83" state="veryHidden" r:id="rId7"/>
    <sheet name="ConfusionMatrix" sheetId="133" state="veryHidden" r:id="rId8"/>
    <sheet name="ROC_Curve" sheetId="85" state="veryHidden" r:id="rId9"/>
    <sheet name="HarmonicMean" sheetId="84" state="veryHidden" r:id="rId10"/>
    <sheet name="Precision" sheetId="135" state="veryHidden" r:id="rId11"/>
    <sheet name="F1Score" sheetId="138" state="veryHidden" r:id="rId12"/>
    <sheet name="Bernoulli" sheetId="139" state="veryHidden" r:id="rId13"/>
    <sheet name="LogisticRegression" sheetId="87" r:id="rId14"/>
    <sheet name="Concept" sheetId="88" state="veryHidden" r:id="rId15"/>
    <sheet name="Iris_Data" sheetId="90" state="veryHidden" r:id="rId16"/>
    <sheet name="Iris_Fit" sheetId="91" state="veryHidden" r:id="rId17"/>
    <sheet name="Iris_Forecast_OOS" sheetId="92" state="veryHidden" r:id="rId18"/>
    <sheet name="R_Code" sheetId="93" state="veryHidden" r:id="rId19"/>
    <sheet name="MultiClass" sheetId="112" r:id="rId20"/>
    <sheet name="Each_vs_Each" sheetId="113" state="veryHidden" r:id="rId21"/>
    <sheet name="Each_vs_All" sheetId="114" state="veryHidden" r:id="rId22"/>
    <sheet name="ClusterAnalysis" sheetId="119" r:id="rId23"/>
    <sheet name="Cluster" sheetId="122" state="veryHidden" r:id="rId24"/>
    <sheet name="Excel_Demo" sheetId="123" state="veryHidden" r:id="rId25"/>
    <sheet name="R_Demo" sheetId="124" state="veryHidden" r:id="rId26"/>
    <sheet name="PieceWiseModels" sheetId="157" r:id="rId27"/>
    <sheet name="Data" sheetId="140" state="veryHidden" r:id="rId28"/>
    <sheet name="Fit_O3" sheetId="141" state="veryHidden" r:id="rId29"/>
    <sheet name="Fit_3Piece_O0" sheetId="142" state="veryHidden" r:id="rId30"/>
    <sheet name="Fit_3Piece_O1" sheetId="143" state="veryHidden" r:id="rId31"/>
    <sheet name="Fit_3Piece_O1_v2" sheetId="144" state="veryHidden" r:id="rId32"/>
    <sheet name="Fit_6Piece_O1" sheetId="145" state="veryHidden" r:id="rId33"/>
    <sheet name="Fit_2Piece_O2" sheetId="146" state="veryHidden" r:id="rId34"/>
    <sheet name="Splines" sheetId="156" r:id="rId35"/>
    <sheet name="NoSpline1" sheetId="147" state="veryHidden" r:id="rId36"/>
    <sheet name="NoSpline2" sheetId="148" state="veryHidden" r:id="rId37"/>
    <sheet name="NoSpline3" sheetId="149" state="veryHidden" r:id="rId38"/>
    <sheet name="CubicSpline1" sheetId="150" state="veryHidden" r:id="rId39"/>
    <sheet name="CubicSpline2" sheetId="151" state="veryHidden" r:id="rId40"/>
    <sheet name="CubicSpline3" sheetId="152" state="veryHidden" r:id="rId41"/>
    <sheet name="CubicSpline_YC" sheetId="153" state="veryHidden" r:id="rId42"/>
    <sheet name="CubicSpline_YC_Optim" sheetId="154" state="veryHidden" r:id="rId43"/>
    <sheet name="CubicSpline_YC_Optim_Penalized" sheetId="155" state="veryHidden" r:id="rId44"/>
    <sheet name="PreWork4NextClass" sheetId="27" r:id="rId45"/>
    <sheet name="InClassProjects" sheetId="26" r:id="rId46"/>
    <sheet name="Q_Diagnostics" sheetId="31" r:id="rId47"/>
    <sheet name="Q_Diagnostics22" sheetId="137" r:id="rId48"/>
    <sheet name="Q_Diagnostics2" sheetId="136" r:id="rId49"/>
  </sheets>
  <externalReferences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c1" localSheetId="41">CubicSpline_YC!$T$30</definedName>
    <definedName name="_c1" localSheetId="42">CubicSpline_YC_Optim!$T$30</definedName>
    <definedName name="_c1" localSheetId="43">CubicSpline_YC_Optim_Penalized!$T$30</definedName>
    <definedName name="_c1">CubicSpline3!$T$27</definedName>
    <definedName name="_c2" localSheetId="41">CubicSpline_YC!$T$34</definedName>
    <definedName name="_c2" localSheetId="42">CubicSpline_YC_Optim!$T$34</definedName>
    <definedName name="_c2" localSheetId="43">CubicSpline_YC_Optim_Penalized!$T$34</definedName>
    <definedName name="_c2">CubicSpline3!$T$31</definedName>
    <definedName name="_c3" localSheetId="41">CubicSpline_YC!$T$38</definedName>
    <definedName name="_c3" localSheetId="42">CubicSpline_YC_Optim!$T$38</definedName>
    <definedName name="_c3" localSheetId="43">CubicSpline_YC_Optim_Penalized!$T$38</definedName>
    <definedName name="_c3">CubicSpline3!$T$35</definedName>
    <definedName name="_r2" localSheetId="2">#REF!</definedName>
    <definedName name="_r2" localSheetId="3">#REF!</definedName>
    <definedName name="_r2">#REF!</definedName>
    <definedName name="_R2_orig">[1]RSquareAdj!$C$6</definedName>
    <definedName name="A">[2]NextClass1_MeanVar!#REF!</definedName>
    <definedName name="a_0" localSheetId="41">CubicSpline_YC!#REF!</definedName>
    <definedName name="a_0" localSheetId="42">CubicSpline_YC_Optim!#REF!</definedName>
    <definedName name="a_0" localSheetId="43">CubicSpline_YC_Optim_Penalized!#REF!</definedName>
    <definedName name="a_0">#REF!</definedName>
    <definedName name="a_1" localSheetId="41">CubicSpline_YC!$AN$28</definedName>
    <definedName name="a_1" localSheetId="42">CubicSpline_YC_Optim!$AN$28</definedName>
    <definedName name="a_1" localSheetId="43">CubicSpline_YC_Optim_Penalized!$AN$28</definedName>
    <definedName name="a_1">#REF!</definedName>
    <definedName name="a_10" localSheetId="41">CubicSpline_YC!$AN$52</definedName>
    <definedName name="a_10" localSheetId="42">CubicSpline_YC_Optim!$AN$52</definedName>
    <definedName name="a_10" localSheetId="43">CubicSpline_YC_Optim_Penalized!$AN$52</definedName>
    <definedName name="a_10">#REF!</definedName>
    <definedName name="a_2" localSheetId="41">CubicSpline_YC!$AN$32</definedName>
    <definedName name="a_2" localSheetId="42">CubicSpline_YC_Optim!$AN$32</definedName>
    <definedName name="a_2" localSheetId="43">CubicSpline_YC_Optim_Penalized!$AN$32</definedName>
    <definedName name="a_2">#REF!</definedName>
    <definedName name="a_3" localSheetId="41">CubicSpline_YC!$AN$36</definedName>
    <definedName name="a_3" localSheetId="42">CubicSpline_YC_Optim!$AN$36</definedName>
    <definedName name="a_3" localSheetId="43">CubicSpline_YC_Optim_Penalized!$AN$36</definedName>
    <definedName name="a_3">#REF!</definedName>
    <definedName name="a_30" localSheetId="41">CubicSpline_YC!$AN$56</definedName>
    <definedName name="a_30" localSheetId="42">CubicSpline_YC_Optim!$AN$56</definedName>
    <definedName name="a_30" localSheetId="43">CubicSpline_YC_Optim_Penalized!$AN$56</definedName>
    <definedName name="a_30">#REF!</definedName>
    <definedName name="a_4" localSheetId="41">CubicSpline_YC!$AN$40</definedName>
    <definedName name="a_4" localSheetId="42">CubicSpline_YC_Optim!$AN$40</definedName>
    <definedName name="a_4" localSheetId="43">CubicSpline_YC_Optim_Penalized!$AN$40</definedName>
    <definedName name="a_4">#REF!</definedName>
    <definedName name="a_5" localSheetId="41">CubicSpline_YC!$AN$44</definedName>
    <definedName name="a_5" localSheetId="42">CubicSpline_YC_Optim!$AN$44</definedName>
    <definedName name="a_5" localSheetId="43">CubicSpline_YC_Optim_Penalized!$AN$44</definedName>
    <definedName name="a_5">#REF!</definedName>
    <definedName name="a_7" localSheetId="41">CubicSpline_YC!$AN$48</definedName>
    <definedName name="a_7" localSheetId="42">CubicSpline_YC_Optim!$AN$48</definedName>
    <definedName name="a_7" localSheetId="43">CubicSpline_YC_Optim_Penalized!$AN$48</definedName>
    <definedName name="a_7">#REF!</definedName>
    <definedName name="A_x">[3]ProductRule!$C$14</definedName>
    <definedName name="A_x_h">[3]ProductRule!$C$16</definedName>
    <definedName name="a1_" localSheetId="41">CubicSpline_YC!$T$28</definedName>
    <definedName name="a1_" localSheetId="42">CubicSpline_YC_Optim!$T$28</definedName>
    <definedName name="a1_" localSheetId="43">CubicSpline_YC_Optim_Penalized!$T$28</definedName>
    <definedName name="a1_">CubicSpline3!$T$25</definedName>
    <definedName name="a2_" localSheetId="41">CubicSpline_YC!$T$32</definedName>
    <definedName name="a2_" localSheetId="42">CubicSpline_YC_Optim!$T$32</definedName>
    <definedName name="a2_" localSheetId="43">CubicSpline_YC_Optim_Penalized!$T$32</definedName>
    <definedName name="a2_">CubicSpline3!$T$29</definedName>
    <definedName name="a3_" localSheetId="41">CubicSpline_YC!$T$36</definedName>
    <definedName name="a3_" localSheetId="42">CubicSpline_YC_Optim!$T$36</definedName>
    <definedName name="a3_" localSheetId="43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41">CubicSpline_YC!#REF!</definedName>
    <definedName name="b_0" localSheetId="42">CubicSpline_YC_Optim!#REF!</definedName>
    <definedName name="b_0" localSheetId="43">CubicSpline_YC_Optim_Penalized!#REF!</definedName>
    <definedName name="b_0">#REF!</definedName>
    <definedName name="b_1" localSheetId="41">CubicSpline_YC!$AN$29</definedName>
    <definedName name="b_1" localSheetId="42">CubicSpline_YC_Optim!$AN$29</definedName>
    <definedName name="b_1" localSheetId="43">CubicSpline_YC_Optim_Penalized!$AN$29</definedName>
    <definedName name="b_1">#REF!</definedName>
    <definedName name="b_10" localSheetId="41">CubicSpline_YC!$AN$53</definedName>
    <definedName name="b_10" localSheetId="42">CubicSpline_YC_Optim!$AN$53</definedName>
    <definedName name="b_10" localSheetId="43">CubicSpline_YC_Optim_Penalized!$AN$53</definedName>
    <definedName name="b_10">#REF!</definedName>
    <definedName name="b_2" localSheetId="41">CubicSpline_YC!$AN$33</definedName>
    <definedName name="b_2" localSheetId="42">CubicSpline_YC_Optim!$AN$33</definedName>
    <definedName name="b_2" localSheetId="43">CubicSpline_YC_Optim_Penalized!$AN$33</definedName>
    <definedName name="b_2">#REF!</definedName>
    <definedName name="b_3" localSheetId="41">CubicSpline_YC!$AN$37</definedName>
    <definedName name="b_3" localSheetId="42">CubicSpline_YC_Optim!$AN$37</definedName>
    <definedName name="b_3" localSheetId="43">CubicSpline_YC_Optim_Penalized!$AN$37</definedName>
    <definedName name="b_3">#REF!</definedName>
    <definedName name="b_30" localSheetId="41">CubicSpline_YC!$AN$57</definedName>
    <definedName name="b_30" localSheetId="42">CubicSpline_YC_Optim!$AN$57</definedName>
    <definedName name="b_30" localSheetId="43">CubicSpline_YC_Optim_Penalized!$AN$57</definedName>
    <definedName name="b_30">#REF!</definedName>
    <definedName name="b_4" localSheetId="41">CubicSpline_YC!$AN$41</definedName>
    <definedName name="b_4" localSheetId="42">CubicSpline_YC_Optim!$AN$41</definedName>
    <definedName name="b_4" localSheetId="43">CubicSpline_YC_Optim_Penalized!$AN$41</definedName>
    <definedName name="b_4">#REF!</definedName>
    <definedName name="b_5" localSheetId="41">CubicSpline_YC!$AN$45</definedName>
    <definedName name="b_5" localSheetId="42">CubicSpline_YC_Optim!$AN$45</definedName>
    <definedName name="b_5" localSheetId="43">CubicSpline_YC_Optim_Penalized!$AN$45</definedName>
    <definedName name="b_5">#REF!</definedName>
    <definedName name="b_7" localSheetId="41">CubicSpline_YC!$AN$49</definedName>
    <definedName name="b_7" localSheetId="42">CubicSpline_YC_Optim!$AN$49</definedName>
    <definedName name="b_7" localSheetId="43">CubicSpline_YC_Optim_Penalized!$AN$49</definedName>
    <definedName name="b_7">#REF!</definedName>
    <definedName name="b0">#REF!</definedName>
    <definedName name="b1_" localSheetId="41">CubicSpline_YC!$T$29</definedName>
    <definedName name="b1_" localSheetId="42">CubicSpline_YC_Optim!$T$29</definedName>
    <definedName name="b1_" localSheetId="43">CubicSpline_YC_Optim_Penalized!$T$29</definedName>
    <definedName name="b1_">CubicSpline3!$T$26</definedName>
    <definedName name="b2_" localSheetId="41">CubicSpline_YC!$T$33</definedName>
    <definedName name="b2_" localSheetId="42">CubicSpline_YC_Optim!$T$33</definedName>
    <definedName name="b2_" localSheetId="43">CubicSpline_YC_Optim_Penalized!$T$33</definedName>
    <definedName name="b2_">CubicSpline3!$T$30</definedName>
    <definedName name="b3_" localSheetId="41">CubicSpline_YC!$T$37</definedName>
    <definedName name="b3_" localSheetId="42">CubicSpline_YC_Optim!$T$37</definedName>
    <definedName name="b3_" localSheetId="43">CubicSpline_YC_Optim_Penalized!$T$37</definedName>
    <definedName name="b3_">CubicSpline3!$T$34</definedName>
    <definedName name="beta" localSheetId="2">#REF!</definedName>
    <definedName name="beta" localSheetId="3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41">CubicSpline_YC!$AN$60</definedName>
    <definedName name="c_0" localSheetId="42">CubicSpline_YC_Optim!$AN$60</definedName>
    <definedName name="c_0" localSheetId="43">CubicSpline_YC_Optim_Penalized!$AN$60</definedName>
    <definedName name="c_0">#REF!</definedName>
    <definedName name="c_1" localSheetId="41">CubicSpline_YC!$AN$30</definedName>
    <definedName name="c_1" localSheetId="42">CubicSpline_YC_Optim!$AN$30</definedName>
    <definedName name="c_1" localSheetId="43">CubicSpline_YC_Optim_Penalized!$AN$30</definedName>
    <definedName name="c_1">#REF!</definedName>
    <definedName name="c_10" localSheetId="41">CubicSpline_YC!$AN$54</definedName>
    <definedName name="c_10" localSheetId="42">CubicSpline_YC_Optim!$AN$54</definedName>
    <definedName name="c_10" localSheetId="43">CubicSpline_YC_Optim_Penalized!$AN$54</definedName>
    <definedName name="c_10">#REF!</definedName>
    <definedName name="c_2" localSheetId="41">CubicSpline_YC!$AN$34</definedName>
    <definedName name="c_2" localSheetId="42">CubicSpline_YC_Optim!$AN$34</definedName>
    <definedName name="c_2" localSheetId="43">CubicSpline_YC_Optim_Penalized!$AN$34</definedName>
    <definedName name="c_2">#REF!</definedName>
    <definedName name="c_3" localSheetId="41">CubicSpline_YC!$AN$38</definedName>
    <definedName name="c_3" localSheetId="42">CubicSpline_YC_Optim!$AN$38</definedName>
    <definedName name="c_3" localSheetId="43">CubicSpline_YC_Optim_Penalized!$AN$38</definedName>
    <definedName name="c_3">#REF!</definedName>
    <definedName name="c_30" localSheetId="41">CubicSpline_YC!$AN$58</definedName>
    <definedName name="c_30" localSheetId="42">CubicSpline_YC_Optim!$AN$58</definedName>
    <definedName name="c_30" localSheetId="43">CubicSpline_YC_Optim_Penalized!$AN$58</definedName>
    <definedName name="c_30">#REF!</definedName>
    <definedName name="c_4" localSheetId="41">CubicSpline_YC!$AN$42</definedName>
    <definedName name="c_4" localSheetId="42">CubicSpline_YC_Optim!$AN$42</definedName>
    <definedName name="c_4" localSheetId="43">CubicSpline_YC_Optim_Penalized!$AN$42</definedName>
    <definedName name="c_4">#REF!</definedName>
    <definedName name="c_5" localSheetId="41">CubicSpline_YC!$AN$46</definedName>
    <definedName name="c_5" localSheetId="42">CubicSpline_YC_Optim!$AN$46</definedName>
    <definedName name="c_5" localSheetId="43">CubicSpline_YC_Optim_Penalized!$AN$46</definedName>
    <definedName name="c_5">#REF!</definedName>
    <definedName name="c_7" localSheetId="41">CubicSpline_YC!$AN$50</definedName>
    <definedName name="c_7" localSheetId="42">CubicSpline_YC_Optim!$AN$50</definedName>
    <definedName name="c_7" localSheetId="43">CubicSpline_YC_Optim_Penalized!$AN$50</definedName>
    <definedName name="c_7">#REF!</definedName>
    <definedName name="Cake">#REF!</definedName>
    <definedName name="Cd" localSheetId="2">[8]Options2!#REF!</definedName>
    <definedName name="Cd" localSheetId="3">[8]Options2!#REF!</definedName>
    <definedName name="Cd">[8]Options2!#REF!</definedName>
    <definedName name="Change" localSheetId="2">[5]VaR0!#REF!</definedName>
    <definedName name="Change" localSheetId="3">[5]VaR0!#REF!</definedName>
    <definedName name="Change">[5]VaR0!#REF!</definedName>
    <definedName name="change1" localSheetId="2">#REF!</definedName>
    <definedName name="change1" localSheetId="3">#REF!</definedName>
    <definedName name="change1">#REF!</definedName>
    <definedName name="change2" localSheetId="2">#REF!</definedName>
    <definedName name="change2" localSheetId="3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41">CubicSpline_YC!$AN$61</definedName>
    <definedName name="d_0" localSheetId="42">CubicSpline_YC_Optim!$AN$61</definedName>
    <definedName name="d_0" localSheetId="43">CubicSpline_YC_Optim_Penalized!$AN$61</definedName>
    <definedName name="d_0">#REF!</definedName>
    <definedName name="d_1" localSheetId="41">CubicSpline_YC!$AN$31</definedName>
    <definedName name="d_1" localSheetId="42">CubicSpline_YC_Optim!$AN$31</definedName>
    <definedName name="d_1" localSheetId="43">CubicSpline_YC_Optim_Penalized!$AN$31</definedName>
    <definedName name="d_1">#REF!</definedName>
    <definedName name="d_10" localSheetId="41">CubicSpline_YC!$AN$55</definedName>
    <definedName name="d_10" localSheetId="42">CubicSpline_YC_Optim!$AN$55</definedName>
    <definedName name="d_10" localSheetId="43">CubicSpline_YC_Optim_Penalized!$AN$55</definedName>
    <definedName name="d_10">#REF!</definedName>
    <definedName name="d_2" localSheetId="41">CubicSpline_YC!$AN$35</definedName>
    <definedName name="d_2" localSheetId="42">CubicSpline_YC_Optim!$AN$35</definedName>
    <definedName name="d_2" localSheetId="43">CubicSpline_YC_Optim_Penalized!$AN$35</definedName>
    <definedName name="d_2">#REF!</definedName>
    <definedName name="d_3" localSheetId="41">CubicSpline_YC!$AN$39</definedName>
    <definedName name="d_3" localSheetId="42">CubicSpline_YC_Optim!$AN$39</definedName>
    <definedName name="d_3" localSheetId="43">CubicSpline_YC_Optim_Penalized!$AN$39</definedName>
    <definedName name="d_3">#REF!</definedName>
    <definedName name="d_30" localSheetId="41">CubicSpline_YC!$AN$59</definedName>
    <definedName name="d_30" localSheetId="42">CubicSpline_YC_Optim!$AN$59</definedName>
    <definedName name="d_30" localSheetId="43">CubicSpline_YC_Optim_Penalized!$AN$59</definedName>
    <definedName name="d_30">#REF!</definedName>
    <definedName name="d_4" localSheetId="41">CubicSpline_YC!$AN$43</definedName>
    <definedName name="d_4" localSheetId="42">CubicSpline_YC_Optim!$AN$43</definedName>
    <definedName name="d_4" localSheetId="43">CubicSpline_YC_Optim_Penalized!$AN$43</definedName>
    <definedName name="d_4">#REF!</definedName>
    <definedName name="d_5" localSheetId="41">CubicSpline_YC!$AN$47</definedName>
    <definedName name="d_5" localSheetId="42">CubicSpline_YC_Optim!$AN$47</definedName>
    <definedName name="d_5" localSheetId="43">CubicSpline_YC_Optim_Penalized!$AN$47</definedName>
    <definedName name="d_5">#REF!</definedName>
    <definedName name="d_7" localSheetId="41">CubicSpline_YC!$AN$51</definedName>
    <definedName name="d_7" localSheetId="42">CubicSpline_YC_Optim!$AN$51</definedName>
    <definedName name="d_7" localSheetId="43">CubicSpline_YC_Optim_Penalized!$AN$51</definedName>
    <definedName name="d_7">#REF!</definedName>
    <definedName name="d1_" localSheetId="41">CubicSpline_YC!$T$31</definedName>
    <definedName name="d1_" localSheetId="42">CubicSpline_YC_Optim!$T$31</definedName>
    <definedName name="d1_" localSheetId="43">CubicSpline_YC_Optim_Penalized!$T$31</definedName>
    <definedName name="d1_">CubicSpline3!$T$28</definedName>
    <definedName name="d2_" localSheetId="41">CubicSpline_YC!$T$35</definedName>
    <definedName name="d2_" localSheetId="42">CubicSpline_YC_Optim!$T$35</definedName>
    <definedName name="d2_" localSheetId="43">CubicSpline_YC_Optim_Penalized!$T$35</definedName>
    <definedName name="d2_">CubicSpline3!$T$32</definedName>
    <definedName name="d3_" localSheetId="41">CubicSpline_YC!$T$39</definedName>
    <definedName name="d3_" localSheetId="42">CubicSpline_YC_Optim!$T$39</definedName>
    <definedName name="d3_" localSheetId="43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41">CubicSpline_YC!$F$65:$AK$96</definedName>
    <definedName name="dmat" localSheetId="42">CubicSpline_YC_Optim!$F$65:$AK$96</definedName>
    <definedName name="dmat" localSheetId="43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 localSheetId="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41">CubicSpline_YC!$C$100:$C$400</definedName>
    <definedName name="i" localSheetId="42">CubicSpline_YC_Optim!$C$100:$C$400</definedName>
    <definedName name="i" localSheetId="43">CubicSpline_YC_Optim_Penalized!$C$100:$C$400</definedName>
    <definedName name="i">CubicSpline3!$AA$8:$AA$38</definedName>
    <definedName name="i_1" localSheetId="43">CubicSpline_YC_Optim_Penalized!$B$100:$B$400</definedName>
    <definedName name="i_1">CubicSpline_YC_Optim!$B$100:$B$400</definedName>
    <definedName name="idx" localSheetId="2">#REF!</definedName>
    <definedName name="idx" localSheetId="3">#REF!</definedName>
    <definedName name="idx">#REF!</definedName>
    <definedName name="Inflator">[1]RSquareAdj!$C$10</definedName>
    <definedName name="k" localSheetId="2">[15]KNN_Vote!$AA$3</definedName>
    <definedName name="k" localSheetId="3">[15]KNN_Vote!$AA$3</definedName>
    <definedName name="k">#REF!</definedName>
    <definedName name="L">#REF!</definedName>
    <definedName name="label" localSheetId="41">CubicSpline_YC!$B$28:$B$59</definedName>
    <definedName name="label" localSheetId="42">CubicSpline_YC_Optim!$B$28:$B$59</definedName>
    <definedName name="label" localSheetId="43">CubicSpline_YC_Optim_Penalized!$B$28:$B$59</definedName>
    <definedName name="label" localSheetId="40">CubicSpline3!$B$25:$B$36</definedName>
    <definedName name="label">#REF!</definedName>
    <definedName name="LL">#REF!</definedName>
    <definedName name="LN_Sim" localSheetId="2">#REF!</definedName>
    <definedName name="LN_Sim" localSheetId="3">#REF!</definedName>
    <definedName name="LN_Sim">#REF!</definedName>
    <definedName name="loss" localSheetId="2">#REF!</definedName>
    <definedName name="loss" localSheetId="3">#REF!</definedName>
    <definedName name="loss">#REF!</definedName>
    <definedName name="loss_30" localSheetId="2">#REF!</definedName>
    <definedName name="loss_30" localSheetId="3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 localSheetId="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 localSheetId="3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 localSheetId="3">#REF!</definedName>
    <definedName name="Period">#REF!</definedName>
    <definedName name="peso_rate">[12]FX_Intro!$C$66</definedName>
    <definedName name="Pij" localSheetId="2">#REF!</definedName>
    <definedName name="Pij" localSheetId="3">#REF!</definedName>
    <definedName name="Pij">#REF!</definedName>
    <definedName name="pmt" localSheetId="2">#REF!</definedName>
    <definedName name="pmt" localSheetId="3">#REF!</definedName>
    <definedName name="pmt">#REF!</definedName>
    <definedName name="pmt_" localSheetId="2">#REF!</definedName>
    <definedName name="pmt_" localSheetId="3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 localSheetId="3">#REF!</definedName>
    <definedName name="price1">#REF!</definedName>
    <definedName name="price2" localSheetId="2">#REF!</definedName>
    <definedName name="price2" localSheetId="3">#REF!</definedName>
    <definedName name="price2">#REF!</definedName>
    <definedName name="price3" localSheetId="2">#REF!</definedName>
    <definedName name="price3" localSheetId="3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 localSheetId="3">#REF!</definedName>
    <definedName name="risk1">#REF!</definedName>
    <definedName name="risk2" localSheetId="2">#REF!</definedName>
    <definedName name="risk2" localSheetId="3">#REF!</definedName>
    <definedName name="risk2">#REF!</definedName>
    <definedName name="risk3" localSheetId="2">#REF!</definedName>
    <definedName name="risk3" localSheetId="3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 localSheetId="3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 localSheetId="3">#REF!</definedName>
    <definedName name="SE0">#REF!</definedName>
    <definedName name="SE1_" localSheetId="2">#REF!</definedName>
    <definedName name="SE1_" localSheetId="3">#REF!</definedName>
    <definedName name="SE1_">#REF!</definedName>
    <definedName name="SE2_" localSheetId="2">#REF!</definedName>
    <definedName name="SE2_" localSheetId="3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42" hidden="1">CubicSpline_YC_Optim!$AN$28:$AN$59</definedName>
    <definedName name="solver_adj" localSheetId="43" hidden="1">CubicSpline_YC_Optim_Penalized!$AN$28:$AN$59</definedName>
    <definedName name="solver_adj" localSheetId="16" hidden="1">Iris_Fit!$H$4:$H$8</definedName>
    <definedName name="solver_adj" localSheetId="17" hidden="1">Iris_Forecast_OOS!$H$4:$H$8</definedName>
    <definedName name="solver_cvg" localSheetId="42" hidden="1">0.0001</definedName>
    <definedName name="solver_cvg" localSheetId="43" hidden="1">0.0001</definedName>
    <definedName name="solver_cvg" localSheetId="16" hidden="1">0.0001</definedName>
    <definedName name="solver_cvg" localSheetId="17" hidden="1">0.0001</definedName>
    <definedName name="solver_drv" localSheetId="42" hidden="1">1</definedName>
    <definedName name="solver_drv" localSheetId="43" hidden="1">1</definedName>
    <definedName name="solver_drv" localSheetId="16" hidden="1">1</definedName>
    <definedName name="solver_drv" localSheetId="17" hidden="1">1</definedName>
    <definedName name="solver_eng" localSheetId="42" hidden="1">1</definedName>
    <definedName name="solver_eng" localSheetId="43" hidden="1">1</definedName>
    <definedName name="solver_eng" localSheetId="16" hidden="1">1</definedName>
    <definedName name="solver_eng" localSheetId="17" hidden="1">1</definedName>
    <definedName name="solver_itr" localSheetId="42" hidden="1">2147483647</definedName>
    <definedName name="solver_itr" localSheetId="43" hidden="1">2147483647</definedName>
    <definedName name="solver_itr" localSheetId="16" hidden="1">2147483647</definedName>
    <definedName name="solver_itr" localSheetId="17" hidden="1">2147483647</definedName>
    <definedName name="solver_lin" localSheetId="42" hidden="1">2</definedName>
    <definedName name="solver_lin" localSheetId="43" hidden="1">2</definedName>
    <definedName name="solver_lin" localSheetId="16" hidden="1">2</definedName>
    <definedName name="solver_lin" localSheetId="17" hidden="1">2</definedName>
    <definedName name="solver_mip" localSheetId="42" hidden="1">2147483647</definedName>
    <definedName name="solver_mip" localSheetId="43" hidden="1">2147483647</definedName>
    <definedName name="solver_mip" localSheetId="16" hidden="1">2147483647</definedName>
    <definedName name="solver_mip" localSheetId="17" hidden="1">2147483647</definedName>
    <definedName name="solver_mni" localSheetId="42" hidden="1">30</definedName>
    <definedName name="solver_mni" localSheetId="43" hidden="1">30</definedName>
    <definedName name="solver_mni" localSheetId="16" hidden="1">30</definedName>
    <definedName name="solver_mni" localSheetId="17" hidden="1">30</definedName>
    <definedName name="solver_mrt" localSheetId="42" hidden="1">0.075</definedName>
    <definedName name="solver_mrt" localSheetId="43" hidden="1">0.075</definedName>
    <definedName name="solver_mrt" localSheetId="16" hidden="1">0.075</definedName>
    <definedName name="solver_mrt" localSheetId="17" hidden="1">0.075</definedName>
    <definedName name="solver_msl" localSheetId="42" hidden="1">2</definedName>
    <definedName name="solver_msl" localSheetId="43" hidden="1">2</definedName>
    <definedName name="solver_msl" localSheetId="16" hidden="1">2</definedName>
    <definedName name="solver_msl" localSheetId="17" hidden="1">2</definedName>
    <definedName name="solver_neg" localSheetId="42" hidden="1">2</definedName>
    <definedName name="solver_neg" localSheetId="43" hidden="1">2</definedName>
    <definedName name="solver_neg" localSheetId="16" hidden="1">1</definedName>
    <definedName name="solver_neg" localSheetId="17" hidden="1">1</definedName>
    <definedName name="solver_nod" localSheetId="42" hidden="1">2147483647</definedName>
    <definedName name="solver_nod" localSheetId="43" hidden="1">2147483647</definedName>
    <definedName name="solver_nod" localSheetId="16" hidden="1">2147483647</definedName>
    <definedName name="solver_nod" localSheetId="17" hidden="1">2147483647</definedName>
    <definedName name="solver_num" localSheetId="42" hidden="1">0</definedName>
    <definedName name="solver_num" localSheetId="43" hidden="1">0</definedName>
    <definedName name="solver_num" localSheetId="16" hidden="1">0</definedName>
    <definedName name="solver_num" localSheetId="17" hidden="1">0</definedName>
    <definedName name="solver_opt" localSheetId="42" hidden="1">CubicSpline_YC_Optim!$O$101</definedName>
    <definedName name="solver_opt" localSheetId="43" hidden="1">CubicSpline_YC_Optim_Penalized!$AF$101</definedName>
    <definedName name="solver_opt" localSheetId="16" hidden="1">Iris_Fit!$K$4</definedName>
    <definedName name="solver_opt" localSheetId="17" hidden="1">Iris_Forecast_OOS!$K$4</definedName>
    <definedName name="solver_pre" localSheetId="42" hidden="1">0.000001</definedName>
    <definedName name="solver_pre" localSheetId="43" hidden="1">0.000001</definedName>
    <definedName name="solver_pre" localSheetId="16" hidden="1">0.000001</definedName>
    <definedName name="solver_pre" localSheetId="17" hidden="1">0.000001</definedName>
    <definedName name="solver_rbv" localSheetId="42" hidden="1">1</definedName>
    <definedName name="solver_rbv" localSheetId="43" hidden="1">1</definedName>
    <definedName name="solver_rbv" localSheetId="16" hidden="1">1</definedName>
    <definedName name="solver_rbv" localSheetId="17" hidden="1">1</definedName>
    <definedName name="solver_rlx" localSheetId="42" hidden="1">1</definedName>
    <definedName name="solver_rlx" localSheetId="43" hidden="1">1</definedName>
    <definedName name="solver_rlx" localSheetId="16" hidden="1">2</definedName>
    <definedName name="solver_rlx" localSheetId="17" hidden="1">2</definedName>
    <definedName name="solver_rsd" localSheetId="42" hidden="1">0</definedName>
    <definedName name="solver_rsd" localSheetId="43" hidden="1">0</definedName>
    <definedName name="solver_rsd" localSheetId="16" hidden="1">0</definedName>
    <definedName name="solver_rsd" localSheetId="17" hidden="1">0</definedName>
    <definedName name="solver_scl" localSheetId="42" hidden="1">2</definedName>
    <definedName name="solver_scl" localSheetId="43" hidden="1">2</definedName>
    <definedName name="solver_scl" localSheetId="16" hidden="1">1</definedName>
    <definedName name="solver_scl" localSheetId="17" hidden="1">1</definedName>
    <definedName name="solver_sho" localSheetId="42" hidden="1">2</definedName>
    <definedName name="solver_sho" localSheetId="43" hidden="1">2</definedName>
    <definedName name="solver_sho" localSheetId="16" hidden="1">2</definedName>
    <definedName name="solver_sho" localSheetId="17" hidden="1">2</definedName>
    <definedName name="solver_ssz" localSheetId="42" hidden="1">100</definedName>
    <definedName name="solver_ssz" localSheetId="43" hidden="1">100</definedName>
    <definedName name="solver_ssz" localSheetId="16" hidden="1">100</definedName>
    <definedName name="solver_ssz" localSheetId="17" hidden="1">100</definedName>
    <definedName name="solver_tim" localSheetId="42" hidden="1">2147483647</definedName>
    <definedName name="solver_tim" localSheetId="43" hidden="1">2147483647</definedName>
    <definedName name="solver_tim" localSheetId="16" hidden="1">2147483647</definedName>
    <definedName name="solver_tim" localSheetId="17" hidden="1">2147483647</definedName>
    <definedName name="solver_tol" localSheetId="42" hidden="1">0.01</definedName>
    <definedName name="solver_tol" localSheetId="43" hidden="1">0.01</definedName>
    <definedName name="solver_tol" localSheetId="16" hidden="1">0.01</definedName>
    <definedName name="solver_tol" localSheetId="17" hidden="1">0.01</definedName>
    <definedName name="solver_typ" localSheetId="42" hidden="1">2</definedName>
    <definedName name="solver_typ" localSheetId="43" hidden="1">2</definedName>
    <definedName name="solver_typ" localSheetId="16" hidden="1">1</definedName>
    <definedName name="solver_typ" localSheetId="17" hidden="1">1</definedName>
    <definedName name="solver_val" localSheetId="42" hidden="1">0</definedName>
    <definedName name="solver_val" localSheetId="43" hidden="1">0</definedName>
    <definedName name="solver_val" localSheetId="16" hidden="1">0</definedName>
    <definedName name="solver_val" localSheetId="17" hidden="1">0</definedName>
    <definedName name="solver_ver" localSheetId="42" hidden="1">2</definedName>
    <definedName name="solver_ver" localSheetId="43" hidden="1">2</definedName>
    <definedName name="solver_ver" localSheetId="16" hidden="1">2</definedName>
    <definedName name="solver_ver" localSheetId="17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 localSheetId="3">#REF!</definedName>
    <definedName name="stdev">#REF!</definedName>
    <definedName name="Sum">[13]CentralLimitTheorem!$C$7:$C$106</definedName>
    <definedName name="t" localSheetId="41">CubicSpline_YC!$D$100:$D$400</definedName>
    <definedName name="t" localSheetId="42">CubicSpline_YC_Optim!$D$100:$D$400</definedName>
    <definedName name="t" localSheetId="43">CubicSpline_YC_Optim_Penalized!$D$100:$D$400</definedName>
    <definedName name="t" localSheetId="2">#REF!</definedName>
    <definedName name="t" localSheetId="3">#REF!</definedName>
    <definedName name="t">CubicSpline3!$AB$8:$AB$38</definedName>
    <definedName name="t_">[4]CDS!$B$21:$B$25</definedName>
    <definedName name="table_asf">[19]ASF!$C$31:$D$34</definedName>
    <definedName name="time" localSheetId="41">CubicSpline_YC!$D$28:$D$59</definedName>
    <definedName name="time" localSheetId="42">CubicSpline_YC_Optim!$D$28:$D$59</definedName>
    <definedName name="time" localSheetId="43">CubicSpline_YC_Optim_Penalized!$D$28:$D$59</definedName>
    <definedName name="time" localSheetId="39">CubicSpline2!$D$25:$D$36</definedName>
    <definedName name="time" localSheetId="40">CubicSpline3!$D$25:$D$36</definedName>
    <definedName name="Time" localSheetId="2">#REF!</definedName>
    <definedName name="Time" localSheetId="3">#REF!</definedName>
    <definedName name="Time">#REF!</definedName>
    <definedName name="Time_" localSheetId="41">CubicSpline_YC!$F$37:$F$66</definedName>
    <definedName name="Time_" localSheetId="42">CubicSpline_YC_Optim!$F$37:$F$66</definedName>
    <definedName name="Time_" localSheetId="43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 localSheetId="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41">CubicSpline_YC!$C$28:$C$59</definedName>
    <definedName name="value" localSheetId="42">CubicSpline_YC_Optim!$C$28:$C$59</definedName>
    <definedName name="value" localSheetId="43">CubicSpline_YC_Optim_Penalized!$C$28:$C$59</definedName>
    <definedName name="value" localSheetId="40">CubicSpline3!$C$25:$C$36</definedName>
    <definedName name="Value">[11]VaR3!$D$50:$H$50</definedName>
    <definedName name="value_01">[17]Dur2!$I$12</definedName>
    <definedName name="value_lo" localSheetId="2">#REF!</definedName>
    <definedName name="value_lo" localSheetId="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 localSheetId="3">#REF!</definedName>
    <definedName name="y_draw">#REF!</definedName>
    <definedName name="ybar" localSheetId="2">#REF!</definedName>
    <definedName name="ybar" localSheetId="3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 localSheetId="3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96" i="155" l="1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H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Z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K95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H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H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H90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G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H93" i="153"/>
  <c r="G93" i="153"/>
  <c r="AK92" i="153"/>
  <c r="AJ92" i="153"/>
  <c r="AG92" i="153"/>
  <c r="AF92" i="153"/>
  <c r="AE92" i="153"/>
  <c r="AD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E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D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N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G56" i="153"/>
  <c r="F56" i="153"/>
  <c r="F93" i="153" s="1"/>
  <c r="C56" i="153"/>
  <c r="B56" i="153"/>
  <c r="AM55" i="153"/>
  <c r="AI55" i="153"/>
  <c r="AI92" i="153" s="1"/>
  <c r="AH55" i="153"/>
  <c r="AH92" i="153" s="1"/>
  <c r="AE55" i="153"/>
  <c r="AD55" i="153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T36" i="151"/>
  <c r="T25" i="151"/>
  <c r="T35" i="151"/>
  <c r="T27" i="151"/>
  <c r="T34" i="151"/>
  <c r="T26" i="151"/>
  <c r="T32" i="151"/>
  <c r="T31" i="151"/>
  <c r="T33" i="151"/>
  <c r="T29" i="151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0" i="151" l="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E297" i="155"/>
  <c r="E233" i="155"/>
  <c r="E177" i="155"/>
  <c r="E122" i="155"/>
  <c r="E117" i="155"/>
  <c r="E204" i="154"/>
  <c r="E314" i="154"/>
  <c r="E115" i="154"/>
  <c r="E214" i="154"/>
  <c r="E113" i="154"/>
  <c r="E236" i="155"/>
  <c r="E308" i="154"/>
  <c r="E111" i="154"/>
  <c r="E353" i="155"/>
  <c r="E298" i="155"/>
  <c r="E307" i="155"/>
  <c r="E167" i="155"/>
  <c r="E226" i="155"/>
  <c r="E260" i="154"/>
  <c r="E370" i="154"/>
  <c r="E172" i="154"/>
  <c r="E270" i="154"/>
  <c r="E335" i="154"/>
  <c r="E175" i="155"/>
  <c r="E116" i="154"/>
  <c r="E303" i="155"/>
  <c r="E300" i="155"/>
  <c r="E244" i="155"/>
  <c r="E146" i="155"/>
  <c r="E116" i="155"/>
  <c r="E221" i="155"/>
  <c r="E363" i="154"/>
  <c r="E173" i="154"/>
  <c r="E280" i="154"/>
  <c r="E365" i="154"/>
  <c r="E375" i="154"/>
  <c r="E199" i="155"/>
  <c r="E140" i="154"/>
  <c r="E193" i="155"/>
  <c r="E393" i="155"/>
  <c r="E343" i="155"/>
  <c r="E272" i="155"/>
  <c r="E202" i="155"/>
  <c r="E171" i="155"/>
  <c r="E190" i="155"/>
  <c r="E259" i="154"/>
  <c r="E377" i="154"/>
  <c r="E171" i="154"/>
  <c r="E261" i="154"/>
  <c r="E292" i="155"/>
  <c r="E372" i="154"/>
  <c r="E163" i="154"/>
  <c r="E363" i="155"/>
  <c r="E135" i="155"/>
  <c r="E219" i="154"/>
  <c r="E337" i="154"/>
  <c r="E142" i="155"/>
  <c r="E196" i="154"/>
  <c r="E149" i="155"/>
  <c r="E333" i="154"/>
  <c r="E164" i="154"/>
  <c r="E203" i="155"/>
  <c r="E330" i="154"/>
  <c r="E351" i="154"/>
  <c r="E230" i="154"/>
  <c r="E257" i="154"/>
  <c r="E101" i="154"/>
  <c r="E111" i="155"/>
  <c r="E264" i="154"/>
  <c r="E223" i="154"/>
  <c r="E142" i="154"/>
  <c r="E396" i="155"/>
  <c r="E105" i="154"/>
  <c r="E376" i="154"/>
  <c r="E338" i="155"/>
  <c r="E253" i="155"/>
  <c r="E268" i="155"/>
  <c r="E106" i="154"/>
  <c r="E108" i="154"/>
  <c r="E183" i="155"/>
  <c r="E235" i="154"/>
  <c r="E375" i="155"/>
  <c r="E229" i="154"/>
  <c r="E377" i="155"/>
  <c r="E376" i="155"/>
  <c r="E340" i="154"/>
  <c r="E135" i="154"/>
  <c r="E350" i="154"/>
  <c r="E336" i="155"/>
  <c r="E348" i="155"/>
  <c r="E300" i="154"/>
  <c r="E194" i="155"/>
  <c r="E203" i="154"/>
  <c r="E331" i="154"/>
  <c r="E151" i="154"/>
  <c r="E123" i="155"/>
  <c r="E295" i="155"/>
  <c r="E349" i="154"/>
  <c r="E138" i="155"/>
  <c r="E157" i="154"/>
  <c r="E276" i="155"/>
  <c r="E317" i="155"/>
  <c r="E386" i="154"/>
  <c r="E188" i="154"/>
  <c r="E392" i="155"/>
  <c r="E367" i="155"/>
  <c r="E236" i="154"/>
  <c r="E342" i="155"/>
  <c r="E256" i="154"/>
  <c r="E176" i="155"/>
  <c r="E292" i="154"/>
  <c r="E170" i="154"/>
  <c r="E209" i="154"/>
  <c r="E394" i="154"/>
  <c r="E322" i="155"/>
  <c r="E159" i="155"/>
  <c r="E328" i="155"/>
  <c r="E338" i="154"/>
  <c r="H150" i="155"/>
  <c r="E329" i="154"/>
  <c r="E373" i="155"/>
  <c r="E325" i="155"/>
  <c r="E266" i="155"/>
  <c r="E152" i="155"/>
  <c r="E352" i="155"/>
  <c r="E125" i="154"/>
  <c r="E204" i="155"/>
  <c r="E380" i="155"/>
  <c r="E384" i="155"/>
  <c r="E347" i="155"/>
  <c r="E189" i="155"/>
  <c r="E129" i="155"/>
  <c r="E149" i="154"/>
  <c r="E250" i="154"/>
  <c r="E360" i="154"/>
  <c r="E143" i="154"/>
  <c r="E391" i="154"/>
  <c r="E370" i="155"/>
  <c r="E355" i="154"/>
  <c r="E311" i="154"/>
  <c r="E289" i="155"/>
  <c r="E225" i="155"/>
  <c r="E168" i="155"/>
  <c r="E113" i="155"/>
  <c r="E108" i="155"/>
  <c r="E199" i="154"/>
  <c r="E306" i="154"/>
  <c r="E110" i="154"/>
  <c r="E206" i="154"/>
  <c r="E343" i="154"/>
  <c r="E104" i="155"/>
  <c r="E159" i="154"/>
  <c r="E201" i="155"/>
  <c r="E383" i="155"/>
  <c r="E371" i="155"/>
  <c r="E291" i="155"/>
  <c r="E211" i="155"/>
  <c r="E106" i="155"/>
  <c r="E299" i="154"/>
  <c r="E121" i="154"/>
  <c r="E216" i="154"/>
  <c r="E301" i="154"/>
  <c r="E178" i="154"/>
  <c r="E214" i="155"/>
  <c r="E185" i="154"/>
  <c r="E274" i="155"/>
  <c r="E385" i="155"/>
  <c r="E279" i="155"/>
  <c r="E215" i="155"/>
  <c r="E141" i="155"/>
  <c r="E374" i="155"/>
  <c r="E109" i="155"/>
  <c r="E198" i="154"/>
  <c r="E313" i="154"/>
  <c r="E114" i="154"/>
  <c r="E200" i="154"/>
  <c r="E389" i="155"/>
  <c r="E123" i="154"/>
  <c r="H200" i="154"/>
  <c r="E100" i="155"/>
  <c r="E364" i="154"/>
  <c r="E161" i="154"/>
  <c r="E273" i="154"/>
  <c r="E181" i="155"/>
  <c r="E320" i="154"/>
  <c r="E110" i="155"/>
  <c r="E264" i="155"/>
  <c r="E243" i="155"/>
  <c r="E246" i="155"/>
  <c r="E385" i="154"/>
  <c r="E319" i="154"/>
  <c r="E186" i="154"/>
  <c r="H170" i="154"/>
  <c r="E257" i="155"/>
  <c r="H170" i="155"/>
  <c r="H120" i="154"/>
  <c r="E269" i="155"/>
  <c r="E242" i="155"/>
  <c r="E287" i="155"/>
  <c r="E366" i="154"/>
  <c r="E210" i="154"/>
  <c r="E362" i="155"/>
  <c r="E150" i="155"/>
  <c r="E353" i="154"/>
  <c r="E237" i="154"/>
  <c r="E103" i="155"/>
  <c r="E147" i="155"/>
  <c r="E315" i="155"/>
  <c r="E114" i="155"/>
  <c r="E249" i="154"/>
  <c r="E137" i="154"/>
  <c r="E169" i="154"/>
  <c r="E119" i="155"/>
  <c r="E321" i="155"/>
  <c r="E132" i="154"/>
  <c r="E395" i="154"/>
  <c r="E131" i="155"/>
  <c r="E238" i="154"/>
  <c r="E216" i="155"/>
  <c r="E127" i="155"/>
  <c r="E258" i="155"/>
  <c r="E192" i="155"/>
  <c r="E284" i="154"/>
  <c r="E212" i="155"/>
  <c r="E187" i="155"/>
  <c r="E276" i="154"/>
  <c r="E286" i="154"/>
  <c r="E226" i="154"/>
  <c r="E250" i="155"/>
  <c r="E359" i="155"/>
  <c r="E294" i="154"/>
  <c r="E112" i="154"/>
  <c r="E312" i="154"/>
  <c r="E200" i="155"/>
  <c r="E287" i="154"/>
  <c r="E304" i="155"/>
  <c r="E332" i="155"/>
  <c r="E274" i="154"/>
  <c r="E358" i="154"/>
  <c r="E196" i="155"/>
  <c r="E249" i="155"/>
  <c r="E133" i="155"/>
  <c r="E148" i="154"/>
  <c r="E320" i="155"/>
  <c r="E231" i="154"/>
  <c r="E248" i="155"/>
  <c r="E233" i="154"/>
  <c r="E284" i="155"/>
  <c r="E210" i="155"/>
  <c r="E344" i="154"/>
  <c r="E360" i="155"/>
  <c r="E235" i="155"/>
  <c r="E240" i="154"/>
  <c r="E316" i="155"/>
  <c r="E270" i="155"/>
  <c r="E163" i="155"/>
  <c r="E144" i="155"/>
  <c r="E237" i="155"/>
  <c r="E379" i="154"/>
  <c r="E189" i="154"/>
  <c r="E296" i="154"/>
  <c r="E381" i="154"/>
  <c r="E194" i="154"/>
  <c r="E205" i="155"/>
  <c r="H110" i="154"/>
  <c r="E265" i="155"/>
  <c r="E372" i="155"/>
  <c r="E368" i="155"/>
  <c r="E254" i="155"/>
  <c r="E184" i="155"/>
  <c r="E121" i="155"/>
  <c r="E141" i="154"/>
  <c r="E242" i="154"/>
  <c r="E352" i="154"/>
  <c r="E138" i="154"/>
  <c r="E139" i="154"/>
  <c r="E153" i="155"/>
  <c r="E208" i="154"/>
  <c r="E239" i="155"/>
  <c r="E319" i="155"/>
  <c r="E255" i="155"/>
  <c r="E151" i="155"/>
  <c r="E145" i="154"/>
  <c r="E357" i="155"/>
  <c r="E104" i="154"/>
  <c r="E302" i="154"/>
  <c r="E205" i="154"/>
  <c r="E248" i="154"/>
  <c r="E378" i="155"/>
  <c r="E133" i="154"/>
  <c r="E356" i="154"/>
  <c r="E158" i="155"/>
  <c r="E201" i="154"/>
  <c r="E312" i="155"/>
  <c r="E180" i="154"/>
  <c r="E256" i="155"/>
  <c r="E334" i="154"/>
  <c r="E179" i="155"/>
  <c r="E400" i="154"/>
  <c r="E399" i="155"/>
  <c r="E195" i="155"/>
  <c r="E301" i="155"/>
  <c r="E227" i="155"/>
  <c r="E124" i="155"/>
  <c r="E315" i="154"/>
  <c r="E134" i="154"/>
  <c r="E232" i="154"/>
  <c r="E317" i="154"/>
  <c r="E303" i="154"/>
  <c r="E326" i="155"/>
  <c r="E168" i="154"/>
  <c r="E381" i="155"/>
  <c r="E308" i="155"/>
  <c r="E252" i="155"/>
  <c r="E155" i="155"/>
  <c r="E125" i="155"/>
  <c r="E229" i="155"/>
  <c r="E371" i="154"/>
  <c r="E181" i="154"/>
  <c r="E288" i="154"/>
  <c r="E373" i="154"/>
  <c r="E273" i="155"/>
  <c r="E309" i="155"/>
  <c r="E254" i="154"/>
  <c r="E398" i="155"/>
  <c r="E397" i="155"/>
  <c r="E386" i="155"/>
  <c r="E358" i="155"/>
  <c r="E173" i="155"/>
  <c r="E380" i="154"/>
  <c r="E174" i="154"/>
  <c r="E289" i="154"/>
  <c r="E390" i="154"/>
  <c r="E176" i="154"/>
  <c r="E288" i="155"/>
  <c r="E244" i="154"/>
  <c r="E215" i="154"/>
  <c r="E169" i="155"/>
  <c r="E369" i="155"/>
  <c r="E346" i="155"/>
  <c r="E234" i="155"/>
  <c r="E295" i="154"/>
  <c r="E346" i="154"/>
  <c r="E384" i="154"/>
  <c r="E153" i="154"/>
  <c r="H120" i="155"/>
  <c r="E238" i="155"/>
  <c r="E100" i="154"/>
  <c r="E266" i="154"/>
  <c r="E361" i="155"/>
  <c r="E378" i="154"/>
  <c r="E341" i="155"/>
  <c r="E124" i="154"/>
  <c r="E234" i="154"/>
  <c r="E260" i="155"/>
  <c r="E335" i="155"/>
  <c r="E267" i="155"/>
  <c r="H200" i="155"/>
  <c r="E161" i="155"/>
  <c r="E170" i="155"/>
  <c r="E251" i="154"/>
  <c r="E369" i="154"/>
  <c r="E166" i="154"/>
  <c r="E253" i="154"/>
  <c r="E327" i="154"/>
  <c r="E174" i="155"/>
  <c r="E217" i="154"/>
  <c r="E283" i="155"/>
  <c r="E391" i="155"/>
  <c r="E387" i="155"/>
  <c r="E296" i="155"/>
  <c r="E219" i="155"/>
  <c r="E115" i="155"/>
  <c r="E307" i="154"/>
  <c r="E129" i="154"/>
  <c r="E224" i="154"/>
  <c r="E309" i="154"/>
  <c r="E311" i="155"/>
  <c r="E145" i="155"/>
  <c r="E293" i="154"/>
  <c r="E224" i="155"/>
  <c r="E333" i="155"/>
  <c r="E261" i="155"/>
  <c r="E240" i="155"/>
  <c r="E344" i="155"/>
  <c r="E316" i="154"/>
  <c r="E117" i="154"/>
  <c r="E225" i="154"/>
  <c r="E326" i="154"/>
  <c r="E119" i="154"/>
  <c r="E355" i="155"/>
  <c r="E291" i="154"/>
  <c r="E329" i="155"/>
  <c r="E186" i="155"/>
  <c r="E305" i="155"/>
  <c r="E241" i="155"/>
  <c r="E185" i="155"/>
  <c r="E130" i="155"/>
  <c r="E126" i="155"/>
  <c r="E212" i="154"/>
  <c r="E322" i="154"/>
  <c r="E128" i="154"/>
  <c r="E222" i="154"/>
  <c r="E165" i="154"/>
  <c r="E137" i="155"/>
  <c r="E281" i="154"/>
  <c r="E228" i="155"/>
  <c r="E299" i="155"/>
  <c r="E175" i="154"/>
  <c r="E282" i="154"/>
  <c r="E278" i="155"/>
  <c r="E228" i="154"/>
  <c r="E107" i="154"/>
  <c r="E155" i="154"/>
  <c r="E285" i="154"/>
  <c r="E313" i="155"/>
  <c r="E139" i="155"/>
  <c r="E127" i="154"/>
  <c r="E247" i="154"/>
  <c r="E265" i="154"/>
  <c r="E187" i="154"/>
  <c r="E231" i="155"/>
  <c r="E211" i="154"/>
  <c r="E223" i="155"/>
  <c r="E150" i="154"/>
  <c r="E277" i="154"/>
  <c r="E162" i="154"/>
  <c r="E202" i="154"/>
  <c r="E269" i="154"/>
  <c r="E365" i="155"/>
  <c r="E220" i="155"/>
  <c r="E334" i="155"/>
  <c r="E262" i="154"/>
  <c r="E354" i="154"/>
  <c r="E394" i="155"/>
  <c r="E388" i="155"/>
  <c r="E379" i="155"/>
  <c r="E294" i="155"/>
  <c r="E154" i="154"/>
  <c r="E258" i="154"/>
  <c r="E156" i="154"/>
  <c r="E232" i="155"/>
  <c r="E336" i="154"/>
  <c r="E101" i="155"/>
  <c r="E218" i="154"/>
  <c r="E282" i="155"/>
  <c r="E221" i="154"/>
  <c r="E350" i="155"/>
  <c r="E351" i="155"/>
  <c r="E246" i="154"/>
  <c r="E134" i="155"/>
  <c r="E399" i="154"/>
  <c r="E118" i="155"/>
  <c r="E340" i="155"/>
  <c r="E359" i="154"/>
  <c r="E131" i="154"/>
  <c r="E341" i="154"/>
  <c r="E152" i="154"/>
  <c r="E278" i="154"/>
  <c r="E102" i="155"/>
  <c r="E290" i="154"/>
  <c r="E136" i="154"/>
  <c r="E263" i="154"/>
  <c r="E306" i="155"/>
  <c r="H140" i="154"/>
  <c r="E271" i="155"/>
  <c r="E207" i="155"/>
  <c r="E140" i="155"/>
  <c r="E323" i="155"/>
  <c r="E396" i="154"/>
  <c r="E190" i="154"/>
  <c r="E305" i="154"/>
  <c r="E109" i="154"/>
  <c r="E192" i="154"/>
  <c r="E239" i="154"/>
  <c r="E128" i="155"/>
  <c r="E272" i="154"/>
  <c r="E339" i="155"/>
  <c r="E327" i="155"/>
  <c r="E262" i="155"/>
  <c r="E191" i="155"/>
  <c r="E156" i="155"/>
  <c r="E165" i="155"/>
  <c r="E243" i="154"/>
  <c r="E361" i="154"/>
  <c r="E158" i="154"/>
  <c r="E245" i="154"/>
  <c r="E209" i="155"/>
  <c r="E183" i="154"/>
  <c r="E207" i="154"/>
  <c r="E345" i="155"/>
  <c r="E293" i="155"/>
  <c r="E302" i="155"/>
  <c r="E162" i="155"/>
  <c r="E222" i="155"/>
  <c r="E252" i="154"/>
  <c r="E362" i="154"/>
  <c r="E167" i="154"/>
  <c r="E271" i="154"/>
  <c r="E218" i="155"/>
  <c r="E132" i="155"/>
  <c r="E400" i="155"/>
  <c r="E136" i="155"/>
  <c r="E368" i="154"/>
  <c r="H150" i="154"/>
  <c r="E354" i="155"/>
  <c r="E118" i="154"/>
  <c r="E275" i="154"/>
  <c r="E188" i="155"/>
  <c r="E318" i="155"/>
  <c r="E177" i="154"/>
  <c r="H140" i="155"/>
  <c r="E280" i="155"/>
  <c r="E397" i="154"/>
  <c r="E366" i="155"/>
  <c r="E330" i="155"/>
  <c r="E230" i="155"/>
  <c r="E197" i="155"/>
  <c r="E122" i="154"/>
  <c r="E120" i="155"/>
  <c r="E337" i="155"/>
  <c r="E349" i="155"/>
  <c r="E310" i="155"/>
  <c r="E395" i="155"/>
  <c r="E105" i="155"/>
  <c r="E332" i="154"/>
  <c r="E130" i="154"/>
  <c r="E241" i="154"/>
  <c r="E342" i="154"/>
  <c r="H130" i="154"/>
  <c r="E356" i="155"/>
  <c r="E259" i="155"/>
  <c r="E318" i="154"/>
  <c r="E213" i="155"/>
  <c r="E263" i="155"/>
  <c r="E198" i="155"/>
  <c r="E390" i="155"/>
  <c r="E178" i="155"/>
  <c r="E388" i="154"/>
  <c r="E182" i="154"/>
  <c r="E297" i="154"/>
  <c r="E398" i="154"/>
  <c r="E184" i="154"/>
  <c r="E247" i="155"/>
  <c r="E227" i="154"/>
  <c r="E126" i="154"/>
  <c r="E281" i="155"/>
  <c r="E217" i="155"/>
  <c r="E160" i="155"/>
  <c r="H110" i="155"/>
  <c r="E331" i="155"/>
  <c r="E191" i="154"/>
  <c r="E298" i="154"/>
  <c r="E102" i="154"/>
  <c r="E193" i="154"/>
  <c r="E279" i="154"/>
  <c r="E286" i="155"/>
  <c r="E345" i="154"/>
  <c r="E290" i="155"/>
  <c r="E206" i="155"/>
  <c r="E324" i="155"/>
  <c r="E275" i="155"/>
  <c r="E172" i="155"/>
  <c r="E154" i="155"/>
  <c r="E245" i="155"/>
  <c r="E387" i="154"/>
  <c r="E197" i="154"/>
  <c r="E304" i="154"/>
  <c r="E389" i="154"/>
  <c r="E255" i="154"/>
  <c r="E107" i="155"/>
  <c r="E382" i="154"/>
  <c r="E143" i="155"/>
  <c r="E148" i="155"/>
  <c r="E347" i="154"/>
  <c r="E160" i="154"/>
  <c r="E208" i="155"/>
  <c r="E220" i="154"/>
  <c r="E179" i="154"/>
  <c r="E182" i="155"/>
  <c r="E268" i="154"/>
  <c r="E357" i="154"/>
  <c r="E324" i="154"/>
  <c r="E364" i="155"/>
  <c r="E157" i="155"/>
  <c r="H130" i="155"/>
  <c r="E323" i="154"/>
  <c r="E103" i="154"/>
  <c r="E213" i="154"/>
  <c r="E144" i="154"/>
  <c r="E367" i="154"/>
  <c r="E393" i="154"/>
  <c r="E339" i="154"/>
  <c r="E147" i="154"/>
  <c r="E120" i="154"/>
  <c r="E314" i="155"/>
  <c r="E166" i="155"/>
  <c r="E328" i="154"/>
  <c r="E283" i="154"/>
  <c r="E325" i="154"/>
  <c r="E251" i="155"/>
  <c r="E321" i="154"/>
  <c r="E164" i="155"/>
  <c r="E348" i="154"/>
  <c r="E383" i="154"/>
  <c r="E285" i="155"/>
  <c r="E392" i="154"/>
  <c r="E180" i="155"/>
  <c r="E310" i="154"/>
  <c r="E382" i="155"/>
  <c r="E374" i="154"/>
  <c r="E195" i="154"/>
  <c r="E112" i="155"/>
  <c r="E277" i="155"/>
  <c r="E146" i="154"/>
  <c r="E267" i="154"/>
  <c r="R277" i="155" l="1" a="1"/>
  <c r="R277" i="155" s="1"/>
  <c r="R112" i="155" a="1"/>
  <c r="R112" i="155" s="1"/>
  <c r="R382" i="155" a="1"/>
  <c r="R382" i="155" s="1"/>
  <c r="R180" i="155" a="1"/>
  <c r="R180" i="155" s="1"/>
  <c r="R285" i="155" a="1"/>
  <c r="R285" i="155" s="1"/>
  <c r="R164" i="155" a="1"/>
  <c r="R164" i="155" s="1"/>
  <c r="R251" i="155" a="1"/>
  <c r="R251" i="155" s="1"/>
  <c r="R166" i="155" a="1"/>
  <c r="R166" i="155" s="1"/>
  <c r="R314" i="155" a="1"/>
  <c r="R314" i="155" s="1"/>
  <c r="G120" i="154"/>
  <c r="I130" i="155"/>
  <c r="R157" i="155" a="1"/>
  <c r="R157" i="155" s="1"/>
  <c r="R364" i="155" a="1"/>
  <c r="R364" i="155" s="1"/>
  <c r="R182" i="155" a="1"/>
  <c r="R182" i="155" s="1"/>
  <c r="R208" i="155" a="1"/>
  <c r="R208" i="155" s="1"/>
  <c r="R148" i="155" a="1"/>
  <c r="R148" i="155" s="1"/>
  <c r="R143" i="155" a="1"/>
  <c r="R143" i="155" s="1"/>
  <c r="R107" i="155" a="1"/>
  <c r="R107" i="155" s="1"/>
  <c r="R245" i="155" a="1"/>
  <c r="R245" i="155" s="1"/>
  <c r="R154" i="155" a="1"/>
  <c r="R154" i="155" s="1"/>
  <c r="R172" i="155" a="1"/>
  <c r="R172" i="155" s="1"/>
  <c r="R275" i="155" a="1"/>
  <c r="R275" i="155" s="1"/>
  <c r="R324" i="155" a="1"/>
  <c r="R324" i="155" s="1"/>
  <c r="R206" i="155" a="1"/>
  <c r="R206" i="155" s="1"/>
  <c r="R290" i="155" a="1"/>
  <c r="R290" i="155" s="1"/>
  <c r="R286" i="155" a="1"/>
  <c r="R286" i="155" s="1"/>
  <c r="R331" i="155" a="1"/>
  <c r="R331" i="155" s="1"/>
  <c r="I110" i="155"/>
  <c r="R160" i="155" a="1"/>
  <c r="R160" i="155" s="1"/>
  <c r="R217" i="155" a="1"/>
  <c r="R217" i="155" s="1"/>
  <c r="R281" i="155" a="1"/>
  <c r="R281" i="155" s="1"/>
  <c r="R247" i="155" a="1"/>
  <c r="R247" i="155" s="1"/>
  <c r="R178" i="155" a="1"/>
  <c r="R178" i="155" s="1"/>
  <c r="R390" i="155" a="1"/>
  <c r="R390" i="155" s="1"/>
  <c r="R198" i="155" a="1"/>
  <c r="R198" i="155" s="1"/>
  <c r="R263" i="155" a="1"/>
  <c r="R263" i="155" s="1"/>
  <c r="R213" i="155" a="1"/>
  <c r="R213" i="155" s="1"/>
  <c r="R259" i="155" a="1"/>
  <c r="R259" i="155" s="1"/>
  <c r="R356" i="155" a="1"/>
  <c r="R356" i="155" s="1"/>
  <c r="I130" i="154"/>
  <c r="G130" i="154"/>
  <c r="R105" i="155" a="1"/>
  <c r="R105" i="155" s="1"/>
  <c r="R395" i="155" a="1"/>
  <c r="R395" i="155" s="1"/>
  <c r="R310" i="155" a="1"/>
  <c r="R310" i="155" s="1"/>
  <c r="R349" i="155" a="1"/>
  <c r="R349" i="155" s="1"/>
  <c r="R337" i="155" a="1"/>
  <c r="R337" i="155" s="1"/>
  <c r="G120" i="155"/>
  <c r="R120" i="155" a="1"/>
  <c r="R120" i="155" s="1"/>
  <c r="R197" i="155" a="1"/>
  <c r="R197" i="155" s="1"/>
  <c r="R230" i="155" a="1"/>
  <c r="R230" i="155" s="1"/>
  <c r="R330" i="155" a="1"/>
  <c r="R330" i="155" s="1"/>
  <c r="R366" i="155" a="1"/>
  <c r="R366" i="155" s="1"/>
  <c r="R280" i="155" a="1"/>
  <c r="R280" i="155" s="1"/>
  <c r="I140" i="155"/>
  <c r="R318" i="155" a="1"/>
  <c r="R318" i="155" s="1"/>
  <c r="R188" i="155" a="1"/>
  <c r="R188" i="155" s="1"/>
  <c r="R354" i="155" a="1"/>
  <c r="R354" i="155" s="1"/>
  <c r="I150" i="154"/>
  <c r="R136" i="155" a="1"/>
  <c r="R136" i="155" s="1"/>
  <c r="G400" i="155"/>
  <c r="R400" i="155" a="1"/>
  <c r="R400" i="155" s="1"/>
  <c r="R132" i="155" a="1"/>
  <c r="R132" i="155" s="1"/>
  <c r="R218" i="155" a="1"/>
  <c r="R218" i="155" s="1"/>
  <c r="R222" i="155" a="1"/>
  <c r="R222" i="155" s="1"/>
  <c r="R162" i="155" a="1"/>
  <c r="R162" i="155" s="1"/>
  <c r="R302" i="155" a="1"/>
  <c r="R302" i="155" s="1"/>
  <c r="R293" i="155" a="1"/>
  <c r="R293" i="155" s="1"/>
  <c r="R345" i="155" a="1"/>
  <c r="R345" i="155" s="1"/>
  <c r="R209" i="155" a="1"/>
  <c r="R209" i="155" s="1"/>
  <c r="R165" i="155" a="1"/>
  <c r="R165" i="155" s="1"/>
  <c r="R156" i="155" a="1"/>
  <c r="R156" i="155" s="1"/>
  <c r="R191" i="155" a="1"/>
  <c r="R191" i="155" s="1"/>
  <c r="R262" i="155" a="1"/>
  <c r="R262" i="155" s="1"/>
  <c r="R327" i="155" a="1"/>
  <c r="R327" i="155" s="1"/>
  <c r="R339" i="155" a="1"/>
  <c r="R339" i="155" s="1"/>
  <c r="R128" i="155" a="1"/>
  <c r="R128" i="155" s="1"/>
  <c r="R323" i="155" a="1"/>
  <c r="R323" i="155" s="1"/>
  <c r="R140" i="155" a="1"/>
  <c r="R140" i="155" s="1"/>
  <c r="G140" i="155"/>
  <c r="R207" i="155" a="1"/>
  <c r="R207" i="155" s="1"/>
  <c r="R271" i="155" a="1"/>
  <c r="R271" i="155" s="1"/>
  <c r="I140" i="154"/>
  <c r="R306" i="155" a="1"/>
  <c r="R306" i="155" s="1"/>
  <c r="R102" i="155" a="1"/>
  <c r="R102" i="155" s="1"/>
  <c r="R340" i="155" a="1"/>
  <c r="R340" i="155" s="1"/>
  <c r="S340" i="155" s="1"/>
  <c r="R118" i="155" a="1"/>
  <c r="R118" i="155" s="1"/>
  <c r="R134" i="155" a="1"/>
  <c r="R134" i="155" s="1"/>
  <c r="R351" i="155" a="1"/>
  <c r="R351" i="155" s="1"/>
  <c r="R350" i="155" a="1"/>
  <c r="R350" i="155" s="1"/>
  <c r="R282" i="155" a="1"/>
  <c r="R282" i="155" s="1"/>
  <c r="R101" i="155" a="1"/>
  <c r="R101" i="155" s="1"/>
  <c r="R232" i="155" a="1"/>
  <c r="R232" i="155" s="1"/>
  <c r="R294" i="155" a="1"/>
  <c r="R294" i="155" s="1"/>
  <c r="S294" i="155" s="1"/>
  <c r="R379" i="155" a="1"/>
  <c r="R379" i="155" s="1"/>
  <c r="R388" i="155" a="1"/>
  <c r="R388" i="155" s="1"/>
  <c r="R394" i="155" a="1"/>
  <c r="R394" i="155" s="1"/>
  <c r="R334" i="155" a="1"/>
  <c r="R334" i="155" s="1"/>
  <c r="R220" i="155" a="1"/>
  <c r="R220" i="155" s="1"/>
  <c r="R365" i="155" a="1"/>
  <c r="R365" i="155" s="1"/>
  <c r="G150" i="154"/>
  <c r="R223" i="155" a="1"/>
  <c r="R223" i="155" s="1"/>
  <c r="R231" i="155" a="1"/>
  <c r="R231" i="155" s="1"/>
  <c r="S231" i="155" s="1"/>
  <c r="R139" i="155" a="1"/>
  <c r="R139" i="155" s="1"/>
  <c r="R313" i="155" a="1"/>
  <c r="R313" i="155" s="1"/>
  <c r="R278" i="155" a="1"/>
  <c r="R278" i="155" s="1"/>
  <c r="R299" i="155" a="1"/>
  <c r="R299" i="155" s="1"/>
  <c r="R228" i="155" a="1"/>
  <c r="R228" i="155" s="1"/>
  <c r="R137" i="155" a="1"/>
  <c r="R137" i="155" s="1"/>
  <c r="S137" i="155" s="1"/>
  <c r="R126" i="155" a="1"/>
  <c r="R126" i="155" s="1"/>
  <c r="R130" i="155" a="1"/>
  <c r="R130" i="155" s="1"/>
  <c r="G130" i="155"/>
  <c r="R185" i="155" a="1"/>
  <c r="R185" i="155" s="1"/>
  <c r="R241" i="155" a="1"/>
  <c r="R241" i="155" s="1"/>
  <c r="R305" i="155" a="1"/>
  <c r="R305" i="155" s="1"/>
  <c r="R186" i="155" a="1"/>
  <c r="R186" i="155" s="1"/>
  <c r="R329" i="155" a="1"/>
  <c r="R329" i="155" s="1"/>
  <c r="S330" i="155" s="1"/>
  <c r="R355" i="155" a="1"/>
  <c r="R355" i="155" s="1"/>
  <c r="S355" i="155" s="1"/>
  <c r="R344" i="155" a="1"/>
  <c r="R344" i="155" s="1"/>
  <c r="R240" i="155" a="1"/>
  <c r="R240" i="155" s="1"/>
  <c r="R261" i="155" a="1"/>
  <c r="R261" i="155" s="1"/>
  <c r="S262" i="155" s="1"/>
  <c r="R333" i="155" a="1"/>
  <c r="R333" i="155" s="1"/>
  <c r="R224" i="155" a="1"/>
  <c r="R224" i="155" s="1"/>
  <c r="R145" i="155" a="1"/>
  <c r="R145" i="155" s="1"/>
  <c r="R311" i="155" a="1"/>
  <c r="R311" i="155" s="1"/>
  <c r="R115" i="155" a="1"/>
  <c r="R115" i="155" s="1"/>
  <c r="R219" i="155" a="1"/>
  <c r="R219" i="155" s="1"/>
  <c r="S220" i="155" s="1"/>
  <c r="R296" i="155" a="1"/>
  <c r="R296" i="155" s="1"/>
  <c r="R387" i="155" a="1"/>
  <c r="R387" i="155" s="1"/>
  <c r="R391" i="155" a="1"/>
  <c r="R391" i="155" s="1"/>
  <c r="R283" i="155" a="1"/>
  <c r="R283" i="155" s="1"/>
  <c r="S283" i="155" s="1"/>
  <c r="R174" i="155" a="1"/>
  <c r="R174" i="155" s="1"/>
  <c r="R170" i="155" a="1"/>
  <c r="R170" i="155" s="1"/>
  <c r="G170" i="155"/>
  <c r="R161" i="155" a="1"/>
  <c r="R161" i="155" s="1"/>
  <c r="S162" i="155" s="1"/>
  <c r="I200" i="155"/>
  <c r="R267" i="155" a="1"/>
  <c r="R267" i="155" s="1"/>
  <c r="R335" i="155" a="1"/>
  <c r="R335" i="155" s="1"/>
  <c r="R260" i="155" a="1"/>
  <c r="R260" i="155" s="1"/>
  <c r="R341" i="155" a="1"/>
  <c r="R341" i="155" s="1"/>
  <c r="R361" i="155" a="1"/>
  <c r="R361" i="155" s="1"/>
  <c r="G100" i="154"/>
  <c r="R238" i="155" a="1"/>
  <c r="R238" i="155" s="1"/>
  <c r="I120" i="155"/>
  <c r="R234" i="155" a="1"/>
  <c r="R234" i="155" s="1"/>
  <c r="R346" i="155" a="1"/>
  <c r="R346" i="155" s="1"/>
  <c r="R369" i="155" a="1"/>
  <c r="R369" i="155" s="1"/>
  <c r="R169" i="155" a="1"/>
  <c r="R169" i="155" s="1"/>
  <c r="R288" i="155" a="1"/>
  <c r="R288" i="155" s="1"/>
  <c r="R173" i="155" a="1"/>
  <c r="R173" i="155" s="1"/>
  <c r="R358" i="155" a="1"/>
  <c r="R358" i="155" s="1"/>
  <c r="R386" i="155" a="1"/>
  <c r="R386" i="155" s="1"/>
  <c r="R397" i="155" a="1"/>
  <c r="R397" i="155" s="1"/>
  <c r="R398" i="155" a="1"/>
  <c r="R398" i="155" s="1"/>
  <c r="R309" i="155" a="1"/>
  <c r="R309" i="155" s="1"/>
  <c r="R273" i="155" a="1"/>
  <c r="R273" i="155" s="1"/>
  <c r="R229" i="155" a="1"/>
  <c r="R229" i="155" s="1"/>
  <c r="R125" i="155" a="1"/>
  <c r="R125" i="155" s="1"/>
  <c r="R155" i="155" a="1"/>
  <c r="R155" i="155" s="1"/>
  <c r="R252" i="155" a="1"/>
  <c r="R252" i="155" s="1"/>
  <c r="R308" i="155" a="1"/>
  <c r="R308" i="155" s="1"/>
  <c r="S309" i="155" s="1"/>
  <c r="R381" i="155" a="1"/>
  <c r="R381" i="155" s="1"/>
  <c r="R326" i="155" a="1"/>
  <c r="R326" i="155" s="1"/>
  <c r="R124" i="155" a="1"/>
  <c r="R124" i="155" s="1"/>
  <c r="R227" i="155" a="1"/>
  <c r="R227" i="155" s="1"/>
  <c r="R301" i="155" a="1"/>
  <c r="R301" i="155" s="1"/>
  <c r="S302" i="155" s="1"/>
  <c r="R195" i="155" a="1"/>
  <c r="R195" i="155" s="1"/>
  <c r="R399" i="155" a="1"/>
  <c r="R399" i="155" s="1"/>
  <c r="S399" i="155" s="1"/>
  <c r="G400" i="154"/>
  <c r="R179" i="155" a="1"/>
  <c r="R179" i="155" s="1"/>
  <c r="R256" i="155" a="1"/>
  <c r="R256" i="155" s="1"/>
  <c r="R312" i="155" a="1"/>
  <c r="R312" i="155" s="1"/>
  <c r="R158" i="155" a="1"/>
  <c r="R158" i="155" s="1"/>
  <c r="S158" i="155" s="1"/>
  <c r="R378" i="155" a="1"/>
  <c r="R378" i="155" s="1"/>
  <c r="R357" i="155" a="1"/>
  <c r="R357" i="155" s="1"/>
  <c r="R151" i="155" a="1"/>
  <c r="R151" i="155" s="1"/>
  <c r="R255" i="155" a="1"/>
  <c r="R255" i="155" s="1"/>
  <c r="S256" i="155" s="1"/>
  <c r="R319" i="155" a="1"/>
  <c r="R319" i="155" s="1"/>
  <c r="R239" i="155" a="1"/>
  <c r="R239" i="155" s="1"/>
  <c r="R153" i="155" a="1"/>
  <c r="R153" i="155" s="1"/>
  <c r="R121" i="155" a="1"/>
  <c r="R121" i="155" s="1"/>
  <c r="R184" i="155" a="1"/>
  <c r="R184" i="155" s="1"/>
  <c r="R254" i="155" a="1"/>
  <c r="R254" i="155" s="1"/>
  <c r="R368" i="155" a="1"/>
  <c r="R368" i="155" s="1"/>
  <c r="S369" i="155" s="1"/>
  <c r="R372" i="155" a="1"/>
  <c r="R372" i="155" s="1"/>
  <c r="R265" i="155" a="1"/>
  <c r="R265" i="155" s="1"/>
  <c r="I110" i="154"/>
  <c r="R205" i="155" a="1"/>
  <c r="R205" i="155" s="1"/>
  <c r="R237" i="155" a="1"/>
  <c r="R237" i="155" s="1"/>
  <c r="R144" i="155" a="1"/>
  <c r="R144" i="155" s="1"/>
  <c r="S144" i="155" s="1"/>
  <c r="R163" i="155" a="1"/>
  <c r="R163" i="155" s="1"/>
  <c r="S163" i="155" s="1"/>
  <c r="R270" i="155" a="1"/>
  <c r="R270" i="155" s="1"/>
  <c r="R316" i="155" a="1"/>
  <c r="R316" i="155" s="1"/>
  <c r="R235" i="155" a="1"/>
  <c r="R235" i="155" s="1"/>
  <c r="R360" i="155" a="1"/>
  <c r="R360" i="155" s="1"/>
  <c r="R210" i="155" a="1"/>
  <c r="R210" i="155" s="1"/>
  <c r="R284" i="155" a="1"/>
  <c r="R284" i="155" s="1"/>
  <c r="R248" i="155" a="1"/>
  <c r="R248" i="155" s="1"/>
  <c r="R320" i="155" a="1"/>
  <c r="R320" i="155" s="1"/>
  <c r="S320" i="155" s="1"/>
  <c r="R133" i="155" a="1"/>
  <c r="R133" i="155" s="1"/>
  <c r="R249" i="155" a="1"/>
  <c r="R249" i="155" s="1"/>
  <c r="R196" i="155" a="1"/>
  <c r="R196" i="155" s="1"/>
  <c r="R332" i="155" a="1"/>
  <c r="R332" i="155" s="1"/>
  <c r="R304" i="155" a="1"/>
  <c r="R304" i="155" s="1"/>
  <c r="G200" i="155"/>
  <c r="R200" i="155" a="1"/>
  <c r="R200" i="155" s="1"/>
  <c r="R359" i="155" a="1"/>
  <c r="R359" i="155" s="1"/>
  <c r="R250" i="155" a="1"/>
  <c r="R250" i="155" s="1"/>
  <c r="R187" i="155" a="1"/>
  <c r="R187" i="155" s="1"/>
  <c r="S187" i="155" s="1"/>
  <c r="R212" i="155" a="1"/>
  <c r="R212" i="155" s="1"/>
  <c r="R192" i="155" a="1"/>
  <c r="R192" i="155" s="1"/>
  <c r="R258" i="155" a="1"/>
  <c r="R258" i="155" s="1"/>
  <c r="R127" i="155" a="1"/>
  <c r="R127" i="155" s="1"/>
  <c r="R216" i="155" a="1"/>
  <c r="R216" i="155" s="1"/>
  <c r="R131" i="155" a="1"/>
  <c r="R131" i="155" s="1"/>
  <c r="S131" i="155" s="1"/>
  <c r="R321" i="155" a="1"/>
  <c r="R321" i="155" s="1"/>
  <c r="R119" i="155" a="1"/>
  <c r="R119" i="155" s="1"/>
  <c r="R114" i="155" a="1"/>
  <c r="R114" i="155" s="1"/>
  <c r="R315" i="155" a="1"/>
  <c r="R315" i="155" s="1"/>
  <c r="S315" i="155" s="1"/>
  <c r="R147" i="155" a="1"/>
  <c r="R147" i="155" s="1"/>
  <c r="R103" i="155" a="1"/>
  <c r="R103" i="155" s="1"/>
  <c r="R150" i="155" a="1"/>
  <c r="R150" i="155" s="1"/>
  <c r="G150" i="155"/>
  <c r="R362" i="155" a="1"/>
  <c r="R362" i="155" s="1"/>
  <c r="R287" i="155" a="1"/>
  <c r="R287" i="155" s="1"/>
  <c r="S287" i="155" s="1"/>
  <c r="R242" i="155" a="1"/>
  <c r="R242" i="155" s="1"/>
  <c r="R269" i="155" a="1"/>
  <c r="R269" i="155" s="1"/>
  <c r="I120" i="154"/>
  <c r="I170" i="155"/>
  <c r="R257" i="155" a="1"/>
  <c r="R257" i="155" s="1"/>
  <c r="S257" i="155" s="1"/>
  <c r="I170" i="154"/>
  <c r="R246" i="155" a="1"/>
  <c r="R246" i="155" s="1"/>
  <c r="R243" i="155" a="1"/>
  <c r="R243" i="155" s="1"/>
  <c r="S243" i="155" s="1"/>
  <c r="R264" i="155" a="1"/>
  <c r="R264" i="155" s="1"/>
  <c r="R110" i="155" a="1"/>
  <c r="R110" i="155" s="1"/>
  <c r="G110" i="155"/>
  <c r="R181" i="155" a="1"/>
  <c r="R181" i="155" s="1"/>
  <c r="G100" i="155"/>
  <c r="R100" i="155" a="1"/>
  <c r="R100" i="155" s="1"/>
  <c r="I200" i="154"/>
  <c r="R389" i="155" a="1"/>
  <c r="R389" i="155" s="1"/>
  <c r="G200" i="154"/>
  <c r="R109" i="155" a="1"/>
  <c r="R109" i="155" s="1"/>
  <c r="R374" i="155" a="1"/>
  <c r="R374" i="155" s="1"/>
  <c r="R141" i="155" a="1"/>
  <c r="R141" i="155" s="1"/>
  <c r="R215" i="155" a="1"/>
  <c r="R215" i="155" s="1"/>
  <c r="R279" i="155" a="1"/>
  <c r="R279" i="155" s="1"/>
  <c r="S279" i="155" s="1"/>
  <c r="R385" i="155" a="1"/>
  <c r="R385" i="155" s="1"/>
  <c r="R274" i="155" a="1"/>
  <c r="R274" i="155" s="1"/>
  <c r="S274" i="155" s="1"/>
  <c r="R214" i="155" a="1"/>
  <c r="R214" i="155" s="1"/>
  <c r="R106" i="155" a="1"/>
  <c r="R106" i="155" s="1"/>
  <c r="R211" i="155" a="1"/>
  <c r="R211" i="155" s="1"/>
  <c r="S211" i="155" s="1"/>
  <c r="R291" i="155" a="1"/>
  <c r="R291" i="155" s="1"/>
  <c r="S291" i="155" s="1"/>
  <c r="R371" i="155" a="1"/>
  <c r="R371" i="155" s="1"/>
  <c r="R383" i="155" a="1"/>
  <c r="R383" i="155" s="1"/>
  <c r="S383" i="155" s="1"/>
  <c r="R201" i="155" a="1"/>
  <c r="R201" i="155" s="1"/>
  <c r="R104" i="155" a="1"/>
  <c r="R104" i="155" s="1"/>
  <c r="G110" i="154"/>
  <c r="R108" i="155" a="1"/>
  <c r="R108" i="155" s="1"/>
  <c r="R113" i="155" a="1"/>
  <c r="R113" i="155" s="1"/>
  <c r="S114" i="155" s="1"/>
  <c r="R168" i="155" a="1"/>
  <c r="R168" i="155" s="1"/>
  <c r="R225" i="155" a="1"/>
  <c r="R225" i="155" s="1"/>
  <c r="S225" i="155" s="1"/>
  <c r="R289" i="155" a="1"/>
  <c r="R289" i="155" s="1"/>
  <c r="R370" i="155" a="1"/>
  <c r="R370" i="155" s="1"/>
  <c r="S370" i="155" s="1"/>
  <c r="R129" i="155" a="1"/>
  <c r="R129" i="155" s="1"/>
  <c r="R189" i="155" a="1"/>
  <c r="R189" i="155" s="1"/>
  <c r="R347" i="155" a="1"/>
  <c r="R347" i="155" s="1"/>
  <c r="S347" i="155" s="1"/>
  <c r="R384" i="155" a="1"/>
  <c r="R384" i="155" s="1"/>
  <c r="R380" i="155" a="1"/>
  <c r="R380" i="155" s="1"/>
  <c r="R204" i="155" a="1"/>
  <c r="R204" i="155" s="1"/>
  <c r="S205" i="155" s="1"/>
  <c r="R352" i="155" a="1"/>
  <c r="R352" i="155" s="1"/>
  <c r="R152" i="155" a="1"/>
  <c r="R152" i="155" s="1"/>
  <c r="S153" i="155" s="1"/>
  <c r="R266" i="155" a="1"/>
  <c r="R266" i="155" s="1"/>
  <c r="S266" i="155" s="1"/>
  <c r="R325" i="155" a="1"/>
  <c r="R325" i="155" s="1"/>
  <c r="R373" i="155" a="1"/>
  <c r="R373" i="155" s="1"/>
  <c r="I150" i="155"/>
  <c r="R328" i="155" a="1"/>
  <c r="R328" i="155" s="1"/>
  <c r="S328" i="155" s="1"/>
  <c r="R159" i="155" a="1"/>
  <c r="R159" i="155" s="1"/>
  <c r="R322" i="155" a="1"/>
  <c r="R322" i="155" s="1"/>
  <c r="G170" i="154"/>
  <c r="R176" i="155" a="1"/>
  <c r="R176" i="155" s="1"/>
  <c r="R342" i="155" a="1"/>
  <c r="R342" i="155" s="1"/>
  <c r="R367" i="155" a="1"/>
  <c r="R367" i="155" s="1"/>
  <c r="R392" i="155" a="1"/>
  <c r="R392" i="155" s="1"/>
  <c r="S392" i="155" s="1"/>
  <c r="R317" i="155" a="1"/>
  <c r="R317" i="155" s="1"/>
  <c r="R276" i="155" a="1"/>
  <c r="R276" i="155" s="1"/>
  <c r="R138" i="155" a="1"/>
  <c r="R138" i="155" s="1"/>
  <c r="R295" i="155" a="1"/>
  <c r="R295" i="155" s="1"/>
  <c r="R123" i="155" a="1"/>
  <c r="R123" i="155" s="1"/>
  <c r="R194" i="155" a="1"/>
  <c r="R194" i="155" s="1"/>
  <c r="R348" i="155" a="1"/>
  <c r="R348" i="155" s="1"/>
  <c r="S348" i="155" s="1"/>
  <c r="T348" i="155" s="1"/>
  <c r="R336" i="155" a="1"/>
  <c r="R336" i="155" s="1"/>
  <c r="R376" i="155" a="1"/>
  <c r="R376" i="155" s="1"/>
  <c r="R377" i="155" a="1"/>
  <c r="R377" i="155" s="1"/>
  <c r="R375" i="155" a="1"/>
  <c r="R375" i="155" s="1"/>
  <c r="R183" i="155" a="1"/>
  <c r="R183" i="155" s="1"/>
  <c r="R268" i="155" a="1"/>
  <c r="R268" i="155" s="1"/>
  <c r="S268" i="155" s="1"/>
  <c r="R253" i="155" a="1"/>
  <c r="R253" i="155" s="1"/>
  <c r="R338" i="155" a="1"/>
  <c r="R338" i="155" s="1"/>
  <c r="R396" i="155" a="1"/>
  <c r="R396" i="155" s="1"/>
  <c r="S396" i="155" s="1"/>
  <c r="R111" i="155" a="1"/>
  <c r="R111" i="155" s="1"/>
  <c r="S112" i="155" s="1"/>
  <c r="R203" i="155" a="1"/>
  <c r="R203" i="155" s="1"/>
  <c r="R149" i="155" a="1"/>
  <c r="R149" i="155" s="1"/>
  <c r="R142" i="155" a="1"/>
  <c r="R142" i="155" s="1"/>
  <c r="R135" i="155" a="1"/>
  <c r="R135" i="155" s="1"/>
  <c r="S136" i="155" s="1"/>
  <c r="R363" i="155" a="1"/>
  <c r="R363" i="155" s="1"/>
  <c r="R292" i="155" a="1"/>
  <c r="R292" i="155" s="1"/>
  <c r="R190" i="155" a="1"/>
  <c r="R190" i="155" s="1"/>
  <c r="S190" i="155" s="1"/>
  <c r="R171" i="155" a="1"/>
  <c r="R171" i="155" s="1"/>
  <c r="R202" i="155" a="1"/>
  <c r="R202" i="155" s="1"/>
  <c r="R272" i="155" a="1"/>
  <c r="R272" i="155" s="1"/>
  <c r="S272" i="155" s="1"/>
  <c r="R343" i="155" a="1"/>
  <c r="R343" i="155" s="1"/>
  <c r="S343" i="155" s="1"/>
  <c r="R393" i="155" a="1"/>
  <c r="R393" i="155" s="1"/>
  <c r="R193" i="155" a="1"/>
  <c r="R193" i="155" s="1"/>
  <c r="G140" i="154"/>
  <c r="R199" i="155" a="1"/>
  <c r="R199" i="155" s="1"/>
  <c r="S199" i="155" s="1"/>
  <c r="R221" i="155" a="1"/>
  <c r="R221" i="155" s="1"/>
  <c r="S221" i="155" s="1"/>
  <c r="R116" i="155" a="1"/>
  <c r="R116" i="155" s="1"/>
  <c r="R146" i="155" a="1"/>
  <c r="R146" i="155" s="1"/>
  <c r="R244" i="155" a="1"/>
  <c r="R244" i="155" s="1"/>
  <c r="R300" i="155" a="1"/>
  <c r="R300" i="155" s="1"/>
  <c r="S300" i="155" s="1"/>
  <c r="R303" i="155" a="1"/>
  <c r="R303" i="155" s="1"/>
  <c r="R175" i="155" a="1"/>
  <c r="R175" i="155" s="1"/>
  <c r="R226" i="155" a="1"/>
  <c r="R226" i="155" s="1"/>
  <c r="R167" i="155" a="1"/>
  <c r="R167" i="155" s="1"/>
  <c r="R307" i="155" a="1"/>
  <c r="R307" i="155" s="1"/>
  <c r="R298" i="155" a="1"/>
  <c r="R298" i="155" s="1"/>
  <c r="S299" i="155" s="1"/>
  <c r="R353" i="155" a="1"/>
  <c r="R353" i="155" s="1"/>
  <c r="R236" i="155" a="1"/>
  <c r="R236" i="155" s="1"/>
  <c r="R117" i="155" a="1"/>
  <c r="R117" i="155" s="1"/>
  <c r="R122" i="155" a="1"/>
  <c r="R122" i="155" s="1"/>
  <c r="R177" i="155" a="1"/>
  <c r="R177" i="155" s="1"/>
  <c r="S178" i="155" s="1"/>
  <c r="R233" i="155" a="1"/>
  <c r="R233" i="155" s="1"/>
  <c r="R297" i="155" a="1"/>
  <c r="R297" i="155" s="1"/>
  <c r="S108" i="155"/>
  <c r="S242" i="155"/>
  <c r="S333" i="155"/>
  <c r="S334" i="155"/>
  <c r="S303" i="155"/>
  <c r="S278" i="155"/>
  <c r="S327" i="155"/>
  <c r="S106" i="155"/>
  <c r="S293" i="155"/>
  <c r="S194" i="155"/>
  <c r="S335" i="155"/>
  <c r="S265" i="155"/>
  <c r="T25" i="152" a="1"/>
  <c r="T25" i="152" s="1"/>
  <c r="T35" i="152"/>
  <c r="T27" i="152"/>
  <c r="T29" i="152"/>
  <c r="T34" i="152"/>
  <c r="T26" i="152"/>
  <c r="T32" i="152"/>
  <c r="T33" i="152"/>
  <c r="T31" i="152"/>
  <c r="T30" i="152"/>
  <c r="T36" i="152"/>
  <c r="T28" i="152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AC20" i="152"/>
  <c r="AC12" i="152"/>
  <c r="AC35" i="152"/>
  <c r="AC33" i="152"/>
  <c r="AC18" i="152"/>
  <c r="AC26" i="152"/>
  <c r="AC23" i="152"/>
  <c r="AC31" i="152"/>
  <c r="AC14" i="152"/>
  <c r="AC24" i="152"/>
  <c r="AC28" i="152"/>
  <c r="AC19" i="152"/>
  <c r="AC32" i="152"/>
  <c r="AC30" i="152"/>
  <c r="AC15" i="152"/>
  <c r="AC21" i="152"/>
  <c r="AC9" i="152"/>
  <c r="AC38" i="152"/>
  <c r="AC36" i="152"/>
  <c r="AC29" i="152"/>
  <c r="AC34" i="152"/>
  <c r="AC37" i="152"/>
  <c r="AC22" i="152"/>
  <c r="AC27" i="152"/>
  <c r="AC8" i="152"/>
  <c r="AC17" i="152"/>
  <c r="AC16" i="152"/>
  <c r="AC11" i="152"/>
  <c r="AC25" i="152"/>
  <c r="AC13" i="152"/>
  <c r="AC10" i="152"/>
  <c r="S331" i="155" l="1"/>
  <c r="S110" i="155"/>
  <c r="S107" i="155"/>
  <c r="T107" i="155" s="1"/>
  <c r="S212" i="155"/>
  <c r="S332" i="155"/>
  <c r="T332" i="155" s="1"/>
  <c r="S171" i="155"/>
  <c r="S351" i="155"/>
  <c r="S215" i="155"/>
  <c r="S147" i="155"/>
  <c r="S103" i="155"/>
  <c r="S359" i="155"/>
  <c r="S198" i="155"/>
  <c r="T199" i="155" s="1"/>
  <c r="S339" i="155"/>
  <c r="T340" i="155" s="1"/>
  <c r="S382" i="155"/>
  <c r="T383" i="155" s="1"/>
  <c r="S193" i="155"/>
  <c r="T194" i="155" s="1"/>
  <c r="S117" i="155"/>
  <c r="S229" i="155"/>
  <c r="S102" i="155"/>
  <c r="S366" i="155"/>
  <c r="S207" i="155"/>
  <c r="S353" i="155"/>
  <c r="S142" i="155"/>
  <c r="S183" i="155"/>
  <c r="S295" i="155"/>
  <c r="T295" i="155" s="1"/>
  <c r="S201" i="155"/>
  <c r="S385" i="155"/>
  <c r="S362" i="155"/>
  <c r="S321" i="155"/>
  <c r="T321" i="155" s="1"/>
  <c r="S133" i="155"/>
  <c r="S270" i="155"/>
  <c r="S253" i="155"/>
  <c r="S240" i="155"/>
  <c r="S157" i="155"/>
  <c r="T158" i="155" s="1"/>
  <c r="S181" i="155"/>
  <c r="S233" i="155"/>
  <c r="S138" i="155"/>
  <c r="T138" i="155" s="1"/>
  <c r="S173" i="155"/>
  <c r="S186" i="155"/>
  <c r="T187" i="155" s="1"/>
  <c r="T370" i="155"/>
  <c r="S189" i="155"/>
  <c r="T190" i="155" s="1"/>
  <c r="S206" i="155"/>
  <c r="T206" i="155" s="1"/>
  <c r="S218" i="155"/>
  <c r="S167" i="155"/>
  <c r="S325" i="155"/>
  <c r="S377" i="155"/>
  <c r="S159" i="155"/>
  <c r="T159" i="155" s="1"/>
  <c r="S200" i="155"/>
  <c r="T200" i="155" s="1"/>
  <c r="S125" i="155"/>
  <c r="S115" i="155"/>
  <c r="T115" i="155" s="1"/>
  <c r="S349" i="155"/>
  <c r="T349" i="155" s="1"/>
  <c r="S213" i="155"/>
  <c r="S364" i="155"/>
  <c r="S285" i="155"/>
  <c r="S151" i="155"/>
  <c r="S281" i="155"/>
  <c r="S254" i="155"/>
  <c r="S195" i="155"/>
  <c r="T195" i="155" s="1"/>
  <c r="S155" i="155"/>
  <c r="S239" i="155"/>
  <c r="S379" i="155"/>
  <c r="S338" i="155"/>
  <c r="S259" i="155"/>
  <c r="S247" i="155"/>
  <c r="S164" i="155"/>
  <c r="T164" i="155" s="1"/>
  <c r="S317" i="155"/>
  <c r="S127" i="155"/>
  <c r="S122" i="155"/>
  <c r="S227" i="155"/>
  <c r="S361" i="155"/>
  <c r="S170" i="155"/>
  <c r="T171" i="155" s="1"/>
  <c r="S312" i="155"/>
  <c r="S346" i="155"/>
  <c r="T347" i="155" s="1"/>
  <c r="S367" i="155"/>
  <c r="S310" i="155"/>
  <c r="T310" i="155" s="1"/>
  <c r="S263" i="155"/>
  <c r="T263" i="155" s="1"/>
  <c r="S180" i="155"/>
  <c r="S149" i="155"/>
  <c r="S223" i="155"/>
  <c r="S260" i="155"/>
  <c r="S311" i="155"/>
  <c r="S292" i="155"/>
  <c r="T293" i="155" s="1"/>
  <c r="T137" i="155"/>
  <c r="S123" i="155"/>
  <c r="S176" i="155"/>
  <c r="S104" i="155"/>
  <c r="S373" i="155"/>
  <c r="S397" i="155"/>
  <c r="T397" i="155" s="1"/>
  <c r="S235" i="155"/>
  <c r="S394" i="155"/>
  <c r="S191" i="155"/>
  <c r="T191" i="155" s="1"/>
  <c r="S188" i="155"/>
  <c r="T188" i="155" s="1"/>
  <c r="S209" i="155"/>
  <c r="S357" i="155"/>
  <c r="S165" i="155"/>
  <c r="S282" i="155"/>
  <c r="T282" i="155" s="1"/>
  <c r="S324" i="155"/>
  <c r="S304" i="155"/>
  <c r="T304" i="155" s="1"/>
  <c r="S145" i="155"/>
  <c r="T145" i="155" s="1"/>
  <c r="S101" i="155"/>
  <c r="S306" i="155"/>
  <c r="S203" i="155"/>
  <c r="S228" i="155"/>
  <c r="S174" i="155"/>
  <c r="S139" i="155"/>
  <c r="S244" i="155"/>
  <c r="T244" i="155" s="1"/>
  <c r="S389" i="155"/>
  <c r="S156" i="155"/>
  <c r="S318" i="155"/>
  <c r="S208" i="155"/>
  <c r="S217" i="155"/>
  <c r="S276" i="155"/>
  <c r="S182" i="155"/>
  <c r="K101" i="154"/>
  <c r="S297" i="155"/>
  <c r="S202" i="155"/>
  <c r="S204" i="155"/>
  <c r="T205" i="155" s="1"/>
  <c r="K101" i="155"/>
  <c r="S216" i="155"/>
  <c r="S248" i="155"/>
  <c r="S185" i="155"/>
  <c r="S301" i="155"/>
  <c r="T302" i="155" s="1"/>
  <c r="S126" i="155"/>
  <c r="S400" i="155"/>
  <c r="T400" i="155" s="1"/>
  <c r="S160" i="155"/>
  <c r="S172" i="155"/>
  <c r="T173" i="155" s="1"/>
  <c r="S365" i="155"/>
  <c r="M101" i="155"/>
  <c r="S154" i="155"/>
  <c r="T154" i="155" s="1"/>
  <c r="S296" i="155"/>
  <c r="M101" i="154"/>
  <c r="S124" i="155"/>
  <c r="S121" i="155"/>
  <c r="S329" i="155"/>
  <c r="T330" i="155" s="1"/>
  <c r="S129" i="155"/>
  <c r="S238" i="155"/>
  <c r="S250" i="155"/>
  <c r="S395" i="155"/>
  <c r="T396" i="155" s="1"/>
  <c r="S352" i="155"/>
  <c r="S372" i="155"/>
  <c r="S358" i="155"/>
  <c r="T359" i="155" s="1"/>
  <c r="S130" i="155"/>
  <c r="T131" i="155" s="1"/>
  <c r="S308" i="155"/>
  <c r="T309" i="155" s="1"/>
  <c r="S237" i="155"/>
  <c r="S232" i="155"/>
  <c r="T232" i="155" s="1"/>
  <c r="S264" i="155"/>
  <c r="S261" i="155"/>
  <c r="T262" i="155" s="1"/>
  <c r="S313" i="155"/>
  <c r="S175" i="155"/>
  <c r="S374" i="155"/>
  <c r="S386" i="155"/>
  <c r="S322" i="155"/>
  <c r="S380" i="155"/>
  <c r="S177" i="155"/>
  <c r="T178" i="155" s="1"/>
  <c r="S381" i="155"/>
  <c r="S275" i="155"/>
  <c r="S398" i="155"/>
  <c r="S391" i="155"/>
  <c r="T392" i="155" s="1"/>
  <c r="S371" i="155"/>
  <c r="T371" i="155" s="1"/>
  <c r="S143" i="155"/>
  <c r="T144" i="155" s="1"/>
  <c r="S384" i="155"/>
  <c r="S298" i="155"/>
  <c r="T299" i="155" s="1"/>
  <c r="S150" i="155"/>
  <c r="S378" i="155"/>
  <c r="S152" i="155"/>
  <c r="T153" i="155" s="1"/>
  <c r="S252" i="155"/>
  <c r="S184" i="155"/>
  <c r="S341" i="155"/>
  <c r="T341" i="155" s="1"/>
  <c r="S234" i="155"/>
  <c r="S222" i="155"/>
  <c r="T279" i="155"/>
  <c r="S241" i="155"/>
  <c r="T242" i="155" s="1"/>
  <c r="S128" i="155"/>
  <c r="S214" i="155"/>
  <c r="S393" i="155"/>
  <c r="T393" i="155" s="1"/>
  <c r="S269" i="155"/>
  <c r="S316" i="155"/>
  <c r="T316" i="155" s="1"/>
  <c r="S267" i="155"/>
  <c r="T268" i="155" s="1"/>
  <c r="S387" i="155"/>
  <c r="S192" i="155"/>
  <c r="S120" i="155"/>
  <c r="S148" i="155"/>
  <c r="S134" i="155"/>
  <c r="S356" i="155"/>
  <c r="T356" i="155" s="1"/>
  <c r="S251" i="155"/>
  <c r="S376" i="155"/>
  <c r="S375" i="155"/>
  <c r="S344" i="155"/>
  <c r="T344" i="155" s="1"/>
  <c r="S140" i="155"/>
  <c r="S323" i="155"/>
  <c r="S161" i="155"/>
  <c r="T162" i="155" s="1"/>
  <c r="S245" i="155"/>
  <c r="S289" i="155"/>
  <c r="S288" i="155"/>
  <c r="T288" i="155" s="1"/>
  <c r="S219" i="155"/>
  <c r="S111" i="155"/>
  <c r="T111" i="155" s="1"/>
  <c r="S166" i="155"/>
  <c r="S249" i="155"/>
  <c r="S246" i="155"/>
  <c r="S388" i="155"/>
  <c r="S226" i="155"/>
  <c r="S258" i="155"/>
  <c r="S210" i="155"/>
  <c r="S273" i="155"/>
  <c r="T273" i="155" s="1"/>
  <c r="S169" i="155"/>
  <c r="S342" i="155"/>
  <c r="T343" i="155" s="1"/>
  <c r="S307" i="155"/>
  <c r="S132" i="155"/>
  <c r="S368" i="155"/>
  <c r="S141" i="155"/>
  <c r="S255" i="155"/>
  <c r="S280" i="155"/>
  <c r="T280" i="155" s="1"/>
  <c r="S345" i="155"/>
  <c r="S354" i="155"/>
  <c r="S271" i="155"/>
  <c r="S116" i="155"/>
  <c r="S350" i="155"/>
  <c r="S109" i="155"/>
  <c r="T109" i="155" s="1"/>
  <c r="S360" i="155"/>
  <c r="S326" i="155"/>
  <c r="T327" i="155" s="1"/>
  <c r="S284" i="155"/>
  <c r="S224" i="155"/>
  <c r="T225" i="155" s="1"/>
  <c r="S305" i="155"/>
  <c r="S105" i="155"/>
  <c r="T106" i="155" s="1"/>
  <c r="S390" i="155"/>
  <c r="S286" i="155"/>
  <c r="T287" i="155" s="1"/>
  <c r="S113" i="155"/>
  <c r="T114" i="155" s="1"/>
  <c r="S119" i="155"/>
  <c r="S118" i="155"/>
  <c r="S319" i="155"/>
  <c r="T320" i="155" s="1"/>
  <c r="S168" i="155"/>
  <c r="S337" i="155"/>
  <c r="S146" i="155"/>
  <c r="S230" i="155"/>
  <c r="S135" i="155"/>
  <c r="S363" i="155"/>
  <c r="S196" i="155"/>
  <c r="S236" i="155"/>
  <c r="S336" i="155"/>
  <c r="T336" i="155" s="1"/>
  <c r="S197" i="155"/>
  <c r="S179" i="155"/>
  <c r="T179" i="155" s="1"/>
  <c r="S290" i="155"/>
  <c r="T291" i="155" s="1"/>
  <c r="S314" i="155"/>
  <c r="S277" i="155"/>
  <c r="T212" i="155"/>
  <c r="T163" i="155"/>
  <c r="T334" i="155"/>
  <c r="T243" i="155"/>
  <c r="T328" i="155"/>
  <c r="T303" i="155"/>
  <c r="T331" i="155"/>
  <c r="T221" i="155"/>
  <c r="T294" i="155"/>
  <c r="T266" i="155"/>
  <c r="T300" i="155"/>
  <c r="T257" i="155"/>
  <c r="T335" i="155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T108" i="155" l="1"/>
  <c r="T184" i="155"/>
  <c r="T213" i="155"/>
  <c r="T333" i="155"/>
  <c r="T216" i="155"/>
  <c r="T147" i="155"/>
  <c r="T148" i="155"/>
  <c r="T103" i="155"/>
  <c r="T104" i="155"/>
  <c r="T339" i="155"/>
  <c r="T271" i="155"/>
  <c r="T230" i="155"/>
  <c r="T202" i="155"/>
  <c r="T102" i="155"/>
  <c r="T118" i="155"/>
  <c r="T193" i="155"/>
  <c r="T181" i="155"/>
  <c r="T350" i="155"/>
  <c r="T385" i="155"/>
  <c r="T134" i="155"/>
  <c r="T229" i="155"/>
  <c r="T366" i="155"/>
  <c r="T133" i="155"/>
  <c r="T208" i="155"/>
  <c r="T142" i="155"/>
  <c r="T246" i="155"/>
  <c r="T270" i="155"/>
  <c r="T186" i="155"/>
  <c r="T254" i="155"/>
  <c r="T174" i="155"/>
  <c r="T354" i="155"/>
  <c r="T240" i="155"/>
  <c r="T353" i="155"/>
  <c r="T296" i="155"/>
  <c r="T367" i="155"/>
  <c r="T201" i="155"/>
  <c r="T322" i="155"/>
  <c r="T182" i="155"/>
  <c r="T168" i="155"/>
  <c r="T386" i="155"/>
  <c r="T139" i="155"/>
  <c r="T362" i="155"/>
  <c r="T248" i="155"/>
  <c r="T312" i="155"/>
  <c r="T207" i="155"/>
  <c r="T219" i="155"/>
  <c r="T261" i="155"/>
  <c r="T125" i="155"/>
  <c r="T365" i="155"/>
  <c r="T156" i="155"/>
  <c r="T218" i="155"/>
  <c r="T259" i="155"/>
  <c r="T223" i="155"/>
  <c r="T380" i="155"/>
  <c r="T373" i="155"/>
  <c r="T358" i="155"/>
  <c r="T214" i="155"/>
  <c r="T325" i="155"/>
  <c r="T165" i="155"/>
  <c r="T364" i="155"/>
  <c r="T314" i="155"/>
  <c r="T285" i="155"/>
  <c r="T167" i="155"/>
  <c r="T121" i="155"/>
  <c r="T128" i="155"/>
  <c r="T260" i="155"/>
  <c r="T150" i="155"/>
  <c r="T276" i="155"/>
  <c r="T313" i="155"/>
  <c r="T329" i="155"/>
  <c r="T116" i="155"/>
  <c r="T277" i="155"/>
  <c r="T126" i="155"/>
  <c r="T122" i="155"/>
  <c r="T283" i="155"/>
  <c r="T247" i="155"/>
  <c r="T196" i="155"/>
  <c r="T166" i="155"/>
  <c r="T255" i="155"/>
  <c r="T123" i="155"/>
  <c r="T269" i="155"/>
  <c r="T250" i="155"/>
  <c r="T389" i="155"/>
  <c r="T157" i="155"/>
  <c r="T210" i="155"/>
  <c r="T361" i="155"/>
  <c r="T357" i="155"/>
  <c r="T368" i="155"/>
  <c r="T298" i="155"/>
  <c r="T305" i="155"/>
  <c r="T317" i="155"/>
  <c r="T237" i="155"/>
  <c r="T391" i="155"/>
  <c r="T140" i="155"/>
  <c r="T129" i="155"/>
  <c r="T224" i="155"/>
  <c r="T395" i="155"/>
  <c r="T127" i="155"/>
  <c r="T227" i="155"/>
  <c r="T384" i="155"/>
  <c r="T245" i="155"/>
  <c r="T228" i="155"/>
  <c r="T146" i="155"/>
  <c r="T292" i="155"/>
  <c r="O101" i="155"/>
  <c r="O103" i="155" s="1"/>
  <c r="T203" i="155"/>
  <c r="T155" i="155"/>
  <c r="T249" i="155"/>
  <c r="T311" i="155"/>
  <c r="T264" i="155"/>
  <c r="T161" i="155"/>
  <c r="T204" i="155"/>
  <c r="T189" i="155"/>
  <c r="O101" i="154"/>
  <c r="T318" i="155"/>
  <c r="T209" i="155"/>
  <c r="T135" i="155"/>
  <c r="T265" i="155"/>
  <c r="T233" i="155"/>
  <c r="T381" i="155"/>
  <c r="T297" i="155"/>
  <c r="T394" i="155"/>
  <c r="T387" i="155"/>
  <c r="T185" i="155"/>
  <c r="T160" i="155"/>
  <c r="T352" i="155"/>
  <c r="T284" i="155"/>
  <c r="T176" i="155"/>
  <c r="T143" i="155"/>
  <c r="T274" i="155"/>
  <c r="T278" i="155"/>
  <c r="T124" i="155"/>
  <c r="T177" i="155"/>
  <c r="T337" i="155"/>
  <c r="T355" i="155"/>
  <c r="T369" i="155"/>
  <c r="T326" i="155"/>
  <c r="T382" i="155"/>
  <c r="T151" i="155"/>
  <c r="T301" i="155"/>
  <c r="T215" i="155"/>
  <c r="T235" i="155"/>
  <c r="T374" i="155"/>
  <c r="T238" i="155"/>
  <c r="T211" i="155"/>
  <c r="T113" i="155"/>
  <c r="T324" i="155"/>
  <c r="T398" i="155"/>
  <c r="T172" i="155"/>
  <c r="T112" i="155"/>
  <c r="T234" i="155"/>
  <c r="T183" i="155"/>
  <c r="T375" i="155"/>
  <c r="T308" i="155"/>
  <c r="T130" i="155"/>
  <c r="T251" i="155"/>
  <c r="T323" i="155"/>
  <c r="T217" i="155"/>
  <c r="T152" i="155"/>
  <c r="T319" i="155"/>
  <c r="T117" i="155"/>
  <c r="T399" i="155"/>
  <c r="T105" i="155"/>
  <c r="T239" i="155"/>
  <c r="T315" i="155"/>
  <c r="T256" i="155"/>
  <c r="T281" i="155"/>
  <c r="T175" i="155"/>
  <c r="T192" i="155"/>
  <c r="T231" i="155"/>
  <c r="T197" i="155"/>
  <c r="T390" i="155"/>
  <c r="T275" i="155"/>
  <c r="T363" i="155"/>
  <c r="T272" i="155"/>
  <c r="T136" i="155"/>
  <c r="T180" i="155"/>
  <c r="T345" i="155"/>
  <c r="T306" i="155"/>
  <c r="T252" i="155"/>
  <c r="T286" i="155"/>
  <c r="T289" i="155"/>
  <c r="T307" i="155"/>
  <c r="T110" i="155"/>
  <c r="T258" i="155"/>
  <c r="T198" i="155"/>
  <c r="T378" i="155"/>
  <c r="T379" i="155"/>
  <c r="T338" i="155"/>
  <c r="T253" i="155"/>
  <c r="T222" i="155"/>
  <c r="T376" i="155"/>
  <c r="T226" i="155"/>
  <c r="T119" i="155"/>
  <c r="T388" i="155"/>
  <c r="T220" i="155"/>
  <c r="T132" i="155"/>
  <c r="T241" i="155"/>
  <c r="T267" i="155"/>
  <c r="T169" i="155"/>
  <c r="T170" i="155"/>
  <c r="T360" i="155"/>
  <c r="T342" i="155"/>
  <c r="T346" i="155"/>
  <c r="T351" i="155"/>
  <c r="T372" i="155"/>
  <c r="T290" i="155"/>
  <c r="T236" i="155"/>
  <c r="T141" i="155"/>
  <c r="T149" i="155"/>
  <c r="T120" i="155"/>
  <c r="T377" i="155"/>
  <c r="AN28" i="153" a="1"/>
  <c r="X101" i="155" l="1"/>
  <c r="AA101" i="155" s="1"/>
  <c r="AN57" i="153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84" i="153"/>
  <c r="E368" i="153"/>
  <c r="E331" i="153"/>
  <c r="E181" i="153"/>
  <c r="E160" i="153"/>
  <c r="E235" i="153"/>
  <c r="E386" i="153"/>
  <c r="E253" i="153"/>
  <c r="E166" i="153"/>
  <c r="E396" i="153"/>
  <c r="E380" i="153"/>
  <c r="E339" i="153"/>
  <c r="E190" i="153"/>
  <c r="E248" i="153"/>
  <c r="E122" i="153"/>
  <c r="E123" i="153"/>
  <c r="E315" i="153"/>
  <c r="E239" i="153"/>
  <c r="E226" i="153"/>
  <c r="E340" i="153"/>
  <c r="E176" i="153"/>
  <c r="E280" i="153"/>
  <c r="E342" i="153"/>
  <c r="E148" i="153"/>
  <c r="E382" i="153"/>
  <c r="E197" i="153"/>
  <c r="E236" i="153"/>
  <c r="E397" i="153"/>
  <c r="E203" i="153"/>
  <c r="E219" i="153"/>
  <c r="E250" i="153"/>
  <c r="E282" i="153"/>
  <c r="E387" i="153"/>
  <c r="E200" i="153"/>
  <c r="E208" i="153"/>
  <c r="E276" i="153"/>
  <c r="E361" i="153"/>
  <c r="E249" i="153"/>
  <c r="E350" i="153"/>
  <c r="E182" i="153"/>
  <c r="E195" i="153"/>
  <c r="E223" i="153"/>
  <c r="E299" i="153"/>
  <c r="E349" i="153"/>
  <c r="E326" i="153"/>
  <c r="E149" i="153"/>
  <c r="E193" i="153"/>
  <c r="E107" i="153"/>
  <c r="E240" i="153"/>
  <c r="E138" i="153"/>
  <c r="E243" i="153"/>
  <c r="E353" i="153"/>
  <c r="E393" i="153"/>
  <c r="E103" i="153"/>
  <c r="E131" i="153"/>
  <c r="E188" i="153"/>
  <c r="E322" i="153"/>
  <c r="E136" i="153"/>
  <c r="E152" i="153"/>
  <c r="E155" i="153"/>
  <c r="E359" i="153"/>
  <c r="E183" i="153"/>
  <c r="E212" i="153"/>
  <c r="E398" i="153"/>
  <c r="E129" i="153"/>
  <c r="E277" i="153"/>
  <c r="E161" i="153"/>
  <c r="E268" i="153"/>
  <c r="E292" i="153"/>
  <c r="E259" i="153"/>
  <c r="E325" i="153"/>
  <c r="E395" i="153"/>
  <c r="E177" i="153"/>
  <c r="E128" i="153"/>
  <c r="E285" i="153"/>
  <c r="E244" i="153"/>
  <c r="E391" i="153"/>
  <c r="E126" i="153"/>
  <c r="E269" i="153"/>
  <c r="E357" i="153"/>
  <c r="E201" i="153"/>
  <c r="E185" i="153"/>
  <c r="E290" i="153"/>
  <c r="E383" i="153"/>
  <c r="E311" i="153"/>
  <c r="E369" i="153"/>
  <c r="E320" i="153"/>
  <c r="E304" i="153"/>
  <c r="E283" i="153"/>
  <c r="E180" i="153"/>
  <c r="E316" i="153"/>
  <c r="E388" i="153"/>
  <c r="E312" i="153"/>
  <c r="E305" i="153"/>
  <c r="E104" i="153"/>
  <c r="E192" i="153"/>
  <c r="E227" i="153"/>
  <c r="E278" i="153"/>
  <c r="E191" i="153"/>
  <c r="E333" i="153"/>
  <c r="E245" i="153"/>
  <c r="E158" i="153"/>
  <c r="E225" i="153"/>
  <c r="E140" i="153"/>
  <c r="E338" i="153"/>
  <c r="E187" i="153"/>
  <c r="E329" i="153"/>
  <c r="E306" i="153"/>
  <c r="E209" i="153"/>
  <c r="E210" i="153"/>
  <c r="E270" i="153"/>
  <c r="E377" i="153"/>
  <c r="E153" i="153"/>
  <c r="E130" i="153"/>
  <c r="E356" i="153"/>
  <c r="E346" i="153"/>
  <c r="E274" i="153"/>
  <c r="E360" i="153"/>
  <c r="E309" i="153"/>
  <c r="E228" i="153"/>
  <c r="E145" i="153"/>
  <c r="E351" i="153"/>
  <c r="E114" i="153"/>
  <c r="E251" i="153"/>
  <c r="E289" i="153"/>
  <c r="E394" i="153"/>
  <c r="E124" i="153"/>
  <c r="E328" i="153"/>
  <c r="E125" i="153"/>
  <c r="E198" i="153"/>
  <c r="E238" i="153"/>
  <c r="E224" i="153"/>
  <c r="E101" i="153"/>
  <c r="E343" i="153"/>
  <c r="E254" i="153"/>
  <c r="E257" i="153"/>
  <c r="E167" i="153"/>
  <c r="E141" i="153"/>
  <c r="E264" i="153"/>
  <c r="E381" i="153"/>
  <c r="E233" i="153"/>
  <c r="E102" i="153"/>
  <c r="E354" i="153"/>
  <c r="E263" i="153"/>
  <c r="E265" i="153"/>
  <c r="E159" i="153"/>
  <c r="E252" i="153"/>
  <c r="E301" i="153"/>
  <c r="E314" i="153"/>
  <c r="E163" i="153"/>
  <c r="E204" i="153"/>
  <c r="E390" i="153"/>
  <c r="E347" i="153"/>
  <c r="E199" i="153"/>
  <c r="E370" i="153"/>
  <c r="E293" i="153"/>
  <c r="E336" i="153"/>
  <c r="E169" i="153"/>
  <c r="E220" i="153"/>
  <c r="E106" i="153"/>
  <c r="E112" i="153"/>
  <c r="E364" i="153"/>
  <c r="E100" i="153"/>
  <c r="E214" i="153"/>
  <c r="E327" i="153"/>
  <c r="E313" i="153"/>
  <c r="E150" i="153"/>
  <c r="E281" i="153"/>
  <c r="E321" i="153"/>
  <c r="E151" i="153"/>
  <c r="E105" i="153"/>
  <c r="E400" i="153"/>
  <c r="E399" i="153"/>
  <c r="E295" i="153"/>
  <c r="E229" i="153"/>
  <c r="E206" i="153"/>
  <c r="E261" i="153"/>
  <c r="E120" i="153"/>
  <c r="E266" i="153"/>
  <c r="E121" i="153"/>
  <c r="E365" i="153"/>
  <c r="E345" i="153"/>
  <c r="E218" i="153"/>
  <c r="E330" i="153"/>
  <c r="E132" i="153"/>
  <c r="E173" i="153"/>
  <c r="E355" i="153"/>
  <c r="E337" i="153"/>
  <c r="E307" i="153"/>
  <c r="E108" i="153"/>
  <c r="E298" i="153"/>
  <c r="E194" i="153"/>
  <c r="E373" i="153"/>
  <c r="E372" i="153"/>
  <c r="E392" i="153"/>
  <c r="E109" i="153"/>
  <c r="E334" i="153"/>
  <c r="E144" i="153"/>
  <c r="E175" i="153"/>
  <c r="E110" i="153"/>
  <c r="E142" i="153"/>
  <c r="E256" i="153"/>
  <c r="E344" i="153"/>
  <c r="E113" i="153"/>
  <c r="E378" i="153"/>
  <c r="E234" i="153"/>
  <c r="E202" i="153"/>
  <c r="E389" i="153"/>
  <c r="E111" i="153"/>
  <c r="E288" i="153"/>
  <c r="E341" i="153"/>
  <c r="E367" i="153"/>
  <c r="E237" i="153"/>
  <c r="E117" i="153"/>
  <c r="E137" i="153"/>
  <c r="E211" i="153"/>
  <c r="E262" i="153"/>
  <c r="E363" i="153"/>
  <c r="E205" i="153"/>
  <c r="E366" i="153"/>
  <c r="E324" i="153"/>
  <c r="E221" i="153"/>
  <c r="E207" i="153"/>
  <c r="E318" i="153"/>
  <c r="E184" i="153"/>
  <c r="E127" i="153"/>
  <c r="E213" i="153"/>
  <c r="E147" i="153"/>
  <c r="E134" i="153"/>
  <c r="E296" i="153"/>
  <c r="E230" i="153"/>
  <c r="E216" i="153"/>
  <c r="E303" i="153"/>
  <c r="E196" i="153"/>
  <c r="E300" i="153"/>
  <c r="E284" i="153"/>
  <c r="E267" i="153"/>
  <c r="E179" i="153"/>
  <c r="E143" i="153"/>
  <c r="E375" i="153"/>
  <c r="E258" i="153"/>
  <c r="E231" i="153"/>
  <c r="E241" i="153"/>
  <c r="E310" i="153"/>
  <c r="E294" i="153"/>
  <c r="E275" i="153"/>
  <c r="E171" i="153"/>
  <c r="E287" i="153"/>
  <c r="E156" i="153"/>
  <c r="E165" i="153"/>
  <c r="E348" i="153"/>
  <c r="E362" i="153"/>
  <c r="E215" i="153"/>
  <c r="E255" i="153"/>
  <c r="E118" i="153"/>
  <c r="E332" i="153"/>
  <c r="E146" i="153"/>
  <c r="E162" i="153"/>
  <c r="E335" i="153"/>
  <c r="E317" i="153"/>
  <c r="E157" i="153"/>
  <c r="E352" i="153"/>
  <c r="E319" i="153"/>
  <c r="E242" i="153"/>
  <c r="E374" i="153"/>
  <c r="E358" i="153"/>
  <c r="E323" i="153"/>
  <c r="E172" i="153"/>
  <c r="E376" i="153"/>
  <c r="E260" i="153"/>
  <c r="E286" i="153"/>
  <c r="E168" i="153"/>
  <c r="E217" i="153"/>
  <c r="E232" i="153"/>
  <c r="E139" i="153"/>
  <c r="E279" i="153"/>
  <c r="E291" i="153"/>
  <c r="E222" i="153"/>
  <c r="E247" i="153"/>
  <c r="E189" i="153"/>
  <c r="E385" i="153"/>
  <c r="E133" i="153"/>
  <c r="E271" i="153"/>
  <c r="E371" i="153"/>
  <c r="E273" i="153"/>
  <c r="E297" i="153"/>
  <c r="E178" i="153"/>
  <c r="E116" i="153"/>
  <c r="E379" i="153"/>
  <c r="E302" i="153"/>
  <c r="E246" i="153"/>
  <c r="E170" i="153"/>
  <c r="E186" i="153"/>
  <c r="E174" i="153"/>
  <c r="E308" i="153"/>
  <c r="E115" i="153"/>
  <c r="E119" i="153"/>
  <c r="E164" i="153"/>
  <c r="E154" i="153"/>
  <c r="E272" i="153"/>
  <c r="E135" i="153"/>
  <c r="AF101" i="155" l="1"/>
  <c r="E3" i="146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E5" i="114"/>
  <c r="E6" i="114"/>
  <c r="E7" i="114"/>
  <c r="E8" i="114"/>
  <c r="E4" i="114"/>
  <c r="H4" i="113"/>
  <c r="E7" i="113" s="1"/>
  <c r="I4" i="113"/>
  <c r="E8" i="113" s="1"/>
  <c r="H5" i="113"/>
  <c r="F7" i="113" s="1"/>
  <c r="I5" i="113"/>
  <c r="F8" i="113" s="1"/>
  <c r="H6" i="113"/>
  <c r="G7" i="113" s="1"/>
  <c r="I6" i="113"/>
  <c r="G8" i="113" s="1"/>
  <c r="I7" i="113"/>
  <c r="H8" i="113" s="1"/>
  <c r="G5" i="113"/>
  <c r="F6" i="113" s="1"/>
  <c r="G4" i="113"/>
  <c r="E6" i="113" s="1"/>
  <c r="F4" i="113"/>
  <c r="E5" i="113" s="1"/>
  <c r="K15" i="82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K5" i="113" l="1"/>
  <c r="K8" i="113"/>
  <c r="K6" i="113"/>
  <c r="K7" i="113"/>
  <c r="K4" i="113"/>
  <c r="I8" i="82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<sst xmlns="http://schemas.openxmlformats.org/spreadsheetml/2006/main" count="4505" uniqueCount="365">
  <si>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</si>
  <si>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</si>
  <si>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</si>
  <si>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</si>
  <si>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</si>
  <si>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</si>
  <si>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</si>
  <si>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</si>
  <si>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</si>
  <si>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</si>
  <si>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</si>
  <si>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</si>
  <si>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</si>
  <si>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</si>
  <si>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</si>
  <si>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</si>
  <si>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</si>
  <si>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</si>
  <si>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</si>
  <si>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</si>
  <si>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</si>
  <si>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</si>
  <si>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</si>
  <si>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</si>
  <si>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</si>
  <si>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</si>
  <si>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</si>
  <si>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</si>
  <si>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</si>
  <si>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</si>
  <si>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</si>
  <si>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</si>
  <si>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</si>
  <si>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</si>
  <si>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</si>
  <si>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</si>
  <si>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</si>
  <si>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</si>
  <si>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</si>
  <si>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</si>
  <si>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</si>
  <si>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</si>
  <si>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</si>
  <si>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</si>
  <si>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</si>
  <si>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</si>
  <si>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</si>
  <si>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</si>
  <si>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</si>
  <si>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</si>
  <si>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</si>
  <si>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</si>
  <si>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</si>
  <si>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</si>
  <si>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</si>
  <si>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</si>
  <si>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</si>
  <si>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</si>
  <si>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</si>
  <si>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</si>
  <si>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</si>
  <si>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</si>
  <si>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</si>
  <si>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</si>
  <si>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</si>
  <si>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</si>
  <si>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</si>
  <si>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</si>
  <si>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</si>
  <si>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</si>
  <si>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</si>
  <si>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</si>
  <si>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</si>
  <si>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</si>
  <si>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</si>
  <si>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</si>
  <si>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</si>
  <si>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</si>
  <si>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</si>
  <si>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</si>
  <si>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</si>
  <si>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</si>
  <si>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</si>
  <si>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</si>
  <si>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</si>
  <si>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</si>
  <si>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</si>
  <si>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</si>
  <si>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</si>
  <si>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</si>
  <si>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</si>
  <si>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</si>
  <si>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</si>
  <si>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</si>
  <si>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</si>
  <si>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</si>
  <si>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</si>
  <si>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</si>
  <si>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</si>
  <si>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</si>
  <si>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</si>
  <si>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</si>
  <si>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</si>
  <si>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</si>
  <si>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</si>
  <si>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</si>
  <si>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</si>
  <si>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</si>
  <si>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</si>
  <si>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</si>
  <si>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</si>
  <si>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</si>
  <si>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</si>
  <si>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</si>
  <si>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</si>
  <si>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</si>
  <si>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</si>
  <si>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</si>
  <si>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</si>
  <si>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</si>
  <si>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</si>
  <si>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</si>
  <si>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</si>
  <si>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</si>
  <si>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</si>
  <si>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</si>
  <si>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</si>
  <si>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</si>
  <si>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</si>
  <si>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</si>
  <si>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</si>
  <si>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</si>
  <si>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</si>
  <si>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</si>
  <si>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</si>
  <si>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</si>
  <si>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</si>
  <si>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</si>
  <si>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</si>
  <si>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</si>
  <si>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ConfusionMatrix</t>
  </si>
  <si>
    <t>A</t>
  </si>
  <si>
    <t>B</t>
  </si>
  <si>
    <t>C</t>
  </si>
  <si>
    <t>D</t>
  </si>
  <si>
    <t>E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</si>
  <si>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</si>
  <si>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</si>
  <si>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</si>
  <si>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</si>
  <si>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</si>
  <si>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</si>
  <si>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Diagnostics 1</t>
  </si>
  <si>
    <t>Diagnostics 2</t>
  </si>
  <si>
    <t>Diagnostics are important.  We need to know how well we're doing.</t>
  </si>
  <si>
    <t>∀</t>
  </si>
  <si>
    <t>Interpretability is important.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</si>
  <si>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</si>
  <si>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</si>
  <si>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</si>
  <si>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</si>
  <si>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</si>
  <si>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</si>
  <si>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</si>
  <si>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</si>
  <si>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</si>
  <si>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</si>
  <si>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</si>
  <si>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</si>
  <si>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</si>
  <si>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</si>
  <si>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</si>
  <si>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</si>
  <si>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</si>
  <si>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</si>
  <si>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</si>
  <si>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</si>
  <si>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</si>
  <si>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</si>
  <si>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</si>
  <si>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</si>
  <si>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</si>
  <si>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</si>
  <si>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</si>
  <si>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</si>
  <si>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</si>
  <si>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</si>
  <si>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</si>
  <si>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</si>
  <si>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</si>
  <si>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</si>
  <si>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</si>
  <si>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</si>
  <si>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</si>
  <si>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</si>
  <si>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</si>
  <si>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</si>
  <si>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</si>
  <si>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</si>
  <si>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</si>
  <si>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</si>
  <si>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</si>
  <si>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</si>
  <si>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</si>
  <si>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</si>
  <si>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</si>
  <si>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</si>
  <si>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</si>
  <si>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</si>
  <si>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</si>
  <si>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</si>
  <si>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</si>
  <si>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</si>
  <si>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</si>
  <si>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</si>
  <si>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</si>
  <si>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</si>
  <si>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</si>
  <si>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</si>
  <si>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</si>
  <si>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</si>
  <si>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</si>
  <si>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</si>
  <si>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</si>
  <si>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</si>
  <si>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</si>
  <si>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</si>
  <si>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</si>
  <si>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</si>
  <si>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</si>
  <si>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</si>
  <si>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</si>
  <si>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</si>
  <si>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</si>
  <si>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</si>
  <si>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</si>
  <si>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</si>
  <si>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</si>
  <si>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</si>
  <si>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</si>
  <si>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</si>
  <si>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</si>
  <si>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</si>
  <si>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</si>
  <si>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</si>
  <si>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</si>
  <si>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</si>
  <si>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</si>
  <si>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</si>
  <si>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</si>
  <si>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</si>
  <si>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</si>
  <si>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</si>
  <si>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</si>
  <si>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</si>
  <si>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</si>
  <si>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</si>
  <si>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</si>
  <si>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</si>
  <si>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</si>
  <si>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</si>
  <si>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</si>
  <si>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</si>
  <si>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</si>
  <si>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</si>
  <si>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</si>
  <si>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</si>
  <si>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</si>
  <si>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</si>
  <si>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</si>
  <si>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</si>
  <si>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</si>
  <si>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</si>
  <si>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</si>
  <si>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</si>
  <si>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</si>
  <si>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</si>
  <si>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</si>
  <si>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</si>
  <si>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</si>
  <si>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</si>
  <si>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</si>
  <si>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</si>
  <si>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</si>
  <si>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</si>
  <si>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</si>
  <si>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</si>
  <si>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</si>
  <si>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</si>
  <si>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</si>
  <si>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</si>
  <si>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</si>
  <si>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</si>
  <si>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</si>
  <si>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</si>
  <si>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</si>
  <si>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</si>
  <si>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</si>
  <si>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</si>
  <si>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</si>
  <si>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</si>
  <si>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</si>
  <si>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</si>
  <si>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</si>
  <si>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</si>
  <si>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</si>
  <si>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</si>
  <si>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</si>
  <si>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</si>
  <si>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</si>
  <si>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</si>
  <si>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</si>
  <si>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</si>
  <si>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</si>
  <si>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</si>
  <si>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</si>
  <si>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</si>
  <si>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</si>
  <si>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</si>
  <si>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</si>
  <si>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</si>
  <si>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</si>
  <si>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</si>
  <si>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</si>
  <si>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</si>
  <si>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</si>
  <si>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</si>
  <si>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</si>
  <si>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</si>
  <si>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</si>
  <si>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</si>
  <si>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</si>
  <si>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</si>
  <si>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</si>
  <si>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</si>
  <si>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</si>
  <si>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</si>
  <si>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</si>
  <si>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</si>
  <si>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</si>
  <si>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</si>
  <si>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</si>
  <si>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</si>
  <si>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</si>
  <si>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</si>
  <si>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</si>
  <si>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</si>
  <si>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</si>
  <si>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</si>
  <si>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</si>
  <si>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</si>
  <si>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</si>
  <si>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</si>
  <si>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</si>
  <si>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F1Score</t>
  </si>
  <si>
    <t>Bernoulli</t>
  </si>
  <si>
    <t>Solve for E(X) and V(X)</t>
  </si>
  <si>
    <t>Write out the the equation for a harmonic mean of recall and precision</t>
  </si>
  <si>
    <t>Splines</t>
  </si>
  <si>
    <t>Type out your work here or insert an image of handwritten work.</t>
  </si>
  <si>
    <t>Write out the the equation for a harmonic mean of recall and precision.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</si>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</sst>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0000000000000%"/>
    <numFmt numFmtId="166" formatCode="0.000"/>
    <numFmt numFmtId="167" formatCode="0.00000000000000%"/>
  </numFmts>
  <fonts count="34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2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right"/>
    </xf>
    <xf numFmtId="9" fontId="7" fillId="2" borderId="0" xfId="0" applyNumberFormat="1" applyFont="1" applyFill="1"/>
    <xf numFmtId="9" fontId="7" fillId="2" borderId="0" xfId="5" applyFont="1" applyFill="1"/>
    <xf numFmtId="0" fontId="1" fillId="2" borderId="0" xfId="2" applyFont="1" applyFill="1"/>
    <xf numFmtId="0" fontId="9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4" borderId="0" xfId="0" applyFont="1" applyFill="1"/>
    <xf numFmtId="9" fontId="0" fillId="4" borderId="0" xfId="0" applyNumberFormat="1" applyFont="1" applyFill="1"/>
    <xf numFmtId="9" fontId="0" fillId="5" borderId="0" xfId="5" applyFont="1" applyFill="1"/>
    <xf numFmtId="0" fontId="1" fillId="3" borderId="0" xfId="4" applyFont="1" applyFill="1"/>
    <xf numFmtId="0" fontId="10" fillId="2" borderId="0" xfId="0" applyFont="1" applyFill="1"/>
    <xf numFmtId="0" fontId="9" fillId="2" borderId="0" xfId="1" applyFont="1" applyFill="1"/>
    <xf numFmtId="0" fontId="1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6" borderId="0" xfId="0" applyFont="1" applyFill="1" applyAlignment="1">
      <alignment horizontal="left"/>
    </xf>
    <xf numFmtId="0" fontId="2" fillId="6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4" borderId="0" xfId="0" applyNumberFormat="1" applyFont="1" applyFill="1" applyAlignment="1">
      <alignment horizontal="center"/>
    </xf>
    <xf numFmtId="2" fontId="16" fillId="4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0" fontId="17" fillId="2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20" fillId="2" borderId="0" xfId="0" applyFont="1" applyFill="1"/>
    <xf numFmtId="0" fontId="21" fillId="2" borderId="0" xfId="0" applyFont="1" applyFill="1"/>
    <xf numFmtId="0" fontId="21" fillId="2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0" fillId="7" borderId="0" xfId="0" applyFill="1"/>
    <xf numFmtId="0" fontId="23" fillId="7" borderId="0" xfId="0" applyFont="1" applyFill="1"/>
    <xf numFmtId="0" fontId="25" fillId="7" borderId="0" xfId="0" applyFont="1" applyFill="1" applyAlignment="1">
      <alignment horizontal="right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 applyAlignment="1">
      <alignment horizontal="right"/>
    </xf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 applyAlignment="1">
      <alignment horizontal="right"/>
    </xf>
    <xf numFmtId="0" fontId="0" fillId="7" borderId="16" xfId="0" applyFill="1" applyBorder="1"/>
    <xf numFmtId="0" fontId="0" fillId="7" borderId="17" xfId="0" applyFill="1" applyBorder="1"/>
    <xf numFmtId="0" fontId="0" fillId="7" borderId="9" xfId="0" applyFill="1" applyBorder="1"/>
    <xf numFmtId="0" fontId="0" fillId="7" borderId="18" xfId="0" applyFill="1" applyBorder="1"/>
    <xf numFmtId="0" fontId="0" fillId="7" borderId="19" xfId="0" applyFill="1" applyBorder="1" applyAlignment="1">
      <alignment horizontal="right"/>
    </xf>
    <xf numFmtId="0" fontId="0" fillId="7" borderId="19" xfId="0" applyFill="1" applyBorder="1"/>
    <xf numFmtId="0" fontId="25" fillId="2" borderId="0" xfId="0" applyFont="1" applyFill="1" applyAlignment="1">
      <alignment horizontal="right"/>
    </xf>
    <xf numFmtId="0" fontId="0" fillId="2" borderId="14" xfId="0" applyFill="1" applyBorder="1"/>
    <xf numFmtId="0" fontId="0" fillId="2" borderId="15" xfId="0" applyFill="1" applyBorder="1"/>
    <xf numFmtId="0" fontId="26" fillId="7" borderId="0" xfId="0" applyFont="1" applyFill="1"/>
    <xf numFmtId="0" fontId="25" fillId="7" borderId="0" xfId="0" applyFont="1" applyFill="1"/>
    <xf numFmtId="0" fontId="25" fillId="7" borderId="10" xfId="0" applyFont="1" applyFill="1" applyBorder="1"/>
    <xf numFmtId="0" fontId="25" fillId="7" borderId="11" xfId="0" applyFont="1" applyFill="1" applyBorder="1"/>
    <xf numFmtId="0" fontId="25" fillId="7" borderId="12" xfId="0" applyFont="1" applyFill="1" applyBorder="1"/>
    <xf numFmtId="0" fontId="25" fillId="7" borderId="14" xfId="0" applyFont="1" applyFill="1" applyBorder="1"/>
    <xf numFmtId="0" fontId="25" fillId="7" borderId="15" xfId="0" applyFont="1" applyFill="1" applyBorder="1"/>
    <xf numFmtId="0" fontId="25" fillId="7" borderId="17" xfId="0" applyFont="1" applyFill="1" applyBorder="1"/>
    <xf numFmtId="0" fontId="25" fillId="7" borderId="9" xfId="0" applyFont="1" applyFill="1" applyBorder="1"/>
    <xf numFmtId="0" fontId="25" fillId="7" borderId="18" xfId="0" applyFont="1" applyFill="1" applyBorder="1"/>
    <xf numFmtId="0" fontId="28" fillId="7" borderId="0" xfId="0" applyFont="1" applyFill="1" applyAlignment="1">
      <alignment horizontal="right"/>
    </xf>
    <xf numFmtId="0" fontId="18" fillId="7" borderId="0" xfId="0" applyFont="1" applyFill="1" applyAlignment="1">
      <alignment horizontal="right"/>
    </xf>
    <xf numFmtId="0" fontId="28" fillId="7" borderId="0" xfId="0" applyFont="1" applyFill="1"/>
    <xf numFmtId="0" fontId="25" fillId="7" borderId="20" xfId="0" applyFont="1" applyFill="1" applyBorder="1"/>
    <xf numFmtId="0" fontId="25" fillId="7" borderId="21" xfId="0" applyFont="1" applyFill="1" applyBorder="1"/>
    <xf numFmtId="0" fontId="25" fillId="7" borderId="22" xfId="0" applyFont="1" applyFill="1" applyBorder="1"/>
    <xf numFmtId="0" fontId="25" fillId="7" borderId="0" xfId="5" applyNumberFormat="1" applyFont="1" applyFill="1"/>
    <xf numFmtId="164" fontId="25" fillId="7" borderId="0" xfId="5" applyNumberFormat="1" applyFont="1" applyFill="1"/>
    <xf numFmtId="165" fontId="25" fillId="7" borderId="0" xfId="0" applyNumberFormat="1" applyFont="1" applyFill="1"/>
    <xf numFmtId="0" fontId="31" fillId="7" borderId="0" xfId="0" applyFont="1" applyFill="1" applyAlignment="1">
      <alignment horizontal="right"/>
    </xf>
    <xf numFmtId="0" fontId="8" fillId="7" borderId="0" xfId="0" applyFont="1" applyFill="1" applyAlignment="1">
      <alignment horizontal="center"/>
    </xf>
    <xf numFmtId="0" fontId="8" fillId="7" borderId="10" xfId="0" applyFont="1" applyFill="1" applyBorder="1"/>
    <xf numFmtId="0" fontId="8" fillId="7" borderId="11" xfId="0" applyFont="1" applyFill="1" applyBorder="1"/>
    <xf numFmtId="0" fontId="8" fillId="7" borderId="12" xfId="0" applyFont="1" applyFill="1" applyBorder="1"/>
    <xf numFmtId="0" fontId="31" fillId="7" borderId="11" xfId="0" applyFont="1" applyFill="1" applyBorder="1" applyAlignment="1">
      <alignment horizontal="right"/>
    </xf>
    <xf numFmtId="166" fontId="25" fillId="7" borderId="0" xfId="0" applyNumberFormat="1" applyFont="1" applyFill="1"/>
    <xf numFmtId="0" fontId="8" fillId="7" borderId="14" xfId="0" applyFont="1" applyFill="1" applyBorder="1"/>
    <xf numFmtId="0" fontId="8" fillId="7" borderId="0" xfId="0" applyFont="1" applyFill="1"/>
    <xf numFmtId="0" fontId="8" fillId="7" borderId="15" xfId="0" applyFont="1" applyFill="1" applyBorder="1"/>
    <xf numFmtId="0" fontId="8" fillId="7" borderId="17" xfId="0" applyFont="1" applyFill="1" applyBorder="1"/>
    <xf numFmtId="0" fontId="8" fillId="7" borderId="9" xfId="0" applyFont="1" applyFill="1" applyBorder="1"/>
    <xf numFmtId="0" fontId="8" fillId="7" borderId="18" xfId="0" applyFont="1" applyFill="1" applyBorder="1"/>
    <xf numFmtId="0" fontId="8" fillId="7" borderId="14" xfId="0" applyFont="1" applyFill="1" applyBorder="1" applyAlignment="1">
      <alignment horizontal="right"/>
    </xf>
    <xf numFmtId="0" fontId="8" fillId="7" borderId="0" xfId="0" applyFont="1" applyFill="1" applyAlignment="1">
      <alignment horizontal="right"/>
    </xf>
    <xf numFmtId="9" fontId="8" fillId="7" borderId="0" xfId="5" applyFont="1" applyFill="1" applyBorder="1"/>
    <xf numFmtId="0" fontId="8" fillId="7" borderId="15" xfId="0" applyFont="1" applyFill="1" applyBorder="1" applyAlignment="1">
      <alignment horizontal="right"/>
    </xf>
    <xf numFmtId="0" fontId="8" fillId="7" borderId="20" xfId="0" applyFont="1" applyFill="1" applyBorder="1"/>
    <xf numFmtId="0" fontId="8" fillId="7" borderId="21" xfId="0" applyFont="1" applyFill="1" applyBorder="1"/>
    <xf numFmtId="0" fontId="8" fillId="7" borderId="22" xfId="0" applyFont="1" applyFill="1" applyBorder="1"/>
    <xf numFmtId="9" fontId="8" fillId="7" borderId="9" xfId="5" applyFont="1" applyFill="1" applyBorder="1"/>
    <xf numFmtId="9" fontId="25" fillId="7" borderId="0" xfId="5" applyFont="1" applyFill="1"/>
    <xf numFmtId="10" fontId="25" fillId="7" borderId="0" xfId="5" applyNumberFormat="1" applyFont="1" applyFill="1"/>
    <xf numFmtId="167" fontId="25" fillId="7" borderId="0" xfId="0" applyNumberFormat="1" applyFont="1" applyFill="1"/>
    <xf numFmtId="0" fontId="31" fillId="7" borderId="0" xfId="0" applyFont="1" applyFill="1" applyAlignment="1">
      <alignment horizontal="center"/>
    </xf>
    <xf numFmtId="164" fontId="8" fillId="7" borderId="0" xfId="0" applyNumberFormat="1" applyFont="1" applyFill="1"/>
    <xf numFmtId="10" fontId="25" fillId="7" borderId="0" xfId="0" applyNumberFormat="1" applyFont="1" applyFill="1"/>
    <xf numFmtId="10" fontId="8" fillId="7" borderId="0" xfId="0" applyNumberFormat="1" applyFont="1" applyFill="1"/>
    <xf numFmtId="10" fontId="8" fillId="7" borderId="0" xfId="5" applyNumberFormat="1" applyFont="1" applyFill="1"/>
    <xf numFmtId="164" fontId="8" fillId="7" borderId="0" xfId="5" applyNumberFormat="1" applyFont="1" applyFill="1"/>
    <xf numFmtId="2" fontId="8" fillId="7" borderId="0" xfId="0" applyNumberFormat="1" applyFont="1" applyFill="1"/>
    <xf numFmtId="164" fontId="8" fillId="7" borderId="0" xfId="0" applyNumberFormat="1" applyFont="1" applyFill="1" applyAlignment="1">
      <alignment shrinkToFit="1"/>
    </xf>
    <xf numFmtId="0" fontId="1" fillId="4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4.xml"/><Relationship Id="rId68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4.xml"/><Relationship Id="rId58" Type="http://schemas.openxmlformats.org/officeDocument/2006/relationships/externalLink" Target="externalLinks/externalLink9.xml"/><Relationship Id="rId66" Type="http://schemas.openxmlformats.org/officeDocument/2006/relationships/externalLink" Target="externalLinks/externalLink17.xml"/><Relationship Id="rId74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7.xml"/><Relationship Id="rId64" Type="http://schemas.openxmlformats.org/officeDocument/2006/relationships/externalLink" Target="externalLinks/externalLink15.xml"/><Relationship Id="rId69" Type="http://schemas.openxmlformats.org/officeDocument/2006/relationships/externalLink" Target="externalLinks/externalLink20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0.xml"/><Relationship Id="rId67" Type="http://schemas.openxmlformats.org/officeDocument/2006/relationships/externalLink" Target="externalLinks/externalLink1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5.xml"/><Relationship Id="rId62" Type="http://schemas.openxmlformats.org/officeDocument/2006/relationships/externalLink" Target="externalLinks/externalLink13.xml"/><Relationship Id="rId70" Type="http://schemas.openxmlformats.org/officeDocument/2006/relationships/externalLink" Target="externalLinks/externalLink21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3.xml"/><Relationship Id="rId60" Type="http://schemas.openxmlformats.org/officeDocument/2006/relationships/externalLink" Target="externalLinks/externalLink11.xml"/><Relationship Id="rId65" Type="http://schemas.openxmlformats.org/officeDocument/2006/relationships/externalLink" Target="externalLinks/externalLink16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1.xml"/><Relationship Id="rId55" Type="http://schemas.openxmlformats.org/officeDocument/2006/relationships/externalLink" Target="externalLinks/externalLink6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1.9493177387914229E-3</c:v>
                </c:pt>
                <c:pt idx="6">
                  <c:v>7.7972709551656916E-3</c:v>
                </c:pt>
                <c:pt idx="7">
                  <c:v>5.8365758754863814E-3</c:v>
                </c:pt>
                <c:pt idx="8">
                  <c:v>1.364522417153996E-2</c:v>
                </c:pt>
                <c:pt idx="9">
                  <c:v>2.3391812865497075E-2</c:v>
                </c:pt>
                <c:pt idx="10">
                  <c:v>3.3073929961089495E-2</c:v>
                </c:pt>
                <c:pt idx="11">
                  <c:v>4.8732943469785572E-2</c:v>
                </c:pt>
                <c:pt idx="12">
                  <c:v>8.9494163424124515E-2</c:v>
                </c:pt>
                <c:pt idx="13">
                  <c:v>8.9668615984405453E-2</c:v>
                </c:pt>
                <c:pt idx="14">
                  <c:v>0.17153996101364521</c:v>
                </c:pt>
                <c:pt idx="15">
                  <c:v>0.19298245614035087</c:v>
                </c:pt>
                <c:pt idx="16">
                  <c:v>0.24756335282651071</c:v>
                </c:pt>
                <c:pt idx="17">
                  <c:v>0.34630350194552528</c:v>
                </c:pt>
                <c:pt idx="18">
                  <c:v>0.4600389863547758</c:v>
                </c:pt>
                <c:pt idx="19">
                  <c:v>0.48054474708171208</c:v>
                </c:pt>
                <c:pt idx="20">
                  <c:v>0.59649122807017541</c:v>
                </c:pt>
                <c:pt idx="21">
                  <c:v>0.63937621832358671</c:v>
                </c:pt>
                <c:pt idx="22">
                  <c:v>0.75048732943469787</c:v>
                </c:pt>
                <c:pt idx="23">
                  <c:v>0.82261208576998046</c:v>
                </c:pt>
                <c:pt idx="24">
                  <c:v>0.857976653696498</c:v>
                </c:pt>
                <c:pt idx="25">
                  <c:v>0.88109161793372315</c:v>
                </c:pt>
                <c:pt idx="26">
                  <c:v>0.92007797270955161</c:v>
                </c:pt>
                <c:pt idx="27">
                  <c:v>0.95136186770428011</c:v>
                </c:pt>
                <c:pt idx="28">
                  <c:v>0.9688715953307393</c:v>
                </c:pt>
                <c:pt idx="29">
                  <c:v>0.97855750487329429</c:v>
                </c:pt>
                <c:pt idx="30">
                  <c:v>0.98249027237354081</c:v>
                </c:pt>
                <c:pt idx="31">
                  <c:v>0.99220272904483431</c:v>
                </c:pt>
                <c:pt idx="32">
                  <c:v>0.99805068226120852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0.99178644763860369</c:v>
                </c:pt>
                <c:pt idx="14">
                  <c:v>0.99383983572895274</c:v>
                </c:pt>
                <c:pt idx="15">
                  <c:v>0.98973305954825463</c:v>
                </c:pt>
                <c:pt idx="16">
                  <c:v>0.97125256673511295</c:v>
                </c:pt>
                <c:pt idx="17">
                  <c:v>0.94444444444444442</c:v>
                </c:pt>
                <c:pt idx="18">
                  <c:v>0.88911704312114992</c:v>
                </c:pt>
                <c:pt idx="19">
                  <c:v>0.88065843621399176</c:v>
                </c:pt>
                <c:pt idx="20">
                  <c:v>0.757700205338809</c:v>
                </c:pt>
                <c:pt idx="21">
                  <c:v>0.64065708418891165</c:v>
                </c:pt>
                <c:pt idx="22">
                  <c:v>0.52772073921971252</c:v>
                </c:pt>
                <c:pt idx="23">
                  <c:v>0.4271047227926078</c:v>
                </c:pt>
                <c:pt idx="24">
                  <c:v>0.34567901234567899</c:v>
                </c:pt>
                <c:pt idx="25">
                  <c:v>0.24845995893223818</c:v>
                </c:pt>
                <c:pt idx="26">
                  <c:v>0.11909650924024641</c:v>
                </c:pt>
                <c:pt idx="27">
                  <c:v>9.8765432098765427E-2</c:v>
                </c:pt>
                <c:pt idx="28">
                  <c:v>4.1152263374485597E-2</c:v>
                </c:pt>
                <c:pt idx="29">
                  <c:v>2.0533880903490759E-2</c:v>
                </c:pt>
                <c:pt idx="30">
                  <c:v>8.23045267489712E-3</c:v>
                </c:pt>
                <c:pt idx="31">
                  <c:v>2.0533880903490761E-3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A3307C-5498-9843-BDB2-70FE4A0CC3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459F0E-F227-7F4F-838A-20A3C415E3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E41EBA-7EE6-B94E-8F14-DD7B419C94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87BBB0-A851-6C45-A438-4A2EA5C2C4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5E7010-2A8A-FB44-BF54-0A45D7774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17D12A-08E8-3445-9D9F-882BBD387B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0FBB48-7F0E-964E-AE69-E70F1806B4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4B03FAC-54C4-1340-AB57-A96F4CE31D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C6A1F4-D4F8-9243-AD0C-AE6CEAC801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5B935D-2741-624D-87FA-0A05458526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64CAF3-50F6-D948-A1AC-680D31C897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50F13B-6953-F44A-A7CF-A7B90B38AA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B47D2A-2DFA-3D4A-8367-917AA08F64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FF71C7-0906-0F4C-A4A1-17609E814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5C00C0-B8CD-E940-801D-02BBDE83A9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F9E7F1-C416-A049-8AC1-1A2A9B9C9E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AB58F2-EF3D-2548-B304-20F8E49D33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2BFC81-BC23-D947-9240-AABCA865F7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A574DF-BE86-CC4A-BA32-5E216B76AE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35D8BA-C902-0E45-AFEB-086A8B0534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555562-2D01-714D-A89E-2AA28EE270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CB4067-6400-B34A-9BDD-1FF59BC93D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E6FA04-C72D-B344-9AD0-C4BFDE8E25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125E8E-D8F6-3144-AF25-2BA376E38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9F4AE9-394E-5E47-8036-2300ACEA68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A7E56C-7662-C94B-BEBC-AC6AD7169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760F1E-54C6-F442-B5FE-AB9F3AE639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82B5A3-981A-0347-A087-2EF70DF002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98582F-6080-564C-B93D-22D2BCA581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E1AC016-469A-0B47-81A7-B188BC3D2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DA0311-8511-5747-8BD8-41705E06DA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E4C817-9E10-9847-8EA8-7F4E2A97E7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1FC465-BDFE-7E40-BC28-4269818BEA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1.9455252918287938E-3</c:v>
                </c:pt>
                <c:pt idx="4">
                  <c:v>0</c:v>
                </c:pt>
                <c:pt idx="5">
                  <c:v>1.9455252918287938E-3</c:v>
                </c:pt>
                <c:pt idx="6">
                  <c:v>3.8986354775828458E-3</c:v>
                </c:pt>
                <c:pt idx="7">
                  <c:v>1.3618677042801557E-2</c:v>
                </c:pt>
                <c:pt idx="8">
                  <c:v>1.9493177387914229E-2</c:v>
                </c:pt>
                <c:pt idx="9">
                  <c:v>2.9182879377431907E-2</c:v>
                </c:pt>
                <c:pt idx="10">
                  <c:v>3.8986354775828458E-2</c:v>
                </c:pt>
                <c:pt idx="11">
                  <c:v>6.0311284046692608E-2</c:v>
                </c:pt>
                <c:pt idx="12">
                  <c:v>0.10311284046692606</c:v>
                </c:pt>
                <c:pt idx="13">
                  <c:v>0.12475633528265107</c:v>
                </c:pt>
                <c:pt idx="14">
                  <c:v>0.16764132553606237</c:v>
                </c:pt>
                <c:pt idx="15">
                  <c:v>0.23151750972762647</c:v>
                </c:pt>
                <c:pt idx="16">
                  <c:v>0.25730994152046782</c:v>
                </c:pt>
                <c:pt idx="17">
                  <c:v>0.33333333333333331</c:v>
                </c:pt>
                <c:pt idx="18">
                  <c:v>0.39766081871345027</c:v>
                </c:pt>
                <c:pt idx="19">
                  <c:v>0.50583657587548636</c:v>
                </c:pt>
                <c:pt idx="20">
                  <c:v>0.57309941520467833</c:v>
                </c:pt>
                <c:pt idx="21">
                  <c:v>0.64785992217898836</c:v>
                </c:pt>
                <c:pt idx="22">
                  <c:v>0.77042801556420237</c:v>
                </c:pt>
                <c:pt idx="23">
                  <c:v>0.77431906614785995</c:v>
                </c:pt>
                <c:pt idx="24">
                  <c:v>0.86575875486381326</c:v>
                </c:pt>
                <c:pt idx="25">
                  <c:v>0.87354085603112841</c:v>
                </c:pt>
                <c:pt idx="26">
                  <c:v>0.92397660818713445</c:v>
                </c:pt>
                <c:pt idx="27">
                  <c:v>0.96686159844054576</c:v>
                </c:pt>
                <c:pt idx="28">
                  <c:v>0.96296296296296291</c:v>
                </c:pt>
                <c:pt idx="29">
                  <c:v>0.98635477582845998</c:v>
                </c:pt>
                <c:pt idx="30">
                  <c:v>0.98443579766536971</c:v>
                </c:pt>
                <c:pt idx="31">
                  <c:v>0.99027237354085607</c:v>
                </c:pt>
                <c:pt idx="32">
                  <c:v>0.99610136452241715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0.99794238683127567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0.9958932238193019</c:v>
                </c:pt>
                <c:pt idx="15">
                  <c:v>0.98765432098765427</c:v>
                </c:pt>
                <c:pt idx="16">
                  <c:v>0.97535934291581106</c:v>
                </c:pt>
                <c:pt idx="17">
                  <c:v>0.94661190965092401</c:v>
                </c:pt>
                <c:pt idx="18">
                  <c:v>0.91581108829568791</c:v>
                </c:pt>
                <c:pt idx="19">
                  <c:v>0.79629629629629628</c:v>
                </c:pt>
                <c:pt idx="20">
                  <c:v>0.75154004106776184</c:v>
                </c:pt>
                <c:pt idx="21">
                  <c:v>0.69341563786008231</c:v>
                </c:pt>
                <c:pt idx="22">
                  <c:v>0.5679012345679012</c:v>
                </c:pt>
                <c:pt idx="23">
                  <c:v>0.42181069958847739</c:v>
                </c:pt>
                <c:pt idx="24">
                  <c:v>0.33539094650205764</c:v>
                </c:pt>
                <c:pt idx="25">
                  <c:v>0.19958847736625515</c:v>
                </c:pt>
                <c:pt idx="26">
                  <c:v>0.14989733059548255</c:v>
                </c:pt>
                <c:pt idx="27">
                  <c:v>8.4188911704312114E-2</c:v>
                </c:pt>
                <c:pt idx="28">
                  <c:v>5.5441478439425054E-2</c:v>
                </c:pt>
                <c:pt idx="29">
                  <c:v>1.8480492813141684E-2</c:v>
                </c:pt>
                <c:pt idx="30">
                  <c:v>1.0288065843621399E-2</c:v>
                </c:pt>
                <c:pt idx="31">
                  <c:v>6.1728395061728392E-3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00BD78C-C458-2B48-A14A-3504B59E99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006662-264F-5E4A-BE25-185DCB521B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6BB443-666A-924D-8BFD-CCDBF4D049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EF0775-93A3-474C-BB45-A07E2A7448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A0849D-3567-3F42-916C-8AE31A59C0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7ABAE2-FCB4-154E-9410-AC95F349A6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2B3535-2DB5-5A41-90E9-2E0A12FBB9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4D12297-F436-6945-9E42-902821684D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C1E8FD-38B9-4D45-9642-2B045D940B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E70D1E-A99F-1642-B3A6-947AF91E09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AAF275-5584-F543-85C5-A320A2FF04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065DBF-6AD0-0F4D-BC75-88934E5518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C51F15-D0AD-E14D-8639-7D6304AB7F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658713-D328-834F-B1F8-A0410E418F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01817D-942B-4F42-AC49-545EEEC464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637C6E-1C58-7C4E-98E0-CC3BB15ABE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8FDB409-0CE4-6E40-A593-462D0E923C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30B4C0-73B4-5142-A0A9-0D1B60626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297A7F-798F-AA44-96BA-0551662353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9DA29A-0071-D442-A23E-B686CC6F4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FD2298-F1EC-D540-962F-42CBA4B592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C23115-CC46-4348-8199-B2D644A74A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8BE16E-C499-BA4D-984F-B66D75839C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1F34BA1-E6A6-4948-8C01-ECE38EF4D1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CCD976E-DA35-ED43-A09E-C250A32BFC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5B8E85-F710-FE4C-AC96-B6D1BD2686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96F7E5-E32D-524E-908D-0E3123EAD4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59D981-33D3-8345-9EEE-EF5DFF04DE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BE1B1F-D874-7944-8453-BC14D85427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DDA580A-08DF-C84A-AA49-5D2D214F9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183F1B-230E-7E43-97E2-82981C476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CD3F8D-AD0F-F543-906C-E908B1E792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AA1D052-D108-8C41-87A2-20C1DCE235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0.99805447470817121</c:v>
                </c:pt>
                <c:pt idx="5">
                  <c:v>0.99805068226120852</c:v>
                </c:pt>
                <c:pt idx="6">
                  <c:v>0.99610894941634243</c:v>
                </c:pt>
                <c:pt idx="7">
                  <c:v>0.99221789883268485</c:v>
                </c:pt>
                <c:pt idx="8">
                  <c:v>0.98050682261208577</c:v>
                </c:pt>
                <c:pt idx="9">
                  <c:v>0.97660818713450293</c:v>
                </c:pt>
                <c:pt idx="10">
                  <c:v>0.96498054474708173</c:v>
                </c:pt>
                <c:pt idx="11">
                  <c:v>0.94163424124513617</c:v>
                </c:pt>
                <c:pt idx="12">
                  <c:v>0.92801556420233466</c:v>
                </c:pt>
                <c:pt idx="13">
                  <c:v>0.90448343079922022</c:v>
                </c:pt>
                <c:pt idx="14">
                  <c:v>0.83463035019455256</c:v>
                </c:pt>
                <c:pt idx="15">
                  <c:v>0.80544747081712065</c:v>
                </c:pt>
                <c:pt idx="16">
                  <c:v>0.68287937743190663</c:v>
                </c:pt>
                <c:pt idx="17">
                  <c:v>0.70175438596491224</c:v>
                </c:pt>
                <c:pt idx="18">
                  <c:v>0.56530214424951275</c:v>
                </c:pt>
                <c:pt idx="19">
                  <c:v>0.51461988304093564</c:v>
                </c:pt>
                <c:pt idx="20">
                  <c:v>0.41050583657587547</c:v>
                </c:pt>
                <c:pt idx="21">
                  <c:v>0.33268482490272377</c:v>
                </c:pt>
                <c:pt idx="22">
                  <c:v>0.29182879377431903</c:v>
                </c:pt>
                <c:pt idx="23">
                  <c:v>0.2042801556420234</c:v>
                </c:pt>
                <c:pt idx="24">
                  <c:v>0.14814814814814814</c:v>
                </c:pt>
                <c:pt idx="25">
                  <c:v>0.1089494163424124</c:v>
                </c:pt>
                <c:pt idx="26">
                  <c:v>8.1871345029239762E-2</c:v>
                </c:pt>
                <c:pt idx="27">
                  <c:v>6.0428849902534165E-2</c:v>
                </c:pt>
                <c:pt idx="28">
                  <c:v>3.6964980544747061E-2</c:v>
                </c:pt>
                <c:pt idx="29">
                  <c:v>1.5564202334630295E-2</c:v>
                </c:pt>
                <c:pt idx="30">
                  <c:v>1.3618677042801508E-2</c:v>
                </c:pt>
                <c:pt idx="31">
                  <c:v>7.7972709551656916E-3</c:v>
                </c:pt>
                <c:pt idx="32">
                  <c:v>3.8910505836575737E-3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0.98148148148148151</c:v>
                </c:pt>
                <c:pt idx="16">
                  <c:v>0.96502057613168724</c:v>
                </c:pt>
                <c:pt idx="17">
                  <c:v>0.94661190965092401</c:v>
                </c:pt>
                <c:pt idx="18">
                  <c:v>0.88501026694045171</c:v>
                </c:pt>
                <c:pt idx="19">
                  <c:v>0.84188911704312119</c:v>
                </c:pt>
                <c:pt idx="20">
                  <c:v>0.77777777777777779</c:v>
                </c:pt>
                <c:pt idx="21">
                  <c:v>0.61934156378600824</c:v>
                </c:pt>
                <c:pt idx="22">
                  <c:v>0.52057613168724282</c:v>
                </c:pt>
                <c:pt idx="23">
                  <c:v>0.40740740740740738</c:v>
                </c:pt>
                <c:pt idx="24">
                  <c:v>0.32854209445585214</c:v>
                </c:pt>
                <c:pt idx="25">
                  <c:v>0.17901234567901234</c:v>
                </c:pt>
                <c:pt idx="26">
                  <c:v>0.12731006160164271</c:v>
                </c:pt>
                <c:pt idx="27">
                  <c:v>6.5708418891170434E-2</c:v>
                </c:pt>
                <c:pt idx="28">
                  <c:v>5.5555555555555552E-2</c:v>
                </c:pt>
                <c:pt idx="29">
                  <c:v>1.646090534979424E-2</c:v>
                </c:pt>
                <c:pt idx="30">
                  <c:v>4.11522633744856E-3</c:v>
                </c:pt>
                <c:pt idx="31">
                  <c:v>1.2320328542094456E-2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4.6936519346973657</c:v>
                </c:pt>
                <c:pt idx="1">
                  <c:v>4.0976793852212348</c:v>
                </c:pt>
                <c:pt idx="2">
                  <c:v>4.8428238201250888</c:v>
                </c:pt>
                <c:pt idx="3">
                  <c:v>4.3854910295150669</c:v>
                </c:pt>
                <c:pt idx="4">
                  <c:v>3.5759039207935994</c:v>
                </c:pt>
                <c:pt idx="5">
                  <c:v>2.6165185777299804</c:v>
                </c:pt>
                <c:pt idx="6">
                  <c:v>3.5675558212003939</c:v>
                </c:pt>
                <c:pt idx="7">
                  <c:v>4.539503182110888</c:v>
                </c:pt>
                <c:pt idx="8">
                  <c:v>4.0862965912658895</c:v>
                </c:pt>
                <c:pt idx="9">
                  <c:v>4.1595133452120256</c:v>
                </c:pt>
                <c:pt idx="10">
                  <c:v>2.2989014692561467</c:v>
                </c:pt>
                <c:pt idx="11">
                  <c:v>1.1308516558421391</c:v>
                </c:pt>
                <c:pt idx="12">
                  <c:v>1.8534356116997293</c:v>
                </c:pt>
                <c:pt idx="13">
                  <c:v>2.1710410856672824</c:v>
                </c:pt>
                <c:pt idx="14">
                  <c:v>1.9969975302096337</c:v>
                </c:pt>
                <c:pt idx="15">
                  <c:v>2.0549967284829957</c:v>
                </c:pt>
                <c:pt idx="16">
                  <c:v>2.6886789926107539</c:v>
                </c:pt>
                <c:pt idx="17">
                  <c:v>1.9125175779196233</c:v>
                </c:pt>
                <c:pt idx="18">
                  <c:v>2.3941758077897108</c:v>
                </c:pt>
                <c:pt idx="19">
                  <c:v>2.2958366984186127</c:v>
                </c:pt>
                <c:pt idx="20">
                  <c:v>1.8826144496146582</c:v>
                </c:pt>
                <c:pt idx="21">
                  <c:v>1.7232149239968617</c:v>
                </c:pt>
                <c:pt idx="22">
                  <c:v>2.045104004078691</c:v>
                </c:pt>
                <c:pt idx="23">
                  <c:v>2.2333503403945816</c:v>
                </c:pt>
                <c:pt idx="24">
                  <c:v>2.2211693281112108</c:v>
                </c:pt>
                <c:pt idx="25">
                  <c:v>1.5681686735279765</c:v>
                </c:pt>
                <c:pt idx="26">
                  <c:v>1.8733599094611826</c:v>
                </c:pt>
                <c:pt idx="27">
                  <c:v>1.7523319808298365</c:v>
                </c:pt>
                <c:pt idx="28">
                  <c:v>1.8727614137878958</c:v>
                </c:pt>
                <c:pt idx="29">
                  <c:v>1.8295890189092749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6.0021640188767602</c:v>
                </c:pt>
                <c:pt idx="1">
                  <c:v>6.1054581393237708</c:v>
                </c:pt>
                <c:pt idx="2">
                  <c:v>6.0926361355893652</c:v>
                </c:pt>
                <c:pt idx="3">
                  <c:v>6.1573942638315762</c:v>
                </c:pt>
                <c:pt idx="4">
                  <c:v>6.0459496281058325</c:v>
                </c:pt>
                <c:pt idx="5">
                  <c:v>5.8196486638872891</c:v>
                </c:pt>
                <c:pt idx="6">
                  <c:v>6.0631097917924901</c:v>
                </c:pt>
                <c:pt idx="7">
                  <c:v>6.1564038087904578</c:v>
                </c:pt>
                <c:pt idx="8">
                  <c:v>5.8003911408372701</c:v>
                </c:pt>
                <c:pt idx="9">
                  <c:v>6.3658967418975347</c:v>
                </c:pt>
                <c:pt idx="10">
                  <c:v>2.0916517776167058</c:v>
                </c:pt>
                <c:pt idx="11">
                  <c:v>1.9669533153672072</c:v>
                </c:pt>
                <c:pt idx="12">
                  <c:v>1.7680160609563653</c:v>
                </c:pt>
                <c:pt idx="13">
                  <c:v>2.1039121854429337</c:v>
                </c:pt>
                <c:pt idx="14">
                  <c:v>1.7652853328648375</c:v>
                </c:pt>
                <c:pt idx="15">
                  <c:v>1.8934517984419033</c:v>
                </c:pt>
                <c:pt idx="16">
                  <c:v>1.9773415669158321</c:v>
                </c:pt>
                <c:pt idx="17">
                  <c:v>2.1275814068418195</c:v>
                </c:pt>
                <c:pt idx="18">
                  <c:v>2.2356953100120149</c:v>
                </c:pt>
                <c:pt idx="19">
                  <c:v>1.7722482972024287</c:v>
                </c:pt>
                <c:pt idx="20">
                  <c:v>7.3672527242633183</c:v>
                </c:pt>
                <c:pt idx="21">
                  <c:v>5.9919284568409976</c:v>
                </c:pt>
                <c:pt idx="22">
                  <c:v>7.38260253034362</c:v>
                </c:pt>
                <c:pt idx="23">
                  <c:v>6.4115989493760601</c:v>
                </c:pt>
                <c:pt idx="24">
                  <c:v>5.697756934259397</c:v>
                </c:pt>
                <c:pt idx="25">
                  <c:v>6.6584081535459685</c:v>
                </c:pt>
                <c:pt idx="26">
                  <c:v>6.1783148618055135</c:v>
                </c:pt>
                <c:pt idx="27">
                  <c:v>6.4433629955726746</c:v>
                </c:pt>
                <c:pt idx="28">
                  <c:v>6.930930088434347</c:v>
                </c:pt>
                <c:pt idx="29">
                  <c:v>5.2615989816557622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4.6936519346973657</c:v>
                </c:pt>
                <c:pt idx="1">
                  <c:v>4.0976793852212348</c:v>
                </c:pt>
                <c:pt idx="2">
                  <c:v>4.8428238201250888</c:v>
                </c:pt>
                <c:pt idx="3">
                  <c:v>4.3854910295150669</c:v>
                </c:pt>
                <c:pt idx="4">
                  <c:v>3.5759039207935994</c:v>
                </c:pt>
                <c:pt idx="5">
                  <c:v>2.6165185777299804</c:v>
                </c:pt>
                <c:pt idx="6">
                  <c:v>3.5675558212003939</c:v>
                </c:pt>
                <c:pt idx="7">
                  <c:v>4.539503182110888</c:v>
                </c:pt>
                <c:pt idx="8">
                  <c:v>4.0862965912658895</c:v>
                </c:pt>
                <c:pt idx="9">
                  <c:v>4.1595133452120256</c:v>
                </c:pt>
                <c:pt idx="10">
                  <c:v>2.2989014692561467</c:v>
                </c:pt>
                <c:pt idx="11">
                  <c:v>1.1308516558421391</c:v>
                </c:pt>
                <c:pt idx="12">
                  <c:v>1.8534356116997293</c:v>
                </c:pt>
                <c:pt idx="13">
                  <c:v>2.1710410856672824</c:v>
                </c:pt>
                <c:pt idx="14">
                  <c:v>1.9969975302096337</c:v>
                </c:pt>
                <c:pt idx="15">
                  <c:v>2.0549967284829957</c:v>
                </c:pt>
                <c:pt idx="16">
                  <c:v>2.6886789926107539</c:v>
                </c:pt>
                <c:pt idx="17">
                  <c:v>1.9125175779196233</c:v>
                </c:pt>
                <c:pt idx="18">
                  <c:v>2.3941758077897108</c:v>
                </c:pt>
                <c:pt idx="19">
                  <c:v>2.2958366984186127</c:v>
                </c:pt>
                <c:pt idx="20">
                  <c:v>1.8826144496146582</c:v>
                </c:pt>
                <c:pt idx="21">
                  <c:v>1.7232149239968617</c:v>
                </c:pt>
                <c:pt idx="22">
                  <c:v>2.045104004078691</c:v>
                </c:pt>
                <c:pt idx="23">
                  <c:v>2.2333503403945816</c:v>
                </c:pt>
                <c:pt idx="24">
                  <c:v>2.2211693281112108</c:v>
                </c:pt>
                <c:pt idx="25">
                  <c:v>1.5681686735279765</c:v>
                </c:pt>
                <c:pt idx="26">
                  <c:v>1.8733599094611826</c:v>
                </c:pt>
                <c:pt idx="27">
                  <c:v>1.7523319808298365</c:v>
                </c:pt>
                <c:pt idx="28">
                  <c:v>1.8727614137878958</c:v>
                </c:pt>
                <c:pt idx="29">
                  <c:v>1.8295890189092749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6.0021640188767602</c:v>
                </c:pt>
                <c:pt idx="1">
                  <c:v>6.1054581393237708</c:v>
                </c:pt>
                <c:pt idx="2">
                  <c:v>6.0926361355893652</c:v>
                </c:pt>
                <c:pt idx="3">
                  <c:v>6.1573942638315762</c:v>
                </c:pt>
                <c:pt idx="4">
                  <c:v>6.0459496281058325</c:v>
                </c:pt>
                <c:pt idx="5">
                  <c:v>5.8196486638872891</c:v>
                </c:pt>
                <c:pt idx="6">
                  <c:v>6.0631097917924901</c:v>
                </c:pt>
                <c:pt idx="7">
                  <c:v>6.1564038087904578</c:v>
                </c:pt>
                <c:pt idx="8">
                  <c:v>5.8003911408372701</c:v>
                </c:pt>
                <c:pt idx="9">
                  <c:v>6.3658967418975347</c:v>
                </c:pt>
                <c:pt idx="10">
                  <c:v>2.0916517776167058</c:v>
                </c:pt>
                <c:pt idx="11">
                  <c:v>1.9669533153672072</c:v>
                </c:pt>
                <c:pt idx="12">
                  <c:v>1.7680160609563653</c:v>
                </c:pt>
                <c:pt idx="13">
                  <c:v>2.1039121854429337</c:v>
                </c:pt>
                <c:pt idx="14">
                  <c:v>1.7652853328648375</c:v>
                </c:pt>
                <c:pt idx="15">
                  <c:v>1.8934517984419033</c:v>
                </c:pt>
                <c:pt idx="16">
                  <c:v>1.9773415669158321</c:v>
                </c:pt>
                <c:pt idx="17">
                  <c:v>2.1275814068418195</c:v>
                </c:pt>
                <c:pt idx="18">
                  <c:v>2.2356953100120149</c:v>
                </c:pt>
                <c:pt idx="19">
                  <c:v>1.7722482972024287</c:v>
                </c:pt>
                <c:pt idx="20">
                  <c:v>7.3672527242633183</c:v>
                </c:pt>
                <c:pt idx="21">
                  <c:v>5.9919284568409976</c:v>
                </c:pt>
                <c:pt idx="22">
                  <c:v>7.38260253034362</c:v>
                </c:pt>
                <c:pt idx="23">
                  <c:v>6.4115989493760601</c:v>
                </c:pt>
                <c:pt idx="24">
                  <c:v>5.697756934259397</c:v>
                </c:pt>
                <c:pt idx="25">
                  <c:v>6.6584081535459685</c:v>
                </c:pt>
                <c:pt idx="26">
                  <c:v>6.1783148618055135</c:v>
                </c:pt>
                <c:pt idx="27">
                  <c:v>6.4433629955726746</c:v>
                </c:pt>
                <c:pt idx="28">
                  <c:v>6.930930088434347</c:v>
                </c:pt>
                <c:pt idx="29">
                  <c:v>5.2615989816557622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4.6936519346973657</c:v>
                </c:pt>
                <c:pt idx="1">
                  <c:v>4.0976793852212348</c:v>
                </c:pt>
                <c:pt idx="2">
                  <c:v>4.8428238201250888</c:v>
                </c:pt>
                <c:pt idx="3">
                  <c:v>4.3854910295150669</c:v>
                </c:pt>
                <c:pt idx="4">
                  <c:v>3.5759039207935994</c:v>
                </c:pt>
                <c:pt idx="5">
                  <c:v>2.6165185777299804</c:v>
                </c:pt>
                <c:pt idx="6">
                  <c:v>3.5675558212003939</c:v>
                </c:pt>
                <c:pt idx="7">
                  <c:v>4.539503182110888</c:v>
                </c:pt>
                <c:pt idx="8">
                  <c:v>4.0862965912658895</c:v>
                </c:pt>
                <c:pt idx="9">
                  <c:v>4.1595133452120256</c:v>
                </c:pt>
                <c:pt idx="10">
                  <c:v>2.2989014692561467</c:v>
                </c:pt>
                <c:pt idx="11">
                  <c:v>1.1308516558421391</c:v>
                </c:pt>
                <c:pt idx="12">
                  <c:v>1.8534356116997293</c:v>
                </c:pt>
                <c:pt idx="13">
                  <c:v>2.1710410856672824</c:v>
                </c:pt>
                <c:pt idx="14">
                  <c:v>1.9969975302096337</c:v>
                </c:pt>
                <c:pt idx="15">
                  <c:v>2.0549967284829957</c:v>
                </c:pt>
                <c:pt idx="16">
                  <c:v>2.6886789926107539</c:v>
                </c:pt>
                <c:pt idx="17">
                  <c:v>1.9125175779196233</c:v>
                </c:pt>
                <c:pt idx="18">
                  <c:v>2.3941758077897108</c:v>
                </c:pt>
                <c:pt idx="19">
                  <c:v>2.2958366984186127</c:v>
                </c:pt>
                <c:pt idx="20">
                  <c:v>1.8826144496146582</c:v>
                </c:pt>
                <c:pt idx="21">
                  <c:v>1.7232149239968617</c:v>
                </c:pt>
                <c:pt idx="22">
                  <c:v>2.045104004078691</c:v>
                </c:pt>
                <c:pt idx="23">
                  <c:v>2.2333503403945816</c:v>
                </c:pt>
                <c:pt idx="24">
                  <c:v>2.2211693281112108</c:v>
                </c:pt>
                <c:pt idx="25">
                  <c:v>1.5681686735279765</c:v>
                </c:pt>
                <c:pt idx="26">
                  <c:v>1.8733599094611826</c:v>
                </c:pt>
                <c:pt idx="27">
                  <c:v>1.7523319808298365</c:v>
                </c:pt>
                <c:pt idx="28">
                  <c:v>1.8727614137878958</c:v>
                </c:pt>
                <c:pt idx="29">
                  <c:v>1.8295890189092749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6.0021640188767602</c:v>
                </c:pt>
                <c:pt idx="1">
                  <c:v>6.1054581393237708</c:v>
                </c:pt>
                <c:pt idx="2">
                  <c:v>6.0926361355893652</c:v>
                </c:pt>
                <c:pt idx="3">
                  <c:v>6.1573942638315762</c:v>
                </c:pt>
                <c:pt idx="4">
                  <c:v>6.0459496281058325</c:v>
                </c:pt>
                <c:pt idx="5">
                  <c:v>5.8196486638872891</c:v>
                </c:pt>
                <c:pt idx="6">
                  <c:v>6.0631097917924901</c:v>
                </c:pt>
                <c:pt idx="7">
                  <c:v>6.1564038087904578</c:v>
                </c:pt>
                <c:pt idx="8">
                  <c:v>5.8003911408372701</c:v>
                </c:pt>
                <c:pt idx="9">
                  <c:v>6.3658967418975347</c:v>
                </c:pt>
                <c:pt idx="10">
                  <c:v>2.0916517776167058</c:v>
                </c:pt>
                <c:pt idx="11">
                  <c:v>1.9669533153672072</c:v>
                </c:pt>
                <c:pt idx="12">
                  <c:v>1.7680160609563653</c:v>
                </c:pt>
                <c:pt idx="13">
                  <c:v>2.1039121854429337</c:v>
                </c:pt>
                <c:pt idx="14">
                  <c:v>1.7652853328648375</c:v>
                </c:pt>
                <c:pt idx="15">
                  <c:v>1.8934517984419033</c:v>
                </c:pt>
                <c:pt idx="16">
                  <c:v>1.9773415669158321</c:v>
                </c:pt>
                <c:pt idx="17">
                  <c:v>2.1275814068418195</c:v>
                </c:pt>
                <c:pt idx="18">
                  <c:v>2.2356953100120149</c:v>
                </c:pt>
                <c:pt idx="19">
                  <c:v>1.7722482972024287</c:v>
                </c:pt>
                <c:pt idx="20">
                  <c:v>7.3672527242633183</c:v>
                </c:pt>
                <c:pt idx="21">
                  <c:v>5.9919284568409976</c:v>
                </c:pt>
                <c:pt idx="22">
                  <c:v>7.38260253034362</c:v>
                </c:pt>
                <c:pt idx="23">
                  <c:v>6.4115989493760601</c:v>
                </c:pt>
                <c:pt idx="24">
                  <c:v>5.697756934259397</c:v>
                </c:pt>
                <c:pt idx="25">
                  <c:v>6.6584081535459685</c:v>
                </c:pt>
                <c:pt idx="26">
                  <c:v>6.1783148618055135</c:v>
                </c:pt>
                <c:pt idx="27">
                  <c:v>6.4433629955726746</c:v>
                </c:pt>
                <c:pt idx="28">
                  <c:v>6.930930088434347</c:v>
                </c:pt>
                <c:pt idx="29">
                  <c:v>5.2615989816557622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4.6936519346973657</c:v>
                </c:pt>
                <c:pt idx="1">
                  <c:v>4.0976793852212348</c:v>
                </c:pt>
                <c:pt idx="2">
                  <c:v>4.8428238201250888</c:v>
                </c:pt>
                <c:pt idx="3">
                  <c:v>4.3854910295150669</c:v>
                </c:pt>
                <c:pt idx="4">
                  <c:v>3.5759039207935994</c:v>
                </c:pt>
                <c:pt idx="5">
                  <c:v>2.6165185777299804</c:v>
                </c:pt>
                <c:pt idx="6">
                  <c:v>3.5675558212003939</c:v>
                </c:pt>
                <c:pt idx="7">
                  <c:v>4.539503182110888</c:v>
                </c:pt>
                <c:pt idx="8">
                  <c:v>4.0862965912658895</c:v>
                </c:pt>
                <c:pt idx="9">
                  <c:v>4.1595133452120256</c:v>
                </c:pt>
                <c:pt idx="10">
                  <c:v>2.2989014692561467</c:v>
                </c:pt>
                <c:pt idx="11">
                  <c:v>1.1308516558421391</c:v>
                </c:pt>
                <c:pt idx="12">
                  <c:v>1.8534356116997293</c:v>
                </c:pt>
                <c:pt idx="13">
                  <c:v>2.1710410856672824</c:v>
                </c:pt>
                <c:pt idx="14">
                  <c:v>1.9969975302096337</c:v>
                </c:pt>
                <c:pt idx="15">
                  <c:v>2.0549967284829957</c:v>
                </c:pt>
                <c:pt idx="16">
                  <c:v>2.6886789926107539</c:v>
                </c:pt>
                <c:pt idx="17">
                  <c:v>1.9125175779196233</c:v>
                </c:pt>
                <c:pt idx="18">
                  <c:v>2.3941758077897108</c:v>
                </c:pt>
                <c:pt idx="19">
                  <c:v>2.2958366984186127</c:v>
                </c:pt>
                <c:pt idx="20">
                  <c:v>1.8826144496146582</c:v>
                </c:pt>
                <c:pt idx="21">
                  <c:v>1.7232149239968617</c:v>
                </c:pt>
                <c:pt idx="22">
                  <c:v>2.045104004078691</c:v>
                </c:pt>
                <c:pt idx="23">
                  <c:v>2.2333503403945816</c:v>
                </c:pt>
                <c:pt idx="24">
                  <c:v>2.2211693281112108</c:v>
                </c:pt>
                <c:pt idx="25">
                  <c:v>1.5681686735279765</c:v>
                </c:pt>
                <c:pt idx="26">
                  <c:v>1.8733599094611826</c:v>
                </c:pt>
                <c:pt idx="27">
                  <c:v>1.7523319808298365</c:v>
                </c:pt>
                <c:pt idx="28">
                  <c:v>1.8727614137878958</c:v>
                </c:pt>
                <c:pt idx="29">
                  <c:v>1.8295890189092749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6.0021640188767602</c:v>
                </c:pt>
                <c:pt idx="1">
                  <c:v>6.1054581393237708</c:v>
                </c:pt>
                <c:pt idx="2">
                  <c:v>6.0926361355893652</c:v>
                </c:pt>
                <c:pt idx="3">
                  <c:v>6.1573942638315762</c:v>
                </c:pt>
                <c:pt idx="4">
                  <c:v>6.0459496281058325</c:v>
                </c:pt>
                <c:pt idx="5">
                  <c:v>5.8196486638872891</c:v>
                </c:pt>
                <c:pt idx="6">
                  <c:v>6.0631097917924901</c:v>
                </c:pt>
                <c:pt idx="7">
                  <c:v>6.1564038087904578</c:v>
                </c:pt>
                <c:pt idx="8">
                  <c:v>5.8003911408372701</c:v>
                </c:pt>
                <c:pt idx="9">
                  <c:v>6.3658967418975347</c:v>
                </c:pt>
                <c:pt idx="10">
                  <c:v>2.0916517776167058</c:v>
                </c:pt>
                <c:pt idx="11">
                  <c:v>1.9669533153672072</c:v>
                </c:pt>
                <c:pt idx="12">
                  <c:v>1.7680160609563653</c:v>
                </c:pt>
                <c:pt idx="13">
                  <c:v>2.1039121854429337</c:v>
                </c:pt>
                <c:pt idx="14">
                  <c:v>1.7652853328648375</c:v>
                </c:pt>
                <c:pt idx="15">
                  <c:v>1.8934517984419033</c:v>
                </c:pt>
                <c:pt idx="16">
                  <c:v>1.9773415669158321</c:v>
                </c:pt>
                <c:pt idx="17">
                  <c:v>2.1275814068418195</c:v>
                </c:pt>
                <c:pt idx="18">
                  <c:v>2.2356953100120149</c:v>
                </c:pt>
                <c:pt idx="19">
                  <c:v>1.7722482972024287</c:v>
                </c:pt>
                <c:pt idx="20">
                  <c:v>7.3672527242633183</c:v>
                </c:pt>
                <c:pt idx="21">
                  <c:v>5.9919284568409976</c:v>
                </c:pt>
                <c:pt idx="22">
                  <c:v>7.38260253034362</c:v>
                </c:pt>
                <c:pt idx="23">
                  <c:v>6.4115989493760601</c:v>
                </c:pt>
                <c:pt idx="24">
                  <c:v>5.697756934259397</c:v>
                </c:pt>
                <c:pt idx="25">
                  <c:v>6.6584081535459685</c:v>
                </c:pt>
                <c:pt idx="26">
                  <c:v>6.1783148618055135</c:v>
                </c:pt>
                <c:pt idx="27">
                  <c:v>6.4433629955726746</c:v>
                </c:pt>
                <c:pt idx="28">
                  <c:v>6.930930088434347</c:v>
                </c:pt>
                <c:pt idx="29">
                  <c:v>5.2615989816557622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4.6936519346973657</c:v>
                </c:pt>
                <c:pt idx="1">
                  <c:v>4.0976793852212348</c:v>
                </c:pt>
                <c:pt idx="2">
                  <c:v>4.8428238201250888</c:v>
                </c:pt>
                <c:pt idx="3">
                  <c:v>4.3854910295150669</c:v>
                </c:pt>
                <c:pt idx="4">
                  <c:v>3.5759039207935994</c:v>
                </c:pt>
                <c:pt idx="5">
                  <c:v>2.6165185777299804</c:v>
                </c:pt>
                <c:pt idx="6">
                  <c:v>3.5675558212003939</c:v>
                </c:pt>
                <c:pt idx="7">
                  <c:v>4.539503182110888</c:v>
                </c:pt>
                <c:pt idx="8">
                  <c:v>4.0862965912658895</c:v>
                </c:pt>
                <c:pt idx="9">
                  <c:v>4.1595133452120256</c:v>
                </c:pt>
                <c:pt idx="10">
                  <c:v>2.2989014692561467</c:v>
                </c:pt>
                <c:pt idx="11">
                  <c:v>1.1308516558421391</c:v>
                </c:pt>
                <c:pt idx="12">
                  <c:v>1.8534356116997293</c:v>
                </c:pt>
                <c:pt idx="13">
                  <c:v>2.1710410856672824</c:v>
                </c:pt>
                <c:pt idx="14">
                  <c:v>1.9969975302096337</c:v>
                </c:pt>
                <c:pt idx="15">
                  <c:v>2.0549967284829957</c:v>
                </c:pt>
                <c:pt idx="16">
                  <c:v>2.6886789926107539</c:v>
                </c:pt>
                <c:pt idx="17">
                  <c:v>1.9125175779196233</c:v>
                </c:pt>
                <c:pt idx="18">
                  <c:v>2.3941758077897108</c:v>
                </c:pt>
                <c:pt idx="19">
                  <c:v>2.2958366984186127</c:v>
                </c:pt>
                <c:pt idx="20">
                  <c:v>1.8826144496146582</c:v>
                </c:pt>
                <c:pt idx="21">
                  <c:v>1.7232149239968617</c:v>
                </c:pt>
                <c:pt idx="22">
                  <c:v>2.045104004078691</c:v>
                </c:pt>
                <c:pt idx="23">
                  <c:v>2.2333503403945816</c:v>
                </c:pt>
                <c:pt idx="24">
                  <c:v>2.2211693281112108</c:v>
                </c:pt>
                <c:pt idx="25">
                  <c:v>1.5681686735279765</c:v>
                </c:pt>
                <c:pt idx="26">
                  <c:v>1.8733599094611826</c:v>
                </c:pt>
                <c:pt idx="27">
                  <c:v>1.7523319808298365</c:v>
                </c:pt>
                <c:pt idx="28">
                  <c:v>1.8727614137878958</c:v>
                </c:pt>
                <c:pt idx="29">
                  <c:v>1.8295890189092749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6.0021640188767602</c:v>
                </c:pt>
                <c:pt idx="1">
                  <c:v>6.1054581393237708</c:v>
                </c:pt>
                <c:pt idx="2">
                  <c:v>6.0926361355893652</c:v>
                </c:pt>
                <c:pt idx="3">
                  <c:v>6.1573942638315762</c:v>
                </c:pt>
                <c:pt idx="4">
                  <c:v>6.0459496281058325</c:v>
                </c:pt>
                <c:pt idx="5">
                  <c:v>5.8196486638872891</c:v>
                </c:pt>
                <c:pt idx="6">
                  <c:v>6.0631097917924901</c:v>
                </c:pt>
                <c:pt idx="7">
                  <c:v>6.1564038087904578</c:v>
                </c:pt>
                <c:pt idx="8">
                  <c:v>5.8003911408372701</c:v>
                </c:pt>
                <c:pt idx="9">
                  <c:v>6.3658967418975347</c:v>
                </c:pt>
                <c:pt idx="10">
                  <c:v>2.0916517776167058</c:v>
                </c:pt>
                <c:pt idx="11">
                  <c:v>1.9669533153672072</c:v>
                </c:pt>
                <c:pt idx="12">
                  <c:v>1.7680160609563653</c:v>
                </c:pt>
                <c:pt idx="13">
                  <c:v>2.1039121854429337</c:v>
                </c:pt>
                <c:pt idx="14">
                  <c:v>1.7652853328648375</c:v>
                </c:pt>
                <c:pt idx="15">
                  <c:v>1.8934517984419033</c:v>
                </c:pt>
                <c:pt idx="16">
                  <c:v>1.9773415669158321</c:v>
                </c:pt>
                <c:pt idx="17">
                  <c:v>2.1275814068418195</c:v>
                </c:pt>
                <c:pt idx="18">
                  <c:v>2.2356953100120149</c:v>
                </c:pt>
                <c:pt idx="19">
                  <c:v>1.7722482972024287</c:v>
                </c:pt>
                <c:pt idx="20">
                  <c:v>7.3672527242633183</c:v>
                </c:pt>
                <c:pt idx="21">
                  <c:v>5.9919284568409976</c:v>
                </c:pt>
                <c:pt idx="22">
                  <c:v>7.38260253034362</c:v>
                </c:pt>
                <c:pt idx="23">
                  <c:v>6.4115989493760601</c:v>
                </c:pt>
                <c:pt idx="24">
                  <c:v>5.697756934259397</c:v>
                </c:pt>
                <c:pt idx="25">
                  <c:v>6.6584081535459685</c:v>
                </c:pt>
                <c:pt idx="26">
                  <c:v>6.1783148618055135</c:v>
                </c:pt>
                <c:pt idx="27">
                  <c:v>6.4433629955726746</c:v>
                </c:pt>
                <c:pt idx="28">
                  <c:v>6.930930088434347</c:v>
                </c:pt>
                <c:pt idx="29">
                  <c:v>5.2615989816557622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1.1777208249690989</c:v>
                </c:pt>
                <c:pt idx="1">
                  <c:v>2.0467276609633842</c:v>
                </c:pt>
                <c:pt idx="2">
                  <c:v>-6.837122863968581E-2</c:v>
                </c:pt>
                <c:pt idx="3">
                  <c:v>4.5803768213299199</c:v>
                </c:pt>
                <c:pt idx="4">
                  <c:v>3.2420941967366046</c:v>
                </c:pt>
                <c:pt idx="5">
                  <c:v>4.4925359633414663</c:v>
                </c:pt>
                <c:pt idx="6">
                  <c:v>7.065269876249574</c:v>
                </c:pt>
                <c:pt idx="7">
                  <c:v>7.600547356446997</c:v>
                </c:pt>
                <c:pt idx="8">
                  <c:v>9.6667771431180949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1.479720837303357</c:v>
                </c:pt>
                <c:pt idx="1">
                  <c:v>1.1413535574131553</c:v>
                </c:pt>
                <c:pt idx="2">
                  <c:v>2.5302354437072676</c:v>
                </c:pt>
                <c:pt idx="3">
                  <c:v>3.8825841868697637</c:v>
                </c:pt>
                <c:pt idx="4">
                  <c:v>3.1910056205372426</c:v>
                </c:pt>
                <c:pt idx="5">
                  <c:v>2.6469054584357767</c:v>
                </c:pt>
                <c:pt idx="6">
                  <c:v>8.0483406859554947</c:v>
                </c:pt>
                <c:pt idx="7">
                  <c:v>8.1653026897717549</c:v>
                </c:pt>
                <c:pt idx="8">
                  <c:v>5.9858984529912416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1.0520257524309324</c:v>
                </c:pt>
                <c:pt idx="1">
                  <c:v>4.1050023271359963</c:v>
                </c:pt>
                <c:pt idx="2">
                  <c:v>8.1108647919382211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1.7171032794745933</c:v>
                </c:pt>
                <c:pt idx="1">
                  <c:v>3.2401650886142606</c:v>
                </c:pt>
                <c:pt idx="2">
                  <c:v>7.3998472762394982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{7DE62923-7089-FC4E-ADD5-C3CBBB139871}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{B3D890D9-0DCC-5B42-B542-CF6FF80A5B56}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{27D7CDF7-B2B2-0747-BC35-18494DA4B1F3}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{C308269C-9A6E-4C4E-80B3-65CAAEDBBC42}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{98906F14-783E-8C4B-A7F6-09F7C90ED684}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{592DF46B-08EB-BA4D-AC89-8477B647B85D}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{B0A85A3C-AD5B-CD4F-A210-B18B728CE71B}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{776FBA0A-321A-F048-A5DC-0300785E3873}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{A990B1BC-4248-FB40-81B9-43564E3493B2}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{8358DC12-234F-5944-9087-69C80F709530}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{05B71944-18AB-694D-B21B-2C187375D2D4}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{756FBCCD-4994-6147-BC5E-3C5B80B020C4}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en.wikipedia.org/wiki/Precision_and_recal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n.wikipedia.org/wiki/Sensitivity_and_specificity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103</v>
      </c>
    </row>
    <row r="4" spans="2:3" x14ac:dyDescent="0.3">
      <c r="B4" s="1" t="s">
        <v>10</v>
      </c>
    </row>
    <row r="6" spans="2:3" x14ac:dyDescent="0.3">
      <c r="B6" s="1" t="s">
        <v>9</v>
      </c>
    </row>
    <row r="7" spans="2:3" x14ac:dyDescent="0.3">
      <c r="C7" s="1" t="s">
        <v>100</v>
      </c>
    </row>
    <row r="8" spans="2:3" x14ac:dyDescent="0.3">
      <c r="C8" s="1" t="s">
        <v>101</v>
      </c>
    </row>
    <row r="9" spans="2:3" x14ac:dyDescent="0.3">
      <c r="C9" s="1" t="s">
        <v>102</v>
      </c>
    </row>
    <row r="10" spans="2:3" x14ac:dyDescent="0.3">
      <c r="C10" s="1" t="s">
        <v>151</v>
      </c>
    </row>
    <row r="12" spans="2:3" x14ac:dyDescent="0.3">
      <c r="B12" s="1" t="s">
        <v>16</v>
      </c>
    </row>
    <row r="14" spans="2:3" x14ac:dyDescent="0.3">
      <c r="B14" s="1" t="s">
        <v>104</v>
      </c>
    </row>
    <row r="16" spans="2:3" x14ac:dyDescent="0.3">
      <c r="B16" s="1" t="s">
        <v>105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2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0</v>
      </c>
    </row>
    <row r="4" spans="2:3" x14ac:dyDescent="0.3">
      <c r="B4" s="1" t="s">
        <v>1</v>
      </c>
    </row>
    <row r="6" spans="2:3" x14ac:dyDescent="0.3">
      <c r="B6" s="1" t="s">
        <v>2</v>
      </c>
    </row>
    <row r="8" spans="2:3" x14ac:dyDescent="0.3">
      <c r="B8" s="1" t="s">
        <v>3</v>
      </c>
    </row>
    <row r="10" spans="2:3" x14ac:dyDescent="0.3">
      <c r="B10" s="1" t="s">
        <v>69</v>
      </c>
    </row>
    <row r="13" spans="2:3" x14ac:dyDescent="0.3">
      <c r="C13" s="22" t="s">
        <v>72</v>
      </c>
    </row>
    <row r="14" spans="2:3" x14ac:dyDescent="0.3">
      <c r="C14" s="1" t="s">
        <v>73</v>
      </c>
    </row>
    <row r="15" spans="2:3" x14ac:dyDescent="0.3">
      <c r="C15" s="1" t="s">
        <v>74</v>
      </c>
    </row>
    <row r="16" spans="2:3" x14ac:dyDescent="0.3">
      <c r="C16" s="1" t="s">
        <v>75</v>
      </c>
    </row>
    <row r="17" spans="2:3" x14ac:dyDescent="0.3">
      <c r="C17" s="1" t="s">
        <v>76</v>
      </c>
    </row>
    <row r="18" spans="2:3" x14ac:dyDescent="0.3">
      <c r="C18" s="1" t="s">
        <v>77</v>
      </c>
    </row>
    <row r="20" spans="2:3" x14ac:dyDescent="0.3">
      <c r="B20" s="1" t="s">
        <v>154</v>
      </c>
    </row>
    <row r="22" spans="2:3" x14ac:dyDescent="0.3">
      <c r="B22" s="1" t="s">
        <v>156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0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8</v>
      </c>
    </row>
    <row r="2" spans="1:1" x14ac:dyDescent="0.25">
      <c r="A2" s="2" t="s">
        <v>11</v>
      </c>
    </row>
    <row r="3" spans="1:1" x14ac:dyDescent="0.25">
      <c r="A3" s="2" t="s">
        <v>32</v>
      </c>
    </row>
    <row r="4" spans="1:1" x14ac:dyDescent="0.25">
      <c r="A4" s="2" t="s">
        <v>33</v>
      </c>
    </row>
    <row r="5" spans="1:1" x14ac:dyDescent="0.25">
      <c r="A5" s="2" t="s">
        <v>140</v>
      </c>
    </row>
    <row r="6" spans="1:1" x14ac:dyDescent="0.25">
      <c r="A6" s="2" t="s">
        <v>31</v>
      </c>
    </row>
    <row r="7" spans="1:1" x14ac:dyDescent="0.25">
      <c r="A7" s="2" t="s">
        <v>139</v>
      </c>
    </row>
    <row r="8" spans="1:1" x14ac:dyDescent="0.25">
      <c r="A8" s="2" t="s">
        <v>151</v>
      </c>
    </row>
    <row r="9" spans="1:1" x14ac:dyDescent="0.25">
      <c r="A9" s="2" t="s">
        <v>354</v>
      </c>
    </row>
    <row r="10" spans="1:1" x14ac:dyDescent="0.25">
      <c r="A10" s="2" t="s">
        <v>355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9"/>
    <col min="11" max="11" width="15.83203125" style="29" bestFit="1" customWidth="1"/>
    <col min="12" max="12" width="10.83203125" style="29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8</v>
      </c>
      <c r="L2" s="30" t="s">
        <v>119</v>
      </c>
      <c r="M2" s="31"/>
      <c r="N2" s="31"/>
      <c r="O2" s="31"/>
      <c r="P2" s="31"/>
      <c r="Q2" s="31"/>
      <c r="R2" s="31"/>
      <c r="S2" s="31"/>
      <c r="T2" s="31"/>
    </row>
    <row r="3" spans="2:20" x14ac:dyDescent="0.25">
      <c r="B3" s="3" t="s">
        <v>23</v>
      </c>
      <c r="C3" s="3"/>
      <c r="L3" s="30" t="s">
        <v>115</v>
      </c>
      <c r="M3" s="31"/>
      <c r="N3" s="31"/>
      <c r="O3" s="31"/>
      <c r="P3" s="31"/>
      <c r="Q3" s="31"/>
      <c r="R3" s="31"/>
      <c r="S3" s="31"/>
      <c r="T3" s="31"/>
    </row>
    <row r="4" spans="2:20" x14ac:dyDescent="0.25">
      <c r="B4" s="2" t="s">
        <v>22</v>
      </c>
      <c r="L4" s="30" t="s">
        <v>116</v>
      </c>
      <c r="M4" s="31"/>
      <c r="N4" s="31"/>
      <c r="O4" s="31"/>
      <c r="P4" s="31"/>
      <c r="Q4" s="31"/>
      <c r="R4" s="31"/>
      <c r="S4" s="31"/>
      <c r="T4" s="31"/>
    </row>
    <row r="5" spans="2:20" x14ac:dyDescent="0.25">
      <c r="B5" s="2" t="s">
        <v>21</v>
      </c>
      <c r="L5" s="30" t="s">
        <v>117</v>
      </c>
      <c r="M5" s="31"/>
      <c r="N5" s="31"/>
      <c r="O5" s="31"/>
      <c r="P5" s="31"/>
      <c r="Q5" s="31"/>
      <c r="R5" s="31"/>
      <c r="S5" s="31"/>
      <c r="T5" s="31"/>
    </row>
    <row r="6" spans="2:20" x14ac:dyDescent="0.25">
      <c r="L6" s="30" t="s">
        <v>118</v>
      </c>
      <c r="M6" s="31"/>
      <c r="N6" s="31"/>
      <c r="O6" s="31"/>
      <c r="P6" s="31"/>
      <c r="Q6" s="31"/>
      <c r="R6" s="31"/>
      <c r="S6" s="31"/>
      <c r="T6" s="31"/>
    </row>
    <row r="7" spans="2:20" x14ac:dyDescent="0.25">
      <c r="B7" s="4" t="s">
        <v>4</v>
      </c>
      <c r="C7" s="4" t="s">
        <v>5</v>
      </c>
      <c r="E7" s="4" t="s">
        <v>8</v>
      </c>
      <c r="G7" s="29" t="s">
        <v>110</v>
      </c>
      <c r="H7" s="29" t="s">
        <v>111</v>
      </c>
      <c r="I7" s="29" t="s">
        <v>109</v>
      </c>
      <c r="J7" s="29" t="s">
        <v>112</v>
      </c>
    </row>
    <row r="8" spans="2:20" x14ac:dyDescent="0.25">
      <c r="B8" s="2" t="s">
        <v>6</v>
      </c>
      <c r="C8" s="2" t="s">
        <v>6</v>
      </c>
      <c r="E8" s="2" cm="1">
        <f t="array" ref="E8">SUM((B8:B27=C8:C27)*(C8:C27="Sick"))/SUM((C8:C27="Sick")*1)</f>
        <v>0.66666666666666663</v>
      </c>
      <c r="G8" s="29" t="str">
        <f>IF(B8="Sick","Positive","Negative")</f>
        <v>Positive</v>
      </c>
      <c r="H8" s="29" t="str">
        <f>IF(B8=C8,"True","False")</f>
        <v>True</v>
      </c>
      <c r="I8" s="29">
        <f>(H8="TRUE") * (G8="Positive")</f>
        <v>1</v>
      </c>
      <c r="J8" s="29">
        <f>(H8="False") * (G8="Negative")</f>
        <v>0</v>
      </c>
      <c r="K8" s="29" t="s">
        <v>109</v>
      </c>
    </row>
    <row r="9" spans="2:20" x14ac:dyDescent="0.25">
      <c r="B9" s="2" t="s">
        <v>7</v>
      </c>
      <c r="C9" s="2" t="s">
        <v>6</v>
      </c>
      <c r="G9" s="29" t="str">
        <f t="shared" ref="G9:G27" si="0">IF(B9="Sick","Positive","Negative")</f>
        <v>Negative</v>
      </c>
      <c r="H9" s="29" t="str">
        <f t="shared" ref="H9:H27" si="1">IF(B9=C9,"True","False")</f>
        <v>False</v>
      </c>
      <c r="I9" s="29">
        <f t="shared" ref="I9:I27" si="2">(H9="TRUE") * (G9="Positive")</f>
        <v>0</v>
      </c>
      <c r="J9" s="29">
        <f t="shared" ref="J9:J27" si="3">(H9="False") * (G9="Negative")</f>
        <v>1</v>
      </c>
      <c r="K9" s="29">
        <f>SUM(I8:I27)</f>
        <v>8</v>
      </c>
      <c r="M9" s="2" t="s">
        <v>114</v>
      </c>
      <c r="R9" s="2" t="s">
        <v>100</v>
      </c>
    </row>
    <row r="10" spans="2:20" x14ac:dyDescent="0.25">
      <c r="B10" s="2" t="s">
        <v>7</v>
      </c>
      <c r="C10" s="2" t="s">
        <v>6</v>
      </c>
      <c r="G10" s="29" t="str">
        <f t="shared" si="0"/>
        <v>Negative</v>
      </c>
      <c r="H10" s="29" t="str">
        <f t="shared" si="1"/>
        <v>False</v>
      </c>
      <c r="I10" s="29">
        <f t="shared" si="2"/>
        <v>0</v>
      </c>
      <c r="J10" s="29">
        <f t="shared" si="3"/>
        <v>1</v>
      </c>
    </row>
    <row r="11" spans="2:20" x14ac:dyDescent="0.25">
      <c r="B11" s="2" t="s">
        <v>7</v>
      </c>
      <c r="C11" s="2" t="s">
        <v>7</v>
      </c>
      <c r="G11" s="29" t="str">
        <f t="shared" si="0"/>
        <v>Negative</v>
      </c>
      <c r="H11" s="29" t="str">
        <f t="shared" si="1"/>
        <v>True</v>
      </c>
      <c r="I11" s="29">
        <f t="shared" si="2"/>
        <v>0</v>
      </c>
      <c r="J11" s="29">
        <f t="shared" si="3"/>
        <v>0</v>
      </c>
      <c r="K11" s="29" t="s">
        <v>112</v>
      </c>
      <c r="S11"/>
    </row>
    <row r="12" spans="2:20" x14ac:dyDescent="0.25">
      <c r="B12" s="2" t="s">
        <v>6</v>
      </c>
      <c r="C12" s="2" t="s">
        <v>7</v>
      </c>
      <c r="G12" s="29" t="str">
        <f t="shared" si="0"/>
        <v>Positive</v>
      </c>
      <c r="H12" s="29" t="str">
        <f t="shared" si="1"/>
        <v>False</v>
      </c>
      <c r="I12" s="29">
        <f t="shared" si="2"/>
        <v>0</v>
      </c>
      <c r="J12" s="29">
        <f t="shared" si="3"/>
        <v>0</v>
      </c>
      <c r="K12" s="29">
        <f>SUM(J8:J27)</f>
        <v>4</v>
      </c>
    </row>
    <row r="13" spans="2:20" x14ac:dyDescent="0.25">
      <c r="B13" s="2" t="s">
        <v>7</v>
      </c>
      <c r="C13" s="2" t="s">
        <v>7</v>
      </c>
      <c r="G13" s="29" t="str">
        <f t="shared" si="0"/>
        <v>Negative</v>
      </c>
      <c r="H13" s="29" t="str">
        <f t="shared" si="1"/>
        <v>True</v>
      </c>
      <c r="I13" s="29">
        <f t="shared" si="2"/>
        <v>0</v>
      </c>
      <c r="J13" s="29">
        <f t="shared" si="3"/>
        <v>0</v>
      </c>
    </row>
    <row r="14" spans="2:20" x14ac:dyDescent="0.25">
      <c r="B14" s="2" t="s">
        <v>6</v>
      </c>
      <c r="C14" s="2" t="s">
        <v>6</v>
      </c>
      <c r="G14" s="29" t="str">
        <f t="shared" si="0"/>
        <v>Positive</v>
      </c>
      <c r="H14" s="29" t="str">
        <f t="shared" si="1"/>
        <v>True</v>
      </c>
      <c r="I14" s="29">
        <f t="shared" si="2"/>
        <v>1</v>
      </c>
      <c r="J14" s="29">
        <f t="shared" si="3"/>
        <v>0</v>
      </c>
      <c r="K14" s="29" t="s">
        <v>113</v>
      </c>
    </row>
    <row r="15" spans="2:20" x14ac:dyDescent="0.25">
      <c r="B15" s="2" t="s">
        <v>7</v>
      </c>
      <c r="C15" s="2" t="s">
        <v>7</v>
      </c>
      <c r="G15" s="29" t="str">
        <f t="shared" si="0"/>
        <v>Negative</v>
      </c>
      <c r="H15" s="29" t="str">
        <f t="shared" si="1"/>
        <v>True</v>
      </c>
      <c r="I15" s="29">
        <f t="shared" si="2"/>
        <v>0</v>
      </c>
      <c r="J15" s="29">
        <f t="shared" si="3"/>
        <v>0</v>
      </c>
      <c r="K15" s="29">
        <f>K9/(K9+K12)</f>
        <v>0.66666666666666663</v>
      </c>
    </row>
    <row r="16" spans="2:20" x14ac:dyDescent="0.25">
      <c r="B16" s="2" t="s">
        <v>6</v>
      </c>
      <c r="C16" s="2" t="s">
        <v>6</v>
      </c>
      <c r="G16" s="29" t="str">
        <f t="shared" si="0"/>
        <v>Positive</v>
      </c>
      <c r="H16" s="29" t="str">
        <f t="shared" si="1"/>
        <v>True</v>
      </c>
      <c r="I16" s="29">
        <f t="shared" si="2"/>
        <v>1</v>
      </c>
      <c r="J16" s="29">
        <f t="shared" si="3"/>
        <v>0</v>
      </c>
    </row>
    <row r="17" spans="2:10" x14ac:dyDescent="0.25">
      <c r="B17" s="2" t="s">
        <v>7</v>
      </c>
      <c r="C17" s="2" t="s">
        <v>6</v>
      </c>
      <c r="G17" s="29" t="str">
        <f t="shared" si="0"/>
        <v>Negative</v>
      </c>
      <c r="H17" s="29" t="str">
        <f t="shared" si="1"/>
        <v>False</v>
      </c>
      <c r="I17" s="29">
        <f t="shared" si="2"/>
        <v>0</v>
      </c>
      <c r="J17" s="29">
        <f t="shared" si="3"/>
        <v>1</v>
      </c>
    </row>
    <row r="18" spans="2:10" x14ac:dyDescent="0.25">
      <c r="B18" s="2" t="s">
        <v>6</v>
      </c>
      <c r="C18" s="2" t="s">
        <v>6</v>
      </c>
      <c r="G18" s="29" t="str">
        <f t="shared" si="0"/>
        <v>Positive</v>
      </c>
      <c r="H18" s="29" t="str">
        <f t="shared" si="1"/>
        <v>True</v>
      </c>
      <c r="I18" s="29">
        <f t="shared" si="2"/>
        <v>1</v>
      </c>
      <c r="J18" s="29">
        <f t="shared" si="3"/>
        <v>0</v>
      </c>
    </row>
    <row r="19" spans="2:10" x14ac:dyDescent="0.25">
      <c r="B19" s="2" t="s">
        <v>6</v>
      </c>
      <c r="C19" s="2" t="s">
        <v>6</v>
      </c>
      <c r="G19" s="29" t="str">
        <f t="shared" si="0"/>
        <v>Positive</v>
      </c>
      <c r="H19" s="29" t="str">
        <f t="shared" si="1"/>
        <v>True</v>
      </c>
      <c r="I19" s="29">
        <f t="shared" si="2"/>
        <v>1</v>
      </c>
      <c r="J19" s="29">
        <f t="shared" si="3"/>
        <v>0</v>
      </c>
    </row>
    <row r="20" spans="2:10" x14ac:dyDescent="0.25">
      <c r="B20" s="2" t="s">
        <v>6</v>
      </c>
      <c r="C20" s="2" t="s">
        <v>7</v>
      </c>
      <c r="G20" s="29" t="str">
        <f t="shared" si="0"/>
        <v>Positive</v>
      </c>
      <c r="H20" s="29" t="str">
        <f t="shared" si="1"/>
        <v>False</v>
      </c>
      <c r="I20" s="29">
        <f t="shared" si="2"/>
        <v>0</v>
      </c>
      <c r="J20" s="29">
        <f t="shared" si="3"/>
        <v>0</v>
      </c>
    </row>
    <row r="21" spans="2:10" x14ac:dyDescent="0.25">
      <c r="B21" s="2" t="s">
        <v>7</v>
      </c>
      <c r="C21" s="2" t="s">
        <v>7</v>
      </c>
      <c r="G21" s="29" t="str">
        <f t="shared" si="0"/>
        <v>Negative</v>
      </c>
      <c r="H21" s="29" t="str">
        <f t="shared" si="1"/>
        <v>True</v>
      </c>
      <c r="I21" s="29">
        <f t="shared" si="2"/>
        <v>0</v>
      </c>
      <c r="J21" s="29">
        <f t="shared" si="3"/>
        <v>0</v>
      </c>
    </row>
    <row r="22" spans="2:10" x14ac:dyDescent="0.25">
      <c r="B22" s="2" t="s">
        <v>7</v>
      </c>
      <c r="C22" s="2" t="s">
        <v>6</v>
      </c>
      <c r="G22" s="29" t="str">
        <f t="shared" si="0"/>
        <v>Negative</v>
      </c>
      <c r="H22" s="29" t="str">
        <f t="shared" si="1"/>
        <v>False</v>
      </c>
      <c r="I22" s="29">
        <f t="shared" si="2"/>
        <v>0</v>
      </c>
      <c r="J22" s="29">
        <f t="shared" si="3"/>
        <v>1</v>
      </c>
    </row>
    <row r="23" spans="2:10" x14ac:dyDescent="0.25">
      <c r="B23" s="2" t="s">
        <v>6</v>
      </c>
      <c r="C23" s="2" t="s">
        <v>6</v>
      </c>
      <c r="G23" s="29" t="str">
        <f t="shared" si="0"/>
        <v>Positive</v>
      </c>
      <c r="H23" s="29" t="str">
        <f t="shared" si="1"/>
        <v>True</v>
      </c>
      <c r="I23" s="29">
        <f t="shared" si="2"/>
        <v>1</v>
      </c>
      <c r="J23" s="29">
        <f t="shared" si="3"/>
        <v>0</v>
      </c>
    </row>
    <row r="24" spans="2:10" x14ac:dyDescent="0.25">
      <c r="B24" s="2" t="s">
        <v>7</v>
      </c>
      <c r="C24" s="2" t="s">
        <v>7</v>
      </c>
      <c r="G24" s="29" t="str">
        <f t="shared" si="0"/>
        <v>Negative</v>
      </c>
      <c r="H24" s="29" t="str">
        <f t="shared" si="1"/>
        <v>True</v>
      </c>
      <c r="I24" s="29">
        <f t="shared" si="2"/>
        <v>0</v>
      </c>
      <c r="J24" s="29">
        <f t="shared" si="3"/>
        <v>0</v>
      </c>
    </row>
    <row r="25" spans="2:10" x14ac:dyDescent="0.25">
      <c r="B25" s="2" t="s">
        <v>7</v>
      </c>
      <c r="C25" s="2" t="s">
        <v>7</v>
      </c>
      <c r="G25" s="29" t="str">
        <f t="shared" si="0"/>
        <v>Negative</v>
      </c>
      <c r="H25" s="29" t="str">
        <f t="shared" si="1"/>
        <v>True</v>
      </c>
      <c r="I25" s="29">
        <f t="shared" si="2"/>
        <v>0</v>
      </c>
      <c r="J25" s="29">
        <f t="shared" si="3"/>
        <v>0</v>
      </c>
    </row>
    <row r="26" spans="2:10" x14ac:dyDescent="0.25">
      <c r="B26" s="2" t="s">
        <v>6</v>
      </c>
      <c r="C26" s="2" t="s">
        <v>6</v>
      </c>
      <c r="G26" s="29" t="str">
        <f t="shared" si="0"/>
        <v>Positive</v>
      </c>
      <c r="H26" s="29" t="str">
        <f t="shared" si="1"/>
        <v>True</v>
      </c>
      <c r="I26" s="29">
        <f t="shared" si="2"/>
        <v>1</v>
      </c>
      <c r="J26" s="29">
        <f t="shared" si="3"/>
        <v>0</v>
      </c>
    </row>
    <row r="27" spans="2:10" x14ac:dyDescent="0.25">
      <c r="B27" s="2" t="s">
        <v>6</v>
      </c>
      <c r="C27" s="2" t="s">
        <v>6</v>
      </c>
      <c r="G27" s="29" t="str">
        <f t="shared" si="0"/>
        <v>Positive</v>
      </c>
      <c r="H27" s="29" t="str">
        <f t="shared" si="1"/>
        <v>True</v>
      </c>
      <c r="I27" s="29">
        <f t="shared" si="2"/>
        <v>1</v>
      </c>
      <c r="J27" s="29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11</v>
      </c>
      <c r="H2" s="31"/>
      <c r="I2" s="31"/>
      <c r="J2" s="31"/>
      <c r="K2" s="31"/>
      <c r="L2" s="31"/>
      <c r="M2" s="31"/>
    </row>
    <row r="3" spans="2:13" x14ac:dyDescent="0.25">
      <c r="B3" s="3" t="s">
        <v>12</v>
      </c>
      <c r="C3" s="3"/>
      <c r="H3" s="31"/>
      <c r="I3" s="31" t="s">
        <v>120</v>
      </c>
      <c r="J3" s="31"/>
      <c r="K3" s="31"/>
      <c r="L3" s="31"/>
      <c r="M3" s="31"/>
    </row>
    <row r="4" spans="2:13" x14ac:dyDescent="0.25">
      <c r="B4" s="2" t="s">
        <v>13</v>
      </c>
      <c r="H4" s="31"/>
      <c r="I4" s="31"/>
      <c r="J4" s="31"/>
      <c r="K4" s="31"/>
      <c r="L4" s="31"/>
      <c r="M4" s="31"/>
    </row>
    <row r="5" spans="2:13" x14ac:dyDescent="0.25">
      <c r="B5" s="2" t="s">
        <v>14</v>
      </c>
    </row>
    <row r="7" spans="2:13" x14ac:dyDescent="0.25">
      <c r="B7" s="4" t="s">
        <v>4</v>
      </c>
      <c r="C7" s="4" t="s">
        <v>5</v>
      </c>
      <c r="E7" s="4" t="s">
        <v>11</v>
      </c>
    </row>
    <row r="8" spans="2:13" x14ac:dyDescent="0.25">
      <c r="B8" s="2" t="s">
        <v>6</v>
      </c>
      <c r="C8" s="2" t="s">
        <v>6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7</v>
      </c>
      <c r="C9" s="2" t="s">
        <v>6</v>
      </c>
    </row>
    <row r="10" spans="2:13" x14ac:dyDescent="0.25">
      <c r="B10" s="2" t="s">
        <v>6</v>
      </c>
      <c r="C10" s="2" t="s">
        <v>6</v>
      </c>
    </row>
    <row r="11" spans="2:13" x14ac:dyDescent="0.25">
      <c r="B11" s="2" t="s">
        <v>7</v>
      </c>
      <c r="C11" s="2" t="s">
        <v>7</v>
      </c>
      <c r="K11" s="2" t="s">
        <v>15</v>
      </c>
    </row>
    <row r="12" spans="2:13" x14ac:dyDescent="0.25">
      <c r="B12" s="2" t="s">
        <v>6</v>
      </c>
      <c r="C12" s="2" t="s">
        <v>7</v>
      </c>
    </row>
    <row r="13" spans="2:13" x14ac:dyDescent="0.25">
      <c r="B13" s="2" t="s">
        <v>7</v>
      </c>
      <c r="C13" s="2" t="s">
        <v>7</v>
      </c>
    </row>
    <row r="14" spans="2:13" x14ac:dyDescent="0.25">
      <c r="B14" s="2" t="s">
        <v>6</v>
      </c>
      <c r="C14" s="2" t="s">
        <v>6</v>
      </c>
    </row>
    <row r="15" spans="2:13" x14ac:dyDescent="0.25">
      <c r="B15" s="2" t="s">
        <v>7</v>
      </c>
      <c r="C15" s="2" t="s">
        <v>7</v>
      </c>
    </row>
    <row r="16" spans="2:13" x14ac:dyDescent="0.25">
      <c r="B16" s="2" t="s">
        <v>6</v>
      </c>
      <c r="C16" s="2" t="s">
        <v>6</v>
      </c>
    </row>
    <row r="17" spans="2:3" x14ac:dyDescent="0.25">
      <c r="B17" s="2" t="s">
        <v>7</v>
      </c>
      <c r="C17" s="2" t="s">
        <v>6</v>
      </c>
    </row>
    <row r="18" spans="2:3" x14ac:dyDescent="0.25">
      <c r="B18" s="2" t="s">
        <v>6</v>
      </c>
      <c r="C18" s="2" t="s">
        <v>6</v>
      </c>
    </row>
    <row r="19" spans="2:3" x14ac:dyDescent="0.25">
      <c r="B19" s="2" t="s">
        <v>6</v>
      </c>
      <c r="C19" s="2" t="s">
        <v>6</v>
      </c>
    </row>
    <row r="20" spans="2:3" x14ac:dyDescent="0.25">
      <c r="B20" s="2" t="s">
        <v>6</v>
      </c>
      <c r="C20" s="2" t="s">
        <v>7</v>
      </c>
    </row>
    <row r="21" spans="2:3" x14ac:dyDescent="0.25">
      <c r="B21" s="2" t="s">
        <v>7</v>
      </c>
      <c r="C21" s="2" t="s">
        <v>7</v>
      </c>
    </row>
    <row r="22" spans="2:3" x14ac:dyDescent="0.25">
      <c r="B22" s="2" t="s">
        <v>7</v>
      </c>
      <c r="C22" s="2" t="s">
        <v>6</v>
      </c>
    </row>
    <row r="23" spans="2:3" x14ac:dyDescent="0.25">
      <c r="B23" s="2" t="s">
        <v>6</v>
      </c>
      <c r="C23" s="2" t="s">
        <v>6</v>
      </c>
    </row>
    <row r="24" spans="2:3" x14ac:dyDescent="0.25">
      <c r="B24" s="2" t="s">
        <v>7</v>
      </c>
      <c r="C24" s="2" t="s">
        <v>7</v>
      </c>
    </row>
    <row r="25" spans="2:3" x14ac:dyDescent="0.25">
      <c r="B25" s="2" t="s">
        <v>7</v>
      </c>
      <c r="C25" s="2" t="s">
        <v>7</v>
      </c>
    </row>
    <row r="26" spans="2:3" x14ac:dyDescent="0.25">
      <c r="B26" s="2" t="s">
        <v>6</v>
      </c>
      <c r="C26" s="2" t="s">
        <v>6</v>
      </c>
    </row>
    <row r="27" spans="2:3" x14ac:dyDescent="0.25">
      <c r="B27" s="2" t="s">
        <v>7</v>
      </c>
      <c r="C27" s="2" t="s">
        <v>7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9"/>
    <col min="12" max="16384" width="10.83203125" style="5"/>
  </cols>
  <sheetData>
    <row r="2" spans="1:11" x14ac:dyDescent="0.2">
      <c r="B2" s="9" t="s">
        <v>26</v>
      </c>
      <c r="C2" s="9" t="s">
        <v>5</v>
      </c>
      <c r="J2" s="10" t="s">
        <v>29</v>
      </c>
      <c r="K2" s="10" t="s">
        <v>27</v>
      </c>
    </row>
    <row r="3" spans="1:11" x14ac:dyDescent="0.2">
      <c r="A3" s="9">
        <v>1</v>
      </c>
      <c r="B3" s="9">
        <f ca="1">IF(C3="Bomb",_xlfn.NORM.INV(RAND(),0.7,0.1),_xlfn.NORM.INV(RAND(),0.6,0.15))</f>
        <v>0.67528558010299977</v>
      </c>
      <c r="C3" s="9" t="str">
        <f ca="1">IF(RAND()&lt;0.5,"Bomb","Bird")</f>
        <v>Bomb</v>
      </c>
      <c r="E3" s="9" t="s">
        <v>28</v>
      </c>
      <c r="J3" s="11">
        <f ca="1">F7</f>
        <v>0</v>
      </c>
      <c r="K3" s="11">
        <f ca="1">E7</f>
        <v>1</v>
      </c>
    </row>
    <row r="4" spans="1:11" x14ac:dyDescent="0.2">
      <c r="A4" s="9">
        <v>2</v>
      </c>
      <c r="B4" s="9">
        <f t="shared" ref="B4:B67" ca="1" si="0">IF(C4="Bomb",_xlfn.NORM.INV(RAND(),0.7,0.1),_xlfn.NORM.INV(RAND(),0.6,0.15))</f>
        <v>0.5469813271135634</v>
      </c>
      <c r="C4" s="9" t="s">
        <v>24</v>
      </c>
      <c r="E4" s="11">
        <v>0.03</v>
      </c>
      <c r="I4" s="11">
        <v>0.03</v>
      </c>
      <c r="J4" s="12">
        <f t="dataTable" ref="J4:K36" dt2D="0" dtr="0" r1="E4" ca="1"/>
        <v>0</v>
      </c>
      <c r="K4" s="12">
        <v>1</v>
      </c>
    </row>
    <row r="5" spans="1:11" x14ac:dyDescent="0.2">
      <c r="A5" s="9">
        <v>3</v>
      </c>
      <c r="B5" s="9">
        <f t="shared" ca="1" si="0"/>
        <v>0.94349012035149893</v>
      </c>
      <c r="C5" s="9" t="s">
        <v>25</v>
      </c>
      <c r="I5" s="11">
        <v>0.06</v>
      </c>
      <c r="J5" s="12">
        <v>0</v>
      </c>
      <c r="K5" s="12">
        <v>1</v>
      </c>
    </row>
    <row r="6" spans="1:11" x14ac:dyDescent="0.2">
      <c r="A6" s="9">
        <v>4</v>
      </c>
      <c r="B6" s="9">
        <f t="shared" ca="1" si="0"/>
        <v>0.85404402123748657</v>
      </c>
      <c r="C6" s="9" t="s">
        <v>24</v>
      </c>
      <c r="E6" s="10" t="s">
        <v>27</v>
      </c>
      <c r="F6" s="10" t="s">
        <v>29</v>
      </c>
      <c r="I6" s="11">
        <v>0.09</v>
      </c>
      <c r="J6" s="12">
        <v>0</v>
      </c>
      <c r="K6" s="12">
        <v>1</v>
      </c>
    </row>
    <row r="7" spans="1:11" x14ac:dyDescent="0.2">
      <c r="A7" s="9">
        <v>5</v>
      </c>
      <c r="B7" s="9">
        <f t="shared" ca="1" si="0"/>
        <v>0.71219848325432378</v>
      </c>
      <c r="C7" s="9" t="s">
        <v>24</v>
      </c>
      <c r="E7" s="12">
        <f ca="1">COUNTIFS(B:B,"&gt;" &amp;E4,C:C,"="&amp;"Bomb")/COUNTIFS(C:C,"="&amp;"Bomb")</f>
        <v>1</v>
      </c>
      <c r="F7" s="12">
        <f ca="1">COUNTIFS(B:B,"&lt;" &amp;E4,C:C,"="&amp;"Bird")/COUNTIFS(C:C,"="&amp;"Bird")</f>
        <v>0</v>
      </c>
      <c r="I7" s="11">
        <v>0.12</v>
      </c>
      <c r="J7" s="12">
        <v>0</v>
      </c>
      <c r="K7" s="12">
        <v>1</v>
      </c>
    </row>
    <row r="8" spans="1:11" x14ac:dyDescent="0.2">
      <c r="A8" s="9">
        <v>6</v>
      </c>
      <c r="B8" s="9">
        <f t="shared" ca="1" si="0"/>
        <v>0.6918189667453325</v>
      </c>
      <c r="C8" s="9" t="s">
        <v>24</v>
      </c>
      <c r="I8" s="11">
        <v>0.15</v>
      </c>
      <c r="J8" s="12">
        <v>1.9493177387914229E-3</v>
      </c>
      <c r="K8" s="12">
        <v>1</v>
      </c>
    </row>
    <row r="9" spans="1:11" x14ac:dyDescent="0.2">
      <c r="A9" s="9">
        <v>7</v>
      </c>
      <c r="B9" s="9">
        <f t="shared" ca="1" si="0"/>
        <v>0.63261384153603439</v>
      </c>
      <c r="C9" s="9" t="s">
        <v>24</v>
      </c>
      <c r="I9" s="11">
        <v>0.18</v>
      </c>
      <c r="J9" s="12">
        <v>1.9493177387914229E-3</v>
      </c>
      <c r="K9" s="12">
        <v>1</v>
      </c>
    </row>
    <row r="10" spans="1:11" x14ac:dyDescent="0.2">
      <c r="A10" s="9">
        <v>8</v>
      </c>
      <c r="B10" s="9">
        <f t="shared" ca="1" si="0"/>
        <v>0.80874757188353308</v>
      </c>
      <c r="C10" s="9" t="s">
        <v>25</v>
      </c>
      <c r="I10" s="11">
        <v>0.21</v>
      </c>
      <c r="J10" s="12">
        <v>7.7972709551656916E-3</v>
      </c>
      <c r="K10" s="12">
        <v>1</v>
      </c>
    </row>
    <row r="11" spans="1:11" x14ac:dyDescent="0.2">
      <c r="A11" s="9">
        <v>9</v>
      </c>
      <c r="B11" s="9">
        <f t="shared" ca="1" si="0"/>
        <v>0.80508947836882205</v>
      </c>
      <c r="C11" s="9" t="s">
        <v>25</v>
      </c>
      <c r="I11" s="11">
        <v>0.24</v>
      </c>
      <c r="J11" s="12">
        <v>5.8365758754863814E-3</v>
      </c>
      <c r="K11" s="12">
        <v>1</v>
      </c>
    </row>
    <row r="12" spans="1:11" x14ac:dyDescent="0.2">
      <c r="A12" s="9">
        <v>10</v>
      </c>
      <c r="B12" s="9">
        <f t="shared" ca="1" si="0"/>
        <v>0.49107661516527135</v>
      </c>
      <c r="C12" s="9" t="s">
        <v>25</v>
      </c>
      <c r="I12" s="11">
        <v>0.27</v>
      </c>
      <c r="J12" s="12">
        <v>1.364522417153996E-2</v>
      </c>
      <c r="K12" s="12">
        <v>1</v>
      </c>
    </row>
    <row r="13" spans="1:11" x14ac:dyDescent="0.2">
      <c r="A13" s="9">
        <v>11</v>
      </c>
      <c r="B13" s="9">
        <f t="shared" ca="1" si="0"/>
        <v>0.76836125303084102</v>
      </c>
      <c r="C13" s="9" t="s">
        <v>25</v>
      </c>
      <c r="I13" s="11">
        <v>0.3</v>
      </c>
      <c r="J13" s="12">
        <v>2.3391812865497075E-2</v>
      </c>
      <c r="K13" s="12">
        <v>1</v>
      </c>
    </row>
    <row r="14" spans="1:11" x14ac:dyDescent="0.2">
      <c r="A14" s="9">
        <v>12</v>
      </c>
      <c r="B14" s="9">
        <f t="shared" ca="1" si="0"/>
        <v>0.7761606424460249</v>
      </c>
      <c r="C14" s="9" t="s">
        <v>25</v>
      </c>
      <c r="I14" s="11">
        <v>0.33</v>
      </c>
      <c r="J14" s="12">
        <v>3.3073929961089495E-2</v>
      </c>
      <c r="K14" s="12">
        <v>1</v>
      </c>
    </row>
    <row r="15" spans="1:11" x14ac:dyDescent="0.2">
      <c r="A15" s="9">
        <v>13</v>
      </c>
      <c r="B15" s="9">
        <f t="shared" ca="1" si="0"/>
        <v>0.68775506280009358</v>
      </c>
      <c r="C15" s="9" t="s">
        <v>24</v>
      </c>
      <c r="I15" s="11">
        <v>0.36</v>
      </c>
      <c r="J15" s="12">
        <v>4.8732943469785572E-2</v>
      </c>
      <c r="K15" s="12">
        <v>1</v>
      </c>
    </row>
    <row r="16" spans="1:11" x14ac:dyDescent="0.2">
      <c r="A16" s="9">
        <v>14</v>
      </c>
      <c r="B16" s="9">
        <f t="shared" ca="1" si="0"/>
        <v>0.59660807577880526</v>
      </c>
      <c r="C16" s="9" t="s">
        <v>24</v>
      </c>
      <c r="I16" s="11">
        <v>0.39</v>
      </c>
      <c r="J16" s="12">
        <v>8.9494163424124515E-2</v>
      </c>
      <c r="K16" s="12">
        <v>1</v>
      </c>
    </row>
    <row r="17" spans="1:11" x14ac:dyDescent="0.2">
      <c r="A17" s="9">
        <v>15</v>
      </c>
      <c r="B17" s="9">
        <f t="shared" ca="1" si="0"/>
        <v>0.76915558412037321</v>
      </c>
      <c r="C17" s="9" t="s">
        <v>24</v>
      </c>
      <c r="I17" s="11">
        <v>0.42</v>
      </c>
      <c r="J17" s="12">
        <v>8.9668615984405453E-2</v>
      </c>
      <c r="K17" s="12">
        <v>0.99178644763860369</v>
      </c>
    </row>
    <row r="18" spans="1:11" x14ac:dyDescent="0.2">
      <c r="A18" s="9">
        <v>16</v>
      </c>
      <c r="B18" s="9">
        <f t="shared" ca="1" si="0"/>
        <v>0.77228414489123653</v>
      </c>
      <c r="C18" s="9" t="s">
        <v>25</v>
      </c>
      <c r="I18" s="11">
        <v>0.45</v>
      </c>
      <c r="J18" s="12">
        <v>0.17153996101364521</v>
      </c>
      <c r="K18" s="12">
        <v>0.99383983572895274</v>
      </c>
    </row>
    <row r="19" spans="1:11" x14ac:dyDescent="0.2">
      <c r="A19" s="9">
        <v>17</v>
      </c>
      <c r="B19" s="9">
        <f t="shared" ca="1" si="0"/>
        <v>0.73309498421551234</v>
      </c>
      <c r="C19" s="9" t="s">
        <v>24</v>
      </c>
      <c r="I19" s="11">
        <v>0.48</v>
      </c>
      <c r="J19" s="12">
        <v>0.19298245614035087</v>
      </c>
      <c r="K19" s="12">
        <v>0.98973305954825463</v>
      </c>
    </row>
    <row r="20" spans="1:11" x14ac:dyDescent="0.2">
      <c r="A20" s="9">
        <v>18</v>
      </c>
      <c r="B20" s="9">
        <f t="shared" ca="1" si="0"/>
        <v>0.7011598542932993</v>
      </c>
      <c r="C20" s="9" t="s">
        <v>25</v>
      </c>
      <c r="I20" s="11">
        <v>0.51</v>
      </c>
      <c r="J20" s="12">
        <v>0.24756335282651071</v>
      </c>
      <c r="K20" s="12">
        <v>0.97125256673511295</v>
      </c>
    </row>
    <row r="21" spans="1:11" x14ac:dyDescent="0.2">
      <c r="A21" s="9">
        <v>19</v>
      </c>
      <c r="B21" s="9">
        <f t="shared" ca="1" si="0"/>
        <v>0.73995219327187722</v>
      </c>
      <c r="C21" s="9" t="s">
        <v>24</v>
      </c>
      <c r="I21" s="11">
        <v>0.54</v>
      </c>
      <c r="J21" s="12">
        <v>0.34630350194552528</v>
      </c>
      <c r="K21" s="12">
        <v>0.94444444444444442</v>
      </c>
    </row>
    <row r="22" spans="1:11" x14ac:dyDescent="0.2">
      <c r="A22" s="9">
        <v>20</v>
      </c>
      <c r="B22" s="9">
        <f t="shared" ca="1" si="0"/>
        <v>0.59732489435335423</v>
      </c>
      <c r="C22" s="9" t="s">
        <v>24</v>
      </c>
      <c r="I22" s="11">
        <v>0.56999999999999995</v>
      </c>
      <c r="J22" s="12">
        <v>0.4600389863547758</v>
      </c>
      <c r="K22" s="12">
        <v>0.88911704312114992</v>
      </c>
    </row>
    <row r="23" spans="1:11" x14ac:dyDescent="0.2">
      <c r="A23" s="9">
        <v>21</v>
      </c>
      <c r="B23" s="9">
        <f t="shared" ca="1" si="0"/>
        <v>0.81757356583897245</v>
      </c>
      <c r="C23" s="9" t="s">
        <v>24</v>
      </c>
      <c r="I23" s="11">
        <v>0.6</v>
      </c>
      <c r="J23" s="12">
        <v>0.48054474708171208</v>
      </c>
      <c r="K23" s="12">
        <v>0.88065843621399176</v>
      </c>
    </row>
    <row r="24" spans="1:11" x14ac:dyDescent="0.2">
      <c r="A24" s="9">
        <v>22</v>
      </c>
      <c r="B24" s="9">
        <f t="shared" ca="1" si="0"/>
        <v>0.8411744440532456</v>
      </c>
      <c r="C24" s="9" t="s">
        <v>25</v>
      </c>
      <c r="I24" s="11">
        <v>0.63</v>
      </c>
      <c r="J24" s="12">
        <v>0.59649122807017541</v>
      </c>
      <c r="K24" s="12">
        <v>0.757700205338809</v>
      </c>
    </row>
    <row r="25" spans="1:11" x14ac:dyDescent="0.2">
      <c r="A25" s="9">
        <v>23</v>
      </c>
      <c r="B25" s="9">
        <f t="shared" ca="1" si="0"/>
        <v>0.61726176203942051</v>
      </c>
      <c r="C25" s="9" t="s">
        <v>24</v>
      </c>
      <c r="I25" s="11">
        <v>0.66</v>
      </c>
      <c r="J25" s="12">
        <v>0.63937621832358671</v>
      </c>
      <c r="K25" s="12">
        <v>0.64065708418891165</v>
      </c>
    </row>
    <row r="26" spans="1:11" x14ac:dyDescent="0.2">
      <c r="A26" s="9">
        <v>24</v>
      </c>
      <c r="B26" s="9">
        <f t="shared" ca="1" si="0"/>
        <v>0.72710857412755581</v>
      </c>
      <c r="C26" s="9" t="s">
        <v>24</v>
      </c>
      <c r="I26" s="11">
        <v>0.69</v>
      </c>
      <c r="J26" s="12">
        <v>0.75048732943469787</v>
      </c>
      <c r="K26" s="12">
        <v>0.52772073921971252</v>
      </c>
    </row>
    <row r="27" spans="1:11" x14ac:dyDescent="0.2">
      <c r="A27" s="9">
        <v>25</v>
      </c>
      <c r="B27" s="9">
        <f t="shared" ca="1" si="0"/>
        <v>0.81594614289608747</v>
      </c>
      <c r="C27" s="9" t="s">
        <v>24</v>
      </c>
      <c r="I27" s="11">
        <v>0.72</v>
      </c>
      <c r="J27" s="12">
        <v>0.82261208576998046</v>
      </c>
      <c r="K27" s="12">
        <v>0.4271047227926078</v>
      </c>
    </row>
    <row r="28" spans="1:11" x14ac:dyDescent="0.2">
      <c r="A28" s="9">
        <v>26</v>
      </c>
      <c r="B28" s="9">
        <f t="shared" ca="1" si="0"/>
        <v>0.68482024169532396</v>
      </c>
      <c r="C28" s="9" t="s">
        <v>24</v>
      </c>
      <c r="I28" s="11">
        <v>0.75</v>
      </c>
      <c r="J28" s="12">
        <v>0.857976653696498</v>
      </c>
      <c r="K28" s="12">
        <v>0.34567901234567899</v>
      </c>
    </row>
    <row r="29" spans="1:11" x14ac:dyDescent="0.2">
      <c r="A29" s="9">
        <v>27</v>
      </c>
      <c r="B29" s="9">
        <f t="shared" ca="1" si="0"/>
        <v>0.80870207031135755</v>
      </c>
      <c r="C29" s="9" t="s">
        <v>25</v>
      </c>
      <c r="I29" s="11">
        <v>0.78</v>
      </c>
      <c r="J29" s="12">
        <v>0.88109161793372315</v>
      </c>
      <c r="K29" s="12">
        <v>0.24845995893223818</v>
      </c>
    </row>
    <row r="30" spans="1:11" x14ac:dyDescent="0.2">
      <c r="A30" s="9">
        <v>28</v>
      </c>
      <c r="B30" s="9">
        <f t="shared" ca="1" si="0"/>
        <v>0.60694630859061949</v>
      </c>
      <c r="C30" s="9" t="s">
        <v>24</v>
      </c>
      <c r="I30" s="11">
        <v>0.81</v>
      </c>
      <c r="J30" s="12">
        <v>0.92007797270955161</v>
      </c>
      <c r="K30" s="12">
        <v>0.11909650924024641</v>
      </c>
    </row>
    <row r="31" spans="1:11" x14ac:dyDescent="0.2">
      <c r="A31" s="9">
        <v>29</v>
      </c>
      <c r="B31" s="9">
        <f t="shared" ca="1" si="0"/>
        <v>0.87000874926891769</v>
      </c>
      <c r="C31" s="9" t="s">
        <v>25</v>
      </c>
      <c r="I31" s="11">
        <v>0.84</v>
      </c>
      <c r="J31" s="12">
        <v>0.95136186770428011</v>
      </c>
      <c r="K31" s="12">
        <v>9.8765432098765427E-2</v>
      </c>
    </row>
    <row r="32" spans="1:11" x14ac:dyDescent="0.2">
      <c r="A32" s="9">
        <v>30</v>
      </c>
      <c r="B32" s="9">
        <f t="shared" ca="1" si="0"/>
        <v>0.75168022645387378</v>
      </c>
      <c r="C32" s="9" t="s">
        <v>24</v>
      </c>
      <c r="I32" s="11">
        <v>0.87</v>
      </c>
      <c r="J32" s="12">
        <v>0.9688715953307393</v>
      </c>
      <c r="K32" s="12">
        <v>4.1152263374485597E-2</v>
      </c>
    </row>
    <row r="33" spans="1:11" x14ac:dyDescent="0.2">
      <c r="A33" s="9">
        <v>31</v>
      </c>
      <c r="B33" s="9">
        <f t="shared" ca="1" si="0"/>
        <v>0.77907892263141232</v>
      </c>
      <c r="C33" s="9" t="s">
        <v>24</v>
      </c>
      <c r="I33" s="11">
        <v>0.9</v>
      </c>
      <c r="J33" s="12">
        <v>0.97855750487329429</v>
      </c>
      <c r="K33" s="12">
        <v>2.0533880903490759E-2</v>
      </c>
    </row>
    <row r="34" spans="1:11" x14ac:dyDescent="0.2">
      <c r="A34" s="9">
        <v>32</v>
      </c>
      <c r="B34" s="9">
        <f t="shared" ca="1" si="0"/>
        <v>0.75702624351991299</v>
      </c>
      <c r="C34" s="9" t="s">
        <v>25</v>
      </c>
      <c r="I34" s="11">
        <v>0.93</v>
      </c>
      <c r="J34" s="12">
        <v>0.98249027237354081</v>
      </c>
      <c r="K34" s="12">
        <v>8.23045267489712E-3</v>
      </c>
    </row>
    <row r="35" spans="1:11" x14ac:dyDescent="0.2">
      <c r="A35" s="9">
        <v>33</v>
      </c>
      <c r="B35" s="9">
        <f t="shared" ca="1" si="0"/>
        <v>0.5501571355547944</v>
      </c>
      <c r="C35" s="9" t="s">
        <v>25</v>
      </c>
      <c r="I35" s="11">
        <v>0.96</v>
      </c>
      <c r="J35" s="12">
        <v>0.99220272904483431</v>
      </c>
      <c r="K35" s="12">
        <v>2.0533880903490761E-3</v>
      </c>
    </row>
    <row r="36" spans="1:11" x14ac:dyDescent="0.2">
      <c r="A36" s="9">
        <v>34</v>
      </c>
      <c r="B36" s="9">
        <f t="shared" ca="1" si="0"/>
        <v>0.71635058280496067</v>
      </c>
      <c r="C36" s="9" t="s">
        <v>25</v>
      </c>
      <c r="I36" s="11">
        <v>0.99</v>
      </c>
      <c r="J36" s="12">
        <v>0.99805068226120852</v>
      </c>
      <c r="K36" s="12">
        <v>0</v>
      </c>
    </row>
    <row r="37" spans="1:11" x14ac:dyDescent="0.2">
      <c r="A37" s="9">
        <v>35</v>
      </c>
      <c r="B37" s="9">
        <f t="shared" ca="1" si="0"/>
        <v>0.72240752946130637</v>
      </c>
      <c r="C37" s="9" t="s">
        <v>24</v>
      </c>
      <c r="I37" s="11"/>
    </row>
    <row r="38" spans="1:11" x14ac:dyDescent="0.2">
      <c r="A38" s="9">
        <v>36</v>
      </c>
      <c r="B38" s="9">
        <f t="shared" ca="1" si="0"/>
        <v>0.44252344416335043</v>
      </c>
      <c r="C38" s="9" t="s">
        <v>25</v>
      </c>
    </row>
    <row r="39" spans="1:11" x14ac:dyDescent="0.2">
      <c r="A39" s="9">
        <v>37</v>
      </c>
      <c r="B39" s="9">
        <f t="shared" ca="1" si="0"/>
        <v>0.59220565631750166</v>
      </c>
      <c r="C39" s="9" t="s">
        <v>25</v>
      </c>
    </row>
    <row r="40" spans="1:11" x14ac:dyDescent="0.2">
      <c r="A40" s="9">
        <v>38</v>
      </c>
      <c r="B40" s="9">
        <f t="shared" ca="1" si="0"/>
        <v>0.76066695193878175</v>
      </c>
      <c r="C40" s="9" t="s">
        <v>24</v>
      </c>
    </row>
    <row r="41" spans="1:11" x14ac:dyDescent="0.2">
      <c r="A41" s="9">
        <v>39</v>
      </c>
      <c r="B41" s="9">
        <f t="shared" ca="1" si="0"/>
        <v>0.39724380258879388</v>
      </c>
      <c r="C41" s="9" t="s">
        <v>25</v>
      </c>
    </row>
    <row r="42" spans="1:11" x14ac:dyDescent="0.2">
      <c r="A42" s="9">
        <v>40</v>
      </c>
      <c r="B42" s="9">
        <f t="shared" ca="1" si="0"/>
        <v>0.68037469764400338</v>
      </c>
      <c r="C42" s="9" t="s">
        <v>24</v>
      </c>
    </row>
    <row r="43" spans="1:11" x14ac:dyDescent="0.2">
      <c r="A43" s="9">
        <v>41</v>
      </c>
      <c r="B43" s="9">
        <f t="shared" ca="1" si="0"/>
        <v>0.47182638017395773</v>
      </c>
      <c r="C43" s="9" t="s">
        <v>25</v>
      </c>
    </row>
    <row r="44" spans="1:11" x14ac:dyDescent="0.2">
      <c r="A44" s="9">
        <v>42</v>
      </c>
      <c r="B44" s="9">
        <f t="shared" ca="1" si="0"/>
        <v>0.3994018869366126</v>
      </c>
      <c r="C44" s="9" t="s">
        <v>25</v>
      </c>
    </row>
    <row r="45" spans="1:11" x14ac:dyDescent="0.2">
      <c r="A45" s="9">
        <v>43</v>
      </c>
      <c r="B45" s="9">
        <f t="shared" ca="1" si="0"/>
        <v>0.55002282150669279</v>
      </c>
      <c r="C45" s="9" t="s">
        <v>25</v>
      </c>
    </row>
    <row r="46" spans="1:11" x14ac:dyDescent="0.2">
      <c r="A46" s="9">
        <v>44</v>
      </c>
      <c r="B46" s="9">
        <f t="shared" ca="1" si="0"/>
        <v>0.3960774927953894</v>
      </c>
      <c r="C46" s="9" t="s">
        <v>25</v>
      </c>
    </row>
    <row r="47" spans="1:11" x14ac:dyDescent="0.2">
      <c r="A47" s="9">
        <v>45</v>
      </c>
      <c r="B47" s="9">
        <f t="shared" ca="1" si="0"/>
        <v>0.60782332379550341</v>
      </c>
      <c r="C47" s="9" t="s">
        <v>25</v>
      </c>
    </row>
    <row r="48" spans="1:11" x14ac:dyDescent="0.2">
      <c r="A48" s="9">
        <v>46</v>
      </c>
      <c r="B48" s="9">
        <f t="shared" ca="1" si="0"/>
        <v>0.7817669086293646</v>
      </c>
      <c r="C48" s="9" t="s">
        <v>24</v>
      </c>
    </row>
    <row r="49" spans="1:3" x14ac:dyDescent="0.2">
      <c r="A49" s="9">
        <v>47</v>
      </c>
      <c r="B49" s="9">
        <f t="shared" ca="1" si="0"/>
        <v>0.731871132272638</v>
      </c>
      <c r="C49" s="9" t="s">
        <v>24</v>
      </c>
    </row>
    <row r="50" spans="1:3" x14ac:dyDescent="0.2">
      <c r="A50" s="9">
        <v>48</v>
      </c>
      <c r="B50" s="9">
        <f t="shared" ca="1" si="0"/>
        <v>0.7575838869968492</v>
      </c>
      <c r="C50" s="9" t="s">
        <v>25</v>
      </c>
    </row>
    <row r="51" spans="1:3" x14ac:dyDescent="0.2">
      <c r="A51" s="9">
        <v>49</v>
      </c>
      <c r="B51" s="9">
        <f t="shared" ca="1" si="0"/>
        <v>0.75329044413482649</v>
      </c>
      <c r="C51" s="9" t="s">
        <v>24</v>
      </c>
    </row>
    <row r="52" spans="1:3" x14ac:dyDescent="0.2">
      <c r="A52" s="9">
        <v>50</v>
      </c>
      <c r="B52" s="9">
        <f t="shared" ca="1" si="0"/>
        <v>0.73796581571644382</v>
      </c>
      <c r="C52" s="9" t="s">
        <v>24</v>
      </c>
    </row>
    <row r="53" spans="1:3" x14ac:dyDescent="0.2">
      <c r="A53" s="9">
        <v>51</v>
      </c>
      <c r="B53" s="9">
        <f t="shared" ca="1" si="0"/>
        <v>0.67033856658853108</v>
      </c>
      <c r="C53" s="9" t="s">
        <v>24</v>
      </c>
    </row>
    <row r="54" spans="1:3" x14ac:dyDescent="0.2">
      <c r="A54" s="9">
        <v>52</v>
      </c>
      <c r="B54" s="9">
        <f t="shared" ca="1" si="0"/>
        <v>0.64192466130255299</v>
      </c>
      <c r="C54" s="9" t="s">
        <v>25</v>
      </c>
    </row>
    <row r="55" spans="1:3" x14ac:dyDescent="0.2">
      <c r="A55" s="9">
        <v>53</v>
      </c>
      <c r="B55" s="9">
        <f t="shared" ca="1" si="0"/>
        <v>0.325441704806745</v>
      </c>
      <c r="C55" s="9" t="s">
        <v>25</v>
      </c>
    </row>
    <row r="56" spans="1:3" x14ac:dyDescent="0.2">
      <c r="A56" s="9">
        <v>54</v>
      </c>
      <c r="B56" s="9">
        <f t="shared" ca="1" si="0"/>
        <v>0.6841857558263259</v>
      </c>
      <c r="C56" s="9" t="s">
        <v>24</v>
      </c>
    </row>
    <row r="57" spans="1:3" x14ac:dyDescent="0.2">
      <c r="A57" s="9">
        <v>55</v>
      </c>
      <c r="B57" s="9">
        <f t="shared" ca="1" si="0"/>
        <v>0.65272559413892639</v>
      </c>
      <c r="C57" s="9" t="s">
        <v>24</v>
      </c>
    </row>
    <row r="58" spans="1:3" x14ac:dyDescent="0.2">
      <c r="A58" s="9">
        <v>56</v>
      </c>
      <c r="B58" s="9">
        <f t="shared" ca="1" si="0"/>
        <v>0.73481469688759171</v>
      </c>
      <c r="C58" s="9" t="s">
        <v>24</v>
      </c>
    </row>
    <row r="59" spans="1:3" x14ac:dyDescent="0.2">
      <c r="A59" s="9">
        <v>57</v>
      </c>
      <c r="B59" s="9">
        <f t="shared" ca="1" si="0"/>
        <v>0.22405315346026572</v>
      </c>
      <c r="C59" s="9" t="s">
        <v>25</v>
      </c>
    </row>
    <row r="60" spans="1:3" x14ac:dyDescent="0.2">
      <c r="A60" s="9">
        <v>58</v>
      </c>
      <c r="B60" s="9">
        <f t="shared" ca="1" si="0"/>
        <v>0.67709812055649088</v>
      </c>
      <c r="C60" s="9" t="s">
        <v>24</v>
      </c>
    </row>
    <row r="61" spans="1:3" x14ac:dyDescent="0.2">
      <c r="A61" s="9">
        <v>59</v>
      </c>
      <c r="B61" s="9">
        <f t="shared" ca="1" si="0"/>
        <v>0.6897262362886758</v>
      </c>
      <c r="C61" s="9" t="s">
        <v>24</v>
      </c>
    </row>
    <row r="62" spans="1:3" x14ac:dyDescent="0.2">
      <c r="A62" s="9">
        <v>60</v>
      </c>
      <c r="B62" s="9">
        <f t="shared" ca="1" si="0"/>
        <v>0.33904139965435476</v>
      </c>
      <c r="C62" s="9" t="s">
        <v>25</v>
      </c>
    </row>
    <row r="63" spans="1:3" x14ac:dyDescent="0.2">
      <c r="A63" s="9">
        <v>61</v>
      </c>
      <c r="B63" s="9">
        <f t="shared" ca="1" si="0"/>
        <v>0.58783583966749131</v>
      </c>
      <c r="C63" s="9" t="s">
        <v>25</v>
      </c>
    </row>
    <row r="64" spans="1:3" x14ac:dyDescent="0.2">
      <c r="A64" s="9">
        <v>62</v>
      </c>
      <c r="B64" s="9">
        <f t="shared" ca="1" si="0"/>
        <v>0.57054665818412609</v>
      </c>
      <c r="C64" s="9" t="s">
        <v>25</v>
      </c>
    </row>
    <row r="65" spans="1:3" x14ac:dyDescent="0.2">
      <c r="A65" s="9">
        <v>63</v>
      </c>
      <c r="B65" s="9">
        <f t="shared" ca="1" si="0"/>
        <v>0.74222899138408116</v>
      </c>
      <c r="C65" s="9" t="s">
        <v>24</v>
      </c>
    </row>
    <row r="66" spans="1:3" x14ac:dyDescent="0.2">
      <c r="A66" s="9">
        <v>64</v>
      </c>
      <c r="B66" s="9">
        <f t="shared" ca="1" si="0"/>
        <v>0.71477250002322024</v>
      </c>
      <c r="C66" s="9" t="s">
        <v>24</v>
      </c>
    </row>
    <row r="67" spans="1:3" x14ac:dyDescent="0.2">
      <c r="A67" s="9">
        <v>65</v>
      </c>
      <c r="B67" s="9">
        <f t="shared" ca="1" si="0"/>
        <v>0.73840656871046473</v>
      </c>
      <c r="C67" s="9" t="s">
        <v>24</v>
      </c>
    </row>
    <row r="68" spans="1:3" x14ac:dyDescent="0.2">
      <c r="A68" s="9">
        <v>66</v>
      </c>
      <c r="B68" s="9">
        <f t="shared" ref="B68:B131" ca="1" si="1">IF(C68="Bomb",_xlfn.NORM.INV(RAND(),0.7,0.1),_xlfn.NORM.INV(RAND(),0.6,0.15))</f>
        <v>0.78264663907940746</v>
      </c>
      <c r="C68" s="9" t="s">
        <v>24</v>
      </c>
    </row>
    <row r="69" spans="1:3" x14ac:dyDescent="0.2">
      <c r="A69" s="9">
        <v>67</v>
      </c>
      <c r="B69" s="9">
        <f t="shared" ca="1" si="1"/>
        <v>0.74574435356570323</v>
      </c>
      <c r="C69" s="9" t="s">
        <v>24</v>
      </c>
    </row>
    <row r="70" spans="1:3" x14ac:dyDescent="0.2">
      <c r="A70" s="9">
        <v>68</v>
      </c>
      <c r="B70" s="9">
        <f t="shared" ca="1" si="1"/>
        <v>0.4217307834257199</v>
      </c>
      <c r="C70" s="9" t="s">
        <v>25</v>
      </c>
    </row>
    <row r="71" spans="1:3" x14ac:dyDescent="0.2">
      <c r="A71" s="9">
        <v>69</v>
      </c>
      <c r="B71" s="9">
        <f t="shared" ca="1" si="1"/>
        <v>0.58445058773214731</v>
      </c>
      <c r="C71" s="9" t="s">
        <v>25</v>
      </c>
    </row>
    <row r="72" spans="1:3" x14ac:dyDescent="0.2">
      <c r="A72" s="9">
        <v>70</v>
      </c>
      <c r="B72" s="9">
        <f t="shared" ca="1" si="1"/>
        <v>0.62295596073902515</v>
      </c>
      <c r="C72" s="9" t="s">
        <v>25</v>
      </c>
    </row>
    <row r="73" spans="1:3" x14ac:dyDescent="0.2">
      <c r="A73" s="9">
        <v>71</v>
      </c>
      <c r="B73" s="9">
        <f t="shared" ca="1" si="1"/>
        <v>0.50830811045088431</v>
      </c>
      <c r="C73" s="9" t="s">
        <v>25</v>
      </c>
    </row>
    <row r="74" spans="1:3" x14ac:dyDescent="0.2">
      <c r="A74" s="9">
        <v>72</v>
      </c>
      <c r="B74" s="9">
        <f t="shared" ca="1" si="1"/>
        <v>0.72765261364169209</v>
      </c>
      <c r="C74" s="9" t="s">
        <v>25</v>
      </c>
    </row>
    <row r="75" spans="1:3" x14ac:dyDescent="0.2">
      <c r="A75" s="9">
        <v>73</v>
      </c>
      <c r="B75" s="9">
        <f t="shared" ca="1" si="1"/>
        <v>0.59233468946295342</v>
      </c>
      <c r="C75" s="9" t="s">
        <v>24</v>
      </c>
    </row>
    <row r="76" spans="1:3" x14ac:dyDescent="0.2">
      <c r="A76" s="9">
        <v>74</v>
      </c>
      <c r="B76" s="9">
        <f t="shared" ca="1" si="1"/>
        <v>0.66022946931601656</v>
      </c>
      <c r="C76" s="9" t="s">
        <v>24</v>
      </c>
    </row>
    <row r="77" spans="1:3" x14ac:dyDescent="0.2">
      <c r="A77" s="9">
        <v>75</v>
      </c>
      <c r="B77" s="9">
        <f t="shared" ca="1" si="1"/>
        <v>0.74904458171362376</v>
      </c>
      <c r="C77" s="9" t="s">
        <v>24</v>
      </c>
    </row>
    <row r="78" spans="1:3" x14ac:dyDescent="0.2">
      <c r="A78" s="9">
        <v>76</v>
      </c>
      <c r="B78" s="9">
        <f t="shared" ca="1" si="1"/>
        <v>0.75919292582596976</v>
      </c>
      <c r="C78" s="9" t="s">
        <v>24</v>
      </c>
    </row>
    <row r="79" spans="1:3" x14ac:dyDescent="0.2">
      <c r="A79" s="9">
        <v>77</v>
      </c>
      <c r="B79" s="9">
        <f t="shared" ca="1" si="1"/>
        <v>0.37351479128465515</v>
      </c>
      <c r="C79" s="9" t="s">
        <v>25</v>
      </c>
    </row>
    <row r="80" spans="1:3" x14ac:dyDescent="0.2">
      <c r="A80" s="9">
        <v>78</v>
      </c>
      <c r="B80" s="9">
        <f t="shared" ca="1" si="1"/>
        <v>0.78172595709842507</v>
      </c>
      <c r="C80" s="9" t="s">
        <v>24</v>
      </c>
    </row>
    <row r="81" spans="1:3" x14ac:dyDescent="0.2">
      <c r="A81" s="9">
        <v>79</v>
      </c>
      <c r="B81" s="9">
        <f t="shared" ca="1" si="1"/>
        <v>0.54354515702135187</v>
      </c>
      <c r="C81" s="9" t="s">
        <v>25</v>
      </c>
    </row>
    <row r="82" spans="1:3" x14ac:dyDescent="0.2">
      <c r="A82" s="9">
        <v>80</v>
      </c>
      <c r="B82" s="9">
        <f t="shared" ca="1" si="1"/>
        <v>0.7022966529808603</v>
      </c>
      <c r="C82" s="9" t="s">
        <v>24</v>
      </c>
    </row>
    <row r="83" spans="1:3" x14ac:dyDescent="0.2">
      <c r="A83" s="9">
        <v>81</v>
      </c>
      <c r="B83" s="9">
        <f t="shared" ca="1" si="1"/>
        <v>0.63829148081340303</v>
      </c>
      <c r="C83" s="9" t="s">
        <v>24</v>
      </c>
    </row>
    <row r="84" spans="1:3" x14ac:dyDescent="0.2">
      <c r="A84" s="9">
        <v>82</v>
      </c>
      <c r="B84" s="9">
        <f t="shared" ca="1" si="1"/>
        <v>0.56353604543874869</v>
      </c>
      <c r="C84" s="9" t="s">
        <v>25</v>
      </c>
    </row>
    <row r="85" spans="1:3" x14ac:dyDescent="0.2">
      <c r="A85" s="9">
        <v>83</v>
      </c>
      <c r="B85" s="9">
        <f t="shared" ca="1" si="1"/>
        <v>0.57217634757258995</v>
      </c>
      <c r="C85" s="9" t="s">
        <v>24</v>
      </c>
    </row>
    <row r="86" spans="1:3" x14ac:dyDescent="0.2">
      <c r="A86" s="9">
        <v>84</v>
      </c>
      <c r="B86" s="9">
        <f t="shared" ca="1" si="1"/>
        <v>0.81606731592408255</v>
      </c>
      <c r="C86" s="9" t="s">
        <v>24</v>
      </c>
    </row>
    <row r="87" spans="1:3" x14ac:dyDescent="0.2">
      <c r="A87" s="9">
        <v>85</v>
      </c>
      <c r="B87" s="9">
        <f t="shared" ca="1" si="1"/>
        <v>0.33090039734193188</v>
      </c>
      <c r="C87" s="9" t="s">
        <v>25</v>
      </c>
    </row>
    <row r="88" spans="1:3" x14ac:dyDescent="0.2">
      <c r="A88" s="9">
        <v>86</v>
      </c>
      <c r="B88" s="9">
        <f t="shared" ca="1" si="1"/>
        <v>0.6445091652642182</v>
      </c>
      <c r="C88" s="9" t="s">
        <v>25</v>
      </c>
    </row>
    <row r="89" spans="1:3" x14ac:dyDescent="0.2">
      <c r="A89" s="9">
        <v>87</v>
      </c>
      <c r="B89" s="9">
        <f t="shared" ca="1" si="1"/>
        <v>0.79397490461515607</v>
      </c>
      <c r="C89" s="9" t="s">
        <v>25</v>
      </c>
    </row>
    <row r="90" spans="1:3" x14ac:dyDescent="0.2">
      <c r="A90" s="9">
        <v>88</v>
      </c>
      <c r="B90" s="9">
        <f t="shared" ca="1" si="1"/>
        <v>0.43537276041402878</v>
      </c>
      <c r="C90" s="9" t="s">
        <v>25</v>
      </c>
    </row>
    <row r="91" spans="1:3" x14ac:dyDescent="0.2">
      <c r="A91" s="9">
        <v>89</v>
      </c>
      <c r="B91" s="9">
        <f t="shared" ca="1" si="1"/>
        <v>0.62405871965338799</v>
      </c>
      <c r="C91" s="9" t="s">
        <v>25</v>
      </c>
    </row>
    <row r="92" spans="1:3" x14ac:dyDescent="0.2">
      <c r="A92" s="9">
        <v>90</v>
      </c>
      <c r="B92" s="9">
        <f t="shared" ca="1" si="1"/>
        <v>0.83777325102632383</v>
      </c>
      <c r="C92" s="9" t="s">
        <v>24</v>
      </c>
    </row>
    <row r="93" spans="1:3" x14ac:dyDescent="0.2">
      <c r="A93" s="9">
        <v>91</v>
      </c>
      <c r="B93" s="9">
        <f t="shared" ca="1" si="1"/>
        <v>0.86883403360298983</v>
      </c>
      <c r="C93" s="9" t="s">
        <v>24</v>
      </c>
    </row>
    <row r="94" spans="1:3" x14ac:dyDescent="0.2">
      <c r="A94" s="9">
        <v>92</v>
      </c>
      <c r="B94" s="9">
        <f t="shared" ca="1" si="1"/>
        <v>0.72702394372177481</v>
      </c>
      <c r="C94" s="9" t="s">
        <v>25</v>
      </c>
    </row>
    <row r="95" spans="1:3" x14ac:dyDescent="0.2">
      <c r="A95" s="9">
        <v>93</v>
      </c>
      <c r="B95" s="9">
        <f t="shared" ca="1" si="1"/>
        <v>0.86718575868955328</v>
      </c>
      <c r="C95" s="9" t="s">
        <v>24</v>
      </c>
    </row>
    <row r="96" spans="1:3" x14ac:dyDescent="0.2">
      <c r="A96" s="9">
        <v>94</v>
      </c>
      <c r="B96" s="9">
        <f t="shared" ca="1" si="1"/>
        <v>0.76030257029606041</v>
      </c>
      <c r="C96" s="9" t="s">
        <v>24</v>
      </c>
    </row>
    <row r="97" spans="1:3" x14ac:dyDescent="0.2">
      <c r="A97" s="9">
        <v>95</v>
      </c>
      <c r="B97" s="9">
        <f t="shared" ca="1" si="1"/>
        <v>0.5539996401753885</v>
      </c>
      <c r="C97" s="9" t="s">
        <v>25</v>
      </c>
    </row>
    <row r="98" spans="1:3" x14ac:dyDescent="0.2">
      <c r="A98" s="9">
        <v>96</v>
      </c>
      <c r="B98" s="9">
        <f t="shared" ca="1" si="1"/>
        <v>0.60488293856771902</v>
      </c>
      <c r="C98" s="9" t="s">
        <v>25</v>
      </c>
    </row>
    <row r="99" spans="1:3" x14ac:dyDescent="0.2">
      <c r="A99" s="9">
        <v>97</v>
      </c>
      <c r="B99" s="9">
        <f t="shared" ca="1" si="1"/>
        <v>0.78987053491974701</v>
      </c>
      <c r="C99" s="9" t="s">
        <v>24</v>
      </c>
    </row>
    <row r="100" spans="1:3" x14ac:dyDescent="0.2">
      <c r="A100" s="9">
        <v>98</v>
      </c>
      <c r="B100" s="9">
        <f t="shared" ca="1" si="1"/>
        <v>0.65805589034271639</v>
      </c>
      <c r="C100" s="9" t="s">
        <v>24</v>
      </c>
    </row>
    <row r="101" spans="1:3" x14ac:dyDescent="0.2">
      <c r="A101" s="9">
        <v>99</v>
      </c>
      <c r="B101" s="9">
        <f t="shared" ca="1" si="1"/>
        <v>0.76908119916066131</v>
      </c>
      <c r="C101" s="9" t="s">
        <v>24</v>
      </c>
    </row>
    <row r="102" spans="1:3" x14ac:dyDescent="0.2">
      <c r="A102" s="9">
        <v>100</v>
      </c>
      <c r="B102" s="9">
        <f t="shared" ca="1" si="1"/>
        <v>0.42352616869086834</v>
      </c>
      <c r="C102" s="9" t="s">
        <v>25</v>
      </c>
    </row>
    <row r="103" spans="1:3" x14ac:dyDescent="0.2">
      <c r="A103" s="9">
        <v>101</v>
      </c>
      <c r="B103" s="9">
        <f t="shared" ca="1" si="1"/>
        <v>0.69132590668398475</v>
      </c>
      <c r="C103" s="9" t="s">
        <v>24</v>
      </c>
    </row>
    <row r="104" spans="1:3" x14ac:dyDescent="0.2">
      <c r="A104" s="9">
        <v>102</v>
      </c>
      <c r="B104" s="9">
        <f t="shared" ca="1" si="1"/>
        <v>0.71249351268869976</v>
      </c>
      <c r="C104" s="9" t="s">
        <v>25</v>
      </c>
    </row>
    <row r="105" spans="1:3" x14ac:dyDescent="0.2">
      <c r="A105" s="9">
        <v>103</v>
      </c>
      <c r="B105" s="9">
        <f t="shared" ca="1" si="1"/>
        <v>0.57208106059756159</v>
      </c>
      <c r="C105" s="9" t="s">
        <v>25</v>
      </c>
    </row>
    <row r="106" spans="1:3" x14ac:dyDescent="0.2">
      <c r="A106" s="9">
        <v>104</v>
      </c>
      <c r="B106" s="9">
        <f t="shared" ca="1" si="1"/>
        <v>0.81385058140647193</v>
      </c>
      <c r="C106" s="9" t="s">
        <v>25</v>
      </c>
    </row>
    <row r="107" spans="1:3" x14ac:dyDescent="0.2">
      <c r="A107" s="9">
        <v>105</v>
      </c>
      <c r="B107" s="9">
        <f t="shared" ca="1" si="1"/>
        <v>0.63421246475304227</v>
      </c>
      <c r="C107" s="9" t="s">
        <v>24</v>
      </c>
    </row>
    <row r="108" spans="1:3" x14ac:dyDescent="0.2">
      <c r="A108" s="9">
        <v>106</v>
      </c>
      <c r="B108" s="9">
        <f t="shared" ca="1" si="1"/>
        <v>0.59545486693501071</v>
      </c>
      <c r="C108" s="9" t="s">
        <v>25</v>
      </c>
    </row>
    <row r="109" spans="1:3" x14ac:dyDescent="0.2">
      <c r="A109" s="9">
        <v>107</v>
      </c>
      <c r="B109" s="9">
        <f t="shared" ca="1" si="1"/>
        <v>0.42495531273035969</v>
      </c>
      <c r="C109" s="9" t="s">
        <v>25</v>
      </c>
    </row>
    <row r="110" spans="1:3" x14ac:dyDescent="0.2">
      <c r="A110" s="9">
        <v>108</v>
      </c>
      <c r="B110" s="9">
        <f t="shared" ca="1" si="1"/>
        <v>0.52421340210230083</v>
      </c>
      <c r="C110" s="9" t="s">
        <v>25</v>
      </c>
    </row>
    <row r="111" spans="1:3" x14ac:dyDescent="0.2">
      <c r="A111" s="9">
        <v>109</v>
      </c>
      <c r="B111" s="9">
        <f t="shared" ca="1" si="1"/>
        <v>0.60920967708506835</v>
      </c>
      <c r="C111" s="9" t="s">
        <v>25</v>
      </c>
    </row>
    <row r="112" spans="1:3" x14ac:dyDescent="0.2">
      <c r="A112" s="9">
        <v>110</v>
      </c>
      <c r="B112" s="9">
        <f t="shared" ca="1" si="1"/>
        <v>0.6618055873351727</v>
      </c>
      <c r="C112" s="9" t="s">
        <v>25</v>
      </c>
    </row>
    <row r="113" spans="1:3" x14ac:dyDescent="0.2">
      <c r="A113" s="9">
        <v>111</v>
      </c>
      <c r="B113" s="9">
        <f t="shared" ca="1" si="1"/>
        <v>0.63626770162241453</v>
      </c>
      <c r="C113" s="9" t="s">
        <v>24</v>
      </c>
    </row>
    <row r="114" spans="1:3" x14ac:dyDescent="0.2">
      <c r="A114" s="9">
        <v>112</v>
      </c>
      <c r="B114" s="9">
        <f t="shared" ca="1" si="1"/>
        <v>0.86430322199672394</v>
      </c>
      <c r="C114" s="9" t="s">
        <v>25</v>
      </c>
    </row>
    <row r="115" spans="1:3" x14ac:dyDescent="0.2">
      <c r="A115" s="9">
        <v>113</v>
      </c>
      <c r="B115" s="9">
        <f t="shared" ca="1" si="1"/>
        <v>0.77123164170302538</v>
      </c>
      <c r="C115" s="9" t="s">
        <v>25</v>
      </c>
    </row>
    <row r="116" spans="1:3" x14ac:dyDescent="0.2">
      <c r="A116" s="9">
        <v>114</v>
      </c>
      <c r="B116" s="9">
        <f t="shared" ca="1" si="1"/>
        <v>0.64117117979551574</v>
      </c>
      <c r="C116" s="9" t="s">
        <v>25</v>
      </c>
    </row>
    <row r="117" spans="1:3" x14ac:dyDescent="0.2">
      <c r="A117" s="9">
        <v>115</v>
      </c>
      <c r="B117" s="9">
        <f t="shared" ca="1" si="1"/>
        <v>0.6043685839789219</v>
      </c>
      <c r="C117" s="9" t="s">
        <v>25</v>
      </c>
    </row>
    <row r="118" spans="1:3" x14ac:dyDescent="0.2">
      <c r="A118" s="9">
        <v>116</v>
      </c>
      <c r="B118" s="9">
        <f t="shared" ca="1" si="1"/>
        <v>0.53233882845985481</v>
      </c>
      <c r="C118" s="9" t="s">
        <v>25</v>
      </c>
    </row>
    <row r="119" spans="1:3" x14ac:dyDescent="0.2">
      <c r="A119" s="9">
        <v>117</v>
      </c>
      <c r="B119" s="9">
        <f t="shared" ca="1" si="1"/>
        <v>0.65717812601538783</v>
      </c>
      <c r="C119" s="9" t="s">
        <v>25</v>
      </c>
    </row>
    <row r="120" spans="1:3" x14ac:dyDescent="0.2">
      <c r="A120" s="9">
        <v>118</v>
      </c>
      <c r="B120" s="9">
        <f t="shared" ca="1" si="1"/>
        <v>0.69874277447081368</v>
      </c>
      <c r="C120" s="9" t="s">
        <v>25</v>
      </c>
    </row>
    <row r="121" spans="1:3" x14ac:dyDescent="0.2">
      <c r="A121" s="9">
        <v>119</v>
      </c>
      <c r="B121" s="9">
        <f t="shared" ca="1" si="1"/>
        <v>0.55013510179687042</v>
      </c>
      <c r="C121" s="9" t="s">
        <v>25</v>
      </c>
    </row>
    <row r="122" spans="1:3" x14ac:dyDescent="0.2">
      <c r="A122" s="9">
        <v>120</v>
      </c>
      <c r="B122" s="9">
        <f t="shared" ca="1" si="1"/>
        <v>0.92337857450053007</v>
      </c>
      <c r="C122" s="9" t="s">
        <v>24</v>
      </c>
    </row>
    <row r="123" spans="1:3" x14ac:dyDescent="0.2">
      <c r="A123" s="9">
        <v>121</v>
      </c>
      <c r="B123" s="9">
        <f t="shared" ca="1" si="1"/>
        <v>0.9039547413821748</v>
      </c>
      <c r="C123" s="9" t="s">
        <v>24</v>
      </c>
    </row>
    <row r="124" spans="1:3" x14ac:dyDescent="0.2">
      <c r="A124" s="9">
        <v>122</v>
      </c>
      <c r="B124" s="9">
        <f t="shared" ca="1" si="1"/>
        <v>0.50545544272058007</v>
      </c>
      <c r="C124" s="9" t="s">
        <v>25</v>
      </c>
    </row>
    <row r="125" spans="1:3" x14ac:dyDescent="0.2">
      <c r="A125" s="9">
        <v>123</v>
      </c>
      <c r="B125" s="9">
        <f t="shared" ca="1" si="1"/>
        <v>0.42910257618022302</v>
      </c>
      <c r="C125" s="9" t="s">
        <v>24</v>
      </c>
    </row>
    <row r="126" spans="1:3" x14ac:dyDescent="0.2">
      <c r="A126" s="9">
        <v>124</v>
      </c>
      <c r="B126" s="9">
        <f t="shared" ca="1" si="1"/>
        <v>0.69670928557028655</v>
      </c>
      <c r="C126" s="9" t="s">
        <v>24</v>
      </c>
    </row>
    <row r="127" spans="1:3" x14ac:dyDescent="0.2">
      <c r="A127" s="9">
        <v>125</v>
      </c>
      <c r="B127" s="9">
        <f t="shared" ca="1" si="1"/>
        <v>0.5019294157761478</v>
      </c>
      <c r="C127" s="9" t="s">
        <v>25</v>
      </c>
    </row>
    <row r="128" spans="1:3" x14ac:dyDescent="0.2">
      <c r="A128" s="9">
        <v>126</v>
      </c>
      <c r="B128" s="9">
        <f t="shared" ca="1" si="1"/>
        <v>0.70048438552090042</v>
      </c>
      <c r="C128" s="9" t="s">
        <v>25</v>
      </c>
    </row>
    <row r="129" spans="1:3" x14ac:dyDescent="0.2">
      <c r="A129" s="9">
        <v>127</v>
      </c>
      <c r="B129" s="9">
        <f t="shared" ca="1" si="1"/>
        <v>0.84936167015964925</v>
      </c>
      <c r="C129" s="9" t="s">
        <v>25</v>
      </c>
    </row>
    <row r="130" spans="1:3" x14ac:dyDescent="0.2">
      <c r="A130" s="9">
        <v>128</v>
      </c>
      <c r="B130" s="9">
        <f t="shared" ca="1" si="1"/>
        <v>0.86656368493435032</v>
      </c>
      <c r="C130" s="9" t="s">
        <v>25</v>
      </c>
    </row>
    <row r="131" spans="1:3" x14ac:dyDescent="0.2">
      <c r="A131" s="9">
        <v>129</v>
      </c>
      <c r="B131" s="9">
        <f t="shared" ca="1" si="1"/>
        <v>0.59915246238679132</v>
      </c>
      <c r="C131" s="9" t="s">
        <v>25</v>
      </c>
    </row>
    <row r="132" spans="1:3" x14ac:dyDescent="0.2">
      <c r="A132" s="9">
        <v>130</v>
      </c>
      <c r="B132" s="9">
        <f t="shared" ref="B132:B195" ca="1" si="2">IF(C132="Bomb",_xlfn.NORM.INV(RAND(),0.7,0.1),_xlfn.NORM.INV(RAND(),0.6,0.15))</f>
        <v>0.6283216047091551</v>
      </c>
      <c r="C132" s="9" t="s">
        <v>24</v>
      </c>
    </row>
    <row r="133" spans="1:3" x14ac:dyDescent="0.2">
      <c r="A133" s="9">
        <v>131</v>
      </c>
      <c r="B133" s="9">
        <f t="shared" ca="1" si="2"/>
        <v>0.65771091600852449</v>
      </c>
      <c r="C133" s="9" t="s">
        <v>24</v>
      </c>
    </row>
    <row r="134" spans="1:3" x14ac:dyDescent="0.2">
      <c r="A134" s="9">
        <v>132</v>
      </c>
      <c r="B134" s="9">
        <f t="shared" ca="1" si="2"/>
        <v>0.81458148286089138</v>
      </c>
      <c r="C134" s="9" t="s">
        <v>24</v>
      </c>
    </row>
    <row r="135" spans="1:3" x14ac:dyDescent="0.2">
      <c r="A135" s="9">
        <v>133</v>
      </c>
      <c r="B135" s="9">
        <f t="shared" ca="1" si="2"/>
        <v>0.75925811863308668</v>
      </c>
      <c r="C135" s="9" t="s">
        <v>24</v>
      </c>
    </row>
    <row r="136" spans="1:3" x14ac:dyDescent="0.2">
      <c r="A136" s="9">
        <v>134</v>
      </c>
      <c r="B136" s="9">
        <f t="shared" ca="1" si="2"/>
        <v>0.59181925261369095</v>
      </c>
      <c r="C136" s="9" t="s">
        <v>25</v>
      </c>
    </row>
    <row r="137" spans="1:3" x14ac:dyDescent="0.2">
      <c r="A137" s="9">
        <v>135</v>
      </c>
      <c r="B137" s="9">
        <f t="shared" ca="1" si="2"/>
        <v>0.65406870149967689</v>
      </c>
      <c r="C137" s="9" t="s">
        <v>24</v>
      </c>
    </row>
    <row r="138" spans="1:3" x14ac:dyDescent="0.2">
      <c r="A138" s="9">
        <v>136</v>
      </c>
      <c r="B138" s="9">
        <f t="shared" ca="1" si="2"/>
        <v>0.67381191165157073</v>
      </c>
      <c r="C138" s="9" t="s">
        <v>24</v>
      </c>
    </row>
    <row r="139" spans="1:3" x14ac:dyDescent="0.2">
      <c r="A139" s="9">
        <v>137</v>
      </c>
      <c r="B139" s="9">
        <f t="shared" ca="1" si="2"/>
        <v>0.34509480894107319</v>
      </c>
      <c r="C139" s="9" t="s">
        <v>25</v>
      </c>
    </row>
    <row r="140" spans="1:3" x14ac:dyDescent="0.2">
      <c r="A140" s="9">
        <v>138</v>
      </c>
      <c r="B140" s="9">
        <f t="shared" ca="1" si="2"/>
        <v>0.75701632183228029</v>
      </c>
      <c r="C140" s="9" t="s">
        <v>24</v>
      </c>
    </row>
    <row r="141" spans="1:3" x14ac:dyDescent="0.2">
      <c r="A141" s="9">
        <v>139</v>
      </c>
      <c r="B141" s="9">
        <f t="shared" ca="1" si="2"/>
        <v>0.66902488707931618</v>
      </c>
      <c r="C141" s="9" t="s">
        <v>25</v>
      </c>
    </row>
    <row r="142" spans="1:3" x14ac:dyDescent="0.2">
      <c r="A142" s="9">
        <v>140</v>
      </c>
      <c r="B142" s="9">
        <f t="shared" ca="1" si="2"/>
        <v>0.6255655678316614</v>
      </c>
      <c r="C142" s="9" t="s">
        <v>25</v>
      </c>
    </row>
    <row r="143" spans="1:3" x14ac:dyDescent="0.2">
      <c r="A143" s="9">
        <v>141</v>
      </c>
      <c r="B143" s="9">
        <f t="shared" ca="1" si="2"/>
        <v>0.52218269029109943</v>
      </c>
      <c r="C143" s="9" t="s">
        <v>25</v>
      </c>
    </row>
    <row r="144" spans="1:3" x14ac:dyDescent="0.2">
      <c r="A144" s="9">
        <v>142</v>
      </c>
      <c r="B144" s="9">
        <f t="shared" ca="1" si="2"/>
        <v>0.63540167610094722</v>
      </c>
      <c r="C144" s="9" t="s">
        <v>24</v>
      </c>
    </row>
    <row r="145" spans="1:3" x14ac:dyDescent="0.2">
      <c r="A145" s="9">
        <v>143</v>
      </c>
      <c r="B145" s="9">
        <f t="shared" ca="1" si="2"/>
        <v>0.5195468284655268</v>
      </c>
      <c r="C145" s="9" t="s">
        <v>25</v>
      </c>
    </row>
    <row r="146" spans="1:3" x14ac:dyDescent="0.2">
      <c r="A146" s="9">
        <v>144</v>
      </c>
      <c r="B146" s="9">
        <f t="shared" ca="1" si="2"/>
        <v>0.52355747298142585</v>
      </c>
      <c r="C146" s="9" t="s">
        <v>24</v>
      </c>
    </row>
    <row r="147" spans="1:3" x14ac:dyDescent="0.2">
      <c r="A147" s="9">
        <v>145</v>
      </c>
      <c r="B147" s="9">
        <f t="shared" ca="1" si="2"/>
        <v>0.54709968130042663</v>
      </c>
      <c r="C147" s="9" t="s">
        <v>25</v>
      </c>
    </row>
    <row r="148" spans="1:3" x14ac:dyDescent="0.2">
      <c r="A148" s="9">
        <v>146</v>
      </c>
      <c r="B148" s="9">
        <f t="shared" ca="1" si="2"/>
        <v>0.48691451052034046</v>
      </c>
      <c r="C148" s="9" t="s">
        <v>25</v>
      </c>
    </row>
    <row r="149" spans="1:3" x14ac:dyDescent="0.2">
      <c r="A149" s="9">
        <v>147</v>
      </c>
      <c r="B149" s="9">
        <f t="shared" ca="1" si="2"/>
        <v>0.73753273206037584</v>
      </c>
      <c r="C149" s="9" t="s">
        <v>24</v>
      </c>
    </row>
    <row r="150" spans="1:3" x14ac:dyDescent="0.2">
      <c r="A150" s="9">
        <v>148</v>
      </c>
      <c r="B150" s="9">
        <f t="shared" ca="1" si="2"/>
        <v>0.71125664358668406</v>
      </c>
      <c r="C150" s="9" t="s">
        <v>25</v>
      </c>
    </row>
    <row r="151" spans="1:3" x14ac:dyDescent="0.2">
      <c r="A151" s="9">
        <v>149</v>
      </c>
      <c r="B151" s="9">
        <f t="shared" ca="1" si="2"/>
        <v>0.43681349786372697</v>
      </c>
      <c r="C151" s="9" t="s">
        <v>25</v>
      </c>
    </row>
    <row r="152" spans="1:3" x14ac:dyDescent="0.2">
      <c r="A152" s="9">
        <v>150</v>
      </c>
      <c r="B152" s="9">
        <f t="shared" ca="1" si="2"/>
        <v>0.65950421575388085</v>
      </c>
      <c r="C152" s="9" t="s">
        <v>25</v>
      </c>
    </row>
    <row r="153" spans="1:3" x14ac:dyDescent="0.2">
      <c r="A153" s="9">
        <v>151</v>
      </c>
      <c r="B153" s="9">
        <f t="shared" ca="1" si="2"/>
        <v>0.72733769877667875</v>
      </c>
      <c r="C153" s="9" t="s">
        <v>24</v>
      </c>
    </row>
    <row r="154" spans="1:3" x14ac:dyDescent="0.2">
      <c r="A154" s="9">
        <v>152</v>
      </c>
      <c r="B154" s="9">
        <f t="shared" ca="1" si="2"/>
        <v>0.84941047782888024</v>
      </c>
      <c r="C154" s="9" t="s">
        <v>24</v>
      </c>
    </row>
    <row r="155" spans="1:3" x14ac:dyDescent="0.2">
      <c r="A155" s="9">
        <v>153</v>
      </c>
      <c r="B155" s="9">
        <f t="shared" ca="1" si="2"/>
        <v>0.78089557034845214</v>
      </c>
      <c r="C155" s="9" t="s">
        <v>24</v>
      </c>
    </row>
    <row r="156" spans="1:3" x14ac:dyDescent="0.2">
      <c r="A156" s="9">
        <v>154</v>
      </c>
      <c r="B156" s="9">
        <f t="shared" ca="1" si="2"/>
        <v>0.60871206581744053</v>
      </c>
      <c r="C156" s="9" t="s">
        <v>25</v>
      </c>
    </row>
    <row r="157" spans="1:3" x14ac:dyDescent="0.2">
      <c r="A157" s="9">
        <v>155</v>
      </c>
      <c r="B157" s="9">
        <f t="shared" ca="1" si="2"/>
        <v>0.76850531876897821</v>
      </c>
      <c r="C157" s="9" t="s">
        <v>24</v>
      </c>
    </row>
    <row r="158" spans="1:3" x14ac:dyDescent="0.2">
      <c r="A158" s="9">
        <v>156</v>
      </c>
      <c r="B158" s="9">
        <f t="shared" ca="1" si="2"/>
        <v>0.63028828288894811</v>
      </c>
      <c r="C158" s="9" t="s">
        <v>24</v>
      </c>
    </row>
    <row r="159" spans="1:3" x14ac:dyDescent="0.2">
      <c r="A159" s="9">
        <v>157</v>
      </c>
      <c r="B159" s="9">
        <f t="shared" ca="1" si="2"/>
        <v>0.58983510075052781</v>
      </c>
      <c r="C159" s="9" t="s">
        <v>25</v>
      </c>
    </row>
    <row r="160" spans="1:3" x14ac:dyDescent="0.2">
      <c r="A160" s="9">
        <v>158</v>
      </c>
      <c r="B160" s="9">
        <f t="shared" ca="1" si="2"/>
        <v>0.79924365628545857</v>
      </c>
      <c r="C160" s="9" t="s">
        <v>25</v>
      </c>
    </row>
    <row r="161" spans="1:3" x14ac:dyDescent="0.2">
      <c r="A161" s="9">
        <v>159</v>
      </c>
      <c r="B161" s="9">
        <f t="shared" ca="1" si="2"/>
        <v>0.7394166920429901</v>
      </c>
      <c r="C161" s="9" t="s">
        <v>24</v>
      </c>
    </row>
    <row r="162" spans="1:3" x14ac:dyDescent="0.2">
      <c r="A162" s="9">
        <v>160</v>
      </c>
      <c r="B162" s="9">
        <f t="shared" ca="1" si="2"/>
        <v>0.7668752904998809</v>
      </c>
      <c r="C162" s="9" t="s">
        <v>24</v>
      </c>
    </row>
    <row r="163" spans="1:3" x14ac:dyDescent="0.2">
      <c r="A163" s="9">
        <v>161</v>
      </c>
      <c r="B163" s="9">
        <f t="shared" ca="1" si="2"/>
        <v>0.7153158496120321</v>
      </c>
      <c r="C163" s="9" t="s">
        <v>24</v>
      </c>
    </row>
    <row r="164" spans="1:3" x14ac:dyDescent="0.2">
      <c r="A164" s="9">
        <v>162</v>
      </c>
      <c r="B164" s="9">
        <f t="shared" ca="1" si="2"/>
        <v>0.54309487941142953</v>
      </c>
      <c r="C164" s="9" t="s">
        <v>25</v>
      </c>
    </row>
    <row r="165" spans="1:3" x14ac:dyDescent="0.2">
      <c r="A165" s="9">
        <v>163</v>
      </c>
      <c r="B165" s="9">
        <f t="shared" ca="1" si="2"/>
        <v>0.7124645710972799</v>
      </c>
      <c r="C165" s="9" t="s">
        <v>25</v>
      </c>
    </row>
    <row r="166" spans="1:3" x14ac:dyDescent="0.2">
      <c r="A166" s="9">
        <v>164</v>
      </c>
      <c r="B166" s="9">
        <f t="shared" ca="1" si="2"/>
        <v>0.81906521680109667</v>
      </c>
      <c r="C166" s="9" t="s">
        <v>25</v>
      </c>
    </row>
    <row r="167" spans="1:3" x14ac:dyDescent="0.2">
      <c r="A167" s="9">
        <v>165</v>
      </c>
      <c r="B167" s="9">
        <f t="shared" ca="1" si="2"/>
        <v>0.58114071395108602</v>
      </c>
      <c r="C167" s="9" t="s">
        <v>25</v>
      </c>
    </row>
    <row r="168" spans="1:3" x14ac:dyDescent="0.2">
      <c r="A168" s="9">
        <v>166</v>
      </c>
      <c r="B168" s="9">
        <f t="shared" ca="1" si="2"/>
        <v>0.62613609908615775</v>
      </c>
      <c r="C168" s="9" t="s">
        <v>24</v>
      </c>
    </row>
    <row r="169" spans="1:3" x14ac:dyDescent="0.2">
      <c r="A169" s="9">
        <v>167</v>
      </c>
      <c r="B169" s="9">
        <f t="shared" ca="1" si="2"/>
        <v>0.85028003054058066</v>
      </c>
      <c r="C169" s="9" t="s">
        <v>24</v>
      </c>
    </row>
    <row r="170" spans="1:3" x14ac:dyDescent="0.2">
      <c r="A170" s="9">
        <v>168</v>
      </c>
      <c r="B170" s="9">
        <f t="shared" ca="1" si="2"/>
        <v>0.62818103275170889</v>
      </c>
      <c r="C170" s="9" t="s">
        <v>24</v>
      </c>
    </row>
    <row r="171" spans="1:3" x14ac:dyDescent="0.2">
      <c r="A171" s="9">
        <v>169</v>
      </c>
      <c r="B171" s="9">
        <f t="shared" ca="1" si="2"/>
        <v>0.51953498386203834</v>
      </c>
      <c r="C171" s="9" t="s">
        <v>25</v>
      </c>
    </row>
    <row r="172" spans="1:3" x14ac:dyDescent="0.2">
      <c r="A172" s="9">
        <v>170</v>
      </c>
      <c r="B172" s="9">
        <f t="shared" ca="1" si="2"/>
        <v>0.83014473961207091</v>
      </c>
      <c r="C172" s="9" t="s">
        <v>25</v>
      </c>
    </row>
    <row r="173" spans="1:3" x14ac:dyDescent="0.2">
      <c r="A173" s="9">
        <v>171</v>
      </c>
      <c r="B173" s="9">
        <f t="shared" ca="1" si="2"/>
        <v>0.54193796455180587</v>
      </c>
      <c r="C173" s="9" t="s">
        <v>24</v>
      </c>
    </row>
    <row r="174" spans="1:3" x14ac:dyDescent="0.2">
      <c r="A174" s="9">
        <v>172</v>
      </c>
      <c r="B174" s="9">
        <f t="shared" ca="1" si="2"/>
        <v>0.88863356265878568</v>
      </c>
      <c r="C174" s="9" t="s">
        <v>24</v>
      </c>
    </row>
    <row r="175" spans="1:3" x14ac:dyDescent="0.2">
      <c r="A175" s="9">
        <v>173</v>
      </c>
      <c r="B175" s="9">
        <f t="shared" ca="1" si="2"/>
        <v>0.80128266187051045</v>
      </c>
      <c r="C175" s="9" t="s">
        <v>24</v>
      </c>
    </row>
    <row r="176" spans="1:3" x14ac:dyDescent="0.2">
      <c r="A176" s="9">
        <v>174</v>
      </c>
      <c r="B176" s="9">
        <f t="shared" ca="1" si="2"/>
        <v>0.50728301404991671</v>
      </c>
      <c r="C176" s="9" t="s">
        <v>25</v>
      </c>
    </row>
    <row r="177" spans="1:3" x14ac:dyDescent="0.2">
      <c r="A177" s="9">
        <v>175</v>
      </c>
      <c r="B177" s="9">
        <f t="shared" ca="1" si="2"/>
        <v>0.95621763701123497</v>
      </c>
      <c r="C177" s="9" t="s">
        <v>24</v>
      </c>
    </row>
    <row r="178" spans="1:3" x14ac:dyDescent="0.2">
      <c r="A178" s="9">
        <v>176</v>
      </c>
      <c r="B178" s="9">
        <f t="shared" ca="1" si="2"/>
        <v>0.5667018700413079</v>
      </c>
      <c r="C178" s="9" t="s">
        <v>24</v>
      </c>
    </row>
    <row r="179" spans="1:3" x14ac:dyDescent="0.2">
      <c r="A179" s="9">
        <v>177</v>
      </c>
      <c r="B179" s="9">
        <f t="shared" ca="1" si="2"/>
        <v>0.4835120616677937</v>
      </c>
      <c r="C179" s="9" t="s">
        <v>25</v>
      </c>
    </row>
    <row r="180" spans="1:3" x14ac:dyDescent="0.2">
      <c r="A180" s="9">
        <v>178</v>
      </c>
      <c r="B180" s="9">
        <f t="shared" ca="1" si="2"/>
        <v>0.62310406364604354</v>
      </c>
      <c r="C180" s="9" t="s">
        <v>25</v>
      </c>
    </row>
    <row r="181" spans="1:3" x14ac:dyDescent="0.2">
      <c r="A181" s="9">
        <v>179</v>
      </c>
      <c r="B181" s="9">
        <f t="shared" ca="1" si="2"/>
        <v>0.89328669521020654</v>
      </c>
      <c r="C181" s="9" t="s">
        <v>24</v>
      </c>
    </row>
    <row r="182" spans="1:3" x14ac:dyDescent="0.2">
      <c r="A182" s="9">
        <v>180</v>
      </c>
      <c r="B182" s="9">
        <f t="shared" ca="1" si="2"/>
        <v>0.59022827659367982</v>
      </c>
      <c r="C182" s="9" t="s">
        <v>24</v>
      </c>
    </row>
    <row r="183" spans="1:3" x14ac:dyDescent="0.2">
      <c r="A183" s="9">
        <v>181</v>
      </c>
      <c r="B183" s="9">
        <f t="shared" ca="1" si="2"/>
        <v>0.75449961859802095</v>
      </c>
      <c r="C183" s="9" t="s">
        <v>24</v>
      </c>
    </row>
    <row r="184" spans="1:3" x14ac:dyDescent="0.2">
      <c r="A184" s="9">
        <v>182</v>
      </c>
      <c r="B184" s="9">
        <f t="shared" ca="1" si="2"/>
        <v>0.62261509974792273</v>
      </c>
      <c r="C184" s="9" t="s">
        <v>24</v>
      </c>
    </row>
    <row r="185" spans="1:3" x14ac:dyDescent="0.2">
      <c r="A185" s="9">
        <v>183</v>
      </c>
      <c r="B185" s="9">
        <f t="shared" ca="1" si="2"/>
        <v>0.59131216374727269</v>
      </c>
      <c r="C185" s="9" t="s">
        <v>25</v>
      </c>
    </row>
    <row r="186" spans="1:3" x14ac:dyDescent="0.2">
      <c r="A186" s="9">
        <v>184</v>
      </c>
      <c r="B186" s="9">
        <f t="shared" ca="1" si="2"/>
        <v>0.76416623089301672</v>
      </c>
      <c r="C186" s="9" t="s">
        <v>24</v>
      </c>
    </row>
    <row r="187" spans="1:3" x14ac:dyDescent="0.2">
      <c r="A187" s="9">
        <v>185</v>
      </c>
      <c r="B187" s="9">
        <f t="shared" ca="1" si="2"/>
        <v>0.3808381892938687</v>
      </c>
      <c r="C187" s="9" t="s">
        <v>25</v>
      </c>
    </row>
    <row r="188" spans="1:3" x14ac:dyDescent="0.2">
      <c r="A188" s="9">
        <v>186</v>
      </c>
      <c r="B188" s="9">
        <f t="shared" ca="1" si="2"/>
        <v>0.70742910369369683</v>
      </c>
      <c r="C188" s="9" t="s">
        <v>24</v>
      </c>
    </row>
    <row r="189" spans="1:3" x14ac:dyDescent="0.2">
      <c r="A189" s="9">
        <v>187</v>
      </c>
      <c r="B189" s="9">
        <f t="shared" ca="1" si="2"/>
        <v>0.65684450357083191</v>
      </c>
      <c r="C189" s="9" t="s">
        <v>25</v>
      </c>
    </row>
    <row r="190" spans="1:3" x14ac:dyDescent="0.2">
      <c r="A190" s="9">
        <v>188</v>
      </c>
      <c r="B190" s="9">
        <f t="shared" ca="1" si="2"/>
        <v>0.84978517950616761</v>
      </c>
      <c r="C190" s="9" t="s">
        <v>24</v>
      </c>
    </row>
    <row r="191" spans="1:3" x14ac:dyDescent="0.2">
      <c r="A191" s="9">
        <v>189</v>
      </c>
      <c r="B191" s="9">
        <f t="shared" ca="1" si="2"/>
        <v>0.65470653962750691</v>
      </c>
      <c r="C191" s="9" t="s">
        <v>24</v>
      </c>
    </row>
    <row r="192" spans="1:3" x14ac:dyDescent="0.2">
      <c r="A192" s="9">
        <v>190</v>
      </c>
      <c r="B192" s="9">
        <f t="shared" ca="1" si="2"/>
        <v>0.58186211105264507</v>
      </c>
      <c r="C192" s="9" t="s">
        <v>25</v>
      </c>
    </row>
    <row r="193" spans="1:3" x14ac:dyDescent="0.2">
      <c r="A193" s="9">
        <v>191</v>
      </c>
      <c r="B193" s="9">
        <f t="shared" ca="1" si="2"/>
        <v>0.75481571461241215</v>
      </c>
      <c r="C193" s="9" t="s">
        <v>24</v>
      </c>
    </row>
    <row r="194" spans="1:3" x14ac:dyDescent="0.2">
      <c r="A194" s="9">
        <v>192</v>
      </c>
      <c r="B194" s="9">
        <f t="shared" ca="1" si="2"/>
        <v>0.7022494264563115</v>
      </c>
      <c r="C194" s="9" t="s">
        <v>25</v>
      </c>
    </row>
    <row r="195" spans="1:3" x14ac:dyDescent="0.2">
      <c r="A195" s="9">
        <v>193</v>
      </c>
      <c r="B195" s="9">
        <f t="shared" ca="1" si="2"/>
        <v>0.48028535934858707</v>
      </c>
      <c r="C195" s="9" t="s">
        <v>24</v>
      </c>
    </row>
    <row r="196" spans="1:3" x14ac:dyDescent="0.2">
      <c r="A196" s="9">
        <v>194</v>
      </c>
      <c r="B196" s="9">
        <f t="shared" ref="B196:B259" ca="1" si="3">IF(C196="Bomb",_xlfn.NORM.INV(RAND(),0.7,0.1),_xlfn.NORM.INV(RAND(),0.6,0.15))</f>
        <v>0.75491709391763584</v>
      </c>
      <c r="C196" s="9" t="s">
        <v>25</v>
      </c>
    </row>
    <row r="197" spans="1:3" x14ac:dyDescent="0.2">
      <c r="A197" s="9">
        <v>195</v>
      </c>
      <c r="B197" s="9">
        <f t="shared" ca="1" si="3"/>
        <v>0.48002068017523214</v>
      </c>
      <c r="C197" s="9" t="s">
        <v>25</v>
      </c>
    </row>
    <row r="198" spans="1:3" x14ac:dyDescent="0.2">
      <c r="A198" s="9">
        <v>196</v>
      </c>
      <c r="B198" s="9">
        <f t="shared" ca="1" si="3"/>
        <v>0.86181571353306075</v>
      </c>
      <c r="C198" s="9" t="s">
        <v>24</v>
      </c>
    </row>
    <row r="199" spans="1:3" x14ac:dyDescent="0.2">
      <c r="A199" s="9">
        <v>197</v>
      </c>
      <c r="B199" s="9">
        <f t="shared" ca="1" si="3"/>
        <v>0.77014172668310221</v>
      </c>
      <c r="C199" s="9" t="s">
        <v>25</v>
      </c>
    </row>
    <row r="200" spans="1:3" x14ac:dyDescent="0.2">
      <c r="A200" s="9">
        <v>198</v>
      </c>
      <c r="B200" s="9">
        <f t="shared" ca="1" si="3"/>
        <v>0.8668959752029719</v>
      </c>
      <c r="C200" s="9" t="s">
        <v>24</v>
      </c>
    </row>
    <row r="201" spans="1:3" x14ac:dyDescent="0.2">
      <c r="A201" s="9">
        <v>199</v>
      </c>
      <c r="B201" s="9">
        <f t="shared" ca="1" si="3"/>
        <v>0.72269870220601162</v>
      </c>
      <c r="C201" s="9" t="s">
        <v>25</v>
      </c>
    </row>
    <row r="202" spans="1:3" x14ac:dyDescent="0.2">
      <c r="A202" s="9">
        <v>200</v>
      </c>
      <c r="B202" s="9">
        <f t="shared" ca="1" si="3"/>
        <v>0.74228439180825956</v>
      </c>
      <c r="C202" s="9" t="s">
        <v>24</v>
      </c>
    </row>
    <row r="203" spans="1:3" x14ac:dyDescent="0.2">
      <c r="A203" s="9">
        <v>201</v>
      </c>
      <c r="B203" s="9">
        <f t="shared" ca="1" si="3"/>
        <v>0.35829571035468288</v>
      </c>
      <c r="C203" s="9" t="s">
        <v>25</v>
      </c>
    </row>
    <row r="204" spans="1:3" x14ac:dyDescent="0.2">
      <c r="A204" s="9">
        <v>202</v>
      </c>
      <c r="B204" s="9">
        <f t="shared" ca="1" si="3"/>
        <v>0.78787104385886286</v>
      </c>
      <c r="C204" s="9" t="s">
        <v>24</v>
      </c>
    </row>
    <row r="205" spans="1:3" x14ac:dyDescent="0.2">
      <c r="A205" s="9">
        <v>203</v>
      </c>
      <c r="B205" s="9">
        <f t="shared" ca="1" si="3"/>
        <v>0.75605388894184344</v>
      </c>
      <c r="C205" s="9" t="s">
        <v>25</v>
      </c>
    </row>
    <row r="206" spans="1:3" x14ac:dyDescent="0.2">
      <c r="A206" s="9">
        <v>204</v>
      </c>
      <c r="B206" s="9">
        <f t="shared" ca="1" si="3"/>
        <v>0.57210838050895441</v>
      </c>
      <c r="C206" s="9" t="s">
        <v>25</v>
      </c>
    </row>
    <row r="207" spans="1:3" x14ac:dyDescent="0.2">
      <c r="A207" s="9">
        <v>205</v>
      </c>
      <c r="B207" s="9">
        <f t="shared" ca="1" si="3"/>
        <v>0.69785389757395155</v>
      </c>
      <c r="C207" s="9" t="s">
        <v>25</v>
      </c>
    </row>
    <row r="208" spans="1:3" x14ac:dyDescent="0.2">
      <c r="A208" s="9">
        <v>206</v>
      </c>
      <c r="B208" s="9">
        <f t="shared" ca="1" si="3"/>
        <v>0.70995721774500453</v>
      </c>
      <c r="C208" s="9" t="s">
        <v>24</v>
      </c>
    </row>
    <row r="209" spans="1:3" x14ac:dyDescent="0.2">
      <c r="A209" s="9">
        <v>207</v>
      </c>
      <c r="B209" s="9">
        <f t="shared" ca="1" si="3"/>
        <v>0.72469932824010341</v>
      </c>
      <c r="C209" s="9" t="s">
        <v>24</v>
      </c>
    </row>
    <row r="210" spans="1:3" x14ac:dyDescent="0.2">
      <c r="A210" s="9">
        <v>208</v>
      </c>
      <c r="B210" s="9">
        <f t="shared" ca="1" si="3"/>
        <v>0.63636684973068935</v>
      </c>
      <c r="C210" s="9" t="s">
        <v>24</v>
      </c>
    </row>
    <row r="211" spans="1:3" x14ac:dyDescent="0.2">
      <c r="A211" s="9">
        <v>209</v>
      </c>
      <c r="B211" s="9">
        <f t="shared" ca="1" si="3"/>
        <v>0.7218382180465519</v>
      </c>
      <c r="C211" s="9" t="s">
        <v>25</v>
      </c>
    </row>
    <row r="212" spans="1:3" x14ac:dyDescent="0.2">
      <c r="A212" s="9">
        <v>210</v>
      </c>
      <c r="B212" s="9">
        <f t="shared" ca="1" si="3"/>
        <v>0.53683928419875637</v>
      </c>
      <c r="C212" s="9" t="s">
        <v>25</v>
      </c>
    </row>
    <row r="213" spans="1:3" x14ac:dyDescent="0.2">
      <c r="A213" s="9">
        <v>211</v>
      </c>
      <c r="B213" s="9">
        <f t="shared" ca="1" si="3"/>
        <v>0.7634613549430157</v>
      </c>
      <c r="C213" s="9" t="s">
        <v>25</v>
      </c>
    </row>
    <row r="214" spans="1:3" x14ac:dyDescent="0.2">
      <c r="A214" s="9">
        <v>212</v>
      </c>
      <c r="B214" s="9">
        <f t="shared" ca="1" si="3"/>
        <v>0.72704493441920426</v>
      </c>
      <c r="C214" s="9" t="s">
        <v>25</v>
      </c>
    </row>
    <row r="215" spans="1:3" x14ac:dyDescent="0.2">
      <c r="A215" s="9">
        <v>213</v>
      </c>
      <c r="B215" s="9">
        <f t="shared" ca="1" si="3"/>
        <v>0.61898325347722416</v>
      </c>
      <c r="C215" s="9" t="s">
        <v>25</v>
      </c>
    </row>
    <row r="216" spans="1:3" x14ac:dyDescent="0.2">
      <c r="A216" s="9">
        <v>214</v>
      </c>
      <c r="B216" s="9">
        <f t="shared" ca="1" si="3"/>
        <v>0.51787501574319839</v>
      </c>
      <c r="C216" s="9" t="s">
        <v>25</v>
      </c>
    </row>
    <row r="217" spans="1:3" x14ac:dyDescent="0.2">
      <c r="A217" s="9">
        <v>215</v>
      </c>
      <c r="B217" s="9">
        <f t="shared" ca="1" si="3"/>
        <v>0.59243000154239367</v>
      </c>
      <c r="C217" s="9" t="s">
        <v>24</v>
      </c>
    </row>
    <row r="218" spans="1:3" x14ac:dyDescent="0.2">
      <c r="A218" s="9">
        <v>216</v>
      </c>
      <c r="B218" s="9">
        <f t="shared" ca="1" si="3"/>
        <v>0.67576584142671048</v>
      </c>
      <c r="C218" s="9" t="s">
        <v>24</v>
      </c>
    </row>
    <row r="219" spans="1:3" x14ac:dyDescent="0.2">
      <c r="A219" s="9">
        <v>217</v>
      </c>
      <c r="B219" s="9">
        <f t="shared" ca="1" si="3"/>
        <v>0.58447415563234351</v>
      </c>
      <c r="C219" s="9" t="s">
        <v>24</v>
      </c>
    </row>
    <row r="220" spans="1:3" x14ac:dyDescent="0.2">
      <c r="A220" s="9">
        <v>218</v>
      </c>
      <c r="B220" s="9">
        <f t="shared" ca="1" si="3"/>
        <v>0.53592391616165669</v>
      </c>
      <c r="C220" s="9" t="s">
        <v>25</v>
      </c>
    </row>
    <row r="221" spans="1:3" x14ac:dyDescent="0.2">
      <c r="A221" s="9">
        <v>219</v>
      </c>
      <c r="B221" s="9">
        <f t="shared" ca="1" si="3"/>
        <v>0.63023038078572646</v>
      </c>
      <c r="C221" s="9" t="s">
        <v>24</v>
      </c>
    </row>
    <row r="222" spans="1:3" x14ac:dyDescent="0.2">
      <c r="A222" s="9">
        <v>220</v>
      </c>
      <c r="B222" s="9">
        <f t="shared" ca="1" si="3"/>
        <v>0.70819992344920735</v>
      </c>
      <c r="C222" s="9" t="s">
        <v>25</v>
      </c>
    </row>
    <row r="223" spans="1:3" x14ac:dyDescent="0.2">
      <c r="A223" s="9">
        <v>221</v>
      </c>
      <c r="B223" s="9">
        <f t="shared" ca="1" si="3"/>
        <v>0.62715251907465364</v>
      </c>
      <c r="C223" s="9" t="s">
        <v>24</v>
      </c>
    </row>
    <row r="224" spans="1:3" x14ac:dyDescent="0.2">
      <c r="A224" s="9">
        <v>222</v>
      </c>
      <c r="B224" s="9">
        <f t="shared" ca="1" si="3"/>
        <v>0.8174574810056876</v>
      </c>
      <c r="C224" s="9" t="s">
        <v>24</v>
      </c>
    </row>
    <row r="225" spans="1:3" x14ac:dyDescent="0.2">
      <c r="A225" s="9">
        <v>223</v>
      </c>
      <c r="B225" s="9">
        <f t="shared" ca="1" si="3"/>
        <v>0.54877579961826595</v>
      </c>
      <c r="C225" s="9" t="s">
        <v>25</v>
      </c>
    </row>
    <row r="226" spans="1:3" x14ac:dyDescent="0.2">
      <c r="A226" s="9">
        <v>224</v>
      </c>
      <c r="B226" s="9">
        <f t="shared" ca="1" si="3"/>
        <v>0.46361694838554701</v>
      </c>
      <c r="C226" s="9" t="s">
        <v>25</v>
      </c>
    </row>
    <row r="227" spans="1:3" x14ac:dyDescent="0.2">
      <c r="A227" s="9">
        <v>225</v>
      </c>
      <c r="B227" s="9">
        <f t="shared" ca="1" si="3"/>
        <v>0.64508477534518627</v>
      </c>
      <c r="C227" s="9" t="s">
        <v>24</v>
      </c>
    </row>
    <row r="228" spans="1:3" x14ac:dyDescent="0.2">
      <c r="A228" s="9">
        <v>226</v>
      </c>
      <c r="B228" s="9">
        <f t="shared" ca="1" si="3"/>
        <v>0.69118005931454851</v>
      </c>
      <c r="C228" s="9" t="s">
        <v>25</v>
      </c>
    </row>
    <row r="229" spans="1:3" x14ac:dyDescent="0.2">
      <c r="A229" s="9">
        <v>227</v>
      </c>
      <c r="B229" s="9">
        <f t="shared" ca="1" si="3"/>
        <v>0.79507102883685754</v>
      </c>
      <c r="C229" s="9" t="s">
        <v>25</v>
      </c>
    </row>
    <row r="230" spans="1:3" x14ac:dyDescent="0.2">
      <c r="A230" s="9">
        <v>228</v>
      </c>
      <c r="B230" s="9">
        <f t="shared" ca="1" si="3"/>
        <v>0.51634713779294261</v>
      </c>
      <c r="C230" s="9" t="s">
        <v>25</v>
      </c>
    </row>
    <row r="231" spans="1:3" x14ac:dyDescent="0.2">
      <c r="A231" s="9">
        <v>229</v>
      </c>
      <c r="B231" s="9">
        <f t="shared" ca="1" si="3"/>
        <v>0.69468699660198885</v>
      </c>
      <c r="C231" s="9" t="s">
        <v>25</v>
      </c>
    </row>
    <row r="232" spans="1:3" x14ac:dyDescent="0.2">
      <c r="A232" s="9">
        <v>230</v>
      </c>
      <c r="B232" s="9">
        <f t="shared" ca="1" si="3"/>
        <v>0.55508002522635214</v>
      </c>
      <c r="C232" s="9" t="s">
        <v>24</v>
      </c>
    </row>
    <row r="233" spans="1:3" x14ac:dyDescent="0.2">
      <c r="A233" s="9">
        <v>231</v>
      </c>
      <c r="B233" s="9">
        <f t="shared" ca="1" si="3"/>
        <v>0.73380524933748603</v>
      </c>
      <c r="C233" s="9" t="s">
        <v>24</v>
      </c>
    </row>
    <row r="234" spans="1:3" x14ac:dyDescent="0.2">
      <c r="A234" s="9">
        <v>232</v>
      </c>
      <c r="B234" s="9">
        <f t="shared" ca="1" si="3"/>
        <v>0.74428312262809948</v>
      </c>
      <c r="C234" s="9" t="s">
        <v>25</v>
      </c>
    </row>
    <row r="235" spans="1:3" x14ac:dyDescent="0.2">
      <c r="A235" s="9">
        <v>233</v>
      </c>
      <c r="B235" s="9">
        <f t="shared" ca="1" si="3"/>
        <v>0.9020779806352035</v>
      </c>
      <c r="C235" s="9" t="s">
        <v>25</v>
      </c>
    </row>
    <row r="236" spans="1:3" x14ac:dyDescent="0.2">
      <c r="A236" s="9">
        <v>234</v>
      </c>
      <c r="B236" s="9">
        <f t="shared" ca="1" si="3"/>
        <v>0.72814774417659278</v>
      </c>
      <c r="C236" s="9" t="s">
        <v>24</v>
      </c>
    </row>
    <row r="237" spans="1:3" x14ac:dyDescent="0.2">
      <c r="A237" s="9">
        <v>235</v>
      </c>
      <c r="B237" s="9">
        <f t="shared" ca="1" si="3"/>
        <v>0.46760995854695886</v>
      </c>
      <c r="C237" s="9" t="s">
        <v>25</v>
      </c>
    </row>
    <row r="238" spans="1:3" x14ac:dyDescent="0.2">
      <c r="A238" s="9">
        <v>236</v>
      </c>
      <c r="B238" s="9">
        <f t="shared" ca="1" si="3"/>
        <v>0.8030323456216687</v>
      </c>
      <c r="C238" s="9" t="s">
        <v>24</v>
      </c>
    </row>
    <row r="239" spans="1:3" x14ac:dyDescent="0.2">
      <c r="A239" s="9">
        <v>237</v>
      </c>
      <c r="B239" s="9">
        <f t="shared" ca="1" si="3"/>
        <v>0.62780021871357305</v>
      </c>
      <c r="C239" s="9" t="s">
        <v>25</v>
      </c>
    </row>
    <row r="240" spans="1:3" x14ac:dyDescent="0.2">
      <c r="A240" s="9">
        <v>238</v>
      </c>
      <c r="B240" s="9">
        <f t="shared" ca="1" si="3"/>
        <v>0.74415916187227038</v>
      </c>
      <c r="C240" s="9" t="s">
        <v>24</v>
      </c>
    </row>
    <row r="241" spans="1:3" x14ac:dyDescent="0.2">
      <c r="A241" s="9">
        <v>239</v>
      </c>
      <c r="B241" s="9">
        <f t="shared" ca="1" si="3"/>
        <v>0.31164961317238343</v>
      </c>
      <c r="C241" s="9" t="s">
        <v>25</v>
      </c>
    </row>
    <row r="242" spans="1:3" x14ac:dyDescent="0.2">
      <c r="A242" s="9">
        <v>240</v>
      </c>
      <c r="B242" s="9">
        <f t="shared" ca="1" si="3"/>
        <v>0.52339497760719367</v>
      </c>
      <c r="C242" s="9" t="s">
        <v>25</v>
      </c>
    </row>
    <row r="243" spans="1:3" x14ac:dyDescent="0.2">
      <c r="A243" s="9">
        <v>241</v>
      </c>
      <c r="B243" s="9">
        <f t="shared" ca="1" si="3"/>
        <v>0.69557842993124819</v>
      </c>
      <c r="C243" s="9" t="s">
        <v>24</v>
      </c>
    </row>
    <row r="244" spans="1:3" x14ac:dyDescent="0.2">
      <c r="A244" s="9">
        <v>242</v>
      </c>
      <c r="B244" s="9">
        <f t="shared" ca="1" si="3"/>
        <v>0.69973642168964667</v>
      </c>
      <c r="C244" s="9" t="s">
        <v>24</v>
      </c>
    </row>
    <row r="245" spans="1:3" x14ac:dyDescent="0.2">
      <c r="A245" s="9">
        <v>243</v>
      </c>
      <c r="B245" s="9">
        <f t="shared" ca="1" si="3"/>
        <v>0.69112116819546143</v>
      </c>
      <c r="C245" s="9" t="s">
        <v>24</v>
      </c>
    </row>
    <row r="246" spans="1:3" x14ac:dyDescent="0.2">
      <c r="A246" s="9">
        <v>244</v>
      </c>
      <c r="B246" s="9">
        <f t="shared" ca="1" si="3"/>
        <v>0.6018757087373855</v>
      </c>
      <c r="C246" s="9" t="s">
        <v>25</v>
      </c>
    </row>
    <row r="247" spans="1:3" x14ac:dyDescent="0.2">
      <c r="A247" s="9">
        <v>245</v>
      </c>
      <c r="B247" s="9">
        <f t="shared" ca="1" si="3"/>
        <v>0.66129970947358752</v>
      </c>
      <c r="C247" s="9" t="s">
        <v>24</v>
      </c>
    </row>
    <row r="248" spans="1:3" x14ac:dyDescent="0.2">
      <c r="A248" s="9">
        <v>246</v>
      </c>
      <c r="B248" s="9">
        <f t="shared" ca="1" si="3"/>
        <v>0.69330191310423595</v>
      </c>
      <c r="C248" s="9" t="s">
        <v>24</v>
      </c>
    </row>
    <row r="249" spans="1:3" x14ac:dyDescent="0.2">
      <c r="A249" s="9">
        <v>247</v>
      </c>
      <c r="B249" s="9">
        <f t="shared" ca="1" si="3"/>
        <v>0.72673031814963873</v>
      </c>
      <c r="C249" s="9" t="s">
        <v>25</v>
      </c>
    </row>
    <row r="250" spans="1:3" x14ac:dyDescent="0.2">
      <c r="A250" s="9">
        <v>248</v>
      </c>
      <c r="B250" s="9">
        <f t="shared" ca="1" si="3"/>
        <v>0.70918835902197885</v>
      </c>
      <c r="C250" s="9" t="s">
        <v>24</v>
      </c>
    </row>
    <row r="251" spans="1:3" x14ac:dyDescent="0.2">
      <c r="A251" s="9">
        <v>249</v>
      </c>
      <c r="B251" s="9">
        <f t="shared" ca="1" si="3"/>
        <v>0.65746361546242427</v>
      </c>
      <c r="C251" s="9" t="s">
        <v>25</v>
      </c>
    </row>
    <row r="252" spans="1:3" x14ac:dyDescent="0.2">
      <c r="A252" s="9">
        <v>250</v>
      </c>
      <c r="B252" s="9">
        <f t="shared" ca="1" si="3"/>
        <v>0.46808027262264351</v>
      </c>
      <c r="C252" s="9" t="s">
        <v>24</v>
      </c>
    </row>
    <row r="253" spans="1:3" x14ac:dyDescent="0.2">
      <c r="A253" s="9">
        <v>251</v>
      </c>
      <c r="B253" s="9">
        <f t="shared" ca="1" si="3"/>
        <v>0.70203898426119682</v>
      </c>
      <c r="C253" s="9" t="s">
        <v>25</v>
      </c>
    </row>
    <row r="254" spans="1:3" x14ac:dyDescent="0.2">
      <c r="A254" s="9">
        <v>252</v>
      </c>
      <c r="B254" s="9">
        <f t="shared" ca="1" si="3"/>
        <v>0.85252826015519356</v>
      </c>
      <c r="C254" s="9" t="s">
        <v>24</v>
      </c>
    </row>
    <row r="255" spans="1:3" x14ac:dyDescent="0.2">
      <c r="A255" s="9">
        <v>253</v>
      </c>
      <c r="B255" s="9">
        <f t="shared" ca="1" si="3"/>
        <v>0.57247282003344468</v>
      </c>
      <c r="C255" s="9" t="s">
        <v>24</v>
      </c>
    </row>
    <row r="256" spans="1:3" x14ac:dyDescent="0.2">
      <c r="A256" s="9">
        <v>254</v>
      </c>
      <c r="B256" s="9">
        <f t="shared" ca="1" si="3"/>
        <v>0.81702853768429862</v>
      </c>
      <c r="C256" s="9" t="s">
        <v>24</v>
      </c>
    </row>
    <row r="257" spans="1:3" x14ac:dyDescent="0.2">
      <c r="A257" s="9">
        <v>255</v>
      </c>
      <c r="B257" s="9">
        <f t="shared" ca="1" si="3"/>
        <v>0.69819826469214941</v>
      </c>
      <c r="C257" s="9" t="s">
        <v>25</v>
      </c>
    </row>
    <row r="258" spans="1:3" x14ac:dyDescent="0.2">
      <c r="A258" s="9">
        <v>256</v>
      </c>
      <c r="B258" s="9">
        <f t="shared" ca="1" si="3"/>
        <v>0.70846026133594897</v>
      </c>
      <c r="C258" s="9" t="s">
        <v>25</v>
      </c>
    </row>
    <row r="259" spans="1:3" x14ac:dyDescent="0.2">
      <c r="A259" s="9">
        <v>257</v>
      </c>
      <c r="B259" s="9">
        <f t="shared" ca="1" si="3"/>
        <v>0.88321084401437222</v>
      </c>
      <c r="C259" s="9" t="s">
        <v>25</v>
      </c>
    </row>
    <row r="260" spans="1:3" x14ac:dyDescent="0.2">
      <c r="A260" s="9">
        <v>258</v>
      </c>
      <c r="B260" s="9">
        <f t="shared" ref="B260:B323" ca="1" si="4">IF(C260="Bomb",_xlfn.NORM.INV(RAND(),0.7,0.1),_xlfn.NORM.INV(RAND(),0.6,0.15))</f>
        <v>0.45882012296979913</v>
      </c>
      <c r="C260" s="9" t="s">
        <v>25</v>
      </c>
    </row>
    <row r="261" spans="1:3" x14ac:dyDescent="0.2">
      <c r="A261" s="9">
        <v>259</v>
      </c>
      <c r="B261" s="9">
        <f t="shared" ca="1" si="4"/>
        <v>0.70977679272603689</v>
      </c>
      <c r="C261" s="9" t="s">
        <v>25</v>
      </c>
    </row>
    <row r="262" spans="1:3" x14ac:dyDescent="0.2">
      <c r="A262" s="9">
        <v>260</v>
      </c>
      <c r="B262" s="9">
        <f t="shared" ca="1" si="4"/>
        <v>0.74514315055079505</v>
      </c>
      <c r="C262" s="9" t="s">
        <v>24</v>
      </c>
    </row>
    <row r="263" spans="1:3" x14ac:dyDescent="0.2">
      <c r="A263" s="9">
        <v>261</v>
      </c>
      <c r="B263" s="9">
        <f t="shared" ca="1" si="4"/>
        <v>0.64746704337099137</v>
      </c>
      <c r="C263" s="9" t="s">
        <v>24</v>
      </c>
    </row>
    <row r="264" spans="1:3" x14ac:dyDescent="0.2">
      <c r="A264" s="9">
        <v>262</v>
      </c>
      <c r="B264" s="9">
        <f t="shared" ca="1" si="4"/>
        <v>0.68306014785605329</v>
      </c>
      <c r="C264" s="9" t="s">
        <v>24</v>
      </c>
    </row>
    <row r="265" spans="1:3" x14ac:dyDescent="0.2">
      <c r="A265" s="9">
        <v>263</v>
      </c>
      <c r="B265" s="9">
        <f t="shared" ca="1" si="4"/>
        <v>0.45283065811576595</v>
      </c>
      <c r="C265" s="9" t="s">
        <v>24</v>
      </c>
    </row>
    <row r="266" spans="1:3" x14ac:dyDescent="0.2">
      <c r="A266" s="9">
        <v>264</v>
      </c>
      <c r="B266" s="9">
        <f t="shared" ca="1" si="4"/>
        <v>0.71984438119361116</v>
      </c>
      <c r="C266" s="9" t="s">
        <v>25</v>
      </c>
    </row>
    <row r="267" spans="1:3" x14ac:dyDescent="0.2">
      <c r="A267" s="9">
        <v>265</v>
      </c>
      <c r="B267" s="9">
        <f t="shared" ca="1" si="4"/>
        <v>0.5785978941296841</v>
      </c>
      <c r="C267" s="9" t="s">
        <v>24</v>
      </c>
    </row>
    <row r="268" spans="1:3" x14ac:dyDescent="0.2">
      <c r="A268" s="9">
        <v>266</v>
      </c>
      <c r="B268" s="9">
        <f t="shared" ca="1" si="4"/>
        <v>0.78365058807661214</v>
      </c>
      <c r="C268" s="9" t="s">
        <v>24</v>
      </c>
    </row>
    <row r="269" spans="1:3" x14ac:dyDescent="0.2">
      <c r="A269" s="9">
        <v>267</v>
      </c>
      <c r="B269" s="9">
        <f t="shared" ca="1" si="4"/>
        <v>0.6461662901152152</v>
      </c>
      <c r="C269" s="9" t="s">
        <v>25</v>
      </c>
    </row>
    <row r="270" spans="1:3" x14ac:dyDescent="0.2">
      <c r="A270" s="9">
        <v>268</v>
      </c>
      <c r="B270" s="9">
        <f t="shared" ca="1" si="4"/>
        <v>0.37499519481177584</v>
      </c>
      <c r="C270" s="9" t="s">
        <v>25</v>
      </c>
    </row>
    <row r="271" spans="1:3" x14ac:dyDescent="0.2">
      <c r="A271" s="9">
        <v>269</v>
      </c>
      <c r="B271" s="9">
        <f t="shared" ca="1" si="4"/>
        <v>0.72593357622810817</v>
      </c>
      <c r="C271" s="9" t="s">
        <v>24</v>
      </c>
    </row>
    <row r="272" spans="1:3" x14ac:dyDescent="0.2">
      <c r="A272" s="9">
        <v>270</v>
      </c>
      <c r="B272" s="9">
        <f t="shared" ca="1" si="4"/>
        <v>0.72689000475865384</v>
      </c>
      <c r="C272" s="9" t="s">
        <v>24</v>
      </c>
    </row>
    <row r="273" spans="1:3" x14ac:dyDescent="0.2">
      <c r="A273" s="9">
        <v>271</v>
      </c>
      <c r="B273" s="9">
        <f t="shared" ca="1" si="4"/>
        <v>0.85513156850342731</v>
      </c>
      <c r="C273" s="9" t="s">
        <v>25</v>
      </c>
    </row>
    <row r="274" spans="1:3" x14ac:dyDescent="0.2">
      <c r="A274" s="9">
        <v>272</v>
      </c>
      <c r="B274" s="9">
        <f t="shared" ca="1" si="4"/>
        <v>0.57028992098715614</v>
      </c>
      <c r="C274" s="9" t="s">
        <v>25</v>
      </c>
    </row>
    <row r="275" spans="1:3" x14ac:dyDescent="0.2">
      <c r="A275" s="9">
        <v>273</v>
      </c>
      <c r="B275" s="9">
        <f t="shared" ca="1" si="4"/>
        <v>0.78039439181285719</v>
      </c>
      <c r="C275" s="9" t="s">
        <v>24</v>
      </c>
    </row>
    <row r="276" spans="1:3" x14ac:dyDescent="0.2">
      <c r="A276" s="9">
        <v>274</v>
      </c>
      <c r="B276" s="9">
        <f t="shared" ca="1" si="4"/>
        <v>0.60638429615816802</v>
      </c>
      <c r="C276" s="9" t="s">
        <v>25</v>
      </c>
    </row>
    <row r="277" spans="1:3" x14ac:dyDescent="0.2">
      <c r="A277" s="9">
        <v>275</v>
      </c>
      <c r="B277" s="9">
        <f t="shared" ca="1" si="4"/>
        <v>0.57402142137573209</v>
      </c>
      <c r="C277" s="9" t="s">
        <v>25</v>
      </c>
    </row>
    <row r="278" spans="1:3" x14ac:dyDescent="0.2">
      <c r="A278" s="9">
        <v>276</v>
      </c>
      <c r="B278" s="9">
        <f t="shared" ca="1" si="4"/>
        <v>0.69649309741550947</v>
      </c>
      <c r="C278" s="9" t="s">
        <v>24</v>
      </c>
    </row>
    <row r="279" spans="1:3" x14ac:dyDescent="0.2">
      <c r="A279" s="9">
        <v>277</v>
      </c>
      <c r="B279" s="9">
        <f t="shared" ca="1" si="4"/>
        <v>0.80960926338874772</v>
      </c>
      <c r="C279" s="9" t="s">
        <v>24</v>
      </c>
    </row>
    <row r="280" spans="1:3" x14ac:dyDescent="0.2">
      <c r="A280" s="9">
        <v>278</v>
      </c>
      <c r="B280" s="9">
        <f t="shared" ca="1" si="4"/>
        <v>0.33506100347702794</v>
      </c>
      <c r="C280" s="9" t="s">
        <v>25</v>
      </c>
    </row>
    <row r="281" spans="1:3" x14ac:dyDescent="0.2">
      <c r="A281" s="9">
        <v>279</v>
      </c>
      <c r="B281" s="9">
        <f t="shared" ca="1" si="4"/>
        <v>0.88256065442613085</v>
      </c>
      <c r="C281" s="9" t="s">
        <v>25</v>
      </c>
    </row>
    <row r="282" spans="1:3" x14ac:dyDescent="0.2">
      <c r="A282" s="9">
        <v>280</v>
      </c>
      <c r="B282" s="9">
        <f t="shared" ca="1" si="4"/>
        <v>0.31386308809315944</v>
      </c>
      <c r="C282" s="9" t="s">
        <v>25</v>
      </c>
    </row>
    <row r="283" spans="1:3" x14ac:dyDescent="0.2">
      <c r="A283" s="9">
        <v>281</v>
      </c>
      <c r="B283" s="9">
        <f t="shared" ca="1" si="4"/>
        <v>0.59086744644480804</v>
      </c>
      <c r="C283" s="9" t="s">
        <v>25</v>
      </c>
    </row>
    <row r="284" spans="1:3" x14ac:dyDescent="0.2">
      <c r="A284" s="9">
        <v>282</v>
      </c>
      <c r="B284" s="9">
        <f t="shared" ca="1" si="4"/>
        <v>0.89119609498237229</v>
      </c>
      <c r="C284" s="9" t="s">
        <v>24</v>
      </c>
    </row>
    <row r="285" spans="1:3" x14ac:dyDescent="0.2">
      <c r="A285" s="9">
        <v>283</v>
      </c>
      <c r="B285" s="9">
        <f t="shared" ca="1" si="4"/>
        <v>0.58570442003687662</v>
      </c>
      <c r="C285" s="9" t="s">
        <v>24</v>
      </c>
    </row>
    <row r="286" spans="1:3" x14ac:dyDescent="0.2">
      <c r="A286" s="9">
        <v>284</v>
      </c>
      <c r="B286" s="9">
        <f t="shared" ca="1" si="4"/>
        <v>0.73809676413507108</v>
      </c>
      <c r="C286" s="9" t="s">
        <v>24</v>
      </c>
    </row>
    <row r="287" spans="1:3" x14ac:dyDescent="0.2">
      <c r="A287" s="9">
        <v>285</v>
      </c>
      <c r="B287" s="9">
        <f t="shared" ca="1" si="4"/>
        <v>0.77927229013830823</v>
      </c>
      <c r="C287" s="9" t="s">
        <v>25</v>
      </c>
    </row>
    <row r="288" spans="1:3" x14ac:dyDescent="0.2">
      <c r="A288" s="9">
        <v>286</v>
      </c>
      <c r="B288" s="9">
        <f t="shared" ca="1" si="4"/>
        <v>0.72575927296464415</v>
      </c>
      <c r="C288" s="9" t="s">
        <v>24</v>
      </c>
    </row>
    <row r="289" spans="1:3" x14ac:dyDescent="0.2">
      <c r="A289" s="9">
        <v>287</v>
      </c>
      <c r="B289" s="9">
        <f t="shared" ca="1" si="4"/>
        <v>0.60216765195254207</v>
      </c>
      <c r="C289" s="9" t="s">
        <v>24</v>
      </c>
    </row>
    <row r="290" spans="1:3" x14ac:dyDescent="0.2">
      <c r="A290" s="9">
        <v>288</v>
      </c>
      <c r="B290" s="9">
        <f t="shared" ca="1" si="4"/>
        <v>0.78212534527638078</v>
      </c>
      <c r="C290" s="9" t="s">
        <v>24</v>
      </c>
    </row>
    <row r="291" spans="1:3" x14ac:dyDescent="0.2">
      <c r="A291" s="9">
        <v>289</v>
      </c>
      <c r="B291" s="9">
        <f t="shared" ca="1" si="4"/>
        <v>0.71749339907797094</v>
      </c>
      <c r="C291" s="9" t="s">
        <v>24</v>
      </c>
    </row>
    <row r="292" spans="1:3" x14ac:dyDescent="0.2">
      <c r="A292" s="9">
        <v>290</v>
      </c>
      <c r="B292" s="9">
        <f t="shared" ca="1" si="4"/>
        <v>0.47292378491322873</v>
      </c>
      <c r="C292" s="9" t="s">
        <v>25</v>
      </c>
    </row>
    <row r="293" spans="1:3" x14ac:dyDescent="0.2">
      <c r="A293" s="9">
        <v>291</v>
      </c>
      <c r="B293" s="9">
        <f t="shared" ca="1" si="4"/>
        <v>0.66461907161741374</v>
      </c>
      <c r="C293" s="9" t="s">
        <v>24</v>
      </c>
    </row>
    <row r="294" spans="1:3" x14ac:dyDescent="0.2">
      <c r="A294" s="9">
        <v>292</v>
      </c>
      <c r="B294" s="9">
        <f t="shared" ca="1" si="4"/>
        <v>0.68777027659925771</v>
      </c>
      <c r="C294" s="9" t="s">
        <v>25</v>
      </c>
    </row>
    <row r="295" spans="1:3" x14ac:dyDescent="0.2">
      <c r="A295" s="9">
        <v>293</v>
      </c>
      <c r="B295" s="9">
        <f t="shared" ca="1" si="4"/>
        <v>0.82592518005187077</v>
      </c>
      <c r="C295" s="9" t="s">
        <v>24</v>
      </c>
    </row>
    <row r="296" spans="1:3" x14ac:dyDescent="0.2">
      <c r="A296" s="9">
        <v>294</v>
      </c>
      <c r="B296" s="9">
        <f t="shared" ca="1" si="4"/>
        <v>0.7591202986473311</v>
      </c>
      <c r="C296" s="9" t="s">
        <v>25</v>
      </c>
    </row>
    <row r="297" spans="1:3" x14ac:dyDescent="0.2">
      <c r="A297" s="9">
        <v>295</v>
      </c>
      <c r="B297" s="9">
        <f t="shared" ca="1" si="4"/>
        <v>0.61144288747544806</v>
      </c>
      <c r="C297" s="9" t="s">
        <v>25</v>
      </c>
    </row>
    <row r="298" spans="1:3" x14ac:dyDescent="0.2">
      <c r="A298" s="9">
        <v>296</v>
      </c>
      <c r="B298" s="9">
        <f t="shared" ca="1" si="4"/>
        <v>0.65283385413086326</v>
      </c>
      <c r="C298" s="9" t="s">
        <v>24</v>
      </c>
    </row>
    <row r="299" spans="1:3" x14ac:dyDescent="0.2">
      <c r="A299" s="9">
        <v>297</v>
      </c>
      <c r="B299" s="9">
        <f t="shared" ca="1" si="4"/>
        <v>0.66420848221962314</v>
      </c>
      <c r="C299" s="9" t="s">
        <v>24</v>
      </c>
    </row>
    <row r="300" spans="1:3" x14ac:dyDescent="0.2">
      <c r="A300" s="9">
        <v>298</v>
      </c>
      <c r="B300" s="9">
        <f t="shared" ca="1" si="4"/>
        <v>0.8242141999530963</v>
      </c>
      <c r="C300" s="9" t="s">
        <v>25</v>
      </c>
    </row>
    <row r="301" spans="1:3" x14ac:dyDescent="0.2">
      <c r="A301" s="9">
        <v>299</v>
      </c>
      <c r="B301" s="9">
        <f t="shared" ca="1" si="4"/>
        <v>0.5990923905867358</v>
      </c>
      <c r="C301" s="9" t="s">
        <v>24</v>
      </c>
    </row>
    <row r="302" spans="1:3" x14ac:dyDescent="0.2">
      <c r="A302" s="9">
        <v>300</v>
      </c>
      <c r="B302" s="9">
        <f t="shared" ca="1" si="4"/>
        <v>0.80936430059027331</v>
      </c>
      <c r="C302" s="9" t="s">
        <v>24</v>
      </c>
    </row>
    <row r="303" spans="1:3" x14ac:dyDescent="0.2">
      <c r="A303" s="9">
        <v>301</v>
      </c>
      <c r="B303" s="9">
        <f t="shared" ca="1" si="4"/>
        <v>0.66496153421748505</v>
      </c>
      <c r="C303" s="9" t="s">
        <v>24</v>
      </c>
    </row>
    <row r="304" spans="1:3" x14ac:dyDescent="0.2">
      <c r="A304" s="9">
        <v>302</v>
      </c>
      <c r="B304" s="9">
        <f t="shared" ca="1" si="4"/>
        <v>0.71842355171050576</v>
      </c>
      <c r="C304" s="9" t="s">
        <v>24</v>
      </c>
    </row>
    <row r="305" spans="1:3" x14ac:dyDescent="0.2">
      <c r="A305" s="9">
        <v>303</v>
      </c>
      <c r="B305" s="9">
        <f t="shared" ca="1" si="4"/>
        <v>0.75717870188525294</v>
      </c>
      <c r="C305" s="9" t="s">
        <v>24</v>
      </c>
    </row>
    <row r="306" spans="1:3" x14ac:dyDescent="0.2">
      <c r="A306" s="9">
        <v>304</v>
      </c>
      <c r="B306" s="9">
        <f t="shared" ca="1" si="4"/>
        <v>0.83218864853802499</v>
      </c>
      <c r="C306" s="9" t="s">
        <v>24</v>
      </c>
    </row>
    <row r="307" spans="1:3" x14ac:dyDescent="0.2">
      <c r="A307" s="9">
        <v>305</v>
      </c>
      <c r="B307" s="9">
        <f t="shared" ca="1" si="4"/>
        <v>0.95339616889200074</v>
      </c>
      <c r="C307" s="9" t="s">
        <v>25</v>
      </c>
    </row>
    <row r="308" spans="1:3" x14ac:dyDescent="0.2">
      <c r="A308" s="9">
        <v>306</v>
      </c>
      <c r="B308" s="9">
        <f t="shared" ca="1" si="4"/>
        <v>0.79117966068484058</v>
      </c>
      <c r="C308" s="9" t="s">
        <v>24</v>
      </c>
    </row>
    <row r="309" spans="1:3" x14ac:dyDescent="0.2">
      <c r="A309" s="9">
        <v>307</v>
      </c>
      <c r="B309" s="9">
        <f t="shared" ca="1" si="4"/>
        <v>0.38417981517001143</v>
      </c>
      <c r="C309" s="9" t="s">
        <v>25</v>
      </c>
    </row>
    <row r="310" spans="1:3" x14ac:dyDescent="0.2">
      <c r="A310" s="9">
        <v>308</v>
      </c>
      <c r="B310" s="9">
        <f t="shared" ca="1" si="4"/>
        <v>0.7868067194881655</v>
      </c>
      <c r="C310" s="9" t="s">
        <v>24</v>
      </c>
    </row>
    <row r="311" spans="1:3" x14ac:dyDescent="0.2">
      <c r="A311" s="9">
        <v>309</v>
      </c>
      <c r="B311" s="9">
        <f t="shared" ca="1" si="4"/>
        <v>0.87510562046591378</v>
      </c>
      <c r="C311" s="9" t="s">
        <v>24</v>
      </c>
    </row>
    <row r="312" spans="1:3" x14ac:dyDescent="0.2">
      <c r="A312" s="9">
        <v>310</v>
      </c>
      <c r="B312" s="9">
        <f t="shared" ca="1" si="4"/>
        <v>0.4246634525737164</v>
      </c>
      <c r="C312" s="9" t="s">
        <v>25</v>
      </c>
    </row>
    <row r="313" spans="1:3" x14ac:dyDescent="0.2">
      <c r="A313" s="9">
        <v>311</v>
      </c>
      <c r="B313" s="9">
        <f t="shared" ca="1" si="4"/>
        <v>0.55255726548081163</v>
      </c>
      <c r="C313" s="9" t="s">
        <v>24</v>
      </c>
    </row>
    <row r="314" spans="1:3" x14ac:dyDescent="0.2">
      <c r="A314" s="9">
        <v>312</v>
      </c>
      <c r="B314" s="9">
        <f t="shared" ca="1" si="4"/>
        <v>0.63234280903653983</v>
      </c>
      <c r="C314" s="9" t="s">
        <v>24</v>
      </c>
    </row>
    <row r="315" spans="1:3" x14ac:dyDescent="0.2">
      <c r="A315" s="9">
        <v>313</v>
      </c>
      <c r="B315" s="9">
        <f t="shared" ca="1" si="4"/>
        <v>0.66970192221384817</v>
      </c>
      <c r="C315" s="9" t="s">
        <v>25</v>
      </c>
    </row>
    <row r="316" spans="1:3" x14ac:dyDescent="0.2">
      <c r="A316" s="9">
        <v>314</v>
      </c>
      <c r="B316" s="9">
        <f t="shared" ca="1" si="4"/>
        <v>0.37889274897325481</v>
      </c>
      <c r="C316" s="9" t="s">
        <v>25</v>
      </c>
    </row>
    <row r="317" spans="1:3" x14ac:dyDescent="0.2">
      <c r="A317" s="9">
        <v>315</v>
      </c>
      <c r="B317" s="9">
        <f t="shared" ca="1" si="4"/>
        <v>0.72158546348149044</v>
      </c>
      <c r="C317" s="9" t="s">
        <v>24</v>
      </c>
    </row>
    <row r="318" spans="1:3" x14ac:dyDescent="0.2">
      <c r="A318" s="9">
        <v>316</v>
      </c>
      <c r="B318" s="9">
        <f t="shared" ca="1" si="4"/>
        <v>0.5809363229260005</v>
      </c>
      <c r="C318" s="9" t="s">
        <v>24</v>
      </c>
    </row>
    <row r="319" spans="1:3" x14ac:dyDescent="0.2">
      <c r="A319" s="9">
        <v>317</v>
      </c>
      <c r="B319" s="9">
        <f t="shared" ca="1" si="4"/>
        <v>0.53958232121220184</v>
      </c>
      <c r="C319" s="9" t="s">
        <v>25</v>
      </c>
    </row>
    <row r="320" spans="1:3" x14ac:dyDescent="0.2">
      <c r="A320" s="9">
        <v>318</v>
      </c>
      <c r="B320" s="9">
        <f t="shared" ca="1" si="4"/>
        <v>0.67167543746501823</v>
      </c>
      <c r="C320" s="9" t="s">
        <v>24</v>
      </c>
    </row>
    <row r="321" spans="1:3" x14ac:dyDescent="0.2">
      <c r="A321" s="9">
        <v>319</v>
      </c>
      <c r="B321" s="9">
        <f t="shared" ca="1" si="4"/>
        <v>0.65725345937084567</v>
      </c>
      <c r="C321" s="9" t="s">
        <v>25</v>
      </c>
    </row>
    <row r="322" spans="1:3" x14ac:dyDescent="0.2">
      <c r="A322" s="9">
        <v>320</v>
      </c>
      <c r="B322" s="9">
        <f t="shared" ca="1" si="4"/>
        <v>0.52628638402917649</v>
      </c>
      <c r="C322" s="9" t="s">
        <v>25</v>
      </c>
    </row>
    <row r="323" spans="1:3" x14ac:dyDescent="0.2">
      <c r="A323" s="9">
        <v>321</v>
      </c>
      <c r="B323" s="9">
        <f t="shared" ca="1" si="4"/>
        <v>0.77241641282529661</v>
      </c>
      <c r="C323" s="9" t="s">
        <v>24</v>
      </c>
    </row>
    <row r="324" spans="1:3" x14ac:dyDescent="0.2">
      <c r="A324" s="9">
        <v>322</v>
      </c>
      <c r="B324" s="9">
        <f t="shared" ref="B324:B387" ca="1" si="5">IF(C324="Bomb",_xlfn.NORM.INV(RAND(),0.7,0.1),_xlfn.NORM.INV(RAND(),0.6,0.15))</f>
        <v>0.65146736882041112</v>
      </c>
      <c r="C324" s="9" t="s">
        <v>24</v>
      </c>
    </row>
    <row r="325" spans="1:3" x14ac:dyDescent="0.2">
      <c r="A325" s="9">
        <v>323</v>
      </c>
      <c r="B325" s="9">
        <f t="shared" ca="1" si="5"/>
        <v>0.68096716956650605</v>
      </c>
      <c r="C325" s="9" t="s">
        <v>24</v>
      </c>
    </row>
    <row r="326" spans="1:3" x14ac:dyDescent="0.2">
      <c r="A326" s="9">
        <v>324</v>
      </c>
      <c r="B326" s="9">
        <f t="shared" ca="1" si="5"/>
        <v>0.47468018096922004</v>
      </c>
      <c r="C326" s="9" t="s">
        <v>25</v>
      </c>
    </row>
    <row r="327" spans="1:3" x14ac:dyDescent="0.2">
      <c r="A327" s="9">
        <v>325</v>
      </c>
      <c r="B327" s="9">
        <f t="shared" ca="1" si="5"/>
        <v>0.5665231598396997</v>
      </c>
      <c r="C327" s="9" t="s">
        <v>25</v>
      </c>
    </row>
    <row r="328" spans="1:3" x14ac:dyDescent="0.2">
      <c r="A328" s="9">
        <v>326</v>
      </c>
      <c r="B328" s="9">
        <f t="shared" ca="1" si="5"/>
        <v>0.54798149558252351</v>
      </c>
      <c r="C328" s="9" t="s">
        <v>24</v>
      </c>
    </row>
    <row r="329" spans="1:3" x14ac:dyDescent="0.2">
      <c r="A329" s="9">
        <v>327</v>
      </c>
      <c r="B329" s="9">
        <f t="shared" ca="1" si="5"/>
        <v>0.6622239912709923</v>
      </c>
      <c r="C329" s="9" t="s">
        <v>25</v>
      </c>
    </row>
    <row r="330" spans="1:3" x14ac:dyDescent="0.2">
      <c r="A330" s="9">
        <v>328</v>
      </c>
      <c r="B330" s="9">
        <f t="shared" ca="1" si="5"/>
        <v>0.75364470471000955</v>
      </c>
      <c r="C330" s="9" t="s">
        <v>25</v>
      </c>
    </row>
    <row r="331" spans="1:3" x14ac:dyDescent="0.2">
      <c r="A331" s="9">
        <v>329</v>
      </c>
      <c r="B331" s="9">
        <f t="shared" ca="1" si="5"/>
        <v>0.61041518626860081</v>
      </c>
      <c r="C331" s="9" t="s">
        <v>24</v>
      </c>
    </row>
    <row r="332" spans="1:3" x14ac:dyDescent="0.2">
      <c r="A332" s="9">
        <v>330</v>
      </c>
      <c r="B332" s="9">
        <f t="shared" ca="1" si="5"/>
        <v>0.54985830422784154</v>
      </c>
      <c r="C332" s="9" t="s">
        <v>25</v>
      </c>
    </row>
    <row r="333" spans="1:3" x14ac:dyDescent="0.2">
      <c r="A333" s="9">
        <v>331</v>
      </c>
      <c r="B333" s="9">
        <f t="shared" ca="1" si="5"/>
        <v>0.90763038763870285</v>
      </c>
      <c r="C333" s="9" t="s">
        <v>25</v>
      </c>
    </row>
    <row r="334" spans="1:3" x14ac:dyDescent="0.2">
      <c r="A334" s="9">
        <v>332</v>
      </c>
      <c r="B334" s="9">
        <f t="shared" ca="1" si="5"/>
        <v>0.56555042738069605</v>
      </c>
      <c r="C334" s="9" t="s">
        <v>24</v>
      </c>
    </row>
    <row r="335" spans="1:3" x14ac:dyDescent="0.2">
      <c r="A335" s="9">
        <v>333</v>
      </c>
      <c r="B335" s="9">
        <f t="shared" ca="1" si="5"/>
        <v>0.63152613766907661</v>
      </c>
      <c r="C335" s="9" t="s">
        <v>25</v>
      </c>
    </row>
    <row r="336" spans="1:3" x14ac:dyDescent="0.2">
      <c r="A336" s="9">
        <v>334</v>
      </c>
      <c r="B336" s="9">
        <f t="shared" ca="1" si="5"/>
        <v>0.74791907965599558</v>
      </c>
      <c r="C336" s="9" t="s">
        <v>25</v>
      </c>
    </row>
    <row r="337" spans="1:3" x14ac:dyDescent="0.2">
      <c r="A337" s="9">
        <v>335</v>
      </c>
      <c r="B337" s="9">
        <f t="shared" ca="1" si="5"/>
        <v>0.56082873690797352</v>
      </c>
      <c r="C337" s="9" t="s">
        <v>25</v>
      </c>
    </row>
    <row r="338" spans="1:3" x14ac:dyDescent="0.2">
      <c r="A338" s="9">
        <v>336</v>
      </c>
      <c r="B338" s="9">
        <f t="shared" ca="1" si="5"/>
        <v>0.68630646473026624</v>
      </c>
      <c r="C338" s="9" t="s">
        <v>24</v>
      </c>
    </row>
    <row r="339" spans="1:3" x14ac:dyDescent="0.2">
      <c r="A339" s="9">
        <v>337</v>
      </c>
      <c r="B339" s="9">
        <f t="shared" ca="1" si="5"/>
        <v>0.62791032015780635</v>
      </c>
      <c r="C339" s="9" t="s">
        <v>24</v>
      </c>
    </row>
    <row r="340" spans="1:3" x14ac:dyDescent="0.2">
      <c r="A340" s="9">
        <v>338</v>
      </c>
      <c r="B340" s="9">
        <f t="shared" ca="1" si="5"/>
        <v>0.81899908053414916</v>
      </c>
      <c r="C340" s="9" t="s">
        <v>24</v>
      </c>
    </row>
    <row r="341" spans="1:3" x14ac:dyDescent="0.2">
      <c r="A341" s="9">
        <v>339</v>
      </c>
      <c r="B341" s="9">
        <f t="shared" ca="1" si="5"/>
        <v>0.59641636138725751</v>
      </c>
      <c r="C341" s="9" t="s">
        <v>25</v>
      </c>
    </row>
    <row r="342" spans="1:3" x14ac:dyDescent="0.2">
      <c r="A342" s="9">
        <v>340</v>
      </c>
      <c r="B342" s="9">
        <f t="shared" ca="1" si="5"/>
        <v>0.63548039492576303</v>
      </c>
      <c r="C342" s="9" t="s">
        <v>25</v>
      </c>
    </row>
    <row r="343" spans="1:3" x14ac:dyDescent="0.2">
      <c r="A343" s="9">
        <v>341</v>
      </c>
      <c r="B343" s="9">
        <f t="shared" ca="1" si="5"/>
        <v>0.41046116020436485</v>
      </c>
      <c r="C343" s="9" t="s">
        <v>25</v>
      </c>
    </row>
    <row r="344" spans="1:3" x14ac:dyDescent="0.2">
      <c r="A344" s="9">
        <v>342</v>
      </c>
      <c r="B344" s="9">
        <f t="shared" ca="1" si="5"/>
        <v>0.58567595911511416</v>
      </c>
      <c r="C344" s="9" t="s">
        <v>25</v>
      </c>
    </row>
    <row r="345" spans="1:3" x14ac:dyDescent="0.2">
      <c r="A345" s="9">
        <v>343</v>
      </c>
      <c r="B345" s="9">
        <f t="shared" ca="1" si="5"/>
        <v>0.56374515936968639</v>
      </c>
      <c r="C345" s="9" t="s">
        <v>24</v>
      </c>
    </row>
    <row r="346" spans="1:3" x14ac:dyDescent="0.2">
      <c r="A346" s="9">
        <v>344</v>
      </c>
      <c r="B346" s="9">
        <f t="shared" ca="1" si="5"/>
        <v>0.64385657240484562</v>
      </c>
      <c r="C346" s="9" t="s">
        <v>24</v>
      </c>
    </row>
    <row r="347" spans="1:3" x14ac:dyDescent="0.2">
      <c r="A347" s="9">
        <v>345</v>
      </c>
      <c r="B347" s="9">
        <f t="shared" ca="1" si="5"/>
        <v>0.76037233263772908</v>
      </c>
      <c r="C347" s="9" t="s">
        <v>25</v>
      </c>
    </row>
    <row r="348" spans="1:3" x14ac:dyDescent="0.2">
      <c r="A348" s="9">
        <v>346</v>
      </c>
      <c r="B348" s="9">
        <f t="shared" ca="1" si="5"/>
        <v>0.79586476535222817</v>
      </c>
      <c r="C348" s="9" t="s">
        <v>24</v>
      </c>
    </row>
    <row r="349" spans="1:3" x14ac:dyDescent="0.2">
      <c r="A349" s="9">
        <v>347</v>
      </c>
      <c r="B349" s="9">
        <f t="shared" ca="1" si="5"/>
        <v>0.58850711322542792</v>
      </c>
      <c r="C349" s="9" t="s">
        <v>25</v>
      </c>
    </row>
    <row r="350" spans="1:3" x14ac:dyDescent="0.2">
      <c r="A350" s="9">
        <v>348</v>
      </c>
      <c r="B350" s="9">
        <f t="shared" ca="1" si="5"/>
        <v>0.74188977404168821</v>
      </c>
      <c r="C350" s="9" t="s">
        <v>24</v>
      </c>
    </row>
    <row r="351" spans="1:3" x14ac:dyDescent="0.2">
      <c r="A351" s="9">
        <v>349</v>
      </c>
      <c r="B351" s="9">
        <f t="shared" ca="1" si="5"/>
        <v>0.76770992079159461</v>
      </c>
      <c r="C351" s="9" t="s">
        <v>24</v>
      </c>
    </row>
    <row r="352" spans="1:3" x14ac:dyDescent="0.2">
      <c r="A352" s="9">
        <v>350</v>
      </c>
      <c r="B352" s="9">
        <f t="shared" ca="1" si="5"/>
        <v>0.37424597236708301</v>
      </c>
      <c r="C352" s="9" t="s">
        <v>25</v>
      </c>
    </row>
    <row r="353" spans="1:3" x14ac:dyDescent="0.2">
      <c r="A353" s="9">
        <v>351</v>
      </c>
      <c r="B353" s="9">
        <f t="shared" ca="1" si="5"/>
        <v>0.53114018173909794</v>
      </c>
      <c r="C353" s="9" t="s">
        <v>25</v>
      </c>
    </row>
    <row r="354" spans="1:3" x14ac:dyDescent="0.2">
      <c r="A354" s="9">
        <v>352</v>
      </c>
      <c r="B354" s="9">
        <f t="shared" ca="1" si="5"/>
        <v>0.47114088423204914</v>
      </c>
      <c r="C354" s="9" t="s">
        <v>25</v>
      </c>
    </row>
    <row r="355" spans="1:3" x14ac:dyDescent="0.2">
      <c r="A355" s="9">
        <v>353</v>
      </c>
      <c r="B355" s="9">
        <f t="shared" ca="1" si="5"/>
        <v>0.69778438751941707</v>
      </c>
      <c r="C355" s="9" t="s">
        <v>24</v>
      </c>
    </row>
    <row r="356" spans="1:3" x14ac:dyDescent="0.2">
      <c r="A356" s="9">
        <v>354</v>
      </c>
      <c r="B356" s="9">
        <f t="shared" ca="1" si="5"/>
        <v>0.72252651773214494</v>
      </c>
      <c r="C356" s="9" t="s">
        <v>24</v>
      </c>
    </row>
    <row r="357" spans="1:3" x14ac:dyDescent="0.2">
      <c r="A357" s="9">
        <v>355</v>
      </c>
      <c r="B357" s="9">
        <f t="shared" ca="1" si="5"/>
        <v>0.7637370785053621</v>
      </c>
      <c r="C357" s="9" t="s">
        <v>24</v>
      </c>
    </row>
    <row r="358" spans="1:3" x14ac:dyDescent="0.2">
      <c r="A358" s="9">
        <v>356</v>
      </c>
      <c r="B358" s="9">
        <f t="shared" ca="1" si="5"/>
        <v>0.72950072090378915</v>
      </c>
      <c r="C358" s="9" t="s">
        <v>24</v>
      </c>
    </row>
    <row r="359" spans="1:3" x14ac:dyDescent="0.2">
      <c r="A359" s="9">
        <v>357</v>
      </c>
      <c r="B359" s="9">
        <f t="shared" ca="1" si="5"/>
        <v>0.61407556829651577</v>
      </c>
      <c r="C359" s="9" t="s">
        <v>25</v>
      </c>
    </row>
    <row r="360" spans="1:3" x14ac:dyDescent="0.2">
      <c r="A360" s="9">
        <v>358</v>
      </c>
      <c r="B360" s="9">
        <f t="shared" ca="1" si="5"/>
        <v>0.79593261631991707</v>
      </c>
      <c r="C360" s="9" t="s">
        <v>24</v>
      </c>
    </row>
    <row r="361" spans="1:3" x14ac:dyDescent="0.2">
      <c r="A361" s="9">
        <v>359</v>
      </c>
      <c r="B361" s="9">
        <f t="shared" ca="1" si="5"/>
        <v>0.43855630839093918</v>
      </c>
      <c r="C361" s="9" t="s">
        <v>25</v>
      </c>
    </row>
    <row r="362" spans="1:3" x14ac:dyDescent="0.2">
      <c r="A362" s="9">
        <v>360</v>
      </c>
      <c r="B362" s="9">
        <f t="shared" ca="1" si="5"/>
        <v>0.66252364854592638</v>
      </c>
      <c r="C362" s="9" t="s">
        <v>25</v>
      </c>
    </row>
    <row r="363" spans="1:3" x14ac:dyDescent="0.2">
      <c r="A363" s="9">
        <v>361</v>
      </c>
      <c r="B363" s="9">
        <f t="shared" ca="1" si="5"/>
        <v>0.61299453740345378</v>
      </c>
      <c r="C363" s="9" t="s">
        <v>24</v>
      </c>
    </row>
    <row r="364" spans="1:3" x14ac:dyDescent="0.2">
      <c r="A364" s="9">
        <v>362</v>
      </c>
      <c r="B364" s="9">
        <f t="shared" ca="1" si="5"/>
        <v>0.65392137947638418</v>
      </c>
      <c r="C364" s="9" t="s">
        <v>24</v>
      </c>
    </row>
    <row r="365" spans="1:3" x14ac:dyDescent="0.2">
      <c r="A365" s="9">
        <v>363</v>
      </c>
      <c r="B365" s="9">
        <f t="shared" ca="1" si="5"/>
        <v>0.72382773159715985</v>
      </c>
      <c r="C365" s="9" t="s">
        <v>25</v>
      </c>
    </row>
    <row r="366" spans="1:3" x14ac:dyDescent="0.2">
      <c r="A366" s="9">
        <v>364</v>
      </c>
      <c r="B366" s="9">
        <f t="shared" ca="1" si="5"/>
        <v>0.68856567910339961</v>
      </c>
      <c r="C366" s="9" t="s">
        <v>24</v>
      </c>
    </row>
    <row r="367" spans="1:3" x14ac:dyDescent="0.2">
      <c r="A367" s="9">
        <v>365</v>
      </c>
      <c r="B367" s="9">
        <f t="shared" ca="1" si="5"/>
        <v>0.70933215584111753</v>
      </c>
      <c r="C367" s="9" t="s">
        <v>25</v>
      </c>
    </row>
    <row r="368" spans="1:3" x14ac:dyDescent="0.2">
      <c r="A368" s="9">
        <v>366</v>
      </c>
      <c r="B368" s="9">
        <f t="shared" ca="1" si="5"/>
        <v>0.43829113037904655</v>
      </c>
      <c r="C368" s="9" t="s">
        <v>25</v>
      </c>
    </row>
    <row r="369" spans="1:3" x14ac:dyDescent="0.2">
      <c r="A369" s="9">
        <v>367</v>
      </c>
      <c r="B369" s="9">
        <f t="shared" ca="1" si="5"/>
        <v>0.67871586679293894</v>
      </c>
      <c r="C369" s="9" t="s">
        <v>24</v>
      </c>
    </row>
    <row r="370" spans="1:3" x14ac:dyDescent="0.2">
      <c r="A370" s="9">
        <v>368</v>
      </c>
      <c r="B370" s="9">
        <f t="shared" ca="1" si="5"/>
        <v>0.51245163074898481</v>
      </c>
      <c r="C370" s="9" t="s">
        <v>24</v>
      </c>
    </row>
    <row r="371" spans="1:3" x14ac:dyDescent="0.2">
      <c r="A371" s="9">
        <v>369</v>
      </c>
      <c r="B371" s="9">
        <f t="shared" ca="1" si="5"/>
        <v>0.74108354677773702</v>
      </c>
      <c r="C371" s="9" t="s">
        <v>25</v>
      </c>
    </row>
    <row r="372" spans="1:3" x14ac:dyDescent="0.2">
      <c r="A372" s="9">
        <v>370</v>
      </c>
      <c r="B372" s="9">
        <f t="shared" ca="1" si="5"/>
        <v>0.66574587833126797</v>
      </c>
      <c r="C372" s="9" t="s">
        <v>24</v>
      </c>
    </row>
    <row r="373" spans="1:3" x14ac:dyDescent="0.2">
      <c r="A373" s="9">
        <v>371</v>
      </c>
      <c r="B373" s="9">
        <f t="shared" ca="1" si="5"/>
        <v>0.66430135585454864</v>
      </c>
      <c r="C373" s="9" t="s">
        <v>24</v>
      </c>
    </row>
    <row r="374" spans="1:3" x14ac:dyDescent="0.2">
      <c r="A374" s="9">
        <v>372</v>
      </c>
      <c r="B374" s="9">
        <f t="shared" ca="1" si="5"/>
        <v>0.50281196461182975</v>
      </c>
      <c r="C374" s="9" t="s">
        <v>25</v>
      </c>
    </row>
    <row r="375" spans="1:3" x14ac:dyDescent="0.2">
      <c r="A375" s="9">
        <v>373</v>
      </c>
      <c r="B375" s="9">
        <f t="shared" ca="1" si="5"/>
        <v>0.64048683350817748</v>
      </c>
      <c r="C375" s="9" t="s">
        <v>24</v>
      </c>
    </row>
    <row r="376" spans="1:3" x14ac:dyDescent="0.2">
      <c r="A376" s="9">
        <v>374</v>
      </c>
      <c r="B376" s="9">
        <f t="shared" ca="1" si="5"/>
        <v>0.92063823683975021</v>
      </c>
      <c r="C376" s="9" t="s">
        <v>24</v>
      </c>
    </row>
    <row r="377" spans="1:3" x14ac:dyDescent="0.2">
      <c r="A377" s="9">
        <v>375</v>
      </c>
      <c r="B377" s="9">
        <f t="shared" ca="1" si="5"/>
        <v>0.50366791979050496</v>
      </c>
      <c r="C377" s="9" t="s">
        <v>25</v>
      </c>
    </row>
    <row r="378" spans="1:3" x14ac:dyDescent="0.2">
      <c r="A378" s="9">
        <v>376</v>
      </c>
      <c r="B378" s="9">
        <f t="shared" ca="1" si="5"/>
        <v>0.61363971646029702</v>
      </c>
      <c r="C378" s="9" t="s">
        <v>24</v>
      </c>
    </row>
    <row r="379" spans="1:3" x14ac:dyDescent="0.2">
      <c r="A379" s="9">
        <v>377</v>
      </c>
      <c r="B379" s="9">
        <f t="shared" ca="1" si="5"/>
        <v>0.63827125840411092</v>
      </c>
      <c r="C379" s="9" t="s">
        <v>24</v>
      </c>
    </row>
    <row r="380" spans="1:3" x14ac:dyDescent="0.2">
      <c r="A380" s="9">
        <v>378</v>
      </c>
      <c r="B380" s="9">
        <f t="shared" ca="1" si="5"/>
        <v>0.67317593775613127</v>
      </c>
      <c r="C380" s="9" t="s">
        <v>24</v>
      </c>
    </row>
    <row r="381" spans="1:3" x14ac:dyDescent="0.2">
      <c r="A381" s="9">
        <v>379</v>
      </c>
      <c r="B381" s="9">
        <f t="shared" ca="1" si="5"/>
        <v>0.64126261630480186</v>
      </c>
      <c r="C381" s="9" t="s">
        <v>24</v>
      </c>
    </row>
    <row r="382" spans="1:3" x14ac:dyDescent="0.2">
      <c r="A382" s="9">
        <v>380</v>
      </c>
      <c r="B382" s="9">
        <f t="shared" ca="1" si="5"/>
        <v>0.72880469972604767</v>
      </c>
      <c r="C382" s="9" t="s">
        <v>24</v>
      </c>
    </row>
    <row r="383" spans="1:3" x14ac:dyDescent="0.2">
      <c r="A383" s="9">
        <v>381</v>
      </c>
      <c r="B383" s="9">
        <f t="shared" ca="1" si="5"/>
        <v>0.69326532349152392</v>
      </c>
      <c r="C383" s="9" t="s">
        <v>24</v>
      </c>
    </row>
    <row r="384" spans="1:3" x14ac:dyDescent="0.2">
      <c r="A384" s="9">
        <v>382</v>
      </c>
      <c r="B384" s="9">
        <f t="shared" ca="1" si="5"/>
        <v>0.44527212914573921</v>
      </c>
      <c r="C384" s="9" t="s">
        <v>24</v>
      </c>
    </row>
    <row r="385" spans="1:3" x14ac:dyDescent="0.2">
      <c r="A385" s="9">
        <v>383</v>
      </c>
      <c r="B385" s="9">
        <f t="shared" ca="1" si="5"/>
        <v>0.62906376388909346</v>
      </c>
      <c r="C385" s="9" t="s">
        <v>25</v>
      </c>
    </row>
    <row r="386" spans="1:3" x14ac:dyDescent="0.2">
      <c r="A386" s="9">
        <v>384</v>
      </c>
      <c r="B386" s="9">
        <f t="shared" ca="1" si="5"/>
        <v>0.67148332816602174</v>
      </c>
      <c r="C386" s="9" t="s">
        <v>24</v>
      </c>
    </row>
    <row r="387" spans="1:3" x14ac:dyDescent="0.2">
      <c r="A387" s="9">
        <v>385</v>
      </c>
      <c r="B387" s="9">
        <f t="shared" ca="1" si="5"/>
        <v>0.48321643432410238</v>
      </c>
      <c r="C387" s="9" t="s">
        <v>25</v>
      </c>
    </row>
    <row r="388" spans="1:3" x14ac:dyDescent="0.2">
      <c r="A388" s="9">
        <v>386</v>
      </c>
      <c r="B388" s="9">
        <f t="shared" ref="B388:B451" ca="1" si="6">IF(C388="Bomb",_xlfn.NORM.INV(RAND(),0.7,0.1),_xlfn.NORM.INV(RAND(),0.6,0.15))</f>
        <v>0.69899765933686231</v>
      </c>
      <c r="C388" s="9" t="s">
        <v>25</v>
      </c>
    </row>
    <row r="389" spans="1:3" x14ac:dyDescent="0.2">
      <c r="A389" s="9">
        <v>387</v>
      </c>
      <c r="B389" s="9">
        <f t="shared" ca="1" si="6"/>
        <v>0.55078546812824902</v>
      </c>
      <c r="C389" s="9" t="s">
        <v>25</v>
      </c>
    </row>
    <row r="390" spans="1:3" x14ac:dyDescent="0.2">
      <c r="A390" s="9">
        <v>388</v>
      </c>
      <c r="B390" s="9">
        <f t="shared" ca="1" si="6"/>
        <v>0.46252156002020195</v>
      </c>
      <c r="C390" s="9" t="s">
        <v>25</v>
      </c>
    </row>
    <row r="391" spans="1:3" x14ac:dyDescent="0.2">
      <c r="A391" s="9">
        <v>389</v>
      </c>
      <c r="B391" s="9">
        <f t="shared" ca="1" si="6"/>
        <v>0.54738903748638201</v>
      </c>
      <c r="C391" s="9" t="s">
        <v>25</v>
      </c>
    </row>
    <row r="392" spans="1:3" x14ac:dyDescent="0.2">
      <c r="A392" s="9">
        <v>390</v>
      </c>
      <c r="B392" s="9">
        <f t="shared" ca="1" si="6"/>
        <v>0.70213874578695057</v>
      </c>
      <c r="C392" s="9" t="s">
        <v>24</v>
      </c>
    </row>
    <row r="393" spans="1:3" x14ac:dyDescent="0.2">
      <c r="A393" s="9">
        <v>391</v>
      </c>
      <c r="B393" s="9">
        <f t="shared" ca="1" si="6"/>
        <v>0.5845201464255313</v>
      </c>
      <c r="C393" s="9" t="s">
        <v>24</v>
      </c>
    </row>
    <row r="394" spans="1:3" x14ac:dyDescent="0.2">
      <c r="A394" s="9">
        <v>392</v>
      </c>
      <c r="B394" s="9">
        <f t="shared" ca="1" si="6"/>
        <v>0.63596063111849377</v>
      </c>
      <c r="C394" s="9" t="s">
        <v>25</v>
      </c>
    </row>
    <row r="395" spans="1:3" x14ac:dyDescent="0.2">
      <c r="A395" s="9">
        <v>393</v>
      </c>
      <c r="B395" s="9">
        <f t="shared" ca="1" si="6"/>
        <v>0.58915999665422536</v>
      </c>
      <c r="C395" s="9" t="s">
        <v>25</v>
      </c>
    </row>
    <row r="396" spans="1:3" x14ac:dyDescent="0.2">
      <c r="A396" s="9">
        <v>394</v>
      </c>
      <c r="B396" s="9">
        <f t="shared" ca="1" si="6"/>
        <v>0.65828891902101405</v>
      </c>
      <c r="C396" s="9" t="s">
        <v>25</v>
      </c>
    </row>
    <row r="397" spans="1:3" x14ac:dyDescent="0.2">
      <c r="A397" s="9">
        <v>395</v>
      </c>
      <c r="B397" s="9">
        <f t="shared" ca="1" si="6"/>
        <v>0.67229195236910522</v>
      </c>
      <c r="C397" s="9" t="s">
        <v>24</v>
      </c>
    </row>
    <row r="398" spans="1:3" x14ac:dyDescent="0.2">
      <c r="A398" s="9">
        <v>396</v>
      </c>
      <c r="B398" s="9">
        <f t="shared" ca="1" si="6"/>
        <v>0.79470602067833629</v>
      </c>
      <c r="C398" s="9" t="s">
        <v>24</v>
      </c>
    </row>
    <row r="399" spans="1:3" x14ac:dyDescent="0.2">
      <c r="A399" s="9">
        <v>397</v>
      </c>
      <c r="B399" s="9">
        <f t="shared" ca="1" si="6"/>
        <v>0.47564474634283865</v>
      </c>
      <c r="C399" s="9" t="s">
        <v>25</v>
      </c>
    </row>
    <row r="400" spans="1:3" x14ac:dyDescent="0.2">
      <c r="A400" s="9">
        <v>398</v>
      </c>
      <c r="B400" s="9">
        <f t="shared" ca="1" si="6"/>
        <v>0.63944358186309136</v>
      </c>
      <c r="C400" s="9" t="s">
        <v>24</v>
      </c>
    </row>
    <row r="401" spans="1:3" x14ac:dyDescent="0.2">
      <c r="A401" s="9">
        <v>399</v>
      </c>
      <c r="B401" s="9">
        <f t="shared" ca="1" si="6"/>
        <v>0.81261185833092575</v>
      </c>
      <c r="C401" s="9" t="s">
        <v>25</v>
      </c>
    </row>
    <row r="402" spans="1:3" x14ac:dyDescent="0.2">
      <c r="A402" s="9">
        <v>400</v>
      </c>
      <c r="B402" s="9">
        <f t="shared" ca="1" si="6"/>
        <v>0.79824949667052447</v>
      </c>
      <c r="C402" s="9" t="s">
        <v>24</v>
      </c>
    </row>
    <row r="403" spans="1:3" x14ac:dyDescent="0.2">
      <c r="A403" s="9">
        <v>401</v>
      </c>
      <c r="B403" s="9">
        <f t="shared" ca="1" si="6"/>
        <v>0.68927648730339108</v>
      </c>
      <c r="C403" s="9" t="s">
        <v>25</v>
      </c>
    </row>
    <row r="404" spans="1:3" x14ac:dyDescent="0.2">
      <c r="A404" s="9">
        <v>402</v>
      </c>
      <c r="B404" s="9">
        <f t="shared" ca="1" si="6"/>
        <v>0.82278164331585601</v>
      </c>
      <c r="C404" s="9" t="s">
        <v>25</v>
      </c>
    </row>
    <row r="405" spans="1:3" x14ac:dyDescent="0.2">
      <c r="A405" s="9">
        <v>403</v>
      </c>
      <c r="B405" s="9">
        <f t="shared" ca="1" si="6"/>
        <v>0.58147373706409566</v>
      </c>
      <c r="C405" s="9" t="s">
        <v>25</v>
      </c>
    </row>
    <row r="406" spans="1:3" x14ac:dyDescent="0.2">
      <c r="A406" s="9">
        <v>404</v>
      </c>
      <c r="B406" s="9">
        <f t="shared" ca="1" si="6"/>
        <v>0.96618433619742272</v>
      </c>
      <c r="C406" s="9" t="s">
        <v>24</v>
      </c>
    </row>
    <row r="407" spans="1:3" x14ac:dyDescent="0.2">
      <c r="A407" s="9">
        <v>405</v>
      </c>
      <c r="B407" s="9">
        <f t="shared" ca="1" si="6"/>
        <v>0.61799218388796806</v>
      </c>
      <c r="C407" s="9" t="s">
        <v>24</v>
      </c>
    </row>
    <row r="408" spans="1:3" x14ac:dyDescent="0.2">
      <c r="A408" s="9">
        <v>406</v>
      </c>
      <c r="B408" s="9">
        <f t="shared" ca="1" si="6"/>
        <v>0.50038594187872143</v>
      </c>
      <c r="C408" s="9" t="s">
        <v>25</v>
      </c>
    </row>
    <row r="409" spans="1:3" x14ac:dyDescent="0.2">
      <c r="A409" s="9">
        <v>407</v>
      </c>
      <c r="B409" s="9">
        <f t="shared" ca="1" si="6"/>
        <v>0.5174614683593195</v>
      </c>
      <c r="C409" s="9" t="s">
        <v>25</v>
      </c>
    </row>
    <row r="410" spans="1:3" x14ac:dyDescent="0.2">
      <c r="A410" s="9">
        <v>408</v>
      </c>
      <c r="B410" s="9">
        <f t="shared" ca="1" si="6"/>
        <v>0.81665353878931823</v>
      </c>
      <c r="C410" s="9" t="s">
        <v>24</v>
      </c>
    </row>
    <row r="411" spans="1:3" x14ac:dyDescent="0.2">
      <c r="A411" s="9">
        <v>409</v>
      </c>
      <c r="B411" s="9">
        <f t="shared" ca="1" si="6"/>
        <v>0.96551743245905497</v>
      </c>
      <c r="C411" s="9" t="s">
        <v>24</v>
      </c>
    </row>
    <row r="412" spans="1:3" x14ac:dyDescent="0.2">
      <c r="A412" s="9">
        <v>410</v>
      </c>
      <c r="B412" s="9">
        <f t="shared" ca="1" si="6"/>
        <v>0.61462828579042317</v>
      </c>
      <c r="C412" s="9" t="s">
        <v>24</v>
      </c>
    </row>
    <row r="413" spans="1:3" x14ac:dyDescent="0.2">
      <c r="A413" s="9">
        <v>411</v>
      </c>
      <c r="B413" s="9">
        <f t="shared" ca="1" si="6"/>
        <v>0.61874353089980261</v>
      </c>
      <c r="C413" s="9" t="s">
        <v>25</v>
      </c>
    </row>
    <row r="414" spans="1:3" x14ac:dyDescent="0.2">
      <c r="A414" s="9">
        <v>412</v>
      </c>
      <c r="B414" s="9">
        <f t="shared" ca="1" si="6"/>
        <v>0.7705378512414206</v>
      </c>
      <c r="C414" s="9" t="s">
        <v>25</v>
      </c>
    </row>
    <row r="415" spans="1:3" x14ac:dyDescent="0.2">
      <c r="A415" s="9">
        <v>413</v>
      </c>
      <c r="B415" s="9">
        <f t="shared" ca="1" si="6"/>
        <v>0.67344606917054395</v>
      </c>
      <c r="C415" s="9" t="s">
        <v>24</v>
      </c>
    </row>
    <row r="416" spans="1:3" x14ac:dyDescent="0.2">
      <c r="A416" s="9">
        <v>414</v>
      </c>
      <c r="B416" s="9">
        <f t="shared" ca="1" si="6"/>
        <v>0.79159817903283602</v>
      </c>
      <c r="C416" s="9" t="s">
        <v>24</v>
      </c>
    </row>
    <row r="417" spans="1:3" x14ac:dyDescent="0.2">
      <c r="A417" s="9">
        <v>415</v>
      </c>
      <c r="B417" s="9">
        <f t="shared" ca="1" si="6"/>
        <v>0.51788460380040902</v>
      </c>
      <c r="C417" s="9" t="s">
        <v>25</v>
      </c>
    </row>
    <row r="418" spans="1:3" x14ac:dyDescent="0.2">
      <c r="A418" s="9">
        <v>416</v>
      </c>
      <c r="B418" s="9">
        <f t="shared" ca="1" si="6"/>
        <v>0.5431736860139097</v>
      </c>
      <c r="C418" s="9" t="s">
        <v>24</v>
      </c>
    </row>
    <row r="419" spans="1:3" x14ac:dyDescent="0.2">
      <c r="A419" s="9">
        <v>417</v>
      </c>
      <c r="B419" s="9">
        <f t="shared" ca="1" si="6"/>
        <v>0.72660585957824253</v>
      </c>
      <c r="C419" s="9" t="s">
        <v>24</v>
      </c>
    </row>
    <row r="420" spans="1:3" x14ac:dyDescent="0.2">
      <c r="A420" s="9">
        <v>418</v>
      </c>
      <c r="B420" s="9">
        <f t="shared" ca="1" si="6"/>
        <v>0.71909585795036468</v>
      </c>
      <c r="C420" s="9" t="s">
        <v>25</v>
      </c>
    </row>
    <row r="421" spans="1:3" x14ac:dyDescent="0.2">
      <c r="A421" s="9">
        <v>419</v>
      </c>
      <c r="B421" s="9">
        <f t="shared" ca="1" si="6"/>
        <v>0.61586455366698034</v>
      </c>
      <c r="C421" s="9" t="s">
        <v>25</v>
      </c>
    </row>
    <row r="422" spans="1:3" x14ac:dyDescent="0.2">
      <c r="A422" s="9">
        <v>420</v>
      </c>
      <c r="B422" s="9">
        <f t="shared" ca="1" si="6"/>
        <v>0.69782354273759617</v>
      </c>
      <c r="C422" s="9" t="s">
        <v>24</v>
      </c>
    </row>
    <row r="423" spans="1:3" x14ac:dyDescent="0.2">
      <c r="A423" s="9">
        <v>421</v>
      </c>
      <c r="B423" s="9">
        <f t="shared" ca="1" si="6"/>
        <v>0.71031991275530715</v>
      </c>
      <c r="C423" s="9" t="s">
        <v>24</v>
      </c>
    </row>
    <row r="424" spans="1:3" x14ac:dyDescent="0.2">
      <c r="A424" s="9">
        <v>422</v>
      </c>
      <c r="B424" s="9">
        <f t="shared" ca="1" si="6"/>
        <v>0.61470693596862402</v>
      </c>
      <c r="C424" s="9" t="s">
        <v>25</v>
      </c>
    </row>
    <row r="425" spans="1:3" x14ac:dyDescent="0.2">
      <c r="A425" s="9">
        <v>423</v>
      </c>
      <c r="B425" s="9">
        <f t="shared" ca="1" si="6"/>
        <v>0.48642640384193808</v>
      </c>
      <c r="C425" s="9" t="s">
        <v>25</v>
      </c>
    </row>
    <row r="426" spans="1:3" x14ac:dyDescent="0.2">
      <c r="A426" s="9">
        <v>424</v>
      </c>
      <c r="B426" s="9">
        <f t="shared" ca="1" si="6"/>
        <v>0.786910179888337</v>
      </c>
      <c r="C426" s="9" t="s">
        <v>25</v>
      </c>
    </row>
    <row r="427" spans="1:3" x14ac:dyDescent="0.2">
      <c r="A427" s="9">
        <v>425</v>
      </c>
      <c r="B427" s="9">
        <f t="shared" ca="1" si="6"/>
        <v>0.64733636520811189</v>
      </c>
      <c r="C427" s="9" t="s">
        <v>24</v>
      </c>
    </row>
    <row r="428" spans="1:3" x14ac:dyDescent="0.2">
      <c r="A428" s="9">
        <v>426</v>
      </c>
      <c r="B428" s="9">
        <f t="shared" ca="1" si="6"/>
        <v>0.44083849456349378</v>
      </c>
      <c r="C428" s="9" t="s">
        <v>25</v>
      </c>
    </row>
    <row r="429" spans="1:3" x14ac:dyDescent="0.2">
      <c r="A429" s="9">
        <v>427</v>
      </c>
      <c r="B429" s="9">
        <f t="shared" ca="1" si="6"/>
        <v>0.64589960557313475</v>
      </c>
      <c r="C429" s="9" t="s">
        <v>24</v>
      </c>
    </row>
    <row r="430" spans="1:3" x14ac:dyDescent="0.2">
      <c r="A430" s="9">
        <v>428</v>
      </c>
      <c r="B430" s="9">
        <f t="shared" ca="1" si="6"/>
        <v>0.60417651905147463</v>
      </c>
      <c r="C430" s="9" t="s">
        <v>25</v>
      </c>
    </row>
    <row r="431" spans="1:3" x14ac:dyDescent="0.2">
      <c r="A431" s="9">
        <v>429</v>
      </c>
      <c r="B431" s="9">
        <f t="shared" ca="1" si="6"/>
        <v>0.59761263294623024</v>
      </c>
      <c r="C431" s="9" t="s">
        <v>25</v>
      </c>
    </row>
    <row r="432" spans="1:3" x14ac:dyDescent="0.2">
      <c r="A432" s="9">
        <v>430</v>
      </c>
      <c r="B432" s="9">
        <f t="shared" ca="1" si="6"/>
        <v>0.77651226732255951</v>
      </c>
      <c r="C432" s="9" t="s">
        <v>24</v>
      </c>
    </row>
    <row r="433" spans="1:3" x14ac:dyDescent="0.2">
      <c r="A433" s="9">
        <v>431</v>
      </c>
      <c r="B433" s="9">
        <f t="shared" ca="1" si="6"/>
        <v>0.74564567086466127</v>
      </c>
      <c r="C433" s="9" t="s">
        <v>24</v>
      </c>
    </row>
    <row r="434" spans="1:3" x14ac:dyDescent="0.2">
      <c r="A434" s="9">
        <v>432</v>
      </c>
      <c r="B434" s="9">
        <f t="shared" ca="1" si="6"/>
        <v>0.60031168747941277</v>
      </c>
      <c r="C434" s="9" t="s">
        <v>25</v>
      </c>
    </row>
    <row r="435" spans="1:3" x14ac:dyDescent="0.2">
      <c r="A435" s="9">
        <v>433</v>
      </c>
      <c r="B435" s="9">
        <f t="shared" ca="1" si="6"/>
        <v>0.7106162118817797</v>
      </c>
      <c r="C435" s="9" t="s">
        <v>24</v>
      </c>
    </row>
    <row r="436" spans="1:3" x14ac:dyDescent="0.2">
      <c r="A436" s="9">
        <v>434</v>
      </c>
      <c r="B436" s="9">
        <f t="shared" ca="1" si="6"/>
        <v>0.56953952233047878</v>
      </c>
      <c r="C436" s="9" t="s">
        <v>25</v>
      </c>
    </row>
    <row r="437" spans="1:3" x14ac:dyDescent="0.2">
      <c r="A437" s="9">
        <v>435</v>
      </c>
      <c r="B437" s="9">
        <f t="shared" ca="1" si="6"/>
        <v>0.66904938871281672</v>
      </c>
      <c r="C437" s="9" t="s">
        <v>24</v>
      </c>
    </row>
    <row r="438" spans="1:3" x14ac:dyDescent="0.2">
      <c r="A438" s="9">
        <v>436</v>
      </c>
      <c r="B438" s="9">
        <f t="shared" ca="1" si="6"/>
        <v>0.77397531311157786</v>
      </c>
      <c r="C438" s="9" t="s">
        <v>24</v>
      </c>
    </row>
    <row r="439" spans="1:3" x14ac:dyDescent="0.2">
      <c r="A439" s="9">
        <v>437</v>
      </c>
      <c r="B439" s="9">
        <f t="shared" ca="1" si="6"/>
        <v>0.66099554839433461</v>
      </c>
      <c r="C439" s="9" t="s">
        <v>25</v>
      </c>
    </row>
    <row r="440" spans="1:3" x14ac:dyDescent="0.2">
      <c r="A440" s="9">
        <v>438</v>
      </c>
      <c r="B440" s="9">
        <f t="shared" ca="1" si="6"/>
        <v>0.5919263793566758</v>
      </c>
      <c r="C440" s="9" t="s">
        <v>24</v>
      </c>
    </row>
    <row r="441" spans="1:3" x14ac:dyDescent="0.2">
      <c r="A441" s="9">
        <v>439</v>
      </c>
      <c r="B441" s="9">
        <f t="shared" ca="1" si="6"/>
        <v>0.60661224529769364</v>
      </c>
      <c r="C441" s="9" t="s">
        <v>24</v>
      </c>
    </row>
    <row r="442" spans="1:3" x14ac:dyDescent="0.2">
      <c r="A442" s="9">
        <v>440</v>
      </c>
      <c r="B442" s="9">
        <f t="shared" ca="1" si="6"/>
        <v>0.84942914775707434</v>
      </c>
      <c r="C442" s="9" t="s">
        <v>24</v>
      </c>
    </row>
    <row r="443" spans="1:3" x14ac:dyDescent="0.2">
      <c r="A443" s="9">
        <v>441</v>
      </c>
      <c r="B443" s="9">
        <f t="shared" ca="1" si="6"/>
        <v>0.65676005829272299</v>
      </c>
      <c r="C443" s="9" t="s">
        <v>24</v>
      </c>
    </row>
    <row r="444" spans="1:3" x14ac:dyDescent="0.2">
      <c r="A444" s="9">
        <v>442</v>
      </c>
      <c r="B444" s="9">
        <f t="shared" ca="1" si="6"/>
        <v>0.79459338929382062</v>
      </c>
      <c r="C444" s="9" t="s">
        <v>24</v>
      </c>
    </row>
    <row r="445" spans="1:3" x14ac:dyDescent="0.2">
      <c r="A445" s="9">
        <v>443</v>
      </c>
      <c r="B445" s="9">
        <f t="shared" ca="1" si="6"/>
        <v>0.68384918652672277</v>
      </c>
      <c r="C445" s="9" t="s">
        <v>24</v>
      </c>
    </row>
    <row r="446" spans="1:3" x14ac:dyDescent="0.2">
      <c r="A446" s="9">
        <v>444</v>
      </c>
      <c r="B446" s="9">
        <f t="shared" ca="1" si="6"/>
        <v>0.63051473894299237</v>
      </c>
      <c r="C446" s="9" t="s">
        <v>25</v>
      </c>
    </row>
    <row r="447" spans="1:3" x14ac:dyDescent="0.2">
      <c r="A447" s="9">
        <v>445</v>
      </c>
      <c r="B447" s="9">
        <f t="shared" ca="1" si="6"/>
        <v>0.3120275105153279</v>
      </c>
      <c r="C447" s="9" t="s">
        <v>25</v>
      </c>
    </row>
    <row r="448" spans="1:3" x14ac:dyDescent="0.2">
      <c r="A448" s="9">
        <v>446</v>
      </c>
      <c r="B448" s="9">
        <f t="shared" ca="1" si="6"/>
        <v>0.68944465518427134</v>
      </c>
      <c r="C448" s="9" t="s">
        <v>24</v>
      </c>
    </row>
    <row r="449" spans="1:3" x14ac:dyDescent="0.2">
      <c r="A449" s="9">
        <v>447</v>
      </c>
      <c r="B449" s="9">
        <f t="shared" ca="1" si="6"/>
        <v>0.63412799417670362</v>
      </c>
      <c r="C449" s="9" t="s">
        <v>25</v>
      </c>
    </row>
    <row r="450" spans="1:3" x14ac:dyDescent="0.2">
      <c r="A450" s="9">
        <v>448</v>
      </c>
      <c r="B450" s="9">
        <f t="shared" ca="1" si="6"/>
        <v>0.84033647479619977</v>
      </c>
      <c r="C450" s="9" t="s">
        <v>24</v>
      </c>
    </row>
    <row r="451" spans="1:3" x14ac:dyDescent="0.2">
      <c r="A451" s="9">
        <v>449</v>
      </c>
      <c r="B451" s="9">
        <f t="shared" ca="1" si="6"/>
        <v>0.65897879313922703</v>
      </c>
      <c r="C451" s="9" t="s">
        <v>24</v>
      </c>
    </row>
    <row r="452" spans="1:3" x14ac:dyDescent="0.2">
      <c r="A452" s="9">
        <v>450</v>
      </c>
      <c r="B452" s="9">
        <f t="shared" ref="B452:B515" ca="1" si="7">IF(C452="Bomb",_xlfn.NORM.INV(RAND(),0.7,0.1),_xlfn.NORM.INV(RAND(),0.6,0.15))</f>
        <v>0.62403739421510962</v>
      </c>
      <c r="C452" s="9" t="s">
        <v>25</v>
      </c>
    </row>
    <row r="453" spans="1:3" x14ac:dyDescent="0.2">
      <c r="A453" s="9">
        <v>451</v>
      </c>
      <c r="B453" s="9">
        <f t="shared" ca="1" si="7"/>
        <v>0.6596198445917919</v>
      </c>
      <c r="C453" s="9" t="s">
        <v>24</v>
      </c>
    </row>
    <row r="454" spans="1:3" x14ac:dyDescent="0.2">
      <c r="A454" s="9">
        <v>452</v>
      </c>
      <c r="B454" s="9">
        <f t="shared" ca="1" si="7"/>
        <v>0.76831087805364595</v>
      </c>
      <c r="C454" s="9" t="s">
        <v>24</v>
      </c>
    </row>
    <row r="455" spans="1:3" x14ac:dyDescent="0.2">
      <c r="A455" s="9">
        <v>453</v>
      </c>
      <c r="B455" s="9">
        <f t="shared" ca="1" si="7"/>
        <v>0.61531616829860658</v>
      </c>
      <c r="C455" s="9" t="s">
        <v>25</v>
      </c>
    </row>
    <row r="456" spans="1:3" x14ac:dyDescent="0.2">
      <c r="A456" s="9">
        <v>454</v>
      </c>
      <c r="B456" s="9">
        <f t="shared" ca="1" si="7"/>
        <v>0.81026004631944915</v>
      </c>
      <c r="C456" s="9" t="s">
        <v>24</v>
      </c>
    </row>
    <row r="457" spans="1:3" x14ac:dyDescent="0.2">
      <c r="A457" s="9">
        <v>455</v>
      </c>
      <c r="B457" s="9">
        <f t="shared" ca="1" si="7"/>
        <v>0.58099325423467196</v>
      </c>
      <c r="C457" s="9" t="s">
        <v>25</v>
      </c>
    </row>
    <row r="458" spans="1:3" x14ac:dyDescent="0.2">
      <c r="A458" s="9">
        <v>456</v>
      </c>
      <c r="B458" s="9">
        <f t="shared" ca="1" si="7"/>
        <v>0.44767145851288459</v>
      </c>
      <c r="C458" s="9" t="s">
        <v>25</v>
      </c>
    </row>
    <row r="459" spans="1:3" x14ac:dyDescent="0.2">
      <c r="A459" s="9">
        <v>457</v>
      </c>
      <c r="B459" s="9">
        <f t="shared" ca="1" si="7"/>
        <v>0.58277765162972661</v>
      </c>
      <c r="C459" s="9" t="s">
        <v>25</v>
      </c>
    </row>
    <row r="460" spans="1:3" x14ac:dyDescent="0.2">
      <c r="A460" s="9">
        <v>458</v>
      </c>
      <c r="B460" s="9">
        <f t="shared" ca="1" si="7"/>
        <v>0.5365921852716512</v>
      </c>
      <c r="C460" s="9" t="s">
        <v>25</v>
      </c>
    </row>
    <row r="461" spans="1:3" x14ac:dyDescent="0.2">
      <c r="A461" s="9">
        <v>459</v>
      </c>
      <c r="B461" s="9">
        <f t="shared" ca="1" si="7"/>
        <v>0.5870872367276182</v>
      </c>
      <c r="C461" s="9" t="s">
        <v>24</v>
      </c>
    </row>
    <row r="462" spans="1:3" x14ac:dyDescent="0.2">
      <c r="A462" s="9">
        <v>460</v>
      </c>
      <c r="B462" s="9">
        <f t="shared" ca="1" si="7"/>
        <v>0.74743122047123578</v>
      </c>
      <c r="C462" s="9" t="s">
        <v>24</v>
      </c>
    </row>
    <row r="463" spans="1:3" x14ac:dyDescent="0.2">
      <c r="A463" s="9">
        <v>461</v>
      </c>
      <c r="B463" s="9">
        <f t="shared" ca="1" si="7"/>
        <v>0.7531697986418191</v>
      </c>
      <c r="C463" s="9" t="s">
        <v>25</v>
      </c>
    </row>
    <row r="464" spans="1:3" x14ac:dyDescent="0.2">
      <c r="A464" s="9">
        <v>462</v>
      </c>
      <c r="B464" s="9">
        <f t="shared" ca="1" si="7"/>
        <v>0.55771171404229436</v>
      </c>
      <c r="C464" s="9" t="s">
        <v>24</v>
      </c>
    </row>
    <row r="465" spans="1:3" x14ac:dyDescent="0.2">
      <c r="A465" s="9">
        <v>463</v>
      </c>
      <c r="B465" s="9">
        <f t="shared" ca="1" si="7"/>
        <v>0.62989355397514735</v>
      </c>
      <c r="C465" s="9" t="s">
        <v>24</v>
      </c>
    </row>
    <row r="466" spans="1:3" x14ac:dyDescent="0.2">
      <c r="A466" s="9">
        <v>464</v>
      </c>
      <c r="B466" s="9">
        <f t="shared" ca="1" si="7"/>
        <v>0.64940952253453499</v>
      </c>
      <c r="C466" s="9" t="s">
        <v>24</v>
      </c>
    </row>
    <row r="467" spans="1:3" x14ac:dyDescent="0.2">
      <c r="A467" s="9">
        <v>465</v>
      </c>
      <c r="B467" s="9">
        <f t="shared" ca="1" si="7"/>
        <v>0.86928046739472076</v>
      </c>
      <c r="C467" s="9" t="s">
        <v>24</v>
      </c>
    </row>
    <row r="468" spans="1:3" x14ac:dyDescent="0.2">
      <c r="A468" s="9">
        <v>466</v>
      </c>
      <c r="B468" s="9">
        <f t="shared" ca="1" si="7"/>
        <v>0.69732003606740478</v>
      </c>
      <c r="C468" s="9" t="s">
        <v>25</v>
      </c>
    </row>
    <row r="469" spans="1:3" x14ac:dyDescent="0.2">
      <c r="A469" s="9">
        <v>467</v>
      </c>
      <c r="B469" s="9">
        <f t="shared" ca="1" si="7"/>
        <v>0.54528332226073706</v>
      </c>
      <c r="C469" s="9" t="s">
        <v>25</v>
      </c>
    </row>
    <row r="470" spans="1:3" x14ac:dyDescent="0.2">
      <c r="A470" s="9">
        <v>468</v>
      </c>
      <c r="B470" s="9">
        <f t="shared" ca="1" si="7"/>
        <v>0.47368908115168618</v>
      </c>
      <c r="C470" s="9" t="s">
        <v>25</v>
      </c>
    </row>
    <row r="471" spans="1:3" x14ac:dyDescent="0.2">
      <c r="A471" s="9">
        <v>469</v>
      </c>
      <c r="B471" s="9">
        <f t="shared" ca="1" si="7"/>
        <v>0.66497671783403478</v>
      </c>
      <c r="C471" s="9" t="s">
        <v>24</v>
      </c>
    </row>
    <row r="472" spans="1:3" x14ac:dyDescent="0.2">
      <c r="A472" s="9">
        <v>470</v>
      </c>
      <c r="B472" s="9">
        <f t="shared" ca="1" si="7"/>
        <v>0.66657823602537269</v>
      </c>
      <c r="C472" s="9" t="s">
        <v>25</v>
      </c>
    </row>
    <row r="473" spans="1:3" x14ac:dyDescent="0.2">
      <c r="A473" s="9">
        <v>471</v>
      </c>
      <c r="B473" s="9">
        <f t="shared" ca="1" si="7"/>
        <v>0.58778184740047068</v>
      </c>
      <c r="C473" s="9" t="s">
        <v>24</v>
      </c>
    </row>
    <row r="474" spans="1:3" x14ac:dyDescent="0.2">
      <c r="A474" s="9">
        <v>472</v>
      </c>
      <c r="B474" s="9">
        <f t="shared" ca="1" si="7"/>
        <v>0.69009634947225662</v>
      </c>
      <c r="C474" s="9" t="s">
        <v>24</v>
      </c>
    </row>
    <row r="475" spans="1:3" x14ac:dyDescent="0.2">
      <c r="A475" s="9">
        <v>473</v>
      </c>
      <c r="B475" s="9">
        <f t="shared" ca="1" si="7"/>
        <v>0.73566059255168015</v>
      </c>
      <c r="C475" s="9" t="s">
        <v>24</v>
      </c>
    </row>
    <row r="476" spans="1:3" x14ac:dyDescent="0.2">
      <c r="A476" s="9">
        <v>474</v>
      </c>
      <c r="B476" s="9">
        <f t="shared" ca="1" si="7"/>
        <v>0.77570566706092325</v>
      </c>
      <c r="C476" s="9" t="s">
        <v>25</v>
      </c>
    </row>
    <row r="477" spans="1:3" x14ac:dyDescent="0.2">
      <c r="A477" s="9">
        <v>475</v>
      </c>
      <c r="B477" s="9">
        <f t="shared" ca="1" si="7"/>
        <v>0.61328075765278978</v>
      </c>
      <c r="C477" s="9" t="s">
        <v>24</v>
      </c>
    </row>
    <row r="478" spans="1:3" x14ac:dyDescent="0.2">
      <c r="A478" s="9">
        <v>476</v>
      </c>
      <c r="B478" s="9">
        <f t="shared" ca="1" si="7"/>
        <v>0.7794966989364277</v>
      </c>
      <c r="C478" s="9" t="s">
        <v>24</v>
      </c>
    </row>
    <row r="479" spans="1:3" x14ac:dyDescent="0.2">
      <c r="A479" s="9">
        <v>477</v>
      </c>
      <c r="B479" s="9">
        <f t="shared" ca="1" si="7"/>
        <v>0.69052302461762927</v>
      </c>
      <c r="C479" s="9" t="s">
        <v>25</v>
      </c>
    </row>
    <row r="480" spans="1:3" x14ac:dyDescent="0.2">
      <c r="A480" s="9">
        <v>478</v>
      </c>
      <c r="B480" s="9">
        <f t="shared" ca="1" si="7"/>
        <v>0.79405660695141467</v>
      </c>
      <c r="C480" s="9" t="s">
        <v>25</v>
      </c>
    </row>
    <row r="481" spans="1:3" x14ac:dyDescent="0.2">
      <c r="A481" s="9">
        <v>479</v>
      </c>
      <c r="B481" s="9">
        <f t="shared" ca="1" si="7"/>
        <v>0.76531055494479872</v>
      </c>
      <c r="C481" s="9" t="s">
        <v>24</v>
      </c>
    </row>
    <row r="482" spans="1:3" x14ac:dyDescent="0.2">
      <c r="A482" s="9">
        <v>480</v>
      </c>
      <c r="B482" s="9">
        <f t="shared" ca="1" si="7"/>
        <v>0.82412909317517202</v>
      </c>
      <c r="C482" s="9" t="s">
        <v>24</v>
      </c>
    </row>
    <row r="483" spans="1:3" x14ac:dyDescent="0.2">
      <c r="A483" s="9">
        <v>481</v>
      </c>
      <c r="B483" s="9">
        <f t="shared" ca="1" si="7"/>
        <v>0.56883082952028752</v>
      </c>
      <c r="C483" s="9" t="s">
        <v>25</v>
      </c>
    </row>
    <row r="484" spans="1:3" x14ac:dyDescent="0.2">
      <c r="A484" s="9">
        <v>482</v>
      </c>
      <c r="B484" s="9">
        <f t="shared" ca="1" si="7"/>
        <v>0.87141987054205039</v>
      </c>
      <c r="C484" s="9" t="s">
        <v>25</v>
      </c>
    </row>
    <row r="485" spans="1:3" x14ac:dyDescent="0.2">
      <c r="A485" s="9">
        <v>483</v>
      </c>
      <c r="B485" s="9">
        <f t="shared" ca="1" si="7"/>
        <v>0.75853018151274665</v>
      </c>
      <c r="C485" s="9" t="s">
        <v>24</v>
      </c>
    </row>
    <row r="486" spans="1:3" x14ac:dyDescent="0.2">
      <c r="A486" s="9">
        <v>484</v>
      </c>
      <c r="B486" s="9">
        <f t="shared" ca="1" si="7"/>
        <v>0.44534136915394118</v>
      </c>
      <c r="C486" s="9" t="s">
        <v>24</v>
      </c>
    </row>
    <row r="487" spans="1:3" x14ac:dyDescent="0.2">
      <c r="A487" s="9">
        <v>485</v>
      </c>
      <c r="B487" s="9">
        <f t="shared" ca="1" si="7"/>
        <v>0.52819693947778434</v>
      </c>
      <c r="C487" s="9" t="s">
        <v>24</v>
      </c>
    </row>
    <row r="488" spans="1:3" x14ac:dyDescent="0.2">
      <c r="A488" s="9">
        <v>486</v>
      </c>
      <c r="B488" s="9">
        <f t="shared" ca="1" si="7"/>
        <v>0.43364318481047209</v>
      </c>
      <c r="C488" s="9" t="s">
        <v>25</v>
      </c>
    </row>
    <row r="489" spans="1:3" x14ac:dyDescent="0.2">
      <c r="A489" s="9">
        <v>487</v>
      </c>
      <c r="B489" s="9">
        <f t="shared" ca="1" si="7"/>
        <v>0.65969842799780165</v>
      </c>
      <c r="C489" s="9" t="s">
        <v>24</v>
      </c>
    </row>
    <row r="490" spans="1:3" x14ac:dyDescent="0.2">
      <c r="A490" s="9">
        <v>488</v>
      </c>
      <c r="B490" s="9">
        <f t="shared" ca="1" si="7"/>
        <v>0.7055055081833661</v>
      </c>
      <c r="C490" s="9" t="s">
        <v>25</v>
      </c>
    </row>
    <row r="491" spans="1:3" x14ac:dyDescent="0.2">
      <c r="A491" s="9">
        <v>489</v>
      </c>
      <c r="B491" s="9">
        <f t="shared" ca="1" si="7"/>
        <v>0.68159641292831963</v>
      </c>
      <c r="C491" s="9" t="s">
        <v>25</v>
      </c>
    </row>
    <row r="492" spans="1:3" x14ac:dyDescent="0.2">
      <c r="A492" s="9">
        <v>490</v>
      </c>
      <c r="B492" s="9">
        <f t="shared" ca="1" si="7"/>
        <v>0.83156110065084365</v>
      </c>
      <c r="C492" s="9" t="s">
        <v>24</v>
      </c>
    </row>
    <row r="493" spans="1:3" x14ac:dyDescent="0.2">
      <c r="A493" s="9">
        <v>491</v>
      </c>
      <c r="B493" s="9">
        <f t="shared" ca="1" si="7"/>
        <v>0.71337985694670358</v>
      </c>
      <c r="C493" s="9" t="s">
        <v>25</v>
      </c>
    </row>
    <row r="494" spans="1:3" x14ac:dyDescent="0.2">
      <c r="A494" s="9">
        <v>492</v>
      </c>
      <c r="B494" s="9">
        <f t="shared" ca="1" si="7"/>
        <v>0.75930854210685572</v>
      </c>
      <c r="C494" s="9" t="s">
        <v>24</v>
      </c>
    </row>
    <row r="495" spans="1:3" x14ac:dyDescent="0.2">
      <c r="A495" s="9">
        <v>493</v>
      </c>
      <c r="B495" s="9">
        <f t="shared" ca="1" si="7"/>
        <v>0.52587478287999012</v>
      </c>
      <c r="C495" s="9" t="s">
        <v>25</v>
      </c>
    </row>
    <row r="496" spans="1:3" x14ac:dyDescent="0.2">
      <c r="A496" s="9">
        <v>494</v>
      </c>
      <c r="B496" s="9">
        <f t="shared" ca="1" si="7"/>
        <v>0.91804182634680331</v>
      </c>
      <c r="C496" s="9" t="s">
        <v>25</v>
      </c>
    </row>
    <row r="497" spans="1:3" x14ac:dyDescent="0.2">
      <c r="A497" s="9">
        <v>495</v>
      </c>
      <c r="B497" s="9">
        <f t="shared" ca="1" si="7"/>
        <v>0.69445499807917854</v>
      </c>
      <c r="C497" s="9" t="s">
        <v>24</v>
      </c>
    </row>
    <row r="498" spans="1:3" x14ac:dyDescent="0.2">
      <c r="A498" s="9">
        <v>496</v>
      </c>
      <c r="B498" s="9">
        <f t="shared" ca="1" si="7"/>
        <v>0.75974083938872883</v>
      </c>
      <c r="C498" s="9" t="s">
        <v>24</v>
      </c>
    </row>
    <row r="499" spans="1:3" x14ac:dyDescent="0.2">
      <c r="A499" s="9">
        <v>497</v>
      </c>
      <c r="B499" s="9">
        <f t="shared" ca="1" si="7"/>
        <v>0.91398304426175203</v>
      </c>
      <c r="C499" s="9" t="s">
        <v>24</v>
      </c>
    </row>
    <row r="500" spans="1:3" x14ac:dyDescent="0.2">
      <c r="A500" s="9">
        <v>498</v>
      </c>
      <c r="B500" s="9">
        <f t="shared" ca="1" si="7"/>
        <v>0.33094388372449979</v>
      </c>
      <c r="C500" s="9" t="s">
        <v>25</v>
      </c>
    </row>
    <row r="501" spans="1:3" x14ac:dyDescent="0.2">
      <c r="A501" s="9">
        <v>499</v>
      </c>
      <c r="B501" s="9">
        <f t="shared" ca="1" si="7"/>
        <v>0.66960975932243294</v>
      </c>
      <c r="C501" s="9" t="s">
        <v>24</v>
      </c>
    </row>
    <row r="502" spans="1:3" x14ac:dyDescent="0.2">
      <c r="A502" s="9">
        <v>500</v>
      </c>
      <c r="B502" s="9">
        <f t="shared" ca="1" si="7"/>
        <v>0.84730246286583721</v>
      </c>
      <c r="C502" s="9" t="s">
        <v>24</v>
      </c>
    </row>
    <row r="503" spans="1:3" x14ac:dyDescent="0.2">
      <c r="A503" s="9">
        <v>501</v>
      </c>
      <c r="B503" s="9">
        <f t="shared" ca="1" si="7"/>
        <v>0.60508384014491889</v>
      </c>
      <c r="C503" s="9" t="s">
        <v>25</v>
      </c>
    </row>
    <row r="504" spans="1:3" x14ac:dyDescent="0.2">
      <c r="A504" s="9">
        <v>502</v>
      </c>
      <c r="B504" s="9">
        <f t="shared" ca="1" si="7"/>
        <v>0.51782350796043186</v>
      </c>
      <c r="C504" s="9" t="s">
        <v>25</v>
      </c>
    </row>
    <row r="505" spans="1:3" x14ac:dyDescent="0.2">
      <c r="A505" s="9">
        <v>503</v>
      </c>
      <c r="B505" s="9">
        <f t="shared" ca="1" si="7"/>
        <v>0.67219217673875353</v>
      </c>
      <c r="C505" s="9" t="s">
        <v>25</v>
      </c>
    </row>
    <row r="506" spans="1:3" x14ac:dyDescent="0.2">
      <c r="A506" s="9">
        <v>504</v>
      </c>
      <c r="B506" s="9">
        <f t="shared" ca="1" si="7"/>
        <v>0.31179695304084548</v>
      </c>
      <c r="C506" s="9" t="s">
        <v>25</v>
      </c>
    </row>
    <row r="507" spans="1:3" x14ac:dyDescent="0.2">
      <c r="A507" s="9">
        <v>505</v>
      </c>
      <c r="B507" s="9">
        <f t="shared" ca="1" si="7"/>
        <v>0.67159056248327742</v>
      </c>
      <c r="C507" s="9" t="s">
        <v>24</v>
      </c>
    </row>
    <row r="508" spans="1:3" x14ac:dyDescent="0.2">
      <c r="A508" s="9">
        <v>506</v>
      </c>
      <c r="B508" s="9">
        <f t="shared" ca="1" si="7"/>
        <v>0.53657493894466013</v>
      </c>
      <c r="C508" s="9" t="s">
        <v>24</v>
      </c>
    </row>
    <row r="509" spans="1:3" x14ac:dyDescent="0.2">
      <c r="A509" s="9">
        <v>507</v>
      </c>
      <c r="B509" s="9">
        <f t="shared" ca="1" si="7"/>
        <v>0.71361697494946796</v>
      </c>
      <c r="C509" s="9" t="s">
        <v>24</v>
      </c>
    </row>
    <row r="510" spans="1:3" x14ac:dyDescent="0.2">
      <c r="A510" s="9">
        <v>508</v>
      </c>
      <c r="B510" s="9">
        <f t="shared" ca="1" si="7"/>
        <v>0.70284852838412837</v>
      </c>
      <c r="C510" s="9" t="s">
        <v>25</v>
      </c>
    </row>
    <row r="511" spans="1:3" x14ac:dyDescent="0.2">
      <c r="A511" s="9">
        <v>509</v>
      </c>
      <c r="B511" s="9">
        <f t="shared" ca="1" si="7"/>
        <v>0.78828840266353994</v>
      </c>
      <c r="C511" s="9" t="s">
        <v>24</v>
      </c>
    </row>
    <row r="512" spans="1:3" x14ac:dyDescent="0.2">
      <c r="A512" s="9">
        <v>510</v>
      </c>
      <c r="B512" s="9">
        <f t="shared" ca="1" si="7"/>
        <v>0.61074210417607644</v>
      </c>
      <c r="C512" s="9" t="s">
        <v>24</v>
      </c>
    </row>
    <row r="513" spans="1:3" x14ac:dyDescent="0.2">
      <c r="A513" s="9">
        <v>511</v>
      </c>
      <c r="B513" s="9">
        <f t="shared" ca="1" si="7"/>
        <v>0.75358556430328771</v>
      </c>
      <c r="C513" s="9" t="s">
        <v>24</v>
      </c>
    </row>
    <row r="514" spans="1:3" x14ac:dyDescent="0.2">
      <c r="A514" s="9">
        <v>512</v>
      </c>
      <c r="B514" s="9">
        <f t="shared" ca="1" si="7"/>
        <v>0.56707317876702201</v>
      </c>
      <c r="C514" s="9" t="s">
        <v>24</v>
      </c>
    </row>
    <row r="515" spans="1:3" x14ac:dyDescent="0.2">
      <c r="A515" s="9">
        <v>513</v>
      </c>
      <c r="B515" s="9">
        <f t="shared" ca="1" si="7"/>
        <v>0.71555926717652352</v>
      </c>
      <c r="C515" s="9" t="s">
        <v>24</v>
      </c>
    </row>
    <row r="516" spans="1:3" x14ac:dyDescent="0.2">
      <c r="A516" s="9">
        <v>514</v>
      </c>
      <c r="B516" s="9">
        <f t="shared" ref="B516:B579" ca="1" si="8">IF(C516="Bomb",_xlfn.NORM.INV(RAND(),0.7,0.1),_xlfn.NORM.INV(RAND(),0.6,0.15))</f>
        <v>0.29758942763573515</v>
      </c>
      <c r="C516" s="9" t="s">
        <v>25</v>
      </c>
    </row>
    <row r="517" spans="1:3" x14ac:dyDescent="0.2">
      <c r="A517" s="9">
        <v>515</v>
      </c>
      <c r="B517" s="9">
        <f t="shared" ca="1" si="8"/>
        <v>0.73595808391767392</v>
      </c>
      <c r="C517" s="9" t="s">
        <v>24</v>
      </c>
    </row>
    <row r="518" spans="1:3" x14ac:dyDescent="0.2">
      <c r="A518" s="9">
        <v>516</v>
      </c>
      <c r="B518" s="9">
        <f t="shared" ca="1" si="8"/>
        <v>0.77014523719832395</v>
      </c>
      <c r="C518" s="9" t="s">
        <v>24</v>
      </c>
    </row>
    <row r="519" spans="1:3" x14ac:dyDescent="0.2">
      <c r="A519" s="9">
        <v>517</v>
      </c>
      <c r="B519" s="9">
        <f t="shared" ca="1" si="8"/>
        <v>0.68314309287461705</v>
      </c>
      <c r="C519" s="9" t="s">
        <v>24</v>
      </c>
    </row>
    <row r="520" spans="1:3" x14ac:dyDescent="0.2">
      <c r="A520" s="9">
        <v>518</v>
      </c>
      <c r="B520" s="9">
        <f t="shared" ca="1" si="8"/>
        <v>0.66544734273498751</v>
      </c>
      <c r="C520" s="9" t="s">
        <v>25</v>
      </c>
    </row>
    <row r="521" spans="1:3" x14ac:dyDescent="0.2">
      <c r="A521" s="9">
        <v>519</v>
      </c>
      <c r="B521" s="9">
        <f t="shared" ca="1" si="8"/>
        <v>0.74176757057303233</v>
      </c>
      <c r="C521" s="9" t="s">
        <v>24</v>
      </c>
    </row>
    <row r="522" spans="1:3" x14ac:dyDescent="0.2">
      <c r="A522" s="9">
        <v>520</v>
      </c>
      <c r="B522" s="9">
        <f t="shared" ca="1" si="8"/>
        <v>0.3964797947458083</v>
      </c>
      <c r="C522" s="9" t="s">
        <v>25</v>
      </c>
    </row>
    <row r="523" spans="1:3" x14ac:dyDescent="0.2">
      <c r="A523" s="9">
        <v>521</v>
      </c>
      <c r="B523" s="9">
        <f t="shared" ca="1" si="8"/>
        <v>0.64691050319775478</v>
      </c>
      <c r="C523" s="9" t="s">
        <v>25</v>
      </c>
    </row>
    <row r="524" spans="1:3" x14ac:dyDescent="0.2">
      <c r="A524" s="9">
        <v>522</v>
      </c>
      <c r="B524" s="9">
        <f t="shared" ca="1" si="8"/>
        <v>0.80612565433076999</v>
      </c>
      <c r="C524" s="9" t="s">
        <v>24</v>
      </c>
    </row>
    <row r="525" spans="1:3" x14ac:dyDescent="0.2">
      <c r="A525" s="9">
        <v>523</v>
      </c>
      <c r="B525" s="9">
        <f t="shared" ca="1" si="8"/>
        <v>0.64497994858757501</v>
      </c>
      <c r="C525" s="9" t="s">
        <v>24</v>
      </c>
    </row>
    <row r="526" spans="1:3" x14ac:dyDescent="0.2">
      <c r="A526" s="9">
        <v>524</v>
      </c>
      <c r="B526" s="9">
        <f t="shared" ca="1" si="8"/>
        <v>0.72705617313595361</v>
      </c>
      <c r="C526" s="9" t="s">
        <v>25</v>
      </c>
    </row>
    <row r="527" spans="1:3" x14ac:dyDescent="0.2">
      <c r="A527" s="9">
        <v>525</v>
      </c>
      <c r="B527" s="9">
        <f t="shared" ca="1" si="8"/>
        <v>0.85253590632691478</v>
      </c>
      <c r="C527" s="9" t="s">
        <v>24</v>
      </c>
    </row>
    <row r="528" spans="1:3" x14ac:dyDescent="0.2">
      <c r="A528" s="9">
        <v>526</v>
      </c>
      <c r="B528" s="9">
        <f t="shared" ca="1" si="8"/>
        <v>0.54706699791268021</v>
      </c>
      <c r="C528" s="9" t="s">
        <v>25</v>
      </c>
    </row>
    <row r="529" spans="1:3" x14ac:dyDescent="0.2">
      <c r="A529" s="9">
        <v>527</v>
      </c>
      <c r="B529" s="9">
        <f t="shared" ca="1" si="8"/>
        <v>0.60430157992874656</v>
      </c>
      <c r="C529" s="9" t="s">
        <v>25</v>
      </c>
    </row>
    <row r="530" spans="1:3" x14ac:dyDescent="0.2">
      <c r="A530" s="9">
        <v>528</v>
      </c>
      <c r="B530" s="9">
        <f t="shared" ca="1" si="8"/>
        <v>0.62622006475950887</v>
      </c>
      <c r="C530" s="9" t="s">
        <v>24</v>
      </c>
    </row>
    <row r="531" spans="1:3" x14ac:dyDescent="0.2">
      <c r="A531" s="9">
        <v>529</v>
      </c>
      <c r="B531" s="9">
        <f t="shared" ca="1" si="8"/>
        <v>0.9812069835256283</v>
      </c>
      <c r="C531" s="9" t="s">
        <v>24</v>
      </c>
    </row>
    <row r="532" spans="1:3" x14ac:dyDescent="0.2">
      <c r="A532" s="9">
        <v>530</v>
      </c>
      <c r="B532" s="9">
        <f t="shared" ca="1" si="8"/>
        <v>0.75369460282765233</v>
      </c>
      <c r="C532" s="9" t="s">
        <v>25</v>
      </c>
    </row>
    <row r="533" spans="1:3" x14ac:dyDescent="0.2">
      <c r="A533" s="9">
        <v>531</v>
      </c>
      <c r="B533" s="9">
        <f t="shared" ca="1" si="8"/>
        <v>0.66741714127206742</v>
      </c>
      <c r="C533" s="9" t="s">
        <v>24</v>
      </c>
    </row>
    <row r="534" spans="1:3" x14ac:dyDescent="0.2">
      <c r="A534" s="9">
        <v>532</v>
      </c>
      <c r="B534" s="9">
        <f t="shared" ca="1" si="8"/>
        <v>0.64840641062795668</v>
      </c>
      <c r="C534" s="9" t="s">
        <v>25</v>
      </c>
    </row>
    <row r="535" spans="1:3" x14ac:dyDescent="0.2">
      <c r="A535" s="9">
        <v>533</v>
      </c>
      <c r="B535" s="9">
        <f t="shared" ca="1" si="8"/>
        <v>0.52213179235745999</v>
      </c>
      <c r="C535" s="9" t="s">
        <v>25</v>
      </c>
    </row>
    <row r="536" spans="1:3" x14ac:dyDescent="0.2">
      <c r="A536" s="9">
        <v>534</v>
      </c>
      <c r="B536" s="9">
        <f t="shared" ca="1" si="8"/>
        <v>0.81360802343394245</v>
      </c>
      <c r="C536" s="9" t="s">
        <v>24</v>
      </c>
    </row>
    <row r="537" spans="1:3" x14ac:dyDescent="0.2">
      <c r="A537" s="9">
        <v>535</v>
      </c>
      <c r="B537" s="9">
        <f t="shared" ca="1" si="8"/>
        <v>0.55030197822475324</v>
      </c>
      <c r="C537" s="9" t="s">
        <v>25</v>
      </c>
    </row>
    <row r="538" spans="1:3" x14ac:dyDescent="0.2">
      <c r="A538" s="9">
        <v>536</v>
      </c>
      <c r="B538" s="9">
        <f t="shared" ca="1" si="8"/>
        <v>0.92109114815347581</v>
      </c>
      <c r="C538" s="9" t="s">
        <v>25</v>
      </c>
    </row>
    <row r="539" spans="1:3" x14ac:dyDescent="0.2">
      <c r="A539" s="9">
        <v>537</v>
      </c>
      <c r="B539" s="9">
        <f t="shared" ca="1" si="8"/>
        <v>0.89391853951013434</v>
      </c>
      <c r="C539" s="9" t="s">
        <v>25</v>
      </c>
    </row>
    <row r="540" spans="1:3" x14ac:dyDescent="0.2">
      <c r="A540" s="9">
        <v>538</v>
      </c>
      <c r="B540" s="9">
        <f t="shared" ca="1" si="8"/>
        <v>0.6025223898164771</v>
      </c>
      <c r="C540" s="9" t="s">
        <v>24</v>
      </c>
    </row>
    <row r="541" spans="1:3" x14ac:dyDescent="0.2">
      <c r="A541" s="9">
        <v>539</v>
      </c>
      <c r="B541" s="9">
        <f t="shared" ca="1" si="8"/>
        <v>0.28789123021132468</v>
      </c>
      <c r="C541" s="9" t="s">
        <v>25</v>
      </c>
    </row>
    <row r="542" spans="1:3" x14ac:dyDescent="0.2">
      <c r="A542" s="9">
        <v>540</v>
      </c>
      <c r="B542" s="9">
        <f t="shared" ca="1" si="8"/>
        <v>0.58676811958651398</v>
      </c>
      <c r="C542" s="9" t="s">
        <v>25</v>
      </c>
    </row>
    <row r="543" spans="1:3" x14ac:dyDescent="0.2">
      <c r="A543" s="9">
        <v>541</v>
      </c>
      <c r="B543" s="9">
        <f t="shared" ca="1" si="8"/>
        <v>0.65646840719474597</v>
      </c>
      <c r="C543" s="9" t="s">
        <v>25</v>
      </c>
    </row>
    <row r="544" spans="1:3" x14ac:dyDescent="0.2">
      <c r="A544" s="9">
        <v>542</v>
      </c>
      <c r="B544" s="9">
        <f t="shared" ca="1" si="8"/>
        <v>0.71895782409422604</v>
      </c>
      <c r="C544" s="9" t="s">
        <v>24</v>
      </c>
    </row>
    <row r="545" spans="1:3" x14ac:dyDescent="0.2">
      <c r="A545" s="9">
        <v>543</v>
      </c>
      <c r="B545" s="9">
        <f t="shared" ca="1" si="8"/>
        <v>0.46400865089870946</v>
      </c>
      <c r="C545" s="9" t="s">
        <v>24</v>
      </c>
    </row>
    <row r="546" spans="1:3" x14ac:dyDescent="0.2">
      <c r="A546" s="9">
        <v>544</v>
      </c>
      <c r="B546" s="9">
        <f t="shared" ca="1" si="8"/>
        <v>0.96351150263235863</v>
      </c>
      <c r="C546" s="9" t="s">
        <v>24</v>
      </c>
    </row>
    <row r="547" spans="1:3" x14ac:dyDescent="0.2">
      <c r="A547" s="9">
        <v>545</v>
      </c>
      <c r="B547" s="9">
        <f t="shared" ca="1" si="8"/>
        <v>0.47117140863059059</v>
      </c>
      <c r="C547" s="9" t="s">
        <v>25</v>
      </c>
    </row>
    <row r="548" spans="1:3" x14ac:dyDescent="0.2">
      <c r="A548" s="9">
        <v>546</v>
      </c>
      <c r="B548" s="9">
        <f t="shared" ca="1" si="8"/>
        <v>0.60280693817335751</v>
      </c>
      <c r="C548" s="9" t="s">
        <v>25</v>
      </c>
    </row>
    <row r="549" spans="1:3" x14ac:dyDescent="0.2">
      <c r="A549" s="9">
        <v>547</v>
      </c>
      <c r="B549" s="9">
        <f t="shared" ca="1" si="8"/>
        <v>0.79280936849165407</v>
      </c>
      <c r="C549" s="9" t="s">
        <v>24</v>
      </c>
    </row>
    <row r="550" spans="1:3" x14ac:dyDescent="0.2">
      <c r="A550" s="9">
        <v>548</v>
      </c>
      <c r="B550" s="9">
        <f t="shared" ca="1" si="8"/>
        <v>0.98722023037090345</v>
      </c>
      <c r="C550" s="9" t="s">
        <v>24</v>
      </c>
    </row>
    <row r="551" spans="1:3" x14ac:dyDescent="0.2">
      <c r="A551" s="9">
        <v>549</v>
      </c>
      <c r="B551" s="9">
        <f t="shared" ca="1" si="8"/>
        <v>0.55613348372339177</v>
      </c>
      <c r="C551" s="9" t="s">
        <v>25</v>
      </c>
    </row>
    <row r="552" spans="1:3" x14ac:dyDescent="0.2">
      <c r="A552" s="9">
        <v>550</v>
      </c>
      <c r="B552" s="9">
        <f t="shared" ca="1" si="8"/>
        <v>0.84254961538453654</v>
      </c>
      <c r="C552" s="9" t="s">
        <v>24</v>
      </c>
    </row>
    <row r="553" spans="1:3" x14ac:dyDescent="0.2">
      <c r="A553" s="9">
        <v>551</v>
      </c>
      <c r="B553" s="9">
        <f t="shared" ca="1" si="8"/>
        <v>0.57578931946219525</v>
      </c>
      <c r="C553" s="9" t="s">
        <v>25</v>
      </c>
    </row>
    <row r="554" spans="1:3" x14ac:dyDescent="0.2">
      <c r="A554" s="9">
        <v>552</v>
      </c>
      <c r="B554" s="9">
        <f t="shared" ca="1" si="8"/>
        <v>0.80076329189223172</v>
      </c>
      <c r="C554" s="9" t="s">
        <v>25</v>
      </c>
    </row>
    <row r="555" spans="1:3" x14ac:dyDescent="0.2">
      <c r="A555" s="9">
        <v>553</v>
      </c>
      <c r="B555" s="9">
        <f t="shared" ca="1" si="8"/>
        <v>0.58997499167272494</v>
      </c>
      <c r="C555" s="9" t="s">
        <v>25</v>
      </c>
    </row>
    <row r="556" spans="1:3" x14ac:dyDescent="0.2">
      <c r="A556" s="9">
        <v>554</v>
      </c>
      <c r="B556" s="9">
        <f t="shared" ca="1" si="8"/>
        <v>0.8141083754543893</v>
      </c>
      <c r="C556" s="9" t="s">
        <v>24</v>
      </c>
    </row>
    <row r="557" spans="1:3" x14ac:dyDescent="0.2">
      <c r="A557" s="9">
        <v>555</v>
      </c>
      <c r="B557" s="9">
        <f t="shared" ca="1" si="8"/>
        <v>0.73743908734322494</v>
      </c>
      <c r="C557" s="9" t="s">
        <v>25</v>
      </c>
    </row>
    <row r="558" spans="1:3" x14ac:dyDescent="0.2">
      <c r="A558" s="9">
        <v>556</v>
      </c>
      <c r="B558" s="9">
        <f t="shared" ca="1" si="8"/>
        <v>0.85475002981664416</v>
      </c>
      <c r="C558" s="9" t="s">
        <v>24</v>
      </c>
    </row>
    <row r="559" spans="1:3" x14ac:dyDescent="0.2">
      <c r="A559" s="9">
        <v>557</v>
      </c>
      <c r="B559" s="9">
        <f t="shared" ca="1" si="8"/>
        <v>0.68248479517548688</v>
      </c>
      <c r="C559" s="9" t="s">
        <v>24</v>
      </c>
    </row>
    <row r="560" spans="1:3" x14ac:dyDescent="0.2">
      <c r="A560" s="9">
        <v>558</v>
      </c>
      <c r="B560" s="9">
        <f t="shared" ca="1" si="8"/>
        <v>0.65024922766320326</v>
      </c>
      <c r="C560" s="9" t="s">
        <v>25</v>
      </c>
    </row>
    <row r="561" spans="1:3" x14ac:dyDescent="0.2">
      <c r="A561" s="9">
        <v>559</v>
      </c>
      <c r="B561" s="9">
        <f t="shared" ca="1" si="8"/>
        <v>0.68246444608613854</v>
      </c>
      <c r="C561" s="9" t="s">
        <v>24</v>
      </c>
    </row>
    <row r="562" spans="1:3" x14ac:dyDescent="0.2">
      <c r="A562" s="9">
        <v>560</v>
      </c>
      <c r="B562" s="9">
        <f t="shared" ca="1" si="8"/>
        <v>0.63136649233306052</v>
      </c>
      <c r="C562" s="9" t="s">
        <v>25</v>
      </c>
    </row>
    <row r="563" spans="1:3" x14ac:dyDescent="0.2">
      <c r="A563" s="9">
        <v>561</v>
      </c>
      <c r="B563" s="9">
        <f t="shared" ca="1" si="8"/>
        <v>0.6378514321911799</v>
      </c>
      <c r="C563" s="9" t="s">
        <v>25</v>
      </c>
    </row>
    <row r="564" spans="1:3" x14ac:dyDescent="0.2">
      <c r="A564" s="9">
        <v>562</v>
      </c>
      <c r="B564" s="9">
        <f t="shared" ca="1" si="8"/>
        <v>0.43569747877799458</v>
      </c>
      <c r="C564" s="9" t="s">
        <v>25</v>
      </c>
    </row>
    <row r="565" spans="1:3" x14ac:dyDescent="0.2">
      <c r="A565" s="9">
        <v>563</v>
      </c>
      <c r="B565" s="9">
        <f t="shared" ca="1" si="8"/>
        <v>0.67723852361619041</v>
      </c>
      <c r="C565" s="9" t="s">
        <v>25</v>
      </c>
    </row>
    <row r="566" spans="1:3" x14ac:dyDescent="0.2">
      <c r="A566" s="9">
        <v>564</v>
      </c>
      <c r="B566" s="9">
        <f t="shared" ca="1" si="8"/>
        <v>0.69619802662724717</v>
      </c>
      <c r="C566" s="9" t="s">
        <v>25</v>
      </c>
    </row>
    <row r="567" spans="1:3" x14ac:dyDescent="0.2">
      <c r="A567" s="9">
        <v>565</v>
      </c>
      <c r="B567" s="9">
        <f t="shared" ca="1" si="8"/>
        <v>0.74288498769688882</v>
      </c>
      <c r="C567" s="9" t="s">
        <v>25</v>
      </c>
    </row>
    <row r="568" spans="1:3" x14ac:dyDescent="0.2">
      <c r="A568" s="9">
        <v>566</v>
      </c>
      <c r="B568" s="9">
        <f t="shared" ca="1" si="8"/>
        <v>0.66248402922229521</v>
      </c>
      <c r="C568" s="9" t="s">
        <v>24</v>
      </c>
    </row>
    <row r="569" spans="1:3" x14ac:dyDescent="0.2">
      <c r="A569" s="9">
        <v>567</v>
      </c>
      <c r="B569" s="9">
        <f t="shared" ca="1" si="8"/>
        <v>0.86227818927336164</v>
      </c>
      <c r="C569" s="9" t="s">
        <v>24</v>
      </c>
    </row>
    <row r="570" spans="1:3" x14ac:dyDescent="0.2">
      <c r="A570" s="9">
        <v>568</v>
      </c>
      <c r="B570" s="9">
        <f t="shared" ca="1" si="8"/>
        <v>0.66170249295759487</v>
      </c>
      <c r="C570" s="9" t="s">
        <v>24</v>
      </c>
    </row>
    <row r="571" spans="1:3" x14ac:dyDescent="0.2">
      <c r="A571" s="9">
        <v>569</v>
      </c>
      <c r="B571" s="9">
        <f t="shared" ca="1" si="8"/>
        <v>0.42211785859890527</v>
      </c>
      <c r="C571" s="9" t="s">
        <v>25</v>
      </c>
    </row>
    <row r="572" spans="1:3" x14ac:dyDescent="0.2">
      <c r="A572" s="9">
        <v>570</v>
      </c>
      <c r="B572" s="9">
        <f t="shared" ca="1" si="8"/>
        <v>0.72059346735498331</v>
      </c>
      <c r="C572" s="9" t="s">
        <v>24</v>
      </c>
    </row>
    <row r="573" spans="1:3" x14ac:dyDescent="0.2">
      <c r="A573" s="9">
        <v>571</v>
      </c>
      <c r="B573" s="9">
        <f t="shared" ca="1" si="8"/>
        <v>0.69861427392433684</v>
      </c>
      <c r="C573" s="9" t="s">
        <v>25</v>
      </c>
    </row>
    <row r="574" spans="1:3" x14ac:dyDescent="0.2">
      <c r="A574" s="9">
        <v>572</v>
      </c>
      <c r="B574" s="9">
        <f t="shared" ca="1" si="8"/>
        <v>0.61916577629456038</v>
      </c>
      <c r="C574" s="9" t="s">
        <v>24</v>
      </c>
    </row>
    <row r="575" spans="1:3" x14ac:dyDescent="0.2">
      <c r="A575" s="9">
        <v>573</v>
      </c>
      <c r="B575" s="9">
        <f t="shared" ca="1" si="8"/>
        <v>0.64519129369375694</v>
      </c>
      <c r="C575" s="9" t="s">
        <v>24</v>
      </c>
    </row>
    <row r="576" spans="1:3" x14ac:dyDescent="0.2">
      <c r="A576" s="9">
        <v>574</v>
      </c>
      <c r="B576" s="9">
        <f t="shared" ca="1" si="8"/>
        <v>0.83359952348095534</v>
      </c>
      <c r="C576" s="9" t="s">
        <v>24</v>
      </c>
    </row>
    <row r="577" spans="1:3" x14ac:dyDescent="0.2">
      <c r="A577" s="9">
        <v>575</v>
      </c>
      <c r="B577" s="9">
        <f t="shared" ca="1" si="8"/>
        <v>0.50737798401376377</v>
      </c>
      <c r="C577" s="9" t="s">
        <v>25</v>
      </c>
    </row>
    <row r="578" spans="1:3" x14ac:dyDescent="0.2">
      <c r="A578" s="9">
        <v>576</v>
      </c>
      <c r="B578" s="9">
        <f t="shared" ca="1" si="8"/>
        <v>0.53705544436018426</v>
      </c>
      <c r="C578" s="9" t="s">
        <v>25</v>
      </c>
    </row>
    <row r="579" spans="1:3" x14ac:dyDescent="0.2">
      <c r="A579" s="9">
        <v>577</v>
      </c>
      <c r="B579" s="9">
        <f t="shared" ca="1" si="8"/>
        <v>0.60844838274754276</v>
      </c>
      <c r="C579" s="9" t="s">
        <v>25</v>
      </c>
    </row>
    <row r="580" spans="1:3" x14ac:dyDescent="0.2">
      <c r="A580" s="9">
        <v>578</v>
      </c>
      <c r="B580" s="9">
        <f t="shared" ref="B580:B643" ca="1" si="9">IF(C580="Bomb",_xlfn.NORM.INV(RAND(),0.7,0.1),_xlfn.NORM.INV(RAND(),0.6,0.15))</f>
        <v>0.85521978181297231</v>
      </c>
      <c r="C580" s="9" t="s">
        <v>24</v>
      </c>
    </row>
    <row r="581" spans="1:3" x14ac:dyDescent="0.2">
      <c r="A581" s="9">
        <v>579</v>
      </c>
      <c r="B581" s="9">
        <f t="shared" ca="1" si="9"/>
        <v>0.68056667266864812</v>
      </c>
      <c r="C581" s="9" t="s">
        <v>24</v>
      </c>
    </row>
    <row r="582" spans="1:3" x14ac:dyDescent="0.2">
      <c r="A582" s="9">
        <v>580</v>
      </c>
      <c r="B582" s="9">
        <f t="shared" ca="1" si="9"/>
        <v>0.67110585804082534</v>
      </c>
      <c r="C582" s="9" t="s">
        <v>24</v>
      </c>
    </row>
    <row r="583" spans="1:3" x14ac:dyDescent="0.2">
      <c r="A583" s="9">
        <v>581</v>
      </c>
      <c r="B583" s="9">
        <f t="shared" ca="1" si="9"/>
        <v>0.65103474355911617</v>
      </c>
      <c r="C583" s="9" t="s">
        <v>25</v>
      </c>
    </row>
    <row r="584" spans="1:3" x14ac:dyDescent="0.2">
      <c r="A584" s="9">
        <v>582</v>
      </c>
      <c r="B584" s="9">
        <f t="shared" ca="1" si="9"/>
        <v>0.83125178591256432</v>
      </c>
      <c r="C584" s="9" t="s">
        <v>24</v>
      </c>
    </row>
    <row r="585" spans="1:3" x14ac:dyDescent="0.2">
      <c r="A585" s="9">
        <v>583</v>
      </c>
      <c r="B585" s="9">
        <f t="shared" ca="1" si="9"/>
        <v>0.79765133339115735</v>
      </c>
      <c r="C585" s="9" t="s">
        <v>25</v>
      </c>
    </row>
    <row r="586" spans="1:3" x14ac:dyDescent="0.2">
      <c r="A586" s="9">
        <v>584</v>
      </c>
      <c r="B586" s="9">
        <f t="shared" ca="1" si="9"/>
        <v>0.64993332618283239</v>
      </c>
      <c r="C586" s="9" t="s">
        <v>24</v>
      </c>
    </row>
    <row r="587" spans="1:3" x14ac:dyDescent="0.2">
      <c r="A587" s="9">
        <v>585</v>
      </c>
      <c r="B587" s="9">
        <f t="shared" ca="1" si="9"/>
        <v>0.6785499035489132</v>
      </c>
      <c r="C587" s="9" t="s">
        <v>25</v>
      </c>
    </row>
    <row r="588" spans="1:3" x14ac:dyDescent="0.2">
      <c r="A588" s="9">
        <v>586</v>
      </c>
      <c r="B588" s="9">
        <f t="shared" ca="1" si="9"/>
        <v>0.52691426169068256</v>
      </c>
      <c r="C588" s="9" t="s">
        <v>25</v>
      </c>
    </row>
    <row r="589" spans="1:3" x14ac:dyDescent="0.2">
      <c r="A589" s="9">
        <v>587</v>
      </c>
      <c r="B589" s="9">
        <f t="shared" ca="1" si="9"/>
        <v>0.81199460676375512</v>
      </c>
      <c r="C589" s="9" t="s">
        <v>24</v>
      </c>
    </row>
    <row r="590" spans="1:3" x14ac:dyDescent="0.2">
      <c r="A590" s="9">
        <v>588</v>
      </c>
      <c r="B590" s="9">
        <f t="shared" ca="1" si="9"/>
        <v>0.29764340405103495</v>
      </c>
      <c r="C590" s="9" t="s">
        <v>25</v>
      </c>
    </row>
    <row r="591" spans="1:3" x14ac:dyDescent="0.2">
      <c r="A591" s="9">
        <v>589</v>
      </c>
      <c r="B591" s="9">
        <f t="shared" ca="1" si="9"/>
        <v>0.779636138683097</v>
      </c>
      <c r="C591" s="9" t="s">
        <v>25</v>
      </c>
    </row>
    <row r="592" spans="1:3" x14ac:dyDescent="0.2">
      <c r="A592" s="9">
        <v>590</v>
      </c>
      <c r="B592" s="9">
        <f t="shared" ca="1" si="9"/>
        <v>0.68451416501970885</v>
      </c>
      <c r="C592" s="9" t="s">
        <v>24</v>
      </c>
    </row>
    <row r="593" spans="1:3" x14ac:dyDescent="0.2">
      <c r="A593" s="9">
        <v>591</v>
      </c>
      <c r="B593" s="9">
        <f t="shared" ca="1" si="9"/>
        <v>0.61130960782740729</v>
      </c>
      <c r="C593" s="9" t="s">
        <v>25</v>
      </c>
    </row>
    <row r="594" spans="1:3" x14ac:dyDescent="0.2">
      <c r="A594" s="9">
        <v>592</v>
      </c>
      <c r="B594" s="9">
        <f t="shared" ca="1" si="9"/>
        <v>0.82475718543141319</v>
      </c>
      <c r="C594" s="9" t="s">
        <v>24</v>
      </c>
    </row>
    <row r="595" spans="1:3" x14ac:dyDescent="0.2">
      <c r="A595" s="9">
        <v>593</v>
      </c>
      <c r="B595" s="9">
        <f t="shared" ca="1" si="9"/>
        <v>0.65160497073162038</v>
      </c>
      <c r="C595" s="9" t="s">
        <v>25</v>
      </c>
    </row>
    <row r="596" spans="1:3" x14ac:dyDescent="0.2">
      <c r="A596" s="9">
        <v>594</v>
      </c>
      <c r="B596" s="9">
        <f t="shared" ca="1" si="9"/>
        <v>0.66734024026384053</v>
      </c>
      <c r="C596" s="9" t="s">
        <v>24</v>
      </c>
    </row>
    <row r="597" spans="1:3" x14ac:dyDescent="0.2">
      <c r="A597" s="9">
        <v>595</v>
      </c>
      <c r="B597" s="9">
        <f t="shared" ca="1" si="9"/>
        <v>0.72705375961832364</v>
      </c>
      <c r="C597" s="9" t="s">
        <v>24</v>
      </c>
    </row>
    <row r="598" spans="1:3" x14ac:dyDescent="0.2">
      <c r="A598" s="9">
        <v>596</v>
      </c>
      <c r="B598" s="9">
        <f t="shared" ca="1" si="9"/>
        <v>0.7299246981509212</v>
      </c>
      <c r="C598" s="9" t="s">
        <v>24</v>
      </c>
    </row>
    <row r="599" spans="1:3" x14ac:dyDescent="0.2">
      <c r="A599" s="9">
        <v>597</v>
      </c>
      <c r="B599" s="9">
        <f t="shared" ca="1" si="9"/>
        <v>0.77861811435536354</v>
      </c>
      <c r="C599" s="9" t="s">
        <v>24</v>
      </c>
    </row>
    <row r="600" spans="1:3" x14ac:dyDescent="0.2">
      <c r="A600" s="9">
        <v>598</v>
      </c>
      <c r="B600" s="9">
        <f t="shared" ca="1" si="9"/>
        <v>0.67083295107738206</v>
      </c>
      <c r="C600" s="9" t="s">
        <v>25</v>
      </c>
    </row>
    <row r="601" spans="1:3" x14ac:dyDescent="0.2">
      <c r="A601" s="9">
        <v>599</v>
      </c>
      <c r="B601" s="9">
        <f t="shared" ca="1" si="9"/>
        <v>0.62965377696383873</v>
      </c>
      <c r="C601" s="9" t="s">
        <v>24</v>
      </c>
    </row>
    <row r="602" spans="1:3" x14ac:dyDescent="0.2">
      <c r="A602" s="9">
        <v>600</v>
      </c>
      <c r="B602" s="9">
        <f t="shared" ca="1" si="9"/>
        <v>0.6698721891387337</v>
      </c>
      <c r="C602" s="9" t="s">
        <v>24</v>
      </c>
    </row>
    <row r="603" spans="1:3" x14ac:dyDescent="0.2">
      <c r="A603" s="9">
        <v>601</v>
      </c>
      <c r="B603" s="9">
        <f t="shared" ca="1" si="9"/>
        <v>0.57749095687406726</v>
      </c>
      <c r="C603" s="9" t="s">
        <v>25</v>
      </c>
    </row>
    <row r="604" spans="1:3" x14ac:dyDescent="0.2">
      <c r="A604" s="9">
        <v>602</v>
      </c>
      <c r="B604" s="9">
        <f t="shared" ca="1" si="9"/>
        <v>0.65852122618625442</v>
      </c>
      <c r="C604" s="9" t="s">
        <v>25</v>
      </c>
    </row>
    <row r="605" spans="1:3" x14ac:dyDescent="0.2">
      <c r="A605" s="9">
        <v>603</v>
      </c>
      <c r="B605" s="9">
        <f t="shared" ca="1" si="9"/>
        <v>0.61349263343816018</v>
      </c>
      <c r="C605" s="9" t="s">
        <v>25</v>
      </c>
    </row>
    <row r="606" spans="1:3" x14ac:dyDescent="0.2">
      <c r="A606" s="9">
        <v>604</v>
      </c>
      <c r="B606" s="9">
        <f t="shared" ca="1" si="9"/>
        <v>0.77160883024791604</v>
      </c>
      <c r="C606" s="9" t="s">
        <v>24</v>
      </c>
    </row>
    <row r="607" spans="1:3" x14ac:dyDescent="0.2">
      <c r="A607" s="9">
        <v>605</v>
      </c>
      <c r="B607" s="9">
        <f t="shared" ca="1" si="9"/>
        <v>0.45852453954174788</v>
      </c>
      <c r="C607" s="9" t="s">
        <v>25</v>
      </c>
    </row>
    <row r="608" spans="1:3" x14ac:dyDescent="0.2">
      <c r="A608" s="9">
        <v>606</v>
      </c>
      <c r="B608" s="9">
        <f t="shared" ca="1" si="9"/>
        <v>0.75870109907335748</v>
      </c>
      <c r="C608" s="9" t="s">
        <v>24</v>
      </c>
    </row>
    <row r="609" spans="1:3" x14ac:dyDescent="0.2">
      <c r="A609" s="9">
        <v>607</v>
      </c>
      <c r="B609" s="9">
        <f t="shared" ca="1" si="9"/>
        <v>0.56313730228391801</v>
      </c>
      <c r="C609" s="9" t="s">
        <v>25</v>
      </c>
    </row>
    <row r="610" spans="1:3" x14ac:dyDescent="0.2">
      <c r="A610" s="9">
        <v>608</v>
      </c>
      <c r="B610" s="9">
        <f t="shared" ca="1" si="9"/>
        <v>0.64264574608122238</v>
      </c>
      <c r="C610" s="9" t="s">
        <v>24</v>
      </c>
    </row>
    <row r="611" spans="1:3" x14ac:dyDescent="0.2">
      <c r="A611" s="9">
        <v>609</v>
      </c>
      <c r="B611" s="9">
        <f t="shared" ca="1" si="9"/>
        <v>0.45119628116504817</v>
      </c>
      <c r="C611" s="9" t="s">
        <v>25</v>
      </c>
    </row>
    <row r="612" spans="1:3" x14ac:dyDescent="0.2">
      <c r="A612" s="9">
        <v>610</v>
      </c>
      <c r="B612" s="9">
        <f t="shared" ca="1" si="9"/>
        <v>0.63322664086287306</v>
      </c>
      <c r="C612" s="9" t="s">
        <v>25</v>
      </c>
    </row>
    <row r="613" spans="1:3" x14ac:dyDescent="0.2">
      <c r="A613" s="9">
        <v>611</v>
      </c>
      <c r="B613" s="9">
        <f t="shared" ca="1" si="9"/>
        <v>0.65296657361933308</v>
      </c>
      <c r="C613" s="9" t="s">
        <v>24</v>
      </c>
    </row>
    <row r="614" spans="1:3" x14ac:dyDescent="0.2">
      <c r="A614" s="9">
        <v>612</v>
      </c>
      <c r="B614" s="9">
        <f t="shared" ca="1" si="9"/>
        <v>0.77720582237137259</v>
      </c>
      <c r="C614" s="9" t="s">
        <v>24</v>
      </c>
    </row>
    <row r="615" spans="1:3" x14ac:dyDescent="0.2">
      <c r="A615" s="9">
        <v>613</v>
      </c>
      <c r="B615" s="9">
        <f t="shared" ca="1" si="9"/>
        <v>0.48340048820006243</v>
      </c>
      <c r="C615" s="9" t="s">
        <v>25</v>
      </c>
    </row>
    <row r="616" spans="1:3" x14ac:dyDescent="0.2">
      <c r="A616" s="9">
        <v>614</v>
      </c>
      <c r="B616" s="9">
        <f t="shared" ca="1" si="9"/>
        <v>0.64899062751225722</v>
      </c>
      <c r="C616" s="9" t="s">
        <v>25</v>
      </c>
    </row>
    <row r="617" spans="1:3" x14ac:dyDescent="0.2">
      <c r="A617" s="9">
        <v>615</v>
      </c>
      <c r="B617" s="9">
        <f t="shared" ca="1" si="9"/>
        <v>0.68445357821899677</v>
      </c>
      <c r="C617" s="9" t="s">
        <v>25</v>
      </c>
    </row>
    <row r="618" spans="1:3" x14ac:dyDescent="0.2">
      <c r="A618" s="9">
        <v>616</v>
      </c>
      <c r="B618" s="9">
        <f t="shared" ca="1" si="9"/>
        <v>0.63367949445498528</v>
      </c>
      <c r="C618" s="9" t="s">
        <v>24</v>
      </c>
    </row>
    <row r="619" spans="1:3" x14ac:dyDescent="0.2">
      <c r="A619" s="9">
        <v>617</v>
      </c>
      <c r="B619" s="9">
        <f t="shared" ca="1" si="9"/>
        <v>0.61981318654868955</v>
      </c>
      <c r="C619" s="9" t="s">
        <v>24</v>
      </c>
    </row>
    <row r="620" spans="1:3" x14ac:dyDescent="0.2">
      <c r="A620" s="9">
        <v>618</v>
      </c>
      <c r="B620" s="9">
        <f t="shared" ca="1" si="9"/>
        <v>0.7610825776191591</v>
      </c>
      <c r="C620" s="9" t="s">
        <v>24</v>
      </c>
    </row>
    <row r="621" spans="1:3" x14ac:dyDescent="0.2">
      <c r="A621" s="9">
        <v>619</v>
      </c>
      <c r="B621" s="9">
        <f t="shared" ca="1" si="9"/>
        <v>0.81877110889389204</v>
      </c>
      <c r="C621" s="9" t="s">
        <v>25</v>
      </c>
    </row>
    <row r="622" spans="1:3" x14ac:dyDescent="0.2">
      <c r="A622" s="9">
        <v>620</v>
      </c>
      <c r="B622" s="9">
        <f t="shared" ca="1" si="9"/>
        <v>0.68178480828254517</v>
      </c>
      <c r="C622" s="9" t="s">
        <v>25</v>
      </c>
    </row>
    <row r="623" spans="1:3" x14ac:dyDescent="0.2">
      <c r="A623" s="9">
        <v>621</v>
      </c>
      <c r="B623" s="9">
        <f t="shared" ca="1" si="9"/>
        <v>0.79270687804081574</v>
      </c>
      <c r="C623" s="9" t="s">
        <v>24</v>
      </c>
    </row>
    <row r="624" spans="1:3" x14ac:dyDescent="0.2">
      <c r="A624" s="9">
        <v>622</v>
      </c>
      <c r="B624" s="9">
        <f t="shared" ca="1" si="9"/>
        <v>0.88379910273507223</v>
      </c>
      <c r="C624" s="9" t="s">
        <v>24</v>
      </c>
    </row>
    <row r="625" spans="1:3" x14ac:dyDescent="0.2">
      <c r="A625" s="9">
        <v>623</v>
      </c>
      <c r="B625" s="9">
        <f t="shared" ca="1" si="9"/>
        <v>0.77749143042888913</v>
      </c>
      <c r="C625" s="9" t="s">
        <v>24</v>
      </c>
    </row>
    <row r="626" spans="1:3" x14ac:dyDescent="0.2">
      <c r="A626" s="9">
        <v>624</v>
      </c>
      <c r="B626" s="9">
        <f t="shared" ca="1" si="9"/>
        <v>0.80897423374795918</v>
      </c>
      <c r="C626" s="9" t="s">
        <v>25</v>
      </c>
    </row>
    <row r="627" spans="1:3" x14ac:dyDescent="0.2">
      <c r="A627" s="9">
        <v>625</v>
      </c>
      <c r="B627" s="9">
        <f t="shared" ca="1" si="9"/>
        <v>0.86741771966369785</v>
      </c>
      <c r="C627" s="9" t="s">
        <v>24</v>
      </c>
    </row>
    <row r="628" spans="1:3" x14ac:dyDescent="0.2">
      <c r="A628" s="9">
        <v>626</v>
      </c>
      <c r="B628" s="9">
        <f t="shared" ca="1" si="9"/>
        <v>0.54122683138899486</v>
      </c>
      <c r="C628" s="9" t="s">
        <v>25</v>
      </c>
    </row>
    <row r="629" spans="1:3" x14ac:dyDescent="0.2">
      <c r="A629" s="9">
        <v>627</v>
      </c>
      <c r="B629" s="9">
        <f t="shared" ca="1" si="9"/>
        <v>0.62217998335582148</v>
      </c>
      <c r="C629" s="9" t="s">
        <v>25</v>
      </c>
    </row>
    <row r="630" spans="1:3" x14ac:dyDescent="0.2">
      <c r="A630" s="9">
        <v>628</v>
      </c>
      <c r="B630" s="9">
        <f t="shared" ca="1" si="9"/>
        <v>0.43322550918202141</v>
      </c>
      <c r="C630" s="9" t="s">
        <v>25</v>
      </c>
    </row>
    <row r="631" spans="1:3" x14ac:dyDescent="0.2">
      <c r="A631" s="9">
        <v>629</v>
      </c>
      <c r="B631" s="9">
        <f t="shared" ca="1" si="9"/>
        <v>0.52162565022090612</v>
      </c>
      <c r="C631" s="9" t="s">
        <v>25</v>
      </c>
    </row>
    <row r="632" spans="1:3" x14ac:dyDescent="0.2">
      <c r="A632" s="9">
        <v>630</v>
      </c>
      <c r="B632" s="9">
        <f t="shared" ca="1" si="9"/>
        <v>0.76284981790662032</v>
      </c>
      <c r="C632" s="9" t="s">
        <v>24</v>
      </c>
    </row>
    <row r="633" spans="1:3" x14ac:dyDescent="0.2">
      <c r="A633" s="9">
        <v>631</v>
      </c>
      <c r="B633" s="9">
        <f t="shared" ca="1" si="9"/>
        <v>0.72974333345956632</v>
      </c>
      <c r="C633" s="9" t="s">
        <v>24</v>
      </c>
    </row>
    <row r="634" spans="1:3" x14ac:dyDescent="0.2">
      <c r="A634" s="9">
        <v>632</v>
      </c>
      <c r="B634" s="9">
        <f t="shared" ca="1" si="9"/>
        <v>0.67174970819383439</v>
      </c>
      <c r="C634" s="9" t="s">
        <v>25</v>
      </c>
    </row>
    <row r="635" spans="1:3" x14ac:dyDescent="0.2">
      <c r="A635" s="9">
        <v>633</v>
      </c>
      <c r="B635" s="9">
        <f t="shared" ca="1" si="9"/>
        <v>0.78842884530109691</v>
      </c>
      <c r="C635" s="9" t="s">
        <v>24</v>
      </c>
    </row>
    <row r="636" spans="1:3" x14ac:dyDescent="0.2">
      <c r="A636" s="9">
        <v>634</v>
      </c>
      <c r="B636" s="9">
        <f t="shared" ca="1" si="9"/>
        <v>0.60015618673814319</v>
      </c>
      <c r="C636" s="9" t="s">
        <v>24</v>
      </c>
    </row>
    <row r="637" spans="1:3" x14ac:dyDescent="0.2">
      <c r="A637" s="9">
        <v>635</v>
      </c>
      <c r="B637" s="9">
        <f t="shared" ca="1" si="9"/>
        <v>0.75099835788495461</v>
      </c>
      <c r="C637" s="9" t="s">
        <v>24</v>
      </c>
    </row>
    <row r="638" spans="1:3" x14ac:dyDescent="0.2">
      <c r="A638" s="9">
        <v>636</v>
      </c>
      <c r="B638" s="9">
        <f t="shared" ca="1" si="9"/>
        <v>0.54395514162891012</v>
      </c>
      <c r="C638" s="9" t="s">
        <v>25</v>
      </c>
    </row>
    <row r="639" spans="1:3" x14ac:dyDescent="0.2">
      <c r="A639" s="9">
        <v>637</v>
      </c>
      <c r="B639" s="9">
        <f t="shared" ca="1" si="9"/>
        <v>0.85673876284740857</v>
      </c>
      <c r="C639" s="9" t="s">
        <v>25</v>
      </c>
    </row>
    <row r="640" spans="1:3" x14ac:dyDescent="0.2">
      <c r="A640" s="9">
        <v>638</v>
      </c>
      <c r="B640" s="9">
        <f t="shared" ca="1" si="9"/>
        <v>0.72212710609478203</v>
      </c>
      <c r="C640" s="9" t="s">
        <v>24</v>
      </c>
    </row>
    <row r="641" spans="1:3" x14ac:dyDescent="0.2">
      <c r="A641" s="9">
        <v>639</v>
      </c>
      <c r="B641" s="9">
        <f t="shared" ca="1" si="9"/>
        <v>0.51547676282911081</v>
      </c>
      <c r="C641" s="9" t="s">
        <v>25</v>
      </c>
    </row>
    <row r="642" spans="1:3" x14ac:dyDescent="0.2">
      <c r="A642" s="9">
        <v>640</v>
      </c>
      <c r="B642" s="9">
        <f t="shared" ca="1" si="9"/>
        <v>0.75102838023025631</v>
      </c>
      <c r="C642" s="9" t="s">
        <v>24</v>
      </c>
    </row>
    <row r="643" spans="1:3" x14ac:dyDescent="0.2">
      <c r="A643" s="9">
        <v>641</v>
      </c>
      <c r="B643" s="9">
        <f t="shared" ca="1" si="9"/>
        <v>0.56766830352059106</v>
      </c>
      <c r="C643" s="9" t="s">
        <v>24</v>
      </c>
    </row>
    <row r="644" spans="1:3" x14ac:dyDescent="0.2">
      <c r="A644" s="9">
        <v>642</v>
      </c>
      <c r="B644" s="9">
        <f t="shared" ref="B644:B707" ca="1" si="10">IF(C644="Bomb",_xlfn.NORM.INV(RAND(),0.7,0.1),_xlfn.NORM.INV(RAND(),0.6,0.15))</f>
        <v>0.71808664848634707</v>
      </c>
      <c r="C644" s="9" t="s">
        <v>25</v>
      </c>
    </row>
    <row r="645" spans="1:3" x14ac:dyDescent="0.2">
      <c r="A645" s="9">
        <v>643</v>
      </c>
      <c r="B645" s="9">
        <f t="shared" ca="1" si="10"/>
        <v>0.59529415690259102</v>
      </c>
      <c r="C645" s="9" t="s">
        <v>24</v>
      </c>
    </row>
    <row r="646" spans="1:3" x14ac:dyDescent="0.2">
      <c r="A646" s="9">
        <v>644</v>
      </c>
      <c r="B646" s="9">
        <f t="shared" ca="1" si="10"/>
        <v>0.61418156968654802</v>
      </c>
      <c r="C646" s="9" t="s">
        <v>25</v>
      </c>
    </row>
    <row r="647" spans="1:3" x14ac:dyDescent="0.2">
      <c r="A647" s="9">
        <v>645</v>
      </c>
      <c r="B647" s="9">
        <f t="shared" ca="1" si="10"/>
        <v>0.68760918771052681</v>
      </c>
      <c r="C647" s="9" t="s">
        <v>25</v>
      </c>
    </row>
    <row r="648" spans="1:3" x14ac:dyDescent="0.2">
      <c r="A648" s="9">
        <v>646</v>
      </c>
      <c r="B648" s="9">
        <f t="shared" ca="1" si="10"/>
        <v>0.51710353646551432</v>
      </c>
      <c r="C648" s="9" t="s">
        <v>25</v>
      </c>
    </row>
    <row r="649" spans="1:3" x14ac:dyDescent="0.2">
      <c r="A649" s="9">
        <v>647</v>
      </c>
      <c r="B649" s="9">
        <f t="shared" ca="1" si="10"/>
        <v>0.55186747284558157</v>
      </c>
      <c r="C649" s="9" t="s">
        <v>24</v>
      </c>
    </row>
    <row r="650" spans="1:3" x14ac:dyDescent="0.2">
      <c r="A650" s="9">
        <v>648</v>
      </c>
      <c r="B650" s="9">
        <f t="shared" ca="1" si="10"/>
        <v>0.59627164231369789</v>
      </c>
      <c r="C650" s="9" t="s">
        <v>24</v>
      </c>
    </row>
    <row r="651" spans="1:3" x14ac:dyDescent="0.2">
      <c r="A651" s="9">
        <v>649</v>
      </c>
      <c r="B651" s="9">
        <f t="shared" ca="1" si="10"/>
        <v>0.71248606745563658</v>
      </c>
      <c r="C651" s="9" t="s">
        <v>24</v>
      </c>
    </row>
    <row r="652" spans="1:3" x14ac:dyDescent="0.2">
      <c r="A652" s="9">
        <v>650</v>
      </c>
      <c r="B652" s="9">
        <f t="shared" ca="1" si="10"/>
        <v>0.72784968309353559</v>
      </c>
      <c r="C652" s="9" t="s">
        <v>24</v>
      </c>
    </row>
    <row r="653" spans="1:3" x14ac:dyDescent="0.2">
      <c r="A653" s="9">
        <v>651</v>
      </c>
      <c r="B653" s="9">
        <f t="shared" ca="1" si="10"/>
        <v>0.67679896000272999</v>
      </c>
      <c r="C653" s="9" t="s">
        <v>25</v>
      </c>
    </row>
    <row r="654" spans="1:3" x14ac:dyDescent="0.2">
      <c r="A654" s="9">
        <v>652</v>
      </c>
      <c r="B654" s="9">
        <f t="shared" ca="1" si="10"/>
        <v>0.52895692090743496</v>
      </c>
      <c r="C654" s="9" t="s">
        <v>25</v>
      </c>
    </row>
    <row r="655" spans="1:3" x14ac:dyDescent="0.2">
      <c r="A655" s="9">
        <v>653</v>
      </c>
      <c r="B655" s="9">
        <f t="shared" ca="1" si="10"/>
        <v>0.5816330825420899</v>
      </c>
      <c r="C655" s="9" t="s">
        <v>25</v>
      </c>
    </row>
    <row r="656" spans="1:3" x14ac:dyDescent="0.2">
      <c r="A656" s="9">
        <v>654</v>
      </c>
      <c r="B656" s="9">
        <f t="shared" ca="1" si="10"/>
        <v>0.64728787428363799</v>
      </c>
      <c r="C656" s="9" t="s">
        <v>25</v>
      </c>
    </row>
    <row r="657" spans="1:3" x14ac:dyDescent="0.2">
      <c r="A657" s="9">
        <v>655</v>
      </c>
      <c r="B657" s="9">
        <f t="shared" ca="1" si="10"/>
        <v>0.88721699591549319</v>
      </c>
      <c r="C657" s="9" t="s">
        <v>25</v>
      </c>
    </row>
    <row r="658" spans="1:3" x14ac:dyDescent="0.2">
      <c r="A658" s="9">
        <v>656</v>
      </c>
      <c r="B658" s="9">
        <f t="shared" ca="1" si="10"/>
        <v>0.52426028093839094</v>
      </c>
      <c r="C658" s="9" t="s">
        <v>25</v>
      </c>
    </row>
    <row r="659" spans="1:3" x14ac:dyDescent="0.2">
      <c r="A659" s="9">
        <v>657</v>
      </c>
      <c r="B659" s="9">
        <f t="shared" ca="1" si="10"/>
        <v>0.73207697590388177</v>
      </c>
      <c r="C659" s="9" t="s">
        <v>24</v>
      </c>
    </row>
    <row r="660" spans="1:3" x14ac:dyDescent="0.2">
      <c r="A660" s="9">
        <v>658</v>
      </c>
      <c r="B660" s="9">
        <f t="shared" ca="1" si="10"/>
        <v>0.87897552434526938</v>
      </c>
      <c r="C660" s="9" t="s">
        <v>25</v>
      </c>
    </row>
    <row r="661" spans="1:3" x14ac:dyDescent="0.2">
      <c r="A661" s="9">
        <v>659</v>
      </c>
      <c r="B661" s="9">
        <f t="shared" ca="1" si="10"/>
        <v>0.72025504165403642</v>
      </c>
      <c r="C661" s="9" t="s">
        <v>24</v>
      </c>
    </row>
    <row r="662" spans="1:3" x14ac:dyDescent="0.2">
      <c r="A662" s="9">
        <v>660</v>
      </c>
      <c r="B662" s="9">
        <f t="shared" ca="1" si="10"/>
        <v>0.75794603550400652</v>
      </c>
      <c r="C662" s="9" t="s">
        <v>25</v>
      </c>
    </row>
    <row r="663" spans="1:3" x14ac:dyDescent="0.2">
      <c r="A663" s="9">
        <v>661</v>
      </c>
      <c r="B663" s="9">
        <f t="shared" ca="1" si="10"/>
        <v>0.84448291686175458</v>
      </c>
      <c r="C663" s="9" t="s">
        <v>24</v>
      </c>
    </row>
    <row r="664" spans="1:3" x14ac:dyDescent="0.2">
      <c r="A664" s="9">
        <v>662</v>
      </c>
      <c r="B664" s="9">
        <f t="shared" ca="1" si="10"/>
        <v>0.68149493075066692</v>
      </c>
      <c r="C664" s="9" t="s">
        <v>25</v>
      </c>
    </row>
    <row r="665" spans="1:3" x14ac:dyDescent="0.2">
      <c r="A665" s="9">
        <v>663</v>
      </c>
      <c r="B665" s="9">
        <f t="shared" ca="1" si="10"/>
        <v>0.62185635729057664</v>
      </c>
      <c r="C665" s="9" t="s">
        <v>25</v>
      </c>
    </row>
    <row r="666" spans="1:3" x14ac:dyDescent="0.2">
      <c r="A666" s="9">
        <v>664</v>
      </c>
      <c r="B666" s="9">
        <f t="shared" ca="1" si="10"/>
        <v>0.70588448622982469</v>
      </c>
      <c r="C666" s="9" t="s">
        <v>24</v>
      </c>
    </row>
    <row r="667" spans="1:3" x14ac:dyDescent="0.2">
      <c r="A667" s="9">
        <v>665</v>
      </c>
      <c r="B667" s="9">
        <f t="shared" ca="1" si="10"/>
        <v>0.67306165962111619</v>
      </c>
      <c r="C667" s="9" t="s">
        <v>25</v>
      </c>
    </row>
    <row r="668" spans="1:3" x14ac:dyDescent="0.2">
      <c r="A668" s="9">
        <v>666</v>
      </c>
      <c r="B668" s="9">
        <f t="shared" ca="1" si="10"/>
        <v>0.62912684151097931</v>
      </c>
      <c r="C668" s="9" t="s">
        <v>25</v>
      </c>
    </row>
    <row r="669" spans="1:3" x14ac:dyDescent="0.2">
      <c r="A669" s="9">
        <v>667</v>
      </c>
      <c r="B669" s="9">
        <f t="shared" ca="1" si="10"/>
        <v>0.68413338486847197</v>
      </c>
      <c r="C669" s="9" t="s">
        <v>24</v>
      </c>
    </row>
    <row r="670" spans="1:3" x14ac:dyDescent="0.2">
      <c r="A670" s="9">
        <v>668</v>
      </c>
      <c r="B670" s="9">
        <f t="shared" ca="1" si="10"/>
        <v>0.52939090576458891</v>
      </c>
      <c r="C670" s="9" t="s">
        <v>25</v>
      </c>
    </row>
    <row r="671" spans="1:3" x14ac:dyDescent="0.2">
      <c r="A671" s="9">
        <v>669</v>
      </c>
      <c r="B671" s="9">
        <f t="shared" ca="1" si="10"/>
        <v>0.62708021877511488</v>
      </c>
      <c r="C671" s="9" t="s">
        <v>25</v>
      </c>
    </row>
    <row r="672" spans="1:3" x14ac:dyDescent="0.2">
      <c r="A672" s="9">
        <v>670</v>
      </c>
      <c r="B672" s="9">
        <f t="shared" ca="1" si="10"/>
        <v>0.37793839200105567</v>
      </c>
      <c r="C672" s="9" t="s">
        <v>25</v>
      </c>
    </row>
    <row r="673" spans="1:3" x14ac:dyDescent="0.2">
      <c r="A673" s="9">
        <v>671</v>
      </c>
      <c r="B673" s="9">
        <f t="shared" ca="1" si="10"/>
        <v>0.54613537058111739</v>
      </c>
      <c r="C673" s="9" t="s">
        <v>25</v>
      </c>
    </row>
    <row r="674" spans="1:3" x14ac:dyDescent="0.2">
      <c r="A674" s="9">
        <v>672</v>
      </c>
      <c r="B674" s="9">
        <f t="shared" ca="1" si="10"/>
        <v>0.78162744475390378</v>
      </c>
      <c r="C674" s="9" t="s">
        <v>25</v>
      </c>
    </row>
    <row r="675" spans="1:3" x14ac:dyDescent="0.2">
      <c r="A675" s="9">
        <v>673</v>
      </c>
      <c r="B675" s="9">
        <f t="shared" ca="1" si="10"/>
        <v>0.48290608524548206</v>
      </c>
      <c r="C675" s="9" t="s">
        <v>25</v>
      </c>
    </row>
    <row r="676" spans="1:3" x14ac:dyDescent="0.2">
      <c r="A676" s="9">
        <v>674</v>
      </c>
      <c r="B676" s="9">
        <f t="shared" ca="1" si="10"/>
        <v>0.61634090377850859</v>
      </c>
      <c r="C676" s="9" t="s">
        <v>24</v>
      </c>
    </row>
    <row r="677" spans="1:3" x14ac:dyDescent="0.2">
      <c r="A677" s="9">
        <v>675</v>
      </c>
      <c r="B677" s="9">
        <f t="shared" ca="1" si="10"/>
        <v>0.69910440863193435</v>
      </c>
      <c r="C677" s="9" t="s">
        <v>25</v>
      </c>
    </row>
    <row r="678" spans="1:3" x14ac:dyDescent="0.2">
      <c r="A678" s="9">
        <v>676</v>
      </c>
      <c r="B678" s="9">
        <f t="shared" ca="1" si="10"/>
        <v>0.78422178428107503</v>
      </c>
      <c r="C678" s="9" t="s">
        <v>24</v>
      </c>
    </row>
    <row r="679" spans="1:3" x14ac:dyDescent="0.2">
      <c r="A679" s="9">
        <v>677</v>
      </c>
      <c r="B679" s="9">
        <f t="shared" ca="1" si="10"/>
        <v>0.70622946141941956</v>
      </c>
      <c r="C679" s="9" t="s">
        <v>25</v>
      </c>
    </row>
    <row r="680" spans="1:3" x14ac:dyDescent="0.2">
      <c r="A680" s="9">
        <v>678</v>
      </c>
      <c r="B680" s="9">
        <f t="shared" ca="1" si="10"/>
        <v>0.55688853797908267</v>
      </c>
      <c r="C680" s="9" t="s">
        <v>24</v>
      </c>
    </row>
    <row r="681" spans="1:3" x14ac:dyDescent="0.2">
      <c r="A681" s="9">
        <v>679</v>
      </c>
      <c r="B681" s="9">
        <f t="shared" ca="1" si="10"/>
        <v>0.65029228173666576</v>
      </c>
      <c r="C681" s="9" t="s">
        <v>25</v>
      </c>
    </row>
    <row r="682" spans="1:3" x14ac:dyDescent="0.2">
      <c r="A682" s="9">
        <v>680</v>
      </c>
      <c r="B682" s="9">
        <f t="shared" ca="1" si="10"/>
        <v>0.62823765247602847</v>
      </c>
      <c r="C682" s="9" t="s">
        <v>25</v>
      </c>
    </row>
    <row r="683" spans="1:3" x14ac:dyDescent="0.2">
      <c r="A683" s="9">
        <v>681</v>
      </c>
      <c r="B683" s="9">
        <f t="shared" ca="1" si="10"/>
        <v>0.42316085551663091</v>
      </c>
      <c r="C683" s="9" t="s">
        <v>25</v>
      </c>
    </row>
    <row r="684" spans="1:3" x14ac:dyDescent="0.2">
      <c r="A684" s="9">
        <v>682</v>
      </c>
      <c r="B684" s="9">
        <f t="shared" ca="1" si="10"/>
        <v>0.86384565570172289</v>
      </c>
      <c r="C684" s="9" t="s">
        <v>25</v>
      </c>
    </row>
    <row r="685" spans="1:3" x14ac:dyDescent="0.2">
      <c r="A685" s="9">
        <v>683</v>
      </c>
      <c r="B685" s="9">
        <f t="shared" ca="1" si="10"/>
        <v>0.73480832156690312</v>
      </c>
      <c r="C685" s="9" t="s">
        <v>25</v>
      </c>
    </row>
    <row r="686" spans="1:3" x14ac:dyDescent="0.2">
      <c r="A686" s="9">
        <v>684</v>
      </c>
      <c r="B686" s="9">
        <f t="shared" ca="1" si="10"/>
        <v>0.25073036959642497</v>
      </c>
      <c r="C686" s="9" t="s">
        <v>25</v>
      </c>
    </row>
    <row r="687" spans="1:3" x14ac:dyDescent="0.2">
      <c r="A687" s="9">
        <v>685</v>
      </c>
      <c r="B687" s="9">
        <f t="shared" ca="1" si="10"/>
        <v>0.77111199202689695</v>
      </c>
      <c r="C687" s="9" t="s">
        <v>24</v>
      </c>
    </row>
    <row r="688" spans="1:3" x14ac:dyDescent="0.2">
      <c r="A688" s="9">
        <v>686</v>
      </c>
      <c r="B688" s="9">
        <f t="shared" ca="1" si="10"/>
        <v>0.35372065352081683</v>
      </c>
      <c r="C688" s="9" t="s">
        <v>25</v>
      </c>
    </row>
    <row r="689" spans="1:3" x14ac:dyDescent="0.2">
      <c r="A689" s="9">
        <v>687</v>
      </c>
      <c r="B689" s="9">
        <f t="shared" ca="1" si="10"/>
        <v>0.71397013755121874</v>
      </c>
      <c r="C689" s="9" t="s">
        <v>25</v>
      </c>
    </row>
    <row r="690" spans="1:3" x14ac:dyDescent="0.2">
      <c r="A690" s="9">
        <v>688</v>
      </c>
      <c r="B690" s="9">
        <f t="shared" ca="1" si="10"/>
        <v>0.5969824254007895</v>
      </c>
      <c r="C690" s="9" t="s">
        <v>25</v>
      </c>
    </row>
    <row r="691" spans="1:3" x14ac:dyDescent="0.2">
      <c r="A691" s="9">
        <v>689</v>
      </c>
      <c r="B691" s="9">
        <f t="shared" ca="1" si="10"/>
        <v>0.88685512564808677</v>
      </c>
      <c r="C691" s="9" t="s">
        <v>25</v>
      </c>
    </row>
    <row r="692" spans="1:3" x14ac:dyDescent="0.2">
      <c r="A692" s="9">
        <v>690</v>
      </c>
      <c r="B692" s="9">
        <f t="shared" ca="1" si="10"/>
        <v>0.5506057535752843</v>
      </c>
      <c r="C692" s="9" t="s">
        <v>24</v>
      </c>
    </row>
    <row r="693" spans="1:3" x14ac:dyDescent="0.2">
      <c r="A693" s="9">
        <v>691</v>
      </c>
      <c r="B693" s="9">
        <f t="shared" ca="1" si="10"/>
        <v>0.77632301511045376</v>
      </c>
      <c r="C693" s="9" t="s">
        <v>24</v>
      </c>
    </row>
    <row r="694" spans="1:3" x14ac:dyDescent="0.2">
      <c r="A694" s="9">
        <v>692</v>
      </c>
      <c r="B694" s="9">
        <f t="shared" ca="1" si="10"/>
        <v>0.59638134440525969</v>
      </c>
      <c r="C694" s="9" t="s">
        <v>24</v>
      </c>
    </row>
    <row r="695" spans="1:3" x14ac:dyDescent="0.2">
      <c r="A695" s="9">
        <v>693</v>
      </c>
      <c r="B695" s="9">
        <f t="shared" ca="1" si="10"/>
        <v>0.88524009937517367</v>
      </c>
      <c r="C695" s="9" t="s">
        <v>24</v>
      </c>
    </row>
    <row r="696" spans="1:3" x14ac:dyDescent="0.2">
      <c r="A696" s="9">
        <v>694</v>
      </c>
      <c r="B696" s="9">
        <f t="shared" ca="1" si="10"/>
        <v>0.69966140611671768</v>
      </c>
      <c r="C696" s="9" t="s">
        <v>25</v>
      </c>
    </row>
    <row r="697" spans="1:3" x14ac:dyDescent="0.2">
      <c r="A697" s="9">
        <v>695</v>
      </c>
      <c r="B697" s="9">
        <f t="shared" ca="1" si="10"/>
        <v>0.49185490282442074</v>
      </c>
      <c r="C697" s="9" t="s">
        <v>25</v>
      </c>
    </row>
    <row r="698" spans="1:3" x14ac:dyDescent="0.2">
      <c r="A698" s="9">
        <v>696</v>
      </c>
      <c r="B698" s="9">
        <f t="shared" ca="1" si="10"/>
        <v>0.58987603031972635</v>
      </c>
      <c r="C698" s="9" t="s">
        <v>25</v>
      </c>
    </row>
    <row r="699" spans="1:3" x14ac:dyDescent="0.2">
      <c r="A699" s="9">
        <v>697</v>
      </c>
      <c r="B699" s="9">
        <f t="shared" ca="1" si="10"/>
        <v>0.66399398061569614</v>
      </c>
      <c r="C699" s="9" t="s">
        <v>25</v>
      </c>
    </row>
    <row r="700" spans="1:3" x14ac:dyDescent="0.2">
      <c r="A700" s="9">
        <v>698</v>
      </c>
      <c r="B700" s="9">
        <f t="shared" ca="1" si="10"/>
        <v>0.60158859127006314</v>
      </c>
      <c r="C700" s="9" t="s">
        <v>24</v>
      </c>
    </row>
    <row r="701" spans="1:3" x14ac:dyDescent="0.2">
      <c r="A701" s="9">
        <v>699</v>
      </c>
      <c r="B701" s="9">
        <f t="shared" ca="1" si="10"/>
        <v>0.4400859610257305</v>
      </c>
      <c r="C701" s="9" t="s">
        <v>25</v>
      </c>
    </row>
    <row r="702" spans="1:3" x14ac:dyDescent="0.2">
      <c r="A702" s="9">
        <v>700</v>
      </c>
      <c r="B702" s="9">
        <f t="shared" ca="1" si="10"/>
        <v>0.53042812877906431</v>
      </c>
      <c r="C702" s="9" t="s">
        <v>25</v>
      </c>
    </row>
    <row r="703" spans="1:3" x14ac:dyDescent="0.2">
      <c r="A703" s="9">
        <v>701</v>
      </c>
      <c r="B703" s="9">
        <f t="shared" ca="1" si="10"/>
        <v>0.83028675435294286</v>
      </c>
      <c r="C703" s="9" t="s">
        <v>25</v>
      </c>
    </row>
    <row r="704" spans="1:3" x14ac:dyDescent="0.2">
      <c r="A704" s="9">
        <v>702</v>
      </c>
      <c r="B704" s="9">
        <f t="shared" ca="1" si="10"/>
        <v>0.61235118509791209</v>
      </c>
      <c r="C704" s="9" t="s">
        <v>25</v>
      </c>
    </row>
    <row r="705" spans="1:3" x14ac:dyDescent="0.2">
      <c r="A705" s="9">
        <v>703</v>
      </c>
      <c r="B705" s="9">
        <f t="shared" ca="1" si="10"/>
        <v>0.77329706602394188</v>
      </c>
      <c r="C705" s="9" t="s">
        <v>24</v>
      </c>
    </row>
    <row r="706" spans="1:3" x14ac:dyDescent="0.2">
      <c r="A706" s="9">
        <v>704</v>
      </c>
      <c r="B706" s="9">
        <f t="shared" ca="1" si="10"/>
        <v>0.52383667207597195</v>
      </c>
      <c r="C706" s="9" t="s">
        <v>24</v>
      </c>
    </row>
    <row r="707" spans="1:3" x14ac:dyDescent="0.2">
      <c r="A707" s="9">
        <v>705</v>
      </c>
      <c r="B707" s="9">
        <f t="shared" ca="1" si="10"/>
        <v>0.37181702939445471</v>
      </c>
      <c r="C707" s="9" t="s">
        <v>25</v>
      </c>
    </row>
    <row r="708" spans="1:3" x14ac:dyDescent="0.2">
      <c r="A708" s="9">
        <v>706</v>
      </c>
      <c r="B708" s="9">
        <f t="shared" ref="B708:B771" ca="1" si="11">IF(C708="Bomb",_xlfn.NORM.INV(RAND(),0.7,0.1),_xlfn.NORM.INV(RAND(),0.6,0.15))</f>
        <v>0.49964998425357898</v>
      </c>
      <c r="C708" s="9" t="s">
        <v>25</v>
      </c>
    </row>
    <row r="709" spans="1:3" x14ac:dyDescent="0.2">
      <c r="A709" s="9">
        <v>707</v>
      </c>
      <c r="B709" s="9">
        <f t="shared" ca="1" si="11"/>
        <v>0.62273660830101474</v>
      </c>
      <c r="C709" s="9" t="s">
        <v>25</v>
      </c>
    </row>
    <row r="710" spans="1:3" x14ac:dyDescent="0.2">
      <c r="A710" s="9">
        <v>708</v>
      </c>
      <c r="B710" s="9">
        <f t="shared" ca="1" si="11"/>
        <v>0.71162827690382202</v>
      </c>
      <c r="C710" s="9" t="s">
        <v>24</v>
      </c>
    </row>
    <row r="711" spans="1:3" x14ac:dyDescent="0.2">
      <c r="A711" s="9">
        <v>709</v>
      </c>
      <c r="B711" s="9">
        <f t="shared" ca="1" si="11"/>
        <v>0.76460386022851912</v>
      </c>
      <c r="C711" s="9" t="s">
        <v>24</v>
      </c>
    </row>
    <row r="712" spans="1:3" x14ac:dyDescent="0.2">
      <c r="A712" s="9">
        <v>710</v>
      </c>
      <c r="B712" s="9">
        <f t="shared" ca="1" si="11"/>
        <v>0.75141755849892766</v>
      </c>
      <c r="C712" s="9" t="s">
        <v>24</v>
      </c>
    </row>
    <row r="713" spans="1:3" x14ac:dyDescent="0.2">
      <c r="A713" s="9">
        <v>711</v>
      </c>
      <c r="B713" s="9">
        <f t="shared" ca="1" si="11"/>
        <v>0.56337149194853997</v>
      </c>
      <c r="C713" s="9" t="s">
        <v>25</v>
      </c>
    </row>
    <row r="714" spans="1:3" x14ac:dyDescent="0.2">
      <c r="A714" s="9">
        <v>712</v>
      </c>
      <c r="B714" s="9">
        <f t="shared" ca="1" si="11"/>
        <v>0.75340046128340121</v>
      </c>
      <c r="C714" s="9" t="s">
        <v>24</v>
      </c>
    </row>
    <row r="715" spans="1:3" x14ac:dyDescent="0.2">
      <c r="A715" s="9">
        <v>713</v>
      </c>
      <c r="B715" s="9">
        <f t="shared" ca="1" si="11"/>
        <v>0.72659797788159708</v>
      </c>
      <c r="C715" s="9" t="s">
        <v>25</v>
      </c>
    </row>
    <row r="716" spans="1:3" x14ac:dyDescent="0.2">
      <c r="A716" s="9">
        <v>714</v>
      </c>
      <c r="B716" s="9">
        <f t="shared" ca="1" si="11"/>
        <v>0.64543318711013264</v>
      </c>
      <c r="C716" s="9" t="s">
        <v>25</v>
      </c>
    </row>
    <row r="717" spans="1:3" x14ac:dyDescent="0.2">
      <c r="A717" s="9">
        <v>715</v>
      </c>
      <c r="B717" s="9">
        <f t="shared" ca="1" si="11"/>
        <v>0.42569500446216174</v>
      </c>
      <c r="C717" s="9" t="s">
        <v>25</v>
      </c>
    </row>
    <row r="718" spans="1:3" x14ac:dyDescent="0.2">
      <c r="A718" s="9">
        <v>716</v>
      </c>
      <c r="B718" s="9">
        <f t="shared" ca="1" si="11"/>
        <v>0.63458870101863185</v>
      </c>
      <c r="C718" s="9" t="s">
        <v>24</v>
      </c>
    </row>
    <row r="719" spans="1:3" x14ac:dyDescent="0.2">
      <c r="A719" s="9">
        <v>717</v>
      </c>
      <c r="B719" s="9">
        <f t="shared" ca="1" si="11"/>
        <v>0.5566517080000486</v>
      </c>
      <c r="C719" s="9" t="s">
        <v>25</v>
      </c>
    </row>
    <row r="720" spans="1:3" x14ac:dyDescent="0.2">
      <c r="A720" s="9">
        <v>718</v>
      </c>
      <c r="B720" s="9">
        <f t="shared" ca="1" si="11"/>
        <v>0.61726156075201966</v>
      </c>
      <c r="C720" s="9" t="s">
        <v>25</v>
      </c>
    </row>
    <row r="721" spans="1:3" x14ac:dyDescent="0.2">
      <c r="A721" s="9">
        <v>719</v>
      </c>
      <c r="B721" s="9">
        <f t="shared" ca="1" si="11"/>
        <v>0.7126759791813394</v>
      </c>
      <c r="C721" s="9" t="s">
        <v>25</v>
      </c>
    </row>
    <row r="722" spans="1:3" x14ac:dyDescent="0.2">
      <c r="A722" s="9">
        <v>720</v>
      </c>
      <c r="B722" s="9">
        <f t="shared" ca="1" si="11"/>
        <v>0.50196217567685197</v>
      </c>
      <c r="C722" s="9" t="s">
        <v>25</v>
      </c>
    </row>
    <row r="723" spans="1:3" x14ac:dyDescent="0.2">
      <c r="A723" s="9">
        <v>721</v>
      </c>
      <c r="B723" s="9">
        <f t="shared" ca="1" si="11"/>
        <v>0.74913270121607589</v>
      </c>
      <c r="C723" s="9" t="s">
        <v>24</v>
      </c>
    </row>
    <row r="724" spans="1:3" x14ac:dyDescent="0.2">
      <c r="A724" s="9">
        <v>722</v>
      </c>
      <c r="B724" s="9">
        <f t="shared" ca="1" si="11"/>
        <v>0.88229956737936255</v>
      </c>
      <c r="C724" s="9" t="s">
        <v>25</v>
      </c>
    </row>
    <row r="725" spans="1:3" x14ac:dyDescent="0.2">
      <c r="A725" s="9">
        <v>723</v>
      </c>
      <c r="B725" s="9">
        <f t="shared" ca="1" si="11"/>
        <v>0.74526305787076486</v>
      </c>
      <c r="C725" s="9" t="s">
        <v>24</v>
      </c>
    </row>
    <row r="726" spans="1:3" x14ac:dyDescent="0.2">
      <c r="A726" s="9">
        <v>724</v>
      </c>
      <c r="B726" s="9">
        <f t="shared" ca="1" si="11"/>
        <v>0.75456610689790449</v>
      </c>
      <c r="C726" s="9" t="s">
        <v>24</v>
      </c>
    </row>
    <row r="727" spans="1:3" x14ac:dyDescent="0.2">
      <c r="A727" s="9">
        <v>725</v>
      </c>
      <c r="B727" s="9">
        <f t="shared" ca="1" si="11"/>
        <v>0.78580246259736186</v>
      </c>
      <c r="C727" s="9" t="s">
        <v>25</v>
      </c>
    </row>
    <row r="728" spans="1:3" x14ac:dyDescent="0.2">
      <c r="A728" s="9">
        <v>726</v>
      </c>
      <c r="B728" s="9">
        <f t="shared" ca="1" si="11"/>
        <v>0.67912009527468031</v>
      </c>
      <c r="C728" s="9" t="s">
        <v>25</v>
      </c>
    </row>
    <row r="729" spans="1:3" x14ac:dyDescent="0.2">
      <c r="A729" s="9">
        <v>727</v>
      </c>
      <c r="B729" s="9">
        <f t="shared" ca="1" si="11"/>
        <v>0.8274938277245445</v>
      </c>
      <c r="C729" s="9" t="s">
        <v>24</v>
      </c>
    </row>
    <row r="730" spans="1:3" x14ac:dyDescent="0.2">
      <c r="A730" s="9">
        <v>728</v>
      </c>
      <c r="B730" s="9">
        <f t="shared" ca="1" si="11"/>
        <v>0.61459019584038521</v>
      </c>
      <c r="C730" s="9" t="s">
        <v>25</v>
      </c>
    </row>
    <row r="731" spans="1:3" x14ac:dyDescent="0.2">
      <c r="A731" s="9">
        <v>729</v>
      </c>
      <c r="B731" s="9">
        <f t="shared" ca="1" si="11"/>
        <v>0.48432390727150787</v>
      </c>
      <c r="C731" s="9" t="s">
        <v>24</v>
      </c>
    </row>
    <row r="732" spans="1:3" x14ac:dyDescent="0.2">
      <c r="A732" s="9">
        <v>730</v>
      </c>
      <c r="B732" s="9">
        <f t="shared" ca="1" si="11"/>
        <v>0.75263754278722494</v>
      </c>
      <c r="C732" s="9" t="s">
        <v>24</v>
      </c>
    </row>
    <row r="733" spans="1:3" x14ac:dyDescent="0.2">
      <c r="A733" s="9">
        <v>731</v>
      </c>
      <c r="B733" s="9">
        <f t="shared" ca="1" si="11"/>
        <v>0.77896976112871785</v>
      </c>
      <c r="C733" s="9" t="s">
        <v>24</v>
      </c>
    </row>
    <row r="734" spans="1:3" x14ac:dyDescent="0.2">
      <c r="A734" s="9">
        <v>732</v>
      </c>
      <c r="B734" s="9">
        <f t="shared" ca="1" si="11"/>
        <v>0.74380422463516127</v>
      </c>
      <c r="C734" s="9" t="s">
        <v>25</v>
      </c>
    </row>
    <row r="735" spans="1:3" x14ac:dyDescent="0.2">
      <c r="A735" s="9">
        <v>733</v>
      </c>
      <c r="B735" s="9">
        <f t="shared" ca="1" si="11"/>
        <v>0.62108050170632767</v>
      </c>
      <c r="C735" s="9" t="s">
        <v>25</v>
      </c>
    </row>
    <row r="736" spans="1:3" x14ac:dyDescent="0.2">
      <c r="A736" s="9">
        <v>734</v>
      </c>
      <c r="B736" s="9">
        <f t="shared" ca="1" si="11"/>
        <v>0.80059533071782196</v>
      </c>
      <c r="C736" s="9" t="s">
        <v>25</v>
      </c>
    </row>
    <row r="737" spans="1:3" x14ac:dyDescent="0.2">
      <c r="A737" s="9">
        <v>735</v>
      </c>
      <c r="B737" s="9">
        <f t="shared" ca="1" si="11"/>
        <v>0.83862218595076998</v>
      </c>
      <c r="C737" s="9" t="s">
        <v>24</v>
      </c>
    </row>
    <row r="738" spans="1:3" x14ac:dyDescent="0.2">
      <c r="A738" s="9">
        <v>736</v>
      </c>
      <c r="B738" s="9">
        <f t="shared" ca="1" si="11"/>
        <v>0.53665456041052184</v>
      </c>
      <c r="C738" s="9" t="s">
        <v>24</v>
      </c>
    </row>
    <row r="739" spans="1:3" x14ac:dyDescent="0.2">
      <c r="A739" s="9">
        <v>737</v>
      </c>
      <c r="B739" s="9">
        <f t="shared" ca="1" si="11"/>
        <v>0.69521237985252193</v>
      </c>
      <c r="C739" s="9" t="s">
        <v>25</v>
      </c>
    </row>
    <row r="740" spans="1:3" x14ac:dyDescent="0.2">
      <c r="A740" s="9">
        <v>738</v>
      </c>
      <c r="B740" s="9">
        <f t="shared" ca="1" si="11"/>
        <v>0.85686328723832061</v>
      </c>
      <c r="C740" s="9" t="s">
        <v>25</v>
      </c>
    </row>
    <row r="741" spans="1:3" x14ac:dyDescent="0.2">
      <c r="A741" s="9">
        <v>739</v>
      </c>
      <c r="B741" s="9">
        <f t="shared" ca="1" si="11"/>
        <v>0.61668585562903022</v>
      </c>
      <c r="C741" s="9" t="s">
        <v>24</v>
      </c>
    </row>
    <row r="742" spans="1:3" x14ac:dyDescent="0.2">
      <c r="A742" s="9">
        <v>740</v>
      </c>
      <c r="B742" s="9">
        <f t="shared" ca="1" si="11"/>
        <v>0.98583637455917894</v>
      </c>
      <c r="C742" s="9" t="s">
        <v>25</v>
      </c>
    </row>
    <row r="743" spans="1:3" x14ac:dyDescent="0.2">
      <c r="A743" s="9">
        <v>741</v>
      </c>
      <c r="B743" s="9">
        <f t="shared" ca="1" si="11"/>
        <v>0.65078162810916895</v>
      </c>
      <c r="C743" s="9" t="s">
        <v>25</v>
      </c>
    </row>
    <row r="744" spans="1:3" x14ac:dyDescent="0.2">
      <c r="A744" s="9">
        <v>742</v>
      </c>
      <c r="B744" s="9">
        <f t="shared" ca="1" si="11"/>
        <v>0.75169466649523298</v>
      </c>
      <c r="C744" s="9" t="s">
        <v>25</v>
      </c>
    </row>
    <row r="745" spans="1:3" x14ac:dyDescent="0.2">
      <c r="A745" s="9">
        <v>743</v>
      </c>
      <c r="B745" s="9">
        <f t="shared" ca="1" si="11"/>
        <v>0.53186541366259388</v>
      </c>
      <c r="C745" s="9" t="s">
        <v>25</v>
      </c>
    </row>
    <row r="746" spans="1:3" x14ac:dyDescent="0.2">
      <c r="A746" s="9">
        <v>744</v>
      </c>
      <c r="B746" s="9">
        <f t="shared" ca="1" si="11"/>
        <v>0.60170793097953235</v>
      </c>
      <c r="C746" s="9" t="s">
        <v>25</v>
      </c>
    </row>
    <row r="747" spans="1:3" x14ac:dyDescent="0.2">
      <c r="A747" s="9">
        <v>745</v>
      </c>
      <c r="B747" s="9">
        <f t="shared" ca="1" si="11"/>
        <v>0.4298529937632305</v>
      </c>
      <c r="C747" s="9" t="s">
        <v>25</v>
      </c>
    </row>
    <row r="748" spans="1:3" x14ac:dyDescent="0.2">
      <c r="A748" s="9">
        <v>746</v>
      </c>
      <c r="B748" s="9">
        <f t="shared" ca="1" si="11"/>
        <v>0.72981148315240596</v>
      </c>
      <c r="C748" s="9" t="s">
        <v>24</v>
      </c>
    </row>
    <row r="749" spans="1:3" x14ac:dyDescent="0.2">
      <c r="A749" s="9">
        <v>747</v>
      </c>
      <c r="B749" s="9">
        <f t="shared" ca="1" si="11"/>
        <v>0.57323879154610902</v>
      </c>
      <c r="C749" s="9" t="s">
        <v>24</v>
      </c>
    </row>
    <row r="750" spans="1:3" x14ac:dyDescent="0.2">
      <c r="A750" s="9">
        <v>748</v>
      </c>
      <c r="B750" s="9">
        <f t="shared" ca="1" si="11"/>
        <v>0.68191086080760144</v>
      </c>
      <c r="C750" s="9" t="s">
        <v>25</v>
      </c>
    </row>
    <row r="751" spans="1:3" x14ac:dyDescent="0.2">
      <c r="A751" s="9">
        <v>749</v>
      </c>
      <c r="B751" s="9">
        <f t="shared" ca="1" si="11"/>
        <v>0.71266202769020426</v>
      </c>
      <c r="C751" s="9" t="s">
        <v>24</v>
      </c>
    </row>
    <row r="752" spans="1:3" x14ac:dyDescent="0.2">
      <c r="A752" s="9">
        <v>750</v>
      </c>
      <c r="B752" s="9">
        <f t="shared" ca="1" si="11"/>
        <v>0.32008871958925889</v>
      </c>
      <c r="C752" s="9" t="s">
        <v>25</v>
      </c>
    </row>
    <row r="753" spans="1:3" x14ac:dyDescent="0.2">
      <c r="A753" s="9">
        <v>751</v>
      </c>
      <c r="B753" s="9">
        <f t="shared" ca="1" si="11"/>
        <v>0.77425668325057084</v>
      </c>
      <c r="C753" s="9" t="s">
        <v>24</v>
      </c>
    </row>
    <row r="754" spans="1:3" x14ac:dyDescent="0.2">
      <c r="A754" s="9">
        <v>752</v>
      </c>
      <c r="B754" s="9">
        <f t="shared" ca="1" si="11"/>
        <v>0.73942489624943808</v>
      </c>
      <c r="C754" s="9" t="s">
        <v>24</v>
      </c>
    </row>
    <row r="755" spans="1:3" x14ac:dyDescent="0.2">
      <c r="A755" s="9">
        <v>753</v>
      </c>
      <c r="B755" s="9">
        <f t="shared" ca="1" si="11"/>
        <v>0.67473058931269758</v>
      </c>
      <c r="C755" s="9" t="s">
        <v>24</v>
      </c>
    </row>
    <row r="756" spans="1:3" x14ac:dyDescent="0.2">
      <c r="A756" s="9">
        <v>754</v>
      </c>
      <c r="B756" s="9">
        <f t="shared" ca="1" si="11"/>
        <v>0.71756425510311328</v>
      </c>
      <c r="C756" s="9" t="s">
        <v>24</v>
      </c>
    </row>
    <row r="757" spans="1:3" x14ac:dyDescent="0.2">
      <c r="A757" s="9">
        <v>755</v>
      </c>
      <c r="B757" s="9">
        <f t="shared" ca="1" si="11"/>
        <v>0.56560941710023516</v>
      </c>
      <c r="C757" s="9" t="s">
        <v>25</v>
      </c>
    </row>
    <row r="758" spans="1:3" x14ac:dyDescent="0.2">
      <c r="A758" s="9">
        <v>756</v>
      </c>
      <c r="B758" s="9">
        <f t="shared" ca="1" si="11"/>
        <v>0.46086588787814886</v>
      </c>
      <c r="C758" s="9" t="s">
        <v>24</v>
      </c>
    </row>
    <row r="759" spans="1:3" x14ac:dyDescent="0.2">
      <c r="A759" s="9">
        <v>757</v>
      </c>
      <c r="B759" s="9">
        <f t="shared" ca="1" si="11"/>
        <v>0.84333130846246696</v>
      </c>
      <c r="C759" s="9" t="s">
        <v>24</v>
      </c>
    </row>
    <row r="760" spans="1:3" x14ac:dyDescent="0.2">
      <c r="A760" s="9">
        <v>758</v>
      </c>
      <c r="B760" s="9">
        <f t="shared" ca="1" si="11"/>
        <v>0.65734803604210612</v>
      </c>
      <c r="C760" s="9" t="s">
        <v>24</v>
      </c>
    </row>
    <row r="761" spans="1:3" x14ac:dyDescent="0.2">
      <c r="A761" s="9">
        <v>759</v>
      </c>
      <c r="B761" s="9">
        <f t="shared" ca="1" si="11"/>
        <v>0.63077726280265878</v>
      </c>
      <c r="C761" s="9" t="s">
        <v>25</v>
      </c>
    </row>
    <row r="762" spans="1:3" x14ac:dyDescent="0.2">
      <c r="A762" s="9">
        <v>760</v>
      </c>
      <c r="B762" s="9">
        <f t="shared" ca="1" si="11"/>
        <v>0.78544000776154432</v>
      </c>
      <c r="C762" s="9" t="s">
        <v>24</v>
      </c>
    </row>
    <row r="763" spans="1:3" x14ac:dyDescent="0.2">
      <c r="A763" s="9">
        <v>761</v>
      </c>
      <c r="B763" s="9">
        <f t="shared" ca="1" si="11"/>
        <v>0.62046920708322673</v>
      </c>
      <c r="C763" s="9" t="s">
        <v>25</v>
      </c>
    </row>
    <row r="764" spans="1:3" x14ac:dyDescent="0.2">
      <c r="A764" s="9">
        <v>762</v>
      </c>
      <c r="B764" s="9">
        <f t="shared" ca="1" si="11"/>
        <v>0.52651152158088632</v>
      </c>
      <c r="C764" s="9" t="s">
        <v>25</v>
      </c>
    </row>
    <row r="765" spans="1:3" x14ac:dyDescent="0.2">
      <c r="A765" s="9">
        <v>763</v>
      </c>
      <c r="B765" s="9">
        <f t="shared" ca="1" si="11"/>
        <v>0.63301820043358437</v>
      </c>
      <c r="C765" s="9" t="s">
        <v>25</v>
      </c>
    </row>
    <row r="766" spans="1:3" x14ac:dyDescent="0.2">
      <c r="A766" s="9">
        <v>764</v>
      </c>
      <c r="B766" s="9">
        <f t="shared" ca="1" si="11"/>
        <v>0.58781891902075512</v>
      </c>
      <c r="C766" s="9" t="s">
        <v>25</v>
      </c>
    </row>
    <row r="767" spans="1:3" x14ac:dyDescent="0.2">
      <c r="A767" s="9">
        <v>765</v>
      </c>
      <c r="B767" s="9">
        <f t="shared" ca="1" si="11"/>
        <v>0.66063904844864774</v>
      </c>
      <c r="C767" s="9" t="s">
        <v>25</v>
      </c>
    </row>
    <row r="768" spans="1:3" x14ac:dyDescent="0.2">
      <c r="A768" s="9">
        <v>766</v>
      </c>
      <c r="B768" s="9">
        <f t="shared" ca="1" si="11"/>
        <v>0.34287204330755289</v>
      </c>
      <c r="C768" s="9" t="s">
        <v>25</v>
      </c>
    </row>
    <row r="769" spans="1:3" x14ac:dyDescent="0.2">
      <c r="A769" s="9">
        <v>767</v>
      </c>
      <c r="B769" s="9">
        <f t="shared" ca="1" si="11"/>
        <v>0.60811496984890756</v>
      </c>
      <c r="C769" s="9" t="s">
        <v>24</v>
      </c>
    </row>
    <row r="770" spans="1:3" x14ac:dyDescent="0.2">
      <c r="A770" s="9">
        <v>768</v>
      </c>
      <c r="B770" s="9">
        <f t="shared" ca="1" si="11"/>
        <v>0.68533698322944303</v>
      </c>
      <c r="C770" s="9" t="s">
        <v>24</v>
      </c>
    </row>
    <row r="771" spans="1:3" x14ac:dyDescent="0.2">
      <c r="A771" s="9">
        <v>769</v>
      </c>
      <c r="B771" s="9">
        <f t="shared" ca="1" si="11"/>
        <v>0.86511347236047853</v>
      </c>
      <c r="C771" s="9" t="s">
        <v>25</v>
      </c>
    </row>
    <row r="772" spans="1:3" x14ac:dyDescent="0.2">
      <c r="A772" s="9">
        <v>770</v>
      </c>
      <c r="B772" s="9">
        <f t="shared" ref="B772:B835" ca="1" si="12">IF(C772="Bomb",_xlfn.NORM.INV(RAND(),0.7,0.1),_xlfn.NORM.INV(RAND(),0.6,0.15))</f>
        <v>0.71107249611480605</v>
      </c>
      <c r="C772" s="9" t="s">
        <v>24</v>
      </c>
    </row>
    <row r="773" spans="1:3" x14ac:dyDescent="0.2">
      <c r="A773" s="9">
        <v>771</v>
      </c>
      <c r="B773" s="9">
        <f t="shared" ca="1" si="12"/>
        <v>0.60408104974093702</v>
      </c>
      <c r="C773" s="9" t="s">
        <v>25</v>
      </c>
    </row>
    <row r="774" spans="1:3" x14ac:dyDescent="0.2">
      <c r="A774" s="9">
        <v>772</v>
      </c>
      <c r="B774" s="9">
        <f t="shared" ca="1" si="12"/>
        <v>0.45273034062021811</v>
      </c>
      <c r="C774" s="9" t="s">
        <v>25</v>
      </c>
    </row>
    <row r="775" spans="1:3" x14ac:dyDescent="0.2">
      <c r="A775" s="9">
        <v>773</v>
      </c>
      <c r="B775" s="9">
        <f t="shared" ca="1" si="12"/>
        <v>0.62358404119434729</v>
      </c>
      <c r="C775" s="9" t="s">
        <v>25</v>
      </c>
    </row>
    <row r="776" spans="1:3" x14ac:dyDescent="0.2">
      <c r="A776" s="9">
        <v>774</v>
      </c>
      <c r="B776" s="9">
        <f t="shared" ca="1" si="12"/>
        <v>0.46129522299384751</v>
      </c>
      <c r="C776" s="9" t="s">
        <v>25</v>
      </c>
    </row>
    <row r="777" spans="1:3" x14ac:dyDescent="0.2">
      <c r="A777" s="9">
        <v>775</v>
      </c>
      <c r="B777" s="9">
        <f t="shared" ca="1" si="12"/>
        <v>0.94786509068339964</v>
      </c>
      <c r="C777" s="9" t="s">
        <v>24</v>
      </c>
    </row>
    <row r="778" spans="1:3" x14ac:dyDescent="0.2">
      <c r="A778" s="9">
        <v>776</v>
      </c>
      <c r="B778" s="9">
        <f t="shared" ca="1" si="12"/>
        <v>0.8911480938874119</v>
      </c>
      <c r="C778" s="9" t="s">
        <v>25</v>
      </c>
    </row>
    <row r="779" spans="1:3" x14ac:dyDescent="0.2">
      <c r="A779" s="9">
        <v>777</v>
      </c>
      <c r="B779" s="9">
        <f t="shared" ca="1" si="12"/>
        <v>0.68041842338616754</v>
      </c>
      <c r="C779" s="9" t="s">
        <v>24</v>
      </c>
    </row>
    <row r="780" spans="1:3" x14ac:dyDescent="0.2">
      <c r="A780" s="9">
        <v>778</v>
      </c>
      <c r="B780" s="9">
        <f t="shared" ca="1" si="12"/>
        <v>0.69592656274618636</v>
      </c>
      <c r="C780" s="9" t="s">
        <v>24</v>
      </c>
    </row>
    <row r="781" spans="1:3" x14ac:dyDescent="0.2">
      <c r="A781" s="9">
        <v>779</v>
      </c>
      <c r="B781" s="9">
        <f t="shared" ca="1" si="12"/>
        <v>0.82450259608118004</v>
      </c>
      <c r="C781" s="9" t="s">
        <v>24</v>
      </c>
    </row>
    <row r="782" spans="1:3" x14ac:dyDescent="0.2">
      <c r="A782" s="9">
        <v>780</v>
      </c>
      <c r="B782" s="9">
        <f t="shared" ca="1" si="12"/>
        <v>0.8166736374273158</v>
      </c>
      <c r="C782" s="9" t="s">
        <v>24</v>
      </c>
    </row>
    <row r="783" spans="1:3" x14ac:dyDescent="0.2">
      <c r="A783" s="9">
        <v>781</v>
      </c>
      <c r="B783" s="9">
        <f t="shared" ca="1" si="12"/>
        <v>0.70184083692720645</v>
      </c>
      <c r="C783" s="9" t="s">
        <v>24</v>
      </c>
    </row>
    <row r="784" spans="1:3" x14ac:dyDescent="0.2">
      <c r="A784" s="9">
        <v>782</v>
      </c>
      <c r="B784" s="9">
        <f t="shared" ca="1" si="12"/>
        <v>0.71721323430052109</v>
      </c>
      <c r="C784" s="9" t="s">
        <v>24</v>
      </c>
    </row>
    <row r="785" spans="1:3" x14ac:dyDescent="0.2">
      <c r="A785" s="9">
        <v>783</v>
      </c>
      <c r="B785" s="9">
        <f t="shared" ca="1" si="12"/>
        <v>0.67994498506159795</v>
      </c>
      <c r="C785" s="9" t="s">
        <v>24</v>
      </c>
    </row>
    <row r="786" spans="1:3" x14ac:dyDescent="0.2">
      <c r="A786" s="9">
        <v>784</v>
      </c>
      <c r="B786" s="9">
        <f t="shared" ca="1" si="12"/>
        <v>0.35088951022129644</v>
      </c>
      <c r="C786" s="9" t="s">
        <v>25</v>
      </c>
    </row>
    <row r="787" spans="1:3" x14ac:dyDescent="0.2">
      <c r="A787" s="9">
        <v>785</v>
      </c>
      <c r="B787" s="9">
        <f t="shared" ca="1" si="12"/>
        <v>0.37160930685989502</v>
      </c>
      <c r="C787" s="9" t="s">
        <v>25</v>
      </c>
    </row>
    <row r="788" spans="1:3" x14ac:dyDescent="0.2">
      <c r="A788" s="9">
        <v>786</v>
      </c>
      <c r="B788" s="9">
        <f t="shared" ca="1" si="12"/>
        <v>0.68006460409031366</v>
      </c>
      <c r="C788" s="9" t="s">
        <v>25</v>
      </c>
    </row>
    <row r="789" spans="1:3" x14ac:dyDescent="0.2">
      <c r="A789" s="9">
        <v>787</v>
      </c>
      <c r="B789" s="9">
        <f t="shared" ca="1" si="12"/>
        <v>0.61874958403625091</v>
      </c>
      <c r="C789" s="9" t="s">
        <v>24</v>
      </c>
    </row>
    <row r="790" spans="1:3" x14ac:dyDescent="0.2">
      <c r="A790" s="9">
        <v>788</v>
      </c>
      <c r="B790" s="9">
        <f t="shared" ca="1" si="12"/>
        <v>0.62278566022215731</v>
      </c>
      <c r="C790" s="9" t="s">
        <v>25</v>
      </c>
    </row>
    <row r="791" spans="1:3" x14ac:dyDescent="0.2">
      <c r="A791" s="9">
        <v>789</v>
      </c>
      <c r="B791" s="9">
        <f t="shared" ca="1" si="12"/>
        <v>0.65829567530037159</v>
      </c>
      <c r="C791" s="9" t="s">
        <v>24</v>
      </c>
    </row>
    <row r="792" spans="1:3" x14ac:dyDescent="0.2">
      <c r="A792" s="9">
        <v>790</v>
      </c>
      <c r="B792" s="9">
        <f t="shared" ca="1" si="12"/>
        <v>0.71693846074589374</v>
      </c>
      <c r="C792" s="9" t="s">
        <v>24</v>
      </c>
    </row>
    <row r="793" spans="1:3" x14ac:dyDescent="0.2">
      <c r="A793" s="9">
        <v>791</v>
      </c>
      <c r="B793" s="9">
        <f t="shared" ca="1" si="12"/>
        <v>0.49573086024642743</v>
      </c>
      <c r="C793" s="9" t="s">
        <v>25</v>
      </c>
    </row>
    <row r="794" spans="1:3" x14ac:dyDescent="0.2">
      <c r="A794" s="9">
        <v>792</v>
      </c>
      <c r="B794" s="9">
        <f t="shared" ca="1" si="12"/>
        <v>0.48170443797477464</v>
      </c>
      <c r="C794" s="9" t="s">
        <v>25</v>
      </c>
    </row>
    <row r="795" spans="1:3" x14ac:dyDescent="0.2">
      <c r="A795" s="9">
        <v>793</v>
      </c>
      <c r="B795" s="9">
        <f t="shared" ca="1" si="12"/>
        <v>0.71517486358105664</v>
      </c>
      <c r="C795" s="9" t="s">
        <v>24</v>
      </c>
    </row>
    <row r="796" spans="1:3" x14ac:dyDescent="0.2">
      <c r="A796" s="9">
        <v>794</v>
      </c>
      <c r="B796" s="9">
        <f t="shared" ca="1" si="12"/>
        <v>0.38145432479035424</v>
      </c>
      <c r="C796" s="9" t="s">
        <v>25</v>
      </c>
    </row>
    <row r="797" spans="1:3" x14ac:dyDescent="0.2">
      <c r="A797" s="9">
        <v>795</v>
      </c>
      <c r="B797" s="9">
        <f t="shared" ca="1" si="12"/>
        <v>0.60331359610385538</v>
      </c>
      <c r="C797" s="9" t="s">
        <v>25</v>
      </c>
    </row>
    <row r="798" spans="1:3" x14ac:dyDescent="0.2">
      <c r="A798" s="9">
        <v>796</v>
      </c>
      <c r="B798" s="9">
        <f t="shared" ca="1" si="12"/>
        <v>0.53875947360119003</v>
      </c>
      <c r="C798" s="9" t="s">
        <v>25</v>
      </c>
    </row>
    <row r="799" spans="1:3" x14ac:dyDescent="0.2">
      <c r="A799" s="9">
        <v>797</v>
      </c>
      <c r="B799" s="9">
        <f t="shared" ca="1" si="12"/>
        <v>0.64757419215188838</v>
      </c>
      <c r="C799" s="9" t="s">
        <v>25</v>
      </c>
    </row>
    <row r="800" spans="1:3" x14ac:dyDescent="0.2">
      <c r="A800" s="9">
        <v>798</v>
      </c>
      <c r="B800" s="9">
        <f t="shared" ca="1" si="12"/>
        <v>0.66208010604833367</v>
      </c>
      <c r="C800" s="9" t="s">
        <v>24</v>
      </c>
    </row>
    <row r="801" spans="1:3" x14ac:dyDescent="0.2">
      <c r="A801" s="9">
        <v>799</v>
      </c>
      <c r="B801" s="9">
        <f t="shared" ca="1" si="12"/>
        <v>0.593779647201509</v>
      </c>
      <c r="C801" s="9" t="s">
        <v>25</v>
      </c>
    </row>
    <row r="802" spans="1:3" x14ac:dyDescent="0.2">
      <c r="A802" s="9">
        <v>800</v>
      </c>
      <c r="B802" s="9">
        <f t="shared" ca="1" si="12"/>
        <v>0.5969035678312794</v>
      </c>
      <c r="C802" s="9" t="s">
        <v>25</v>
      </c>
    </row>
    <row r="803" spans="1:3" x14ac:dyDescent="0.2">
      <c r="A803" s="9">
        <v>801</v>
      </c>
      <c r="B803" s="9">
        <f t="shared" ca="1" si="12"/>
        <v>0.50910710478281096</v>
      </c>
      <c r="C803" s="9" t="s">
        <v>25</v>
      </c>
    </row>
    <row r="804" spans="1:3" x14ac:dyDescent="0.2">
      <c r="A804" s="9">
        <v>802</v>
      </c>
      <c r="B804" s="9">
        <f t="shared" ca="1" si="12"/>
        <v>0.56182084118627507</v>
      </c>
      <c r="C804" s="9" t="s">
        <v>25</v>
      </c>
    </row>
    <row r="805" spans="1:3" x14ac:dyDescent="0.2">
      <c r="A805" s="9">
        <v>803</v>
      </c>
      <c r="B805" s="9">
        <f t="shared" ca="1" si="12"/>
        <v>0.56926210818163669</v>
      </c>
      <c r="C805" s="9" t="s">
        <v>24</v>
      </c>
    </row>
    <row r="806" spans="1:3" x14ac:dyDescent="0.2">
      <c r="A806" s="9">
        <v>804</v>
      </c>
      <c r="B806" s="9">
        <f t="shared" ca="1" si="12"/>
        <v>0.81207326479207809</v>
      </c>
      <c r="C806" s="9" t="s">
        <v>25</v>
      </c>
    </row>
    <row r="807" spans="1:3" x14ac:dyDescent="0.2">
      <c r="A807" s="9">
        <v>805</v>
      </c>
      <c r="B807" s="9">
        <f t="shared" ca="1" si="12"/>
        <v>0.86251438809737335</v>
      </c>
      <c r="C807" s="9" t="s">
        <v>24</v>
      </c>
    </row>
    <row r="808" spans="1:3" x14ac:dyDescent="0.2">
      <c r="A808" s="9">
        <v>806</v>
      </c>
      <c r="B808" s="9">
        <f t="shared" ca="1" si="12"/>
        <v>0.42616436009068148</v>
      </c>
      <c r="C808" s="9" t="s">
        <v>25</v>
      </c>
    </row>
    <row r="809" spans="1:3" x14ac:dyDescent="0.2">
      <c r="A809" s="9">
        <v>807</v>
      </c>
      <c r="B809" s="9">
        <f t="shared" ca="1" si="12"/>
        <v>0.85527293860338682</v>
      </c>
      <c r="C809" s="9" t="s">
        <v>24</v>
      </c>
    </row>
    <row r="810" spans="1:3" x14ac:dyDescent="0.2">
      <c r="A810" s="9">
        <v>808</v>
      </c>
      <c r="B810" s="9">
        <f t="shared" ca="1" si="12"/>
        <v>0.6068461420744683</v>
      </c>
      <c r="C810" s="9" t="s">
        <v>24</v>
      </c>
    </row>
    <row r="811" spans="1:3" x14ac:dyDescent="0.2">
      <c r="A811" s="9">
        <v>809</v>
      </c>
      <c r="B811" s="9">
        <f t="shared" ca="1" si="12"/>
        <v>0.79361609961574553</v>
      </c>
      <c r="C811" s="9" t="s">
        <v>24</v>
      </c>
    </row>
    <row r="812" spans="1:3" x14ac:dyDescent="0.2">
      <c r="A812" s="9">
        <v>810</v>
      </c>
      <c r="B812" s="9">
        <f t="shared" ca="1" si="12"/>
        <v>0.68397577325689196</v>
      </c>
      <c r="C812" s="9" t="s">
        <v>24</v>
      </c>
    </row>
    <row r="813" spans="1:3" x14ac:dyDescent="0.2">
      <c r="A813" s="9">
        <v>811</v>
      </c>
      <c r="B813" s="9">
        <f t="shared" ca="1" si="12"/>
        <v>0.5082475470219523</v>
      </c>
      <c r="C813" s="9" t="s">
        <v>25</v>
      </c>
    </row>
    <row r="814" spans="1:3" x14ac:dyDescent="0.2">
      <c r="A814" s="9">
        <v>812</v>
      </c>
      <c r="B814" s="9">
        <f t="shared" ca="1" si="12"/>
        <v>0.73104206693817586</v>
      </c>
      <c r="C814" s="9" t="s">
        <v>24</v>
      </c>
    </row>
    <row r="815" spans="1:3" x14ac:dyDescent="0.2">
      <c r="A815" s="9">
        <v>813</v>
      </c>
      <c r="B815" s="9">
        <f t="shared" ca="1" si="12"/>
        <v>0.84247733378587586</v>
      </c>
      <c r="C815" s="9" t="s">
        <v>24</v>
      </c>
    </row>
    <row r="816" spans="1:3" x14ac:dyDescent="0.2">
      <c r="A816" s="9">
        <v>814</v>
      </c>
      <c r="B816" s="9">
        <f t="shared" ca="1" si="12"/>
        <v>0.75334977836003847</v>
      </c>
      <c r="C816" s="9" t="s">
        <v>25</v>
      </c>
    </row>
    <row r="817" spans="1:3" x14ac:dyDescent="0.2">
      <c r="A817" s="9">
        <v>815</v>
      </c>
      <c r="B817" s="9">
        <f t="shared" ca="1" si="12"/>
        <v>0.50937322513718897</v>
      </c>
      <c r="C817" s="9" t="s">
        <v>25</v>
      </c>
    </row>
    <row r="818" spans="1:3" x14ac:dyDescent="0.2">
      <c r="A818" s="9">
        <v>816</v>
      </c>
      <c r="B818" s="9">
        <f t="shared" ca="1" si="12"/>
        <v>0.69287874472272948</v>
      </c>
      <c r="C818" s="9" t="s">
        <v>25</v>
      </c>
    </row>
    <row r="819" spans="1:3" x14ac:dyDescent="0.2">
      <c r="A819" s="9">
        <v>817</v>
      </c>
      <c r="B819" s="9">
        <f t="shared" ca="1" si="12"/>
        <v>0.83546784686492237</v>
      </c>
      <c r="C819" s="9" t="s">
        <v>25</v>
      </c>
    </row>
    <row r="820" spans="1:3" x14ac:dyDescent="0.2">
      <c r="A820" s="9">
        <v>818</v>
      </c>
      <c r="B820" s="9">
        <f t="shared" ca="1" si="12"/>
        <v>0.59647018357721415</v>
      </c>
      <c r="C820" s="9" t="s">
        <v>25</v>
      </c>
    </row>
    <row r="821" spans="1:3" x14ac:dyDescent="0.2">
      <c r="A821" s="9">
        <v>819</v>
      </c>
      <c r="B821" s="9">
        <f t="shared" ca="1" si="12"/>
        <v>0.56972895027755688</v>
      </c>
      <c r="C821" s="9" t="s">
        <v>25</v>
      </c>
    </row>
    <row r="822" spans="1:3" x14ac:dyDescent="0.2">
      <c r="A822" s="9">
        <v>820</v>
      </c>
      <c r="B822" s="9">
        <f t="shared" ca="1" si="12"/>
        <v>0.47606139965272054</v>
      </c>
      <c r="C822" s="9" t="s">
        <v>25</v>
      </c>
    </row>
    <row r="823" spans="1:3" x14ac:dyDescent="0.2">
      <c r="A823" s="9">
        <v>821</v>
      </c>
      <c r="B823" s="9">
        <f t="shared" ca="1" si="12"/>
        <v>0.64559622560270524</v>
      </c>
      <c r="C823" s="9" t="s">
        <v>24</v>
      </c>
    </row>
    <row r="824" spans="1:3" x14ac:dyDescent="0.2">
      <c r="A824" s="9">
        <v>822</v>
      </c>
      <c r="B824" s="9">
        <f t="shared" ca="1" si="12"/>
        <v>0.73425796368857732</v>
      </c>
      <c r="C824" s="9" t="s">
        <v>25</v>
      </c>
    </row>
    <row r="825" spans="1:3" x14ac:dyDescent="0.2">
      <c r="A825" s="9">
        <v>823</v>
      </c>
      <c r="B825" s="9">
        <f t="shared" ca="1" si="12"/>
        <v>0.71026792454716747</v>
      </c>
      <c r="C825" s="9" t="s">
        <v>24</v>
      </c>
    </row>
    <row r="826" spans="1:3" x14ac:dyDescent="0.2">
      <c r="A826" s="9">
        <v>824</v>
      </c>
      <c r="B826" s="9">
        <f t="shared" ca="1" si="12"/>
        <v>0.89540573942212676</v>
      </c>
      <c r="C826" s="9" t="s">
        <v>24</v>
      </c>
    </row>
    <row r="827" spans="1:3" x14ac:dyDescent="0.2">
      <c r="A827" s="9">
        <v>825</v>
      </c>
      <c r="B827" s="9">
        <f t="shared" ca="1" si="12"/>
        <v>0.72419047839701234</v>
      </c>
      <c r="C827" s="9" t="s">
        <v>24</v>
      </c>
    </row>
    <row r="828" spans="1:3" x14ac:dyDescent="0.2">
      <c r="A828" s="9">
        <v>826</v>
      </c>
      <c r="B828" s="9">
        <f t="shared" ca="1" si="12"/>
        <v>0.43685614099223791</v>
      </c>
      <c r="C828" s="9" t="s">
        <v>25</v>
      </c>
    </row>
    <row r="829" spans="1:3" x14ac:dyDescent="0.2">
      <c r="A829" s="9">
        <v>827</v>
      </c>
      <c r="B829" s="9">
        <f t="shared" ca="1" si="12"/>
        <v>0.75420163771824877</v>
      </c>
      <c r="C829" s="9" t="s">
        <v>25</v>
      </c>
    </row>
    <row r="830" spans="1:3" x14ac:dyDescent="0.2">
      <c r="A830" s="9">
        <v>828</v>
      </c>
      <c r="B830" s="9">
        <f t="shared" ca="1" si="12"/>
        <v>0.74046730416074213</v>
      </c>
      <c r="C830" s="9" t="s">
        <v>25</v>
      </c>
    </row>
    <row r="831" spans="1:3" x14ac:dyDescent="0.2">
      <c r="A831" s="9">
        <v>829</v>
      </c>
      <c r="B831" s="9">
        <f t="shared" ca="1" si="12"/>
        <v>0.78550172267927076</v>
      </c>
      <c r="C831" s="9" t="s">
        <v>24</v>
      </c>
    </row>
    <row r="832" spans="1:3" x14ac:dyDescent="0.2">
      <c r="A832" s="9">
        <v>830</v>
      </c>
      <c r="B832" s="9">
        <f t="shared" ca="1" si="12"/>
        <v>0.47298159845091914</v>
      </c>
      <c r="C832" s="9" t="s">
        <v>25</v>
      </c>
    </row>
    <row r="833" spans="1:3" x14ac:dyDescent="0.2">
      <c r="A833" s="9">
        <v>831</v>
      </c>
      <c r="B833" s="9">
        <f t="shared" ca="1" si="12"/>
        <v>0.62730967768381185</v>
      </c>
      <c r="C833" s="9" t="s">
        <v>25</v>
      </c>
    </row>
    <row r="834" spans="1:3" x14ac:dyDescent="0.2">
      <c r="A834" s="9">
        <v>832</v>
      </c>
      <c r="B834" s="9">
        <f t="shared" ca="1" si="12"/>
        <v>0.38295819366497402</v>
      </c>
      <c r="C834" s="9" t="s">
        <v>25</v>
      </c>
    </row>
    <row r="835" spans="1:3" x14ac:dyDescent="0.2">
      <c r="A835" s="9">
        <v>833</v>
      </c>
      <c r="B835" s="9">
        <f t="shared" ca="1" si="12"/>
        <v>0.57365395475169456</v>
      </c>
      <c r="C835" s="9" t="s">
        <v>24</v>
      </c>
    </row>
    <row r="836" spans="1:3" x14ac:dyDescent="0.2">
      <c r="A836" s="9">
        <v>834</v>
      </c>
      <c r="B836" s="9">
        <f t="shared" ref="B836:B899" ca="1" si="13">IF(C836="Bomb",_xlfn.NORM.INV(RAND(),0.7,0.1),_xlfn.NORM.INV(RAND(),0.6,0.15))</f>
        <v>0.77307251420348599</v>
      </c>
      <c r="C836" s="9" t="s">
        <v>25</v>
      </c>
    </row>
    <row r="837" spans="1:3" x14ac:dyDescent="0.2">
      <c r="A837" s="9">
        <v>835</v>
      </c>
      <c r="B837" s="9">
        <f t="shared" ca="1" si="13"/>
        <v>0.65665498381058585</v>
      </c>
      <c r="C837" s="9" t="s">
        <v>24</v>
      </c>
    </row>
    <row r="838" spans="1:3" x14ac:dyDescent="0.2">
      <c r="A838" s="9">
        <v>836</v>
      </c>
      <c r="B838" s="9">
        <f t="shared" ca="1" si="13"/>
        <v>0.55372547559917185</v>
      </c>
      <c r="C838" s="9" t="s">
        <v>25</v>
      </c>
    </row>
    <row r="839" spans="1:3" x14ac:dyDescent="0.2">
      <c r="A839" s="9">
        <v>837</v>
      </c>
      <c r="B839" s="9">
        <f t="shared" ca="1" si="13"/>
        <v>0.71865835505522002</v>
      </c>
      <c r="C839" s="9" t="s">
        <v>24</v>
      </c>
    </row>
    <row r="840" spans="1:3" x14ac:dyDescent="0.2">
      <c r="A840" s="9">
        <v>838</v>
      </c>
      <c r="B840" s="9">
        <f t="shared" ca="1" si="13"/>
        <v>0.6598896868534635</v>
      </c>
      <c r="C840" s="9" t="s">
        <v>25</v>
      </c>
    </row>
    <row r="841" spans="1:3" x14ac:dyDescent="0.2">
      <c r="A841" s="9">
        <v>839</v>
      </c>
      <c r="B841" s="9">
        <f t="shared" ca="1" si="13"/>
        <v>0.458508780581526</v>
      </c>
      <c r="C841" s="9" t="s">
        <v>24</v>
      </c>
    </row>
    <row r="842" spans="1:3" x14ac:dyDescent="0.2">
      <c r="A842" s="9">
        <v>840</v>
      </c>
      <c r="B842" s="9">
        <f t="shared" ca="1" si="13"/>
        <v>0.92896174132921017</v>
      </c>
      <c r="C842" s="9" t="s">
        <v>24</v>
      </c>
    </row>
    <row r="843" spans="1:3" x14ac:dyDescent="0.2">
      <c r="A843" s="9">
        <v>841</v>
      </c>
      <c r="B843" s="9">
        <f t="shared" ca="1" si="13"/>
        <v>0.81603312364776703</v>
      </c>
      <c r="C843" s="9" t="s">
        <v>24</v>
      </c>
    </row>
    <row r="844" spans="1:3" x14ac:dyDescent="0.2">
      <c r="A844" s="9">
        <v>842</v>
      </c>
      <c r="B844" s="9">
        <f t="shared" ca="1" si="13"/>
        <v>0.60588132888461321</v>
      </c>
      <c r="C844" s="9" t="s">
        <v>25</v>
      </c>
    </row>
    <row r="845" spans="1:3" x14ac:dyDescent="0.2">
      <c r="A845" s="9">
        <v>843</v>
      </c>
      <c r="B845" s="9">
        <f t="shared" ca="1" si="13"/>
        <v>0.62811344029680072</v>
      </c>
      <c r="C845" s="9" t="s">
        <v>25</v>
      </c>
    </row>
    <row r="846" spans="1:3" x14ac:dyDescent="0.2">
      <c r="A846" s="9">
        <v>844</v>
      </c>
      <c r="B846" s="9">
        <f t="shared" ca="1" si="13"/>
        <v>0.47206868041649663</v>
      </c>
      <c r="C846" s="9" t="s">
        <v>25</v>
      </c>
    </row>
    <row r="847" spans="1:3" x14ac:dyDescent="0.2">
      <c r="A847" s="9">
        <v>845</v>
      </c>
      <c r="B847" s="9">
        <f t="shared" ca="1" si="13"/>
        <v>0.38357417556349038</v>
      </c>
      <c r="C847" s="9" t="s">
        <v>25</v>
      </c>
    </row>
    <row r="848" spans="1:3" x14ac:dyDescent="0.2">
      <c r="A848" s="9">
        <v>846</v>
      </c>
      <c r="B848" s="9">
        <f t="shared" ca="1" si="13"/>
        <v>0.60303350967141667</v>
      </c>
      <c r="C848" s="9" t="s">
        <v>25</v>
      </c>
    </row>
    <row r="849" spans="1:3" x14ac:dyDescent="0.2">
      <c r="A849" s="9">
        <v>847</v>
      </c>
      <c r="B849" s="9">
        <f t="shared" ca="1" si="13"/>
        <v>0.70870114904344983</v>
      </c>
      <c r="C849" s="9" t="s">
        <v>24</v>
      </c>
    </row>
    <row r="850" spans="1:3" x14ac:dyDescent="0.2">
      <c r="A850" s="9">
        <v>848</v>
      </c>
      <c r="B850" s="9">
        <f t="shared" ca="1" si="13"/>
        <v>0.44981017775431531</v>
      </c>
      <c r="C850" s="9" t="s">
        <v>25</v>
      </c>
    </row>
    <row r="851" spans="1:3" x14ac:dyDescent="0.2">
      <c r="A851" s="9">
        <v>849</v>
      </c>
      <c r="B851" s="9">
        <f t="shared" ca="1" si="13"/>
        <v>0.67138710915056987</v>
      </c>
      <c r="C851" s="9" t="s">
        <v>24</v>
      </c>
    </row>
    <row r="852" spans="1:3" x14ac:dyDescent="0.2">
      <c r="A852" s="9">
        <v>850</v>
      </c>
      <c r="B852" s="9">
        <f t="shared" ca="1" si="13"/>
        <v>0.57258738390366282</v>
      </c>
      <c r="C852" s="9" t="s">
        <v>25</v>
      </c>
    </row>
    <row r="853" spans="1:3" x14ac:dyDescent="0.2">
      <c r="A853" s="9">
        <v>851</v>
      </c>
      <c r="B853" s="9">
        <f t="shared" ca="1" si="13"/>
        <v>0.72908076816287659</v>
      </c>
      <c r="C853" s="9" t="s">
        <v>25</v>
      </c>
    </row>
    <row r="854" spans="1:3" x14ac:dyDescent="0.2">
      <c r="A854" s="9">
        <v>852</v>
      </c>
      <c r="B854" s="9">
        <f t="shared" ca="1" si="13"/>
        <v>0.57584338281350744</v>
      </c>
      <c r="C854" s="9" t="s">
        <v>25</v>
      </c>
    </row>
    <row r="855" spans="1:3" x14ac:dyDescent="0.2">
      <c r="A855" s="9">
        <v>853</v>
      </c>
      <c r="B855" s="9">
        <f t="shared" ca="1" si="13"/>
        <v>0.54912030807834267</v>
      </c>
      <c r="C855" s="9" t="s">
        <v>25</v>
      </c>
    </row>
    <row r="856" spans="1:3" x14ac:dyDescent="0.2">
      <c r="A856" s="9">
        <v>854</v>
      </c>
      <c r="B856" s="9">
        <f t="shared" ca="1" si="13"/>
        <v>0.54958754887140637</v>
      </c>
      <c r="C856" s="9" t="s">
        <v>25</v>
      </c>
    </row>
    <row r="857" spans="1:3" x14ac:dyDescent="0.2">
      <c r="A857" s="9">
        <v>855</v>
      </c>
      <c r="B857" s="9">
        <f t="shared" ca="1" si="13"/>
        <v>0.90865454729964623</v>
      </c>
      <c r="C857" s="9" t="s">
        <v>24</v>
      </c>
    </row>
    <row r="858" spans="1:3" x14ac:dyDescent="0.2">
      <c r="A858" s="9">
        <v>856</v>
      </c>
      <c r="B858" s="9">
        <f t="shared" ca="1" si="13"/>
        <v>0.54968723214334037</v>
      </c>
      <c r="C858" s="9" t="s">
        <v>24</v>
      </c>
    </row>
    <row r="859" spans="1:3" x14ac:dyDescent="0.2">
      <c r="A859" s="9">
        <v>857</v>
      </c>
      <c r="B859" s="9">
        <f t="shared" ca="1" si="13"/>
        <v>0.74641168081351728</v>
      </c>
      <c r="C859" s="9" t="s">
        <v>25</v>
      </c>
    </row>
    <row r="860" spans="1:3" x14ac:dyDescent="0.2">
      <c r="A860" s="9">
        <v>858</v>
      </c>
      <c r="B860" s="9">
        <f t="shared" ca="1" si="13"/>
        <v>0.4123714160747326</v>
      </c>
      <c r="C860" s="9" t="s">
        <v>25</v>
      </c>
    </row>
    <row r="861" spans="1:3" x14ac:dyDescent="0.2">
      <c r="A861" s="9">
        <v>859</v>
      </c>
      <c r="B861" s="9">
        <f t="shared" ca="1" si="13"/>
        <v>0.69575458646376453</v>
      </c>
      <c r="C861" s="9" t="s">
        <v>25</v>
      </c>
    </row>
    <row r="862" spans="1:3" x14ac:dyDescent="0.2">
      <c r="A862" s="9">
        <v>860</v>
      </c>
      <c r="B862" s="9">
        <f t="shared" ca="1" si="13"/>
        <v>0.46214969953226481</v>
      </c>
      <c r="C862" s="9" t="s">
        <v>25</v>
      </c>
    </row>
    <row r="863" spans="1:3" x14ac:dyDescent="0.2">
      <c r="A863" s="9">
        <v>861</v>
      </c>
      <c r="B863" s="9">
        <f t="shared" ca="1" si="13"/>
        <v>0.74441033656887923</v>
      </c>
      <c r="C863" s="9" t="s">
        <v>24</v>
      </c>
    </row>
    <row r="864" spans="1:3" x14ac:dyDescent="0.2">
      <c r="A864" s="9">
        <v>862</v>
      </c>
      <c r="B864" s="9">
        <f t="shared" ca="1" si="13"/>
        <v>0.73077608222308044</v>
      </c>
      <c r="C864" s="9" t="s">
        <v>25</v>
      </c>
    </row>
    <row r="865" spans="1:3" x14ac:dyDescent="0.2">
      <c r="A865" s="9">
        <v>863</v>
      </c>
      <c r="B865" s="9">
        <f t="shared" ca="1" si="13"/>
        <v>0.60255602511403517</v>
      </c>
      <c r="C865" s="9" t="s">
        <v>25</v>
      </c>
    </row>
    <row r="866" spans="1:3" x14ac:dyDescent="0.2">
      <c r="A866" s="9">
        <v>864</v>
      </c>
      <c r="B866" s="9">
        <f t="shared" ca="1" si="13"/>
        <v>0.61110416765703446</v>
      </c>
      <c r="C866" s="9" t="s">
        <v>25</v>
      </c>
    </row>
    <row r="867" spans="1:3" x14ac:dyDescent="0.2">
      <c r="A867" s="9">
        <v>865</v>
      </c>
      <c r="B867" s="9">
        <f t="shared" ca="1" si="13"/>
        <v>0.46216110358548768</v>
      </c>
      <c r="C867" s="9" t="s">
        <v>25</v>
      </c>
    </row>
    <row r="868" spans="1:3" x14ac:dyDescent="0.2">
      <c r="A868" s="9">
        <v>866</v>
      </c>
      <c r="B868" s="9">
        <f t="shared" ca="1" si="13"/>
        <v>0.70351525381730018</v>
      </c>
      <c r="C868" s="9" t="s">
        <v>25</v>
      </c>
    </row>
    <row r="869" spans="1:3" x14ac:dyDescent="0.2">
      <c r="A869" s="9">
        <v>867</v>
      </c>
      <c r="B869" s="9">
        <f t="shared" ca="1" si="13"/>
        <v>0.45970278810648391</v>
      </c>
      <c r="C869" s="9" t="s">
        <v>25</v>
      </c>
    </row>
    <row r="870" spans="1:3" x14ac:dyDescent="0.2">
      <c r="A870" s="9">
        <v>868</v>
      </c>
      <c r="B870" s="9">
        <f t="shared" ca="1" si="13"/>
        <v>0.57592504047429316</v>
      </c>
      <c r="C870" s="9" t="s">
        <v>25</v>
      </c>
    </row>
    <row r="871" spans="1:3" x14ac:dyDescent="0.2">
      <c r="A871" s="9">
        <v>869</v>
      </c>
      <c r="B871" s="9">
        <f t="shared" ca="1" si="13"/>
        <v>0.66259036164024687</v>
      </c>
      <c r="C871" s="9" t="s">
        <v>25</v>
      </c>
    </row>
    <row r="872" spans="1:3" x14ac:dyDescent="0.2">
      <c r="A872" s="9">
        <v>870</v>
      </c>
      <c r="B872" s="9">
        <f t="shared" ca="1" si="13"/>
        <v>0.75810391212959416</v>
      </c>
      <c r="C872" s="9" t="s">
        <v>25</v>
      </c>
    </row>
    <row r="873" spans="1:3" x14ac:dyDescent="0.2">
      <c r="A873" s="9">
        <v>871</v>
      </c>
      <c r="B873" s="9">
        <f t="shared" ca="1" si="13"/>
        <v>0.68353404716990784</v>
      </c>
      <c r="C873" s="9" t="s">
        <v>24</v>
      </c>
    </row>
    <row r="874" spans="1:3" x14ac:dyDescent="0.2">
      <c r="A874" s="9">
        <v>872</v>
      </c>
      <c r="B874" s="9">
        <f t="shared" ca="1" si="13"/>
        <v>0.53743535733440728</v>
      </c>
      <c r="C874" s="9" t="s">
        <v>24</v>
      </c>
    </row>
    <row r="875" spans="1:3" x14ac:dyDescent="0.2">
      <c r="A875" s="9">
        <v>873</v>
      </c>
      <c r="B875" s="9">
        <f t="shared" ca="1" si="13"/>
        <v>0.85046798153671643</v>
      </c>
      <c r="C875" s="9" t="s">
        <v>24</v>
      </c>
    </row>
    <row r="876" spans="1:3" x14ac:dyDescent="0.2">
      <c r="A876" s="9">
        <v>874</v>
      </c>
      <c r="B876" s="9">
        <f t="shared" ca="1" si="13"/>
        <v>0.65893749420615766</v>
      </c>
      <c r="C876" s="9" t="s">
        <v>25</v>
      </c>
    </row>
    <row r="877" spans="1:3" x14ac:dyDescent="0.2">
      <c r="A877" s="9">
        <v>875</v>
      </c>
      <c r="B877" s="9">
        <f t="shared" ca="1" si="13"/>
        <v>0.76512374759124213</v>
      </c>
      <c r="C877" s="9" t="s">
        <v>25</v>
      </c>
    </row>
    <row r="878" spans="1:3" x14ac:dyDescent="0.2">
      <c r="A878" s="9">
        <v>876</v>
      </c>
      <c r="B878" s="9">
        <f t="shared" ca="1" si="13"/>
        <v>0.69452686423553889</v>
      </c>
      <c r="C878" s="9" t="s">
        <v>24</v>
      </c>
    </row>
    <row r="879" spans="1:3" x14ac:dyDescent="0.2">
      <c r="A879" s="9">
        <v>877</v>
      </c>
      <c r="B879" s="9">
        <f t="shared" ca="1" si="13"/>
        <v>0.41709788265737574</v>
      </c>
      <c r="C879" s="9" t="s">
        <v>25</v>
      </c>
    </row>
    <row r="880" spans="1:3" x14ac:dyDescent="0.2">
      <c r="A880" s="9">
        <v>878</v>
      </c>
      <c r="B880" s="9">
        <f t="shared" ca="1" si="13"/>
        <v>0.67887770577589901</v>
      </c>
      <c r="C880" s="9" t="s">
        <v>25</v>
      </c>
    </row>
    <row r="881" spans="1:3" x14ac:dyDescent="0.2">
      <c r="A881" s="9">
        <v>879</v>
      </c>
      <c r="B881" s="9">
        <f t="shared" ca="1" si="13"/>
        <v>0.65169706720027865</v>
      </c>
      <c r="C881" s="9" t="s">
        <v>24</v>
      </c>
    </row>
    <row r="882" spans="1:3" x14ac:dyDescent="0.2">
      <c r="A882" s="9">
        <v>880</v>
      </c>
      <c r="B882" s="9">
        <f t="shared" ca="1" si="13"/>
        <v>0.48545424749180477</v>
      </c>
      <c r="C882" s="9" t="s">
        <v>24</v>
      </c>
    </row>
    <row r="883" spans="1:3" x14ac:dyDescent="0.2">
      <c r="A883" s="9">
        <v>881</v>
      </c>
      <c r="B883" s="9">
        <f t="shared" ca="1" si="13"/>
        <v>0.87868606967721052</v>
      </c>
      <c r="C883" s="9" t="s">
        <v>24</v>
      </c>
    </row>
    <row r="884" spans="1:3" x14ac:dyDescent="0.2">
      <c r="A884" s="9">
        <v>882</v>
      </c>
      <c r="B884" s="9">
        <f t="shared" ca="1" si="13"/>
        <v>0.68677503673676987</v>
      </c>
      <c r="C884" s="9" t="s">
        <v>24</v>
      </c>
    </row>
    <row r="885" spans="1:3" x14ac:dyDescent="0.2">
      <c r="A885" s="9">
        <v>883</v>
      </c>
      <c r="B885" s="9">
        <f t="shared" ca="1" si="13"/>
        <v>0.58957206454877464</v>
      </c>
      <c r="C885" s="9" t="s">
        <v>25</v>
      </c>
    </row>
    <row r="886" spans="1:3" x14ac:dyDescent="0.2">
      <c r="A886" s="9">
        <v>884</v>
      </c>
      <c r="B886" s="9">
        <f t="shared" ca="1" si="13"/>
        <v>0.50732821279213047</v>
      </c>
      <c r="C886" s="9" t="s">
        <v>25</v>
      </c>
    </row>
    <row r="887" spans="1:3" x14ac:dyDescent="0.2">
      <c r="A887" s="9">
        <v>885</v>
      </c>
      <c r="B887" s="9">
        <f t="shared" ca="1" si="13"/>
        <v>0.39598617394058322</v>
      </c>
      <c r="C887" s="9" t="s">
        <v>25</v>
      </c>
    </row>
    <row r="888" spans="1:3" x14ac:dyDescent="0.2">
      <c r="A888" s="9">
        <v>886</v>
      </c>
      <c r="B888" s="9">
        <f t="shared" ca="1" si="13"/>
        <v>0.63022089575599782</v>
      </c>
      <c r="C888" s="9" t="s">
        <v>24</v>
      </c>
    </row>
    <row r="889" spans="1:3" x14ac:dyDescent="0.2">
      <c r="A889" s="9">
        <v>887</v>
      </c>
      <c r="B889" s="9">
        <f t="shared" ca="1" si="13"/>
        <v>0.80862842512077515</v>
      </c>
      <c r="C889" s="9" t="s">
        <v>24</v>
      </c>
    </row>
    <row r="890" spans="1:3" x14ac:dyDescent="0.2">
      <c r="A890" s="9">
        <v>888</v>
      </c>
      <c r="B890" s="9">
        <f t="shared" ca="1" si="13"/>
        <v>0.58054442813136764</v>
      </c>
      <c r="C890" s="9" t="s">
        <v>24</v>
      </c>
    </row>
    <row r="891" spans="1:3" x14ac:dyDescent="0.2">
      <c r="A891" s="9">
        <v>889</v>
      </c>
      <c r="B891" s="9">
        <f t="shared" ca="1" si="13"/>
        <v>0.61964201894325521</v>
      </c>
      <c r="C891" s="9" t="s">
        <v>25</v>
      </c>
    </row>
    <row r="892" spans="1:3" x14ac:dyDescent="0.2">
      <c r="A892" s="9">
        <v>890</v>
      </c>
      <c r="B892" s="9">
        <f t="shared" ca="1" si="13"/>
        <v>0.39556738736074787</v>
      </c>
      <c r="C892" s="9" t="s">
        <v>25</v>
      </c>
    </row>
    <row r="893" spans="1:3" x14ac:dyDescent="0.2">
      <c r="A893" s="9">
        <v>891</v>
      </c>
      <c r="B893" s="9">
        <f t="shared" ca="1" si="13"/>
        <v>0.52068221759854116</v>
      </c>
      <c r="C893" s="9" t="s">
        <v>25</v>
      </c>
    </row>
    <row r="894" spans="1:3" x14ac:dyDescent="0.2">
      <c r="A894" s="9">
        <v>892</v>
      </c>
      <c r="B894" s="9">
        <f t="shared" ca="1" si="13"/>
        <v>0.560571251451633</v>
      </c>
      <c r="C894" s="9" t="s">
        <v>24</v>
      </c>
    </row>
    <row r="895" spans="1:3" x14ac:dyDescent="0.2">
      <c r="A895" s="9">
        <v>893</v>
      </c>
      <c r="B895" s="9">
        <f t="shared" ca="1" si="13"/>
        <v>0.70270647904142269</v>
      </c>
      <c r="C895" s="9" t="s">
        <v>25</v>
      </c>
    </row>
    <row r="896" spans="1:3" x14ac:dyDescent="0.2">
      <c r="A896" s="9">
        <v>894</v>
      </c>
      <c r="B896" s="9">
        <f t="shared" ca="1" si="13"/>
        <v>0.6449522505178884</v>
      </c>
      <c r="C896" s="9" t="s">
        <v>24</v>
      </c>
    </row>
    <row r="897" spans="1:3" x14ac:dyDescent="0.2">
      <c r="A897" s="9">
        <v>895</v>
      </c>
      <c r="B897" s="9">
        <f t="shared" ca="1" si="13"/>
        <v>0.65388606095792112</v>
      </c>
      <c r="C897" s="9" t="s">
        <v>25</v>
      </c>
    </row>
    <row r="898" spans="1:3" x14ac:dyDescent="0.2">
      <c r="A898" s="9">
        <v>896</v>
      </c>
      <c r="B898" s="9">
        <f t="shared" ca="1" si="13"/>
        <v>0.74436378947571746</v>
      </c>
      <c r="C898" s="9" t="s">
        <v>24</v>
      </c>
    </row>
    <row r="899" spans="1:3" x14ac:dyDescent="0.2">
      <c r="A899" s="9">
        <v>897</v>
      </c>
      <c r="B899" s="9">
        <f t="shared" ca="1" si="13"/>
        <v>0.61632112687442708</v>
      </c>
      <c r="C899" s="9" t="s">
        <v>24</v>
      </c>
    </row>
    <row r="900" spans="1:3" x14ac:dyDescent="0.2">
      <c r="A900" s="9">
        <v>898</v>
      </c>
      <c r="B900" s="9">
        <f t="shared" ref="B900:B963" ca="1" si="14">IF(C900="Bomb",_xlfn.NORM.INV(RAND(),0.7,0.1),_xlfn.NORM.INV(RAND(),0.6,0.15))</f>
        <v>0.72264024675135996</v>
      </c>
      <c r="C900" s="9" t="s">
        <v>24</v>
      </c>
    </row>
    <row r="901" spans="1:3" x14ac:dyDescent="0.2">
      <c r="A901" s="9">
        <v>899</v>
      </c>
      <c r="B901" s="9">
        <f t="shared" ca="1" si="14"/>
        <v>0.66405743683316076</v>
      </c>
      <c r="C901" s="9" t="s">
        <v>25</v>
      </c>
    </row>
    <row r="902" spans="1:3" x14ac:dyDescent="0.2">
      <c r="A902" s="9">
        <v>900</v>
      </c>
      <c r="B902" s="9">
        <f t="shared" ca="1" si="14"/>
        <v>0.64522235669367345</v>
      </c>
      <c r="C902" s="9" t="s">
        <v>24</v>
      </c>
    </row>
    <row r="903" spans="1:3" x14ac:dyDescent="0.2">
      <c r="A903" s="9">
        <v>901</v>
      </c>
      <c r="B903" s="9">
        <f t="shared" ca="1" si="14"/>
        <v>0.75537784008742015</v>
      </c>
      <c r="C903" s="9" t="s">
        <v>24</v>
      </c>
    </row>
    <row r="904" spans="1:3" x14ac:dyDescent="0.2">
      <c r="A904" s="9">
        <v>902</v>
      </c>
      <c r="B904" s="9">
        <f t="shared" ca="1" si="14"/>
        <v>0.72147885143982904</v>
      </c>
      <c r="C904" s="9" t="s">
        <v>24</v>
      </c>
    </row>
    <row r="905" spans="1:3" x14ac:dyDescent="0.2">
      <c r="A905" s="9">
        <v>903</v>
      </c>
      <c r="B905" s="9">
        <f t="shared" ca="1" si="14"/>
        <v>0.66243215591124194</v>
      </c>
      <c r="C905" s="9" t="s">
        <v>24</v>
      </c>
    </row>
    <row r="906" spans="1:3" x14ac:dyDescent="0.2">
      <c r="A906" s="9">
        <v>904</v>
      </c>
      <c r="B906" s="9">
        <f t="shared" ca="1" si="14"/>
        <v>0.71607963396551089</v>
      </c>
      <c r="C906" s="9" t="s">
        <v>24</v>
      </c>
    </row>
    <row r="907" spans="1:3" x14ac:dyDescent="0.2">
      <c r="A907" s="9">
        <v>905</v>
      </c>
      <c r="B907" s="9">
        <f t="shared" ca="1" si="14"/>
        <v>0.57968288310208826</v>
      </c>
      <c r="C907" s="9" t="s">
        <v>25</v>
      </c>
    </row>
    <row r="908" spans="1:3" x14ac:dyDescent="0.2">
      <c r="A908" s="9">
        <v>906</v>
      </c>
      <c r="B908" s="9">
        <f t="shared" ca="1" si="14"/>
        <v>0.67880430591794783</v>
      </c>
      <c r="C908" s="9" t="s">
        <v>25</v>
      </c>
    </row>
    <row r="909" spans="1:3" x14ac:dyDescent="0.2">
      <c r="A909" s="9">
        <v>907</v>
      </c>
      <c r="B909" s="9">
        <f t="shared" ca="1" si="14"/>
        <v>0.5324520321937618</v>
      </c>
      <c r="C909" s="9" t="s">
        <v>25</v>
      </c>
    </row>
    <row r="910" spans="1:3" x14ac:dyDescent="0.2">
      <c r="A910" s="9">
        <v>908</v>
      </c>
      <c r="B910" s="9">
        <f t="shared" ca="1" si="14"/>
        <v>0.83213411625634748</v>
      </c>
      <c r="C910" s="9" t="s">
        <v>25</v>
      </c>
    </row>
    <row r="911" spans="1:3" x14ac:dyDescent="0.2">
      <c r="A911" s="9">
        <v>909</v>
      </c>
      <c r="B911" s="9">
        <f t="shared" ca="1" si="14"/>
        <v>0.77255588310364831</v>
      </c>
      <c r="C911" s="9" t="s">
        <v>25</v>
      </c>
    </row>
    <row r="912" spans="1:3" x14ac:dyDescent="0.2">
      <c r="A912" s="9">
        <v>910</v>
      </c>
      <c r="B912" s="9">
        <f t="shared" ca="1" si="14"/>
        <v>0.59210299148979995</v>
      </c>
      <c r="C912" s="9" t="s">
        <v>24</v>
      </c>
    </row>
    <row r="913" spans="1:3" x14ac:dyDescent="0.2">
      <c r="A913" s="9">
        <v>911</v>
      </c>
      <c r="B913" s="9">
        <f t="shared" ca="1" si="14"/>
        <v>0.61679335099736254</v>
      </c>
      <c r="C913" s="9" t="s">
        <v>25</v>
      </c>
    </row>
    <row r="914" spans="1:3" x14ac:dyDescent="0.2">
      <c r="A914" s="9">
        <v>912</v>
      </c>
      <c r="B914" s="9">
        <f t="shared" ca="1" si="14"/>
        <v>0.50933815648760261</v>
      </c>
      <c r="C914" s="9" t="s">
        <v>25</v>
      </c>
    </row>
    <row r="915" spans="1:3" x14ac:dyDescent="0.2">
      <c r="A915" s="9">
        <v>913</v>
      </c>
      <c r="B915" s="9">
        <f t="shared" ca="1" si="14"/>
        <v>0.57966764237354729</v>
      </c>
      <c r="C915" s="9" t="s">
        <v>25</v>
      </c>
    </row>
    <row r="916" spans="1:3" x14ac:dyDescent="0.2">
      <c r="A916" s="9">
        <v>914</v>
      </c>
      <c r="B916" s="9">
        <f t="shared" ca="1" si="14"/>
        <v>0.64098371849213887</v>
      </c>
      <c r="C916" s="9" t="s">
        <v>24</v>
      </c>
    </row>
    <row r="917" spans="1:3" x14ac:dyDescent="0.2">
      <c r="A917" s="9">
        <v>915</v>
      </c>
      <c r="B917" s="9">
        <f t="shared" ca="1" si="14"/>
        <v>0.59749335606297482</v>
      </c>
      <c r="C917" s="9" t="s">
        <v>25</v>
      </c>
    </row>
    <row r="918" spans="1:3" x14ac:dyDescent="0.2">
      <c r="A918" s="9">
        <v>916</v>
      </c>
      <c r="B918" s="9">
        <f t="shared" ca="1" si="14"/>
        <v>0.67126766459284237</v>
      </c>
      <c r="C918" s="9" t="s">
        <v>24</v>
      </c>
    </row>
    <row r="919" spans="1:3" x14ac:dyDescent="0.2">
      <c r="A919" s="9">
        <v>917</v>
      </c>
      <c r="B919" s="9">
        <f t="shared" ca="1" si="14"/>
        <v>0.76138564320496371</v>
      </c>
      <c r="C919" s="9" t="s">
        <v>25</v>
      </c>
    </row>
    <row r="920" spans="1:3" x14ac:dyDescent="0.2">
      <c r="A920" s="9">
        <v>918</v>
      </c>
      <c r="B920" s="9">
        <f t="shared" ca="1" si="14"/>
        <v>0.84731880282483418</v>
      </c>
      <c r="C920" s="9" t="s">
        <v>24</v>
      </c>
    </row>
    <row r="921" spans="1:3" x14ac:dyDescent="0.2">
      <c r="A921" s="9">
        <v>919</v>
      </c>
      <c r="B921" s="9">
        <f t="shared" ca="1" si="14"/>
        <v>0.64500038862577724</v>
      </c>
      <c r="C921" s="9" t="s">
        <v>25</v>
      </c>
    </row>
    <row r="922" spans="1:3" x14ac:dyDescent="0.2">
      <c r="A922" s="9">
        <v>920</v>
      </c>
      <c r="B922" s="9">
        <f t="shared" ca="1" si="14"/>
        <v>0.72618786450891903</v>
      </c>
      <c r="C922" s="9" t="s">
        <v>24</v>
      </c>
    </row>
    <row r="923" spans="1:3" x14ac:dyDescent="0.2">
      <c r="A923" s="9">
        <v>921</v>
      </c>
      <c r="B923" s="9">
        <f t="shared" ca="1" si="14"/>
        <v>0.67124624405899658</v>
      </c>
      <c r="C923" s="9" t="s">
        <v>24</v>
      </c>
    </row>
    <row r="924" spans="1:3" x14ac:dyDescent="0.2">
      <c r="A924" s="9">
        <v>922</v>
      </c>
      <c r="B924" s="9">
        <f t="shared" ca="1" si="14"/>
        <v>0.84701066769780209</v>
      </c>
      <c r="C924" s="9" t="s">
        <v>25</v>
      </c>
    </row>
    <row r="925" spans="1:3" x14ac:dyDescent="0.2">
      <c r="A925" s="9">
        <v>923</v>
      </c>
      <c r="B925" s="9">
        <f t="shared" ca="1" si="14"/>
        <v>0.77183912828567358</v>
      </c>
      <c r="C925" s="9" t="s">
        <v>25</v>
      </c>
    </row>
    <row r="926" spans="1:3" x14ac:dyDescent="0.2">
      <c r="A926" s="9">
        <v>924</v>
      </c>
      <c r="B926" s="9">
        <f t="shared" ca="1" si="14"/>
        <v>0.6886366506668693</v>
      </c>
      <c r="C926" s="9" t="s">
        <v>25</v>
      </c>
    </row>
    <row r="927" spans="1:3" x14ac:dyDescent="0.2">
      <c r="A927" s="9">
        <v>925</v>
      </c>
      <c r="B927" s="9">
        <f t="shared" ca="1" si="14"/>
        <v>0.49526172064538876</v>
      </c>
      <c r="C927" s="9" t="s">
        <v>24</v>
      </c>
    </row>
    <row r="928" spans="1:3" x14ac:dyDescent="0.2">
      <c r="A928" s="9">
        <v>926</v>
      </c>
      <c r="B928" s="9">
        <f t="shared" ca="1" si="14"/>
        <v>0.81385937411995402</v>
      </c>
      <c r="C928" s="9" t="s">
        <v>24</v>
      </c>
    </row>
    <row r="929" spans="1:3" x14ac:dyDescent="0.2">
      <c r="A929" s="9">
        <v>927</v>
      </c>
      <c r="B929" s="9">
        <f t="shared" ca="1" si="14"/>
        <v>0.76729230748383681</v>
      </c>
      <c r="C929" s="9" t="s">
        <v>24</v>
      </c>
    </row>
    <row r="930" spans="1:3" x14ac:dyDescent="0.2">
      <c r="A930" s="9">
        <v>928</v>
      </c>
      <c r="B930" s="9">
        <f t="shared" ca="1" si="14"/>
        <v>0.68567448973222855</v>
      </c>
      <c r="C930" s="9" t="s">
        <v>24</v>
      </c>
    </row>
    <row r="931" spans="1:3" x14ac:dyDescent="0.2">
      <c r="A931" s="9">
        <v>929</v>
      </c>
      <c r="B931" s="9">
        <f t="shared" ca="1" si="14"/>
        <v>0.82540237680281625</v>
      </c>
      <c r="C931" s="9" t="s">
        <v>24</v>
      </c>
    </row>
    <row r="932" spans="1:3" x14ac:dyDescent="0.2">
      <c r="A932" s="9">
        <v>930</v>
      </c>
      <c r="B932" s="9">
        <f t="shared" ca="1" si="14"/>
        <v>0.7028095766541117</v>
      </c>
      <c r="C932" s="9" t="s">
        <v>24</v>
      </c>
    </row>
    <row r="933" spans="1:3" x14ac:dyDescent="0.2">
      <c r="A933" s="9">
        <v>931</v>
      </c>
      <c r="B933" s="9">
        <f t="shared" ca="1" si="14"/>
        <v>0.79832619213136824</v>
      </c>
      <c r="C933" s="9" t="s">
        <v>25</v>
      </c>
    </row>
    <row r="934" spans="1:3" x14ac:dyDescent="0.2">
      <c r="A934" s="9">
        <v>932</v>
      </c>
      <c r="B934" s="9">
        <f t="shared" ca="1" si="14"/>
        <v>0.7687949870430224</v>
      </c>
      <c r="C934" s="9" t="s">
        <v>24</v>
      </c>
    </row>
    <row r="935" spans="1:3" x14ac:dyDescent="0.2">
      <c r="A935" s="9">
        <v>933</v>
      </c>
      <c r="B935" s="9">
        <f t="shared" ca="1" si="14"/>
        <v>0.47567476420748622</v>
      </c>
      <c r="C935" s="9" t="s">
        <v>25</v>
      </c>
    </row>
    <row r="936" spans="1:3" x14ac:dyDescent="0.2">
      <c r="A936" s="9">
        <v>934</v>
      </c>
      <c r="B936" s="9">
        <f t="shared" ca="1" si="14"/>
        <v>0.63503490215213276</v>
      </c>
      <c r="C936" s="9" t="s">
        <v>24</v>
      </c>
    </row>
    <row r="937" spans="1:3" x14ac:dyDescent="0.2">
      <c r="A937" s="9">
        <v>935</v>
      </c>
      <c r="B937" s="9">
        <f t="shared" ca="1" si="14"/>
        <v>0.62574477886351021</v>
      </c>
      <c r="C937" s="9" t="s">
        <v>24</v>
      </c>
    </row>
    <row r="938" spans="1:3" x14ac:dyDescent="0.2">
      <c r="A938" s="9">
        <v>936</v>
      </c>
      <c r="B938" s="9">
        <f t="shared" ca="1" si="14"/>
        <v>0.53062413040332068</v>
      </c>
      <c r="C938" s="9" t="s">
        <v>25</v>
      </c>
    </row>
    <row r="939" spans="1:3" x14ac:dyDescent="0.2">
      <c r="A939" s="9">
        <v>937</v>
      </c>
      <c r="B939" s="9">
        <f t="shared" ca="1" si="14"/>
        <v>0.58470820357168996</v>
      </c>
      <c r="C939" s="9" t="s">
        <v>25</v>
      </c>
    </row>
    <row r="940" spans="1:3" x14ac:dyDescent="0.2">
      <c r="A940" s="9">
        <v>938</v>
      </c>
      <c r="B940" s="9">
        <f t="shared" ca="1" si="14"/>
        <v>0.73426396985500608</v>
      </c>
      <c r="C940" s="9" t="s">
        <v>24</v>
      </c>
    </row>
    <row r="941" spans="1:3" x14ac:dyDescent="0.2">
      <c r="A941" s="9">
        <v>939</v>
      </c>
      <c r="B941" s="9">
        <f t="shared" ca="1" si="14"/>
        <v>0.83684091817918582</v>
      </c>
      <c r="C941" s="9" t="s">
        <v>24</v>
      </c>
    </row>
    <row r="942" spans="1:3" x14ac:dyDescent="0.2">
      <c r="A942" s="9">
        <v>940</v>
      </c>
      <c r="B942" s="9">
        <f t="shared" ca="1" si="14"/>
        <v>0.72202227699923593</v>
      </c>
      <c r="C942" s="9" t="s">
        <v>25</v>
      </c>
    </row>
    <row r="943" spans="1:3" x14ac:dyDescent="0.2">
      <c r="A943" s="9">
        <v>941</v>
      </c>
      <c r="B943" s="9">
        <f t="shared" ca="1" si="14"/>
        <v>0.59375547236792758</v>
      </c>
      <c r="C943" s="9" t="s">
        <v>25</v>
      </c>
    </row>
    <row r="944" spans="1:3" x14ac:dyDescent="0.2">
      <c r="A944" s="9">
        <v>942</v>
      </c>
      <c r="B944" s="9">
        <f t="shared" ca="1" si="14"/>
        <v>0.75126655682491106</v>
      </c>
      <c r="C944" s="9" t="s">
        <v>25</v>
      </c>
    </row>
    <row r="945" spans="1:3" x14ac:dyDescent="0.2">
      <c r="A945" s="9">
        <v>943</v>
      </c>
      <c r="B945" s="9">
        <f t="shared" ca="1" si="14"/>
        <v>0.49336846817346097</v>
      </c>
      <c r="C945" s="9" t="s">
        <v>25</v>
      </c>
    </row>
    <row r="946" spans="1:3" x14ac:dyDescent="0.2">
      <c r="A946" s="9">
        <v>944</v>
      </c>
      <c r="B946" s="9">
        <f t="shared" ca="1" si="14"/>
        <v>0.42713303043568962</v>
      </c>
      <c r="C946" s="9" t="s">
        <v>25</v>
      </c>
    </row>
    <row r="947" spans="1:3" x14ac:dyDescent="0.2">
      <c r="A947" s="9">
        <v>945</v>
      </c>
      <c r="B947" s="9">
        <f t="shared" ca="1" si="14"/>
        <v>0.73168306447457865</v>
      </c>
      <c r="C947" s="9" t="s">
        <v>24</v>
      </c>
    </row>
    <row r="948" spans="1:3" x14ac:dyDescent="0.2">
      <c r="A948" s="9">
        <v>946</v>
      </c>
      <c r="B948" s="9">
        <f t="shared" ca="1" si="14"/>
        <v>0.53780360703735552</v>
      </c>
      <c r="C948" s="9" t="s">
        <v>25</v>
      </c>
    </row>
    <row r="949" spans="1:3" x14ac:dyDescent="0.2">
      <c r="A949" s="9">
        <v>947</v>
      </c>
      <c r="B949" s="9">
        <f t="shared" ca="1" si="14"/>
        <v>0.77635667265201236</v>
      </c>
      <c r="C949" s="9" t="s">
        <v>24</v>
      </c>
    </row>
    <row r="950" spans="1:3" x14ac:dyDescent="0.2">
      <c r="A950" s="9">
        <v>948</v>
      </c>
      <c r="B950" s="9">
        <f t="shared" ca="1" si="14"/>
        <v>0.52824605404514258</v>
      </c>
      <c r="C950" s="9" t="s">
        <v>25</v>
      </c>
    </row>
    <row r="951" spans="1:3" x14ac:dyDescent="0.2">
      <c r="A951" s="9">
        <v>949</v>
      </c>
      <c r="B951" s="9">
        <f t="shared" ca="1" si="14"/>
        <v>0.77920774816913418</v>
      </c>
      <c r="C951" s="9" t="s">
        <v>24</v>
      </c>
    </row>
    <row r="952" spans="1:3" x14ac:dyDescent="0.2">
      <c r="A952" s="9">
        <v>950</v>
      </c>
      <c r="B952" s="9">
        <f t="shared" ca="1" si="14"/>
        <v>0.71102801441195629</v>
      </c>
      <c r="C952" s="9" t="s">
        <v>24</v>
      </c>
    </row>
    <row r="953" spans="1:3" x14ac:dyDescent="0.2">
      <c r="A953" s="9">
        <v>951</v>
      </c>
      <c r="B953" s="9">
        <f t="shared" ca="1" si="14"/>
        <v>0.57291253381346641</v>
      </c>
      <c r="C953" s="9" t="s">
        <v>25</v>
      </c>
    </row>
    <row r="954" spans="1:3" x14ac:dyDescent="0.2">
      <c r="A954" s="9">
        <v>952</v>
      </c>
      <c r="B954" s="9">
        <f t="shared" ca="1" si="14"/>
        <v>0.46051361790695167</v>
      </c>
      <c r="C954" s="9" t="s">
        <v>25</v>
      </c>
    </row>
    <row r="955" spans="1:3" x14ac:dyDescent="0.2">
      <c r="A955" s="9">
        <v>953</v>
      </c>
      <c r="B955" s="9">
        <f t="shared" ca="1" si="14"/>
        <v>0.65264575964526927</v>
      </c>
      <c r="C955" s="9" t="s">
        <v>24</v>
      </c>
    </row>
    <row r="956" spans="1:3" x14ac:dyDescent="0.2">
      <c r="A956" s="9">
        <v>954</v>
      </c>
      <c r="B956" s="9">
        <f t="shared" ca="1" si="14"/>
        <v>0.36033122181591593</v>
      </c>
      <c r="C956" s="9" t="s">
        <v>25</v>
      </c>
    </row>
    <row r="957" spans="1:3" x14ac:dyDescent="0.2">
      <c r="A957" s="9">
        <v>955</v>
      </c>
      <c r="B957" s="9">
        <f t="shared" ca="1" si="14"/>
        <v>0.76712425396981498</v>
      </c>
      <c r="C957" s="9" t="s">
        <v>24</v>
      </c>
    </row>
    <row r="958" spans="1:3" x14ac:dyDescent="0.2">
      <c r="A958" s="9">
        <v>956</v>
      </c>
      <c r="B958" s="9">
        <f t="shared" ca="1" si="14"/>
        <v>0.77531660116079903</v>
      </c>
      <c r="C958" s="9" t="s">
        <v>24</v>
      </c>
    </row>
    <row r="959" spans="1:3" x14ac:dyDescent="0.2">
      <c r="A959" s="9">
        <v>957</v>
      </c>
      <c r="B959" s="9">
        <f t="shared" ca="1" si="14"/>
        <v>0.44353453372344342</v>
      </c>
      <c r="C959" s="9" t="s">
        <v>25</v>
      </c>
    </row>
    <row r="960" spans="1:3" x14ac:dyDescent="0.2">
      <c r="A960" s="9">
        <v>958</v>
      </c>
      <c r="B960" s="9">
        <f t="shared" ca="1" si="14"/>
        <v>0.74114039539103882</v>
      </c>
      <c r="C960" s="9" t="s">
        <v>24</v>
      </c>
    </row>
    <row r="961" spans="1:3" x14ac:dyDescent="0.2">
      <c r="A961" s="9">
        <v>959</v>
      </c>
      <c r="B961" s="9">
        <f t="shared" ca="1" si="14"/>
        <v>0.63133161115229064</v>
      </c>
      <c r="C961" s="9" t="s">
        <v>25</v>
      </c>
    </row>
    <row r="962" spans="1:3" x14ac:dyDescent="0.2">
      <c r="A962" s="9">
        <v>960</v>
      </c>
      <c r="B962" s="9">
        <f t="shared" ca="1" si="14"/>
        <v>0.70044541144958761</v>
      </c>
      <c r="C962" s="9" t="s">
        <v>25</v>
      </c>
    </row>
    <row r="963" spans="1:3" x14ac:dyDescent="0.2">
      <c r="A963" s="9">
        <v>961</v>
      </c>
      <c r="B963" s="9">
        <f t="shared" ca="1" si="14"/>
        <v>0.49273810192177148</v>
      </c>
      <c r="C963" s="9" t="s">
        <v>24</v>
      </c>
    </row>
    <row r="964" spans="1:3" x14ac:dyDescent="0.2">
      <c r="A964" s="9">
        <v>962</v>
      </c>
      <c r="B964" s="9">
        <f t="shared" ref="B964:B1002" ca="1" si="15">IF(C964="Bomb",_xlfn.NORM.INV(RAND(),0.7,0.1),_xlfn.NORM.INV(RAND(),0.6,0.15))</f>
        <v>0.72281549771574616</v>
      </c>
      <c r="C964" s="9" t="s">
        <v>24</v>
      </c>
    </row>
    <row r="965" spans="1:3" x14ac:dyDescent="0.2">
      <c r="A965" s="9">
        <v>963</v>
      </c>
      <c r="B965" s="9">
        <f t="shared" ca="1" si="15"/>
        <v>0.79288949233762906</v>
      </c>
      <c r="C965" s="9" t="s">
        <v>24</v>
      </c>
    </row>
    <row r="966" spans="1:3" x14ac:dyDescent="0.2">
      <c r="A966" s="9">
        <v>964</v>
      </c>
      <c r="B966" s="9">
        <f t="shared" ca="1" si="15"/>
        <v>0.4795985522722459</v>
      </c>
      <c r="C966" s="9" t="s">
        <v>24</v>
      </c>
    </row>
    <row r="967" spans="1:3" x14ac:dyDescent="0.2">
      <c r="A967" s="9">
        <v>965</v>
      </c>
      <c r="B967" s="9">
        <f t="shared" ca="1" si="15"/>
        <v>0.80648725080041461</v>
      </c>
      <c r="C967" s="9" t="s">
        <v>24</v>
      </c>
    </row>
    <row r="968" spans="1:3" x14ac:dyDescent="0.2">
      <c r="A968" s="9">
        <v>966</v>
      </c>
      <c r="B968" s="9">
        <f t="shared" ca="1" si="15"/>
        <v>0.70024721316136085</v>
      </c>
      <c r="C968" s="9" t="s">
        <v>24</v>
      </c>
    </row>
    <row r="969" spans="1:3" x14ac:dyDescent="0.2">
      <c r="A969" s="9">
        <v>967</v>
      </c>
      <c r="B969" s="9">
        <f t="shared" ca="1" si="15"/>
        <v>0.63777313435189043</v>
      </c>
      <c r="C969" s="9" t="s">
        <v>24</v>
      </c>
    </row>
    <row r="970" spans="1:3" x14ac:dyDescent="0.2">
      <c r="A970" s="9">
        <v>968</v>
      </c>
      <c r="B970" s="9">
        <f t="shared" ca="1" si="15"/>
        <v>0.51304555394404217</v>
      </c>
      <c r="C970" s="9" t="s">
        <v>24</v>
      </c>
    </row>
    <row r="971" spans="1:3" x14ac:dyDescent="0.2">
      <c r="A971" s="9">
        <v>969</v>
      </c>
      <c r="B971" s="9">
        <f t="shared" ca="1" si="15"/>
        <v>0.54342922131313709</v>
      </c>
      <c r="C971" s="9" t="s">
        <v>25</v>
      </c>
    </row>
    <row r="972" spans="1:3" x14ac:dyDescent="0.2">
      <c r="A972" s="9">
        <v>970</v>
      </c>
      <c r="B972" s="9">
        <f t="shared" ca="1" si="15"/>
        <v>0.48883840893358826</v>
      </c>
      <c r="C972" s="9" t="s">
        <v>25</v>
      </c>
    </row>
    <row r="973" spans="1:3" x14ac:dyDescent="0.2">
      <c r="A973" s="9">
        <v>971</v>
      </c>
      <c r="B973" s="9">
        <f t="shared" ca="1" si="15"/>
        <v>0.75455529724973602</v>
      </c>
      <c r="C973" s="9" t="s">
        <v>24</v>
      </c>
    </row>
    <row r="974" spans="1:3" x14ac:dyDescent="0.2">
      <c r="A974" s="9">
        <v>972</v>
      </c>
      <c r="B974" s="9">
        <f t="shared" ca="1" si="15"/>
        <v>0.8730299845113012</v>
      </c>
      <c r="C974" s="9" t="s">
        <v>25</v>
      </c>
    </row>
    <row r="975" spans="1:3" x14ac:dyDescent="0.2">
      <c r="A975" s="9">
        <v>973</v>
      </c>
      <c r="B975" s="9">
        <f t="shared" ca="1" si="15"/>
        <v>0.63431919391484493</v>
      </c>
      <c r="C975" s="9" t="s">
        <v>24</v>
      </c>
    </row>
    <row r="976" spans="1:3" x14ac:dyDescent="0.2">
      <c r="A976" s="9">
        <v>974</v>
      </c>
      <c r="B976" s="9">
        <f t="shared" ca="1" si="15"/>
        <v>0.45298232180912235</v>
      </c>
      <c r="C976" s="9" t="s">
        <v>24</v>
      </c>
    </row>
    <row r="977" spans="1:3" x14ac:dyDescent="0.2">
      <c r="A977" s="9">
        <v>975</v>
      </c>
      <c r="B977" s="9">
        <f t="shared" ca="1" si="15"/>
        <v>0.86869317954174563</v>
      </c>
      <c r="C977" s="9" t="s">
        <v>24</v>
      </c>
    </row>
    <row r="978" spans="1:3" x14ac:dyDescent="0.2">
      <c r="A978" s="9">
        <v>976</v>
      </c>
      <c r="B978" s="9">
        <f t="shared" ca="1" si="15"/>
        <v>0.84207322373725779</v>
      </c>
      <c r="C978" s="9" t="s">
        <v>24</v>
      </c>
    </row>
    <row r="979" spans="1:3" x14ac:dyDescent="0.2">
      <c r="A979" s="9">
        <v>977</v>
      </c>
      <c r="B979" s="9">
        <f t="shared" ca="1" si="15"/>
        <v>0.46898373362958762</v>
      </c>
      <c r="C979" s="9" t="s">
        <v>24</v>
      </c>
    </row>
    <row r="980" spans="1:3" x14ac:dyDescent="0.2">
      <c r="A980" s="9">
        <v>978</v>
      </c>
      <c r="B980" s="9">
        <f t="shared" ca="1" si="15"/>
        <v>0.61550511691880294</v>
      </c>
      <c r="C980" s="9" t="s">
        <v>24</v>
      </c>
    </row>
    <row r="981" spans="1:3" x14ac:dyDescent="0.2">
      <c r="A981" s="9">
        <v>979</v>
      </c>
      <c r="B981" s="9">
        <f t="shared" ca="1" si="15"/>
        <v>0.66722168578773677</v>
      </c>
      <c r="C981" s="9" t="s">
        <v>24</v>
      </c>
    </row>
    <row r="982" spans="1:3" x14ac:dyDescent="0.2">
      <c r="A982" s="9">
        <v>980</v>
      </c>
      <c r="B982" s="9">
        <f t="shared" ca="1" si="15"/>
        <v>0.42741042419872877</v>
      </c>
      <c r="C982" s="9" t="s">
        <v>25</v>
      </c>
    </row>
    <row r="983" spans="1:3" x14ac:dyDescent="0.2">
      <c r="A983" s="9">
        <v>981</v>
      </c>
      <c r="B983" s="9">
        <f t="shared" ca="1" si="15"/>
        <v>0.53565007155841893</v>
      </c>
      <c r="C983" s="9" t="s">
        <v>25</v>
      </c>
    </row>
    <row r="984" spans="1:3" x14ac:dyDescent="0.2">
      <c r="A984" s="9">
        <v>982</v>
      </c>
      <c r="B984" s="9">
        <f t="shared" ca="1" si="15"/>
        <v>0.6072517841881464</v>
      </c>
      <c r="C984" s="9" t="s">
        <v>24</v>
      </c>
    </row>
    <row r="985" spans="1:3" x14ac:dyDescent="0.2">
      <c r="A985" s="9">
        <v>983</v>
      </c>
      <c r="B985" s="9">
        <f t="shared" ca="1" si="15"/>
        <v>0.79103836669972116</v>
      </c>
      <c r="C985" s="9" t="s">
        <v>24</v>
      </c>
    </row>
    <row r="986" spans="1:3" x14ac:dyDescent="0.2">
      <c r="A986" s="9">
        <v>984</v>
      </c>
      <c r="B986" s="9">
        <f t="shared" ca="1" si="15"/>
        <v>0.61734643142344847</v>
      </c>
      <c r="C986" s="9" t="s">
        <v>25</v>
      </c>
    </row>
    <row r="987" spans="1:3" x14ac:dyDescent="0.2">
      <c r="A987" s="9">
        <v>985</v>
      </c>
      <c r="B987" s="9">
        <f t="shared" ca="1" si="15"/>
        <v>0.70539458947230838</v>
      </c>
      <c r="C987" s="9" t="s">
        <v>25</v>
      </c>
    </row>
    <row r="988" spans="1:3" x14ac:dyDescent="0.2">
      <c r="A988" s="9">
        <v>986</v>
      </c>
      <c r="B988" s="9">
        <f t="shared" ca="1" si="15"/>
        <v>0.60212572622013716</v>
      </c>
      <c r="C988" s="9" t="s">
        <v>24</v>
      </c>
    </row>
    <row r="989" spans="1:3" x14ac:dyDescent="0.2">
      <c r="A989" s="9">
        <v>987</v>
      </c>
      <c r="B989" s="9">
        <f t="shared" ca="1" si="15"/>
        <v>0.59824389203466088</v>
      </c>
      <c r="C989" s="9" t="s">
        <v>25</v>
      </c>
    </row>
    <row r="990" spans="1:3" x14ac:dyDescent="0.2">
      <c r="A990" s="9">
        <v>988</v>
      </c>
      <c r="B990" s="9">
        <f t="shared" ca="1" si="15"/>
        <v>0.36781457294806696</v>
      </c>
      <c r="C990" s="9" t="s">
        <v>25</v>
      </c>
    </row>
    <row r="991" spans="1:3" x14ac:dyDescent="0.2">
      <c r="A991" s="9">
        <v>989</v>
      </c>
      <c r="B991" s="9">
        <f t="shared" ca="1" si="15"/>
        <v>0.72772456215531878</v>
      </c>
      <c r="C991" s="9" t="s">
        <v>24</v>
      </c>
    </row>
    <row r="992" spans="1:3" x14ac:dyDescent="0.2">
      <c r="A992" s="9">
        <v>990</v>
      </c>
      <c r="B992" s="9">
        <f t="shared" ca="1" si="15"/>
        <v>0.60766932612300606</v>
      </c>
      <c r="C992" s="9" t="s">
        <v>25</v>
      </c>
    </row>
    <row r="993" spans="1:3" x14ac:dyDescent="0.2">
      <c r="A993" s="9">
        <v>991</v>
      </c>
      <c r="B993" s="9">
        <f t="shared" ca="1" si="15"/>
        <v>0.5759087854640077</v>
      </c>
      <c r="C993" s="9" t="s">
        <v>24</v>
      </c>
    </row>
    <row r="994" spans="1:3" x14ac:dyDescent="0.2">
      <c r="A994" s="9">
        <v>992</v>
      </c>
      <c r="B994" s="9">
        <f t="shared" ca="1" si="15"/>
        <v>0.59720890830870021</v>
      </c>
      <c r="C994" s="9" t="s">
        <v>25</v>
      </c>
    </row>
    <row r="995" spans="1:3" x14ac:dyDescent="0.2">
      <c r="A995" s="9">
        <v>993</v>
      </c>
      <c r="B995" s="9">
        <f t="shared" ca="1" si="15"/>
        <v>0.56504898460795472</v>
      </c>
      <c r="C995" s="9" t="s">
        <v>24</v>
      </c>
    </row>
    <row r="996" spans="1:3" x14ac:dyDescent="0.2">
      <c r="A996" s="9">
        <v>994</v>
      </c>
      <c r="B996" s="9">
        <f t="shared" ca="1" si="15"/>
        <v>1.076073343028374</v>
      </c>
      <c r="C996" s="9" t="s">
        <v>24</v>
      </c>
    </row>
    <row r="997" spans="1:3" x14ac:dyDescent="0.2">
      <c r="A997" s="9">
        <v>995</v>
      </c>
      <c r="B997" s="9">
        <f t="shared" ca="1" si="15"/>
        <v>0.68945395164899836</v>
      </c>
      <c r="C997" s="9" t="s">
        <v>25</v>
      </c>
    </row>
    <row r="998" spans="1:3" x14ac:dyDescent="0.2">
      <c r="A998" s="9">
        <v>996</v>
      </c>
      <c r="B998" s="9">
        <f t="shared" ca="1" si="15"/>
        <v>0.65675554713587825</v>
      </c>
      <c r="C998" s="9" t="s">
        <v>24</v>
      </c>
    </row>
    <row r="999" spans="1:3" x14ac:dyDescent="0.2">
      <c r="A999" s="9">
        <v>997</v>
      </c>
      <c r="B999" s="9">
        <f t="shared" ca="1" si="15"/>
        <v>0.64087238448979367</v>
      </c>
      <c r="C999" s="9" t="s">
        <v>25</v>
      </c>
    </row>
    <row r="1000" spans="1:3" x14ac:dyDescent="0.2">
      <c r="A1000" s="9">
        <v>998</v>
      </c>
      <c r="B1000" s="9">
        <f t="shared" ca="1" si="15"/>
        <v>0.7531664863341927</v>
      </c>
      <c r="C1000" s="9" t="s">
        <v>25</v>
      </c>
    </row>
    <row r="1001" spans="1:3" x14ac:dyDescent="0.2">
      <c r="A1001" s="9">
        <v>999</v>
      </c>
      <c r="B1001" s="9">
        <f t="shared" ca="1" si="15"/>
        <v>0.52823297350143927</v>
      </c>
      <c r="C1001" s="9" t="s">
        <v>25</v>
      </c>
    </row>
    <row r="1002" spans="1:3" x14ac:dyDescent="0.2">
      <c r="A1002" s="9">
        <v>1000</v>
      </c>
      <c r="B1002" s="9">
        <f t="shared" ca="1" si="15"/>
        <v>0.50494392952423539</v>
      </c>
      <c r="C1002" s="9" t="s">
        <v>25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5"/>
  </cols>
  <sheetData>
    <row r="2" spans="1:11" x14ac:dyDescent="0.2">
      <c r="B2" s="5" t="s">
        <v>26</v>
      </c>
      <c r="C2" s="5" t="s">
        <v>5</v>
      </c>
      <c r="J2" s="8" t="s">
        <v>29</v>
      </c>
      <c r="K2" s="8" t="s">
        <v>27</v>
      </c>
    </row>
    <row r="3" spans="1:11" x14ac:dyDescent="0.2">
      <c r="A3" s="5">
        <v>1</v>
      </c>
      <c r="B3" s="5">
        <f ca="1">IF(C3="Bomb",_xlfn.NORM.INV(RAND(),0.7,0.1),_xlfn.NORM.INV(RAND(),0.6,0.15))</f>
        <v>0.76327282909906735</v>
      </c>
      <c r="C3" s="5" t="str">
        <f ca="1">IF(RAND()&lt;0.5,"Bomb","Bird")</f>
        <v>Bomb</v>
      </c>
      <c r="E3" s="5" t="s">
        <v>28</v>
      </c>
      <c r="J3" s="7">
        <f ca="1">F7</f>
        <v>0</v>
      </c>
      <c r="K3" s="7">
        <f ca="1">E7</f>
        <v>1</v>
      </c>
    </row>
    <row r="4" spans="1:11" x14ac:dyDescent="0.2">
      <c r="A4" s="5">
        <v>2</v>
      </c>
      <c r="B4" s="5">
        <f t="shared" ref="B4:B67" ca="1" si="0">IF(C4="Bomb",_xlfn.NORM.INV(RAND(),0.7,0.1),_xlfn.NORM.INV(RAND(),0.6,0.15))</f>
        <v>0.7983768566852969</v>
      </c>
      <c r="C4" s="5" t="s">
        <v>24</v>
      </c>
      <c r="E4" s="7">
        <v>0.03</v>
      </c>
      <c r="I4" s="7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5">
        <v>3</v>
      </c>
      <c r="B5" s="5">
        <f t="shared" ca="1" si="0"/>
        <v>0.73684702872112862</v>
      </c>
      <c r="C5" s="5" t="s">
        <v>25</v>
      </c>
      <c r="I5" s="7">
        <v>0.06</v>
      </c>
      <c r="J5" s="6">
        <v>0</v>
      </c>
      <c r="K5" s="6">
        <v>1</v>
      </c>
    </row>
    <row r="6" spans="1:11" x14ac:dyDescent="0.2">
      <c r="A6" s="5">
        <v>4</v>
      </c>
      <c r="B6" s="5">
        <f t="shared" ca="1" si="0"/>
        <v>0.80467399036816523</v>
      </c>
      <c r="C6" s="5" t="s">
        <v>24</v>
      </c>
      <c r="E6" s="8" t="s">
        <v>27</v>
      </c>
      <c r="F6" s="8" t="s">
        <v>29</v>
      </c>
      <c r="I6" s="7">
        <v>0.09</v>
      </c>
      <c r="J6" s="6">
        <v>0</v>
      </c>
      <c r="K6" s="6">
        <v>1</v>
      </c>
    </row>
    <row r="7" spans="1:11" x14ac:dyDescent="0.2">
      <c r="A7" s="5">
        <v>5</v>
      </c>
      <c r="B7" s="5">
        <f t="shared" ca="1" si="0"/>
        <v>0.64074665030136568</v>
      </c>
      <c r="C7" s="5" t="s">
        <v>24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7">
        <v>0.12</v>
      </c>
      <c r="J7" s="6">
        <v>1.9455252918287938E-3</v>
      </c>
      <c r="K7" s="6">
        <v>1</v>
      </c>
    </row>
    <row r="8" spans="1:11" x14ac:dyDescent="0.2">
      <c r="A8" s="5">
        <v>6</v>
      </c>
      <c r="B8" s="5">
        <f t="shared" ca="1" si="0"/>
        <v>0.59626172963932356</v>
      </c>
      <c r="C8" s="5" t="s">
        <v>24</v>
      </c>
      <c r="I8" s="7">
        <v>0.15</v>
      </c>
      <c r="J8" s="6">
        <v>0</v>
      </c>
      <c r="K8" s="6">
        <v>1</v>
      </c>
    </row>
    <row r="9" spans="1:11" x14ac:dyDescent="0.2">
      <c r="A9" s="5">
        <v>7</v>
      </c>
      <c r="B9" s="5">
        <f t="shared" ca="1" si="0"/>
        <v>0.72186438756653126</v>
      </c>
      <c r="C9" s="5" t="s">
        <v>24</v>
      </c>
      <c r="I9" s="7">
        <v>0.18</v>
      </c>
      <c r="J9" s="6">
        <v>1.9455252918287938E-3</v>
      </c>
      <c r="K9" s="6">
        <v>1</v>
      </c>
    </row>
    <row r="10" spans="1:11" x14ac:dyDescent="0.2">
      <c r="A10" s="5">
        <v>8</v>
      </c>
      <c r="B10" s="5">
        <f t="shared" ca="1" si="0"/>
        <v>0.60849277540708557</v>
      </c>
      <c r="C10" s="5" t="s">
        <v>25</v>
      </c>
      <c r="I10" s="7">
        <v>0.21</v>
      </c>
      <c r="J10" s="6">
        <v>3.8986354775828458E-3</v>
      </c>
      <c r="K10" s="6">
        <v>1</v>
      </c>
    </row>
    <row r="11" spans="1:11" x14ac:dyDescent="0.2">
      <c r="A11" s="5">
        <v>9</v>
      </c>
      <c r="B11" s="5">
        <f t="shared" ca="1" si="0"/>
        <v>0.4169692426596508</v>
      </c>
      <c r="C11" s="5" t="s">
        <v>25</v>
      </c>
      <c r="I11" s="7">
        <v>0.24</v>
      </c>
      <c r="J11" s="6">
        <v>1.3618677042801557E-2</v>
      </c>
      <c r="K11" s="6">
        <v>1</v>
      </c>
    </row>
    <row r="12" spans="1:11" x14ac:dyDescent="0.2">
      <c r="A12" s="5">
        <v>10</v>
      </c>
      <c r="B12" s="5">
        <f t="shared" ca="1" si="0"/>
        <v>0.38758828501748366</v>
      </c>
      <c r="C12" s="5" t="s">
        <v>25</v>
      </c>
      <c r="I12" s="7">
        <v>0.27</v>
      </c>
      <c r="J12" s="6">
        <v>1.9493177387914229E-2</v>
      </c>
      <c r="K12" s="6">
        <v>1</v>
      </c>
    </row>
    <row r="13" spans="1:11" x14ac:dyDescent="0.2">
      <c r="A13" s="5">
        <v>11</v>
      </c>
      <c r="B13" s="5">
        <f t="shared" ca="1" si="0"/>
        <v>0.64079015099194281</v>
      </c>
      <c r="C13" s="5" t="s">
        <v>25</v>
      </c>
      <c r="I13" s="7">
        <v>0.3</v>
      </c>
      <c r="J13" s="6">
        <v>2.9182879377431907E-2</v>
      </c>
      <c r="K13" s="6">
        <v>1</v>
      </c>
    </row>
    <row r="14" spans="1:11" x14ac:dyDescent="0.2">
      <c r="A14" s="5">
        <v>12</v>
      </c>
      <c r="B14" s="5">
        <f t="shared" ca="1" si="0"/>
        <v>0.45827345114579421</v>
      </c>
      <c r="C14" s="5" t="s">
        <v>25</v>
      </c>
      <c r="I14" s="7">
        <v>0.33</v>
      </c>
      <c r="J14" s="6">
        <v>3.8986354775828458E-2</v>
      </c>
      <c r="K14" s="6">
        <v>1</v>
      </c>
    </row>
    <row r="15" spans="1:11" x14ac:dyDescent="0.2">
      <c r="A15" s="5">
        <v>13</v>
      </c>
      <c r="B15" s="5">
        <f t="shared" ca="1" si="0"/>
        <v>0.61303953404108524</v>
      </c>
      <c r="C15" s="5" t="s">
        <v>24</v>
      </c>
      <c r="I15" s="7">
        <v>0.36</v>
      </c>
      <c r="J15" s="6">
        <v>6.0311284046692608E-2</v>
      </c>
      <c r="K15" s="6">
        <v>0.99794238683127567</v>
      </c>
    </row>
    <row r="16" spans="1:11" x14ac:dyDescent="0.2">
      <c r="A16" s="5">
        <v>14</v>
      </c>
      <c r="B16" s="5">
        <f t="shared" ca="1" si="0"/>
        <v>0.62078658294831479</v>
      </c>
      <c r="C16" s="5" t="s">
        <v>24</v>
      </c>
      <c r="I16" s="7">
        <v>0.39</v>
      </c>
      <c r="J16" s="6">
        <v>0.10311284046692606</v>
      </c>
      <c r="K16" s="6">
        <v>1</v>
      </c>
    </row>
    <row r="17" spans="1:11" x14ac:dyDescent="0.2">
      <c r="A17" s="5">
        <v>15</v>
      </c>
      <c r="B17" s="5">
        <f t="shared" ca="1" si="0"/>
        <v>0.41399807076960754</v>
      </c>
      <c r="C17" s="5" t="s">
        <v>24</v>
      </c>
      <c r="I17" s="7">
        <v>0.42</v>
      </c>
      <c r="J17" s="6">
        <v>0.12475633528265107</v>
      </c>
      <c r="K17" s="6">
        <v>0.99794661190965095</v>
      </c>
    </row>
    <row r="18" spans="1:11" x14ac:dyDescent="0.2">
      <c r="A18" s="5">
        <v>16</v>
      </c>
      <c r="B18" s="5">
        <f t="shared" ca="1" si="0"/>
        <v>0.7161286432112125</v>
      </c>
      <c r="C18" s="5" t="s">
        <v>25</v>
      </c>
      <c r="I18" s="7">
        <v>0.45</v>
      </c>
      <c r="J18" s="6">
        <v>0.16764132553606237</v>
      </c>
      <c r="K18" s="6">
        <v>0.9958932238193019</v>
      </c>
    </row>
    <row r="19" spans="1:11" x14ac:dyDescent="0.2">
      <c r="A19" s="5">
        <v>17</v>
      </c>
      <c r="B19" s="5">
        <f t="shared" ca="1" si="0"/>
        <v>0.53989526894339512</v>
      </c>
      <c r="C19" s="5" t="s">
        <v>24</v>
      </c>
      <c r="I19" s="7">
        <v>0.48</v>
      </c>
      <c r="J19" s="6">
        <v>0.23151750972762647</v>
      </c>
      <c r="K19" s="6">
        <v>0.98765432098765427</v>
      </c>
    </row>
    <row r="20" spans="1:11" x14ac:dyDescent="0.2">
      <c r="A20" s="5">
        <v>18</v>
      </c>
      <c r="B20" s="5">
        <f t="shared" ca="1" si="0"/>
        <v>0.59151775652720362</v>
      </c>
      <c r="C20" s="5" t="s">
        <v>25</v>
      </c>
      <c r="I20" s="7">
        <v>0.51</v>
      </c>
      <c r="J20" s="6">
        <v>0.25730994152046782</v>
      </c>
      <c r="K20" s="6">
        <v>0.97535934291581106</v>
      </c>
    </row>
    <row r="21" spans="1:11" x14ac:dyDescent="0.2">
      <c r="A21" s="5">
        <v>19</v>
      </c>
      <c r="B21" s="5">
        <f t="shared" ca="1" si="0"/>
        <v>0.50638123028399185</v>
      </c>
      <c r="C21" s="5" t="s">
        <v>24</v>
      </c>
      <c r="I21" s="7">
        <v>0.54</v>
      </c>
      <c r="J21" s="6">
        <v>0.33333333333333331</v>
      </c>
      <c r="K21" s="6">
        <v>0.94661190965092401</v>
      </c>
    </row>
    <row r="22" spans="1:11" x14ac:dyDescent="0.2">
      <c r="A22" s="5">
        <v>20</v>
      </c>
      <c r="B22" s="5">
        <f t="shared" ca="1" si="0"/>
        <v>0.80096370034429765</v>
      </c>
      <c r="C22" s="5" t="s">
        <v>24</v>
      </c>
      <c r="I22" s="7">
        <v>0.56999999999999995</v>
      </c>
      <c r="J22" s="6">
        <v>0.39766081871345027</v>
      </c>
      <c r="K22" s="6">
        <v>0.91581108829568791</v>
      </c>
    </row>
    <row r="23" spans="1:11" x14ac:dyDescent="0.2">
      <c r="A23" s="5">
        <v>21</v>
      </c>
      <c r="B23" s="5">
        <f t="shared" ca="1" si="0"/>
        <v>0.7841851012892036</v>
      </c>
      <c r="C23" s="5" t="s">
        <v>24</v>
      </c>
      <c r="I23" s="7">
        <v>0.6</v>
      </c>
      <c r="J23" s="6">
        <v>0.50583657587548636</v>
      </c>
      <c r="K23" s="6">
        <v>0.79629629629629628</v>
      </c>
    </row>
    <row r="24" spans="1:11" x14ac:dyDescent="0.2">
      <c r="A24" s="5">
        <v>22</v>
      </c>
      <c r="B24" s="5">
        <f t="shared" ca="1" si="0"/>
        <v>0.72594277773965754</v>
      </c>
      <c r="C24" s="5" t="s">
        <v>25</v>
      </c>
      <c r="I24" s="7">
        <v>0.63</v>
      </c>
      <c r="J24" s="6">
        <v>0.57309941520467833</v>
      </c>
      <c r="K24" s="6">
        <v>0.75154004106776184</v>
      </c>
    </row>
    <row r="25" spans="1:11" x14ac:dyDescent="0.2">
      <c r="A25" s="5">
        <v>23</v>
      </c>
      <c r="B25" s="5">
        <f t="shared" ca="1" si="0"/>
        <v>0.79761342249446976</v>
      </c>
      <c r="C25" s="5" t="s">
        <v>24</v>
      </c>
      <c r="I25" s="7">
        <v>0.66</v>
      </c>
      <c r="J25" s="6">
        <v>0.64785992217898836</v>
      </c>
      <c r="K25" s="6">
        <v>0.69341563786008231</v>
      </c>
    </row>
    <row r="26" spans="1:11" x14ac:dyDescent="0.2">
      <c r="A26" s="5">
        <v>24</v>
      </c>
      <c r="B26" s="5">
        <f t="shared" ca="1" si="0"/>
        <v>0.60200797473346868</v>
      </c>
      <c r="C26" s="5" t="s">
        <v>24</v>
      </c>
      <c r="I26" s="7">
        <v>0.69</v>
      </c>
      <c r="J26" s="6">
        <v>0.77042801556420237</v>
      </c>
      <c r="K26" s="6">
        <v>0.5679012345679012</v>
      </c>
    </row>
    <row r="27" spans="1:11" x14ac:dyDescent="0.2">
      <c r="A27" s="5">
        <v>25</v>
      </c>
      <c r="B27" s="5">
        <f t="shared" ca="1" si="0"/>
        <v>0.49679655506881448</v>
      </c>
      <c r="C27" s="5" t="s">
        <v>24</v>
      </c>
      <c r="I27" s="7">
        <v>0.72</v>
      </c>
      <c r="J27" s="6">
        <v>0.77431906614785995</v>
      </c>
      <c r="K27" s="6">
        <v>0.42181069958847739</v>
      </c>
    </row>
    <row r="28" spans="1:11" x14ac:dyDescent="0.2">
      <c r="A28" s="5">
        <v>26</v>
      </c>
      <c r="B28" s="5">
        <f t="shared" ca="1" si="0"/>
        <v>0.75208443417750626</v>
      </c>
      <c r="C28" s="5" t="s">
        <v>24</v>
      </c>
      <c r="I28" s="7">
        <v>0.75</v>
      </c>
      <c r="J28" s="6">
        <v>0.86575875486381326</v>
      </c>
      <c r="K28" s="6">
        <v>0.33539094650205764</v>
      </c>
    </row>
    <row r="29" spans="1:11" x14ac:dyDescent="0.2">
      <c r="A29" s="5">
        <v>27</v>
      </c>
      <c r="B29" s="5">
        <f t="shared" ca="1" si="0"/>
        <v>0.54080452880252206</v>
      </c>
      <c r="C29" s="5" t="s">
        <v>25</v>
      </c>
      <c r="I29" s="7">
        <v>0.78</v>
      </c>
      <c r="J29" s="6">
        <v>0.87354085603112841</v>
      </c>
      <c r="K29" s="6">
        <v>0.19958847736625515</v>
      </c>
    </row>
    <row r="30" spans="1:11" x14ac:dyDescent="0.2">
      <c r="A30" s="5">
        <v>28</v>
      </c>
      <c r="B30" s="5">
        <f t="shared" ca="1" si="0"/>
        <v>0.81036581887209924</v>
      </c>
      <c r="C30" s="5" t="s">
        <v>24</v>
      </c>
      <c r="I30" s="7">
        <v>0.81</v>
      </c>
      <c r="J30" s="6">
        <v>0.92397660818713445</v>
      </c>
      <c r="K30" s="6">
        <v>0.14989733059548255</v>
      </c>
    </row>
    <row r="31" spans="1:11" x14ac:dyDescent="0.2">
      <c r="A31" s="5">
        <v>29</v>
      </c>
      <c r="B31" s="5">
        <f t="shared" ca="1" si="0"/>
        <v>0.37232094141342748</v>
      </c>
      <c r="C31" s="5" t="s">
        <v>25</v>
      </c>
      <c r="I31" s="7">
        <v>0.84</v>
      </c>
      <c r="J31" s="6">
        <v>0.96686159844054576</v>
      </c>
      <c r="K31" s="6">
        <v>8.4188911704312114E-2</v>
      </c>
    </row>
    <row r="32" spans="1:11" x14ac:dyDescent="0.2">
      <c r="A32" s="5">
        <v>30</v>
      </c>
      <c r="B32" s="5">
        <f t="shared" ca="1" si="0"/>
        <v>0.65429137484488054</v>
      </c>
      <c r="C32" s="5" t="s">
        <v>24</v>
      </c>
      <c r="I32" s="7">
        <v>0.87</v>
      </c>
      <c r="J32" s="6">
        <v>0.96296296296296291</v>
      </c>
      <c r="K32" s="6">
        <v>5.5441478439425054E-2</v>
      </c>
    </row>
    <row r="33" spans="1:11" x14ac:dyDescent="0.2">
      <c r="A33" s="5">
        <v>31</v>
      </c>
      <c r="B33" s="5">
        <f t="shared" ca="1" si="0"/>
        <v>0.72532082924913355</v>
      </c>
      <c r="C33" s="5" t="s">
        <v>24</v>
      </c>
      <c r="I33" s="7">
        <v>0.9</v>
      </c>
      <c r="J33" s="6">
        <v>0.98635477582845998</v>
      </c>
      <c r="K33" s="6">
        <v>1.8480492813141684E-2</v>
      </c>
    </row>
    <row r="34" spans="1:11" x14ac:dyDescent="0.2">
      <c r="A34" s="5">
        <v>32</v>
      </c>
      <c r="B34" s="5">
        <f t="shared" ca="1" si="0"/>
        <v>0.62960909911477969</v>
      </c>
      <c r="C34" s="5" t="s">
        <v>25</v>
      </c>
      <c r="I34" s="7">
        <v>0.93</v>
      </c>
      <c r="J34" s="6">
        <v>0.98443579766536971</v>
      </c>
      <c r="K34" s="6">
        <v>1.0288065843621399E-2</v>
      </c>
    </row>
    <row r="35" spans="1:11" x14ac:dyDescent="0.2">
      <c r="A35" s="5">
        <v>33</v>
      </c>
      <c r="B35" s="5">
        <f t="shared" ca="1" si="0"/>
        <v>0.72283003706866944</v>
      </c>
      <c r="C35" s="5" t="s">
        <v>25</v>
      </c>
      <c r="I35" s="7">
        <v>0.96</v>
      </c>
      <c r="J35" s="6">
        <v>0.99027237354085607</v>
      </c>
      <c r="K35" s="6">
        <v>6.1728395061728392E-3</v>
      </c>
    </row>
    <row r="36" spans="1:11" x14ac:dyDescent="0.2">
      <c r="A36" s="5">
        <v>34</v>
      </c>
      <c r="B36" s="5">
        <f t="shared" ca="1" si="0"/>
        <v>0.59006944480226775</v>
      </c>
      <c r="C36" s="5" t="s">
        <v>25</v>
      </c>
      <c r="I36" s="7">
        <v>0.99</v>
      </c>
      <c r="J36" s="6">
        <v>0.99610136452241715</v>
      </c>
      <c r="K36" s="6">
        <v>0</v>
      </c>
    </row>
    <row r="37" spans="1:11" x14ac:dyDescent="0.2">
      <c r="A37" s="5">
        <v>35</v>
      </c>
      <c r="B37" s="5">
        <f t="shared" ca="1" si="0"/>
        <v>0.56111865562663699</v>
      </c>
      <c r="C37" s="5" t="s">
        <v>24</v>
      </c>
      <c r="I37" s="7"/>
    </row>
    <row r="38" spans="1:11" x14ac:dyDescent="0.2">
      <c r="A38" s="5">
        <v>36</v>
      </c>
      <c r="B38" s="5">
        <f t="shared" ca="1" si="0"/>
        <v>0.37291581232291349</v>
      </c>
      <c r="C38" s="5" t="s">
        <v>25</v>
      </c>
    </row>
    <row r="39" spans="1:11" x14ac:dyDescent="0.2">
      <c r="A39" s="5">
        <v>37</v>
      </c>
      <c r="B39" s="5">
        <f t="shared" ca="1" si="0"/>
        <v>0.34392513069342795</v>
      </c>
      <c r="C39" s="5" t="s">
        <v>25</v>
      </c>
    </row>
    <row r="40" spans="1:11" x14ac:dyDescent="0.2">
      <c r="A40" s="5">
        <v>38</v>
      </c>
      <c r="B40" s="5">
        <f t="shared" ca="1" si="0"/>
        <v>0.76396995208319562</v>
      </c>
      <c r="C40" s="5" t="s">
        <v>24</v>
      </c>
    </row>
    <row r="41" spans="1:11" x14ac:dyDescent="0.2">
      <c r="A41" s="5">
        <v>39</v>
      </c>
      <c r="B41" s="5">
        <f t="shared" ca="1" si="0"/>
        <v>0.62222773759576022</v>
      </c>
      <c r="C41" s="5" t="s">
        <v>25</v>
      </c>
    </row>
    <row r="42" spans="1:11" x14ac:dyDescent="0.2">
      <c r="A42" s="5">
        <v>40</v>
      </c>
      <c r="B42" s="5">
        <f t="shared" ca="1" si="0"/>
        <v>0.56959367233114611</v>
      </c>
      <c r="C42" s="5" t="s">
        <v>24</v>
      </c>
    </row>
    <row r="43" spans="1:11" x14ac:dyDescent="0.2">
      <c r="A43" s="5">
        <v>41</v>
      </c>
      <c r="B43" s="5">
        <f t="shared" ca="1" si="0"/>
        <v>0.54760454277165627</v>
      </c>
      <c r="C43" s="5" t="s">
        <v>25</v>
      </c>
    </row>
    <row r="44" spans="1:11" x14ac:dyDescent="0.2">
      <c r="A44" s="5">
        <v>42</v>
      </c>
      <c r="B44" s="5">
        <f t="shared" ca="1" si="0"/>
        <v>0.78948679624395923</v>
      </c>
      <c r="C44" s="5" t="s">
        <v>25</v>
      </c>
    </row>
    <row r="45" spans="1:11" x14ac:dyDescent="0.2">
      <c r="A45" s="5">
        <v>43</v>
      </c>
      <c r="B45" s="5">
        <f t="shared" ca="1" si="0"/>
        <v>0.85138241369231538</v>
      </c>
      <c r="C45" s="5" t="s">
        <v>25</v>
      </c>
    </row>
    <row r="46" spans="1:11" x14ac:dyDescent="0.2">
      <c r="A46" s="5">
        <v>44</v>
      </c>
      <c r="B46" s="5">
        <f t="shared" ca="1" si="0"/>
        <v>0.35198832810774916</v>
      </c>
      <c r="C46" s="5" t="s">
        <v>25</v>
      </c>
    </row>
    <row r="47" spans="1:11" x14ac:dyDescent="0.2">
      <c r="A47" s="5">
        <v>45</v>
      </c>
      <c r="B47" s="5">
        <f t="shared" ca="1" si="0"/>
        <v>0.4899068749083757</v>
      </c>
      <c r="C47" s="5" t="s">
        <v>25</v>
      </c>
    </row>
    <row r="48" spans="1:11" x14ac:dyDescent="0.2">
      <c r="A48" s="5">
        <v>46</v>
      </c>
      <c r="B48" s="5">
        <f t="shared" ca="1" si="0"/>
        <v>0.81856760463734157</v>
      </c>
      <c r="C48" s="5" t="s">
        <v>24</v>
      </c>
    </row>
    <row r="49" spans="1:3" x14ac:dyDescent="0.2">
      <c r="A49" s="5">
        <v>47</v>
      </c>
      <c r="B49" s="5">
        <f t="shared" ca="1" si="0"/>
        <v>0.84952048392298063</v>
      </c>
      <c r="C49" s="5" t="s">
        <v>24</v>
      </c>
    </row>
    <row r="50" spans="1:3" x14ac:dyDescent="0.2">
      <c r="A50" s="5">
        <v>48</v>
      </c>
      <c r="B50" s="5">
        <f t="shared" ca="1" si="0"/>
        <v>0.70386743508060556</v>
      </c>
      <c r="C50" s="5" t="s">
        <v>25</v>
      </c>
    </row>
    <row r="51" spans="1:3" x14ac:dyDescent="0.2">
      <c r="A51" s="5">
        <v>49</v>
      </c>
      <c r="B51" s="5">
        <f t="shared" ca="1" si="0"/>
        <v>0.59655788973359813</v>
      </c>
      <c r="C51" s="5" t="s">
        <v>24</v>
      </c>
    </row>
    <row r="52" spans="1:3" x14ac:dyDescent="0.2">
      <c r="A52" s="5">
        <v>50</v>
      </c>
      <c r="B52" s="5">
        <f t="shared" ca="1" si="0"/>
        <v>0.73013993617531714</v>
      </c>
      <c r="C52" s="5" t="s">
        <v>24</v>
      </c>
    </row>
    <row r="53" spans="1:3" x14ac:dyDescent="0.2">
      <c r="A53" s="5">
        <v>51</v>
      </c>
      <c r="B53" s="5">
        <f t="shared" ca="1" si="0"/>
        <v>0.65683926970878048</v>
      </c>
      <c r="C53" s="5" t="s">
        <v>24</v>
      </c>
    </row>
    <row r="54" spans="1:3" x14ac:dyDescent="0.2">
      <c r="A54" s="5">
        <v>52</v>
      </c>
      <c r="B54" s="5">
        <f t="shared" ca="1" si="0"/>
        <v>0.62558913569501695</v>
      </c>
      <c r="C54" s="5" t="s">
        <v>25</v>
      </c>
    </row>
    <row r="55" spans="1:3" x14ac:dyDescent="0.2">
      <c r="A55" s="5">
        <v>53</v>
      </c>
      <c r="B55" s="5">
        <f t="shared" ca="1" si="0"/>
        <v>0.78112100053960243</v>
      </c>
      <c r="C55" s="5" t="s">
        <v>25</v>
      </c>
    </row>
    <row r="56" spans="1:3" x14ac:dyDescent="0.2">
      <c r="A56" s="5">
        <v>54</v>
      </c>
      <c r="B56" s="5">
        <f t="shared" ca="1" si="0"/>
        <v>0.67828884969665715</v>
      </c>
      <c r="C56" s="5" t="s">
        <v>24</v>
      </c>
    </row>
    <row r="57" spans="1:3" x14ac:dyDescent="0.2">
      <c r="A57" s="5">
        <v>55</v>
      </c>
      <c r="B57" s="5">
        <f t="shared" ca="1" si="0"/>
        <v>0.6416191520846779</v>
      </c>
      <c r="C57" s="5" t="s">
        <v>24</v>
      </c>
    </row>
    <row r="58" spans="1:3" x14ac:dyDescent="0.2">
      <c r="A58" s="5">
        <v>56</v>
      </c>
      <c r="B58" s="5">
        <f t="shared" ca="1" si="0"/>
        <v>0.72011194773472242</v>
      </c>
      <c r="C58" s="5" t="s">
        <v>24</v>
      </c>
    </row>
    <row r="59" spans="1:3" x14ac:dyDescent="0.2">
      <c r="A59" s="5">
        <v>57</v>
      </c>
      <c r="B59" s="5">
        <f t="shared" ca="1" si="0"/>
        <v>0.78396865561590734</v>
      </c>
      <c r="C59" s="5" t="s">
        <v>25</v>
      </c>
    </row>
    <row r="60" spans="1:3" x14ac:dyDescent="0.2">
      <c r="A60" s="5">
        <v>58</v>
      </c>
      <c r="B60" s="5">
        <f t="shared" ca="1" si="0"/>
        <v>0.8137672404477857</v>
      </c>
      <c r="C60" s="5" t="s">
        <v>24</v>
      </c>
    </row>
    <row r="61" spans="1:3" x14ac:dyDescent="0.2">
      <c r="A61" s="5">
        <v>59</v>
      </c>
      <c r="B61" s="5">
        <f t="shared" ca="1" si="0"/>
        <v>0.72262717103036167</v>
      </c>
      <c r="C61" s="5" t="s">
        <v>24</v>
      </c>
    </row>
    <row r="62" spans="1:3" x14ac:dyDescent="0.2">
      <c r="A62" s="5">
        <v>60</v>
      </c>
      <c r="B62" s="5">
        <f t="shared" ca="1" si="0"/>
        <v>0.75078717967845376</v>
      </c>
      <c r="C62" s="5" t="s">
        <v>25</v>
      </c>
    </row>
    <row r="63" spans="1:3" x14ac:dyDescent="0.2">
      <c r="A63" s="5">
        <v>61</v>
      </c>
      <c r="B63" s="5">
        <f t="shared" ca="1" si="0"/>
        <v>0.73928836760642624</v>
      </c>
      <c r="C63" s="5" t="s">
        <v>25</v>
      </c>
    </row>
    <row r="64" spans="1:3" x14ac:dyDescent="0.2">
      <c r="A64" s="5">
        <v>62</v>
      </c>
      <c r="B64" s="5">
        <f t="shared" ca="1" si="0"/>
        <v>0.52223775661474936</v>
      </c>
      <c r="C64" s="5" t="s">
        <v>25</v>
      </c>
    </row>
    <row r="65" spans="1:3" x14ac:dyDescent="0.2">
      <c r="A65" s="5">
        <v>63</v>
      </c>
      <c r="B65" s="5">
        <f t="shared" ca="1" si="0"/>
        <v>0.83036624244807178</v>
      </c>
      <c r="C65" s="5" t="s">
        <v>24</v>
      </c>
    </row>
    <row r="66" spans="1:3" x14ac:dyDescent="0.2">
      <c r="A66" s="5">
        <v>64</v>
      </c>
      <c r="B66" s="5">
        <f t="shared" ca="1" si="0"/>
        <v>0.71872143321892967</v>
      </c>
      <c r="C66" s="5" t="s">
        <v>24</v>
      </c>
    </row>
    <row r="67" spans="1:3" x14ac:dyDescent="0.2">
      <c r="A67" s="5">
        <v>65</v>
      </c>
      <c r="B67" s="5">
        <f t="shared" ca="1" si="0"/>
        <v>0.73498819586115394</v>
      </c>
      <c r="C67" s="5" t="s">
        <v>24</v>
      </c>
    </row>
    <row r="68" spans="1:3" x14ac:dyDescent="0.2">
      <c r="A68" s="5">
        <v>66</v>
      </c>
      <c r="B68" s="5">
        <f t="shared" ref="B68:B131" ca="1" si="1">IF(C68="Bomb",_xlfn.NORM.INV(RAND(),0.7,0.1),_xlfn.NORM.INV(RAND(),0.6,0.15))</f>
        <v>0.7563391089628424</v>
      </c>
      <c r="C68" s="5" t="s">
        <v>24</v>
      </c>
    </row>
    <row r="69" spans="1:3" x14ac:dyDescent="0.2">
      <c r="A69" s="5">
        <v>67</v>
      </c>
      <c r="B69" s="5">
        <f t="shared" ca="1" si="1"/>
        <v>0.65360600598555596</v>
      </c>
      <c r="C69" s="5" t="s">
        <v>24</v>
      </c>
    </row>
    <row r="70" spans="1:3" x14ac:dyDescent="0.2">
      <c r="A70" s="5">
        <v>68</v>
      </c>
      <c r="B70" s="5">
        <f t="shared" ca="1" si="1"/>
        <v>0.67825193759308766</v>
      </c>
      <c r="C70" s="5" t="s">
        <v>25</v>
      </c>
    </row>
    <row r="71" spans="1:3" x14ac:dyDescent="0.2">
      <c r="A71" s="5">
        <v>69</v>
      </c>
      <c r="B71" s="5">
        <f t="shared" ca="1" si="1"/>
        <v>0.46733597607056354</v>
      </c>
      <c r="C71" s="5" t="s">
        <v>25</v>
      </c>
    </row>
    <row r="72" spans="1:3" x14ac:dyDescent="0.2">
      <c r="A72" s="5">
        <v>70</v>
      </c>
      <c r="B72" s="5">
        <f t="shared" ca="1" si="1"/>
        <v>0.63734314308208018</v>
      </c>
      <c r="C72" s="5" t="s">
        <v>25</v>
      </c>
    </row>
    <row r="73" spans="1:3" x14ac:dyDescent="0.2">
      <c r="A73" s="5">
        <v>71</v>
      </c>
      <c r="B73" s="5">
        <f t="shared" ca="1" si="1"/>
        <v>0.78785712769833083</v>
      </c>
      <c r="C73" s="5" t="s">
        <v>25</v>
      </c>
    </row>
    <row r="74" spans="1:3" x14ac:dyDescent="0.2">
      <c r="A74" s="5">
        <v>72</v>
      </c>
      <c r="B74" s="5">
        <f t="shared" ca="1" si="1"/>
        <v>0.61122990620001338</v>
      </c>
      <c r="C74" s="5" t="s">
        <v>25</v>
      </c>
    </row>
    <row r="75" spans="1:3" x14ac:dyDescent="0.2">
      <c r="A75" s="5">
        <v>73</v>
      </c>
      <c r="B75" s="5">
        <f t="shared" ca="1" si="1"/>
        <v>0.6881604418295223</v>
      </c>
      <c r="C75" s="5" t="s">
        <v>24</v>
      </c>
    </row>
    <row r="76" spans="1:3" x14ac:dyDescent="0.2">
      <c r="A76" s="5">
        <v>74</v>
      </c>
      <c r="B76" s="5">
        <f t="shared" ca="1" si="1"/>
        <v>0.82769526783344238</v>
      </c>
      <c r="C76" s="5" t="s">
        <v>24</v>
      </c>
    </row>
    <row r="77" spans="1:3" x14ac:dyDescent="0.2">
      <c r="A77" s="5">
        <v>75</v>
      </c>
      <c r="B77" s="5">
        <f t="shared" ca="1" si="1"/>
        <v>0.67518350100532187</v>
      </c>
      <c r="C77" s="5" t="s">
        <v>24</v>
      </c>
    </row>
    <row r="78" spans="1:3" x14ac:dyDescent="0.2">
      <c r="A78" s="5">
        <v>76</v>
      </c>
      <c r="B78" s="5">
        <f t="shared" ca="1" si="1"/>
        <v>0.62095753780089369</v>
      </c>
      <c r="C78" s="5" t="s">
        <v>24</v>
      </c>
    </row>
    <row r="79" spans="1:3" x14ac:dyDescent="0.2">
      <c r="A79" s="5">
        <v>77</v>
      </c>
      <c r="B79" s="5">
        <f t="shared" ca="1" si="1"/>
        <v>0.46029374299223691</v>
      </c>
      <c r="C79" s="5" t="s">
        <v>25</v>
      </c>
    </row>
    <row r="80" spans="1:3" x14ac:dyDescent="0.2">
      <c r="A80" s="5">
        <v>78</v>
      </c>
      <c r="B80" s="5">
        <f t="shared" ca="1" si="1"/>
        <v>0.72586160808725775</v>
      </c>
      <c r="C80" s="5" t="s">
        <v>24</v>
      </c>
    </row>
    <row r="81" spans="1:3" x14ac:dyDescent="0.2">
      <c r="A81" s="5">
        <v>79</v>
      </c>
      <c r="B81" s="5">
        <f t="shared" ca="1" si="1"/>
        <v>0.2547685469378676</v>
      </c>
      <c r="C81" s="5" t="s">
        <v>25</v>
      </c>
    </row>
    <row r="82" spans="1:3" x14ac:dyDescent="0.2">
      <c r="A82" s="5">
        <v>80</v>
      </c>
      <c r="B82" s="5">
        <f t="shared" ca="1" si="1"/>
        <v>0.72585629466381685</v>
      </c>
      <c r="C82" s="5" t="s">
        <v>24</v>
      </c>
    </row>
    <row r="83" spans="1:3" x14ac:dyDescent="0.2">
      <c r="A83" s="5">
        <v>81</v>
      </c>
      <c r="B83" s="5">
        <f t="shared" ca="1" si="1"/>
        <v>0.67616172610817071</v>
      </c>
      <c r="C83" s="5" t="s">
        <v>24</v>
      </c>
    </row>
    <row r="84" spans="1:3" x14ac:dyDescent="0.2">
      <c r="A84" s="5">
        <v>82</v>
      </c>
      <c r="B84" s="5">
        <f t="shared" ca="1" si="1"/>
        <v>0.66438906225104111</v>
      </c>
      <c r="C84" s="5" t="s">
        <v>25</v>
      </c>
    </row>
    <row r="85" spans="1:3" x14ac:dyDescent="0.2">
      <c r="A85" s="5">
        <v>83</v>
      </c>
      <c r="B85" s="5">
        <f t="shared" ca="1" si="1"/>
        <v>0.58520685020045282</v>
      </c>
      <c r="C85" s="5" t="s">
        <v>24</v>
      </c>
    </row>
    <row r="86" spans="1:3" x14ac:dyDescent="0.2">
      <c r="A86" s="5">
        <v>84</v>
      </c>
      <c r="B86" s="5">
        <f t="shared" ca="1" si="1"/>
        <v>0.76999134354505083</v>
      </c>
      <c r="C86" s="5" t="s">
        <v>24</v>
      </c>
    </row>
    <row r="87" spans="1:3" x14ac:dyDescent="0.2">
      <c r="A87" s="5">
        <v>85</v>
      </c>
      <c r="B87" s="5">
        <f t="shared" ca="1" si="1"/>
        <v>0.55477066813451847</v>
      </c>
      <c r="C87" s="5" t="s">
        <v>25</v>
      </c>
    </row>
    <row r="88" spans="1:3" x14ac:dyDescent="0.2">
      <c r="A88" s="5">
        <v>86</v>
      </c>
      <c r="B88" s="5">
        <f t="shared" ca="1" si="1"/>
        <v>0.37510971922186775</v>
      </c>
      <c r="C88" s="5" t="s">
        <v>25</v>
      </c>
    </row>
    <row r="89" spans="1:3" x14ac:dyDescent="0.2">
      <c r="A89" s="5">
        <v>87</v>
      </c>
      <c r="B89" s="5">
        <f t="shared" ca="1" si="1"/>
        <v>0.74346405035452501</v>
      </c>
      <c r="C89" s="5" t="s">
        <v>25</v>
      </c>
    </row>
    <row r="90" spans="1:3" x14ac:dyDescent="0.2">
      <c r="A90" s="5">
        <v>88</v>
      </c>
      <c r="B90" s="5">
        <f t="shared" ca="1" si="1"/>
        <v>0.74402207948998011</v>
      </c>
      <c r="C90" s="5" t="s">
        <v>25</v>
      </c>
    </row>
    <row r="91" spans="1:3" x14ac:dyDescent="0.2">
      <c r="A91" s="5">
        <v>89</v>
      </c>
      <c r="B91" s="5">
        <f t="shared" ca="1" si="1"/>
        <v>0.8667139623293203</v>
      </c>
      <c r="C91" s="5" t="s">
        <v>25</v>
      </c>
    </row>
    <row r="92" spans="1:3" x14ac:dyDescent="0.2">
      <c r="A92" s="5">
        <v>90</v>
      </c>
      <c r="B92" s="5">
        <f t="shared" ca="1" si="1"/>
        <v>0.77490559108610602</v>
      </c>
      <c r="C92" s="5" t="s">
        <v>24</v>
      </c>
    </row>
    <row r="93" spans="1:3" x14ac:dyDescent="0.2">
      <c r="A93" s="5">
        <v>91</v>
      </c>
      <c r="B93" s="5">
        <f t="shared" ca="1" si="1"/>
        <v>0.68168331674284344</v>
      </c>
      <c r="C93" s="5" t="s">
        <v>24</v>
      </c>
    </row>
    <row r="94" spans="1:3" x14ac:dyDescent="0.2">
      <c r="A94" s="5">
        <v>92</v>
      </c>
      <c r="B94" s="5">
        <f t="shared" ca="1" si="1"/>
        <v>0.69141655298934801</v>
      </c>
      <c r="C94" s="5" t="s">
        <v>25</v>
      </c>
    </row>
    <row r="95" spans="1:3" x14ac:dyDescent="0.2">
      <c r="A95" s="5">
        <v>93</v>
      </c>
      <c r="B95" s="5">
        <f t="shared" ca="1" si="1"/>
        <v>0.76673444682557745</v>
      </c>
      <c r="C95" s="5" t="s">
        <v>24</v>
      </c>
    </row>
    <row r="96" spans="1:3" x14ac:dyDescent="0.2">
      <c r="A96" s="5">
        <v>94</v>
      </c>
      <c r="B96" s="5">
        <f t="shared" ca="1" si="1"/>
        <v>0.80542447905595793</v>
      </c>
      <c r="C96" s="5" t="s">
        <v>24</v>
      </c>
    </row>
    <row r="97" spans="1:3" x14ac:dyDescent="0.2">
      <c r="A97" s="5">
        <v>95</v>
      </c>
      <c r="B97" s="5">
        <f t="shared" ca="1" si="1"/>
        <v>0.48296564013844701</v>
      </c>
      <c r="C97" s="5" t="s">
        <v>25</v>
      </c>
    </row>
    <row r="98" spans="1:3" x14ac:dyDescent="0.2">
      <c r="A98" s="5">
        <v>96</v>
      </c>
      <c r="B98" s="5">
        <f t="shared" ca="1" si="1"/>
        <v>0.50797477162232263</v>
      </c>
      <c r="C98" s="5" t="s">
        <v>25</v>
      </c>
    </row>
    <row r="99" spans="1:3" x14ac:dyDescent="0.2">
      <c r="A99" s="5">
        <v>97</v>
      </c>
      <c r="B99" s="5">
        <f t="shared" ca="1" si="1"/>
        <v>0.69350695294183562</v>
      </c>
      <c r="C99" s="5" t="s">
        <v>24</v>
      </c>
    </row>
    <row r="100" spans="1:3" x14ac:dyDescent="0.2">
      <c r="A100" s="5">
        <v>98</v>
      </c>
      <c r="B100" s="5">
        <f t="shared" ca="1" si="1"/>
        <v>0.69989695747407643</v>
      </c>
      <c r="C100" s="5" t="s">
        <v>24</v>
      </c>
    </row>
    <row r="101" spans="1:3" x14ac:dyDescent="0.2">
      <c r="A101" s="5">
        <v>99</v>
      </c>
      <c r="B101" s="5">
        <f t="shared" ca="1" si="1"/>
        <v>0.57996672834529894</v>
      </c>
      <c r="C101" s="5" t="s">
        <v>24</v>
      </c>
    </row>
    <row r="102" spans="1:3" x14ac:dyDescent="0.2">
      <c r="A102" s="5">
        <v>100</v>
      </c>
      <c r="B102" s="5">
        <f t="shared" ca="1" si="1"/>
        <v>0.81931945263793393</v>
      </c>
      <c r="C102" s="5" t="s">
        <v>25</v>
      </c>
    </row>
    <row r="103" spans="1:3" x14ac:dyDescent="0.2">
      <c r="A103" s="5">
        <v>101</v>
      </c>
      <c r="B103" s="5">
        <f t="shared" ca="1" si="1"/>
        <v>0.77297609650433752</v>
      </c>
      <c r="C103" s="5" t="s">
        <v>24</v>
      </c>
    </row>
    <row r="104" spans="1:3" x14ac:dyDescent="0.2">
      <c r="A104" s="5">
        <v>102</v>
      </c>
      <c r="B104" s="5">
        <f t="shared" ca="1" si="1"/>
        <v>0.66560266425628334</v>
      </c>
      <c r="C104" s="5" t="s">
        <v>25</v>
      </c>
    </row>
    <row r="105" spans="1:3" x14ac:dyDescent="0.2">
      <c r="A105" s="5">
        <v>103</v>
      </c>
      <c r="B105" s="5">
        <f t="shared" ca="1" si="1"/>
        <v>0.43514404768836734</v>
      </c>
      <c r="C105" s="5" t="s">
        <v>25</v>
      </c>
    </row>
    <row r="106" spans="1:3" x14ac:dyDescent="0.2">
      <c r="A106" s="5">
        <v>104</v>
      </c>
      <c r="B106" s="5">
        <f t="shared" ca="1" si="1"/>
        <v>0.67654661412229</v>
      </c>
      <c r="C106" s="5" t="s">
        <v>25</v>
      </c>
    </row>
    <row r="107" spans="1:3" x14ac:dyDescent="0.2">
      <c r="A107" s="5">
        <v>105</v>
      </c>
      <c r="B107" s="5">
        <f t="shared" ca="1" si="1"/>
        <v>0.6500954988787091</v>
      </c>
      <c r="C107" s="5" t="s">
        <v>24</v>
      </c>
    </row>
    <row r="108" spans="1:3" x14ac:dyDescent="0.2">
      <c r="A108" s="5">
        <v>106</v>
      </c>
      <c r="B108" s="5">
        <f t="shared" ca="1" si="1"/>
        <v>0.49108907477330949</v>
      </c>
      <c r="C108" s="5" t="s">
        <v>25</v>
      </c>
    </row>
    <row r="109" spans="1:3" x14ac:dyDescent="0.2">
      <c r="A109" s="5">
        <v>107</v>
      </c>
      <c r="B109" s="5">
        <f t="shared" ca="1" si="1"/>
        <v>0.5261065845845333</v>
      </c>
      <c r="C109" s="5" t="s">
        <v>25</v>
      </c>
    </row>
    <row r="110" spans="1:3" x14ac:dyDescent="0.2">
      <c r="A110" s="5">
        <v>108</v>
      </c>
      <c r="B110" s="5">
        <f t="shared" ca="1" si="1"/>
        <v>0.60772817617482855</v>
      </c>
      <c r="C110" s="5" t="s">
        <v>25</v>
      </c>
    </row>
    <row r="111" spans="1:3" x14ac:dyDescent="0.2">
      <c r="A111" s="5">
        <v>109</v>
      </c>
      <c r="B111" s="5">
        <f t="shared" ca="1" si="1"/>
        <v>0.70726327721119453</v>
      </c>
      <c r="C111" s="5" t="s">
        <v>25</v>
      </c>
    </row>
    <row r="112" spans="1:3" x14ac:dyDescent="0.2">
      <c r="A112" s="5">
        <v>110</v>
      </c>
      <c r="B112" s="5">
        <f t="shared" ca="1" si="1"/>
        <v>0.62808413784588835</v>
      </c>
      <c r="C112" s="5" t="s">
        <v>25</v>
      </c>
    </row>
    <row r="113" spans="1:3" x14ac:dyDescent="0.2">
      <c r="A113" s="5">
        <v>111</v>
      </c>
      <c r="B113" s="5">
        <f t="shared" ca="1" si="1"/>
        <v>0.82296136563956135</v>
      </c>
      <c r="C113" s="5" t="s">
        <v>24</v>
      </c>
    </row>
    <row r="114" spans="1:3" x14ac:dyDescent="0.2">
      <c r="A114" s="5">
        <v>112</v>
      </c>
      <c r="B114" s="5">
        <f t="shared" ca="1" si="1"/>
        <v>0.5968525745864921</v>
      </c>
      <c r="C114" s="5" t="s">
        <v>25</v>
      </c>
    </row>
    <row r="115" spans="1:3" x14ac:dyDescent="0.2">
      <c r="A115" s="5">
        <v>113</v>
      </c>
      <c r="B115" s="5">
        <f t="shared" ca="1" si="1"/>
        <v>0.48564195312107744</v>
      </c>
      <c r="C115" s="5" t="s">
        <v>25</v>
      </c>
    </row>
    <row r="116" spans="1:3" x14ac:dyDescent="0.2">
      <c r="A116" s="5">
        <v>114</v>
      </c>
      <c r="B116" s="5">
        <f t="shared" ca="1" si="1"/>
        <v>0.30777798713335791</v>
      </c>
      <c r="C116" s="5" t="s">
        <v>25</v>
      </c>
    </row>
    <row r="117" spans="1:3" x14ac:dyDescent="0.2">
      <c r="A117" s="5">
        <v>115</v>
      </c>
      <c r="B117" s="5">
        <f t="shared" ca="1" si="1"/>
        <v>0.54696487774246583</v>
      </c>
      <c r="C117" s="5" t="s">
        <v>25</v>
      </c>
    </row>
    <row r="118" spans="1:3" x14ac:dyDescent="0.2">
      <c r="A118" s="5">
        <v>116</v>
      </c>
      <c r="B118" s="5">
        <f t="shared" ca="1" si="1"/>
        <v>0.55324838084407657</v>
      </c>
      <c r="C118" s="5" t="s">
        <v>25</v>
      </c>
    </row>
    <row r="119" spans="1:3" x14ac:dyDescent="0.2">
      <c r="A119" s="5">
        <v>117</v>
      </c>
      <c r="B119" s="5">
        <f t="shared" ca="1" si="1"/>
        <v>0.74536911188770394</v>
      </c>
      <c r="C119" s="5" t="s">
        <v>25</v>
      </c>
    </row>
    <row r="120" spans="1:3" x14ac:dyDescent="0.2">
      <c r="A120" s="5">
        <v>118</v>
      </c>
      <c r="B120" s="5">
        <f t="shared" ca="1" si="1"/>
        <v>0.60872077294550953</v>
      </c>
      <c r="C120" s="5" t="s">
        <v>25</v>
      </c>
    </row>
    <row r="121" spans="1:3" x14ac:dyDescent="0.2">
      <c r="A121" s="5">
        <v>119</v>
      </c>
      <c r="B121" s="5">
        <f t="shared" ca="1" si="1"/>
        <v>0.5314016878977178</v>
      </c>
      <c r="C121" s="5" t="s">
        <v>25</v>
      </c>
    </row>
    <row r="122" spans="1:3" x14ac:dyDescent="0.2">
      <c r="A122" s="5">
        <v>120</v>
      </c>
      <c r="B122" s="5">
        <f t="shared" ca="1" si="1"/>
        <v>0.54072779379656433</v>
      </c>
      <c r="C122" s="5" t="s">
        <v>24</v>
      </c>
    </row>
    <row r="123" spans="1:3" x14ac:dyDescent="0.2">
      <c r="A123" s="5">
        <v>121</v>
      </c>
      <c r="B123" s="5">
        <f t="shared" ca="1" si="1"/>
        <v>0.62856410511185823</v>
      </c>
      <c r="C123" s="5" t="s">
        <v>24</v>
      </c>
    </row>
    <row r="124" spans="1:3" x14ac:dyDescent="0.2">
      <c r="A124" s="5">
        <v>122</v>
      </c>
      <c r="B124" s="5">
        <f t="shared" ca="1" si="1"/>
        <v>0.66792831600927061</v>
      </c>
      <c r="C124" s="5" t="s">
        <v>25</v>
      </c>
    </row>
    <row r="125" spans="1:3" x14ac:dyDescent="0.2">
      <c r="A125" s="5">
        <v>123</v>
      </c>
      <c r="B125" s="5">
        <f t="shared" ca="1" si="1"/>
        <v>0.83535557827725548</v>
      </c>
      <c r="C125" s="5" t="s">
        <v>24</v>
      </c>
    </row>
    <row r="126" spans="1:3" x14ac:dyDescent="0.2">
      <c r="A126" s="5">
        <v>124</v>
      </c>
      <c r="B126" s="5">
        <f t="shared" ca="1" si="1"/>
        <v>0.71309308620444345</v>
      </c>
      <c r="C126" s="5" t="s">
        <v>24</v>
      </c>
    </row>
    <row r="127" spans="1:3" x14ac:dyDescent="0.2">
      <c r="A127" s="5">
        <v>125</v>
      </c>
      <c r="B127" s="5">
        <f t="shared" ca="1" si="1"/>
        <v>0.61299981734171005</v>
      </c>
      <c r="C127" s="5" t="s">
        <v>25</v>
      </c>
    </row>
    <row r="128" spans="1:3" x14ac:dyDescent="0.2">
      <c r="A128" s="5">
        <v>126</v>
      </c>
      <c r="B128" s="5">
        <f t="shared" ca="1" si="1"/>
        <v>0.42545703274229951</v>
      </c>
      <c r="C128" s="5" t="s">
        <v>25</v>
      </c>
    </row>
    <row r="129" spans="1:3" x14ac:dyDescent="0.2">
      <c r="A129" s="5">
        <v>127</v>
      </c>
      <c r="B129" s="5">
        <f t="shared" ca="1" si="1"/>
        <v>0.60264100639461682</v>
      </c>
      <c r="C129" s="5" t="s">
        <v>25</v>
      </c>
    </row>
    <row r="130" spans="1:3" x14ac:dyDescent="0.2">
      <c r="A130" s="5">
        <v>128</v>
      </c>
      <c r="B130" s="5">
        <f t="shared" ca="1" si="1"/>
        <v>0.8334460166842742</v>
      </c>
      <c r="C130" s="5" t="s">
        <v>25</v>
      </c>
    </row>
    <row r="131" spans="1:3" x14ac:dyDescent="0.2">
      <c r="A131" s="5">
        <v>129</v>
      </c>
      <c r="B131" s="5">
        <f t="shared" ca="1" si="1"/>
        <v>0.70746986439532344</v>
      </c>
      <c r="C131" s="5" t="s">
        <v>25</v>
      </c>
    </row>
    <row r="132" spans="1:3" x14ac:dyDescent="0.2">
      <c r="A132" s="5">
        <v>130</v>
      </c>
      <c r="B132" s="5">
        <f t="shared" ref="B132:B195" ca="1" si="2">IF(C132="Bomb",_xlfn.NORM.INV(RAND(),0.7,0.1),_xlfn.NORM.INV(RAND(),0.6,0.15))</f>
        <v>0.72183852262769532</v>
      </c>
      <c r="C132" s="5" t="s">
        <v>24</v>
      </c>
    </row>
    <row r="133" spans="1:3" x14ac:dyDescent="0.2">
      <c r="A133" s="5">
        <v>131</v>
      </c>
      <c r="B133" s="5">
        <f t="shared" ca="1" si="2"/>
        <v>0.77730104529213762</v>
      </c>
      <c r="C133" s="5" t="s">
        <v>24</v>
      </c>
    </row>
    <row r="134" spans="1:3" x14ac:dyDescent="0.2">
      <c r="A134" s="5">
        <v>132</v>
      </c>
      <c r="B134" s="5">
        <f t="shared" ca="1" si="2"/>
        <v>0.72336322233117334</v>
      </c>
      <c r="C134" s="5" t="s">
        <v>24</v>
      </c>
    </row>
    <row r="135" spans="1:3" x14ac:dyDescent="0.2">
      <c r="A135" s="5">
        <v>133</v>
      </c>
      <c r="B135" s="5">
        <f t="shared" ca="1" si="2"/>
        <v>0.68904486464792358</v>
      </c>
      <c r="C135" s="5" t="s">
        <v>24</v>
      </c>
    </row>
    <row r="136" spans="1:3" x14ac:dyDescent="0.2">
      <c r="A136" s="5">
        <v>134</v>
      </c>
      <c r="B136" s="5">
        <f t="shared" ca="1" si="2"/>
        <v>0.58445864459506991</v>
      </c>
      <c r="C136" s="5" t="s">
        <v>25</v>
      </c>
    </row>
    <row r="137" spans="1:3" x14ac:dyDescent="0.2">
      <c r="A137" s="5">
        <v>135</v>
      </c>
      <c r="B137" s="5">
        <f t="shared" ca="1" si="2"/>
        <v>0.66775166544570397</v>
      </c>
      <c r="C137" s="5" t="s">
        <v>24</v>
      </c>
    </row>
    <row r="138" spans="1:3" x14ac:dyDescent="0.2">
      <c r="A138" s="5">
        <v>136</v>
      </c>
      <c r="B138" s="5">
        <f t="shared" ca="1" si="2"/>
        <v>0.71094329383961941</v>
      </c>
      <c r="C138" s="5" t="s">
        <v>24</v>
      </c>
    </row>
    <row r="139" spans="1:3" x14ac:dyDescent="0.2">
      <c r="A139" s="5">
        <v>137</v>
      </c>
      <c r="B139" s="5">
        <f t="shared" ca="1" si="2"/>
        <v>0.62806714385564122</v>
      </c>
      <c r="C139" s="5" t="s">
        <v>25</v>
      </c>
    </row>
    <row r="140" spans="1:3" x14ac:dyDescent="0.2">
      <c r="A140" s="5">
        <v>138</v>
      </c>
      <c r="B140" s="5">
        <f t="shared" ca="1" si="2"/>
        <v>0.70419930177783052</v>
      </c>
      <c r="C140" s="5" t="s">
        <v>24</v>
      </c>
    </row>
    <row r="141" spans="1:3" x14ac:dyDescent="0.2">
      <c r="A141" s="5">
        <v>139</v>
      </c>
      <c r="B141" s="5">
        <f t="shared" ca="1" si="2"/>
        <v>0.59336397340584224</v>
      </c>
      <c r="C141" s="5" t="s">
        <v>25</v>
      </c>
    </row>
    <row r="142" spans="1:3" x14ac:dyDescent="0.2">
      <c r="A142" s="5">
        <v>140</v>
      </c>
      <c r="B142" s="5">
        <f t="shared" ca="1" si="2"/>
        <v>0.73118570199332344</v>
      </c>
      <c r="C142" s="5" t="s">
        <v>25</v>
      </c>
    </row>
    <row r="143" spans="1:3" x14ac:dyDescent="0.2">
      <c r="A143" s="5">
        <v>141</v>
      </c>
      <c r="B143" s="5">
        <f t="shared" ca="1" si="2"/>
        <v>0.65272376338765259</v>
      </c>
      <c r="C143" s="5" t="s">
        <v>25</v>
      </c>
    </row>
    <row r="144" spans="1:3" x14ac:dyDescent="0.2">
      <c r="A144" s="5">
        <v>142</v>
      </c>
      <c r="B144" s="5">
        <f t="shared" ca="1" si="2"/>
        <v>0.6765917229163706</v>
      </c>
      <c r="C144" s="5" t="s">
        <v>24</v>
      </c>
    </row>
    <row r="145" spans="1:3" x14ac:dyDescent="0.2">
      <c r="A145" s="5">
        <v>143</v>
      </c>
      <c r="B145" s="5">
        <f t="shared" ca="1" si="2"/>
        <v>0.58482089847506102</v>
      </c>
      <c r="C145" s="5" t="s">
        <v>25</v>
      </c>
    </row>
    <row r="146" spans="1:3" x14ac:dyDescent="0.2">
      <c r="A146" s="5">
        <v>144</v>
      </c>
      <c r="B146" s="5">
        <f t="shared" ca="1" si="2"/>
        <v>0.86956909980113961</v>
      </c>
      <c r="C146" s="5" t="s">
        <v>24</v>
      </c>
    </row>
    <row r="147" spans="1:3" x14ac:dyDescent="0.2">
      <c r="A147" s="5">
        <v>145</v>
      </c>
      <c r="B147" s="5">
        <f t="shared" ca="1" si="2"/>
        <v>0.63495144693267314</v>
      </c>
      <c r="C147" s="5" t="s">
        <v>25</v>
      </c>
    </row>
    <row r="148" spans="1:3" x14ac:dyDescent="0.2">
      <c r="A148" s="5">
        <v>146</v>
      </c>
      <c r="B148" s="5">
        <f t="shared" ca="1" si="2"/>
        <v>0.5185398011165443</v>
      </c>
      <c r="C148" s="5" t="s">
        <v>25</v>
      </c>
    </row>
    <row r="149" spans="1:3" x14ac:dyDescent="0.2">
      <c r="A149" s="5">
        <v>147</v>
      </c>
      <c r="B149" s="5">
        <f t="shared" ca="1" si="2"/>
        <v>0.75574887816640668</v>
      </c>
      <c r="C149" s="5" t="s">
        <v>24</v>
      </c>
    </row>
    <row r="150" spans="1:3" x14ac:dyDescent="0.2">
      <c r="A150" s="5">
        <v>148</v>
      </c>
      <c r="B150" s="5">
        <f t="shared" ca="1" si="2"/>
        <v>0.38494545399828661</v>
      </c>
      <c r="C150" s="5" t="s">
        <v>25</v>
      </c>
    </row>
    <row r="151" spans="1:3" x14ac:dyDescent="0.2">
      <c r="A151" s="5">
        <v>149</v>
      </c>
      <c r="B151" s="5">
        <f t="shared" ca="1" si="2"/>
        <v>0.73220008091412336</v>
      </c>
      <c r="C151" s="5" t="s">
        <v>25</v>
      </c>
    </row>
    <row r="152" spans="1:3" x14ac:dyDescent="0.2">
      <c r="A152" s="5">
        <v>150</v>
      </c>
      <c r="B152" s="5">
        <f t="shared" ca="1" si="2"/>
        <v>0.50565415986793161</v>
      </c>
      <c r="C152" s="5" t="s">
        <v>25</v>
      </c>
    </row>
    <row r="153" spans="1:3" x14ac:dyDescent="0.2">
      <c r="A153" s="5">
        <v>151</v>
      </c>
      <c r="B153" s="5">
        <f t="shared" ca="1" si="2"/>
        <v>0.68249997631291281</v>
      </c>
      <c r="C153" s="5" t="s">
        <v>24</v>
      </c>
    </row>
    <row r="154" spans="1:3" x14ac:dyDescent="0.2">
      <c r="A154" s="5">
        <v>152</v>
      </c>
      <c r="B154" s="5">
        <f t="shared" ca="1" si="2"/>
        <v>0.62923882032560008</v>
      </c>
      <c r="C154" s="5" t="s">
        <v>24</v>
      </c>
    </row>
    <row r="155" spans="1:3" x14ac:dyDescent="0.2">
      <c r="A155" s="5">
        <v>153</v>
      </c>
      <c r="B155" s="5">
        <f t="shared" ca="1" si="2"/>
        <v>0.57017512091791012</v>
      </c>
      <c r="C155" s="5" t="s">
        <v>24</v>
      </c>
    </row>
    <row r="156" spans="1:3" x14ac:dyDescent="0.2">
      <c r="A156" s="5">
        <v>154</v>
      </c>
      <c r="B156" s="5">
        <f t="shared" ca="1" si="2"/>
        <v>0.24530424553317548</v>
      </c>
      <c r="C156" s="5" t="s">
        <v>25</v>
      </c>
    </row>
    <row r="157" spans="1:3" x14ac:dyDescent="0.2">
      <c r="A157" s="5">
        <v>155</v>
      </c>
      <c r="B157" s="5">
        <f t="shared" ca="1" si="2"/>
        <v>0.84315240146925285</v>
      </c>
      <c r="C157" s="5" t="s">
        <v>24</v>
      </c>
    </row>
    <row r="158" spans="1:3" x14ac:dyDescent="0.2">
      <c r="A158" s="5">
        <v>156</v>
      </c>
      <c r="B158" s="5">
        <f t="shared" ca="1" si="2"/>
        <v>0.86215900863130202</v>
      </c>
      <c r="C158" s="5" t="s">
        <v>24</v>
      </c>
    </row>
    <row r="159" spans="1:3" x14ac:dyDescent="0.2">
      <c r="A159" s="5">
        <v>157</v>
      </c>
      <c r="B159" s="5">
        <f t="shared" ca="1" si="2"/>
        <v>0.42539945865654494</v>
      </c>
      <c r="C159" s="5" t="s">
        <v>25</v>
      </c>
    </row>
    <row r="160" spans="1:3" x14ac:dyDescent="0.2">
      <c r="A160" s="5">
        <v>158</v>
      </c>
      <c r="B160" s="5">
        <f t="shared" ca="1" si="2"/>
        <v>0.5292446030480884</v>
      </c>
      <c r="C160" s="5" t="s">
        <v>25</v>
      </c>
    </row>
    <row r="161" spans="1:3" x14ac:dyDescent="0.2">
      <c r="A161" s="5">
        <v>159</v>
      </c>
      <c r="B161" s="5">
        <f t="shared" ca="1" si="2"/>
        <v>0.65454535012384851</v>
      </c>
      <c r="C161" s="5" t="s">
        <v>24</v>
      </c>
    </row>
    <row r="162" spans="1:3" x14ac:dyDescent="0.2">
      <c r="A162" s="5">
        <v>160</v>
      </c>
      <c r="B162" s="5">
        <f t="shared" ca="1" si="2"/>
        <v>0.68111290810447311</v>
      </c>
      <c r="C162" s="5" t="s">
        <v>24</v>
      </c>
    </row>
    <row r="163" spans="1:3" x14ac:dyDescent="0.2">
      <c r="A163" s="5">
        <v>161</v>
      </c>
      <c r="B163" s="5">
        <f t="shared" ca="1" si="2"/>
        <v>0.71009430560908582</v>
      </c>
      <c r="C163" s="5" t="s">
        <v>24</v>
      </c>
    </row>
    <row r="164" spans="1:3" x14ac:dyDescent="0.2">
      <c r="A164" s="5">
        <v>162</v>
      </c>
      <c r="B164" s="5">
        <f t="shared" ca="1" si="2"/>
        <v>0.69693792367228646</v>
      </c>
      <c r="C164" s="5" t="s">
        <v>25</v>
      </c>
    </row>
    <row r="165" spans="1:3" x14ac:dyDescent="0.2">
      <c r="A165" s="5">
        <v>163</v>
      </c>
      <c r="B165" s="5">
        <f t="shared" ca="1" si="2"/>
        <v>0.34175806502841688</v>
      </c>
      <c r="C165" s="5" t="s">
        <v>25</v>
      </c>
    </row>
    <row r="166" spans="1:3" x14ac:dyDescent="0.2">
      <c r="A166" s="5">
        <v>164</v>
      </c>
      <c r="B166" s="5">
        <f t="shared" ca="1" si="2"/>
        <v>0.60043003552084773</v>
      </c>
      <c r="C166" s="5" t="s">
        <v>25</v>
      </c>
    </row>
    <row r="167" spans="1:3" x14ac:dyDescent="0.2">
      <c r="A167" s="5">
        <v>165</v>
      </c>
      <c r="B167" s="5">
        <f t="shared" ca="1" si="2"/>
        <v>0.72707600845939968</v>
      </c>
      <c r="C167" s="5" t="s">
        <v>25</v>
      </c>
    </row>
    <row r="168" spans="1:3" x14ac:dyDescent="0.2">
      <c r="A168" s="5">
        <v>166</v>
      </c>
      <c r="B168" s="5">
        <f t="shared" ca="1" si="2"/>
        <v>0.88751904215501742</v>
      </c>
      <c r="C168" s="5" t="s">
        <v>24</v>
      </c>
    </row>
    <row r="169" spans="1:3" x14ac:dyDescent="0.2">
      <c r="A169" s="5">
        <v>167</v>
      </c>
      <c r="B169" s="5">
        <f t="shared" ca="1" si="2"/>
        <v>0.82914416358988585</v>
      </c>
      <c r="C169" s="5" t="s">
        <v>24</v>
      </c>
    </row>
    <row r="170" spans="1:3" x14ac:dyDescent="0.2">
      <c r="A170" s="5">
        <v>168</v>
      </c>
      <c r="B170" s="5">
        <f t="shared" ca="1" si="2"/>
        <v>0.74380865111741223</v>
      </c>
      <c r="C170" s="5" t="s">
        <v>24</v>
      </c>
    </row>
    <row r="171" spans="1:3" x14ac:dyDescent="0.2">
      <c r="A171" s="5">
        <v>169</v>
      </c>
      <c r="B171" s="5">
        <f t="shared" ca="1" si="2"/>
        <v>0.54452259248550094</v>
      </c>
      <c r="C171" s="5" t="s">
        <v>25</v>
      </c>
    </row>
    <row r="172" spans="1:3" x14ac:dyDescent="0.2">
      <c r="A172" s="5">
        <v>170</v>
      </c>
      <c r="B172" s="5">
        <f t="shared" ca="1" si="2"/>
        <v>0.6188977180729115</v>
      </c>
      <c r="C172" s="5" t="s">
        <v>25</v>
      </c>
    </row>
    <row r="173" spans="1:3" x14ac:dyDescent="0.2">
      <c r="A173" s="5">
        <v>171</v>
      </c>
      <c r="B173" s="5">
        <f t="shared" ca="1" si="2"/>
        <v>0.65766496332648716</v>
      </c>
      <c r="C173" s="5" t="s">
        <v>24</v>
      </c>
    </row>
    <row r="174" spans="1:3" x14ac:dyDescent="0.2">
      <c r="A174" s="5">
        <v>172</v>
      </c>
      <c r="B174" s="5">
        <f t="shared" ca="1" si="2"/>
        <v>0.75948426348079923</v>
      </c>
      <c r="C174" s="5" t="s">
        <v>24</v>
      </c>
    </row>
    <row r="175" spans="1:3" x14ac:dyDescent="0.2">
      <c r="A175" s="5">
        <v>173</v>
      </c>
      <c r="B175" s="5">
        <f t="shared" ca="1" si="2"/>
        <v>0.73518150446732999</v>
      </c>
      <c r="C175" s="5" t="s">
        <v>24</v>
      </c>
    </row>
    <row r="176" spans="1:3" x14ac:dyDescent="0.2">
      <c r="A176" s="5">
        <v>174</v>
      </c>
      <c r="B176" s="5">
        <f t="shared" ca="1" si="2"/>
        <v>0.46916296141667835</v>
      </c>
      <c r="C176" s="5" t="s">
        <v>25</v>
      </c>
    </row>
    <row r="177" spans="1:3" x14ac:dyDescent="0.2">
      <c r="A177" s="5">
        <v>175</v>
      </c>
      <c r="B177" s="5">
        <f t="shared" ca="1" si="2"/>
        <v>0.90141496856410186</v>
      </c>
      <c r="C177" s="5" t="s">
        <v>24</v>
      </c>
    </row>
    <row r="178" spans="1:3" x14ac:dyDescent="0.2">
      <c r="A178" s="5">
        <v>176</v>
      </c>
      <c r="B178" s="5">
        <f t="shared" ca="1" si="2"/>
        <v>0.71343761790276472</v>
      </c>
      <c r="C178" s="5" t="s">
        <v>24</v>
      </c>
    </row>
    <row r="179" spans="1:3" x14ac:dyDescent="0.2">
      <c r="A179" s="5">
        <v>177</v>
      </c>
      <c r="B179" s="5">
        <f t="shared" ca="1" si="2"/>
        <v>0.5118008209889594</v>
      </c>
      <c r="C179" s="5" t="s">
        <v>25</v>
      </c>
    </row>
    <row r="180" spans="1:3" x14ac:dyDescent="0.2">
      <c r="A180" s="5">
        <v>178</v>
      </c>
      <c r="B180" s="5">
        <f t="shared" ca="1" si="2"/>
        <v>0.72699801987893053</v>
      </c>
      <c r="C180" s="5" t="s">
        <v>25</v>
      </c>
    </row>
    <row r="181" spans="1:3" x14ac:dyDescent="0.2">
      <c r="A181" s="5">
        <v>179</v>
      </c>
      <c r="B181" s="5">
        <f t="shared" ca="1" si="2"/>
        <v>0.78451515804332028</v>
      </c>
      <c r="C181" s="5" t="s">
        <v>24</v>
      </c>
    </row>
    <row r="182" spans="1:3" x14ac:dyDescent="0.2">
      <c r="A182" s="5">
        <v>180</v>
      </c>
      <c r="B182" s="5">
        <f t="shared" ca="1" si="2"/>
        <v>0.57362704386001351</v>
      </c>
      <c r="C182" s="5" t="s">
        <v>24</v>
      </c>
    </row>
    <row r="183" spans="1:3" x14ac:dyDescent="0.2">
      <c r="A183" s="5">
        <v>181</v>
      </c>
      <c r="B183" s="5">
        <f t="shared" ca="1" si="2"/>
        <v>0.91120622863944567</v>
      </c>
      <c r="C183" s="5" t="s">
        <v>24</v>
      </c>
    </row>
    <row r="184" spans="1:3" x14ac:dyDescent="0.2">
      <c r="A184" s="5">
        <v>182</v>
      </c>
      <c r="B184" s="5">
        <f t="shared" ca="1" si="2"/>
        <v>0.64686522524359036</v>
      </c>
      <c r="C184" s="5" t="s">
        <v>24</v>
      </c>
    </row>
    <row r="185" spans="1:3" x14ac:dyDescent="0.2">
      <c r="A185" s="5">
        <v>183</v>
      </c>
      <c r="B185" s="5">
        <f t="shared" ca="1" si="2"/>
        <v>0.53898395825225087</v>
      </c>
      <c r="C185" s="5" t="s">
        <v>25</v>
      </c>
    </row>
    <row r="186" spans="1:3" x14ac:dyDescent="0.2">
      <c r="A186" s="5">
        <v>184</v>
      </c>
      <c r="B186" s="5">
        <f t="shared" ca="1" si="2"/>
        <v>0.79714621389918616</v>
      </c>
      <c r="C186" s="5" t="s">
        <v>24</v>
      </c>
    </row>
    <row r="187" spans="1:3" x14ac:dyDescent="0.2">
      <c r="A187" s="5">
        <v>185</v>
      </c>
      <c r="B187" s="5">
        <f t="shared" ca="1" si="2"/>
        <v>0.61405187329064448</v>
      </c>
      <c r="C187" s="5" t="s">
        <v>25</v>
      </c>
    </row>
    <row r="188" spans="1:3" x14ac:dyDescent="0.2">
      <c r="A188" s="5">
        <v>186</v>
      </c>
      <c r="B188" s="5">
        <f t="shared" ca="1" si="2"/>
        <v>0.68829126330323653</v>
      </c>
      <c r="C188" s="5" t="s">
        <v>24</v>
      </c>
    </row>
    <row r="189" spans="1:3" x14ac:dyDescent="0.2">
      <c r="A189" s="5">
        <v>187</v>
      </c>
      <c r="B189" s="5">
        <f t="shared" ca="1" si="2"/>
        <v>0.59076163057378195</v>
      </c>
      <c r="C189" s="5" t="s">
        <v>25</v>
      </c>
    </row>
    <row r="190" spans="1:3" x14ac:dyDescent="0.2">
      <c r="A190" s="5">
        <v>188</v>
      </c>
      <c r="B190" s="5">
        <f t="shared" ca="1" si="2"/>
        <v>0.81636193821772907</v>
      </c>
      <c r="C190" s="5" t="s">
        <v>24</v>
      </c>
    </row>
    <row r="191" spans="1:3" x14ac:dyDescent="0.2">
      <c r="A191" s="5">
        <v>189</v>
      </c>
      <c r="B191" s="5">
        <f t="shared" ca="1" si="2"/>
        <v>0.66406854560297135</v>
      </c>
      <c r="C191" s="5" t="s">
        <v>24</v>
      </c>
    </row>
    <row r="192" spans="1:3" x14ac:dyDescent="0.2">
      <c r="A192" s="5">
        <v>190</v>
      </c>
      <c r="B192" s="5">
        <f t="shared" ca="1" si="2"/>
        <v>0.69937575347514691</v>
      </c>
      <c r="C192" s="5" t="s">
        <v>25</v>
      </c>
    </row>
    <row r="193" spans="1:3" x14ac:dyDescent="0.2">
      <c r="A193" s="5">
        <v>191</v>
      </c>
      <c r="B193" s="5">
        <f t="shared" ca="1" si="2"/>
        <v>0.7651933187174853</v>
      </c>
      <c r="C193" s="5" t="s">
        <v>24</v>
      </c>
    </row>
    <row r="194" spans="1:3" x14ac:dyDescent="0.2">
      <c r="A194" s="5">
        <v>192</v>
      </c>
      <c r="B194" s="5">
        <f t="shared" ca="1" si="2"/>
        <v>0.46679525078148193</v>
      </c>
      <c r="C194" s="5" t="s">
        <v>25</v>
      </c>
    </row>
    <row r="195" spans="1:3" x14ac:dyDescent="0.2">
      <c r="A195" s="5">
        <v>193</v>
      </c>
      <c r="B195" s="5">
        <f t="shared" ca="1" si="2"/>
        <v>0.83800570389228113</v>
      </c>
      <c r="C195" s="5" t="s">
        <v>24</v>
      </c>
    </row>
    <row r="196" spans="1:3" x14ac:dyDescent="0.2">
      <c r="A196" s="5">
        <v>194</v>
      </c>
      <c r="B196" s="5">
        <f t="shared" ref="B196:B259" ca="1" si="3">IF(C196="Bomb",_xlfn.NORM.INV(RAND(),0.7,0.1),_xlfn.NORM.INV(RAND(),0.6,0.15))</f>
        <v>0.62070486934737779</v>
      </c>
      <c r="C196" s="5" t="s">
        <v>25</v>
      </c>
    </row>
    <row r="197" spans="1:3" x14ac:dyDescent="0.2">
      <c r="A197" s="5">
        <v>195</v>
      </c>
      <c r="B197" s="5">
        <f t="shared" ca="1" si="3"/>
        <v>0.56241677778105137</v>
      </c>
      <c r="C197" s="5" t="s">
        <v>25</v>
      </c>
    </row>
    <row r="198" spans="1:3" x14ac:dyDescent="0.2">
      <c r="A198" s="5">
        <v>196</v>
      </c>
      <c r="B198" s="5">
        <f t="shared" ca="1" si="3"/>
        <v>0.76162247465013011</v>
      </c>
      <c r="C198" s="5" t="s">
        <v>24</v>
      </c>
    </row>
    <row r="199" spans="1:3" x14ac:dyDescent="0.2">
      <c r="A199" s="5">
        <v>197</v>
      </c>
      <c r="B199" s="5">
        <f t="shared" ca="1" si="3"/>
        <v>0.60788288770237142</v>
      </c>
      <c r="C199" s="5" t="s">
        <v>25</v>
      </c>
    </row>
    <row r="200" spans="1:3" x14ac:dyDescent="0.2">
      <c r="A200" s="5">
        <v>198</v>
      </c>
      <c r="B200" s="5">
        <f t="shared" ca="1" si="3"/>
        <v>0.6298625065381368</v>
      </c>
      <c r="C200" s="5" t="s">
        <v>24</v>
      </c>
    </row>
    <row r="201" spans="1:3" x14ac:dyDescent="0.2">
      <c r="A201" s="5">
        <v>199</v>
      </c>
      <c r="B201" s="5">
        <f t="shared" ca="1" si="3"/>
        <v>0.69168832584880169</v>
      </c>
      <c r="C201" s="5" t="s">
        <v>25</v>
      </c>
    </row>
    <row r="202" spans="1:3" x14ac:dyDescent="0.2">
      <c r="A202" s="5">
        <v>200</v>
      </c>
      <c r="B202" s="5">
        <f t="shared" ca="1" si="3"/>
        <v>0.84330981992799359</v>
      </c>
      <c r="C202" s="5" t="s">
        <v>24</v>
      </c>
    </row>
    <row r="203" spans="1:3" x14ac:dyDescent="0.2">
      <c r="A203" s="5">
        <v>201</v>
      </c>
      <c r="B203" s="5">
        <f t="shared" ca="1" si="3"/>
        <v>0.49318230447968431</v>
      </c>
      <c r="C203" s="5" t="s">
        <v>25</v>
      </c>
    </row>
    <row r="204" spans="1:3" x14ac:dyDescent="0.2">
      <c r="A204" s="5">
        <v>202</v>
      </c>
      <c r="B204" s="5">
        <f t="shared" ca="1" si="3"/>
        <v>0.70512872441148466</v>
      </c>
      <c r="C204" s="5" t="s">
        <v>24</v>
      </c>
    </row>
    <row r="205" spans="1:3" x14ac:dyDescent="0.2">
      <c r="A205" s="5">
        <v>203</v>
      </c>
      <c r="B205" s="5">
        <f t="shared" ca="1" si="3"/>
        <v>0.54027598505948338</v>
      </c>
      <c r="C205" s="5" t="s">
        <v>25</v>
      </c>
    </row>
    <row r="206" spans="1:3" x14ac:dyDescent="0.2">
      <c r="A206" s="5">
        <v>204</v>
      </c>
      <c r="B206" s="5">
        <f t="shared" ca="1" si="3"/>
        <v>0.53837107782170623</v>
      </c>
      <c r="C206" s="5" t="s">
        <v>25</v>
      </c>
    </row>
    <row r="207" spans="1:3" x14ac:dyDescent="0.2">
      <c r="A207" s="5">
        <v>205</v>
      </c>
      <c r="B207" s="5">
        <f t="shared" ca="1" si="3"/>
        <v>0.61303709879975188</v>
      </c>
      <c r="C207" s="5" t="s">
        <v>25</v>
      </c>
    </row>
    <row r="208" spans="1:3" x14ac:dyDescent="0.2">
      <c r="A208" s="5">
        <v>206</v>
      </c>
      <c r="B208" s="5">
        <f t="shared" ca="1" si="3"/>
        <v>0.6525523276405949</v>
      </c>
      <c r="C208" s="5" t="s">
        <v>24</v>
      </c>
    </row>
    <row r="209" spans="1:3" x14ac:dyDescent="0.2">
      <c r="A209" s="5">
        <v>207</v>
      </c>
      <c r="B209" s="5">
        <f t="shared" ca="1" si="3"/>
        <v>0.75244181832611412</v>
      </c>
      <c r="C209" s="5" t="s">
        <v>24</v>
      </c>
    </row>
    <row r="210" spans="1:3" x14ac:dyDescent="0.2">
      <c r="A210" s="5">
        <v>208</v>
      </c>
      <c r="B210" s="5">
        <f t="shared" ca="1" si="3"/>
        <v>0.64286884576943315</v>
      </c>
      <c r="C210" s="5" t="s">
        <v>24</v>
      </c>
    </row>
    <row r="211" spans="1:3" x14ac:dyDescent="0.2">
      <c r="A211" s="5">
        <v>209</v>
      </c>
      <c r="B211" s="5">
        <f t="shared" ca="1" si="3"/>
        <v>0.42634455462706783</v>
      </c>
      <c r="C211" s="5" t="s">
        <v>25</v>
      </c>
    </row>
    <row r="212" spans="1:3" x14ac:dyDescent="0.2">
      <c r="A212" s="5">
        <v>210</v>
      </c>
      <c r="B212" s="5">
        <f t="shared" ca="1" si="3"/>
        <v>0.84749397631712098</v>
      </c>
      <c r="C212" s="5" t="s">
        <v>25</v>
      </c>
    </row>
    <row r="213" spans="1:3" x14ac:dyDescent="0.2">
      <c r="A213" s="5">
        <v>211</v>
      </c>
      <c r="B213" s="5">
        <f t="shared" ca="1" si="3"/>
        <v>0.6831287434810287</v>
      </c>
      <c r="C213" s="5" t="s">
        <v>25</v>
      </c>
    </row>
    <row r="214" spans="1:3" x14ac:dyDescent="0.2">
      <c r="A214" s="5">
        <v>212</v>
      </c>
      <c r="B214" s="5">
        <f t="shared" ca="1" si="3"/>
        <v>0.34653135287945974</v>
      </c>
      <c r="C214" s="5" t="s">
        <v>25</v>
      </c>
    </row>
    <row r="215" spans="1:3" x14ac:dyDescent="0.2">
      <c r="A215" s="5">
        <v>213</v>
      </c>
      <c r="B215" s="5">
        <f t="shared" ca="1" si="3"/>
        <v>0.62835679950987089</v>
      </c>
      <c r="C215" s="5" t="s">
        <v>25</v>
      </c>
    </row>
    <row r="216" spans="1:3" x14ac:dyDescent="0.2">
      <c r="A216" s="5">
        <v>214</v>
      </c>
      <c r="B216" s="5">
        <f t="shared" ca="1" si="3"/>
        <v>0.67216328303451911</v>
      </c>
      <c r="C216" s="5" t="s">
        <v>25</v>
      </c>
    </row>
    <row r="217" spans="1:3" x14ac:dyDescent="0.2">
      <c r="A217" s="5">
        <v>215</v>
      </c>
      <c r="B217" s="5">
        <f t="shared" ca="1" si="3"/>
        <v>0.70008500953926223</v>
      </c>
      <c r="C217" s="5" t="s">
        <v>24</v>
      </c>
    </row>
    <row r="218" spans="1:3" x14ac:dyDescent="0.2">
      <c r="A218" s="5">
        <v>216</v>
      </c>
      <c r="B218" s="5">
        <f t="shared" ca="1" si="3"/>
        <v>0.73452534445503148</v>
      </c>
      <c r="C218" s="5" t="s">
        <v>24</v>
      </c>
    </row>
    <row r="219" spans="1:3" x14ac:dyDescent="0.2">
      <c r="A219" s="5">
        <v>217</v>
      </c>
      <c r="B219" s="5">
        <f t="shared" ca="1" si="3"/>
        <v>0.73180184628492162</v>
      </c>
      <c r="C219" s="5" t="s">
        <v>24</v>
      </c>
    </row>
    <row r="220" spans="1:3" x14ac:dyDescent="0.2">
      <c r="A220" s="5">
        <v>218</v>
      </c>
      <c r="B220" s="5">
        <f t="shared" ca="1" si="3"/>
        <v>0.25519215251846011</v>
      </c>
      <c r="C220" s="5" t="s">
        <v>25</v>
      </c>
    </row>
    <row r="221" spans="1:3" x14ac:dyDescent="0.2">
      <c r="A221" s="5">
        <v>219</v>
      </c>
      <c r="B221" s="5">
        <f t="shared" ca="1" si="3"/>
        <v>0.79279253287375839</v>
      </c>
      <c r="C221" s="5" t="s">
        <v>24</v>
      </c>
    </row>
    <row r="222" spans="1:3" x14ac:dyDescent="0.2">
      <c r="A222" s="5">
        <v>220</v>
      </c>
      <c r="B222" s="5">
        <f t="shared" ca="1" si="3"/>
        <v>0.45992462290052077</v>
      </c>
      <c r="C222" s="5" t="s">
        <v>25</v>
      </c>
    </row>
    <row r="223" spans="1:3" x14ac:dyDescent="0.2">
      <c r="A223" s="5">
        <v>221</v>
      </c>
      <c r="B223" s="5">
        <f t="shared" ca="1" si="3"/>
        <v>0.75236697664194918</v>
      </c>
      <c r="C223" s="5" t="s">
        <v>24</v>
      </c>
    </row>
    <row r="224" spans="1:3" x14ac:dyDescent="0.2">
      <c r="A224" s="5">
        <v>222</v>
      </c>
      <c r="B224" s="5">
        <f t="shared" ca="1" si="3"/>
        <v>0.7506953840477304</v>
      </c>
      <c r="C224" s="5" t="s">
        <v>24</v>
      </c>
    </row>
    <row r="225" spans="1:3" x14ac:dyDescent="0.2">
      <c r="A225" s="5">
        <v>223</v>
      </c>
      <c r="B225" s="5">
        <f t="shared" ca="1" si="3"/>
        <v>0.43337005805267226</v>
      </c>
      <c r="C225" s="5" t="s">
        <v>25</v>
      </c>
    </row>
    <row r="226" spans="1:3" x14ac:dyDescent="0.2">
      <c r="A226" s="5">
        <v>224</v>
      </c>
      <c r="B226" s="5">
        <f t="shared" ca="1" si="3"/>
        <v>0.75710808004683194</v>
      </c>
      <c r="C226" s="5" t="s">
        <v>25</v>
      </c>
    </row>
    <row r="227" spans="1:3" x14ac:dyDescent="0.2">
      <c r="A227" s="5">
        <v>225</v>
      </c>
      <c r="B227" s="5">
        <f t="shared" ca="1" si="3"/>
        <v>0.68542532518365007</v>
      </c>
      <c r="C227" s="5" t="s">
        <v>24</v>
      </c>
    </row>
    <row r="228" spans="1:3" x14ac:dyDescent="0.2">
      <c r="A228" s="5">
        <v>226</v>
      </c>
      <c r="B228" s="5">
        <f t="shared" ca="1" si="3"/>
        <v>0.51280457846644723</v>
      </c>
      <c r="C228" s="5" t="s">
        <v>25</v>
      </c>
    </row>
    <row r="229" spans="1:3" x14ac:dyDescent="0.2">
      <c r="A229" s="5">
        <v>227</v>
      </c>
      <c r="B229" s="5">
        <f t="shared" ca="1" si="3"/>
        <v>0.31679400839175603</v>
      </c>
      <c r="C229" s="5" t="s">
        <v>25</v>
      </c>
    </row>
    <row r="230" spans="1:3" x14ac:dyDescent="0.2">
      <c r="A230" s="5">
        <v>228</v>
      </c>
      <c r="B230" s="5">
        <f t="shared" ca="1" si="3"/>
        <v>0.37861605926754249</v>
      </c>
      <c r="C230" s="5" t="s">
        <v>25</v>
      </c>
    </row>
    <row r="231" spans="1:3" x14ac:dyDescent="0.2">
      <c r="A231" s="5">
        <v>229</v>
      </c>
      <c r="B231" s="5">
        <f t="shared" ca="1" si="3"/>
        <v>0.70123661343754007</v>
      </c>
      <c r="C231" s="5" t="s">
        <v>25</v>
      </c>
    </row>
    <row r="232" spans="1:3" x14ac:dyDescent="0.2">
      <c r="A232" s="5">
        <v>230</v>
      </c>
      <c r="B232" s="5">
        <f t="shared" ca="1" si="3"/>
        <v>0.54276273012147291</v>
      </c>
      <c r="C232" s="5" t="s">
        <v>24</v>
      </c>
    </row>
    <row r="233" spans="1:3" x14ac:dyDescent="0.2">
      <c r="A233" s="5">
        <v>231</v>
      </c>
      <c r="B233" s="5">
        <f t="shared" ca="1" si="3"/>
        <v>0.81266551787711927</v>
      </c>
      <c r="C233" s="5" t="s">
        <v>24</v>
      </c>
    </row>
    <row r="234" spans="1:3" x14ac:dyDescent="0.2">
      <c r="A234" s="5">
        <v>232</v>
      </c>
      <c r="B234" s="5">
        <f t="shared" ca="1" si="3"/>
        <v>0.43891562280516327</v>
      </c>
      <c r="C234" s="5" t="s">
        <v>25</v>
      </c>
    </row>
    <row r="235" spans="1:3" x14ac:dyDescent="0.2">
      <c r="A235" s="5">
        <v>233</v>
      </c>
      <c r="B235" s="5">
        <f t="shared" ca="1" si="3"/>
        <v>0.89578444099873145</v>
      </c>
      <c r="C235" s="5" t="s">
        <v>25</v>
      </c>
    </row>
    <row r="236" spans="1:3" x14ac:dyDescent="0.2">
      <c r="A236" s="5">
        <v>234</v>
      </c>
      <c r="B236" s="5">
        <f t="shared" ca="1" si="3"/>
        <v>0.76521172932158454</v>
      </c>
      <c r="C236" s="5" t="s">
        <v>24</v>
      </c>
    </row>
    <row r="237" spans="1:3" x14ac:dyDescent="0.2">
      <c r="A237" s="5">
        <v>235</v>
      </c>
      <c r="B237" s="5">
        <f t="shared" ca="1" si="3"/>
        <v>0.57847298836463179</v>
      </c>
      <c r="C237" s="5" t="s">
        <v>25</v>
      </c>
    </row>
    <row r="238" spans="1:3" x14ac:dyDescent="0.2">
      <c r="A238" s="5">
        <v>236</v>
      </c>
      <c r="B238" s="5">
        <f t="shared" ca="1" si="3"/>
        <v>0.44879500133339817</v>
      </c>
      <c r="C238" s="5" t="s">
        <v>24</v>
      </c>
    </row>
    <row r="239" spans="1:3" x14ac:dyDescent="0.2">
      <c r="A239" s="5">
        <v>237</v>
      </c>
      <c r="B239" s="5">
        <f t="shared" ca="1" si="3"/>
        <v>0.71892941994225013</v>
      </c>
      <c r="C239" s="5" t="s">
        <v>25</v>
      </c>
    </row>
    <row r="240" spans="1:3" x14ac:dyDescent="0.2">
      <c r="A240" s="5">
        <v>238</v>
      </c>
      <c r="B240" s="5">
        <f t="shared" ca="1" si="3"/>
        <v>0.64344120916707825</v>
      </c>
      <c r="C240" s="5" t="s">
        <v>24</v>
      </c>
    </row>
    <row r="241" spans="1:3" x14ac:dyDescent="0.2">
      <c r="A241" s="5">
        <v>239</v>
      </c>
      <c r="B241" s="5">
        <f t="shared" ca="1" si="3"/>
        <v>0.6993657987787476</v>
      </c>
      <c r="C241" s="5" t="s">
        <v>25</v>
      </c>
    </row>
    <row r="242" spans="1:3" x14ac:dyDescent="0.2">
      <c r="A242" s="5">
        <v>240</v>
      </c>
      <c r="B242" s="5">
        <f t="shared" ca="1" si="3"/>
        <v>0.52654991025218412</v>
      </c>
      <c r="C242" s="5" t="s">
        <v>25</v>
      </c>
    </row>
    <row r="243" spans="1:3" x14ac:dyDescent="0.2">
      <c r="A243" s="5">
        <v>241</v>
      </c>
      <c r="B243" s="5">
        <f t="shared" ca="1" si="3"/>
        <v>0.59183986579798964</v>
      </c>
      <c r="C243" s="5" t="s">
        <v>24</v>
      </c>
    </row>
    <row r="244" spans="1:3" x14ac:dyDescent="0.2">
      <c r="A244" s="5">
        <v>242</v>
      </c>
      <c r="B244" s="5">
        <f t="shared" ca="1" si="3"/>
        <v>0.59474207596813333</v>
      </c>
      <c r="C244" s="5" t="s">
        <v>24</v>
      </c>
    </row>
    <row r="245" spans="1:3" x14ac:dyDescent="0.2">
      <c r="A245" s="5">
        <v>243</v>
      </c>
      <c r="B245" s="5">
        <f t="shared" ca="1" si="3"/>
        <v>0.80499612083217864</v>
      </c>
      <c r="C245" s="5" t="s">
        <v>24</v>
      </c>
    </row>
    <row r="246" spans="1:3" x14ac:dyDescent="0.2">
      <c r="A246" s="5">
        <v>244</v>
      </c>
      <c r="B246" s="5">
        <f t="shared" ca="1" si="3"/>
        <v>0.57599056240780977</v>
      </c>
      <c r="C246" s="5" t="s">
        <v>25</v>
      </c>
    </row>
    <row r="247" spans="1:3" x14ac:dyDescent="0.2">
      <c r="A247" s="5">
        <v>245</v>
      </c>
      <c r="B247" s="5">
        <f t="shared" ca="1" si="3"/>
        <v>0.80617180320016457</v>
      </c>
      <c r="C247" s="5" t="s">
        <v>24</v>
      </c>
    </row>
    <row r="248" spans="1:3" x14ac:dyDescent="0.2">
      <c r="A248" s="5">
        <v>246</v>
      </c>
      <c r="B248" s="5">
        <f t="shared" ca="1" si="3"/>
        <v>0.7017341025020305</v>
      </c>
      <c r="C248" s="5" t="s">
        <v>24</v>
      </c>
    </row>
    <row r="249" spans="1:3" x14ac:dyDescent="0.2">
      <c r="A249" s="5">
        <v>247</v>
      </c>
      <c r="B249" s="5">
        <f t="shared" ca="1" si="3"/>
        <v>0.69077737839415532</v>
      </c>
      <c r="C249" s="5" t="s">
        <v>25</v>
      </c>
    </row>
    <row r="250" spans="1:3" x14ac:dyDescent="0.2">
      <c r="A250" s="5">
        <v>248</v>
      </c>
      <c r="B250" s="5">
        <f t="shared" ca="1" si="3"/>
        <v>0.61597436300724584</v>
      </c>
      <c r="C250" s="5" t="s">
        <v>24</v>
      </c>
    </row>
    <row r="251" spans="1:3" x14ac:dyDescent="0.2">
      <c r="A251" s="5">
        <v>249</v>
      </c>
      <c r="B251" s="5">
        <f t="shared" ca="1" si="3"/>
        <v>0.69908853934181647</v>
      </c>
      <c r="C251" s="5" t="s">
        <v>25</v>
      </c>
    </row>
    <row r="252" spans="1:3" x14ac:dyDescent="0.2">
      <c r="A252" s="5">
        <v>250</v>
      </c>
      <c r="B252" s="5">
        <f t="shared" ca="1" si="3"/>
        <v>0.5425442575597863</v>
      </c>
      <c r="C252" s="5" t="s">
        <v>24</v>
      </c>
    </row>
    <row r="253" spans="1:3" x14ac:dyDescent="0.2">
      <c r="A253" s="5">
        <v>251</v>
      </c>
      <c r="B253" s="5">
        <f t="shared" ca="1" si="3"/>
        <v>0.41291834003535444</v>
      </c>
      <c r="C253" s="5" t="s">
        <v>25</v>
      </c>
    </row>
    <row r="254" spans="1:3" x14ac:dyDescent="0.2">
      <c r="A254" s="5">
        <v>252</v>
      </c>
      <c r="B254" s="5">
        <f t="shared" ca="1" si="3"/>
        <v>0.65062630517516207</v>
      </c>
      <c r="C254" s="5" t="s">
        <v>24</v>
      </c>
    </row>
    <row r="255" spans="1:3" x14ac:dyDescent="0.2">
      <c r="A255" s="5">
        <v>253</v>
      </c>
      <c r="B255" s="5">
        <f t="shared" ca="1" si="3"/>
        <v>0.61920441361942902</v>
      </c>
      <c r="C255" s="5" t="s">
        <v>24</v>
      </c>
    </row>
    <row r="256" spans="1:3" x14ac:dyDescent="0.2">
      <c r="A256" s="5">
        <v>254</v>
      </c>
      <c r="B256" s="5">
        <f t="shared" ca="1" si="3"/>
        <v>0.81614002273770203</v>
      </c>
      <c r="C256" s="5" t="s">
        <v>24</v>
      </c>
    </row>
    <row r="257" spans="1:3" x14ac:dyDescent="0.2">
      <c r="A257" s="5">
        <v>255</v>
      </c>
      <c r="B257" s="5">
        <f t="shared" ca="1" si="3"/>
        <v>0.76045367366772831</v>
      </c>
      <c r="C257" s="5" t="s">
        <v>25</v>
      </c>
    </row>
    <row r="258" spans="1:3" x14ac:dyDescent="0.2">
      <c r="A258" s="5">
        <v>256</v>
      </c>
      <c r="B258" s="5">
        <f t="shared" ca="1" si="3"/>
        <v>0.62730042032717659</v>
      </c>
      <c r="C258" s="5" t="s">
        <v>25</v>
      </c>
    </row>
    <row r="259" spans="1:3" x14ac:dyDescent="0.2">
      <c r="A259" s="5">
        <v>257</v>
      </c>
      <c r="B259" s="5">
        <f t="shared" ca="1" si="3"/>
        <v>0.70063480590835869</v>
      </c>
      <c r="C259" s="5" t="s">
        <v>25</v>
      </c>
    </row>
    <row r="260" spans="1:3" x14ac:dyDescent="0.2">
      <c r="A260" s="5">
        <v>258</v>
      </c>
      <c r="B260" s="5">
        <f t="shared" ref="B260:B323" ca="1" si="4">IF(C260="Bomb",_xlfn.NORM.INV(RAND(),0.7,0.1),_xlfn.NORM.INV(RAND(),0.6,0.15))</f>
        <v>0.38526931187323438</v>
      </c>
      <c r="C260" s="5" t="s">
        <v>25</v>
      </c>
    </row>
    <row r="261" spans="1:3" x14ac:dyDescent="0.2">
      <c r="A261" s="5">
        <v>259</v>
      </c>
      <c r="B261" s="5">
        <f t="shared" ca="1" si="4"/>
        <v>0.57174856633463089</v>
      </c>
      <c r="C261" s="5" t="s">
        <v>25</v>
      </c>
    </row>
    <row r="262" spans="1:3" x14ac:dyDescent="0.2">
      <c r="A262" s="5">
        <v>260</v>
      </c>
      <c r="B262" s="5">
        <f t="shared" ca="1" si="4"/>
        <v>0.63303805232173593</v>
      </c>
      <c r="C262" s="5" t="s">
        <v>24</v>
      </c>
    </row>
    <row r="263" spans="1:3" x14ac:dyDescent="0.2">
      <c r="A263" s="5">
        <v>261</v>
      </c>
      <c r="B263" s="5">
        <f t="shared" ca="1" si="4"/>
        <v>0.53358642437920301</v>
      </c>
      <c r="C263" s="5" t="s">
        <v>24</v>
      </c>
    </row>
    <row r="264" spans="1:3" x14ac:dyDescent="0.2">
      <c r="A264" s="5">
        <v>262</v>
      </c>
      <c r="B264" s="5">
        <f t="shared" ca="1" si="4"/>
        <v>0.4867220698664706</v>
      </c>
      <c r="C264" s="5" t="s">
        <v>24</v>
      </c>
    </row>
    <row r="265" spans="1:3" x14ac:dyDescent="0.2">
      <c r="A265" s="5">
        <v>263</v>
      </c>
      <c r="B265" s="5">
        <f t="shared" ca="1" si="4"/>
        <v>0.58597225936238739</v>
      </c>
      <c r="C265" s="5" t="s">
        <v>24</v>
      </c>
    </row>
    <row r="266" spans="1:3" x14ac:dyDescent="0.2">
      <c r="A266" s="5">
        <v>264</v>
      </c>
      <c r="B266" s="5">
        <f t="shared" ca="1" si="4"/>
        <v>0.52877405496276719</v>
      </c>
      <c r="C266" s="5" t="s">
        <v>25</v>
      </c>
    </row>
    <row r="267" spans="1:3" x14ac:dyDescent="0.2">
      <c r="A267" s="5">
        <v>265</v>
      </c>
      <c r="B267" s="5">
        <f t="shared" ca="1" si="4"/>
        <v>0.67970240848404007</v>
      </c>
      <c r="C267" s="5" t="s">
        <v>24</v>
      </c>
    </row>
    <row r="268" spans="1:3" x14ac:dyDescent="0.2">
      <c r="A268" s="5">
        <v>266</v>
      </c>
      <c r="B268" s="5">
        <f t="shared" ca="1" si="4"/>
        <v>0.75777099713803997</v>
      </c>
      <c r="C268" s="5" t="s">
        <v>24</v>
      </c>
    </row>
    <row r="269" spans="1:3" x14ac:dyDescent="0.2">
      <c r="A269" s="5">
        <v>267</v>
      </c>
      <c r="B269" s="5">
        <f t="shared" ca="1" si="4"/>
        <v>0.71072801761764082</v>
      </c>
      <c r="C269" s="5" t="s">
        <v>25</v>
      </c>
    </row>
    <row r="270" spans="1:3" x14ac:dyDescent="0.2">
      <c r="A270" s="5">
        <v>268</v>
      </c>
      <c r="B270" s="5">
        <f t="shared" ca="1" si="4"/>
        <v>0.77787906048623745</v>
      </c>
      <c r="C270" s="5" t="s">
        <v>25</v>
      </c>
    </row>
    <row r="271" spans="1:3" x14ac:dyDescent="0.2">
      <c r="A271" s="5">
        <v>269</v>
      </c>
      <c r="B271" s="5">
        <f t="shared" ca="1" si="4"/>
        <v>0.63738171630774831</v>
      </c>
      <c r="C271" s="5" t="s">
        <v>24</v>
      </c>
    </row>
    <row r="272" spans="1:3" x14ac:dyDescent="0.2">
      <c r="A272" s="5">
        <v>270</v>
      </c>
      <c r="B272" s="5">
        <f t="shared" ca="1" si="4"/>
        <v>0.66705884182522635</v>
      </c>
      <c r="C272" s="5" t="s">
        <v>24</v>
      </c>
    </row>
    <row r="273" spans="1:3" x14ac:dyDescent="0.2">
      <c r="A273" s="5">
        <v>271</v>
      </c>
      <c r="B273" s="5">
        <f t="shared" ca="1" si="4"/>
        <v>0.64228642506124922</v>
      </c>
      <c r="C273" s="5" t="s">
        <v>25</v>
      </c>
    </row>
    <row r="274" spans="1:3" x14ac:dyDescent="0.2">
      <c r="A274" s="5">
        <v>272</v>
      </c>
      <c r="B274" s="5">
        <f t="shared" ca="1" si="4"/>
        <v>0.84679537959328177</v>
      </c>
      <c r="C274" s="5" t="s">
        <v>25</v>
      </c>
    </row>
    <row r="275" spans="1:3" x14ac:dyDescent="0.2">
      <c r="A275" s="5">
        <v>273</v>
      </c>
      <c r="B275" s="5">
        <f t="shared" ca="1" si="4"/>
        <v>0.83027543460826625</v>
      </c>
      <c r="C275" s="5" t="s">
        <v>24</v>
      </c>
    </row>
    <row r="276" spans="1:3" x14ac:dyDescent="0.2">
      <c r="A276" s="5">
        <v>274</v>
      </c>
      <c r="B276" s="5">
        <f t="shared" ca="1" si="4"/>
        <v>0.83935630472584921</v>
      </c>
      <c r="C276" s="5" t="s">
        <v>25</v>
      </c>
    </row>
    <row r="277" spans="1:3" x14ac:dyDescent="0.2">
      <c r="A277" s="5">
        <v>275</v>
      </c>
      <c r="B277" s="5">
        <f t="shared" ca="1" si="4"/>
        <v>0.49510820375548859</v>
      </c>
      <c r="C277" s="5" t="s">
        <v>25</v>
      </c>
    </row>
    <row r="278" spans="1:3" x14ac:dyDescent="0.2">
      <c r="A278" s="5">
        <v>276</v>
      </c>
      <c r="B278" s="5">
        <f t="shared" ca="1" si="4"/>
        <v>0.68700505212463636</v>
      </c>
      <c r="C278" s="5" t="s">
        <v>24</v>
      </c>
    </row>
    <row r="279" spans="1:3" x14ac:dyDescent="0.2">
      <c r="A279" s="5">
        <v>277</v>
      </c>
      <c r="B279" s="5">
        <f t="shared" ca="1" si="4"/>
        <v>0.70698976196992502</v>
      </c>
      <c r="C279" s="5" t="s">
        <v>24</v>
      </c>
    </row>
    <row r="280" spans="1:3" x14ac:dyDescent="0.2">
      <c r="A280" s="5">
        <v>278</v>
      </c>
      <c r="B280" s="5">
        <f t="shared" ca="1" si="4"/>
        <v>0.59883391623411075</v>
      </c>
      <c r="C280" s="5" t="s">
        <v>25</v>
      </c>
    </row>
    <row r="281" spans="1:3" x14ac:dyDescent="0.2">
      <c r="A281" s="5">
        <v>279</v>
      </c>
      <c r="B281" s="5">
        <f t="shared" ca="1" si="4"/>
        <v>0.46084991016317145</v>
      </c>
      <c r="C281" s="5" t="s">
        <v>25</v>
      </c>
    </row>
    <row r="282" spans="1:3" x14ac:dyDescent="0.2">
      <c r="A282" s="5">
        <v>280</v>
      </c>
      <c r="B282" s="5">
        <f t="shared" ca="1" si="4"/>
        <v>0.44433454463297517</v>
      </c>
      <c r="C282" s="5" t="s">
        <v>25</v>
      </c>
    </row>
    <row r="283" spans="1:3" x14ac:dyDescent="0.2">
      <c r="A283" s="5">
        <v>281</v>
      </c>
      <c r="B283" s="5">
        <f t="shared" ca="1" si="4"/>
        <v>0.3815208527709838</v>
      </c>
      <c r="C283" s="5" t="s">
        <v>25</v>
      </c>
    </row>
    <row r="284" spans="1:3" x14ac:dyDescent="0.2">
      <c r="A284" s="5">
        <v>282</v>
      </c>
      <c r="B284" s="5">
        <f t="shared" ca="1" si="4"/>
        <v>0.65074221347006134</v>
      </c>
      <c r="C284" s="5" t="s">
        <v>24</v>
      </c>
    </row>
    <row r="285" spans="1:3" x14ac:dyDescent="0.2">
      <c r="A285" s="5">
        <v>283</v>
      </c>
      <c r="B285" s="5">
        <f t="shared" ca="1" si="4"/>
        <v>0.78091649025134324</v>
      </c>
      <c r="C285" s="5" t="s">
        <v>24</v>
      </c>
    </row>
    <row r="286" spans="1:3" x14ac:dyDescent="0.2">
      <c r="A286" s="5">
        <v>284</v>
      </c>
      <c r="B286" s="5">
        <f t="shared" ca="1" si="4"/>
        <v>0.62008191779900601</v>
      </c>
      <c r="C286" s="5" t="s">
        <v>24</v>
      </c>
    </row>
    <row r="287" spans="1:3" x14ac:dyDescent="0.2">
      <c r="A287" s="5">
        <v>285</v>
      </c>
      <c r="B287" s="5">
        <f t="shared" ca="1" si="4"/>
        <v>0.54172300713050414</v>
      </c>
      <c r="C287" s="5" t="s">
        <v>25</v>
      </c>
    </row>
    <row r="288" spans="1:3" x14ac:dyDescent="0.2">
      <c r="A288" s="5">
        <v>286</v>
      </c>
      <c r="B288" s="5">
        <f t="shared" ca="1" si="4"/>
        <v>0.85247238073726095</v>
      </c>
      <c r="C288" s="5" t="s">
        <v>24</v>
      </c>
    </row>
    <row r="289" spans="1:3" x14ac:dyDescent="0.2">
      <c r="A289" s="5">
        <v>287</v>
      </c>
      <c r="B289" s="5">
        <f t="shared" ca="1" si="4"/>
        <v>0.7681263464071395</v>
      </c>
      <c r="C289" s="5" t="s">
        <v>24</v>
      </c>
    </row>
    <row r="290" spans="1:3" x14ac:dyDescent="0.2">
      <c r="A290" s="5">
        <v>288</v>
      </c>
      <c r="B290" s="5">
        <f t="shared" ca="1" si="4"/>
        <v>0.65799374371969932</v>
      </c>
      <c r="C290" s="5" t="s">
        <v>24</v>
      </c>
    </row>
    <row r="291" spans="1:3" x14ac:dyDescent="0.2">
      <c r="A291" s="5">
        <v>289</v>
      </c>
      <c r="B291" s="5">
        <f t="shared" ca="1" si="4"/>
        <v>0.70327255904349806</v>
      </c>
      <c r="C291" s="5" t="s">
        <v>24</v>
      </c>
    </row>
    <row r="292" spans="1:3" x14ac:dyDescent="0.2">
      <c r="A292" s="5">
        <v>290</v>
      </c>
      <c r="B292" s="5">
        <f t="shared" ca="1" si="4"/>
        <v>0.65320297139303807</v>
      </c>
      <c r="C292" s="5" t="s">
        <v>25</v>
      </c>
    </row>
    <row r="293" spans="1:3" x14ac:dyDescent="0.2">
      <c r="A293" s="5">
        <v>291</v>
      </c>
      <c r="B293" s="5">
        <f t="shared" ca="1" si="4"/>
        <v>0.81632799586239624</v>
      </c>
      <c r="C293" s="5" t="s">
        <v>24</v>
      </c>
    </row>
    <row r="294" spans="1:3" x14ac:dyDescent="0.2">
      <c r="A294" s="5">
        <v>292</v>
      </c>
      <c r="B294" s="5">
        <f t="shared" ca="1" si="4"/>
        <v>0.89098889214044852</v>
      </c>
      <c r="C294" s="5" t="s">
        <v>25</v>
      </c>
    </row>
    <row r="295" spans="1:3" x14ac:dyDescent="0.2">
      <c r="A295" s="5">
        <v>293</v>
      </c>
      <c r="B295" s="5">
        <f t="shared" ca="1" si="4"/>
        <v>0.67546314617236258</v>
      </c>
      <c r="C295" s="5" t="s">
        <v>24</v>
      </c>
    </row>
    <row r="296" spans="1:3" x14ac:dyDescent="0.2">
      <c r="A296" s="5">
        <v>294</v>
      </c>
      <c r="B296" s="5">
        <f t="shared" ca="1" si="4"/>
        <v>0.68479792146247109</v>
      </c>
      <c r="C296" s="5" t="s">
        <v>25</v>
      </c>
    </row>
    <row r="297" spans="1:3" x14ac:dyDescent="0.2">
      <c r="A297" s="5">
        <v>295</v>
      </c>
      <c r="B297" s="5">
        <f t="shared" ca="1" si="4"/>
        <v>0.77602463466573779</v>
      </c>
      <c r="C297" s="5" t="s">
        <v>25</v>
      </c>
    </row>
    <row r="298" spans="1:3" x14ac:dyDescent="0.2">
      <c r="A298" s="5">
        <v>296</v>
      </c>
      <c r="B298" s="5">
        <f t="shared" ca="1" si="4"/>
        <v>0.52361672832617989</v>
      </c>
      <c r="C298" s="5" t="s">
        <v>24</v>
      </c>
    </row>
    <row r="299" spans="1:3" x14ac:dyDescent="0.2">
      <c r="A299" s="5">
        <v>297</v>
      </c>
      <c r="B299" s="5">
        <f t="shared" ca="1" si="4"/>
        <v>0.85263593783831593</v>
      </c>
      <c r="C299" s="5" t="s">
        <v>24</v>
      </c>
    </row>
    <row r="300" spans="1:3" x14ac:dyDescent="0.2">
      <c r="A300" s="5">
        <v>298</v>
      </c>
      <c r="B300" s="5">
        <f t="shared" ca="1" si="4"/>
        <v>0.64492541433420369</v>
      </c>
      <c r="C300" s="5" t="s">
        <v>25</v>
      </c>
    </row>
    <row r="301" spans="1:3" x14ac:dyDescent="0.2">
      <c r="A301" s="5">
        <v>299</v>
      </c>
      <c r="B301" s="5">
        <f t="shared" ca="1" si="4"/>
        <v>0.75315385640964339</v>
      </c>
      <c r="C301" s="5" t="s">
        <v>24</v>
      </c>
    </row>
    <row r="302" spans="1:3" x14ac:dyDescent="0.2">
      <c r="A302" s="5">
        <v>300</v>
      </c>
      <c r="B302" s="5">
        <f t="shared" ca="1" si="4"/>
        <v>0.71661735042688646</v>
      </c>
      <c r="C302" s="5" t="s">
        <v>24</v>
      </c>
    </row>
    <row r="303" spans="1:3" x14ac:dyDescent="0.2">
      <c r="A303" s="5">
        <v>301</v>
      </c>
      <c r="B303" s="5">
        <f t="shared" ca="1" si="4"/>
        <v>0.62179050608030484</v>
      </c>
      <c r="C303" s="5" t="s">
        <v>24</v>
      </c>
    </row>
    <row r="304" spans="1:3" x14ac:dyDescent="0.2">
      <c r="A304" s="5">
        <v>302</v>
      </c>
      <c r="B304" s="5">
        <f t="shared" ca="1" si="4"/>
        <v>0.62953864796642556</v>
      </c>
      <c r="C304" s="5" t="s">
        <v>24</v>
      </c>
    </row>
    <row r="305" spans="1:3" x14ac:dyDescent="0.2">
      <c r="A305" s="5">
        <v>303</v>
      </c>
      <c r="B305" s="5">
        <f t="shared" ca="1" si="4"/>
        <v>0.66141014869545722</v>
      </c>
      <c r="C305" s="5" t="s">
        <v>24</v>
      </c>
    </row>
    <row r="306" spans="1:3" x14ac:dyDescent="0.2">
      <c r="A306" s="5">
        <v>304</v>
      </c>
      <c r="B306" s="5">
        <f t="shared" ca="1" si="4"/>
        <v>0.73116762939945823</v>
      </c>
      <c r="C306" s="5" t="s">
        <v>24</v>
      </c>
    </row>
    <row r="307" spans="1:3" x14ac:dyDescent="0.2">
      <c r="A307" s="5">
        <v>305</v>
      </c>
      <c r="B307" s="5">
        <f t="shared" ca="1" si="4"/>
        <v>0.73411694583250187</v>
      </c>
      <c r="C307" s="5" t="s">
        <v>25</v>
      </c>
    </row>
    <row r="308" spans="1:3" x14ac:dyDescent="0.2">
      <c r="A308" s="5">
        <v>306</v>
      </c>
      <c r="B308" s="5">
        <f t="shared" ca="1" si="4"/>
        <v>0.73349470737360167</v>
      </c>
      <c r="C308" s="5" t="s">
        <v>24</v>
      </c>
    </row>
    <row r="309" spans="1:3" x14ac:dyDescent="0.2">
      <c r="A309" s="5">
        <v>307</v>
      </c>
      <c r="B309" s="5">
        <f t="shared" ca="1" si="4"/>
        <v>0.63838074827042035</v>
      </c>
      <c r="C309" s="5" t="s">
        <v>25</v>
      </c>
    </row>
    <row r="310" spans="1:3" x14ac:dyDescent="0.2">
      <c r="A310" s="5">
        <v>308</v>
      </c>
      <c r="B310" s="5">
        <f t="shared" ca="1" si="4"/>
        <v>0.79188867958812514</v>
      </c>
      <c r="C310" s="5" t="s">
        <v>24</v>
      </c>
    </row>
    <row r="311" spans="1:3" x14ac:dyDescent="0.2">
      <c r="A311" s="5">
        <v>309</v>
      </c>
      <c r="B311" s="5">
        <f t="shared" ca="1" si="4"/>
        <v>0.76919256555784732</v>
      </c>
      <c r="C311" s="5" t="s">
        <v>24</v>
      </c>
    </row>
    <row r="312" spans="1:3" x14ac:dyDescent="0.2">
      <c r="A312" s="5">
        <v>310</v>
      </c>
      <c r="B312" s="5">
        <f t="shared" ca="1" si="4"/>
        <v>0.49364160972970672</v>
      </c>
      <c r="C312" s="5" t="s">
        <v>25</v>
      </c>
    </row>
    <row r="313" spans="1:3" x14ac:dyDescent="0.2">
      <c r="A313" s="5">
        <v>311</v>
      </c>
      <c r="B313" s="5">
        <f t="shared" ca="1" si="4"/>
        <v>0.53821916368787526</v>
      </c>
      <c r="C313" s="5" t="s">
        <v>24</v>
      </c>
    </row>
    <row r="314" spans="1:3" x14ac:dyDescent="0.2">
      <c r="A314" s="5">
        <v>312</v>
      </c>
      <c r="B314" s="5">
        <f t="shared" ca="1" si="4"/>
        <v>0.63018624921697297</v>
      </c>
      <c r="C314" s="5" t="s">
        <v>24</v>
      </c>
    </row>
    <row r="315" spans="1:3" x14ac:dyDescent="0.2">
      <c r="A315" s="5">
        <v>313</v>
      </c>
      <c r="B315" s="5">
        <f t="shared" ca="1" si="4"/>
        <v>0.75519006342234429</v>
      </c>
      <c r="C315" s="5" t="s">
        <v>25</v>
      </c>
    </row>
    <row r="316" spans="1:3" x14ac:dyDescent="0.2">
      <c r="A316" s="5">
        <v>314</v>
      </c>
      <c r="B316" s="5">
        <f t="shared" ca="1" si="4"/>
        <v>0.66376226737307631</v>
      </c>
      <c r="C316" s="5" t="s">
        <v>25</v>
      </c>
    </row>
    <row r="317" spans="1:3" x14ac:dyDescent="0.2">
      <c r="A317" s="5">
        <v>315</v>
      </c>
      <c r="B317" s="5">
        <f t="shared" ca="1" si="4"/>
        <v>0.89245064475177505</v>
      </c>
      <c r="C317" s="5" t="s">
        <v>24</v>
      </c>
    </row>
    <row r="318" spans="1:3" x14ac:dyDescent="0.2">
      <c r="A318" s="5">
        <v>316</v>
      </c>
      <c r="B318" s="5">
        <f t="shared" ca="1" si="4"/>
        <v>0.71813697214445038</v>
      </c>
      <c r="C318" s="5" t="s">
        <v>24</v>
      </c>
    </row>
    <row r="319" spans="1:3" x14ac:dyDescent="0.2">
      <c r="A319" s="5">
        <v>317</v>
      </c>
      <c r="B319" s="5">
        <f t="shared" ca="1" si="4"/>
        <v>0.5916999847535277</v>
      </c>
      <c r="C319" s="5" t="s">
        <v>25</v>
      </c>
    </row>
    <row r="320" spans="1:3" x14ac:dyDescent="0.2">
      <c r="A320" s="5">
        <v>318</v>
      </c>
      <c r="B320" s="5">
        <f t="shared" ca="1" si="4"/>
        <v>0.80794042183030379</v>
      </c>
      <c r="C320" s="5" t="s">
        <v>24</v>
      </c>
    </row>
    <row r="321" spans="1:3" x14ac:dyDescent="0.2">
      <c r="A321" s="5">
        <v>319</v>
      </c>
      <c r="B321" s="5">
        <f t="shared" ca="1" si="4"/>
        <v>0.36838936819703766</v>
      </c>
      <c r="C321" s="5" t="s">
        <v>25</v>
      </c>
    </row>
    <row r="322" spans="1:3" x14ac:dyDescent="0.2">
      <c r="A322" s="5">
        <v>320</v>
      </c>
      <c r="B322" s="5">
        <f t="shared" ca="1" si="4"/>
        <v>0.68871540063172432</v>
      </c>
      <c r="C322" s="5" t="s">
        <v>25</v>
      </c>
    </row>
    <row r="323" spans="1:3" x14ac:dyDescent="0.2">
      <c r="A323" s="5">
        <v>321</v>
      </c>
      <c r="B323" s="5">
        <f t="shared" ca="1" si="4"/>
        <v>0.60038456187531852</v>
      </c>
      <c r="C323" s="5" t="s">
        <v>24</v>
      </c>
    </row>
    <row r="324" spans="1:3" x14ac:dyDescent="0.2">
      <c r="A324" s="5">
        <v>322</v>
      </c>
      <c r="B324" s="5">
        <f t="shared" ref="B324:B387" ca="1" si="5">IF(C324="Bomb",_xlfn.NORM.INV(RAND(),0.7,0.1),_xlfn.NORM.INV(RAND(),0.6,0.15))</f>
        <v>0.74758761824406461</v>
      </c>
      <c r="C324" s="5" t="s">
        <v>24</v>
      </c>
    </row>
    <row r="325" spans="1:3" x14ac:dyDescent="0.2">
      <c r="A325" s="5">
        <v>323</v>
      </c>
      <c r="B325" s="5">
        <f t="shared" ca="1" si="5"/>
        <v>0.7431971802596069</v>
      </c>
      <c r="C325" s="5" t="s">
        <v>24</v>
      </c>
    </row>
    <row r="326" spans="1:3" x14ac:dyDescent="0.2">
      <c r="A326" s="5">
        <v>324</v>
      </c>
      <c r="B326" s="5">
        <f t="shared" ca="1" si="5"/>
        <v>0.47171493790301822</v>
      </c>
      <c r="C326" s="5" t="s">
        <v>25</v>
      </c>
    </row>
    <row r="327" spans="1:3" x14ac:dyDescent="0.2">
      <c r="A327" s="5">
        <v>325</v>
      </c>
      <c r="B327" s="5">
        <f t="shared" ca="1" si="5"/>
        <v>0.50322513445488937</v>
      </c>
      <c r="C327" s="5" t="s">
        <v>25</v>
      </c>
    </row>
    <row r="328" spans="1:3" x14ac:dyDescent="0.2">
      <c r="A328" s="5">
        <v>326</v>
      </c>
      <c r="B328" s="5">
        <f t="shared" ca="1" si="5"/>
        <v>0.74265760887138832</v>
      </c>
      <c r="C328" s="5" t="s">
        <v>24</v>
      </c>
    </row>
    <row r="329" spans="1:3" x14ac:dyDescent="0.2">
      <c r="A329" s="5">
        <v>327</v>
      </c>
      <c r="B329" s="5">
        <f t="shared" ca="1" si="5"/>
        <v>0.71520369299262221</v>
      </c>
      <c r="C329" s="5" t="s">
        <v>25</v>
      </c>
    </row>
    <row r="330" spans="1:3" x14ac:dyDescent="0.2">
      <c r="A330" s="5">
        <v>328</v>
      </c>
      <c r="B330" s="5">
        <f t="shared" ca="1" si="5"/>
        <v>0.56694759101038017</v>
      </c>
      <c r="C330" s="5" t="s">
        <v>25</v>
      </c>
    </row>
    <row r="331" spans="1:3" x14ac:dyDescent="0.2">
      <c r="A331" s="5">
        <v>329</v>
      </c>
      <c r="B331" s="5">
        <f t="shared" ca="1" si="5"/>
        <v>0.58732001652876842</v>
      </c>
      <c r="C331" s="5" t="s">
        <v>24</v>
      </c>
    </row>
    <row r="332" spans="1:3" x14ac:dyDescent="0.2">
      <c r="A332" s="5">
        <v>330</v>
      </c>
      <c r="B332" s="5">
        <f t="shared" ca="1" si="5"/>
        <v>0.53424908780507707</v>
      </c>
      <c r="C332" s="5" t="s">
        <v>25</v>
      </c>
    </row>
    <row r="333" spans="1:3" x14ac:dyDescent="0.2">
      <c r="A333" s="5">
        <v>331</v>
      </c>
      <c r="B333" s="5">
        <f t="shared" ca="1" si="5"/>
        <v>0.43634651679329639</v>
      </c>
      <c r="C333" s="5" t="s">
        <v>25</v>
      </c>
    </row>
    <row r="334" spans="1:3" x14ac:dyDescent="0.2">
      <c r="A334" s="5">
        <v>332</v>
      </c>
      <c r="B334" s="5">
        <f t="shared" ca="1" si="5"/>
        <v>0.61317472274738416</v>
      </c>
      <c r="C334" s="5" t="s">
        <v>24</v>
      </c>
    </row>
    <row r="335" spans="1:3" x14ac:dyDescent="0.2">
      <c r="A335" s="5">
        <v>333</v>
      </c>
      <c r="B335" s="5">
        <f t="shared" ca="1" si="5"/>
        <v>0.50858950591870689</v>
      </c>
      <c r="C335" s="5" t="s">
        <v>25</v>
      </c>
    </row>
    <row r="336" spans="1:3" x14ac:dyDescent="0.2">
      <c r="A336" s="5">
        <v>334</v>
      </c>
      <c r="B336" s="5">
        <f t="shared" ca="1" si="5"/>
        <v>0.53202094450914827</v>
      </c>
      <c r="C336" s="5" t="s">
        <v>25</v>
      </c>
    </row>
    <row r="337" spans="1:3" x14ac:dyDescent="0.2">
      <c r="A337" s="5">
        <v>335</v>
      </c>
      <c r="B337" s="5">
        <f t="shared" ca="1" si="5"/>
        <v>0.52415267113219743</v>
      </c>
      <c r="C337" s="5" t="s">
        <v>25</v>
      </c>
    </row>
    <row r="338" spans="1:3" x14ac:dyDescent="0.2">
      <c r="A338" s="5">
        <v>336</v>
      </c>
      <c r="B338" s="5">
        <f t="shared" ca="1" si="5"/>
        <v>0.72326951437232234</v>
      </c>
      <c r="C338" s="5" t="s">
        <v>24</v>
      </c>
    </row>
    <row r="339" spans="1:3" x14ac:dyDescent="0.2">
      <c r="A339" s="5">
        <v>337</v>
      </c>
      <c r="B339" s="5">
        <f t="shared" ca="1" si="5"/>
        <v>0.72266693905299051</v>
      </c>
      <c r="C339" s="5" t="s">
        <v>24</v>
      </c>
    </row>
    <row r="340" spans="1:3" x14ac:dyDescent="0.2">
      <c r="A340" s="5">
        <v>338</v>
      </c>
      <c r="B340" s="5">
        <f t="shared" ca="1" si="5"/>
        <v>0.55068119635387847</v>
      </c>
      <c r="C340" s="5" t="s">
        <v>24</v>
      </c>
    </row>
    <row r="341" spans="1:3" x14ac:dyDescent="0.2">
      <c r="A341" s="5">
        <v>339</v>
      </c>
      <c r="B341" s="5">
        <f t="shared" ca="1" si="5"/>
        <v>0.63754466555106815</v>
      </c>
      <c r="C341" s="5" t="s">
        <v>25</v>
      </c>
    </row>
    <row r="342" spans="1:3" x14ac:dyDescent="0.2">
      <c r="A342" s="5">
        <v>340</v>
      </c>
      <c r="B342" s="5">
        <f t="shared" ca="1" si="5"/>
        <v>0.51834575339897437</v>
      </c>
      <c r="C342" s="5" t="s">
        <v>25</v>
      </c>
    </row>
    <row r="343" spans="1:3" x14ac:dyDescent="0.2">
      <c r="A343" s="5">
        <v>341</v>
      </c>
      <c r="B343" s="5">
        <f t="shared" ca="1" si="5"/>
        <v>0.59983701758018448</v>
      </c>
      <c r="C343" s="5" t="s">
        <v>25</v>
      </c>
    </row>
    <row r="344" spans="1:3" x14ac:dyDescent="0.2">
      <c r="A344" s="5">
        <v>342</v>
      </c>
      <c r="B344" s="5">
        <f t="shared" ca="1" si="5"/>
        <v>0.55130981608910856</v>
      </c>
      <c r="C344" s="5" t="s">
        <v>25</v>
      </c>
    </row>
    <row r="345" spans="1:3" x14ac:dyDescent="0.2">
      <c r="A345" s="5">
        <v>343</v>
      </c>
      <c r="B345" s="5">
        <f t="shared" ca="1" si="5"/>
        <v>0.78317101173157</v>
      </c>
      <c r="C345" s="5" t="s">
        <v>24</v>
      </c>
    </row>
    <row r="346" spans="1:3" x14ac:dyDescent="0.2">
      <c r="A346" s="5">
        <v>344</v>
      </c>
      <c r="B346" s="5">
        <f t="shared" ca="1" si="5"/>
        <v>0.68149211019880351</v>
      </c>
      <c r="C346" s="5" t="s">
        <v>24</v>
      </c>
    </row>
    <row r="347" spans="1:3" x14ac:dyDescent="0.2">
      <c r="A347" s="5">
        <v>345</v>
      </c>
      <c r="B347" s="5">
        <f t="shared" ca="1" si="5"/>
        <v>0.40785851940586826</v>
      </c>
      <c r="C347" s="5" t="s">
        <v>25</v>
      </c>
    </row>
    <row r="348" spans="1:3" x14ac:dyDescent="0.2">
      <c r="A348" s="5">
        <v>346</v>
      </c>
      <c r="B348" s="5">
        <f t="shared" ca="1" si="5"/>
        <v>0.57150587875083247</v>
      </c>
      <c r="C348" s="5" t="s">
        <v>24</v>
      </c>
    </row>
    <row r="349" spans="1:3" x14ac:dyDescent="0.2">
      <c r="A349" s="5">
        <v>347</v>
      </c>
      <c r="B349" s="5">
        <f t="shared" ca="1" si="5"/>
        <v>0.65958329952948813</v>
      </c>
      <c r="C349" s="5" t="s">
        <v>25</v>
      </c>
    </row>
    <row r="350" spans="1:3" x14ac:dyDescent="0.2">
      <c r="A350" s="5">
        <v>348</v>
      </c>
      <c r="B350" s="5">
        <f t="shared" ca="1" si="5"/>
        <v>0.76793885729834832</v>
      </c>
      <c r="C350" s="5" t="s">
        <v>24</v>
      </c>
    </row>
    <row r="351" spans="1:3" x14ac:dyDescent="0.2">
      <c r="A351" s="5">
        <v>349</v>
      </c>
      <c r="B351" s="5">
        <f t="shared" ca="1" si="5"/>
        <v>0.47971073343352366</v>
      </c>
      <c r="C351" s="5" t="s">
        <v>24</v>
      </c>
    </row>
    <row r="352" spans="1:3" x14ac:dyDescent="0.2">
      <c r="A352" s="5">
        <v>350</v>
      </c>
      <c r="B352" s="5">
        <f t="shared" ca="1" si="5"/>
        <v>0.56525326287842126</v>
      </c>
      <c r="C352" s="5" t="s">
        <v>25</v>
      </c>
    </row>
    <row r="353" spans="1:3" x14ac:dyDescent="0.2">
      <c r="A353" s="5">
        <v>351</v>
      </c>
      <c r="B353" s="5">
        <f t="shared" ca="1" si="5"/>
        <v>0.61365012601696545</v>
      </c>
      <c r="C353" s="5" t="s">
        <v>25</v>
      </c>
    </row>
    <row r="354" spans="1:3" x14ac:dyDescent="0.2">
      <c r="A354" s="5">
        <v>352</v>
      </c>
      <c r="B354" s="5">
        <f t="shared" ca="1" si="5"/>
        <v>0.78569046285526045</v>
      </c>
      <c r="C354" s="5" t="s">
        <v>25</v>
      </c>
    </row>
    <row r="355" spans="1:3" x14ac:dyDescent="0.2">
      <c r="A355" s="5">
        <v>353</v>
      </c>
      <c r="B355" s="5">
        <f t="shared" ca="1" si="5"/>
        <v>0.58117664394857471</v>
      </c>
      <c r="C355" s="5" t="s">
        <v>24</v>
      </c>
    </row>
    <row r="356" spans="1:3" x14ac:dyDescent="0.2">
      <c r="A356" s="5">
        <v>354</v>
      </c>
      <c r="B356" s="5">
        <f t="shared" ca="1" si="5"/>
        <v>0.88802122442872977</v>
      </c>
      <c r="C356" s="5" t="s">
        <v>24</v>
      </c>
    </row>
    <row r="357" spans="1:3" x14ac:dyDescent="0.2">
      <c r="A357" s="5">
        <v>355</v>
      </c>
      <c r="B357" s="5">
        <f t="shared" ca="1" si="5"/>
        <v>0.74052580061175277</v>
      </c>
      <c r="C357" s="5" t="s">
        <v>24</v>
      </c>
    </row>
    <row r="358" spans="1:3" x14ac:dyDescent="0.2">
      <c r="A358" s="5">
        <v>356</v>
      </c>
      <c r="B358" s="5">
        <f t="shared" ca="1" si="5"/>
        <v>0.5153604374362839</v>
      </c>
      <c r="C358" s="5" t="s">
        <v>24</v>
      </c>
    </row>
    <row r="359" spans="1:3" x14ac:dyDescent="0.2">
      <c r="A359" s="5">
        <v>357</v>
      </c>
      <c r="B359" s="5">
        <f t="shared" ca="1" si="5"/>
        <v>0.60416992083679011</v>
      </c>
      <c r="C359" s="5" t="s">
        <v>25</v>
      </c>
    </row>
    <row r="360" spans="1:3" x14ac:dyDescent="0.2">
      <c r="A360" s="5">
        <v>358</v>
      </c>
      <c r="B360" s="5">
        <f t="shared" ca="1" si="5"/>
        <v>0.58655048684883915</v>
      </c>
      <c r="C360" s="5" t="s">
        <v>24</v>
      </c>
    </row>
    <row r="361" spans="1:3" x14ac:dyDescent="0.2">
      <c r="A361" s="5">
        <v>359</v>
      </c>
      <c r="B361" s="5">
        <f t="shared" ca="1" si="5"/>
        <v>0.38144930740609861</v>
      </c>
      <c r="C361" s="5" t="s">
        <v>25</v>
      </c>
    </row>
    <row r="362" spans="1:3" x14ac:dyDescent="0.2">
      <c r="A362" s="5">
        <v>360</v>
      </c>
      <c r="B362" s="5">
        <f t="shared" ca="1" si="5"/>
        <v>0.53233231072232345</v>
      </c>
      <c r="C362" s="5" t="s">
        <v>25</v>
      </c>
    </row>
    <row r="363" spans="1:3" x14ac:dyDescent="0.2">
      <c r="A363" s="5">
        <v>361</v>
      </c>
      <c r="B363" s="5">
        <f t="shared" ca="1" si="5"/>
        <v>0.73811160220059535</v>
      </c>
      <c r="C363" s="5" t="s">
        <v>24</v>
      </c>
    </row>
    <row r="364" spans="1:3" x14ac:dyDescent="0.2">
      <c r="A364" s="5">
        <v>362</v>
      </c>
      <c r="B364" s="5">
        <f t="shared" ca="1" si="5"/>
        <v>0.6185112346647077</v>
      </c>
      <c r="C364" s="5" t="s">
        <v>24</v>
      </c>
    </row>
    <row r="365" spans="1:3" x14ac:dyDescent="0.2">
      <c r="A365" s="5">
        <v>363</v>
      </c>
      <c r="B365" s="5">
        <f t="shared" ca="1" si="5"/>
        <v>0.75011804149154149</v>
      </c>
      <c r="C365" s="5" t="s">
        <v>25</v>
      </c>
    </row>
    <row r="366" spans="1:3" x14ac:dyDescent="0.2">
      <c r="A366" s="5">
        <v>364</v>
      </c>
      <c r="B366" s="5">
        <f t="shared" ca="1" si="5"/>
        <v>0.47367843779262297</v>
      </c>
      <c r="C366" s="5" t="s">
        <v>24</v>
      </c>
    </row>
    <row r="367" spans="1:3" x14ac:dyDescent="0.2">
      <c r="A367" s="5">
        <v>365</v>
      </c>
      <c r="B367" s="5">
        <f t="shared" ca="1" si="5"/>
        <v>0.59194003739286516</v>
      </c>
      <c r="C367" s="5" t="s">
        <v>25</v>
      </c>
    </row>
    <row r="368" spans="1:3" x14ac:dyDescent="0.2">
      <c r="A368" s="5">
        <v>366</v>
      </c>
      <c r="B368" s="5">
        <f t="shared" ca="1" si="5"/>
        <v>0.62765805696119903</v>
      </c>
      <c r="C368" s="5" t="s">
        <v>25</v>
      </c>
    </row>
    <row r="369" spans="1:3" x14ac:dyDescent="0.2">
      <c r="A369" s="5">
        <v>367</v>
      </c>
      <c r="B369" s="5">
        <f t="shared" ca="1" si="5"/>
        <v>0.73522997839878457</v>
      </c>
      <c r="C369" s="5" t="s">
        <v>24</v>
      </c>
    </row>
    <row r="370" spans="1:3" x14ac:dyDescent="0.2">
      <c r="A370" s="5">
        <v>368</v>
      </c>
      <c r="B370" s="5">
        <f t="shared" ca="1" si="5"/>
        <v>0.71159888353854128</v>
      </c>
      <c r="C370" s="5" t="s">
        <v>24</v>
      </c>
    </row>
    <row r="371" spans="1:3" x14ac:dyDescent="0.2">
      <c r="A371" s="5">
        <v>369</v>
      </c>
      <c r="B371" s="5">
        <f t="shared" ca="1" si="5"/>
        <v>0.42147888720260179</v>
      </c>
      <c r="C371" s="5" t="s">
        <v>25</v>
      </c>
    </row>
    <row r="372" spans="1:3" x14ac:dyDescent="0.2">
      <c r="A372" s="5">
        <v>370</v>
      </c>
      <c r="B372" s="5">
        <f t="shared" ca="1" si="5"/>
        <v>0.65791372733234699</v>
      </c>
      <c r="C372" s="5" t="s">
        <v>24</v>
      </c>
    </row>
    <row r="373" spans="1:3" x14ac:dyDescent="0.2">
      <c r="A373" s="5">
        <v>371</v>
      </c>
      <c r="B373" s="5">
        <f t="shared" ca="1" si="5"/>
        <v>0.60030542053414149</v>
      </c>
      <c r="C373" s="5" t="s">
        <v>24</v>
      </c>
    </row>
    <row r="374" spans="1:3" x14ac:dyDescent="0.2">
      <c r="A374" s="5">
        <v>372</v>
      </c>
      <c r="B374" s="5">
        <f t="shared" ca="1" si="5"/>
        <v>0.68489726679762897</v>
      </c>
      <c r="C374" s="5" t="s">
        <v>25</v>
      </c>
    </row>
    <row r="375" spans="1:3" x14ac:dyDescent="0.2">
      <c r="A375" s="5">
        <v>373</v>
      </c>
      <c r="B375" s="5">
        <f t="shared" ca="1" si="5"/>
        <v>0.57731372556533633</v>
      </c>
      <c r="C375" s="5" t="s">
        <v>24</v>
      </c>
    </row>
    <row r="376" spans="1:3" x14ac:dyDescent="0.2">
      <c r="A376" s="5">
        <v>374</v>
      </c>
      <c r="B376" s="5">
        <f t="shared" ca="1" si="5"/>
        <v>0.77232825290531126</v>
      </c>
      <c r="C376" s="5" t="s">
        <v>24</v>
      </c>
    </row>
    <row r="377" spans="1:3" x14ac:dyDescent="0.2">
      <c r="A377" s="5">
        <v>375</v>
      </c>
      <c r="B377" s="5">
        <f t="shared" ca="1" si="5"/>
        <v>0.59287754564491379</v>
      </c>
      <c r="C377" s="5" t="s">
        <v>25</v>
      </c>
    </row>
    <row r="378" spans="1:3" x14ac:dyDescent="0.2">
      <c r="A378" s="5">
        <v>376</v>
      </c>
      <c r="B378" s="5">
        <f t="shared" ca="1" si="5"/>
        <v>0.86416813554638827</v>
      </c>
      <c r="C378" s="5" t="s">
        <v>24</v>
      </c>
    </row>
    <row r="379" spans="1:3" x14ac:dyDescent="0.2">
      <c r="A379" s="5">
        <v>377</v>
      </c>
      <c r="B379" s="5">
        <f t="shared" ca="1" si="5"/>
        <v>0.69020400499733603</v>
      </c>
      <c r="C379" s="5" t="s">
        <v>24</v>
      </c>
    </row>
    <row r="380" spans="1:3" x14ac:dyDescent="0.2">
      <c r="A380" s="5">
        <v>378</v>
      </c>
      <c r="B380" s="5">
        <f t="shared" ca="1" si="5"/>
        <v>0.70010501134206871</v>
      </c>
      <c r="C380" s="5" t="s">
        <v>24</v>
      </c>
    </row>
    <row r="381" spans="1:3" x14ac:dyDescent="0.2">
      <c r="A381" s="5">
        <v>379</v>
      </c>
      <c r="B381" s="5">
        <f t="shared" ca="1" si="5"/>
        <v>0.69310682674417534</v>
      </c>
      <c r="C381" s="5" t="s">
        <v>24</v>
      </c>
    </row>
    <row r="382" spans="1:3" x14ac:dyDescent="0.2">
      <c r="A382" s="5">
        <v>380</v>
      </c>
      <c r="B382" s="5">
        <f t="shared" ca="1" si="5"/>
        <v>0.55803556624674744</v>
      </c>
      <c r="C382" s="5" t="s">
        <v>24</v>
      </c>
    </row>
    <row r="383" spans="1:3" x14ac:dyDescent="0.2">
      <c r="A383" s="5">
        <v>381</v>
      </c>
      <c r="B383" s="5">
        <f t="shared" ca="1" si="5"/>
        <v>0.85956476387521819</v>
      </c>
      <c r="C383" s="5" t="s">
        <v>24</v>
      </c>
    </row>
    <row r="384" spans="1:3" x14ac:dyDescent="0.2">
      <c r="A384" s="5">
        <v>382</v>
      </c>
      <c r="B384" s="5">
        <f t="shared" ca="1" si="5"/>
        <v>0.53881039382189633</v>
      </c>
      <c r="C384" s="5" t="s">
        <v>24</v>
      </c>
    </row>
    <row r="385" spans="1:3" x14ac:dyDescent="0.2">
      <c r="A385" s="5">
        <v>383</v>
      </c>
      <c r="B385" s="5">
        <f t="shared" ca="1" si="5"/>
        <v>0.83403362032427664</v>
      </c>
      <c r="C385" s="5" t="s">
        <v>25</v>
      </c>
    </row>
    <row r="386" spans="1:3" x14ac:dyDescent="0.2">
      <c r="A386" s="5">
        <v>384</v>
      </c>
      <c r="B386" s="5">
        <f t="shared" ca="1" si="5"/>
        <v>0.51748411768189817</v>
      </c>
      <c r="C386" s="5" t="s">
        <v>24</v>
      </c>
    </row>
    <row r="387" spans="1:3" x14ac:dyDescent="0.2">
      <c r="A387" s="5">
        <v>385</v>
      </c>
      <c r="B387" s="5">
        <f t="shared" ca="1" si="5"/>
        <v>0.53713526345945894</v>
      </c>
      <c r="C387" s="5" t="s">
        <v>25</v>
      </c>
    </row>
    <row r="388" spans="1:3" x14ac:dyDescent="0.2">
      <c r="A388" s="5">
        <v>386</v>
      </c>
      <c r="B388" s="5">
        <f t="shared" ref="B388:B451" ca="1" si="6">IF(C388="Bomb",_xlfn.NORM.INV(RAND(),0.7,0.1),_xlfn.NORM.INV(RAND(),0.6,0.15))</f>
        <v>0.73314726839193656</v>
      </c>
      <c r="C388" s="5" t="s">
        <v>25</v>
      </c>
    </row>
    <row r="389" spans="1:3" x14ac:dyDescent="0.2">
      <c r="A389" s="5">
        <v>387</v>
      </c>
      <c r="B389" s="5">
        <f t="shared" ca="1" si="6"/>
        <v>0.61407867127762183</v>
      </c>
      <c r="C389" s="5" t="s">
        <v>25</v>
      </c>
    </row>
    <row r="390" spans="1:3" x14ac:dyDescent="0.2">
      <c r="A390" s="5">
        <v>388</v>
      </c>
      <c r="B390" s="5">
        <f t="shared" ca="1" si="6"/>
        <v>0.64581232889722151</v>
      </c>
      <c r="C390" s="5" t="s">
        <v>25</v>
      </c>
    </row>
    <row r="391" spans="1:3" x14ac:dyDescent="0.2">
      <c r="A391" s="5">
        <v>389</v>
      </c>
      <c r="B391" s="5">
        <f t="shared" ca="1" si="6"/>
        <v>0.57964612823726058</v>
      </c>
      <c r="C391" s="5" t="s">
        <v>25</v>
      </c>
    </row>
    <row r="392" spans="1:3" x14ac:dyDescent="0.2">
      <c r="A392" s="5">
        <v>390</v>
      </c>
      <c r="B392" s="5">
        <f t="shared" ca="1" si="6"/>
        <v>0.6708006063564268</v>
      </c>
      <c r="C392" s="5" t="s">
        <v>24</v>
      </c>
    </row>
    <row r="393" spans="1:3" x14ac:dyDescent="0.2">
      <c r="A393" s="5">
        <v>391</v>
      </c>
      <c r="B393" s="5">
        <f t="shared" ca="1" si="6"/>
        <v>0.71437824429594965</v>
      </c>
      <c r="C393" s="5" t="s">
        <v>24</v>
      </c>
    </row>
    <row r="394" spans="1:3" x14ac:dyDescent="0.2">
      <c r="A394" s="5">
        <v>392</v>
      </c>
      <c r="B394" s="5">
        <f t="shared" ca="1" si="6"/>
        <v>0.48877302361328656</v>
      </c>
      <c r="C394" s="5" t="s">
        <v>25</v>
      </c>
    </row>
    <row r="395" spans="1:3" x14ac:dyDescent="0.2">
      <c r="A395" s="5">
        <v>393</v>
      </c>
      <c r="B395" s="5">
        <f t="shared" ca="1" si="6"/>
        <v>0.62434107116272053</v>
      </c>
      <c r="C395" s="5" t="s">
        <v>25</v>
      </c>
    </row>
    <row r="396" spans="1:3" x14ac:dyDescent="0.2">
      <c r="A396" s="5">
        <v>394</v>
      </c>
      <c r="B396" s="5">
        <f t="shared" ca="1" si="6"/>
        <v>0.55116790585870146</v>
      </c>
      <c r="C396" s="5" t="s">
        <v>25</v>
      </c>
    </row>
    <row r="397" spans="1:3" x14ac:dyDescent="0.2">
      <c r="A397" s="5">
        <v>395</v>
      </c>
      <c r="B397" s="5">
        <f t="shared" ca="1" si="6"/>
        <v>0.76231654452305597</v>
      </c>
      <c r="C397" s="5" t="s">
        <v>24</v>
      </c>
    </row>
    <row r="398" spans="1:3" x14ac:dyDescent="0.2">
      <c r="A398" s="5">
        <v>396</v>
      </c>
      <c r="B398" s="5">
        <f t="shared" ca="1" si="6"/>
        <v>0.77670411304027198</v>
      </c>
      <c r="C398" s="5" t="s">
        <v>24</v>
      </c>
    </row>
    <row r="399" spans="1:3" x14ac:dyDescent="0.2">
      <c r="A399" s="5">
        <v>397</v>
      </c>
      <c r="B399" s="5">
        <f t="shared" ca="1" si="6"/>
        <v>0.60777366466149207</v>
      </c>
      <c r="C399" s="5" t="s">
        <v>25</v>
      </c>
    </row>
    <row r="400" spans="1:3" x14ac:dyDescent="0.2">
      <c r="A400" s="5">
        <v>398</v>
      </c>
      <c r="B400" s="5">
        <f t="shared" ca="1" si="6"/>
        <v>0.67892185438926345</v>
      </c>
      <c r="C400" s="5" t="s">
        <v>24</v>
      </c>
    </row>
    <row r="401" spans="1:3" x14ac:dyDescent="0.2">
      <c r="A401" s="5">
        <v>399</v>
      </c>
      <c r="B401" s="5">
        <f t="shared" ca="1" si="6"/>
        <v>0.59486690813026433</v>
      </c>
      <c r="C401" s="5" t="s">
        <v>25</v>
      </c>
    </row>
    <row r="402" spans="1:3" x14ac:dyDescent="0.2">
      <c r="A402" s="5">
        <v>400</v>
      </c>
      <c r="B402" s="5">
        <f t="shared" ca="1" si="6"/>
        <v>0.74146779483247605</v>
      </c>
      <c r="C402" s="5" t="s">
        <v>24</v>
      </c>
    </row>
    <row r="403" spans="1:3" x14ac:dyDescent="0.2">
      <c r="A403" s="5">
        <v>401</v>
      </c>
      <c r="B403" s="5">
        <f t="shared" ca="1" si="6"/>
        <v>0.25949880675580933</v>
      </c>
      <c r="C403" s="5" t="s">
        <v>25</v>
      </c>
    </row>
    <row r="404" spans="1:3" x14ac:dyDescent="0.2">
      <c r="A404" s="5">
        <v>402</v>
      </c>
      <c r="B404" s="5">
        <f t="shared" ca="1" si="6"/>
        <v>0.52469081479404389</v>
      </c>
      <c r="C404" s="5" t="s">
        <v>25</v>
      </c>
    </row>
    <row r="405" spans="1:3" x14ac:dyDescent="0.2">
      <c r="A405" s="5">
        <v>403</v>
      </c>
      <c r="B405" s="5">
        <f t="shared" ca="1" si="6"/>
        <v>0.49544757288865049</v>
      </c>
      <c r="C405" s="5" t="s">
        <v>25</v>
      </c>
    </row>
    <row r="406" spans="1:3" x14ac:dyDescent="0.2">
      <c r="A406" s="5">
        <v>404</v>
      </c>
      <c r="B406" s="5">
        <f t="shared" ca="1" si="6"/>
        <v>0.77443926690172649</v>
      </c>
      <c r="C406" s="5" t="s">
        <v>24</v>
      </c>
    </row>
    <row r="407" spans="1:3" x14ac:dyDescent="0.2">
      <c r="A407" s="5">
        <v>405</v>
      </c>
      <c r="B407" s="5">
        <f t="shared" ca="1" si="6"/>
        <v>0.61662631071670493</v>
      </c>
      <c r="C407" s="5" t="s">
        <v>24</v>
      </c>
    </row>
    <row r="408" spans="1:3" x14ac:dyDescent="0.2">
      <c r="A408" s="5">
        <v>406</v>
      </c>
      <c r="B408" s="5">
        <f t="shared" ca="1" si="6"/>
        <v>0.56346584199160354</v>
      </c>
      <c r="C408" s="5" t="s">
        <v>25</v>
      </c>
    </row>
    <row r="409" spans="1:3" x14ac:dyDescent="0.2">
      <c r="A409" s="5">
        <v>407</v>
      </c>
      <c r="B409" s="5">
        <f t="shared" ca="1" si="6"/>
        <v>0.73348364153681667</v>
      </c>
      <c r="C409" s="5" t="s">
        <v>25</v>
      </c>
    </row>
    <row r="410" spans="1:3" x14ac:dyDescent="0.2">
      <c r="A410" s="5">
        <v>408</v>
      </c>
      <c r="B410" s="5">
        <f t="shared" ca="1" si="6"/>
        <v>0.88833990602093482</v>
      </c>
      <c r="C410" s="5" t="s">
        <v>24</v>
      </c>
    </row>
    <row r="411" spans="1:3" x14ac:dyDescent="0.2">
      <c r="A411" s="5">
        <v>409</v>
      </c>
      <c r="B411" s="5">
        <f t="shared" ca="1" si="6"/>
        <v>0.48812761151531275</v>
      </c>
      <c r="C411" s="5" t="s">
        <v>24</v>
      </c>
    </row>
    <row r="412" spans="1:3" x14ac:dyDescent="0.2">
      <c r="A412" s="5">
        <v>410</v>
      </c>
      <c r="B412" s="5">
        <f t="shared" ca="1" si="6"/>
        <v>0.56654448290371962</v>
      </c>
      <c r="C412" s="5" t="s">
        <v>24</v>
      </c>
    </row>
    <row r="413" spans="1:3" x14ac:dyDescent="0.2">
      <c r="A413" s="5">
        <v>411</v>
      </c>
      <c r="B413" s="5">
        <f t="shared" ca="1" si="6"/>
        <v>0.52803859656545704</v>
      </c>
      <c r="C413" s="5" t="s">
        <v>25</v>
      </c>
    </row>
    <row r="414" spans="1:3" x14ac:dyDescent="0.2">
      <c r="A414" s="5">
        <v>412</v>
      </c>
      <c r="B414" s="5">
        <f t="shared" ca="1" si="6"/>
        <v>0.30000447508687927</v>
      </c>
      <c r="C414" s="5" t="s">
        <v>25</v>
      </c>
    </row>
    <row r="415" spans="1:3" x14ac:dyDescent="0.2">
      <c r="A415" s="5">
        <v>413</v>
      </c>
      <c r="B415" s="5">
        <f t="shared" ca="1" si="6"/>
        <v>0.60312355164941511</v>
      </c>
      <c r="C415" s="5" t="s">
        <v>24</v>
      </c>
    </row>
    <row r="416" spans="1:3" x14ac:dyDescent="0.2">
      <c r="A416" s="5">
        <v>414</v>
      </c>
      <c r="B416" s="5">
        <f t="shared" ca="1" si="6"/>
        <v>0.76384338711023336</v>
      </c>
      <c r="C416" s="5" t="s">
        <v>24</v>
      </c>
    </row>
    <row r="417" spans="1:3" x14ac:dyDescent="0.2">
      <c r="A417" s="5">
        <v>415</v>
      </c>
      <c r="B417" s="5">
        <f t="shared" ca="1" si="6"/>
        <v>0.57839156668116598</v>
      </c>
      <c r="C417" s="5" t="s">
        <v>25</v>
      </c>
    </row>
    <row r="418" spans="1:3" x14ac:dyDescent="0.2">
      <c r="A418" s="5">
        <v>416</v>
      </c>
      <c r="B418" s="5">
        <f t="shared" ca="1" si="6"/>
        <v>0.84325681180864687</v>
      </c>
      <c r="C418" s="5" t="s">
        <v>24</v>
      </c>
    </row>
    <row r="419" spans="1:3" x14ac:dyDescent="0.2">
      <c r="A419" s="5">
        <v>417</v>
      </c>
      <c r="B419" s="5">
        <f t="shared" ca="1" si="6"/>
        <v>0.74591091961750411</v>
      </c>
      <c r="C419" s="5" t="s">
        <v>24</v>
      </c>
    </row>
    <row r="420" spans="1:3" x14ac:dyDescent="0.2">
      <c r="A420" s="5">
        <v>418</v>
      </c>
      <c r="B420" s="5">
        <f t="shared" ca="1" si="6"/>
        <v>0.67301733666458297</v>
      </c>
      <c r="C420" s="5" t="s">
        <v>25</v>
      </c>
    </row>
    <row r="421" spans="1:3" x14ac:dyDescent="0.2">
      <c r="A421" s="5">
        <v>419</v>
      </c>
      <c r="B421" s="5">
        <f t="shared" ca="1" si="6"/>
        <v>0.64545371681436869</v>
      </c>
      <c r="C421" s="5" t="s">
        <v>25</v>
      </c>
    </row>
    <row r="422" spans="1:3" x14ac:dyDescent="0.2">
      <c r="A422" s="5">
        <v>420</v>
      </c>
      <c r="B422" s="5">
        <f t="shared" ca="1" si="6"/>
        <v>0.55841044181989741</v>
      </c>
      <c r="C422" s="5" t="s">
        <v>24</v>
      </c>
    </row>
    <row r="423" spans="1:3" x14ac:dyDescent="0.2">
      <c r="A423" s="5">
        <v>421</v>
      </c>
      <c r="B423" s="5">
        <f t="shared" ca="1" si="6"/>
        <v>0.83290443407178361</v>
      </c>
      <c r="C423" s="5" t="s">
        <v>24</v>
      </c>
    </row>
    <row r="424" spans="1:3" x14ac:dyDescent="0.2">
      <c r="A424" s="5">
        <v>422</v>
      </c>
      <c r="B424" s="5">
        <f t="shared" ca="1" si="6"/>
        <v>0.77879467377699108</v>
      </c>
      <c r="C424" s="5" t="s">
        <v>25</v>
      </c>
    </row>
    <row r="425" spans="1:3" x14ac:dyDescent="0.2">
      <c r="A425" s="5">
        <v>423</v>
      </c>
      <c r="B425" s="5">
        <f t="shared" ca="1" si="6"/>
        <v>0.62323339626836416</v>
      </c>
      <c r="C425" s="5" t="s">
        <v>25</v>
      </c>
    </row>
    <row r="426" spans="1:3" x14ac:dyDescent="0.2">
      <c r="A426" s="5">
        <v>424</v>
      </c>
      <c r="B426" s="5">
        <f t="shared" ca="1" si="6"/>
        <v>0.62701949964034731</v>
      </c>
      <c r="C426" s="5" t="s">
        <v>25</v>
      </c>
    </row>
    <row r="427" spans="1:3" x14ac:dyDescent="0.2">
      <c r="A427" s="5">
        <v>425</v>
      </c>
      <c r="B427" s="5">
        <f t="shared" ca="1" si="6"/>
        <v>0.74124676343432983</v>
      </c>
      <c r="C427" s="5" t="s">
        <v>24</v>
      </c>
    </row>
    <row r="428" spans="1:3" x14ac:dyDescent="0.2">
      <c r="A428" s="5">
        <v>426</v>
      </c>
      <c r="B428" s="5">
        <f t="shared" ca="1" si="6"/>
        <v>0.81587097900179872</v>
      </c>
      <c r="C428" s="5" t="s">
        <v>25</v>
      </c>
    </row>
    <row r="429" spans="1:3" x14ac:dyDescent="0.2">
      <c r="A429" s="5">
        <v>427</v>
      </c>
      <c r="B429" s="5">
        <f t="shared" ca="1" si="6"/>
        <v>0.71639897288376198</v>
      </c>
      <c r="C429" s="5" t="s">
        <v>24</v>
      </c>
    </row>
    <row r="430" spans="1:3" x14ac:dyDescent="0.2">
      <c r="A430" s="5">
        <v>428</v>
      </c>
      <c r="B430" s="5">
        <f t="shared" ca="1" si="6"/>
        <v>0.83808491083685976</v>
      </c>
      <c r="C430" s="5" t="s">
        <v>25</v>
      </c>
    </row>
    <row r="431" spans="1:3" x14ac:dyDescent="0.2">
      <c r="A431" s="5">
        <v>429</v>
      </c>
      <c r="B431" s="5">
        <f t="shared" ca="1" si="6"/>
        <v>0.79063621996356437</v>
      </c>
      <c r="C431" s="5" t="s">
        <v>25</v>
      </c>
    </row>
    <row r="432" spans="1:3" x14ac:dyDescent="0.2">
      <c r="A432" s="5">
        <v>430</v>
      </c>
      <c r="B432" s="5">
        <f t="shared" ca="1" si="6"/>
        <v>0.60635024070840216</v>
      </c>
      <c r="C432" s="5" t="s">
        <v>24</v>
      </c>
    </row>
    <row r="433" spans="1:3" x14ac:dyDescent="0.2">
      <c r="A433" s="5">
        <v>431</v>
      </c>
      <c r="B433" s="5">
        <f t="shared" ca="1" si="6"/>
        <v>0.61407056940518823</v>
      </c>
      <c r="C433" s="5" t="s">
        <v>24</v>
      </c>
    </row>
    <row r="434" spans="1:3" x14ac:dyDescent="0.2">
      <c r="A434" s="5">
        <v>432</v>
      </c>
      <c r="B434" s="5">
        <f t="shared" ca="1" si="6"/>
        <v>0.5225148064692019</v>
      </c>
      <c r="C434" s="5" t="s">
        <v>25</v>
      </c>
    </row>
    <row r="435" spans="1:3" x14ac:dyDescent="0.2">
      <c r="A435" s="5">
        <v>433</v>
      </c>
      <c r="B435" s="5">
        <f t="shared" ca="1" si="6"/>
        <v>0.7196817733584252</v>
      </c>
      <c r="C435" s="5" t="s">
        <v>24</v>
      </c>
    </row>
    <row r="436" spans="1:3" x14ac:dyDescent="0.2">
      <c r="A436" s="5">
        <v>434</v>
      </c>
      <c r="B436" s="5">
        <f t="shared" ca="1" si="6"/>
        <v>0.68421080386156097</v>
      </c>
      <c r="C436" s="5" t="s">
        <v>25</v>
      </c>
    </row>
    <row r="437" spans="1:3" x14ac:dyDescent="0.2">
      <c r="A437" s="5">
        <v>435</v>
      </c>
      <c r="B437" s="5">
        <f t="shared" ca="1" si="6"/>
        <v>0.77628910090965286</v>
      </c>
      <c r="C437" s="5" t="s">
        <v>24</v>
      </c>
    </row>
    <row r="438" spans="1:3" x14ac:dyDescent="0.2">
      <c r="A438" s="5">
        <v>436</v>
      </c>
      <c r="B438" s="5">
        <f t="shared" ca="1" si="6"/>
        <v>0.84492580501965397</v>
      </c>
      <c r="C438" s="5" t="s">
        <v>24</v>
      </c>
    </row>
    <row r="439" spans="1:3" x14ac:dyDescent="0.2">
      <c r="A439" s="5">
        <v>437</v>
      </c>
      <c r="B439" s="5">
        <f t="shared" ca="1" si="6"/>
        <v>0.41545409787104215</v>
      </c>
      <c r="C439" s="5" t="s">
        <v>25</v>
      </c>
    </row>
    <row r="440" spans="1:3" x14ac:dyDescent="0.2">
      <c r="A440" s="5">
        <v>438</v>
      </c>
      <c r="B440" s="5">
        <f t="shared" ca="1" si="6"/>
        <v>0.85922036129793611</v>
      </c>
      <c r="C440" s="5" t="s">
        <v>24</v>
      </c>
    </row>
    <row r="441" spans="1:3" x14ac:dyDescent="0.2">
      <c r="A441" s="5">
        <v>439</v>
      </c>
      <c r="B441" s="5">
        <f t="shared" ca="1" si="6"/>
        <v>0.59757683938555728</v>
      </c>
      <c r="C441" s="5" t="s">
        <v>24</v>
      </c>
    </row>
    <row r="442" spans="1:3" x14ac:dyDescent="0.2">
      <c r="A442" s="5">
        <v>440</v>
      </c>
      <c r="B442" s="5">
        <f t="shared" ca="1" si="6"/>
        <v>0.55781672271885108</v>
      </c>
      <c r="C442" s="5" t="s">
        <v>24</v>
      </c>
    </row>
    <row r="443" spans="1:3" x14ac:dyDescent="0.2">
      <c r="A443" s="5">
        <v>441</v>
      </c>
      <c r="B443" s="5">
        <f t="shared" ca="1" si="6"/>
        <v>0.71374603470899256</v>
      </c>
      <c r="C443" s="5" t="s">
        <v>24</v>
      </c>
    </row>
    <row r="444" spans="1:3" x14ac:dyDescent="0.2">
      <c r="A444" s="5">
        <v>442</v>
      </c>
      <c r="B444" s="5">
        <f t="shared" ca="1" si="6"/>
        <v>0.69100209852185612</v>
      </c>
      <c r="C444" s="5" t="s">
        <v>24</v>
      </c>
    </row>
    <row r="445" spans="1:3" x14ac:dyDescent="0.2">
      <c r="A445" s="5">
        <v>443</v>
      </c>
      <c r="B445" s="5">
        <f t="shared" ca="1" si="6"/>
        <v>0.61311839327452899</v>
      </c>
      <c r="C445" s="5" t="s">
        <v>24</v>
      </c>
    </row>
    <row r="446" spans="1:3" x14ac:dyDescent="0.2">
      <c r="A446" s="5">
        <v>444</v>
      </c>
      <c r="B446" s="5">
        <f t="shared" ca="1" si="6"/>
        <v>0.39179433697816246</v>
      </c>
      <c r="C446" s="5" t="s">
        <v>25</v>
      </c>
    </row>
    <row r="447" spans="1:3" x14ac:dyDescent="0.2">
      <c r="A447" s="5">
        <v>445</v>
      </c>
      <c r="B447" s="5">
        <f t="shared" ca="1" si="6"/>
        <v>0.64847956740641632</v>
      </c>
      <c r="C447" s="5" t="s">
        <v>25</v>
      </c>
    </row>
    <row r="448" spans="1:3" x14ac:dyDescent="0.2">
      <c r="A448" s="5">
        <v>446</v>
      </c>
      <c r="B448" s="5">
        <f t="shared" ca="1" si="6"/>
        <v>0.74917254531375266</v>
      </c>
      <c r="C448" s="5" t="s">
        <v>24</v>
      </c>
    </row>
    <row r="449" spans="1:3" x14ac:dyDescent="0.2">
      <c r="A449" s="5">
        <v>447</v>
      </c>
      <c r="B449" s="5">
        <f t="shared" ca="1" si="6"/>
        <v>0.39145988330925874</v>
      </c>
      <c r="C449" s="5" t="s">
        <v>25</v>
      </c>
    </row>
    <row r="450" spans="1:3" x14ac:dyDescent="0.2">
      <c r="A450" s="5">
        <v>448</v>
      </c>
      <c r="B450" s="5">
        <f t="shared" ca="1" si="6"/>
        <v>0.68184580965790909</v>
      </c>
      <c r="C450" s="5" t="s">
        <v>24</v>
      </c>
    </row>
    <row r="451" spans="1:3" x14ac:dyDescent="0.2">
      <c r="A451" s="5">
        <v>449</v>
      </c>
      <c r="B451" s="5">
        <f t="shared" ca="1" si="6"/>
        <v>0.77985105993600334</v>
      </c>
      <c r="C451" s="5" t="s">
        <v>24</v>
      </c>
    </row>
    <row r="452" spans="1:3" x14ac:dyDescent="0.2">
      <c r="A452" s="5">
        <v>450</v>
      </c>
      <c r="B452" s="5">
        <f t="shared" ref="B452:B515" ca="1" si="7">IF(C452="Bomb",_xlfn.NORM.INV(RAND(),0.7,0.1),_xlfn.NORM.INV(RAND(),0.6,0.15))</f>
        <v>0.19487841095847502</v>
      </c>
      <c r="C452" s="5" t="s">
        <v>25</v>
      </c>
    </row>
    <row r="453" spans="1:3" x14ac:dyDescent="0.2">
      <c r="A453" s="5">
        <v>451</v>
      </c>
      <c r="B453" s="5">
        <f t="shared" ca="1" si="7"/>
        <v>0.57464784153268922</v>
      </c>
      <c r="C453" s="5" t="s">
        <v>24</v>
      </c>
    </row>
    <row r="454" spans="1:3" x14ac:dyDescent="0.2">
      <c r="A454" s="5">
        <v>452</v>
      </c>
      <c r="B454" s="5">
        <f t="shared" ca="1" si="7"/>
        <v>0.85894635616028892</v>
      </c>
      <c r="C454" s="5" t="s">
        <v>24</v>
      </c>
    </row>
    <row r="455" spans="1:3" x14ac:dyDescent="0.2">
      <c r="A455" s="5">
        <v>453</v>
      </c>
      <c r="B455" s="5">
        <f t="shared" ca="1" si="7"/>
        <v>0.42088440066924604</v>
      </c>
      <c r="C455" s="5" t="s">
        <v>25</v>
      </c>
    </row>
    <row r="456" spans="1:3" x14ac:dyDescent="0.2">
      <c r="A456" s="5">
        <v>454</v>
      </c>
      <c r="B456" s="5">
        <f t="shared" ca="1" si="7"/>
        <v>0.75635260123055548</v>
      </c>
      <c r="C456" s="5" t="s">
        <v>24</v>
      </c>
    </row>
    <row r="457" spans="1:3" x14ac:dyDescent="0.2">
      <c r="A457" s="5">
        <v>455</v>
      </c>
      <c r="B457" s="5">
        <f t="shared" ca="1" si="7"/>
        <v>0.89832726955814945</v>
      </c>
      <c r="C457" s="5" t="s">
        <v>25</v>
      </c>
    </row>
    <row r="458" spans="1:3" x14ac:dyDescent="0.2">
      <c r="A458" s="5">
        <v>456</v>
      </c>
      <c r="B458" s="5">
        <f t="shared" ca="1" si="7"/>
        <v>0.76130143930166017</v>
      </c>
      <c r="C458" s="5" t="s">
        <v>25</v>
      </c>
    </row>
    <row r="459" spans="1:3" x14ac:dyDescent="0.2">
      <c r="A459" s="5">
        <v>457</v>
      </c>
      <c r="B459" s="5">
        <f t="shared" ca="1" si="7"/>
        <v>0.47380297380378544</v>
      </c>
      <c r="C459" s="5" t="s">
        <v>25</v>
      </c>
    </row>
    <row r="460" spans="1:3" x14ac:dyDescent="0.2">
      <c r="A460" s="5">
        <v>458</v>
      </c>
      <c r="B460" s="5">
        <f t="shared" ca="1" si="7"/>
        <v>0.65175189748646634</v>
      </c>
      <c r="C460" s="5" t="s">
        <v>25</v>
      </c>
    </row>
    <row r="461" spans="1:3" x14ac:dyDescent="0.2">
      <c r="A461" s="5">
        <v>459</v>
      </c>
      <c r="B461" s="5">
        <f t="shared" ca="1" si="7"/>
        <v>0.79315900910180015</v>
      </c>
      <c r="C461" s="5" t="s">
        <v>24</v>
      </c>
    </row>
    <row r="462" spans="1:3" x14ac:dyDescent="0.2">
      <c r="A462" s="5">
        <v>460</v>
      </c>
      <c r="B462" s="5">
        <f t="shared" ca="1" si="7"/>
        <v>0.80317736052549382</v>
      </c>
      <c r="C462" s="5" t="s">
        <v>24</v>
      </c>
    </row>
    <row r="463" spans="1:3" x14ac:dyDescent="0.2">
      <c r="A463" s="5">
        <v>461</v>
      </c>
      <c r="B463" s="5">
        <f t="shared" ca="1" si="7"/>
        <v>0.74037460143447742</v>
      </c>
      <c r="C463" s="5" t="s">
        <v>25</v>
      </c>
    </row>
    <row r="464" spans="1:3" x14ac:dyDescent="0.2">
      <c r="A464" s="5">
        <v>462</v>
      </c>
      <c r="B464" s="5">
        <f t="shared" ca="1" si="7"/>
        <v>0.61687000222159616</v>
      </c>
      <c r="C464" s="5" t="s">
        <v>24</v>
      </c>
    </row>
    <row r="465" spans="1:3" x14ac:dyDescent="0.2">
      <c r="A465" s="5">
        <v>463</v>
      </c>
      <c r="B465" s="5">
        <f t="shared" ca="1" si="7"/>
        <v>0.7700849786912769</v>
      </c>
      <c r="C465" s="5" t="s">
        <v>24</v>
      </c>
    </row>
    <row r="466" spans="1:3" x14ac:dyDescent="0.2">
      <c r="A466" s="5">
        <v>464</v>
      </c>
      <c r="B466" s="5">
        <f t="shared" ca="1" si="7"/>
        <v>0.87448176799063182</v>
      </c>
      <c r="C466" s="5" t="s">
        <v>24</v>
      </c>
    </row>
    <row r="467" spans="1:3" x14ac:dyDescent="0.2">
      <c r="A467" s="5">
        <v>465</v>
      </c>
      <c r="B467" s="5">
        <f t="shared" ca="1" si="7"/>
        <v>0.64224096954120002</v>
      </c>
      <c r="C467" s="5" t="s">
        <v>24</v>
      </c>
    </row>
    <row r="468" spans="1:3" x14ac:dyDescent="0.2">
      <c r="A468" s="5">
        <v>466</v>
      </c>
      <c r="B468" s="5">
        <f t="shared" ca="1" si="7"/>
        <v>0.46313955846620386</v>
      </c>
      <c r="C468" s="5" t="s">
        <v>25</v>
      </c>
    </row>
    <row r="469" spans="1:3" x14ac:dyDescent="0.2">
      <c r="A469" s="5">
        <v>467</v>
      </c>
      <c r="B469" s="5">
        <f t="shared" ca="1" si="7"/>
        <v>0.61889736198082246</v>
      </c>
      <c r="C469" s="5" t="s">
        <v>25</v>
      </c>
    </row>
    <row r="470" spans="1:3" x14ac:dyDescent="0.2">
      <c r="A470" s="5">
        <v>468</v>
      </c>
      <c r="B470" s="5">
        <f t="shared" ca="1" si="7"/>
        <v>0.56741045023064207</v>
      </c>
      <c r="C470" s="5" t="s">
        <v>25</v>
      </c>
    </row>
    <row r="471" spans="1:3" x14ac:dyDescent="0.2">
      <c r="A471" s="5">
        <v>469</v>
      </c>
      <c r="B471" s="5">
        <f t="shared" ca="1" si="7"/>
        <v>0.81318229435857647</v>
      </c>
      <c r="C471" s="5" t="s">
        <v>24</v>
      </c>
    </row>
    <row r="472" spans="1:3" x14ac:dyDescent="0.2">
      <c r="A472" s="5">
        <v>470</v>
      </c>
      <c r="B472" s="5">
        <f t="shared" ca="1" si="7"/>
        <v>0.7994567983429075</v>
      </c>
      <c r="C472" s="5" t="s">
        <v>25</v>
      </c>
    </row>
    <row r="473" spans="1:3" x14ac:dyDescent="0.2">
      <c r="A473" s="5">
        <v>471</v>
      </c>
      <c r="B473" s="5">
        <f t="shared" ca="1" si="7"/>
        <v>0.87921253903410579</v>
      </c>
      <c r="C473" s="5" t="s">
        <v>24</v>
      </c>
    </row>
    <row r="474" spans="1:3" x14ac:dyDescent="0.2">
      <c r="A474" s="5">
        <v>472</v>
      </c>
      <c r="B474" s="5">
        <f t="shared" ca="1" si="7"/>
        <v>0.70768552058091516</v>
      </c>
      <c r="C474" s="5" t="s">
        <v>24</v>
      </c>
    </row>
    <row r="475" spans="1:3" x14ac:dyDescent="0.2">
      <c r="A475" s="5">
        <v>473</v>
      </c>
      <c r="B475" s="5">
        <f t="shared" ca="1" si="7"/>
        <v>0.65618222998275288</v>
      </c>
      <c r="C475" s="5" t="s">
        <v>24</v>
      </c>
    </row>
    <row r="476" spans="1:3" x14ac:dyDescent="0.2">
      <c r="A476" s="5">
        <v>474</v>
      </c>
      <c r="B476" s="5">
        <f t="shared" ca="1" si="7"/>
        <v>0.76575146962234064</v>
      </c>
      <c r="C476" s="5" t="s">
        <v>25</v>
      </c>
    </row>
    <row r="477" spans="1:3" x14ac:dyDescent="0.2">
      <c r="A477" s="5">
        <v>475</v>
      </c>
      <c r="B477" s="5">
        <f t="shared" ca="1" si="7"/>
        <v>0.65881141516119623</v>
      </c>
      <c r="C477" s="5" t="s">
        <v>24</v>
      </c>
    </row>
    <row r="478" spans="1:3" x14ac:dyDescent="0.2">
      <c r="A478" s="5">
        <v>476</v>
      </c>
      <c r="B478" s="5">
        <f t="shared" ca="1" si="7"/>
        <v>0.75784444495863312</v>
      </c>
      <c r="C478" s="5" t="s">
        <v>24</v>
      </c>
    </row>
    <row r="479" spans="1:3" x14ac:dyDescent="0.2">
      <c r="A479" s="5">
        <v>477</v>
      </c>
      <c r="B479" s="5">
        <f t="shared" ca="1" si="7"/>
        <v>0.76647383367127975</v>
      </c>
      <c r="C479" s="5" t="s">
        <v>25</v>
      </c>
    </row>
    <row r="480" spans="1:3" x14ac:dyDescent="0.2">
      <c r="A480" s="5">
        <v>478</v>
      </c>
      <c r="B480" s="5">
        <f t="shared" ca="1" si="7"/>
        <v>0.71153000676794065</v>
      </c>
      <c r="C480" s="5" t="s">
        <v>25</v>
      </c>
    </row>
    <row r="481" spans="1:3" x14ac:dyDescent="0.2">
      <c r="A481" s="5">
        <v>479</v>
      </c>
      <c r="B481" s="5">
        <f t="shared" ca="1" si="7"/>
        <v>0.79790925412622782</v>
      </c>
      <c r="C481" s="5" t="s">
        <v>24</v>
      </c>
    </row>
    <row r="482" spans="1:3" x14ac:dyDescent="0.2">
      <c r="A482" s="5">
        <v>480</v>
      </c>
      <c r="B482" s="5">
        <f t="shared" ca="1" si="7"/>
        <v>0.79260500066104123</v>
      </c>
      <c r="C482" s="5" t="s">
        <v>24</v>
      </c>
    </row>
    <row r="483" spans="1:3" x14ac:dyDescent="0.2">
      <c r="A483" s="5">
        <v>481</v>
      </c>
      <c r="B483" s="5">
        <f t="shared" ca="1" si="7"/>
        <v>0.67904047233142428</v>
      </c>
      <c r="C483" s="5" t="s">
        <v>25</v>
      </c>
    </row>
    <row r="484" spans="1:3" x14ac:dyDescent="0.2">
      <c r="A484" s="5">
        <v>482</v>
      </c>
      <c r="B484" s="5">
        <f t="shared" ca="1" si="7"/>
        <v>0.51039653870379664</v>
      </c>
      <c r="C484" s="5" t="s">
        <v>25</v>
      </c>
    </row>
    <row r="485" spans="1:3" x14ac:dyDescent="0.2">
      <c r="A485" s="5">
        <v>483</v>
      </c>
      <c r="B485" s="5">
        <f t="shared" ca="1" si="7"/>
        <v>0.62731790982585034</v>
      </c>
      <c r="C485" s="5" t="s">
        <v>24</v>
      </c>
    </row>
    <row r="486" spans="1:3" x14ac:dyDescent="0.2">
      <c r="A486" s="5">
        <v>484</v>
      </c>
      <c r="B486" s="5">
        <f t="shared" ca="1" si="7"/>
        <v>0.69892032257876546</v>
      </c>
      <c r="C486" s="5" t="s">
        <v>24</v>
      </c>
    </row>
    <row r="487" spans="1:3" x14ac:dyDescent="0.2">
      <c r="A487" s="5">
        <v>485</v>
      </c>
      <c r="B487" s="5">
        <f t="shared" ca="1" si="7"/>
        <v>0.75238210427321195</v>
      </c>
      <c r="C487" s="5" t="s">
        <v>24</v>
      </c>
    </row>
    <row r="488" spans="1:3" x14ac:dyDescent="0.2">
      <c r="A488" s="5">
        <v>486</v>
      </c>
      <c r="B488" s="5">
        <f t="shared" ca="1" si="7"/>
        <v>0.63295459928759523</v>
      </c>
      <c r="C488" s="5" t="s">
        <v>25</v>
      </c>
    </row>
    <row r="489" spans="1:3" x14ac:dyDescent="0.2">
      <c r="A489" s="5">
        <v>487</v>
      </c>
      <c r="B489" s="5">
        <f t="shared" ca="1" si="7"/>
        <v>0.65934875826435124</v>
      </c>
      <c r="C489" s="5" t="s">
        <v>24</v>
      </c>
    </row>
    <row r="490" spans="1:3" x14ac:dyDescent="0.2">
      <c r="A490" s="5">
        <v>488</v>
      </c>
      <c r="B490" s="5">
        <f t="shared" ca="1" si="7"/>
        <v>0.70904142590464847</v>
      </c>
      <c r="C490" s="5" t="s">
        <v>25</v>
      </c>
    </row>
    <row r="491" spans="1:3" x14ac:dyDescent="0.2">
      <c r="A491" s="5">
        <v>489</v>
      </c>
      <c r="B491" s="5">
        <f t="shared" ca="1" si="7"/>
        <v>0.59031485114948545</v>
      </c>
      <c r="C491" s="5" t="s">
        <v>25</v>
      </c>
    </row>
    <row r="492" spans="1:3" x14ac:dyDescent="0.2">
      <c r="A492" s="5">
        <v>490</v>
      </c>
      <c r="B492" s="5">
        <f t="shared" ca="1" si="7"/>
        <v>0.72232105515492906</v>
      </c>
      <c r="C492" s="5" t="s">
        <v>24</v>
      </c>
    </row>
    <row r="493" spans="1:3" x14ac:dyDescent="0.2">
      <c r="A493" s="5">
        <v>491</v>
      </c>
      <c r="B493" s="5">
        <f t="shared" ca="1" si="7"/>
        <v>0.33763941036354905</v>
      </c>
      <c r="C493" s="5" t="s">
        <v>25</v>
      </c>
    </row>
    <row r="494" spans="1:3" x14ac:dyDescent="0.2">
      <c r="A494" s="5">
        <v>492</v>
      </c>
      <c r="B494" s="5">
        <f t="shared" ca="1" si="7"/>
        <v>0.65332877517971866</v>
      </c>
      <c r="C494" s="5" t="s">
        <v>24</v>
      </c>
    </row>
    <row r="495" spans="1:3" x14ac:dyDescent="0.2">
      <c r="A495" s="5">
        <v>493</v>
      </c>
      <c r="B495" s="5">
        <f t="shared" ca="1" si="7"/>
        <v>0.58746880575264238</v>
      </c>
      <c r="C495" s="5" t="s">
        <v>25</v>
      </c>
    </row>
    <row r="496" spans="1:3" x14ac:dyDescent="0.2">
      <c r="A496" s="5">
        <v>494</v>
      </c>
      <c r="B496" s="5">
        <f t="shared" ca="1" si="7"/>
        <v>0.75149719189601472</v>
      </c>
      <c r="C496" s="5" t="s">
        <v>25</v>
      </c>
    </row>
    <row r="497" spans="1:3" x14ac:dyDescent="0.2">
      <c r="A497" s="5">
        <v>495</v>
      </c>
      <c r="B497" s="5">
        <f t="shared" ca="1" si="7"/>
        <v>0.82136594900177085</v>
      </c>
      <c r="C497" s="5" t="s">
        <v>24</v>
      </c>
    </row>
    <row r="498" spans="1:3" x14ac:dyDescent="0.2">
      <c r="A498" s="5">
        <v>496</v>
      </c>
      <c r="B498" s="5">
        <f t="shared" ca="1" si="7"/>
        <v>0.76924953310858835</v>
      </c>
      <c r="C498" s="5" t="s">
        <v>24</v>
      </c>
    </row>
    <row r="499" spans="1:3" x14ac:dyDescent="0.2">
      <c r="A499" s="5">
        <v>497</v>
      </c>
      <c r="B499" s="5">
        <f t="shared" ca="1" si="7"/>
        <v>0.77212736209137778</v>
      </c>
      <c r="C499" s="5" t="s">
        <v>24</v>
      </c>
    </row>
    <row r="500" spans="1:3" x14ac:dyDescent="0.2">
      <c r="A500" s="5">
        <v>498</v>
      </c>
      <c r="B500" s="5">
        <f t="shared" ca="1" si="7"/>
        <v>0.79310855026546412</v>
      </c>
      <c r="C500" s="5" t="s">
        <v>25</v>
      </c>
    </row>
    <row r="501" spans="1:3" x14ac:dyDescent="0.2">
      <c r="A501" s="5">
        <v>499</v>
      </c>
      <c r="B501" s="5">
        <f t="shared" ca="1" si="7"/>
        <v>0.67053315084816134</v>
      </c>
      <c r="C501" s="5" t="s">
        <v>24</v>
      </c>
    </row>
    <row r="502" spans="1:3" x14ac:dyDescent="0.2">
      <c r="A502" s="5">
        <v>500</v>
      </c>
      <c r="B502" s="5">
        <f t="shared" ca="1" si="7"/>
        <v>0.55198006008694767</v>
      </c>
      <c r="C502" s="5" t="s">
        <v>24</v>
      </c>
    </row>
    <row r="503" spans="1:3" x14ac:dyDescent="0.2">
      <c r="A503" s="5">
        <v>501</v>
      </c>
      <c r="B503" s="5">
        <f t="shared" ca="1" si="7"/>
        <v>0.54653010246150535</v>
      </c>
      <c r="C503" s="5" t="s">
        <v>25</v>
      </c>
    </row>
    <row r="504" spans="1:3" x14ac:dyDescent="0.2">
      <c r="A504" s="5">
        <v>502</v>
      </c>
      <c r="B504" s="5">
        <f t="shared" ca="1" si="7"/>
        <v>0.54455527081104338</v>
      </c>
      <c r="C504" s="5" t="s">
        <v>25</v>
      </c>
    </row>
    <row r="505" spans="1:3" x14ac:dyDescent="0.2">
      <c r="A505" s="5">
        <v>503</v>
      </c>
      <c r="B505" s="5">
        <f t="shared" ca="1" si="7"/>
        <v>0.75155731256115932</v>
      </c>
      <c r="C505" s="5" t="s">
        <v>25</v>
      </c>
    </row>
    <row r="506" spans="1:3" x14ac:dyDescent="0.2">
      <c r="A506" s="5">
        <v>504</v>
      </c>
      <c r="B506" s="5">
        <f t="shared" ca="1" si="7"/>
        <v>0.92519116999270856</v>
      </c>
      <c r="C506" s="5" t="s">
        <v>25</v>
      </c>
    </row>
    <row r="507" spans="1:3" x14ac:dyDescent="0.2">
      <c r="A507" s="5">
        <v>505</v>
      </c>
      <c r="B507" s="5">
        <f t="shared" ca="1" si="7"/>
        <v>0.6626635921444114</v>
      </c>
      <c r="C507" s="5" t="s">
        <v>24</v>
      </c>
    </row>
    <row r="508" spans="1:3" x14ac:dyDescent="0.2">
      <c r="A508" s="5">
        <v>506</v>
      </c>
      <c r="B508" s="5">
        <f t="shared" ca="1" si="7"/>
        <v>0.69197701684338353</v>
      </c>
      <c r="C508" s="5" t="s">
        <v>24</v>
      </c>
    </row>
    <row r="509" spans="1:3" x14ac:dyDescent="0.2">
      <c r="A509" s="5">
        <v>507</v>
      </c>
      <c r="B509" s="5">
        <f t="shared" ca="1" si="7"/>
        <v>0.62927091395435686</v>
      </c>
      <c r="C509" s="5" t="s">
        <v>24</v>
      </c>
    </row>
    <row r="510" spans="1:3" x14ac:dyDescent="0.2">
      <c r="A510" s="5">
        <v>508</v>
      </c>
      <c r="B510" s="5">
        <f t="shared" ca="1" si="7"/>
        <v>0.45912661785436704</v>
      </c>
      <c r="C510" s="5" t="s">
        <v>25</v>
      </c>
    </row>
    <row r="511" spans="1:3" x14ac:dyDescent="0.2">
      <c r="A511" s="5">
        <v>509</v>
      </c>
      <c r="B511" s="5">
        <f t="shared" ca="1" si="7"/>
        <v>0.69227672021334108</v>
      </c>
      <c r="C511" s="5" t="s">
        <v>24</v>
      </c>
    </row>
    <row r="512" spans="1:3" x14ac:dyDescent="0.2">
      <c r="A512" s="5">
        <v>510</v>
      </c>
      <c r="B512" s="5">
        <f t="shared" ca="1" si="7"/>
        <v>0.75871007250934608</v>
      </c>
      <c r="C512" s="5" t="s">
        <v>24</v>
      </c>
    </row>
    <row r="513" spans="1:3" x14ac:dyDescent="0.2">
      <c r="A513" s="5">
        <v>511</v>
      </c>
      <c r="B513" s="5">
        <f t="shared" ca="1" si="7"/>
        <v>0.65288276968990167</v>
      </c>
      <c r="C513" s="5" t="s">
        <v>24</v>
      </c>
    </row>
    <row r="514" spans="1:3" x14ac:dyDescent="0.2">
      <c r="A514" s="5">
        <v>512</v>
      </c>
      <c r="B514" s="5">
        <f t="shared" ca="1" si="7"/>
        <v>0.81436905763374523</v>
      </c>
      <c r="C514" s="5" t="s">
        <v>24</v>
      </c>
    </row>
    <row r="515" spans="1:3" x14ac:dyDescent="0.2">
      <c r="A515" s="5">
        <v>513</v>
      </c>
      <c r="B515" s="5">
        <f t="shared" ca="1" si="7"/>
        <v>0.69706326946419728</v>
      </c>
      <c r="C515" s="5" t="s">
        <v>24</v>
      </c>
    </row>
    <row r="516" spans="1:3" x14ac:dyDescent="0.2">
      <c r="A516" s="5">
        <v>514</v>
      </c>
      <c r="B516" s="5">
        <f t="shared" ref="B516:B579" ca="1" si="8">IF(C516="Bomb",_xlfn.NORM.INV(RAND(),0.7,0.1),_xlfn.NORM.INV(RAND(),0.6,0.15))</f>
        <v>0.44447945999100014</v>
      </c>
      <c r="C516" s="5" t="s">
        <v>25</v>
      </c>
    </row>
    <row r="517" spans="1:3" x14ac:dyDescent="0.2">
      <c r="A517" s="5">
        <v>515</v>
      </c>
      <c r="B517" s="5">
        <f t="shared" ca="1" si="8"/>
        <v>0.65430405162925687</v>
      </c>
      <c r="C517" s="5" t="s">
        <v>24</v>
      </c>
    </row>
    <row r="518" spans="1:3" x14ac:dyDescent="0.2">
      <c r="A518" s="5">
        <v>516</v>
      </c>
      <c r="B518" s="5">
        <f t="shared" ca="1" si="8"/>
        <v>0.65789953281288793</v>
      </c>
      <c r="C518" s="5" t="s">
        <v>24</v>
      </c>
    </row>
    <row r="519" spans="1:3" x14ac:dyDescent="0.2">
      <c r="A519" s="5">
        <v>517</v>
      </c>
      <c r="B519" s="5">
        <f t="shared" ca="1" si="8"/>
        <v>0.57905895776732852</v>
      </c>
      <c r="C519" s="5" t="s">
        <v>24</v>
      </c>
    </row>
    <row r="520" spans="1:3" x14ac:dyDescent="0.2">
      <c r="A520" s="5">
        <v>518</v>
      </c>
      <c r="B520" s="5">
        <f t="shared" ca="1" si="8"/>
        <v>0.43980438419922319</v>
      </c>
      <c r="C520" s="5" t="s">
        <v>25</v>
      </c>
    </row>
    <row r="521" spans="1:3" x14ac:dyDescent="0.2">
      <c r="A521" s="5">
        <v>519</v>
      </c>
      <c r="B521" s="5">
        <f t="shared" ca="1" si="8"/>
        <v>0.80781758287589067</v>
      </c>
      <c r="C521" s="5" t="s">
        <v>24</v>
      </c>
    </row>
    <row r="522" spans="1:3" x14ac:dyDescent="0.2">
      <c r="A522" s="5">
        <v>520</v>
      </c>
      <c r="B522" s="5">
        <f t="shared" ca="1" si="8"/>
        <v>0.75386600084504762</v>
      </c>
      <c r="C522" s="5" t="s">
        <v>25</v>
      </c>
    </row>
    <row r="523" spans="1:3" x14ac:dyDescent="0.2">
      <c r="A523" s="5">
        <v>521</v>
      </c>
      <c r="B523" s="5">
        <f t="shared" ca="1" si="8"/>
        <v>0.77893252497563226</v>
      </c>
      <c r="C523" s="5" t="s">
        <v>25</v>
      </c>
    </row>
    <row r="524" spans="1:3" x14ac:dyDescent="0.2">
      <c r="A524" s="5">
        <v>522</v>
      </c>
      <c r="B524" s="5">
        <f t="shared" ca="1" si="8"/>
        <v>0.5119686455861765</v>
      </c>
      <c r="C524" s="5" t="s">
        <v>24</v>
      </c>
    </row>
    <row r="525" spans="1:3" x14ac:dyDescent="0.2">
      <c r="A525" s="5">
        <v>523</v>
      </c>
      <c r="B525" s="5">
        <f t="shared" ca="1" si="8"/>
        <v>0.70719580402910698</v>
      </c>
      <c r="C525" s="5" t="s">
        <v>24</v>
      </c>
    </row>
    <row r="526" spans="1:3" x14ac:dyDescent="0.2">
      <c r="A526" s="5">
        <v>524</v>
      </c>
      <c r="B526" s="5">
        <f t="shared" ca="1" si="8"/>
        <v>0.55857582580920895</v>
      </c>
      <c r="C526" s="5" t="s">
        <v>25</v>
      </c>
    </row>
    <row r="527" spans="1:3" x14ac:dyDescent="0.2">
      <c r="A527" s="5">
        <v>525</v>
      </c>
      <c r="B527" s="5">
        <f t="shared" ca="1" si="8"/>
        <v>0.65059415253960751</v>
      </c>
      <c r="C527" s="5" t="s">
        <v>24</v>
      </c>
    </row>
    <row r="528" spans="1:3" x14ac:dyDescent="0.2">
      <c r="A528" s="5">
        <v>526</v>
      </c>
      <c r="B528" s="5">
        <f t="shared" ca="1" si="8"/>
        <v>0.78900316049458641</v>
      </c>
      <c r="C528" s="5" t="s">
        <v>25</v>
      </c>
    </row>
    <row r="529" spans="1:3" x14ac:dyDescent="0.2">
      <c r="A529" s="5">
        <v>527</v>
      </c>
      <c r="B529" s="5">
        <f t="shared" ca="1" si="8"/>
        <v>0.45350706936503249</v>
      </c>
      <c r="C529" s="5" t="s">
        <v>25</v>
      </c>
    </row>
    <row r="530" spans="1:3" x14ac:dyDescent="0.2">
      <c r="A530" s="5">
        <v>528</v>
      </c>
      <c r="B530" s="5">
        <f t="shared" ca="1" si="8"/>
        <v>0.73077957362856594</v>
      </c>
      <c r="C530" s="5" t="s">
        <v>24</v>
      </c>
    </row>
    <row r="531" spans="1:3" x14ac:dyDescent="0.2">
      <c r="A531" s="5">
        <v>529</v>
      </c>
      <c r="B531" s="5">
        <f t="shared" ca="1" si="8"/>
        <v>0.78584875936347598</v>
      </c>
      <c r="C531" s="5" t="s">
        <v>24</v>
      </c>
    </row>
    <row r="532" spans="1:3" x14ac:dyDescent="0.2">
      <c r="A532" s="5">
        <v>530</v>
      </c>
      <c r="B532" s="5">
        <f t="shared" ca="1" si="8"/>
        <v>0.56202774598653515</v>
      </c>
      <c r="C532" s="5" t="s">
        <v>25</v>
      </c>
    </row>
    <row r="533" spans="1:3" x14ac:dyDescent="0.2">
      <c r="A533" s="5">
        <v>531</v>
      </c>
      <c r="B533" s="5">
        <f t="shared" ca="1" si="8"/>
        <v>0.83218865722802737</v>
      </c>
      <c r="C533" s="5" t="s">
        <v>24</v>
      </c>
    </row>
    <row r="534" spans="1:3" x14ac:dyDescent="0.2">
      <c r="A534" s="5">
        <v>532</v>
      </c>
      <c r="B534" s="5">
        <f t="shared" ca="1" si="8"/>
        <v>0.55048456071016594</v>
      </c>
      <c r="C534" s="5" t="s">
        <v>25</v>
      </c>
    </row>
    <row r="535" spans="1:3" x14ac:dyDescent="0.2">
      <c r="A535" s="5">
        <v>533</v>
      </c>
      <c r="B535" s="5">
        <f t="shared" ca="1" si="8"/>
        <v>0.63449063865370425</v>
      </c>
      <c r="C535" s="5" t="s">
        <v>25</v>
      </c>
    </row>
    <row r="536" spans="1:3" x14ac:dyDescent="0.2">
      <c r="A536" s="5">
        <v>534</v>
      </c>
      <c r="B536" s="5">
        <f t="shared" ca="1" si="8"/>
        <v>0.6008123367120779</v>
      </c>
      <c r="C536" s="5" t="s">
        <v>24</v>
      </c>
    </row>
    <row r="537" spans="1:3" x14ac:dyDescent="0.2">
      <c r="A537" s="5">
        <v>535</v>
      </c>
      <c r="B537" s="5">
        <f t="shared" ca="1" si="8"/>
        <v>0.49249249407816931</v>
      </c>
      <c r="C537" s="5" t="s">
        <v>25</v>
      </c>
    </row>
    <row r="538" spans="1:3" x14ac:dyDescent="0.2">
      <c r="A538" s="5">
        <v>536</v>
      </c>
      <c r="B538" s="5">
        <f t="shared" ca="1" si="8"/>
        <v>0.70404071680536728</v>
      </c>
      <c r="C538" s="5" t="s">
        <v>25</v>
      </c>
    </row>
    <row r="539" spans="1:3" x14ac:dyDescent="0.2">
      <c r="A539" s="5">
        <v>537</v>
      </c>
      <c r="B539" s="5">
        <f t="shared" ca="1" si="8"/>
        <v>0.61332458002457835</v>
      </c>
      <c r="C539" s="5" t="s">
        <v>25</v>
      </c>
    </row>
    <row r="540" spans="1:3" x14ac:dyDescent="0.2">
      <c r="A540" s="5">
        <v>538</v>
      </c>
      <c r="B540" s="5">
        <f t="shared" ca="1" si="8"/>
        <v>1.0237390660108483</v>
      </c>
      <c r="C540" s="5" t="s">
        <v>24</v>
      </c>
    </row>
    <row r="541" spans="1:3" x14ac:dyDescent="0.2">
      <c r="A541" s="5">
        <v>539</v>
      </c>
      <c r="B541" s="5">
        <f t="shared" ca="1" si="8"/>
        <v>0.45864249212718666</v>
      </c>
      <c r="C541" s="5" t="s">
        <v>25</v>
      </c>
    </row>
    <row r="542" spans="1:3" x14ac:dyDescent="0.2">
      <c r="A542" s="5">
        <v>540</v>
      </c>
      <c r="B542" s="5">
        <f t="shared" ca="1" si="8"/>
        <v>0.28329941179133294</v>
      </c>
      <c r="C542" s="5" t="s">
        <v>25</v>
      </c>
    </row>
    <row r="543" spans="1:3" x14ac:dyDescent="0.2">
      <c r="A543" s="5">
        <v>541</v>
      </c>
      <c r="B543" s="5">
        <f t="shared" ca="1" si="8"/>
        <v>0.62131020975284912</v>
      </c>
      <c r="C543" s="5" t="s">
        <v>25</v>
      </c>
    </row>
    <row r="544" spans="1:3" x14ac:dyDescent="0.2">
      <c r="A544" s="5">
        <v>542</v>
      </c>
      <c r="B544" s="5">
        <f t="shared" ca="1" si="8"/>
        <v>0.82434526493878413</v>
      </c>
      <c r="C544" s="5" t="s">
        <v>24</v>
      </c>
    </row>
    <row r="545" spans="1:3" x14ac:dyDescent="0.2">
      <c r="A545" s="5">
        <v>543</v>
      </c>
      <c r="B545" s="5">
        <f t="shared" ca="1" si="8"/>
        <v>0.67168420117321981</v>
      </c>
      <c r="C545" s="5" t="s">
        <v>24</v>
      </c>
    </row>
    <row r="546" spans="1:3" x14ac:dyDescent="0.2">
      <c r="A546" s="5">
        <v>544</v>
      </c>
      <c r="B546" s="5">
        <f t="shared" ca="1" si="8"/>
        <v>0.72450971254825614</v>
      </c>
      <c r="C546" s="5" t="s">
        <v>24</v>
      </c>
    </row>
    <row r="547" spans="1:3" x14ac:dyDescent="0.2">
      <c r="A547" s="5">
        <v>545</v>
      </c>
      <c r="B547" s="5">
        <f t="shared" ca="1" si="8"/>
        <v>0.63932994152448275</v>
      </c>
      <c r="C547" s="5" t="s">
        <v>25</v>
      </c>
    </row>
    <row r="548" spans="1:3" x14ac:dyDescent="0.2">
      <c r="A548" s="5">
        <v>546</v>
      </c>
      <c r="B548" s="5">
        <f t="shared" ca="1" si="8"/>
        <v>0.56157345276686532</v>
      </c>
      <c r="C548" s="5" t="s">
        <v>25</v>
      </c>
    </row>
    <row r="549" spans="1:3" x14ac:dyDescent="0.2">
      <c r="A549" s="5">
        <v>547</v>
      </c>
      <c r="B549" s="5">
        <f t="shared" ca="1" si="8"/>
        <v>0.81614237197956196</v>
      </c>
      <c r="C549" s="5" t="s">
        <v>24</v>
      </c>
    </row>
    <row r="550" spans="1:3" x14ac:dyDescent="0.2">
      <c r="A550" s="5">
        <v>548</v>
      </c>
      <c r="B550" s="5">
        <f t="shared" ca="1" si="8"/>
        <v>0.73780473980050654</v>
      </c>
      <c r="C550" s="5" t="s">
        <v>24</v>
      </c>
    </row>
    <row r="551" spans="1:3" x14ac:dyDescent="0.2">
      <c r="A551" s="5">
        <v>549</v>
      </c>
      <c r="B551" s="5">
        <f t="shared" ca="1" si="8"/>
        <v>0.59756707936279374</v>
      </c>
      <c r="C551" s="5" t="s">
        <v>25</v>
      </c>
    </row>
    <row r="552" spans="1:3" x14ac:dyDescent="0.2">
      <c r="A552" s="5">
        <v>550</v>
      </c>
      <c r="B552" s="5">
        <f t="shared" ca="1" si="8"/>
        <v>0.82722564805962207</v>
      </c>
      <c r="C552" s="5" t="s">
        <v>24</v>
      </c>
    </row>
    <row r="553" spans="1:3" x14ac:dyDescent="0.2">
      <c r="A553" s="5">
        <v>551</v>
      </c>
      <c r="B553" s="5">
        <f t="shared" ca="1" si="8"/>
        <v>0.89611046695199637</v>
      </c>
      <c r="C553" s="5" t="s">
        <v>25</v>
      </c>
    </row>
    <row r="554" spans="1:3" x14ac:dyDescent="0.2">
      <c r="A554" s="5">
        <v>552</v>
      </c>
      <c r="B554" s="5">
        <f t="shared" ca="1" si="8"/>
        <v>0.54154293454519686</v>
      </c>
      <c r="C554" s="5" t="s">
        <v>25</v>
      </c>
    </row>
    <row r="555" spans="1:3" x14ac:dyDescent="0.2">
      <c r="A555" s="5">
        <v>553</v>
      </c>
      <c r="B555" s="5">
        <f t="shared" ca="1" si="8"/>
        <v>0.58470964608253428</v>
      </c>
      <c r="C555" s="5" t="s">
        <v>25</v>
      </c>
    </row>
    <row r="556" spans="1:3" x14ac:dyDescent="0.2">
      <c r="A556" s="5">
        <v>554</v>
      </c>
      <c r="B556" s="5">
        <f t="shared" ca="1" si="8"/>
        <v>0.44021907051564357</v>
      </c>
      <c r="C556" s="5" t="s">
        <v>24</v>
      </c>
    </row>
    <row r="557" spans="1:3" x14ac:dyDescent="0.2">
      <c r="A557" s="5">
        <v>555</v>
      </c>
      <c r="B557" s="5">
        <f t="shared" ca="1" si="8"/>
        <v>0.74164055606211476</v>
      </c>
      <c r="C557" s="5" t="s">
        <v>25</v>
      </c>
    </row>
    <row r="558" spans="1:3" x14ac:dyDescent="0.2">
      <c r="A558" s="5">
        <v>556</v>
      </c>
      <c r="B558" s="5">
        <f t="shared" ca="1" si="8"/>
        <v>0.79800453817646688</v>
      </c>
      <c r="C558" s="5" t="s">
        <v>24</v>
      </c>
    </row>
    <row r="559" spans="1:3" x14ac:dyDescent="0.2">
      <c r="A559" s="5">
        <v>557</v>
      </c>
      <c r="B559" s="5">
        <f t="shared" ca="1" si="8"/>
        <v>0.65110453373198696</v>
      </c>
      <c r="C559" s="5" t="s">
        <v>24</v>
      </c>
    </row>
    <row r="560" spans="1:3" x14ac:dyDescent="0.2">
      <c r="A560" s="5">
        <v>558</v>
      </c>
      <c r="B560" s="5">
        <f t="shared" ca="1" si="8"/>
        <v>0.85502334148836368</v>
      </c>
      <c r="C560" s="5" t="s">
        <v>25</v>
      </c>
    </row>
    <row r="561" spans="1:3" x14ac:dyDescent="0.2">
      <c r="A561" s="5">
        <v>559</v>
      </c>
      <c r="B561" s="5">
        <f t="shared" ca="1" si="8"/>
        <v>0.7334735354842471</v>
      </c>
      <c r="C561" s="5" t="s">
        <v>24</v>
      </c>
    </row>
    <row r="562" spans="1:3" x14ac:dyDescent="0.2">
      <c r="A562" s="5">
        <v>560</v>
      </c>
      <c r="B562" s="5">
        <f t="shared" ca="1" si="8"/>
        <v>0.63314124544873429</v>
      </c>
      <c r="C562" s="5" t="s">
        <v>25</v>
      </c>
    </row>
    <row r="563" spans="1:3" x14ac:dyDescent="0.2">
      <c r="A563" s="5">
        <v>561</v>
      </c>
      <c r="B563" s="5">
        <f t="shared" ca="1" si="8"/>
        <v>0.49870421555756955</v>
      </c>
      <c r="C563" s="5" t="s">
        <v>25</v>
      </c>
    </row>
    <row r="564" spans="1:3" x14ac:dyDescent="0.2">
      <c r="A564" s="5">
        <v>562</v>
      </c>
      <c r="B564" s="5">
        <f t="shared" ca="1" si="8"/>
        <v>0.61007630418434111</v>
      </c>
      <c r="C564" s="5" t="s">
        <v>25</v>
      </c>
    </row>
    <row r="565" spans="1:3" x14ac:dyDescent="0.2">
      <c r="A565" s="5">
        <v>563</v>
      </c>
      <c r="B565" s="5">
        <f t="shared" ca="1" si="8"/>
        <v>0.49497979346921361</v>
      </c>
      <c r="C565" s="5" t="s">
        <v>25</v>
      </c>
    </row>
    <row r="566" spans="1:3" x14ac:dyDescent="0.2">
      <c r="A566" s="5">
        <v>564</v>
      </c>
      <c r="B566" s="5">
        <f t="shared" ca="1" si="8"/>
        <v>0.42947093255675484</v>
      </c>
      <c r="C566" s="5" t="s">
        <v>25</v>
      </c>
    </row>
    <row r="567" spans="1:3" x14ac:dyDescent="0.2">
      <c r="A567" s="5">
        <v>565</v>
      </c>
      <c r="B567" s="5">
        <f t="shared" ca="1" si="8"/>
        <v>0.55129989058268103</v>
      </c>
      <c r="C567" s="5" t="s">
        <v>25</v>
      </c>
    </row>
    <row r="568" spans="1:3" x14ac:dyDescent="0.2">
      <c r="A568" s="5">
        <v>566</v>
      </c>
      <c r="B568" s="5">
        <f t="shared" ca="1" si="8"/>
        <v>0.7030037718804949</v>
      </c>
      <c r="C568" s="5" t="s">
        <v>24</v>
      </c>
    </row>
    <row r="569" spans="1:3" x14ac:dyDescent="0.2">
      <c r="A569" s="5">
        <v>567</v>
      </c>
      <c r="B569" s="5">
        <f t="shared" ca="1" si="8"/>
        <v>0.64500253304794208</v>
      </c>
      <c r="C569" s="5" t="s">
        <v>24</v>
      </c>
    </row>
    <row r="570" spans="1:3" x14ac:dyDescent="0.2">
      <c r="A570" s="5">
        <v>568</v>
      </c>
      <c r="B570" s="5">
        <f t="shared" ca="1" si="8"/>
        <v>0.75774236432223785</v>
      </c>
      <c r="C570" s="5" t="s">
        <v>24</v>
      </c>
    </row>
    <row r="571" spans="1:3" x14ac:dyDescent="0.2">
      <c r="A571" s="5">
        <v>569</v>
      </c>
      <c r="B571" s="5">
        <f t="shared" ca="1" si="8"/>
        <v>0.69739382396109229</v>
      </c>
      <c r="C571" s="5" t="s">
        <v>25</v>
      </c>
    </row>
    <row r="572" spans="1:3" x14ac:dyDescent="0.2">
      <c r="A572" s="5">
        <v>570</v>
      </c>
      <c r="B572" s="5">
        <f t="shared" ca="1" si="8"/>
        <v>0.70623186562348084</v>
      </c>
      <c r="C572" s="5" t="s">
        <v>24</v>
      </c>
    </row>
    <row r="573" spans="1:3" x14ac:dyDescent="0.2">
      <c r="A573" s="5">
        <v>571</v>
      </c>
      <c r="B573" s="5">
        <f t="shared" ca="1" si="8"/>
        <v>0.46234178302146089</v>
      </c>
      <c r="C573" s="5" t="s">
        <v>25</v>
      </c>
    </row>
    <row r="574" spans="1:3" x14ac:dyDescent="0.2">
      <c r="A574" s="5">
        <v>572</v>
      </c>
      <c r="B574" s="5">
        <f t="shared" ca="1" si="8"/>
        <v>0.7139135789365143</v>
      </c>
      <c r="C574" s="5" t="s">
        <v>24</v>
      </c>
    </row>
    <row r="575" spans="1:3" x14ac:dyDescent="0.2">
      <c r="A575" s="5">
        <v>573</v>
      </c>
      <c r="B575" s="5">
        <f t="shared" ca="1" si="8"/>
        <v>0.62427066056846814</v>
      </c>
      <c r="C575" s="5" t="s">
        <v>24</v>
      </c>
    </row>
    <row r="576" spans="1:3" x14ac:dyDescent="0.2">
      <c r="A576" s="5">
        <v>574</v>
      </c>
      <c r="B576" s="5">
        <f t="shared" ca="1" si="8"/>
        <v>0.68687820095361241</v>
      </c>
      <c r="C576" s="5" t="s">
        <v>24</v>
      </c>
    </row>
    <row r="577" spans="1:3" x14ac:dyDescent="0.2">
      <c r="A577" s="5">
        <v>575</v>
      </c>
      <c r="B577" s="5">
        <f t="shared" ca="1" si="8"/>
        <v>0.46291349263646964</v>
      </c>
      <c r="C577" s="5" t="s">
        <v>25</v>
      </c>
    </row>
    <row r="578" spans="1:3" x14ac:dyDescent="0.2">
      <c r="A578" s="5">
        <v>576</v>
      </c>
      <c r="B578" s="5">
        <f t="shared" ca="1" si="8"/>
        <v>0.48017991522773917</v>
      </c>
      <c r="C578" s="5" t="s">
        <v>25</v>
      </c>
    </row>
    <row r="579" spans="1:3" x14ac:dyDescent="0.2">
      <c r="A579" s="5">
        <v>577</v>
      </c>
      <c r="B579" s="5">
        <f t="shared" ca="1" si="8"/>
        <v>0.54369362781044306</v>
      </c>
      <c r="C579" s="5" t="s">
        <v>25</v>
      </c>
    </row>
    <row r="580" spans="1:3" x14ac:dyDescent="0.2">
      <c r="A580" s="5">
        <v>578</v>
      </c>
      <c r="B580" s="5">
        <f t="shared" ref="B580:B643" ca="1" si="9">IF(C580="Bomb",_xlfn.NORM.INV(RAND(),0.7,0.1),_xlfn.NORM.INV(RAND(),0.6,0.15))</f>
        <v>0.72333987548617562</v>
      </c>
      <c r="C580" s="5" t="s">
        <v>24</v>
      </c>
    </row>
    <row r="581" spans="1:3" x14ac:dyDescent="0.2">
      <c r="A581" s="5">
        <v>579</v>
      </c>
      <c r="B581" s="5">
        <f t="shared" ca="1" si="9"/>
        <v>0.75211191973877933</v>
      </c>
      <c r="C581" s="5" t="s">
        <v>24</v>
      </c>
    </row>
    <row r="582" spans="1:3" x14ac:dyDescent="0.2">
      <c r="A582" s="5">
        <v>580</v>
      </c>
      <c r="B582" s="5">
        <f t="shared" ca="1" si="9"/>
        <v>0.72693228891659123</v>
      </c>
      <c r="C582" s="5" t="s">
        <v>24</v>
      </c>
    </row>
    <row r="583" spans="1:3" x14ac:dyDescent="0.2">
      <c r="A583" s="5">
        <v>581</v>
      </c>
      <c r="B583" s="5">
        <f t="shared" ca="1" si="9"/>
        <v>0.51124210856856411</v>
      </c>
      <c r="C583" s="5" t="s">
        <v>25</v>
      </c>
    </row>
    <row r="584" spans="1:3" x14ac:dyDescent="0.2">
      <c r="A584" s="5">
        <v>582</v>
      </c>
      <c r="B584" s="5">
        <f t="shared" ca="1" si="9"/>
        <v>0.77465799638135668</v>
      </c>
      <c r="C584" s="5" t="s">
        <v>24</v>
      </c>
    </row>
    <row r="585" spans="1:3" x14ac:dyDescent="0.2">
      <c r="A585" s="5">
        <v>583</v>
      </c>
      <c r="B585" s="5">
        <f t="shared" ca="1" si="9"/>
        <v>0.48400541723128465</v>
      </c>
      <c r="C585" s="5" t="s">
        <v>25</v>
      </c>
    </row>
    <row r="586" spans="1:3" x14ac:dyDescent="0.2">
      <c r="A586" s="5">
        <v>584</v>
      </c>
      <c r="B586" s="5">
        <f t="shared" ca="1" si="9"/>
        <v>0.6653752764983436</v>
      </c>
      <c r="C586" s="5" t="s">
        <v>24</v>
      </c>
    </row>
    <row r="587" spans="1:3" x14ac:dyDescent="0.2">
      <c r="A587" s="5">
        <v>585</v>
      </c>
      <c r="B587" s="5">
        <f t="shared" ca="1" si="9"/>
        <v>0.31326494522290571</v>
      </c>
      <c r="C587" s="5" t="s">
        <v>25</v>
      </c>
    </row>
    <row r="588" spans="1:3" x14ac:dyDescent="0.2">
      <c r="A588" s="5">
        <v>586</v>
      </c>
      <c r="B588" s="5">
        <f t="shared" ca="1" si="9"/>
        <v>0.69311912564978184</v>
      </c>
      <c r="C588" s="5" t="s">
        <v>25</v>
      </c>
    </row>
    <row r="589" spans="1:3" x14ac:dyDescent="0.2">
      <c r="A589" s="5">
        <v>587</v>
      </c>
      <c r="B589" s="5">
        <f t="shared" ca="1" si="9"/>
        <v>0.72149881797206128</v>
      </c>
      <c r="C589" s="5" t="s">
        <v>24</v>
      </c>
    </row>
    <row r="590" spans="1:3" x14ac:dyDescent="0.2">
      <c r="A590" s="5">
        <v>588</v>
      </c>
      <c r="B590" s="5">
        <f t="shared" ca="1" si="9"/>
        <v>0.61782568958123973</v>
      </c>
      <c r="C590" s="5" t="s">
        <v>25</v>
      </c>
    </row>
    <row r="591" spans="1:3" x14ac:dyDescent="0.2">
      <c r="A591" s="5">
        <v>589</v>
      </c>
      <c r="B591" s="5">
        <f t="shared" ca="1" si="9"/>
        <v>0.79931454547893488</v>
      </c>
      <c r="C591" s="5" t="s">
        <v>25</v>
      </c>
    </row>
    <row r="592" spans="1:3" x14ac:dyDescent="0.2">
      <c r="A592" s="5">
        <v>590</v>
      </c>
      <c r="B592" s="5">
        <f t="shared" ca="1" si="9"/>
        <v>0.87288468455727219</v>
      </c>
      <c r="C592" s="5" t="s">
        <v>24</v>
      </c>
    </row>
    <row r="593" spans="1:3" x14ac:dyDescent="0.2">
      <c r="A593" s="5">
        <v>591</v>
      </c>
      <c r="B593" s="5">
        <f t="shared" ca="1" si="9"/>
        <v>0.52261811237941536</v>
      </c>
      <c r="C593" s="5" t="s">
        <v>25</v>
      </c>
    </row>
    <row r="594" spans="1:3" x14ac:dyDescent="0.2">
      <c r="A594" s="5">
        <v>592</v>
      </c>
      <c r="B594" s="5">
        <f t="shared" ca="1" si="9"/>
        <v>0.6533972674218822</v>
      </c>
      <c r="C594" s="5" t="s">
        <v>24</v>
      </c>
    </row>
    <row r="595" spans="1:3" x14ac:dyDescent="0.2">
      <c r="A595" s="5">
        <v>593</v>
      </c>
      <c r="B595" s="5">
        <f t="shared" ca="1" si="9"/>
        <v>0.46428768708211487</v>
      </c>
      <c r="C595" s="5" t="s">
        <v>25</v>
      </c>
    </row>
    <row r="596" spans="1:3" x14ac:dyDescent="0.2">
      <c r="A596" s="5">
        <v>594</v>
      </c>
      <c r="B596" s="5">
        <f t="shared" ca="1" si="9"/>
        <v>0.66909524731857972</v>
      </c>
      <c r="C596" s="5" t="s">
        <v>24</v>
      </c>
    </row>
    <row r="597" spans="1:3" x14ac:dyDescent="0.2">
      <c r="A597" s="5">
        <v>595</v>
      </c>
      <c r="B597" s="5">
        <f t="shared" ca="1" si="9"/>
        <v>0.49645454122104582</v>
      </c>
      <c r="C597" s="5" t="s">
        <v>24</v>
      </c>
    </row>
    <row r="598" spans="1:3" x14ac:dyDescent="0.2">
      <c r="A598" s="5">
        <v>596</v>
      </c>
      <c r="B598" s="5">
        <f t="shared" ca="1" si="9"/>
        <v>0.74583124478667229</v>
      </c>
      <c r="C598" s="5" t="s">
        <v>24</v>
      </c>
    </row>
    <row r="599" spans="1:3" x14ac:dyDescent="0.2">
      <c r="A599" s="5">
        <v>597</v>
      </c>
      <c r="B599" s="5">
        <f t="shared" ca="1" si="9"/>
        <v>0.55358460276263333</v>
      </c>
      <c r="C599" s="5" t="s">
        <v>24</v>
      </c>
    </row>
    <row r="600" spans="1:3" x14ac:dyDescent="0.2">
      <c r="A600" s="5">
        <v>598</v>
      </c>
      <c r="B600" s="5">
        <f t="shared" ca="1" si="9"/>
        <v>0.58979825596907987</v>
      </c>
      <c r="C600" s="5" t="s">
        <v>25</v>
      </c>
    </row>
    <row r="601" spans="1:3" x14ac:dyDescent="0.2">
      <c r="A601" s="5">
        <v>599</v>
      </c>
      <c r="B601" s="5">
        <f t="shared" ca="1" si="9"/>
        <v>0.76005304268426988</v>
      </c>
      <c r="C601" s="5" t="s">
        <v>24</v>
      </c>
    </row>
    <row r="602" spans="1:3" x14ac:dyDescent="0.2">
      <c r="A602" s="5">
        <v>600</v>
      </c>
      <c r="B602" s="5">
        <f t="shared" ca="1" si="9"/>
        <v>0.55940174643350471</v>
      </c>
      <c r="C602" s="5" t="s">
        <v>24</v>
      </c>
    </row>
    <row r="603" spans="1:3" x14ac:dyDescent="0.2">
      <c r="A603" s="5">
        <v>601</v>
      </c>
      <c r="B603" s="5">
        <f t="shared" ca="1" si="9"/>
        <v>0.72304975776846148</v>
      </c>
      <c r="C603" s="5" t="s">
        <v>25</v>
      </c>
    </row>
    <row r="604" spans="1:3" x14ac:dyDescent="0.2">
      <c r="A604" s="5">
        <v>602</v>
      </c>
      <c r="B604" s="5">
        <f t="shared" ca="1" si="9"/>
        <v>0.46761229383942526</v>
      </c>
      <c r="C604" s="5" t="s">
        <v>25</v>
      </c>
    </row>
    <row r="605" spans="1:3" x14ac:dyDescent="0.2">
      <c r="A605" s="5">
        <v>603</v>
      </c>
      <c r="B605" s="5">
        <f t="shared" ca="1" si="9"/>
        <v>0.58197180511115798</v>
      </c>
      <c r="C605" s="5" t="s">
        <v>25</v>
      </c>
    </row>
    <row r="606" spans="1:3" x14ac:dyDescent="0.2">
      <c r="A606" s="5">
        <v>604</v>
      </c>
      <c r="B606" s="5">
        <f t="shared" ca="1" si="9"/>
        <v>0.62844815206772531</v>
      </c>
      <c r="C606" s="5" t="s">
        <v>24</v>
      </c>
    </row>
    <row r="607" spans="1:3" x14ac:dyDescent="0.2">
      <c r="A607" s="5">
        <v>605</v>
      </c>
      <c r="B607" s="5">
        <f t="shared" ca="1" si="9"/>
        <v>0.37128370783449643</v>
      </c>
      <c r="C607" s="5" t="s">
        <v>25</v>
      </c>
    </row>
    <row r="608" spans="1:3" x14ac:dyDescent="0.2">
      <c r="A608" s="5">
        <v>606</v>
      </c>
      <c r="B608" s="5">
        <f t="shared" ca="1" si="9"/>
        <v>0.72968559281739276</v>
      </c>
      <c r="C608" s="5" t="s">
        <v>24</v>
      </c>
    </row>
    <row r="609" spans="1:3" x14ac:dyDescent="0.2">
      <c r="A609" s="5">
        <v>607</v>
      </c>
      <c r="B609" s="5">
        <f t="shared" ca="1" si="9"/>
        <v>0.55395660461084995</v>
      </c>
      <c r="C609" s="5" t="s">
        <v>25</v>
      </c>
    </row>
    <row r="610" spans="1:3" x14ac:dyDescent="0.2">
      <c r="A610" s="5">
        <v>608</v>
      </c>
      <c r="B610" s="5">
        <f t="shared" ca="1" si="9"/>
        <v>0.84715984018302026</v>
      </c>
      <c r="C610" s="5" t="s">
        <v>24</v>
      </c>
    </row>
    <row r="611" spans="1:3" x14ac:dyDescent="0.2">
      <c r="A611" s="5">
        <v>609</v>
      </c>
      <c r="B611" s="5">
        <f t="shared" ca="1" si="9"/>
        <v>0.7839306281262759</v>
      </c>
      <c r="C611" s="5" t="s">
        <v>25</v>
      </c>
    </row>
    <row r="612" spans="1:3" x14ac:dyDescent="0.2">
      <c r="A612" s="5">
        <v>610</v>
      </c>
      <c r="B612" s="5">
        <f t="shared" ca="1" si="9"/>
        <v>0.66612263664151095</v>
      </c>
      <c r="C612" s="5" t="s">
        <v>25</v>
      </c>
    </row>
    <row r="613" spans="1:3" x14ac:dyDescent="0.2">
      <c r="A613" s="5">
        <v>611</v>
      </c>
      <c r="B613" s="5">
        <f t="shared" ca="1" si="9"/>
        <v>0.71969418981378031</v>
      </c>
      <c r="C613" s="5" t="s">
        <v>24</v>
      </c>
    </row>
    <row r="614" spans="1:3" x14ac:dyDescent="0.2">
      <c r="A614" s="5">
        <v>612</v>
      </c>
      <c r="B614" s="5">
        <f t="shared" ca="1" si="9"/>
        <v>0.84845516652102415</v>
      </c>
      <c r="C614" s="5" t="s">
        <v>24</v>
      </c>
    </row>
    <row r="615" spans="1:3" x14ac:dyDescent="0.2">
      <c r="A615" s="5">
        <v>613</v>
      </c>
      <c r="B615" s="5">
        <f t="shared" ca="1" si="9"/>
        <v>0.93252294925374135</v>
      </c>
      <c r="C615" s="5" t="s">
        <v>25</v>
      </c>
    </row>
    <row r="616" spans="1:3" x14ac:dyDescent="0.2">
      <c r="A616" s="5">
        <v>614</v>
      </c>
      <c r="B616" s="5">
        <f t="shared" ca="1" si="9"/>
        <v>0.70215157888096091</v>
      </c>
      <c r="C616" s="5" t="s">
        <v>25</v>
      </c>
    </row>
    <row r="617" spans="1:3" x14ac:dyDescent="0.2">
      <c r="A617" s="5">
        <v>615</v>
      </c>
      <c r="B617" s="5">
        <f t="shared" ca="1" si="9"/>
        <v>0.4216571525535614</v>
      </c>
      <c r="C617" s="5" t="s">
        <v>25</v>
      </c>
    </row>
    <row r="618" spans="1:3" x14ac:dyDescent="0.2">
      <c r="A618" s="5">
        <v>616</v>
      </c>
      <c r="B618" s="5">
        <f t="shared" ca="1" si="9"/>
        <v>0.610963929174964</v>
      </c>
      <c r="C618" s="5" t="s">
        <v>24</v>
      </c>
    </row>
    <row r="619" spans="1:3" x14ac:dyDescent="0.2">
      <c r="A619" s="5">
        <v>617</v>
      </c>
      <c r="B619" s="5">
        <f t="shared" ca="1" si="9"/>
        <v>0.66532175316323006</v>
      </c>
      <c r="C619" s="5" t="s">
        <v>24</v>
      </c>
    </row>
    <row r="620" spans="1:3" x14ac:dyDescent="0.2">
      <c r="A620" s="5">
        <v>618</v>
      </c>
      <c r="B620" s="5">
        <f t="shared" ca="1" si="9"/>
        <v>0.78701191851604579</v>
      </c>
      <c r="C620" s="5" t="s">
        <v>24</v>
      </c>
    </row>
    <row r="621" spans="1:3" x14ac:dyDescent="0.2">
      <c r="A621" s="5">
        <v>619</v>
      </c>
      <c r="B621" s="5">
        <f t="shared" ca="1" si="9"/>
        <v>0.25201407518619012</v>
      </c>
      <c r="C621" s="5" t="s">
        <v>25</v>
      </c>
    </row>
    <row r="622" spans="1:3" x14ac:dyDescent="0.2">
      <c r="A622" s="5">
        <v>620</v>
      </c>
      <c r="B622" s="5">
        <f t="shared" ca="1" si="9"/>
        <v>0.82452924513239467</v>
      </c>
      <c r="C622" s="5" t="s">
        <v>25</v>
      </c>
    </row>
    <row r="623" spans="1:3" x14ac:dyDescent="0.2">
      <c r="A623" s="5">
        <v>621</v>
      </c>
      <c r="B623" s="5">
        <f t="shared" ca="1" si="9"/>
        <v>0.55038023222767563</v>
      </c>
      <c r="C623" s="5" t="s">
        <v>24</v>
      </c>
    </row>
    <row r="624" spans="1:3" x14ac:dyDescent="0.2">
      <c r="A624" s="5">
        <v>622</v>
      </c>
      <c r="B624" s="5">
        <f t="shared" ca="1" si="9"/>
        <v>0.70819010558017403</v>
      </c>
      <c r="C624" s="5" t="s">
        <v>24</v>
      </c>
    </row>
    <row r="625" spans="1:3" x14ac:dyDescent="0.2">
      <c r="A625" s="5">
        <v>623</v>
      </c>
      <c r="B625" s="5">
        <f t="shared" ca="1" si="9"/>
        <v>0.68250291207832836</v>
      </c>
      <c r="C625" s="5" t="s">
        <v>24</v>
      </c>
    </row>
    <row r="626" spans="1:3" x14ac:dyDescent="0.2">
      <c r="A626" s="5">
        <v>624</v>
      </c>
      <c r="B626" s="5">
        <f t="shared" ca="1" si="9"/>
        <v>0.72593720981249388</v>
      </c>
      <c r="C626" s="5" t="s">
        <v>25</v>
      </c>
    </row>
    <row r="627" spans="1:3" x14ac:dyDescent="0.2">
      <c r="A627" s="5">
        <v>625</v>
      </c>
      <c r="B627" s="5">
        <f t="shared" ca="1" si="9"/>
        <v>0.7849571724376555</v>
      </c>
      <c r="C627" s="5" t="s">
        <v>24</v>
      </c>
    </row>
    <row r="628" spans="1:3" x14ac:dyDescent="0.2">
      <c r="A628" s="5">
        <v>626</v>
      </c>
      <c r="B628" s="5">
        <f t="shared" ca="1" si="9"/>
        <v>0.57807539855232204</v>
      </c>
      <c r="C628" s="5" t="s">
        <v>25</v>
      </c>
    </row>
    <row r="629" spans="1:3" x14ac:dyDescent="0.2">
      <c r="A629" s="5">
        <v>627</v>
      </c>
      <c r="B629" s="5">
        <f t="shared" ca="1" si="9"/>
        <v>0.56410566603516266</v>
      </c>
      <c r="C629" s="5" t="s">
        <v>25</v>
      </c>
    </row>
    <row r="630" spans="1:3" x14ac:dyDescent="0.2">
      <c r="A630" s="5">
        <v>628</v>
      </c>
      <c r="B630" s="5">
        <f t="shared" ca="1" si="9"/>
        <v>0.62631782099220801</v>
      </c>
      <c r="C630" s="5" t="s">
        <v>25</v>
      </c>
    </row>
    <row r="631" spans="1:3" x14ac:dyDescent="0.2">
      <c r="A631" s="5">
        <v>629</v>
      </c>
      <c r="B631" s="5">
        <f t="shared" ca="1" si="9"/>
        <v>0.83308228579029608</v>
      </c>
      <c r="C631" s="5" t="s">
        <v>25</v>
      </c>
    </row>
    <row r="632" spans="1:3" x14ac:dyDescent="0.2">
      <c r="A632" s="5">
        <v>630</v>
      </c>
      <c r="B632" s="5">
        <f t="shared" ca="1" si="9"/>
        <v>0.62244054515339808</v>
      </c>
      <c r="C632" s="5" t="s">
        <v>24</v>
      </c>
    </row>
    <row r="633" spans="1:3" x14ac:dyDescent="0.2">
      <c r="A633" s="5">
        <v>631</v>
      </c>
      <c r="B633" s="5">
        <f t="shared" ca="1" si="9"/>
        <v>0.78596753025547483</v>
      </c>
      <c r="C633" s="5" t="s">
        <v>24</v>
      </c>
    </row>
    <row r="634" spans="1:3" x14ac:dyDescent="0.2">
      <c r="A634" s="5">
        <v>632</v>
      </c>
      <c r="B634" s="5">
        <f t="shared" ca="1" si="9"/>
        <v>0.59563220601379607</v>
      </c>
      <c r="C634" s="5" t="s">
        <v>25</v>
      </c>
    </row>
    <row r="635" spans="1:3" x14ac:dyDescent="0.2">
      <c r="A635" s="5">
        <v>633</v>
      </c>
      <c r="B635" s="5">
        <f t="shared" ca="1" si="9"/>
        <v>0.73457990052596012</v>
      </c>
      <c r="C635" s="5" t="s">
        <v>24</v>
      </c>
    </row>
    <row r="636" spans="1:3" x14ac:dyDescent="0.2">
      <c r="A636" s="5">
        <v>634</v>
      </c>
      <c r="B636" s="5">
        <f t="shared" ca="1" si="9"/>
        <v>0.86922405750913545</v>
      </c>
      <c r="C636" s="5" t="s">
        <v>24</v>
      </c>
    </row>
    <row r="637" spans="1:3" x14ac:dyDescent="0.2">
      <c r="A637" s="5">
        <v>635</v>
      </c>
      <c r="B637" s="5">
        <f t="shared" ca="1" si="9"/>
        <v>0.78091406978197786</v>
      </c>
      <c r="C637" s="5" t="s">
        <v>24</v>
      </c>
    </row>
    <row r="638" spans="1:3" x14ac:dyDescent="0.2">
      <c r="A638" s="5">
        <v>636</v>
      </c>
      <c r="B638" s="5">
        <f t="shared" ca="1" si="9"/>
        <v>0.61691946131978836</v>
      </c>
      <c r="C638" s="5" t="s">
        <v>25</v>
      </c>
    </row>
    <row r="639" spans="1:3" x14ac:dyDescent="0.2">
      <c r="A639" s="5">
        <v>637</v>
      </c>
      <c r="B639" s="5">
        <f t="shared" ca="1" si="9"/>
        <v>0.43661222657607446</v>
      </c>
      <c r="C639" s="5" t="s">
        <v>25</v>
      </c>
    </row>
    <row r="640" spans="1:3" x14ac:dyDescent="0.2">
      <c r="A640" s="5">
        <v>638</v>
      </c>
      <c r="B640" s="5">
        <f t="shared" ca="1" si="9"/>
        <v>0.70184424743884788</v>
      </c>
      <c r="C640" s="5" t="s">
        <v>24</v>
      </c>
    </row>
    <row r="641" spans="1:3" x14ac:dyDescent="0.2">
      <c r="A641" s="5">
        <v>639</v>
      </c>
      <c r="B641" s="5">
        <f t="shared" ca="1" si="9"/>
        <v>0.55038570485970362</v>
      </c>
      <c r="C641" s="5" t="s">
        <v>25</v>
      </c>
    </row>
    <row r="642" spans="1:3" x14ac:dyDescent="0.2">
      <c r="A642" s="5">
        <v>640</v>
      </c>
      <c r="B642" s="5">
        <f t="shared" ca="1" si="9"/>
        <v>0.56452348214764325</v>
      </c>
      <c r="C642" s="5" t="s">
        <v>24</v>
      </c>
    </row>
    <row r="643" spans="1:3" x14ac:dyDescent="0.2">
      <c r="A643" s="5">
        <v>641</v>
      </c>
      <c r="B643" s="5">
        <f t="shared" ca="1" si="9"/>
        <v>0.53693099600333816</v>
      </c>
      <c r="C643" s="5" t="s">
        <v>24</v>
      </c>
    </row>
    <row r="644" spans="1:3" x14ac:dyDescent="0.2">
      <c r="A644" s="5">
        <v>642</v>
      </c>
      <c r="B644" s="5">
        <f t="shared" ref="B644:B707" ca="1" si="10">IF(C644="Bomb",_xlfn.NORM.INV(RAND(),0.7,0.1),_xlfn.NORM.INV(RAND(),0.6,0.15))</f>
        <v>0.66615471893714628</v>
      </c>
      <c r="C644" s="5" t="s">
        <v>25</v>
      </c>
    </row>
    <row r="645" spans="1:3" x14ac:dyDescent="0.2">
      <c r="A645" s="5">
        <v>643</v>
      </c>
      <c r="B645" s="5">
        <f t="shared" ca="1" si="10"/>
        <v>0.87195397701557864</v>
      </c>
      <c r="C645" s="5" t="s">
        <v>24</v>
      </c>
    </row>
    <row r="646" spans="1:3" x14ac:dyDescent="0.2">
      <c r="A646" s="5">
        <v>644</v>
      </c>
      <c r="B646" s="5">
        <f t="shared" ca="1" si="10"/>
        <v>0.81528912509383356</v>
      </c>
      <c r="C646" s="5" t="s">
        <v>25</v>
      </c>
    </row>
    <row r="647" spans="1:3" x14ac:dyDescent="0.2">
      <c r="A647" s="5">
        <v>645</v>
      </c>
      <c r="B647" s="5">
        <f t="shared" ca="1" si="10"/>
        <v>0.5060813827687809</v>
      </c>
      <c r="C647" s="5" t="s">
        <v>25</v>
      </c>
    </row>
    <row r="648" spans="1:3" x14ac:dyDescent="0.2">
      <c r="A648" s="5">
        <v>646</v>
      </c>
      <c r="B648" s="5">
        <f t="shared" ca="1" si="10"/>
        <v>0.60641090019766053</v>
      </c>
      <c r="C648" s="5" t="s">
        <v>25</v>
      </c>
    </row>
    <row r="649" spans="1:3" x14ac:dyDescent="0.2">
      <c r="A649" s="5">
        <v>647</v>
      </c>
      <c r="B649" s="5">
        <f t="shared" ca="1" si="10"/>
        <v>0.70586799457165739</v>
      </c>
      <c r="C649" s="5" t="s">
        <v>24</v>
      </c>
    </row>
    <row r="650" spans="1:3" x14ac:dyDescent="0.2">
      <c r="A650" s="5">
        <v>648</v>
      </c>
      <c r="B650" s="5">
        <f t="shared" ca="1" si="10"/>
        <v>0.64573932546306567</v>
      </c>
      <c r="C650" s="5" t="s">
        <v>24</v>
      </c>
    </row>
    <row r="651" spans="1:3" x14ac:dyDescent="0.2">
      <c r="A651" s="5">
        <v>649</v>
      </c>
      <c r="B651" s="5">
        <f t="shared" ca="1" si="10"/>
        <v>0.52743160395843558</v>
      </c>
      <c r="C651" s="5" t="s">
        <v>24</v>
      </c>
    </row>
    <row r="652" spans="1:3" x14ac:dyDescent="0.2">
      <c r="A652" s="5">
        <v>650</v>
      </c>
      <c r="B652" s="5">
        <f t="shared" ca="1" si="10"/>
        <v>0.57389013153279356</v>
      </c>
      <c r="C652" s="5" t="s">
        <v>24</v>
      </c>
    </row>
    <row r="653" spans="1:3" x14ac:dyDescent="0.2">
      <c r="A653" s="5">
        <v>651</v>
      </c>
      <c r="B653" s="5">
        <f t="shared" ca="1" si="10"/>
        <v>0.61468786690623323</v>
      </c>
      <c r="C653" s="5" t="s">
        <v>25</v>
      </c>
    </row>
    <row r="654" spans="1:3" x14ac:dyDescent="0.2">
      <c r="A654" s="5">
        <v>652</v>
      </c>
      <c r="B654" s="5">
        <f t="shared" ca="1" si="10"/>
        <v>0.79474038495947696</v>
      </c>
      <c r="C654" s="5" t="s">
        <v>25</v>
      </c>
    </row>
    <row r="655" spans="1:3" x14ac:dyDescent="0.2">
      <c r="A655" s="5">
        <v>653</v>
      </c>
      <c r="B655" s="5">
        <f t="shared" ca="1" si="10"/>
        <v>0.68835607526173637</v>
      </c>
      <c r="C655" s="5" t="s">
        <v>25</v>
      </c>
    </row>
    <row r="656" spans="1:3" x14ac:dyDescent="0.2">
      <c r="A656" s="5">
        <v>654</v>
      </c>
      <c r="B656" s="5">
        <f t="shared" ca="1" si="10"/>
        <v>0.82487420043382143</v>
      </c>
      <c r="C656" s="5" t="s">
        <v>25</v>
      </c>
    </row>
    <row r="657" spans="1:3" x14ac:dyDescent="0.2">
      <c r="A657" s="5">
        <v>655</v>
      </c>
      <c r="B657" s="5">
        <f t="shared" ca="1" si="10"/>
        <v>0.50647347158361877</v>
      </c>
      <c r="C657" s="5" t="s">
        <v>25</v>
      </c>
    </row>
    <row r="658" spans="1:3" x14ac:dyDescent="0.2">
      <c r="A658" s="5">
        <v>656</v>
      </c>
      <c r="B658" s="5">
        <f t="shared" ca="1" si="10"/>
        <v>0.56877175183083784</v>
      </c>
      <c r="C658" s="5" t="s">
        <v>25</v>
      </c>
    </row>
    <row r="659" spans="1:3" x14ac:dyDescent="0.2">
      <c r="A659" s="5">
        <v>657</v>
      </c>
      <c r="B659" s="5">
        <f t="shared" ca="1" si="10"/>
        <v>0.61584254276576855</v>
      </c>
      <c r="C659" s="5" t="s">
        <v>24</v>
      </c>
    </row>
    <row r="660" spans="1:3" x14ac:dyDescent="0.2">
      <c r="A660" s="5">
        <v>658</v>
      </c>
      <c r="B660" s="5">
        <f t="shared" ca="1" si="10"/>
        <v>0.66237406607271831</v>
      </c>
      <c r="C660" s="5" t="s">
        <v>25</v>
      </c>
    </row>
    <row r="661" spans="1:3" x14ac:dyDescent="0.2">
      <c r="A661" s="5">
        <v>659</v>
      </c>
      <c r="B661" s="5">
        <f t="shared" ca="1" si="10"/>
        <v>0.68574135396407876</v>
      </c>
      <c r="C661" s="5" t="s">
        <v>24</v>
      </c>
    </row>
    <row r="662" spans="1:3" x14ac:dyDescent="0.2">
      <c r="A662" s="5">
        <v>660</v>
      </c>
      <c r="B662" s="5">
        <f t="shared" ca="1" si="10"/>
        <v>0.40551409611960176</v>
      </c>
      <c r="C662" s="5" t="s">
        <v>25</v>
      </c>
    </row>
    <row r="663" spans="1:3" x14ac:dyDescent="0.2">
      <c r="A663" s="5">
        <v>661</v>
      </c>
      <c r="B663" s="5">
        <f t="shared" ca="1" si="10"/>
        <v>0.74939436204448939</v>
      </c>
      <c r="C663" s="5" t="s">
        <v>24</v>
      </c>
    </row>
    <row r="664" spans="1:3" x14ac:dyDescent="0.2">
      <c r="A664" s="5">
        <v>662</v>
      </c>
      <c r="B664" s="5">
        <f t="shared" ca="1" si="10"/>
        <v>0.51627023486570034</v>
      </c>
      <c r="C664" s="5" t="s">
        <v>25</v>
      </c>
    </row>
    <row r="665" spans="1:3" x14ac:dyDescent="0.2">
      <c r="A665" s="5">
        <v>663</v>
      </c>
      <c r="B665" s="5">
        <f t="shared" ca="1" si="10"/>
        <v>0.65799158306019156</v>
      </c>
      <c r="C665" s="5" t="s">
        <v>25</v>
      </c>
    </row>
    <row r="666" spans="1:3" x14ac:dyDescent="0.2">
      <c r="A666" s="5">
        <v>664</v>
      </c>
      <c r="B666" s="5">
        <f t="shared" ca="1" si="10"/>
        <v>0.59068514132998307</v>
      </c>
      <c r="C666" s="5" t="s">
        <v>24</v>
      </c>
    </row>
    <row r="667" spans="1:3" x14ac:dyDescent="0.2">
      <c r="A667" s="5">
        <v>665</v>
      </c>
      <c r="B667" s="5">
        <f t="shared" ca="1" si="10"/>
        <v>0.79468010091867913</v>
      </c>
      <c r="C667" s="5" t="s">
        <v>25</v>
      </c>
    </row>
    <row r="668" spans="1:3" x14ac:dyDescent="0.2">
      <c r="A668" s="5">
        <v>666</v>
      </c>
      <c r="B668" s="5">
        <f t="shared" ca="1" si="10"/>
        <v>0.35669923866281161</v>
      </c>
      <c r="C668" s="5" t="s">
        <v>25</v>
      </c>
    </row>
    <row r="669" spans="1:3" x14ac:dyDescent="0.2">
      <c r="A669" s="5">
        <v>667</v>
      </c>
      <c r="B669" s="5">
        <f t="shared" ca="1" si="10"/>
        <v>0.81327811186802912</v>
      </c>
      <c r="C669" s="5" t="s">
        <v>24</v>
      </c>
    </row>
    <row r="670" spans="1:3" x14ac:dyDescent="0.2">
      <c r="A670" s="5">
        <v>668</v>
      </c>
      <c r="B670" s="5">
        <f t="shared" ca="1" si="10"/>
        <v>0.60783327933098985</v>
      </c>
      <c r="C670" s="5" t="s">
        <v>25</v>
      </c>
    </row>
    <row r="671" spans="1:3" x14ac:dyDescent="0.2">
      <c r="A671" s="5">
        <v>669</v>
      </c>
      <c r="B671" s="5">
        <f t="shared" ca="1" si="10"/>
        <v>0.49972824258994952</v>
      </c>
      <c r="C671" s="5" t="s">
        <v>25</v>
      </c>
    </row>
    <row r="672" spans="1:3" x14ac:dyDescent="0.2">
      <c r="A672" s="5">
        <v>670</v>
      </c>
      <c r="B672" s="5">
        <f t="shared" ca="1" si="10"/>
        <v>0.64764120842216055</v>
      </c>
      <c r="C672" s="5" t="s">
        <v>25</v>
      </c>
    </row>
    <row r="673" spans="1:3" x14ac:dyDescent="0.2">
      <c r="A673" s="5">
        <v>671</v>
      </c>
      <c r="B673" s="5">
        <f t="shared" ca="1" si="10"/>
        <v>0.21040885127232928</v>
      </c>
      <c r="C673" s="5" t="s">
        <v>25</v>
      </c>
    </row>
    <row r="674" spans="1:3" x14ac:dyDescent="0.2">
      <c r="A674" s="5">
        <v>672</v>
      </c>
      <c r="B674" s="5">
        <f t="shared" ca="1" si="10"/>
        <v>0.80536434295115356</v>
      </c>
      <c r="C674" s="5" t="s">
        <v>25</v>
      </c>
    </row>
    <row r="675" spans="1:3" x14ac:dyDescent="0.2">
      <c r="A675" s="5">
        <v>673</v>
      </c>
      <c r="B675" s="5">
        <f t="shared" ca="1" si="10"/>
        <v>0.48108431679786823</v>
      </c>
      <c r="C675" s="5" t="s">
        <v>25</v>
      </c>
    </row>
    <row r="676" spans="1:3" x14ac:dyDescent="0.2">
      <c r="A676" s="5">
        <v>674</v>
      </c>
      <c r="B676" s="5">
        <f t="shared" ca="1" si="10"/>
        <v>0.62749389020071777</v>
      </c>
      <c r="C676" s="5" t="s">
        <v>24</v>
      </c>
    </row>
    <row r="677" spans="1:3" x14ac:dyDescent="0.2">
      <c r="A677" s="5">
        <v>675</v>
      </c>
      <c r="B677" s="5">
        <f t="shared" ca="1" si="10"/>
        <v>0.64210584207213073</v>
      </c>
      <c r="C677" s="5" t="s">
        <v>25</v>
      </c>
    </row>
    <row r="678" spans="1:3" x14ac:dyDescent="0.2">
      <c r="A678" s="5">
        <v>676</v>
      </c>
      <c r="B678" s="5">
        <f t="shared" ca="1" si="10"/>
        <v>0.6644741177424548</v>
      </c>
      <c r="C678" s="5" t="s">
        <v>24</v>
      </c>
    </row>
    <row r="679" spans="1:3" x14ac:dyDescent="0.2">
      <c r="A679" s="5">
        <v>677</v>
      </c>
      <c r="B679" s="5">
        <f t="shared" ca="1" si="10"/>
        <v>0.79886593560810748</v>
      </c>
      <c r="C679" s="5" t="s">
        <v>25</v>
      </c>
    </row>
    <row r="680" spans="1:3" x14ac:dyDescent="0.2">
      <c r="A680" s="5">
        <v>678</v>
      </c>
      <c r="B680" s="5">
        <f t="shared" ca="1" si="10"/>
        <v>0.71488911501173291</v>
      </c>
      <c r="C680" s="5" t="s">
        <v>24</v>
      </c>
    </row>
    <row r="681" spans="1:3" x14ac:dyDescent="0.2">
      <c r="A681" s="5">
        <v>679</v>
      </c>
      <c r="B681" s="5">
        <f t="shared" ca="1" si="10"/>
        <v>0.47099297277582775</v>
      </c>
      <c r="C681" s="5" t="s">
        <v>25</v>
      </c>
    </row>
    <row r="682" spans="1:3" x14ac:dyDescent="0.2">
      <c r="A682" s="5">
        <v>680</v>
      </c>
      <c r="B682" s="5">
        <f t="shared" ca="1" si="10"/>
        <v>0.79205649099423403</v>
      </c>
      <c r="C682" s="5" t="s">
        <v>25</v>
      </c>
    </row>
    <row r="683" spans="1:3" x14ac:dyDescent="0.2">
      <c r="A683" s="5">
        <v>681</v>
      </c>
      <c r="B683" s="5">
        <f t="shared" ca="1" si="10"/>
        <v>0.3811281744179873</v>
      </c>
      <c r="C683" s="5" t="s">
        <v>25</v>
      </c>
    </row>
    <row r="684" spans="1:3" x14ac:dyDescent="0.2">
      <c r="A684" s="5">
        <v>682</v>
      </c>
      <c r="B684" s="5">
        <f t="shared" ca="1" si="10"/>
        <v>0.50477820242275118</v>
      </c>
      <c r="C684" s="5" t="s">
        <v>25</v>
      </c>
    </row>
    <row r="685" spans="1:3" x14ac:dyDescent="0.2">
      <c r="A685" s="5">
        <v>683</v>
      </c>
      <c r="B685" s="5">
        <f t="shared" ca="1" si="10"/>
        <v>0.54899362824235554</v>
      </c>
      <c r="C685" s="5" t="s">
        <v>25</v>
      </c>
    </row>
    <row r="686" spans="1:3" x14ac:dyDescent="0.2">
      <c r="A686" s="5">
        <v>684</v>
      </c>
      <c r="B686" s="5">
        <f t="shared" ca="1" si="10"/>
        <v>0.63535389156810151</v>
      </c>
      <c r="C686" s="5" t="s">
        <v>25</v>
      </c>
    </row>
    <row r="687" spans="1:3" x14ac:dyDescent="0.2">
      <c r="A687" s="5">
        <v>685</v>
      </c>
      <c r="B687" s="5">
        <f t="shared" ca="1" si="10"/>
        <v>0.6800344507468683</v>
      </c>
      <c r="C687" s="5" t="s">
        <v>24</v>
      </c>
    </row>
    <row r="688" spans="1:3" x14ac:dyDescent="0.2">
      <c r="A688" s="5">
        <v>686</v>
      </c>
      <c r="B688" s="5">
        <f t="shared" ca="1" si="10"/>
        <v>0.63963783663787066</v>
      </c>
      <c r="C688" s="5" t="s">
        <v>25</v>
      </c>
    </row>
    <row r="689" spans="1:3" x14ac:dyDescent="0.2">
      <c r="A689" s="5">
        <v>687</v>
      </c>
      <c r="B689" s="5">
        <f t="shared" ca="1" si="10"/>
        <v>0.97573035768865246</v>
      </c>
      <c r="C689" s="5" t="s">
        <v>25</v>
      </c>
    </row>
    <row r="690" spans="1:3" x14ac:dyDescent="0.2">
      <c r="A690" s="5">
        <v>688</v>
      </c>
      <c r="B690" s="5">
        <f t="shared" ca="1" si="10"/>
        <v>0.56903247024547365</v>
      </c>
      <c r="C690" s="5" t="s">
        <v>25</v>
      </c>
    </row>
    <row r="691" spans="1:3" x14ac:dyDescent="0.2">
      <c r="A691" s="5">
        <v>689</v>
      </c>
      <c r="B691" s="5">
        <f t="shared" ca="1" si="10"/>
        <v>0.81338816355140309</v>
      </c>
      <c r="C691" s="5" t="s">
        <v>25</v>
      </c>
    </row>
    <row r="692" spans="1:3" x14ac:dyDescent="0.2">
      <c r="A692" s="5">
        <v>690</v>
      </c>
      <c r="B692" s="5">
        <f t="shared" ca="1" si="10"/>
        <v>0.84929300060492396</v>
      </c>
      <c r="C692" s="5" t="s">
        <v>24</v>
      </c>
    </row>
    <row r="693" spans="1:3" x14ac:dyDescent="0.2">
      <c r="A693" s="5">
        <v>691</v>
      </c>
      <c r="B693" s="5">
        <f t="shared" ca="1" si="10"/>
        <v>0.78002565677793168</v>
      </c>
      <c r="C693" s="5" t="s">
        <v>24</v>
      </c>
    </row>
    <row r="694" spans="1:3" x14ac:dyDescent="0.2">
      <c r="A694" s="5">
        <v>692</v>
      </c>
      <c r="B694" s="5">
        <f t="shared" ca="1" si="10"/>
        <v>0.6884403988112181</v>
      </c>
      <c r="C694" s="5" t="s">
        <v>24</v>
      </c>
    </row>
    <row r="695" spans="1:3" x14ac:dyDescent="0.2">
      <c r="A695" s="5">
        <v>693</v>
      </c>
      <c r="B695" s="5">
        <f t="shared" ca="1" si="10"/>
        <v>0.67940142730105024</v>
      </c>
      <c r="C695" s="5" t="s">
        <v>24</v>
      </c>
    </row>
    <row r="696" spans="1:3" x14ac:dyDescent="0.2">
      <c r="A696" s="5">
        <v>694</v>
      </c>
      <c r="B696" s="5">
        <f t="shared" ca="1" si="10"/>
        <v>0.65644587070449667</v>
      </c>
      <c r="C696" s="5" t="s">
        <v>25</v>
      </c>
    </row>
    <row r="697" spans="1:3" x14ac:dyDescent="0.2">
      <c r="A697" s="5">
        <v>695</v>
      </c>
      <c r="B697" s="5">
        <f t="shared" ca="1" si="10"/>
        <v>0.80659300918770049</v>
      </c>
      <c r="C697" s="5" t="s">
        <v>25</v>
      </c>
    </row>
    <row r="698" spans="1:3" x14ac:dyDescent="0.2">
      <c r="A698" s="5">
        <v>696</v>
      </c>
      <c r="B698" s="5">
        <f t="shared" ca="1" si="10"/>
        <v>0.53851529530041831</v>
      </c>
      <c r="C698" s="5" t="s">
        <v>25</v>
      </c>
    </row>
    <row r="699" spans="1:3" x14ac:dyDescent="0.2">
      <c r="A699" s="5">
        <v>697</v>
      </c>
      <c r="B699" s="5">
        <f t="shared" ca="1" si="10"/>
        <v>0.6280361391718049</v>
      </c>
      <c r="C699" s="5" t="s">
        <v>25</v>
      </c>
    </row>
    <row r="700" spans="1:3" x14ac:dyDescent="0.2">
      <c r="A700" s="5">
        <v>698</v>
      </c>
      <c r="B700" s="5">
        <f t="shared" ca="1" si="10"/>
        <v>0.71527448003641381</v>
      </c>
      <c r="C700" s="5" t="s">
        <v>24</v>
      </c>
    </row>
    <row r="701" spans="1:3" x14ac:dyDescent="0.2">
      <c r="A701" s="5">
        <v>699</v>
      </c>
      <c r="B701" s="5">
        <f t="shared" ca="1" si="10"/>
        <v>0.45854697156210655</v>
      </c>
      <c r="C701" s="5" t="s">
        <v>25</v>
      </c>
    </row>
    <row r="702" spans="1:3" x14ac:dyDescent="0.2">
      <c r="A702" s="5">
        <v>700</v>
      </c>
      <c r="B702" s="5">
        <f t="shared" ca="1" si="10"/>
        <v>0.5804880572539286</v>
      </c>
      <c r="C702" s="5" t="s">
        <v>25</v>
      </c>
    </row>
    <row r="703" spans="1:3" x14ac:dyDescent="0.2">
      <c r="A703" s="5">
        <v>701</v>
      </c>
      <c r="B703" s="5">
        <f t="shared" ca="1" si="10"/>
        <v>0.60372944364251246</v>
      </c>
      <c r="C703" s="5" t="s">
        <v>25</v>
      </c>
    </row>
    <row r="704" spans="1:3" x14ac:dyDescent="0.2">
      <c r="A704" s="5">
        <v>702</v>
      </c>
      <c r="B704" s="5">
        <f t="shared" ca="1" si="10"/>
        <v>0.385679175889038</v>
      </c>
      <c r="C704" s="5" t="s">
        <v>25</v>
      </c>
    </row>
    <row r="705" spans="1:3" x14ac:dyDescent="0.2">
      <c r="A705" s="5">
        <v>703</v>
      </c>
      <c r="B705" s="5">
        <f t="shared" ca="1" si="10"/>
        <v>0.77664143353997339</v>
      </c>
      <c r="C705" s="5" t="s">
        <v>24</v>
      </c>
    </row>
    <row r="706" spans="1:3" x14ac:dyDescent="0.2">
      <c r="A706" s="5">
        <v>704</v>
      </c>
      <c r="B706" s="5">
        <f t="shared" ca="1" si="10"/>
        <v>0.76251373741398376</v>
      </c>
      <c r="C706" s="5" t="s">
        <v>24</v>
      </c>
    </row>
    <row r="707" spans="1:3" x14ac:dyDescent="0.2">
      <c r="A707" s="5">
        <v>705</v>
      </c>
      <c r="B707" s="5">
        <f t="shared" ca="1" si="10"/>
        <v>0.72281223208500101</v>
      </c>
      <c r="C707" s="5" t="s">
        <v>25</v>
      </c>
    </row>
    <row r="708" spans="1:3" x14ac:dyDescent="0.2">
      <c r="A708" s="5">
        <v>706</v>
      </c>
      <c r="B708" s="5">
        <f t="shared" ref="B708:B771" ca="1" si="11">IF(C708="Bomb",_xlfn.NORM.INV(RAND(),0.7,0.1),_xlfn.NORM.INV(RAND(),0.6,0.15))</f>
        <v>0.50603304787293024</v>
      </c>
      <c r="C708" s="5" t="s">
        <v>25</v>
      </c>
    </row>
    <row r="709" spans="1:3" x14ac:dyDescent="0.2">
      <c r="A709" s="5">
        <v>707</v>
      </c>
      <c r="B709" s="5">
        <f t="shared" ca="1" si="11"/>
        <v>0.54869929179008237</v>
      </c>
      <c r="C709" s="5" t="s">
        <v>25</v>
      </c>
    </row>
    <row r="710" spans="1:3" x14ac:dyDescent="0.2">
      <c r="A710" s="5">
        <v>708</v>
      </c>
      <c r="B710" s="5">
        <f t="shared" ca="1" si="11"/>
        <v>0.54509697029109205</v>
      </c>
      <c r="C710" s="5" t="s">
        <v>24</v>
      </c>
    </row>
    <row r="711" spans="1:3" x14ac:dyDescent="0.2">
      <c r="A711" s="5">
        <v>709</v>
      </c>
      <c r="B711" s="5">
        <f t="shared" ca="1" si="11"/>
        <v>0.75291594082531521</v>
      </c>
      <c r="C711" s="5" t="s">
        <v>24</v>
      </c>
    </row>
    <row r="712" spans="1:3" x14ac:dyDescent="0.2">
      <c r="A712" s="5">
        <v>710</v>
      </c>
      <c r="B712" s="5">
        <f t="shared" ca="1" si="11"/>
        <v>0.71608594213355536</v>
      </c>
      <c r="C712" s="5" t="s">
        <v>24</v>
      </c>
    </row>
    <row r="713" spans="1:3" x14ac:dyDescent="0.2">
      <c r="A713" s="5">
        <v>711</v>
      </c>
      <c r="B713" s="5">
        <f t="shared" ca="1" si="11"/>
        <v>0.69321877595348902</v>
      </c>
      <c r="C713" s="5" t="s">
        <v>25</v>
      </c>
    </row>
    <row r="714" spans="1:3" x14ac:dyDescent="0.2">
      <c r="A714" s="5">
        <v>712</v>
      </c>
      <c r="B714" s="5">
        <f t="shared" ca="1" si="11"/>
        <v>0.65859413221777707</v>
      </c>
      <c r="C714" s="5" t="s">
        <v>24</v>
      </c>
    </row>
    <row r="715" spans="1:3" x14ac:dyDescent="0.2">
      <c r="A715" s="5">
        <v>713</v>
      </c>
      <c r="B715" s="5">
        <f t="shared" ca="1" si="11"/>
        <v>0.53292835159911589</v>
      </c>
      <c r="C715" s="5" t="s">
        <v>25</v>
      </c>
    </row>
    <row r="716" spans="1:3" x14ac:dyDescent="0.2">
      <c r="A716" s="5">
        <v>714</v>
      </c>
      <c r="B716" s="5">
        <f t="shared" ca="1" si="11"/>
        <v>0.45916737342636932</v>
      </c>
      <c r="C716" s="5" t="s">
        <v>25</v>
      </c>
    </row>
    <row r="717" spans="1:3" x14ac:dyDescent="0.2">
      <c r="A717" s="5">
        <v>715</v>
      </c>
      <c r="B717" s="5">
        <f t="shared" ca="1" si="11"/>
        <v>0.42596829451740259</v>
      </c>
      <c r="C717" s="5" t="s">
        <v>25</v>
      </c>
    </row>
    <row r="718" spans="1:3" x14ac:dyDescent="0.2">
      <c r="A718" s="5">
        <v>716</v>
      </c>
      <c r="B718" s="5">
        <f t="shared" ca="1" si="11"/>
        <v>0.72344618545981942</v>
      </c>
      <c r="C718" s="5" t="s">
        <v>24</v>
      </c>
    </row>
    <row r="719" spans="1:3" x14ac:dyDescent="0.2">
      <c r="A719" s="5">
        <v>717</v>
      </c>
      <c r="B719" s="5">
        <f t="shared" ca="1" si="11"/>
        <v>0.45845880061949312</v>
      </c>
      <c r="C719" s="5" t="s">
        <v>25</v>
      </c>
    </row>
    <row r="720" spans="1:3" x14ac:dyDescent="0.2">
      <c r="A720" s="5">
        <v>718</v>
      </c>
      <c r="B720" s="5">
        <f t="shared" ca="1" si="11"/>
        <v>0.85710259670115052</v>
      </c>
      <c r="C720" s="5" t="s">
        <v>25</v>
      </c>
    </row>
    <row r="721" spans="1:3" x14ac:dyDescent="0.2">
      <c r="A721" s="5">
        <v>719</v>
      </c>
      <c r="B721" s="5">
        <f t="shared" ca="1" si="11"/>
        <v>0.33204872594284379</v>
      </c>
      <c r="C721" s="5" t="s">
        <v>25</v>
      </c>
    </row>
    <row r="722" spans="1:3" x14ac:dyDescent="0.2">
      <c r="A722" s="5">
        <v>720</v>
      </c>
      <c r="B722" s="5">
        <f t="shared" ca="1" si="11"/>
        <v>0.74872120036309964</v>
      </c>
      <c r="C722" s="5" t="s">
        <v>25</v>
      </c>
    </row>
    <row r="723" spans="1:3" x14ac:dyDescent="0.2">
      <c r="A723" s="5">
        <v>721</v>
      </c>
      <c r="B723" s="5">
        <f t="shared" ca="1" si="11"/>
        <v>0.53574055101429896</v>
      </c>
      <c r="C723" s="5" t="s">
        <v>24</v>
      </c>
    </row>
    <row r="724" spans="1:3" x14ac:dyDescent="0.2">
      <c r="A724" s="5">
        <v>722</v>
      </c>
      <c r="B724" s="5">
        <f t="shared" ca="1" si="11"/>
        <v>0.58232641589694567</v>
      </c>
      <c r="C724" s="5" t="s">
        <v>25</v>
      </c>
    </row>
    <row r="725" spans="1:3" x14ac:dyDescent="0.2">
      <c r="A725" s="5">
        <v>723</v>
      </c>
      <c r="B725" s="5">
        <f t="shared" ca="1" si="11"/>
        <v>0.76993821314530786</v>
      </c>
      <c r="C725" s="5" t="s">
        <v>24</v>
      </c>
    </row>
    <row r="726" spans="1:3" x14ac:dyDescent="0.2">
      <c r="A726" s="5">
        <v>724</v>
      </c>
      <c r="B726" s="5">
        <f t="shared" ca="1" si="11"/>
        <v>0.58895350564824478</v>
      </c>
      <c r="C726" s="5" t="s">
        <v>24</v>
      </c>
    </row>
    <row r="727" spans="1:3" x14ac:dyDescent="0.2">
      <c r="A727" s="5">
        <v>725</v>
      </c>
      <c r="B727" s="5">
        <f t="shared" ca="1" si="11"/>
        <v>0.68014744185822462</v>
      </c>
      <c r="C727" s="5" t="s">
        <v>25</v>
      </c>
    </row>
    <row r="728" spans="1:3" x14ac:dyDescent="0.2">
      <c r="A728" s="5">
        <v>726</v>
      </c>
      <c r="B728" s="5">
        <f t="shared" ca="1" si="11"/>
        <v>0.57721936843625354</v>
      </c>
      <c r="C728" s="5" t="s">
        <v>25</v>
      </c>
    </row>
    <row r="729" spans="1:3" x14ac:dyDescent="0.2">
      <c r="A729" s="5">
        <v>727</v>
      </c>
      <c r="B729" s="5">
        <f t="shared" ca="1" si="11"/>
        <v>0.74465724994225679</v>
      </c>
      <c r="C729" s="5" t="s">
        <v>24</v>
      </c>
    </row>
    <row r="730" spans="1:3" x14ac:dyDescent="0.2">
      <c r="A730" s="5">
        <v>728</v>
      </c>
      <c r="B730" s="5">
        <f t="shared" ca="1" si="11"/>
        <v>0.63397138914558493</v>
      </c>
      <c r="C730" s="5" t="s">
        <v>25</v>
      </c>
    </row>
    <row r="731" spans="1:3" x14ac:dyDescent="0.2">
      <c r="A731" s="5">
        <v>729</v>
      </c>
      <c r="B731" s="5">
        <f t="shared" ca="1" si="11"/>
        <v>0.59522161301064558</v>
      </c>
      <c r="C731" s="5" t="s">
        <v>24</v>
      </c>
    </row>
    <row r="732" spans="1:3" x14ac:dyDescent="0.2">
      <c r="A732" s="5">
        <v>730</v>
      </c>
      <c r="B732" s="5">
        <f t="shared" ca="1" si="11"/>
        <v>0.56451745588280444</v>
      </c>
      <c r="C732" s="5" t="s">
        <v>24</v>
      </c>
    </row>
    <row r="733" spans="1:3" x14ac:dyDescent="0.2">
      <c r="A733" s="5">
        <v>731</v>
      </c>
      <c r="B733" s="5">
        <f t="shared" ca="1" si="11"/>
        <v>0.80606226337997833</v>
      </c>
      <c r="C733" s="5" t="s">
        <v>24</v>
      </c>
    </row>
    <row r="734" spans="1:3" x14ac:dyDescent="0.2">
      <c r="A734" s="5">
        <v>732</v>
      </c>
      <c r="B734" s="5">
        <f t="shared" ca="1" si="11"/>
        <v>0.55361813439351149</v>
      </c>
      <c r="C734" s="5" t="s">
        <v>25</v>
      </c>
    </row>
    <row r="735" spans="1:3" x14ac:dyDescent="0.2">
      <c r="A735" s="5">
        <v>733</v>
      </c>
      <c r="B735" s="5">
        <f t="shared" ca="1" si="11"/>
        <v>0.70765495773799514</v>
      </c>
      <c r="C735" s="5" t="s">
        <v>25</v>
      </c>
    </row>
    <row r="736" spans="1:3" x14ac:dyDescent="0.2">
      <c r="A736" s="5">
        <v>734</v>
      </c>
      <c r="B736" s="5">
        <f t="shared" ca="1" si="11"/>
        <v>0.57325757819977186</v>
      </c>
      <c r="C736" s="5" t="s">
        <v>25</v>
      </c>
    </row>
    <row r="737" spans="1:3" x14ac:dyDescent="0.2">
      <c r="A737" s="5">
        <v>735</v>
      </c>
      <c r="B737" s="5">
        <f t="shared" ca="1" si="11"/>
        <v>0.55055531985978545</v>
      </c>
      <c r="C737" s="5" t="s">
        <v>24</v>
      </c>
    </row>
    <row r="738" spans="1:3" x14ac:dyDescent="0.2">
      <c r="A738" s="5">
        <v>736</v>
      </c>
      <c r="B738" s="5">
        <f t="shared" ca="1" si="11"/>
        <v>0.84448750671158934</v>
      </c>
      <c r="C738" s="5" t="s">
        <v>24</v>
      </c>
    </row>
    <row r="739" spans="1:3" x14ac:dyDescent="0.2">
      <c r="A739" s="5">
        <v>737</v>
      </c>
      <c r="B739" s="5">
        <f t="shared" ca="1" si="11"/>
        <v>0.50292123927349597</v>
      </c>
      <c r="C739" s="5" t="s">
        <v>25</v>
      </c>
    </row>
    <row r="740" spans="1:3" x14ac:dyDescent="0.2">
      <c r="A740" s="5">
        <v>738</v>
      </c>
      <c r="B740" s="5">
        <f t="shared" ca="1" si="11"/>
        <v>0.49683414160432016</v>
      </c>
      <c r="C740" s="5" t="s">
        <v>25</v>
      </c>
    </row>
    <row r="741" spans="1:3" x14ac:dyDescent="0.2">
      <c r="A741" s="5">
        <v>739</v>
      </c>
      <c r="B741" s="5">
        <f t="shared" ca="1" si="11"/>
        <v>0.78270326437389603</v>
      </c>
      <c r="C741" s="5" t="s">
        <v>24</v>
      </c>
    </row>
    <row r="742" spans="1:3" x14ac:dyDescent="0.2">
      <c r="A742" s="5">
        <v>740</v>
      </c>
      <c r="B742" s="5">
        <f t="shared" ca="1" si="11"/>
        <v>0.71607851239937081</v>
      </c>
      <c r="C742" s="5" t="s">
        <v>25</v>
      </c>
    </row>
    <row r="743" spans="1:3" x14ac:dyDescent="0.2">
      <c r="A743" s="5">
        <v>741</v>
      </c>
      <c r="B743" s="5">
        <f t="shared" ca="1" si="11"/>
        <v>0.49333304465679861</v>
      </c>
      <c r="C743" s="5" t="s">
        <v>25</v>
      </c>
    </row>
    <row r="744" spans="1:3" x14ac:dyDescent="0.2">
      <c r="A744" s="5">
        <v>742</v>
      </c>
      <c r="B744" s="5">
        <f t="shared" ca="1" si="11"/>
        <v>0.47929933125167112</v>
      </c>
      <c r="C744" s="5" t="s">
        <v>25</v>
      </c>
    </row>
    <row r="745" spans="1:3" x14ac:dyDescent="0.2">
      <c r="A745" s="5">
        <v>743</v>
      </c>
      <c r="B745" s="5">
        <f t="shared" ca="1" si="11"/>
        <v>0.94026245834142141</v>
      </c>
      <c r="C745" s="5" t="s">
        <v>25</v>
      </c>
    </row>
    <row r="746" spans="1:3" x14ac:dyDescent="0.2">
      <c r="A746" s="5">
        <v>744</v>
      </c>
      <c r="B746" s="5">
        <f t="shared" ca="1" si="11"/>
        <v>0.46007441568055996</v>
      </c>
      <c r="C746" s="5" t="s">
        <v>25</v>
      </c>
    </row>
    <row r="747" spans="1:3" x14ac:dyDescent="0.2">
      <c r="A747" s="5">
        <v>745</v>
      </c>
      <c r="B747" s="5">
        <f t="shared" ca="1" si="11"/>
        <v>0.37644272941847701</v>
      </c>
      <c r="C747" s="5" t="s">
        <v>25</v>
      </c>
    </row>
    <row r="748" spans="1:3" x14ac:dyDescent="0.2">
      <c r="A748" s="5">
        <v>746</v>
      </c>
      <c r="B748" s="5">
        <f t="shared" ca="1" si="11"/>
        <v>0.64358147462885729</v>
      </c>
      <c r="C748" s="5" t="s">
        <v>24</v>
      </c>
    </row>
    <row r="749" spans="1:3" x14ac:dyDescent="0.2">
      <c r="A749" s="5">
        <v>747</v>
      </c>
      <c r="B749" s="5">
        <f t="shared" ca="1" si="11"/>
        <v>0.7296611117793429</v>
      </c>
      <c r="C749" s="5" t="s">
        <v>24</v>
      </c>
    </row>
    <row r="750" spans="1:3" x14ac:dyDescent="0.2">
      <c r="A750" s="5">
        <v>748</v>
      </c>
      <c r="B750" s="5">
        <f t="shared" ca="1" si="11"/>
        <v>0.32601830823426126</v>
      </c>
      <c r="C750" s="5" t="s">
        <v>25</v>
      </c>
    </row>
    <row r="751" spans="1:3" x14ac:dyDescent="0.2">
      <c r="A751" s="5">
        <v>749</v>
      </c>
      <c r="B751" s="5">
        <f t="shared" ca="1" si="11"/>
        <v>0.62026738515552671</v>
      </c>
      <c r="C751" s="5" t="s">
        <v>24</v>
      </c>
    </row>
    <row r="752" spans="1:3" x14ac:dyDescent="0.2">
      <c r="A752" s="5">
        <v>750</v>
      </c>
      <c r="B752" s="5">
        <f t="shared" ca="1" si="11"/>
        <v>0.39426872903374988</v>
      </c>
      <c r="C752" s="5" t="s">
        <v>25</v>
      </c>
    </row>
    <row r="753" spans="1:3" x14ac:dyDescent="0.2">
      <c r="A753" s="5">
        <v>751</v>
      </c>
      <c r="B753" s="5">
        <f t="shared" ca="1" si="11"/>
        <v>0.69047467897623982</v>
      </c>
      <c r="C753" s="5" t="s">
        <v>24</v>
      </c>
    </row>
    <row r="754" spans="1:3" x14ac:dyDescent="0.2">
      <c r="A754" s="5">
        <v>752</v>
      </c>
      <c r="B754" s="5">
        <f t="shared" ca="1" si="11"/>
        <v>0.90443978452944118</v>
      </c>
      <c r="C754" s="5" t="s">
        <v>24</v>
      </c>
    </row>
    <row r="755" spans="1:3" x14ac:dyDescent="0.2">
      <c r="A755" s="5">
        <v>753</v>
      </c>
      <c r="B755" s="5">
        <f t="shared" ca="1" si="11"/>
        <v>0.66065540853788496</v>
      </c>
      <c r="C755" s="5" t="s">
        <v>24</v>
      </c>
    </row>
    <row r="756" spans="1:3" x14ac:dyDescent="0.2">
      <c r="A756" s="5">
        <v>754</v>
      </c>
      <c r="B756" s="5">
        <f t="shared" ca="1" si="11"/>
        <v>0.65848444429937603</v>
      </c>
      <c r="C756" s="5" t="s">
        <v>24</v>
      </c>
    </row>
    <row r="757" spans="1:3" x14ac:dyDescent="0.2">
      <c r="A757" s="5">
        <v>755</v>
      </c>
      <c r="B757" s="5">
        <f t="shared" ca="1" si="11"/>
        <v>0.4778351084445086</v>
      </c>
      <c r="C757" s="5" t="s">
        <v>25</v>
      </c>
    </row>
    <row r="758" spans="1:3" x14ac:dyDescent="0.2">
      <c r="A758" s="5">
        <v>756</v>
      </c>
      <c r="B758" s="5">
        <f t="shared" ca="1" si="11"/>
        <v>0.94266139530534154</v>
      </c>
      <c r="C758" s="5" t="s">
        <v>24</v>
      </c>
    </row>
    <row r="759" spans="1:3" x14ac:dyDescent="0.2">
      <c r="A759" s="5">
        <v>757</v>
      </c>
      <c r="B759" s="5">
        <f t="shared" ca="1" si="11"/>
        <v>0.68342518403876484</v>
      </c>
      <c r="C759" s="5" t="s">
        <v>24</v>
      </c>
    </row>
    <row r="760" spans="1:3" x14ac:dyDescent="0.2">
      <c r="A760" s="5">
        <v>758</v>
      </c>
      <c r="B760" s="5">
        <f t="shared" ca="1" si="11"/>
        <v>0.71312195660362754</v>
      </c>
      <c r="C760" s="5" t="s">
        <v>24</v>
      </c>
    </row>
    <row r="761" spans="1:3" x14ac:dyDescent="0.2">
      <c r="A761" s="5">
        <v>759</v>
      </c>
      <c r="B761" s="5">
        <f t="shared" ca="1" si="11"/>
        <v>0.73937971245173106</v>
      </c>
      <c r="C761" s="5" t="s">
        <v>25</v>
      </c>
    </row>
    <row r="762" spans="1:3" x14ac:dyDescent="0.2">
      <c r="A762" s="5">
        <v>760</v>
      </c>
      <c r="B762" s="5">
        <f t="shared" ca="1" si="11"/>
        <v>1.0140109246255615</v>
      </c>
      <c r="C762" s="5" t="s">
        <v>24</v>
      </c>
    </row>
    <row r="763" spans="1:3" x14ac:dyDescent="0.2">
      <c r="A763" s="5">
        <v>761</v>
      </c>
      <c r="B763" s="5">
        <f t="shared" ca="1" si="11"/>
        <v>0.86238346786056441</v>
      </c>
      <c r="C763" s="5" t="s">
        <v>25</v>
      </c>
    </row>
    <row r="764" spans="1:3" x14ac:dyDescent="0.2">
      <c r="A764" s="5">
        <v>762</v>
      </c>
      <c r="B764" s="5">
        <f t="shared" ca="1" si="11"/>
        <v>0.65346748771776864</v>
      </c>
      <c r="C764" s="5" t="s">
        <v>25</v>
      </c>
    </row>
    <row r="765" spans="1:3" x14ac:dyDescent="0.2">
      <c r="A765" s="5">
        <v>763</v>
      </c>
      <c r="B765" s="5">
        <f t="shared" ca="1" si="11"/>
        <v>0.72865844611302455</v>
      </c>
      <c r="C765" s="5" t="s">
        <v>25</v>
      </c>
    </row>
    <row r="766" spans="1:3" x14ac:dyDescent="0.2">
      <c r="A766" s="5">
        <v>764</v>
      </c>
      <c r="B766" s="5">
        <f t="shared" ca="1" si="11"/>
        <v>0.67850002259069697</v>
      </c>
      <c r="C766" s="5" t="s">
        <v>25</v>
      </c>
    </row>
    <row r="767" spans="1:3" x14ac:dyDescent="0.2">
      <c r="A767" s="5">
        <v>765</v>
      </c>
      <c r="B767" s="5">
        <f t="shared" ca="1" si="11"/>
        <v>0.11047493724617591</v>
      </c>
      <c r="C767" s="5" t="s">
        <v>25</v>
      </c>
    </row>
    <row r="768" spans="1:3" x14ac:dyDescent="0.2">
      <c r="A768" s="5">
        <v>766</v>
      </c>
      <c r="B768" s="5">
        <f t="shared" ca="1" si="11"/>
        <v>0.31870515841061736</v>
      </c>
      <c r="C768" s="5" t="s">
        <v>25</v>
      </c>
    </row>
    <row r="769" spans="1:3" x14ac:dyDescent="0.2">
      <c r="A769" s="5">
        <v>767</v>
      </c>
      <c r="B769" s="5">
        <f t="shared" ca="1" si="11"/>
        <v>0.72371519693170361</v>
      </c>
      <c r="C769" s="5" t="s">
        <v>24</v>
      </c>
    </row>
    <row r="770" spans="1:3" x14ac:dyDescent="0.2">
      <c r="A770" s="5">
        <v>768</v>
      </c>
      <c r="B770" s="5">
        <f t="shared" ca="1" si="11"/>
        <v>0.78513288192214659</v>
      </c>
      <c r="C770" s="5" t="s">
        <v>24</v>
      </c>
    </row>
    <row r="771" spans="1:3" x14ac:dyDescent="0.2">
      <c r="A771" s="5">
        <v>769</v>
      </c>
      <c r="B771" s="5">
        <f t="shared" ca="1" si="11"/>
        <v>0.58136613144851923</v>
      </c>
      <c r="C771" s="5" t="s">
        <v>25</v>
      </c>
    </row>
    <row r="772" spans="1:3" x14ac:dyDescent="0.2">
      <c r="A772" s="5">
        <v>770</v>
      </c>
      <c r="B772" s="5">
        <f t="shared" ref="B772:B835" ca="1" si="12">IF(C772="Bomb",_xlfn.NORM.INV(RAND(),0.7,0.1),_xlfn.NORM.INV(RAND(),0.6,0.15))</f>
        <v>0.69796898259089946</v>
      </c>
      <c r="C772" s="5" t="s">
        <v>24</v>
      </c>
    </row>
    <row r="773" spans="1:3" x14ac:dyDescent="0.2">
      <c r="A773" s="5">
        <v>771</v>
      </c>
      <c r="B773" s="5">
        <f t="shared" ca="1" si="12"/>
        <v>0.50467631565145843</v>
      </c>
      <c r="C773" s="5" t="s">
        <v>25</v>
      </c>
    </row>
    <row r="774" spans="1:3" x14ac:dyDescent="0.2">
      <c r="A774" s="5">
        <v>772</v>
      </c>
      <c r="B774" s="5">
        <f t="shared" ca="1" si="12"/>
        <v>0.59577131334296518</v>
      </c>
      <c r="C774" s="5" t="s">
        <v>25</v>
      </c>
    </row>
    <row r="775" spans="1:3" x14ac:dyDescent="0.2">
      <c r="A775" s="5">
        <v>773</v>
      </c>
      <c r="B775" s="5">
        <f t="shared" ca="1" si="12"/>
        <v>0.55771309993768015</v>
      </c>
      <c r="C775" s="5" t="s">
        <v>25</v>
      </c>
    </row>
    <row r="776" spans="1:3" x14ac:dyDescent="0.2">
      <c r="A776" s="5">
        <v>774</v>
      </c>
      <c r="B776" s="5">
        <f t="shared" ca="1" si="12"/>
        <v>0.60481126427738396</v>
      </c>
      <c r="C776" s="5" t="s">
        <v>25</v>
      </c>
    </row>
    <row r="777" spans="1:3" x14ac:dyDescent="0.2">
      <c r="A777" s="5">
        <v>775</v>
      </c>
      <c r="B777" s="5">
        <f t="shared" ca="1" si="12"/>
        <v>0.71953316461487282</v>
      </c>
      <c r="C777" s="5" t="s">
        <v>24</v>
      </c>
    </row>
    <row r="778" spans="1:3" x14ac:dyDescent="0.2">
      <c r="A778" s="5">
        <v>776</v>
      </c>
      <c r="B778" s="5">
        <f t="shared" ca="1" si="12"/>
        <v>0.73809128828382908</v>
      </c>
      <c r="C778" s="5" t="s">
        <v>25</v>
      </c>
    </row>
    <row r="779" spans="1:3" x14ac:dyDescent="0.2">
      <c r="A779" s="5">
        <v>777</v>
      </c>
      <c r="B779" s="5">
        <f t="shared" ca="1" si="12"/>
        <v>0.80221834585654528</v>
      </c>
      <c r="C779" s="5" t="s">
        <v>24</v>
      </c>
    </row>
    <row r="780" spans="1:3" x14ac:dyDescent="0.2">
      <c r="A780" s="5">
        <v>778</v>
      </c>
      <c r="B780" s="5">
        <f t="shared" ca="1" si="12"/>
        <v>0.72612111738435703</v>
      </c>
      <c r="C780" s="5" t="s">
        <v>24</v>
      </c>
    </row>
    <row r="781" spans="1:3" x14ac:dyDescent="0.2">
      <c r="A781" s="5">
        <v>779</v>
      </c>
      <c r="B781" s="5">
        <f t="shared" ca="1" si="12"/>
        <v>0.67466890534765978</v>
      </c>
      <c r="C781" s="5" t="s">
        <v>24</v>
      </c>
    </row>
    <row r="782" spans="1:3" x14ac:dyDescent="0.2">
      <c r="A782" s="5">
        <v>780</v>
      </c>
      <c r="B782" s="5">
        <f t="shared" ca="1" si="12"/>
        <v>0.81878333347810683</v>
      </c>
      <c r="C782" s="5" t="s">
        <v>24</v>
      </c>
    </row>
    <row r="783" spans="1:3" x14ac:dyDescent="0.2">
      <c r="A783" s="5">
        <v>781</v>
      </c>
      <c r="B783" s="5">
        <f t="shared" ca="1" si="12"/>
        <v>0.6711038917750024</v>
      </c>
      <c r="C783" s="5" t="s">
        <v>24</v>
      </c>
    </row>
    <row r="784" spans="1:3" x14ac:dyDescent="0.2">
      <c r="A784" s="5">
        <v>782</v>
      </c>
      <c r="B784" s="5">
        <f t="shared" ca="1" si="12"/>
        <v>0.72541080642698186</v>
      </c>
      <c r="C784" s="5" t="s">
        <v>24</v>
      </c>
    </row>
    <row r="785" spans="1:3" x14ac:dyDescent="0.2">
      <c r="A785" s="5">
        <v>783</v>
      </c>
      <c r="B785" s="5">
        <f t="shared" ca="1" si="12"/>
        <v>0.77999678646071846</v>
      </c>
      <c r="C785" s="5" t="s">
        <v>24</v>
      </c>
    </row>
    <row r="786" spans="1:3" x14ac:dyDescent="0.2">
      <c r="A786" s="5">
        <v>784</v>
      </c>
      <c r="B786" s="5">
        <f t="shared" ca="1" si="12"/>
        <v>0.60846625052789172</v>
      </c>
      <c r="C786" s="5" t="s">
        <v>25</v>
      </c>
    </row>
    <row r="787" spans="1:3" x14ac:dyDescent="0.2">
      <c r="A787" s="5">
        <v>785</v>
      </c>
      <c r="B787" s="5">
        <f t="shared" ca="1" si="12"/>
        <v>0.71909536341415781</v>
      </c>
      <c r="C787" s="5" t="s">
        <v>25</v>
      </c>
    </row>
    <row r="788" spans="1:3" x14ac:dyDescent="0.2">
      <c r="A788" s="5">
        <v>786</v>
      </c>
      <c r="B788" s="5">
        <f t="shared" ca="1" si="12"/>
        <v>0.46545291639846081</v>
      </c>
      <c r="C788" s="5" t="s">
        <v>25</v>
      </c>
    </row>
    <row r="789" spans="1:3" x14ac:dyDescent="0.2">
      <c r="A789" s="5">
        <v>787</v>
      </c>
      <c r="B789" s="5">
        <f t="shared" ca="1" si="12"/>
        <v>0.59036202741485999</v>
      </c>
      <c r="C789" s="5" t="s">
        <v>24</v>
      </c>
    </row>
    <row r="790" spans="1:3" x14ac:dyDescent="0.2">
      <c r="A790" s="5">
        <v>788</v>
      </c>
      <c r="B790" s="5">
        <f t="shared" ca="1" si="12"/>
        <v>0.25037804075174097</v>
      </c>
      <c r="C790" s="5" t="s">
        <v>25</v>
      </c>
    </row>
    <row r="791" spans="1:3" x14ac:dyDescent="0.2">
      <c r="A791" s="5">
        <v>789</v>
      </c>
      <c r="B791" s="5">
        <f t="shared" ca="1" si="12"/>
        <v>0.51637468086792593</v>
      </c>
      <c r="C791" s="5" t="s">
        <v>24</v>
      </c>
    </row>
    <row r="792" spans="1:3" x14ac:dyDescent="0.2">
      <c r="A792" s="5">
        <v>790</v>
      </c>
      <c r="B792" s="5">
        <f t="shared" ca="1" si="12"/>
        <v>0.77708124090318087</v>
      </c>
      <c r="C792" s="5" t="s">
        <v>24</v>
      </c>
    </row>
    <row r="793" spans="1:3" x14ac:dyDescent="0.2">
      <c r="A793" s="5">
        <v>791</v>
      </c>
      <c r="B793" s="5">
        <f t="shared" ca="1" si="12"/>
        <v>0.43366389876943862</v>
      </c>
      <c r="C793" s="5" t="s">
        <v>25</v>
      </c>
    </row>
    <row r="794" spans="1:3" x14ac:dyDescent="0.2">
      <c r="A794" s="5">
        <v>792</v>
      </c>
      <c r="B794" s="5">
        <f t="shared" ca="1" si="12"/>
        <v>0.75454282332205957</v>
      </c>
      <c r="C794" s="5" t="s">
        <v>25</v>
      </c>
    </row>
    <row r="795" spans="1:3" x14ac:dyDescent="0.2">
      <c r="A795" s="5">
        <v>793</v>
      </c>
      <c r="B795" s="5">
        <f t="shared" ca="1" si="12"/>
        <v>0.72084055250765311</v>
      </c>
      <c r="C795" s="5" t="s">
        <v>24</v>
      </c>
    </row>
    <row r="796" spans="1:3" x14ac:dyDescent="0.2">
      <c r="A796" s="5">
        <v>794</v>
      </c>
      <c r="B796" s="5">
        <f t="shared" ca="1" si="12"/>
        <v>0.57931185690348996</v>
      </c>
      <c r="C796" s="5" t="s">
        <v>25</v>
      </c>
    </row>
    <row r="797" spans="1:3" x14ac:dyDescent="0.2">
      <c r="A797" s="5">
        <v>795</v>
      </c>
      <c r="B797" s="5">
        <f t="shared" ca="1" si="12"/>
        <v>0.55741480283570999</v>
      </c>
      <c r="C797" s="5" t="s">
        <v>25</v>
      </c>
    </row>
    <row r="798" spans="1:3" x14ac:dyDescent="0.2">
      <c r="A798" s="5">
        <v>796</v>
      </c>
      <c r="B798" s="5">
        <f t="shared" ca="1" si="12"/>
        <v>0.48840574933644876</v>
      </c>
      <c r="C798" s="5" t="s">
        <v>25</v>
      </c>
    </row>
    <row r="799" spans="1:3" x14ac:dyDescent="0.2">
      <c r="A799" s="5">
        <v>797</v>
      </c>
      <c r="B799" s="5">
        <f t="shared" ca="1" si="12"/>
        <v>0.47957476966643697</v>
      </c>
      <c r="C799" s="5" t="s">
        <v>25</v>
      </c>
    </row>
    <row r="800" spans="1:3" x14ac:dyDescent="0.2">
      <c r="A800" s="5">
        <v>798</v>
      </c>
      <c r="B800" s="5">
        <f t="shared" ca="1" si="12"/>
        <v>0.45302667912687972</v>
      </c>
      <c r="C800" s="5" t="s">
        <v>24</v>
      </c>
    </row>
    <row r="801" spans="1:3" x14ac:dyDescent="0.2">
      <c r="A801" s="5">
        <v>799</v>
      </c>
      <c r="B801" s="5">
        <f t="shared" ca="1" si="12"/>
        <v>0.60994618009809887</v>
      </c>
      <c r="C801" s="5" t="s">
        <v>25</v>
      </c>
    </row>
    <row r="802" spans="1:3" x14ac:dyDescent="0.2">
      <c r="A802" s="5">
        <v>800</v>
      </c>
      <c r="B802" s="5">
        <f t="shared" ca="1" si="12"/>
        <v>0.51589367262377628</v>
      </c>
      <c r="C802" s="5" t="s">
        <v>25</v>
      </c>
    </row>
    <row r="803" spans="1:3" x14ac:dyDescent="0.2">
      <c r="A803" s="5">
        <v>801</v>
      </c>
      <c r="B803" s="5">
        <f t="shared" ca="1" si="12"/>
        <v>0.5301116106726923</v>
      </c>
      <c r="C803" s="5" t="s">
        <v>25</v>
      </c>
    </row>
    <row r="804" spans="1:3" x14ac:dyDescent="0.2">
      <c r="A804" s="5">
        <v>802</v>
      </c>
      <c r="B804" s="5">
        <f t="shared" ca="1" si="12"/>
        <v>0.48173156381924953</v>
      </c>
      <c r="C804" s="5" t="s">
        <v>25</v>
      </c>
    </row>
    <row r="805" spans="1:3" x14ac:dyDescent="0.2">
      <c r="A805" s="5">
        <v>803</v>
      </c>
      <c r="B805" s="5">
        <f t="shared" ca="1" si="12"/>
        <v>0.77843165328369268</v>
      </c>
      <c r="C805" s="5" t="s">
        <v>24</v>
      </c>
    </row>
    <row r="806" spans="1:3" x14ac:dyDescent="0.2">
      <c r="A806" s="5">
        <v>804</v>
      </c>
      <c r="B806" s="5">
        <f t="shared" ca="1" si="12"/>
        <v>0.56464955095171354</v>
      </c>
      <c r="C806" s="5" t="s">
        <v>25</v>
      </c>
    </row>
    <row r="807" spans="1:3" x14ac:dyDescent="0.2">
      <c r="A807" s="5">
        <v>805</v>
      </c>
      <c r="B807" s="5">
        <f t="shared" ca="1" si="12"/>
        <v>0.61606640084754261</v>
      </c>
      <c r="C807" s="5" t="s">
        <v>24</v>
      </c>
    </row>
    <row r="808" spans="1:3" x14ac:dyDescent="0.2">
      <c r="A808" s="5">
        <v>806</v>
      </c>
      <c r="B808" s="5">
        <f t="shared" ca="1" si="12"/>
        <v>0.6451602904277538</v>
      </c>
      <c r="C808" s="5" t="s">
        <v>25</v>
      </c>
    </row>
    <row r="809" spans="1:3" x14ac:dyDescent="0.2">
      <c r="A809" s="5">
        <v>807</v>
      </c>
      <c r="B809" s="5">
        <f t="shared" ca="1" si="12"/>
        <v>0.76429698885539232</v>
      </c>
      <c r="C809" s="5" t="s">
        <v>24</v>
      </c>
    </row>
    <row r="810" spans="1:3" x14ac:dyDescent="0.2">
      <c r="A810" s="5">
        <v>808</v>
      </c>
      <c r="B810" s="5">
        <f t="shared" ca="1" si="12"/>
        <v>0.80873758588171818</v>
      </c>
      <c r="C810" s="5" t="s">
        <v>24</v>
      </c>
    </row>
    <row r="811" spans="1:3" x14ac:dyDescent="0.2">
      <c r="A811" s="5">
        <v>809</v>
      </c>
      <c r="B811" s="5">
        <f t="shared" ca="1" si="12"/>
        <v>0.629502704573349</v>
      </c>
      <c r="C811" s="5" t="s">
        <v>24</v>
      </c>
    </row>
    <row r="812" spans="1:3" x14ac:dyDescent="0.2">
      <c r="A812" s="5">
        <v>810</v>
      </c>
      <c r="B812" s="5">
        <f t="shared" ca="1" si="12"/>
        <v>0.81491652918873414</v>
      </c>
      <c r="C812" s="5" t="s">
        <v>24</v>
      </c>
    </row>
    <row r="813" spans="1:3" x14ac:dyDescent="0.2">
      <c r="A813" s="5">
        <v>811</v>
      </c>
      <c r="B813" s="5">
        <f t="shared" ca="1" si="12"/>
        <v>0.57766739873332429</v>
      </c>
      <c r="C813" s="5" t="s">
        <v>25</v>
      </c>
    </row>
    <row r="814" spans="1:3" x14ac:dyDescent="0.2">
      <c r="A814" s="5">
        <v>812</v>
      </c>
      <c r="B814" s="5">
        <f t="shared" ca="1" si="12"/>
        <v>0.74755012068203497</v>
      </c>
      <c r="C814" s="5" t="s">
        <v>24</v>
      </c>
    </row>
    <row r="815" spans="1:3" x14ac:dyDescent="0.2">
      <c r="A815" s="5">
        <v>813</v>
      </c>
      <c r="B815" s="5">
        <f t="shared" ca="1" si="12"/>
        <v>0.69497056502600119</v>
      </c>
      <c r="C815" s="5" t="s">
        <v>24</v>
      </c>
    </row>
    <row r="816" spans="1:3" x14ac:dyDescent="0.2">
      <c r="A816" s="5">
        <v>814</v>
      </c>
      <c r="B816" s="5">
        <f t="shared" ca="1" si="12"/>
        <v>0.62945375377817947</v>
      </c>
      <c r="C816" s="5" t="s">
        <v>25</v>
      </c>
    </row>
    <row r="817" spans="1:3" x14ac:dyDescent="0.2">
      <c r="A817" s="5">
        <v>815</v>
      </c>
      <c r="B817" s="5">
        <f t="shared" ca="1" si="12"/>
        <v>0.61687553318286903</v>
      </c>
      <c r="C817" s="5" t="s">
        <v>25</v>
      </c>
    </row>
    <row r="818" spans="1:3" x14ac:dyDescent="0.2">
      <c r="A818" s="5">
        <v>816</v>
      </c>
      <c r="B818" s="5">
        <f t="shared" ca="1" si="12"/>
        <v>0.58979639857466659</v>
      </c>
      <c r="C818" s="5" t="s">
        <v>25</v>
      </c>
    </row>
    <row r="819" spans="1:3" x14ac:dyDescent="0.2">
      <c r="A819" s="5">
        <v>817</v>
      </c>
      <c r="B819" s="5">
        <f t="shared" ca="1" si="12"/>
        <v>0.68932073350055711</v>
      </c>
      <c r="C819" s="5" t="s">
        <v>25</v>
      </c>
    </row>
    <row r="820" spans="1:3" x14ac:dyDescent="0.2">
      <c r="A820" s="5">
        <v>818</v>
      </c>
      <c r="B820" s="5">
        <f t="shared" ca="1" si="12"/>
        <v>0.67011154857025979</v>
      </c>
      <c r="C820" s="5" t="s">
        <v>25</v>
      </c>
    </row>
    <row r="821" spans="1:3" x14ac:dyDescent="0.2">
      <c r="A821" s="5">
        <v>819</v>
      </c>
      <c r="B821" s="5">
        <f t="shared" ca="1" si="12"/>
        <v>0.72623561834274375</v>
      </c>
      <c r="C821" s="5" t="s">
        <v>25</v>
      </c>
    </row>
    <row r="822" spans="1:3" x14ac:dyDescent="0.2">
      <c r="A822" s="5">
        <v>820</v>
      </c>
      <c r="B822" s="5">
        <f t="shared" ca="1" si="12"/>
        <v>0.6034966665341136</v>
      </c>
      <c r="C822" s="5" t="s">
        <v>25</v>
      </c>
    </row>
    <row r="823" spans="1:3" x14ac:dyDescent="0.2">
      <c r="A823" s="5">
        <v>821</v>
      </c>
      <c r="B823" s="5">
        <f t="shared" ca="1" si="12"/>
        <v>0.78294852933235415</v>
      </c>
      <c r="C823" s="5" t="s">
        <v>24</v>
      </c>
    </row>
    <row r="824" spans="1:3" x14ac:dyDescent="0.2">
      <c r="A824" s="5">
        <v>822</v>
      </c>
      <c r="B824" s="5">
        <f t="shared" ca="1" si="12"/>
        <v>0.65216356828585509</v>
      </c>
      <c r="C824" s="5" t="s">
        <v>25</v>
      </c>
    </row>
    <row r="825" spans="1:3" x14ac:dyDescent="0.2">
      <c r="A825" s="5">
        <v>823</v>
      </c>
      <c r="B825" s="5">
        <f t="shared" ca="1" si="12"/>
        <v>0.6324444329867478</v>
      </c>
      <c r="C825" s="5" t="s">
        <v>24</v>
      </c>
    </row>
    <row r="826" spans="1:3" x14ac:dyDescent="0.2">
      <c r="A826" s="5">
        <v>824</v>
      </c>
      <c r="B826" s="5">
        <f t="shared" ca="1" si="12"/>
        <v>0.80297005843662417</v>
      </c>
      <c r="C826" s="5" t="s">
        <v>24</v>
      </c>
    </row>
    <row r="827" spans="1:3" x14ac:dyDescent="0.2">
      <c r="A827" s="5">
        <v>825</v>
      </c>
      <c r="B827" s="5">
        <f t="shared" ca="1" si="12"/>
        <v>0.67420193832624564</v>
      </c>
      <c r="C827" s="5" t="s">
        <v>24</v>
      </c>
    </row>
    <row r="828" spans="1:3" x14ac:dyDescent="0.2">
      <c r="A828" s="5">
        <v>826</v>
      </c>
      <c r="B828" s="5">
        <f t="shared" ca="1" si="12"/>
        <v>0.67876659857847521</v>
      </c>
      <c r="C828" s="5" t="s">
        <v>25</v>
      </c>
    </row>
    <row r="829" spans="1:3" x14ac:dyDescent="0.2">
      <c r="A829" s="5">
        <v>827</v>
      </c>
      <c r="B829" s="5">
        <f t="shared" ca="1" si="12"/>
        <v>0.67371496303384626</v>
      </c>
      <c r="C829" s="5" t="s">
        <v>25</v>
      </c>
    </row>
    <row r="830" spans="1:3" x14ac:dyDescent="0.2">
      <c r="A830" s="5">
        <v>828</v>
      </c>
      <c r="B830" s="5">
        <f t="shared" ca="1" si="12"/>
        <v>0.74975552941578116</v>
      </c>
      <c r="C830" s="5" t="s">
        <v>25</v>
      </c>
    </row>
    <row r="831" spans="1:3" x14ac:dyDescent="0.2">
      <c r="A831" s="5">
        <v>829</v>
      </c>
      <c r="B831" s="5">
        <f t="shared" ca="1" si="12"/>
        <v>0.49144331029661376</v>
      </c>
      <c r="C831" s="5" t="s">
        <v>24</v>
      </c>
    </row>
    <row r="832" spans="1:3" x14ac:dyDescent="0.2">
      <c r="A832" s="5">
        <v>830</v>
      </c>
      <c r="B832" s="5">
        <f t="shared" ca="1" si="12"/>
        <v>0.36503076955585306</v>
      </c>
      <c r="C832" s="5" t="s">
        <v>25</v>
      </c>
    </row>
    <row r="833" spans="1:3" x14ac:dyDescent="0.2">
      <c r="A833" s="5">
        <v>831</v>
      </c>
      <c r="B833" s="5">
        <f t="shared" ca="1" si="12"/>
        <v>0.64125787201773321</v>
      </c>
      <c r="C833" s="5" t="s">
        <v>25</v>
      </c>
    </row>
    <row r="834" spans="1:3" x14ac:dyDescent="0.2">
      <c r="A834" s="5">
        <v>832</v>
      </c>
      <c r="B834" s="5">
        <f t="shared" ca="1" si="12"/>
        <v>0.69477566052865569</v>
      </c>
      <c r="C834" s="5" t="s">
        <v>25</v>
      </c>
    </row>
    <row r="835" spans="1:3" x14ac:dyDescent="0.2">
      <c r="A835" s="5">
        <v>833</v>
      </c>
      <c r="B835" s="5">
        <f t="shared" ca="1" si="12"/>
        <v>0.66260847913602305</v>
      </c>
      <c r="C835" s="5" t="s">
        <v>24</v>
      </c>
    </row>
    <row r="836" spans="1:3" x14ac:dyDescent="0.2">
      <c r="A836" s="5">
        <v>834</v>
      </c>
      <c r="B836" s="5">
        <f t="shared" ref="B836:B899" ca="1" si="13">IF(C836="Bomb",_xlfn.NORM.INV(RAND(),0.7,0.1),_xlfn.NORM.INV(RAND(),0.6,0.15))</f>
        <v>0.32829502901696817</v>
      </c>
      <c r="C836" s="5" t="s">
        <v>25</v>
      </c>
    </row>
    <row r="837" spans="1:3" x14ac:dyDescent="0.2">
      <c r="A837" s="5">
        <v>835</v>
      </c>
      <c r="B837" s="5">
        <f t="shared" ca="1" si="13"/>
        <v>0.8338415854040242</v>
      </c>
      <c r="C837" s="5" t="s">
        <v>24</v>
      </c>
    </row>
    <row r="838" spans="1:3" x14ac:dyDescent="0.2">
      <c r="A838" s="5">
        <v>836</v>
      </c>
      <c r="B838" s="5">
        <f t="shared" ca="1" si="13"/>
        <v>0.48118825774299578</v>
      </c>
      <c r="C838" s="5" t="s">
        <v>25</v>
      </c>
    </row>
    <row r="839" spans="1:3" x14ac:dyDescent="0.2">
      <c r="A839" s="5">
        <v>837</v>
      </c>
      <c r="B839" s="5">
        <f t="shared" ca="1" si="13"/>
        <v>0.58818102882217449</v>
      </c>
      <c r="C839" s="5" t="s">
        <v>24</v>
      </c>
    </row>
    <row r="840" spans="1:3" x14ac:dyDescent="0.2">
      <c r="A840" s="5">
        <v>838</v>
      </c>
      <c r="B840" s="5">
        <f t="shared" ca="1" si="13"/>
        <v>0.49358678025026598</v>
      </c>
      <c r="C840" s="5" t="s">
        <v>25</v>
      </c>
    </row>
    <row r="841" spans="1:3" x14ac:dyDescent="0.2">
      <c r="A841" s="5">
        <v>839</v>
      </c>
      <c r="B841" s="5">
        <f t="shared" ca="1" si="13"/>
        <v>0.81106944376109147</v>
      </c>
      <c r="C841" s="5" t="s">
        <v>24</v>
      </c>
    </row>
    <row r="842" spans="1:3" x14ac:dyDescent="0.2">
      <c r="A842" s="5">
        <v>840</v>
      </c>
      <c r="B842" s="5">
        <f t="shared" ca="1" si="13"/>
        <v>0.62323600530566214</v>
      </c>
      <c r="C842" s="5" t="s">
        <v>24</v>
      </c>
    </row>
    <row r="843" spans="1:3" x14ac:dyDescent="0.2">
      <c r="A843" s="5">
        <v>841</v>
      </c>
      <c r="B843" s="5">
        <f t="shared" ca="1" si="13"/>
        <v>0.61663052560196741</v>
      </c>
      <c r="C843" s="5" t="s">
        <v>24</v>
      </c>
    </row>
    <row r="844" spans="1:3" x14ac:dyDescent="0.2">
      <c r="A844" s="5">
        <v>842</v>
      </c>
      <c r="B844" s="5">
        <f t="shared" ca="1" si="13"/>
        <v>0.4010777328212275</v>
      </c>
      <c r="C844" s="5" t="s">
        <v>25</v>
      </c>
    </row>
    <row r="845" spans="1:3" x14ac:dyDescent="0.2">
      <c r="A845" s="5">
        <v>843</v>
      </c>
      <c r="B845" s="5">
        <f t="shared" ca="1" si="13"/>
        <v>0.52912820461579602</v>
      </c>
      <c r="C845" s="5" t="s">
        <v>25</v>
      </c>
    </row>
    <row r="846" spans="1:3" x14ac:dyDescent="0.2">
      <c r="A846" s="5">
        <v>844</v>
      </c>
      <c r="B846" s="5">
        <f t="shared" ca="1" si="13"/>
        <v>0.42181621534824409</v>
      </c>
      <c r="C846" s="5" t="s">
        <v>25</v>
      </c>
    </row>
    <row r="847" spans="1:3" x14ac:dyDescent="0.2">
      <c r="A847" s="5">
        <v>845</v>
      </c>
      <c r="B847" s="5">
        <f t="shared" ca="1" si="13"/>
        <v>0.52528323784017772</v>
      </c>
      <c r="C847" s="5" t="s">
        <v>25</v>
      </c>
    </row>
    <row r="848" spans="1:3" x14ac:dyDescent="0.2">
      <c r="A848" s="5">
        <v>846</v>
      </c>
      <c r="B848" s="5">
        <f t="shared" ca="1" si="13"/>
        <v>0.93702142693317503</v>
      </c>
      <c r="C848" s="5" t="s">
        <v>25</v>
      </c>
    </row>
    <row r="849" spans="1:3" x14ac:dyDescent="0.2">
      <c r="A849" s="5">
        <v>847</v>
      </c>
      <c r="B849" s="5">
        <f t="shared" ca="1" si="13"/>
        <v>0.535825777641599</v>
      </c>
      <c r="C849" s="5" t="s">
        <v>24</v>
      </c>
    </row>
    <row r="850" spans="1:3" x14ac:dyDescent="0.2">
      <c r="A850" s="5">
        <v>848</v>
      </c>
      <c r="B850" s="5">
        <f t="shared" ca="1" si="13"/>
        <v>0.28629903256784012</v>
      </c>
      <c r="C850" s="5" t="s">
        <v>25</v>
      </c>
    </row>
    <row r="851" spans="1:3" x14ac:dyDescent="0.2">
      <c r="A851" s="5">
        <v>849</v>
      </c>
      <c r="B851" s="5">
        <f t="shared" ca="1" si="13"/>
        <v>0.57184445888989477</v>
      </c>
      <c r="C851" s="5" t="s">
        <v>24</v>
      </c>
    </row>
    <row r="852" spans="1:3" x14ac:dyDescent="0.2">
      <c r="A852" s="5">
        <v>850</v>
      </c>
      <c r="B852" s="5">
        <f t="shared" ca="1" si="13"/>
        <v>0.87011772140156407</v>
      </c>
      <c r="C852" s="5" t="s">
        <v>25</v>
      </c>
    </row>
    <row r="853" spans="1:3" x14ac:dyDescent="0.2">
      <c r="A853" s="5">
        <v>851</v>
      </c>
      <c r="B853" s="5">
        <f t="shared" ca="1" si="13"/>
        <v>0.58186970314096464</v>
      </c>
      <c r="C853" s="5" t="s">
        <v>25</v>
      </c>
    </row>
    <row r="854" spans="1:3" x14ac:dyDescent="0.2">
      <c r="A854" s="5">
        <v>852</v>
      </c>
      <c r="B854" s="5">
        <f t="shared" ca="1" si="13"/>
        <v>0.89754561504168429</v>
      </c>
      <c r="C854" s="5" t="s">
        <v>25</v>
      </c>
    </row>
    <row r="855" spans="1:3" x14ac:dyDescent="0.2">
      <c r="A855" s="5">
        <v>853</v>
      </c>
      <c r="B855" s="5">
        <f t="shared" ca="1" si="13"/>
        <v>0.62405327537908695</v>
      </c>
      <c r="C855" s="5" t="s">
        <v>25</v>
      </c>
    </row>
    <row r="856" spans="1:3" x14ac:dyDescent="0.2">
      <c r="A856" s="5">
        <v>854</v>
      </c>
      <c r="B856" s="5">
        <f t="shared" ca="1" si="13"/>
        <v>0.6772101280980598</v>
      </c>
      <c r="C856" s="5" t="s">
        <v>25</v>
      </c>
    </row>
    <row r="857" spans="1:3" x14ac:dyDescent="0.2">
      <c r="A857" s="5">
        <v>855</v>
      </c>
      <c r="B857" s="5">
        <f t="shared" ca="1" si="13"/>
        <v>0.73939313065545775</v>
      </c>
      <c r="C857" s="5" t="s">
        <v>24</v>
      </c>
    </row>
    <row r="858" spans="1:3" x14ac:dyDescent="0.2">
      <c r="A858" s="5">
        <v>856</v>
      </c>
      <c r="B858" s="5">
        <f t="shared" ca="1" si="13"/>
        <v>0.86971437556942433</v>
      </c>
      <c r="C858" s="5" t="s">
        <v>24</v>
      </c>
    </row>
    <row r="859" spans="1:3" x14ac:dyDescent="0.2">
      <c r="A859" s="5">
        <v>857</v>
      </c>
      <c r="B859" s="5">
        <f t="shared" ca="1" si="13"/>
        <v>0.75273823128262962</v>
      </c>
      <c r="C859" s="5" t="s">
        <v>25</v>
      </c>
    </row>
    <row r="860" spans="1:3" x14ac:dyDescent="0.2">
      <c r="A860" s="5">
        <v>858</v>
      </c>
      <c r="B860" s="5">
        <f t="shared" ca="1" si="13"/>
        <v>0.84927390479243314</v>
      </c>
      <c r="C860" s="5" t="s">
        <v>25</v>
      </c>
    </row>
    <row r="861" spans="1:3" x14ac:dyDescent="0.2">
      <c r="A861" s="5">
        <v>859</v>
      </c>
      <c r="B861" s="5">
        <f t="shared" ca="1" si="13"/>
        <v>0.70184556185839342</v>
      </c>
      <c r="C861" s="5" t="s">
        <v>25</v>
      </c>
    </row>
    <row r="862" spans="1:3" x14ac:dyDescent="0.2">
      <c r="A862" s="5">
        <v>860</v>
      </c>
      <c r="B862" s="5">
        <f t="shared" ca="1" si="13"/>
        <v>0.71009979522963862</v>
      </c>
      <c r="C862" s="5" t="s">
        <v>25</v>
      </c>
    </row>
    <row r="863" spans="1:3" x14ac:dyDescent="0.2">
      <c r="A863" s="5">
        <v>861</v>
      </c>
      <c r="B863" s="5">
        <f t="shared" ca="1" si="13"/>
        <v>0.63476233703766005</v>
      </c>
      <c r="C863" s="5" t="s">
        <v>24</v>
      </c>
    </row>
    <row r="864" spans="1:3" x14ac:dyDescent="0.2">
      <c r="A864" s="5">
        <v>862</v>
      </c>
      <c r="B864" s="5">
        <f t="shared" ca="1" si="13"/>
        <v>0.27423330377757477</v>
      </c>
      <c r="C864" s="5" t="s">
        <v>25</v>
      </c>
    </row>
    <row r="865" spans="1:3" x14ac:dyDescent="0.2">
      <c r="A865" s="5">
        <v>863</v>
      </c>
      <c r="B865" s="5">
        <f t="shared" ca="1" si="13"/>
        <v>0.82460309200805904</v>
      </c>
      <c r="C865" s="5" t="s">
        <v>25</v>
      </c>
    </row>
    <row r="866" spans="1:3" x14ac:dyDescent="0.2">
      <c r="A866" s="5">
        <v>864</v>
      </c>
      <c r="B866" s="5">
        <f t="shared" ca="1" si="13"/>
        <v>0.52888367403117853</v>
      </c>
      <c r="C866" s="5" t="s">
        <v>25</v>
      </c>
    </row>
    <row r="867" spans="1:3" x14ac:dyDescent="0.2">
      <c r="A867" s="5">
        <v>865</v>
      </c>
      <c r="B867" s="5">
        <f t="shared" ca="1" si="13"/>
        <v>0.6529405578509494</v>
      </c>
      <c r="C867" s="5" t="s">
        <v>25</v>
      </c>
    </row>
    <row r="868" spans="1:3" x14ac:dyDescent="0.2">
      <c r="A868" s="5">
        <v>866</v>
      </c>
      <c r="B868" s="5">
        <f t="shared" ca="1" si="13"/>
        <v>0.5893520861195598</v>
      </c>
      <c r="C868" s="5" t="s">
        <v>25</v>
      </c>
    </row>
    <row r="869" spans="1:3" x14ac:dyDescent="0.2">
      <c r="A869" s="5">
        <v>867</v>
      </c>
      <c r="B869" s="5">
        <f t="shared" ca="1" si="13"/>
        <v>0.59095287429319932</v>
      </c>
      <c r="C869" s="5" t="s">
        <v>25</v>
      </c>
    </row>
    <row r="870" spans="1:3" x14ac:dyDescent="0.2">
      <c r="A870" s="5">
        <v>868</v>
      </c>
      <c r="B870" s="5">
        <f t="shared" ca="1" si="13"/>
        <v>0.72489863934105747</v>
      </c>
      <c r="C870" s="5" t="s">
        <v>25</v>
      </c>
    </row>
    <row r="871" spans="1:3" x14ac:dyDescent="0.2">
      <c r="A871" s="5">
        <v>869</v>
      </c>
      <c r="B871" s="5">
        <f t="shared" ca="1" si="13"/>
        <v>0.62511237968082445</v>
      </c>
      <c r="C871" s="5" t="s">
        <v>25</v>
      </c>
    </row>
    <row r="872" spans="1:3" x14ac:dyDescent="0.2">
      <c r="A872" s="5">
        <v>870</v>
      </c>
      <c r="B872" s="5">
        <f t="shared" ca="1" si="13"/>
        <v>0.6984178858465262</v>
      </c>
      <c r="C872" s="5" t="s">
        <v>25</v>
      </c>
    </row>
    <row r="873" spans="1:3" x14ac:dyDescent="0.2">
      <c r="A873" s="5">
        <v>871</v>
      </c>
      <c r="B873" s="5">
        <f t="shared" ca="1" si="13"/>
        <v>0.80420297630651039</v>
      </c>
      <c r="C873" s="5" t="s">
        <v>24</v>
      </c>
    </row>
    <row r="874" spans="1:3" x14ac:dyDescent="0.2">
      <c r="A874" s="5">
        <v>872</v>
      </c>
      <c r="B874" s="5">
        <f t="shared" ca="1" si="13"/>
        <v>0.92070428289673767</v>
      </c>
      <c r="C874" s="5" t="s">
        <v>24</v>
      </c>
    </row>
    <row r="875" spans="1:3" x14ac:dyDescent="0.2">
      <c r="A875" s="5">
        <v>873</v>
      </c>
      <c r="B875" s="5">
        <f t="shared" ca="1" si="13"/>
        <v>0.63162595748864236</v>
      </c>
      <c r="C875" s="5" t="s">
        <v>24</v>
      </c>
    </row>
    <row r="876" spans="1:3" x14ac:dyDescent="0.2">
      <c r="A876" s="5">
        <v>874</v>
      </c>
      <c r="B876" s="5">
        <f t="shared" ca="1" si="13"/>
        <v>0.63544072171868904</v>
      </c>
      <c r="C876" s="5" t="s">
        <v>25</v>
      </c>
    </row>
    <row r="877" spans="1:3" x14ac:dyDescent="0.2">
      <c r="A877" s="5">
        <v>875</v>
      </c>
      <c r="B877" s="5">
        <f t="shared" ca="1" si="13"/>
        <v>0.59170076906670188</v>
      </c>
      <c r="C877" s="5" t="s">
        <v>25</v>
      </c>
    </row>
    <row r="878" spans="1:3" x14ac:dyDescent="0.2">
      <c r="A878" s="5">
        <v>876</v>
      </c>
      <c r="B878" s="5">
        <f t="shared" ca="1" si="13"/>
        <v>0.86908247158692986</v>
      </c>
      <c r="C878" s="5" t="s">
        <v>24</v>
      </c>
    </row>
    <row r="879" spans="1:3" x14ac:dyDescent="0.2">
      <c r="A879" s="5">
        <v>877</v>
      </c>
      <c r="B879" s="5">
        <f t="shared" ca="1" si="13"/>
        <v>0.83486774670190445</v>
      </c>
      <c r="C879" s="5" t="s">
        <v>25</v>
      </c>
    </row>
    <row r="880" spans="1:3" x14ac:dyDescent="0.2">
      <c r="A880" s="5">
        <v>878</v>
      </c>
      <c r="B880" s="5">
        <f t="shared" ca="1" si="13"/>
        <v>0.77211533067821225</v>
      </c>
      <c r="C880" s="5" t="s">
        <v>25</v>
      </c>
    </row>
    <row r="881" spans="1:3" x14ac:dyDescent="0.2">
      <c r="A881" s="5">
        <v>879</v>
      </c>
      <c r="B881" s="5">
        <f t="shared" ca="1" si="13"/>
        <v>0.68350561781571828</v>
      </c>
      <c r="C881" s="5" t="s">
        <v>24</v>
      </c>
    </row>
    <row r="882" spans="1:3" x14ac:dyDescent="0.2">
      <c r="A882" s="5">
        <v>880</v>
      </c>
      <c r="B882" s="5">
        <f t="shared" ca="1" si="13"/>
        <v>0.73723842204976064</v>
      </c>
      <c r="C882" s="5" t="s">
        <v>24</v>
      </c>
    </row>
    <row r="883" spans="1:3" x14ac:dyDescent="0.2">
      <c r="A883" s="5">
        <v>881</v>
      </c>
      <c r="B883" s="5">
        <f t="shared" ca="1" si="13"/>
        <v>0.81178285336000844</v>
      </c>
      <c r="C883" s="5" t="s">
        <v>24</v>
      </c>
    </row>
    <row r="884" spans="1:3" x14ac:dyDescent="0.2">
      <c r="A884" s="5">
        <v>882</v>
      </c>
      <c r="B884" s="5">
        <f t="shared" ca="1" si="13"/>
        <v>0.70783089100162089</v>
      </c>
      <c r="C884" s="5" t="s">
        <v>24</v>
      </c>
    </row>
    <row r="885" spans="1:3" x14ac:dyDescent="0.2">
      <c r="A885" s="5">
        <v>883</v>
      </c>
      <c r="B885" s="5">
        <f t="shared" ca="1" si="13"/>
        <v>0.63184631935636137</v>
      </c>
      <c r="C885" s="5" t="s">
        <v>25</v>
      </c>
    </row>
    <row r="886" spans="1:3" x14ac:dyDescent="0.2">
      <c r="A886" s="5">
        <v>884</v>
      </c>
      <c r="B886" s="5">
        <f t="shared" ca="1" si="13"/>
        <v>0.91745887104778834</v>
      </c>
      <c r="C886" s="5" t="s">
        <v>25</v>
      </c>
    </row>
    <row r="887" spans="1:3" x14ac:dyDescent="0.2">
      <c r="A887" s="5">
        <v>885</v>
      </c>
      <c r="B887" s="5">
        <f t="shared" ca="1" si="13"/>
        <v>0.42554466500744259</v>
      </c>
      <c r="C887" s="5" t="s">
        <v>25</v>
      </c>
    </row>
    <row r="888" spans="1:3" x14ac:dyDescent="0.2">
      <c r="A888" s="5">
        <v>886</v>
      </c>
      <c r="B888" s="5">
        <f t="shared" ca="1" si="13"/>
        <v>0.59284079651609911</v>
      </c>
      <c r="C888" s="5" t="s">
        <v>24</v>
      </c>
    </row>
    <row r="889" spans="1:3" x14ac:dyDescent="0.2">
      <c r="A889" s="5">
        <v>887</v>
      </c>
      <c r="B889" s="5">
        <f t="shared" ca="1" si="13"/>
        <v>0.74068020210260832</v>
      </c>
      <c r="C889" s="5" t="s">
        <v>24</v>
      </c>
    </row>
    <row r="890" spans="1:3" x14ac:dyDescent="0.2">
      <c r="A890" s="5">
        <v>888</v>
      </c>
      <c r="B890" s="5">
        <f t="shared" ca="1" si="13"/>
        <v>0.82307839913619851</v>
      </c>
      <c r="C890" s="5" t="s">
        <v>24</v>
      </c>
    </row>
    <row r="891" spans="1:3" x14ac:dyDescent="0.2">
      <c r="A891" s="5">
        <v>889</v>
      </c>
      <c r="B891" s="5">
        <f t="shared" ca="1" si="13"/>
        <v>0.50428584976877788</v>
      </c>
      <c r="C891" s="5" t="s">
        <v>25</v>
      </c>
    </row>
    <row r="892" spans="1:3" x14ac:dyDescent="0.2">
      <c r="A892" s="5">
        <v>890</v>
      </c>
      <c r="B892" s="5">
        <f t="shared" ca="1" si="13"/>
        <v>0.726242456070747</v>
      </c>
      <c r="C892" s="5" t="s">
        <v>25</v>
      </c>
    </row>
    <row r="893" spans="1:3" x14ac:dyDescent="0.2">
      <c r="A893" s="5">
        <v>891</v>
      </c>
      <c r="B893" s="5">
        <f t="shared" ca="1" si="13"/>
        <v>0.67672698571488321</v>
      </c>
      <c r="C893" s="5" t="s">
        <v>25</v>
      </c>
    </row>
    <row r="894" spans="1:3" x14ac:dyDescent="0.2">
      <c r="A894" s="5">
        <v>892</v>
      </c>
      <c r="B894" s="5">
        <f t="shared" ca="1" si="13"/>
        <v>0.65863033112995273</v>
      </c>
      <c r="C894" s="5" t="s">
        <v>24</v>
      </c>
    </row>
    <row r="895" spans="1:3" x14ac:dyDescent="0.2">
      <c r="A895" s="5">
        <v>893</v>
      </c>
      <c r="B895" s="5">
        <f t="shared" ca="1" si="13"/>
        <v>0.28345527546217458</v>
      </c>
      <c r="C895" s="5" t="s">
        <v>25</v>
      </c>
    </row>
    <row r="896" spans="1:3" x14ac:dyDescent="0.2">
      <c r="A896" s="5">
        <v>894</v>
      </c>
      <c r="B896" s="5">
        <f t="shared" ca="1" si="13"/>
        <v>0.78848369143668573</v>
      </c>
      <c r="C896" s="5" t="s">
        <v>24</v>
      </c>
    </row>
    <row r="897" spans="1:3" x14ac:dyDescent="0.2">
      <c r="A897" s="5">
        <v>895</v>
      </c>
      <c r="B897" s="5">
        <f t="shared" ca="1" si="13"/>
        <v>0.98888256464207003</v>
      </c>
      <c r="C897" s="5" t="s">
        <v>25</v>
      </c>
    </row>
    <row r="898" spans="1:3" x14ac:dyDescent="0.2">
      <c r="A898" s="5">
        <v>896</v>
      </c>
      <c r="B898" s="5">
        <f t="shared" ca="1" si="13"/>
        <v>0.85551231664604843</v>
      </c>
      <c r="C898" s="5" t="s">
        <v>24</v>
      </c>
    </row>
    <row r="899" spans="1:3" x14ac:dyDescent="0.2">
      <c r="A899" s="5">
        <v>897</v>
      </c>
      <c r="B899" s="5">
        <f t="shared" ca="1" si="13"/>
        <v>0.73364450276945381</v>
      </c>
      <c r="C899" s="5" t="s">
        <v>24</v>
      </c>
    </row>
    <row r="900" spans="1:3" x14ac:dyDescent="0.2">
      <c r="A900" s="5">
        <v>898</v>
      </c>
      <c r="B900" s="5">
        <f t="shared" ref="B900:B963" ca="1" si="14">IF(C900="Bomb",_xlfn.NORM.INV(RAND(),0.7,0.1),_xlfn.NORM.INV(RAND(),0.6,0.15))</f>
        <v>0.81170103169292529</v>
      </c>
      <c r="C900" s="5" t="s">
        <v>24</v>
      </c>
    </row>
    <row r="901" spans="1:3" x14ac:dyDescent="0.2">
      <c r="A901" s="5">
        <v>899</v>
      </c>
      <c r="B901" s="5">
        <f t="shared" ca="1" si="14"/>
        <v>0.58994950811355551</v>
      </c>
      <c r="C901" s="5" t="s">
        <v>25</v>
      </c>
    </row>
    <row r="902" spans="1:3" x14ac:dyDescent="0.2">
      <c r="A902" s="5">
        <v>900</v>
      </c>
      <c r="B902" s="5">
        <f t="shared" ca="1" si="14"/>
        <v>0.56881093081712841</v>
      </c>
      <c r="C902" s="5" t="s">
        <v>24</v>
      </c>
    </row>
    <row r="903" spans="1:3" x14ac:dyDescent="0.2">
      <c r="A903" s="5">
        <v>901</v>
      </c>
      <c r="B903" s="5">
        <f t="shared" ca="1" si="14"/>
        <v>0.88814911678945208</v>
      </c>
      <c r="C903" s="5" t="s">
        <v>24</v>
      </c>
    </row>
    <row r="904" spans="1:3" x14ac:dyDescent="0.2">
      <c r="A904" s="5">
        <v>902</v>
      </c>
      <c r="B904" s="5">
        <f t="shared" ca="1" si="14"/>
        <v>0.84990104050661974</v>
      </c>
      <c r="C904" s="5" t="s">
        <v>24</v>
      </c>
    </row>
    <row r="905" spans="1:3" x14ac:dyDescent="0.2">
      <c r="A905" s="5">
        <v>903</v>
      </c>
      <c r="B905" s="5">
        <f t="shared" ca="1" si="14"/>
        <v>0.69801180019631481</v>
      </c>
      <c r="C905" s="5" t="s">
        <v>24</v>
      </c>
    </row>
    <row r="906" spans="1:3" x14ac:dyDescent="0.2">
      <c r="A906" s="5">
        <v>904</v>
      </c>
      <c r="B906" s="5">
        <f t="shared" ca="1" si="14"/>
        <v>0.54411999460785432</v>
      </c>
      <c r="C906" s="5" t="s">
        <v>24</v>
      </c>
    </row>
    <row r="907" spans="1:3" x14ac:dyDescent="0.2">
      <c r="A907" s="5">
        <v>905</v>
      </c>
      <c r="B907" s="5">
        <f t="shared" ca="1" si="14"/>
        <v>0.3504058914428278</v>
      </c>
      <c r="C907" s="5" t="s">
        <v>25</v>
      </c>
    </row>
    <row r="908" spans="1:3" x14ac:dyDescent="0.2">
      <c r="A908" s="5">
        <v>906</v>
      </c>
      <c r="B908" s="5">
        <f t="shared" ca="1" si="14"/>
        <v>0.44871435561129758</v>
      </c>
      <c r="C908" s="5" t="s">
        <v>25</v>
      </c>
    </row>
    <row r="909" spans="1:3" x14ac:dyDescent="0.2">
      <c r="A909" s="5">
        <v>907</v>
      </c>
      <c r="B909" s="5">
        <f t="shared" ca="1" si="14"/>
        <v>0.79259793708798276</v>
      </c>
      <c r="C909" s="5" t="s">
        <v>25</v>
      </c>
    </row>
    <row r="910" spans="1:3" x14ac:dyDescent="0.2">
      <c r="A910" s="5">
        <v>908</v>
      </c>
      <c r="B910" s="5">
        <f t="shared" ca="1" si="14"/>
        <v>0.49385268675708183</v>
      </c>
      <c r="C910" s="5" t="s">
        <v>25</v>
      </c>
    </row>
    <row r="911" spans="1:3" x14ac:dyDescent="0.2">
      <c r="A911" s="5">
        <v>909</v>
      </c>
      <c r="B911" s="5">
        <f t="shared" ca="1" si="14"/>
        <v>0.84373533434349057</v>
      </c>
      <c r="C911" s="5" t="s">
        <v>25</v>
      </c>
    </row>
    <row r="912" spans="1:3" x14ac:dyDescent="0.2">
      <c r="A912" s="5">
        <v>910</v>
      </c>
      <c r="B912" s="5">
        <f t="shared" ca="1" si="14"/>
        <v>0.7215175080161309</v>
      </c>
      <c r="C912" s="5" t="s">
        <v>24</v>
      </c>
    </row>
    <row r="913" spans="1:3" x14ac:dyDescent="0.2">
      <c r="A913" s="5">
        <v>911</v>
      </c>
      <c r="B913" s="5">
        <f t="shared" ca="1" si="14"/>
        <v>0.51927426092931495</v>
      </c>
      <c r="C913" s="5" t="s">
        <v>25</v>
      </c>
    </row>
    <row r="914" spans="1:3" x14ac:dyDescent="0.2">
      <c r="A914" s="5">
        <v>912</v>
      </c>
      <c r="B914" s="5">
        <f t="shared" ca="1" si="14"/>
        <v>0.60935240383651301</v>
      </c>
      <c r="C914" s="5" t="s">
        <v>25</v>
      </c>
    </row>
    <row r="915" spans="1:3" x14ac:dyDescent="0.2">
      <c r="A915" s="5">
        <v>913</v>
      </c>
      <c r="B915" s="5">
        <f t="shared" ca="1" si="14"/>
        <v>0.64526646573046842</v>
      </c>
      <c r="C915" s="5" t="s">
        <v>25</v>
      </c>
    </row>
    <row r="916" spans="1:3" x14ac:dyDescent="0.2">
      <c r="A916" s="5">
        <v>914</v>
      </c>
      <c r="B916" s="5">
        <f t="shared" ca="1" si="14"/>
        <v>0.66975370289959768</v>
      </c>
      <c r="C916" s="5" t="s">
        <v>24</v>
      </c>
    </row>
    <row r="917" spans="1:3" x14ac:dyDescent="0.2">
      <c r="A917" s="5">
        <v>915</v>
      </c>
      <c r="B917" s="5">
        <f t="shared" ca="1" si="14"/>
        <v>0.75639441789765816</v>
      </c>
      <c r="C917" s="5" t="s">
        <v>25</v>
      </c>
    </row>
    <row r="918" spans="1:3" x14ac:dyDescent="0.2">
      <c r="A918" s="5">
        <v>916</v>
      </c>
      <c r="B918" s="5">
        <f t="shared" ca="1" si="14"/>
        <v>0.72466137937843222</v>
      </c>
      <c r="C918" s="5" t="s">
        <v>24</v>
      </c>
    </row>
    <row r="919" spans="1:3" x14ac:dyDescent="0.2">
      <c r="A919" s="5">
        <v>917</v>
      </c>
      <c r="B919" s="5">
        <f t="shared" ca="1" si="14"/>
        <v>0.83281402956523043</v>
      </c>
      <c r="C919" s="5" t="s">
        <v>25</v>
      </c>
    </row>
    <row r="920" spans="1:3" x14ac:dyDescent="0.2">
      <c r="A920" s="5">
        <v>918</v>
      </c>
      <c r="B920" s="5">
        <f t="shared" ca="1" si="14"/>
        <v>0.70540596024995339</v>
      </c>
      <c r="C920" s="5" t="s">
        <v>24</v>
      </c>
    </row>
    <row r="921" spans="1:3" x14ac:dyDescent="0.2">
      <c r="A921" s="5">
        <v>919</v>
      </c>
      <c r="B921" s="5">
        <f t="shared" ca="1" si="14"/>
        <v>0.52451033538652814</v>
      </c>
      <c r="C921" s="5" t="s">
        <v>25</v>
      </c>
    </row>
    <row r="922" spans="1:3" x14ac:dyDescent="0.2">
      <c r="A922" s="5">
        <v>920</v>
      </c>
      <c r="B922" s="5">
        <f t="shared" ca="1" si="14"/>
        <v>0.63949509813399352</v>
      </c>
      <c r="C922" s="5" t="s">
        <v>24</v>
      </c>
    </row>
    <row r="923" spans="1:3" x14ac:dyDescent="0.2">
      <c r="A923" s="5">
        <v>921</v>
      </c>
      <c r="B923" s="5">
        <f t="shared" ca="1" si="14"/>
        <v>0.63342200640844981</v>
      </c>
      <c r="C923" s="5" t="s">
        <v>24</v>
      </c>
    </row>
    <row r="924" spans="1:3" x14ac:dyDescent="0.2">
      <c r="A924" s="5">
        <v>922</v>
      </c>
      <c r="B924" s="5">
        <f t="shared" ca="1" si="14"/>
        <v>0.52010272693959625</v>
      </c>
      <c r="C924" s="5" t="s">
        <v>25</v>
      </c>
    </row>
    <row r="925" spans="1:3" x14ac:dyDescent="0.2">
      <c r="A925" s="5">
        <v>923</v>
      </c>
      <c r="B925" s="5">
        <f t="shared" ca="1" si="14"/>
        <v>0.68325960636340688</v>
      </c>
      <c r="C925" s="5" t="s">
        <v>25</v>
      </c>
    </row>
    <row r="926" spans="1:3" x14ac:dyDescent="0.2">
      <c r="A926" s="5">
        <v>924</v>
      </c>
      <c r="B926" s="5">
        <f t="shared" ca="1" si="14"/>
        <v>0.62583610792913036</v>
      </c>
      <c r="C926" s="5" t="s">
        <v>25</v>
      </c>
    </row>
    <row r="927" spans="1:3" x14ac:dyDescent="0.2">
      <c r="A927" s="5">
        <v>925</v>
      </c>
      <c r="B927" s="5">
        <f t="shared" ca="1" si="14"/>
        <v>0.69188422214110057</v>
      </c>
      <c r="C927" s="5" t="s">
        <v>24</v>
      </c>
    </row>
    <row r="928" spans="1:3" x14ac:dyDescent="0.2">
      <c r="A928" s="5">
        <v>926</v>
      </c>
      <c r="B928" s="5">
        <f t="shared" ca="1" si="14"/>
        <v>0.81525084480135301</v>
      </c>
      <c r="C928" s="5" t="s">
        <v>24</v>
      </c>
    </row>
    <row r="929" spans="1:3" x14ac:dyDescent="0.2">
      <c r="A929" s="5">
        <v>927</v>
      </c>
      <c r="B929" s="5">
        <f t="shared" ca="1" si="14"/>
        <v>0.83650551973951104</v>
      </c>
      <c r="C929" s="5" t="s">
        <v>24</v>
      </c>
    </row>
    <row r="930" spans="1:3" x14ac:dyDescent="0.2">
      <c r="A930" s="5">
        <v>928</v>
      </c>
      <c r="B930" s="5">
        <f t="shared" ca="1" si="14"/>
        <v>0.65655264435803229</v>
      </c>
      <c r="C930" s="5" t="s">
        <v>24</v>
      </c>
    </row>
    <row r="931" spans="1:3" x14ac:dyDescent="0.2">
      <c r="A931" s="5">
        <v>929</v>
      </c>
      <c r="B931" s="5">
        <f t="shared" ca="1" si="14"/>
        <v>0.80235880345444099</v>
      </c>
      <c r="C931" s="5" t="s">
        <v>24</v>
      </c>
    </row>
    <row r="932" spans="1:3" x14ac:dyDescent="0.2">
      <c r="A932" s="5">
        <v>930</v>
      </c>
      <c r="B932" s="5">
        <f t="shared" ca="1" si="14"/>
        <v>0.66730493424663262</v>
      </c>
      <c r="C932" s="5" t="s">
        <v>24</v>
      </c>
    </row>
    <row r="933" spans="1:3" x14ac:dyDescent="0.2">
      <c r="A933" s="5">
        <v>931</v>
      </c>
      <c r="B933" s="5">
        <f t="shared" ca="1" si="14"/>
        <v>0.64490118144636999</v>
      </c>
      <c r="C933" s="5" t="s">
        <v>25</v>
      </c>
    </row>
    <row r="934" spans="1:3" x14ac:dyDescent="0.2">
      <c r="A934" s="5">
        <v>932</v>
      </c>
      <c r="B934" s="5">
        <f t="shared" ca="1" si="14"/>
        <v>0.68199553033088578</v>
      </c>
      <c r="C934" s="5" t="s">
        <v>24</v>
      </c>
    </row>
    <row r="935" spans="1:3" x14ac:dyDescent="0.2">
      <c r="A935" s="5">
        <v>933</v>
      </c>
      <c r="B935" s="5">
        <f t="shared" ca="1" si="14"/>
        <v>0.35666942207631919</v>
      </c>
      <c r="C935" s="5" t="s">
        <v>25</v>
      </c>
    </row>
    <row r="936" spans="1:3" x14ac:dyDescent="0.2">
      <c r="A936" s="5">
        <v>934</v>
      </c>
      <c r="B936" s="5">
        <f t="shared" ca="1" si="14"/>
        <v>0.64666875522897749</v>
      </c>
      <c r="C936" s="5" t="s">
        <v>24</v>
      </c>
    </row>
    <row r="937" spans="1:3" x14ac:dyDescent="0.2">
      <c r="A937" s="5">
        <v>935</v>
      </c>
      <c r="B937" s="5">
        <f t="shared" ca="1" si="14"/>
        <v>0.65438793891079905</v>
      </c>
      <c r="C937" s="5" t="s">
        <v>24</v>
      </c>
    </row>
    <row r="938" spans="1:3" x14ac:dyDescent="0.2">
      <c r="A938" s="5">
        <v>936</v>
      </c>
      <c r="B938" s="5">
        <f t="shared" ca="1" si="14"/>
        <v>0.51287456379214436</v>
      </c>
      <c r="C938" s="5" t="s">
        <v>25</v>
      </c>
    </row>
    <row r="939" spans="1:3" x14ac:dyDescent="0.2">
      <c r="A939" s="5">
        <v>937</v>
      </c>
      <c r="B939" s="5">
        <f t="shared" ca="1" si="14"/>
        <v>0.60504428321048753</v>
      </c>
      <c r="C939" s="5" t="s">
        <v>25</v>
      </c>
    </row>
    <row r="940" spans="1:3" x14ac:dyDescent="0.2">
      <c r="A940" s="5">
        <v>938</v>
      </c>
      <c r="B940" s="5">
        <f t="shared" ca="1" si="14"/>
        <v>0.66312722275328206</v>
      </c>
      <c r="C940" s="5" t="s">
        <v>24</v>
      </c>
    </row>
    <row r="941" spans="1:3" x14ac:dyDescent="0.2">
      <c r="A941" s="5">
        <v>939</v>
      </c>
      <c r="B941" s="5">
        <f t="shared" ca="1" si="14"/>
        <v>0.63608176823745222</v>
      </c>
      <c r="C941" s="5" t="s">
        <v>24</v>
      </c>
    </row>
    <row r="942" spans="1:3" x14ac:dyDescent="0.2">
      <c r="A942" s="5">
        <v>940</v>
      </c>
      <c r="B942" s="5">
        <f t="shared" ca="1" si="14"/>
        <v>0.48365812700385352</v>
      </c>
      <c r="C942" s="5" t="s">
        <v>25</v>
      </c>
    </row>
    <row r="943" spans="1:3" x14ac:dyDescent="0.2">
      <c r="A943" s="5">
        <v>941</v>
      </c>
      <c r="B943" s="5">
        <f t="shared" ca="1" si="14"/>
        <v>0.4942444849858883</v>
      </c>
      <c r="C943" s="5" t="s">
        <v>25</v>
      </c>
    </row>
    <row r="944" spans="1:3" x14ac:dyDescent="0.2">
      <c r="A944" s="5">
        <v>942</v>
      </c>
      <c r="B944" s="5">
        <f t="shared" ca="1" si="14"/>
        <v>0.49557044512612819</v>
      </c>
      <c r="C944" s="5" t="s">
        <v>25</v>
      </c>
    </row>
    <row r="945" spans="1:3" x14ac:dyDescent="0.2">
      <c r="A945" s="5">
        <v>943</v>
      </c>
      <c r="B945" s="5">
        <f t="shared" ca="1" si="14"/>
        <v>0.52416710647489795</v>
      </c>
      <c r="C945" s="5" t="s">
        <v>25</v>
      </c>
    </row>
    <row r="946" spans="1:3" x14ac:dyDescent="0.2">
      <c r="A946" s="5">
        <v>944</v>
      </c>
      <c r="B946" s="5">
        <f t="shared" ca="1" si="14"/>
        <v>0.58317937819083665</v>
      </c>
      <c r="C946" s="5" t="s">
        <v>25</v>
      </c>
    </row>
    <row r="947" spans="1:3" x14ac:dyDescent="0.2">
      <c r="A947" s="5">
        <v>945</v>
      </c>
      <c r="B947" s="5">
        <f t="shared" ca="1" si="14"/>
        <v>0.90626760268332762</v>
      </c>
      <c r="C947" s="5" t="s">
        <v>24</v>
      </c>
    </row>
    <row r="948" spans="1:3" x14ac:dyDescent="0.2">
      <c r="A948" s="5">
        <v>946</v>
      </c>
      <c r="B948" s="5">
        <f t="shared" ca="1" si="14"/>
        <v>0.52117140971681475</v>
      </c>
      <c r="C948" s="5" t="s">
        <v>25</v>
      </c>
    </row>
    <row r="949" spans="1:3" x14ac:dyDescent="0.2">
      <c r="A949" s="5">
        <v>947</v>
      </c>
      <c r="B949" s="5">
        <f t="shared" ca="1" si="14"/>
        <v>0.78833249425830787</v>
      </c>
      <c r="C949" s="5" t="s">
        <v>24</v>
      </c>
    </row>
    <row r="950" spans="1:3" x14ac:dyDescent="0.2">
      <c r="A950" s="5">
        <v>948</v>
      </c>
      <c r="B950" s="5">
        <f t="shared" ca="1" si="14"/>
        <v>0.66370100931199327</v>
      </c>
      <c r="C950" s="5" t="s">
        <v>25</v>
      </c>
    </row>
    <row r="951" spans="1:3" x14ac:dyDescent="0.2">
      <c r="A951" s="5">
        <v>949</v>
      </c>
      <c r="B951" s="5">
        <f t="shared" ca="1" si="14"/>
        <v>0.6457321747435224</v>
      </c>
      <c r="C951" s="5" t="s">
        <v>24</v>
      </c>
    </row>
    <row r="952" spans="1:3" x14ac:dyDescent="0.2">
      <c r="A952" s="5">
        <v>950</v>
      </c>
      <c r="B952" s="5">
        <f t="shared" ca="1" si="14"/>
        <v>0.69723064688730918</v>
      </c>
      <c r="C952" s="5" t="s">
        <v>24</v>
      </c>
    </row>
    <row r="953" spans="1:3" x14ac:dyDescent="0.2">
      <c r="A953" s="5">
        <v>951</v>
      </c>
      <c r="B953" s="5">
        <f t="shared" ca="1" si="14"/>
        <v>0.72347369951053053</v>
      </c>
      <c r="C953" s="5" t="s">
        <v>25</v>
      </c>
    </row>
    <row r="954" spans="1:3" x14ac:dyDescent="0.2">
      <c r="A954" s="5">
        <v>952</v>
      </c>
      <c r="B954" s="5">
        <f t="shared" ca="1" si="14"/>
        <v>0.39663143123965372</v>
      </c>
      <c r="C954" s="5" t="s">
        <v>25</v>
      </c>
    </row>
    <row r="955" spans="1:3" x14ac:dyDescent="0.2">
      <c r="A955" s="5">
        <v>953</v>
      </c>
      <c r="B955" s="5">
        <f t="shared" ca="1" si="14"/>
        <v>0.74072169586607539</v>
      </c>
      <c r="C955" s="5" t="s">
        <v>24</v>
      </c>
    </row>
    <row r="956" spans="1:3" x14ac:dyDescent="0.2">
      <c r="A956" s="5">
        <v>954</v>
      </c>
      <c r="B956" s="5">
        <f t="shared" ca="1" si="14"/>
        <v>0.39068571808328312</v>
      </c>
      <c r="C956" s="5" t="s">
        <v>25</v>
      </c>
    </row>
    <row r="957" spans="1:3" x14ac:dyDescent="0.2">
      <c r="A957" s="5">
        <v>955</v>
      </c>
      <c r="B957" s="5">
        <f t="shared" ca="1" si="14"/>
        <v>0.73979958939082824</v>
      </c>
      <c r="C957" s="5" t="s">
        <v>24</v>
      </c>
    </row>
    <row r="958" spans="1:3" x14ac:dyDescent="0.2">
      <c r="A958" s="5">
        <v>956</v>
      </c>
      <c r="B958" s="5">
        <f t="shared" ca="1" si="14"/>
        <v>0.71008795910717071</v>
      </c>
      <c r="C958" s="5" t="s">
        <v>24</v>
      </c>
    </row>
    <row r="959" spans="1:3" x14ac:dyDescent="0.2">
      <c r="A959" s="5">
        <v>957</v>
      </c>
      <c r="B959" s="5">
        <f t="shared" ca="1" si="14"/>
        <v>0.62088713465772738</v>
      </c>
      <c r="C959" s="5" t="s">
        <v>25</v>
      </c>
    </row>
    <row r="960" spans="1:3" x14ac:dyDescent="0.2">
      <c r="A960" s="5">
        <v>958</v>
      </c>
      <c r="B960" s="5">
        <f t="shared" ca="1" si="14"/>
        <v>0.69535137808109493</v>
      </c>
      <c r="C960" s="5" t="s">
        <v>24</v>
      </c>
    </row>
    <row r="961" spans="1:3" x14ac:dyDescent="0.2">
      <c r="A961" s="5">
        <v>959</v>
      </c>
      <c r="B961" s="5">
        <f t="shared" ca="1" si="14"/>
        <v>0.57167814052583843</v>
      </c>
      <c r="C961" s="5" t="s">
        <v>25</v>
      </c>
    </row>
    <row r="962" spans="1:3" x14ac:dyDescent="0.2">
      <c r="A962" s="5">
        <v>960</v>
      </c>
      <c r="B962" s="5">
        <f t="shared" ca="1" si="14"/>
        <v>0.60609416896609913</v>
      </c>
      <c r="C962" s="5" t="s">
        <v>25</v>
      </c>
    </row>
    <row r="963" spans="1:3" x14ac:dyDescent="0.2">
      <c r="A963" s="5">
        <v>961</v>
      </c>
      <c r="B963" s="5">
        <f t="shared" ca="1" si="14"/>
        <v>0.62748064916433743</v>
      </c>
      <c r="C963" s="5" t="s">
        <v>24</v>
      </c>
    </row>
    <row r="964" spans="1:3" x14ac:dyDescent="0.2">
      <c r="A964" s="5">
        <v>962</v>
      </c>
      <c r="B964" s="5">
        <f t="shared" ref="B964:B1002" ca="1" si="15">IF(C964="Bomb",_xlfn.NORM.INV(RAND(),0.7,0.1),_xlfn.NORM.INV(RAND(),0.6,0.15))</f>
        <v>0.56475007622930207</v>
      </c>
      <c r="C964" s="5" t="s">
        <v>24</v>
      </c>
    </row>
    <row r="965" spans="1:3" x14ac:dyDescent="0.2">
      <c r="A965" s="5">
        <v>963</v>
      </c>
      <c r="B965" s="5">
        <f t="shared" ca="1" si="15"/>
        <v>0.53307514737905792</v>
      </c>
      <c r="C965" s="5" t="s">
        <v>24</v>
      </c>
    </row>
    <row r="966" spans="1:3" x14ac:dyDescent="0.2">
      <c r="A966" s="5">
        <v>964</v>
      </c>
      <c r="B966" s="5">
        <f t="shared" ca="1" si="15"/>
        <v>0.83678342215081347</v>
      </c>
      <c r="C966" s="5" t="s">
        <v>24</v>
      </c>
    </row>
    <row r="967" spans="1:3" x14ac:dyDescent="0.2">
      <c r="A967" s="5">
        <v>965</v>
      </c>
      <c r="B967" s="5">
        <f t="shared" ca="1" si="15"/>
        <v>0.86070709079958396</v>
      </c>
      <c r="C967" s="5" t="s">
        <v>24</v>
      </c>
    </row>
    <row r="968" spans="1:3" x14ac:dyDescent="0.2">
      <c r="A968" s="5">
        <v>966</v>
      </c>
      <c r="B968" s="5">
        <f t="shared" ca="1" si="15"/>
        <v>0.71234169031993977</v>
      </c>
      <c r="C968" s="5" t="s">
        <v>24</v>
      </c>
    </row>
    <row r="969" spans="1:3" x14ac:dyDescent="0.2">
      <c r="A969" s="5">
        <v>967</v>
      </c>
      <c r="B969" s="5">
        <f t="shared" ca="1" si="15"/>
        <v>0.79114430353730658</v>
      </c>
      <c r="C969" s="5" t="s">
        <v>24</v>
      </c>
    </row>
    <row r="970" spans="1:3" x14ac:dyDescent="0.2">
      <c r="A970" s="5">
        <v>968</v>
      </c>
      <c r="B970" s="5">
        <f t="shared" ca="1" si="15"/>
        <v>0.76968335080794048</v>
      </c>
      <c r="C970" s="5" t="s">
        <v>24</v>
      </c>
    </row>
    <row r="971" spans="1:3" x14ac:dyDescent="0.2">
      <c r="A971" s="5">
        <v>969</v>
      </c>
      <c r="B971" s="5">
        <f t="shared" ca="1" si="15"/>
        <v>0.3279588764252811</v>
      </c>
      <c r="C971" s="5" t="s">
        <v>25</v>
      </c>
    </row>
    <row r="972" spans="1:3" x14ac:dyDescent="0.2">
      <c r="A972" s="5">
        <v>970</v>
      </c>
      <c r="B972" s="5">
        <f t="shared" ca="1" si="15"/>
        <v>0.71326105113506988</v>
      </c>
      <c r="C972" s="5" t="s">
        <v>25</v>
      </c>
    </row>
    <row r="973" spans="1:3" x14ac:dyDescent="0.2">
      <c r="A973" s="5">
        <v>971</v>
      </c>
      <c r="B973" s="5">
        <f t="shared" ca="1" si="15"/>
        <v>0.52855592028501952</v>
      </c>
      <c r="C973" s="5" t="s">
        <v>24</v>
      </c>
    </row>
    <row r="974" spans="1:3" x14ac:dyDescent="0.2">
      <c r="A974" s="5">
        <v>972</v>
      </c>
      <c r="B974" s="5">
        <f t="shared" ca="1" si="15"/>
        <v>0.55799588201559425</v>
      </c>
      <c r="C974" s="5" t="s">
        <v>25</v>
      </c>
    </row>
    <row r="975" spans="1:3" x14ac:dyDescent="0.2">
      <c r="A975" s="5">
        <v>973</v>
      </c>
      <c r="B975" s="5">
        <f t="shared" ca="1" si="15"/>
        <v>0.91245026195697476</v>
      </c>
      <c r="C975" s="5" t="s">
        <v>24</v>
      </c>
    </row>
    <row r="976" spans="1:3" x14ac:dyDescent="0.2">
      <c r="A976" s="5">
        <v>974</v>
      </c>
      <c r="B976" s="5">
        <f t="shared" ca="1" si="15"/>
        <v>0.50670202964408828</v>
      </c>
      <c r="C976" s="5" t="s">
        <v>24</v>
      </c>
    </row>
    <row r="977" spans="1:3" x14ac:dyDescent="0.2">
      <c r="A977" s="5">
        <v>975</v>
      </c>
      <c r="B977" s="5">
        <f t="shared" ca="1" si="15"/>
        <v>0.77060351462765053</v>
      </c>
      <c r="C977" s="5" t="s">
        <v>24</v>
      </c>
    </row>
    <row r="978" spans="1:3" x14ac:dyDescent="0.2">
      <c r="A978" s="5">
        <v>976</v>
      </c>
      <c r="B978" s="5">
        <f t="shared" ca="1" si="15"/>
        <v>0.73518578872749951</v>
      </c>
      <c r="C978" s="5" t="s">
        <v>24</v>
      </c>
    </row>
    <row r="979" spans="1:3" x14ac:dyDescent="0.2">
      <c r="A979" s="5">
        <v>977</v>
      </c>
      <c r="B979" s="5">
        <f t="shared" ca="1" si="15"/>
        <v>0.85899086325474405</v>
      </c>
      <c r="C979" s="5" t="s">
        <v>24</v>
      </c>
    </row>
    <row r="980" spans="1:3" x14ac:dyDescent="0.2">
      <c r="A980" s="5">
        <v>978</v>
      </c>
      <c r="B980" s="5">
        <f t="shared" ca="1" si="15"/>
        <v>0.75537182725006713</v>
      </c>
      <c r="C980" s="5" t="s">
        <v>24</v>
      </c>
    </row>
    <row r="981" spans="1:3" x14ac:dyDescent="0.2">
      <c r="A981" s="5">
        <v>979</v>
      </c>
      <c r="B981" s="5">
        <f t="shared" ca="1" si="15"/>
        <v>0.66386442059650286</v>
      </c>
      <c r="C981" s="5" t="s">
        <v>24</v>
      </c>
    </row>
    <row r="982" spans="1:3" x14ac:dyDescent="0.2">
      <c r="A982" s="5">
        <v>980</v>
      </c>
      <c r="B982" s="5">
        <f t="shared" ca="1" si="15"/>
        <v>0.76259725846676729</v>
      </c>
      <c r="C982" s="5" t="s">
        <v>25</v>
      </c>
    </row>
    <row r="983" spans="1:3" x14ac:dyDescent="0.2">
      <c r="A983" s="5">
        <v>981</v>
      </c>
      <c r="B983" s="5">
        <f t="shared" ca="1" si="15"/>
        <v>0.55172769867775739</v>
      </c>
      <c r="C983" s="5" t="s">
        <v>25</v>
      </c>
    </row>
    <row r="984" spans="1:3" x14ac:dyDescent="0.2">
      <c r="A984" s="5">
        <v>982</v>
      </c>
      <c r="B984" s="5">
        <f t="shared" ca="1" si="15"/>
        <v>0.7786256570515786</v>
      </c>
      <c r="C984" s="5" t="s">
        <v>24</v>
      </c>
    </row>
    <row r="985" spans="1:3" x14ac:dyDescent="0.2">
      <c r="A985" s="5">
        <v>983</v>
      </c>
      <c r="B985" s="5">
        <f t="shared" ca="1" si="15"/>
        <v>0.60592101407107812</v>
      </c>
      <c r="C985" s="5" t="s">
        <v>24</v>
      </c>
    </row>
    <row r="986" spans="1:3" x14ac:dyDescent="0.2">
      <c r="A986" s="5">
        <v>984</v>
      </c>
      <c r="B986" s="5">
        <f t="shared" ca="1" si="15"/>
        <v>0.71155170371311405</v>
      </c>
      <c r="C986" s="5" t="s">
        <v>25</v>
      </c>
    </row>
    <row r="987" spans="1:3" x14ac:dyDescent="0.2">
      <c r="A987" s="5">
        <v>985</v>
      </c>
      <c r="B987" s="5">
        <f t="shared" ca="1" si="15"/>
        <v>0.56487298187636503</v>
      </c>
      <c r="C987" s="5" t="s">
        <v>25</v>
      </c>
    </row>
    <row r="988" spans="1:3" x14ac:dyDescent="0.2">
      <c r="A988" s="5">
        <v>986</v>
      </c>
      <c r="B988" s="5">
        <f t="shared" ca="1" si="15"/>
        <v>0.64654233699621277</v>
      </c>
      <c r="C988" s="5" t="s">
        <v>24</v>
      </c>
    </row>
    <row r="989" spans="1:3" x14ac:dyDescent="0.2">
      <c r="A989" s="5">
        <v>987</v>
      </c>
      <c r="B989" s="5">
        <f t="shared" ca="1" si="15"/>
        <v>0.46784092366386459</v>
      </c>
      <c r="C989" s="5" t="s">
        <v>25</v>
      </c>
    </row>
    <row r="990" spans="1:3" x14ac:dyDescent="0.2">
      <c r="A990" s="5">
        <v>988</v>
      </c>
      <c r="B990" s="5">
        <f t="shared" ca="1" si="15"/>
        <v>0.43295807860901164</v>
      </c>
      <c r="C990" s="5" t="s">
        <v>25</v>
      </c>
    </row>
    <row r="991" spans="1:3" x14ac:dyDescent="0.2">
      <c r="A991" s="5">
        <v>989</v>
      </c>
      <c r="B991" s="5">
        <f t="shared" ca="1" si="15"/>
        <v>0.47958648537651516</v>
      </c>
      <c r="C991" s="5" t="s">
        <v>24</v>
      </c>
    </row>
    <row r="992" spans="1:3" x14ac:dyDescent="0.2">
      <c r="A992" s="5">
        <v>990</v>
      </c>
      <c r="B992" s="5">
        <f t="shared" ca="1" si="15"/>
        <v>0.4684349382763312</v>
      </c>
      <c r="C992" s="5" t="s">
        <v>25</v>
      </c>
    </row>
    <row r="993" spans="1:3" x14ac:dyDescent="0.2">
      <c r="A993" s="5">
        <v>991</v>
      </c>
      <c r="B993" s="5">
        <f t="shared" ca="1" si="15"/>
        <v>0.74652640311629492</v>
      </c>
      <c r="C993" s="5" t="s">
        <v>24</v>
      </c>
    </row>
    <row r="994" spans="1:3" x14ac:dyDescent="0.2">
      <c r="A994" s="5">
        <v>992</v>
      </c>
      <c r="B994" s="5">
        <f t="shared" ca="1" si="15"/>
        <v>0.59440624104966688</v>
      </c>
      <c r="C994" s="5" t="s">
        <v>25</v>
      </c>
    </row>
    <row r="995" spans="1:3" x14ac:dyDescent="0.2">
      <c r="A995" s="5">
        <v>993</v>
      </c>
      <c r="B995" s="5">
        <f t="shared" ca="1" si="15"/>
        <v>0.74318076518240417</v>
      </c>
      <c r="C995" s="5" t="s">
        <v>24</v>
      </c>
    </row>
    <row r="996" spans="1:3" x14ac:dyDescent="0.2">
      <c r="A996" s="5">
        <v>994</v>
      </c>
      <c r="B996" s="5">
        <f t="shared" ca="1" si="15"/>
        <v>0.97552220586407912</v>
      </c>
      <c r="C996" s="5" t="s">
        <v>24</v>
      </c>
    </row>
    <row r="997" spans="1:3" x14ac:dyDescent="0.2">
      <c r="A997" s="5">
        <v>995</v>
      </c>
      <c r="B997" s="5">
        <f t="shared" ca="1" si="15"/>
        <v>0.63687622569104885</v>
      </c>
      <c r="C997" s="5" t="s">
        <v>25</v>
      </c>
    </row>
    <row r="998" spans="1:3" x14ac:dyDescent="0.2">
      <c r="A998" s="5">
        <v>996</v>
      </c>
      <c r="B998" s="5">
        <f t="shared" ca="1" si="15"/>
        <v>0.60314485873441559</v>
      </c>
      <c r="C998" s="5" t="s">
        <v>24</v>
      </c>
    </row>
    <row r="999" spans="1:3" x14ac:dyDescent="0.2">
      <c r="A999" s="5">
        <v>997</v>
      </c>
      <c r="B999" s="5">
        <f t="shared" ca="1" si="15"/>
        <v>0.76909786608457831</v>
      </c>
      <c r="C999" s="5" t="s">
        <v>25</v>
      </c>
    </row>
    <row r="1000" spans="1:3" x14ac:dyDescent="0.2">
      <c r="A1000" s="5">
        <v>998</v>
      </c>
      <c r="B1000" s="5">
        <f t="shared" ca="1" si="15"/>
        <v>0.54415334857279507</v>
      </c>
      <c r="C1000" s="5" t="s">
        <v>25</v>
      </c>
    </row>
    <row r="1001" spans="1:3" x14ac:dyDescent="0.2">
      <c r="A1001" s="5">
        <v>999</v>
      </c>
      <c r="B1001" s="5">
        <f t="shared" ca="1" si="15"/>
        <v>0.39461660254796371</v>
      </c>
      <c r="C1001" s="5" t="s">
        <v>25</v>
      </c>
    </row>
    <row r="1002" spans="1:3" x14ac:dyDescent="0.2">
      <c r="A1002" s="5">
        <v>1000</v>
      </c>
      <c r="B1002" s="5">
        <f t="shared" ca="1" si="15"/>
        <v>0.52036669251970302</v>
      </c>
      <c r="C1002" s="5" t="s">
        <v>25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C00000"/>
  </sheetPr>
  <dimension ref="B2:N17"/>
  <sheetViews>
    <sheetView workbookViewId="0"/>
  </sheetViews>
  <sheetFormatPr baseColWidth="10" defaultRowHeight="26" x14ac:dyDescent="0.3"/>
  <cols>
    <col min="1" max="16384" width="10.83203125" style="26"/>
  </cols>
  <sheetData>
    <row r="2" spans="2:14" ht="27" thickBot="1" x14ac:dyDescent="0.35"/>
    <row r="3" spans="2:14" x14ac:dyDescent="0.3">
      <c r="E3" s="32"/>
      <c r="F3" s="33"/>
      <c r="G3" s="33"/>
      <c r="H3" s="33"/>
      <c r="I3" s="34"/>
      <c r="J3" s="32"/>
      <c r="K3" s="33"/>
      <c r="L3" s="33"/>
      <c r="M3" s="33"/>
      <c r="N3" s="34"/>
    </row>
    <row r="4" spans="2:14" x14ac:dyDescent="0.3">
      <c r="E4" s="35"/>
      <c r="F4" s="36"/>
      <c r="G4" s="36"/>
      <c r="H4" s="36"/>
      <c r="I4" s="37"/>
      <c r="J4" s="35"/>
      <c r="K4" s="36"/>
      <c r="L4" s="36"/>
      <c r="M4" s="36"/>
      <c r="N4" s="37"/>
    </row>
    <row r="5" spans="2:14" x14ac:dyDescent="0.3">
      <c r="E5" s="35"/>
      <c r="F5" s="36"/>
      <c r="G5" s="36" t="s">
        <v>109</v>
      </c>
      <c r="H5" s="36"/>
      <c r="I5" s="37"/>
      <c r="J5" s="35"/>
      <c r="K5" s="36"/>
      <c r="L5" s="36" t="s">
        <v>112</v>
      </c>
      <c r="M5" s="36"/>
      <c r="N5" s="37"/>
    </row>
    <row r="6" spans="2:14" x14ac:dyDescent="0.3">
      <c r="E6" s="35"/>
      <c r="F6" s="36"/>
      <c r="G6" s="36"/>
      <c r="H6" s="36"/>
      <c r="I6" s="37"/>
      <c r="J6" s="35"/>
      <c r="K6" s="36"/>
      <c r="L6" s="36"/>
      <c r="M6" s="36"/>
      <c r="N6" s="37"/>
    </row>
    <row r="7" spans="2:14" x14ac:dyDescent="0.3">
      <c r="E7" s="35"/>
      <c r="F7" s="36"/>
      <c r="G7" s="36"/>
      <c r="H7" s="36"/>
      <c r="I7" s="37"/>
      <c r="J7" s="35"/>
      <c r="K7" s="36"/>
      <c r="L7" s="36"/>
      <c r="M7" s="36"/>
      <c r="N7" s="37"/>
    </row>
    <row r="8" spans="2:14" ht="27" thickBot="1" x14ac:dyDescent="0.35">
      <c r="B8" s="26" t="s">
        <v>5</v>
      </c>
      <c r="E8" s="38"/>
      <c r="F8" s="39"/>
      <c r="G8" s="39"/>
      <c r="H8" s="39"/>
      <c r="I8" s="40"/>
      <c r="J8" s="38"/>
      <c r="K8" s="39"/>
      <c r="L8" s="39"/>
      <c r="M8" s="39"/>
      <c r="N8" s="40"/>
    </row>
    <row r="9" spans="2:14" x14ac:dyDescent="0.3">
      <c r="E9" s="32"/>
      <c r="F9" s="33"/>
      <c r="G9" s="33"/>
      <c r="H9" s="33"/>
      <c r="I9" s="34"/>
      <c r="J9" s="32"/>
      <c r="K9" s="33"/>
      <c r="L9" s="33"/>
      <c r="M9" s="33"/>
      <c r="N9" s="34"/>
    </row>
    <row r="10" spans="2:14" x14ac:dyDescent="0.3">
      <c r="E10" s="35"/>
      <c r="F10" s="36"/>
      <c r="G10" s="36"/>
      <c r="H10" s="36"/>
      <c r="I10" s="37"/>
      <c r="J10" s="35"/>
      <c r="K10" s="36"/>
      <c r="L10" s="36"/>
      <c r="M10" s="36"/>
      <c r="N10" s="37"/>
    </row>
    <row r="11" spans="2:14" x14ac:dyDescent="0.3">
      <c r="E11" s="35"/>
      <c r="F11" s="36"/>
      <c r="G11" s="36" t="s">
        <v>122</v>
      </c>
      <c r="H11" s="36"/>
      <c r="I11" s="37"/>
      <c r="J11" s="35"/>
      <c r="K11" s="36"/>
      <c r="L11" s="36" t="s">
        <v>121</v>
      </c>
      <c r="M11" s="36"/>
      <c r="N11" s="37"/>
    </row>
    <row r="12" spans="2:14" x14ac:dyDescent="0.3">
      <c r="E12" s="35"/>
      <c r="F12" s="36"/>
      <c r="G12" s="36"/>
      <c r="H12" s="36"/>
      <c r="I12" s="37"/>
      <c r="J12" s="35"/>
      <c r="K12" s="36"/>
      <c r="L12" s="36"/>
      <c r="M12" s="36"/>
      <c r="N12" s="37"/>
    </row>
    <row r="13" spans="2:14" x14ac:dyDescent="0.3">
      <c r="E13" s="35"/>
      <c r="F13" s="36"/>
      <c r="G13" s="36"/>
      <c r="H13" s="36"/>
      <c r="I13" s="37"/>
      <c r="J13" s="35"/>
      <c r="K13" s="36"/>
      <c r="L13" s="36"/>
      <c r="M13" s="36"/>
      <c r="N13" s="37"/>
    </row>
    <row r="14" spans="2:14" ht="27" thickBot="1" x14ac:dyDescent="0.35">
      <c r="E14" s="38"/>
      <c r="F14" s="39"/>
      <c r="G14" s="39"/>
      <c r="H14" s="39"/>
      <c r="I14" s="40"/>
      <c r="J14" s="38"/>
      <c r="K14" s="39"/>
      <c r="L14" s="39"/>
      <c r="M14" s="39"/>
      <c r="N14" s="40"/>
    </row>
    <row r="17" spans="9:9" x14ac:dyDescent="0.3">
      <c r="I17" s="26" t="s">
        <v>123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5"/>
  </cols>
  <sheetData>
    <row r="2" spans="1:11" x14ac:dyDescent="0.2">
      <c r="B2" s="5" t="s">
        <v>26</v>
      </c>
      <c r="C2" s="5" t="s">
        <v>5</v>
      </c>
      <c r="J2" s="8" t="s">
        <v>30</v>
      </c>
      <c r="K2" s="8" t="s">
        <v>27</v>
      </c>
    </row>
    <row r="3" spans="1:11" x14ac:dyDescent="0.2">
      <c r="A3" s="5">
        <v>1</v>
      </c>
      <c r="B3" s="5">
        <f ca="1">IF(C3="Bomb",_xlfn.NORM.INV(RAND(),0.7,0.1),_xlfn.NORM.INV(RAND(),0.6,0.15))</f>
        <v>0.49486821969573414</v>
      </c>
      <c r="C3" s="5" t="str">
        <f ca="1">IF(RAND()&lt;0.5,"Bomb","Bird")</f>
        <v>Bomb</v>
      </c>
      <c r="E3" s="5" t="s">
        <v>28</v>
      </c>
      <c r="I3" s="18"/>
      <c r="J3" s="19">
        <f ca="1">F10</f>
        <v>1</v>
      </c>
      <c r="K3" s="19">
        <f ca="1">E10</f>
        <v>1</v>
      </c>
    </row>
    <row r="4" spans="1:11" x14ac:dyDescent="0.2">
      <c r="A4" s="5">
        <v>2</v>
      </c>
      <c r="B4" s="5">
        <f t="shared" ref="B4:B67" ca="1" si="0">IF(C4="Bomb",_xlfn.NORM.INV(RAND(),0.7,0.1),_xlfn.NORM.INV(RAND(),0.6,0.15))</f>
        <v>0.61289120387519402</v>
      </c>
      <c r="C4" s="5" t="s">
        <v>24</v>
      </c>
      <c r="E4" s="7">
        <v>0</v>
      </c>
      <c r="I4" s="19">
        <v>0.03</v>
      </c>
      <c r="J4" s="20">
        <f t="dataTable" ref="J4:K36" dt2D="0" dtr="0" r1="E4" ca="1"/>
        <v>1</v>
      </c>
      <c r="K4" s="20">
        <v>1</v>
      </c>
    </row>
    <row r="5" spans="1:11" x14ac:dyDescent="0.2">
      <c r="A5" s="5">
        <v>3</v>
      </c>
      <c r="B5" s="5">
        <f t="shared" ca="1" si="0"/>
        <v>0.32527766615223214</v>
      </c>
      <c r="C5" s="5" t="s">
        <v>25</v>
      </c>
      <c r="I5" s="19">
        <v>0.06</v>
      </c>
      <c r="J5" s="20">
        <v>1</v>
      </c>
      <c r="K5" s="20">
        <v>1</v>
      </c>
    </row>
    <row r="6" spans="1:11" x14ac:dyDescent="0.2">
      <c r="A6" s="5">
        <v>4</v>
      </c>
      <c r="B6" s="5">
        <f t="shared" ca="1" si="0"/>
        <v>0.64765839704139638</v>
      </c>
      <c r="C6" s="5" t="s">
        <v>24</v>
      </c>
      <c r="E6" s="8" t="s">
        <v>27</v>
      </c>
      <c r="F6" s="8" t="s">
        <v>29</v>
      </c>
      <c r="I6" s="19">
        <v>0.09</v>
      </c>
      <c r="J6" s="20">
        <v>1</v>
      </c>
      <c r="K6" s="20">
        <v>1</v>
      </c>
    </row>
    <row r="7" spans="1:11" x14ac:dyDescent="0.2">
      <c r="A7" s="5">
        <v>5</v>
      </c>
      <c r="B7" s="5">
        <f t="shared" ca="1" si="0"/>
        <v>0.55825647055153849</v>
      </c>
      <c r="C7" s="5" t="s">
        <v>24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19">
        <v>0.12</v>
      </c>
      <c r="J7" s="20">
        <v>1</v>
      </c>
      <c r="K7" s="20">
        <v>1</v>
      </c>
    </row>
    <row r="8" spans="1:11" x14ac:dyDescent="0.2">
      <c r="A8" s="5">
        <v>6</v>
      </c>
      <c r="B8" s="5">
        <f t="shared" ca="1" si="0"/>
        <v>0.73079091778265948</v>
      </c>
      <c r="C8" s="5" t="s">
        <v>24</v>
      </c>
      <c r="I8" s="19">
        <v>0.15</v>
      </c>
      <c r="J8" s="20">
        <v>0.99805447470817121</v>
      </c>
      <c r="K8" s="20">
        <v>1</v>
      </c>
    </row>
    <row r="9" spans="1:11" x14ac:dyDescent="0.2">
      <c r="A9" s="5">
        <v>7</v>
      </c>
      <c r="B9" s="5">
        <f t="shared" ca="1" si="0"/>
        <v>0.73127105024020422</v>
      </c>
      <c r="C9" s="5" t="s">
        <v>24</v>
      </c>
      <c r="E9" s="8" t="s">
        <v>27</v>
      </c>
      <c r="F9" s="8" t="s">
        <v>30</v>
      </c>
      <c r="I9" s="19">
        <v>0.18</v>
      </c>
      <c r="J9" s="20">
        <v>0.99805068226120852</v>
      </c>
      <c r="K9" s="20">
        <v>1</v>
      </c>
    </row>
    <row r="10" spans="1:11" x14ac:dyDescent="0.2">
      <c r="A10" s="5">
        <v>8</v>
      </c>
      <c r="B10" s="5">
        <f t="shared" ca="1" si="0"/>
        <v>0.66101745363162745</v>
      </c>
      <c r="C10" s="5" t="s">
        <v>25</v>
      </c>
      <c r="E10" s="7">
        <f ca="1">E7</f>
        <v>1</v>
      </c>
      <c r="F10" s="7">
        <f ca="1">1-F7</f>
        <v>1</v>
      </c>
      <c r="I10" s="19">
        <v>0.21</v>
      </c>
      <c r="J10" s="20">
        <v>0.99610894941634243</v>
      </c>
      <c r="K10" s="20">
        <v>1</v>
      </c>
    </row>
    <row r="11" spans="1:11" x14ac:dyDescent="0.2">
      <c r="A11" s="5">
        <v>9</v>
      </c>
      <c r="B11" s="5">
        <f t="shared" ca="1" si="0"/>
        <v>0.73040640767757559</v>
      </c>
      <c r="C11" s="5" t="s">
        <v>25</v>
      </c>
      <c r="I11" s="19">
        <v>0.24</v>
      </c>
      <c r="J11" s="20">
        <v>0.99221789883268485</v>
      </c>
      <c r="K11" s="20">
        <v>1</v>
      </c>
    </row>
    <row r="12" spans="1:11" x14ac:dyDescent="0.2">
      <c r="A12" s="5">
        <v>10</v>
      </c>
      <c r="B12" s="5">
        <f t="shared" ca="1" si="0"/>
        <v>0.67339581527969627</v>
      </c>
      <c r="C12" s="5" t="s">
        <v>25</v>
      </c>
      <c r="I12" s="19">
        <v>0.27</v>
      </c>
      <c r="J12" s="20">
        <v>0.98050682261208577</v>
      </c>
      <c r="K12" s="20">
        <v>1</v>
      </c>
    </row>
    <row r="13" spans="1:11" x14ac:dyDescent="0.2">
      <c r="A13" s="5">
        <v>11</v>
      </c>
      <c r="B13" s="5">
        <f t="shared" ca="1" si="0"/>
        <v>0.69546951859126394</v>
      </c>
      <c r="C13" s="5" t="s">
        <v>25</v>
      </c>
      <c r="I13" s="19">
        <v>0.3</v>
      </c>
      <c r="J13" s="20">
        <v>0.97660818713450293</v>
      </c>
      <c r="K13" s="20">
        <v>1</v>
      </c>
    </row>
    <row r="14" spans="1:11" x14ac:dyDescent="0.2">
      <c r="A14" s="5">
        <v>12</v>
      </c>
      <c r="B14" s="5">
        <f t="shared" ca="1" si="0"/>
        <v>0.80363387117498031</v>
      </c>
      <c r="C14" s="5" t="s">
        <v>25</v>
      </c>
      <c r="I14" s="19">
        <v>0.33</v>
      </c>
      <c r="J14" s="20">
        <v>0.96498054474708173</v>
      </c>
      <c r="K14" s="20">
        <v>1</v>
      </c>
    </row>
    <row r="15" spans="1:11" x14ac:dyDescent="0.2">
      <c r="A15" s="5">
        <v>13</v>
      </c>
      <c r="B15" s="5">
        <f t="shared" ca="1" si="0"/>
        <v>0.68814848316493438</v>
      </c>
      <c r="C15" s="5" t="s">
        <v>24</v>
      </c>
      <c r="I15" s="19">
        <v>0.36</v>
      </c>
      <c r="J15" s="20">
        <v>0.94163424124513617</v>
      </c>
      <c r="K15" s="20">
        <v>1</v>
      </c>
    </row>
    <row r="16" spans="1:11" x14ac:dyDescent="0.2">
      <c r="A16" s="5">
        <v>14</v>
      </c>
      <c r="B16" s="5">
        <f t="shared" ca="1" si="0"/>
        <v>0.69855925833412102</v>
      </c>
      <c r="C16" s="5" t="s">
        <v>24</v>
      </c>
      <c r="I16" s="19">
        <v>0.39</v>
      </c>
      <c r="J16" s="20">
        <v>0.92801556420233466</v>
      </c>
      <c r="K16" s="20">
        <v>1</v>
      </c>
    </row>
    <row r="17" spans="1:11" x14ac:dyDescent="0.2">
      <c r="A17" s="5">
        <v>15</v>
      </c>
      <c r="B17" s="5">
        <f t="shared" ca="1" si="0"/>
        <v>0.64289426289468832</v>
      </c>
      <c r="C17" s="5" t="s">
        <v>24</v>
      </c>
      <c r="I17" s="19">
        <v>0.42</v>
      </c>
      <c r="J17" s="20">
        <v>0.90448343079922022</v>
      </c>
      <c r="K17" s="20">
        <v>1</v>
      </c>
    </row>
    <row r="18" spans="1:11" x14ac:dyDescent="0.2">
      <c r="A18" s="5">
        <v>16</v>
      </c>
      <c r="B18" s="5">
        <f t="shared" ca="1" si="0"/>
        <v>0.37069556149513461</v>
      </c>
      <c r="C18" s="5" t="s">
        <v>25</v>
      </c>
      <c r="I18" s="19">
        <v>0.45</v>
      </c>
      <c r="J18" s="20">
        <v>0.83463035019455256</v>
      </c>
      <c r="K18" s="20">
        <v>0.99382716049382713</v>
      </c>
    </row>
    <row r="19" spans="1:11" x14ac:dyDescent="0.2">
      <c r="A19" s="5">
        <v>17</v>
      </c>
      <c r="B19" s="5">
        <f t="shared" ca="1" si="0"/>
        <v>0.8419020365781188</v>
      </c>
      <c r="C19" s="5" t="s">
        <v>24</v>
      </c>
      <c r="I19" s="19">
        <v>0.48</v>
      </c>
      <c r="J19" s="20">
        <v>0.80544747081712065</v>
      </c>
      <c r="K19" s="20">
        <v>0.98148148148148151</v>
      </c>
    </row>
    <row r="20" spans="1:11" x14ac:dyDescent="0.2">
      <c r="A20" s="5">
        <v>18</v>
      </c>
      <c r="B20" s="5">
        <f t="shared" ca="1" si="0"/>
        <v>0.69640139849647831</v>
      </c>
      <c r="C20" s="5" t="s">
        <v>25</v>
      </c>
      <c r="I20" s="19">
        <v>0.51</v>
      </c>
      <c r="J20" s="20">
        <v>0.68287937743190663</v>
      </c>
      <c r="K20" s="20">
        <v>0.96502057613168724</v>
      </c>
    </row>
    <row r="21" spans="1:11" x14ac:dyDescent="0.2">
      <c r="A21" s="5">
        <v>19</v>
      </c>
      <c r="B21" s="5">
        <f t="shared" ca="1" si="0"/>
        <v>0.71040488623045961</v>
      </c>
      <c r="C21" s="5" t="s">
        <v>24</v>
      </c>
      <c r="I21" s="19">
        <v>0.54</v>
      </c>
      <c r="J21" s="20">
        <v>0.70175438596491224</v>
      </c>
      <c r="K21" s="20">
        <v>0.94661190965092401</v>
      </c>
    </row>
    <row r="22" spans="1:11" x14ac:dyDescent="0.2">
      <c r="A22" s="5">
        <v>20</v>
      </c>
      <c r="B22" s="5">
        <f t="shared" ca="1" si="0"/>
        <v>0.70892253387762949</v>
      </c>
      <c r="C22" s="5" t="s">
        <v>24</v>
      </c>
      <c r="I22" s="19">
        <v>0.56999999999999995</v>
      </c>
      <c r="J22" s="20">
        <v>0.56530214424951275</v>
      </c>
      <c r="K22" s="20">
        <v>0.88501026694045171</v>
      </c>
    </row>
    <row r="23" spans="1:11" x14ac:dyDescent="0.2">
      <c r="A23" s="5">
        <v>21</v>
      </c>
      <c r="B23" s="5">
        <f t="shared" ca="1" si="0"/>
        <v>0.66822936481478834</v>
      </c>
      <c r="C23" s="5" t="s">
        <v>24</v>
      </c>
      <c r="I23" s="19">
        <v>0.6</v>
      </c>
      <c r="J23" s="20">
        <v>0.51461988304093564</v>
      </c>
      <c r="K23" s="20">
        <v>0.84188911704312119</v>
      </c>
    </row>
    <row r="24" spans="1:11" x14ac:dyDescent="0.2">
      <c r="A24" s="5">
        <v>22</v>
      </c>
      <c r="B24" s="5">
        <f t="shared" ca="1" si="0"/>
        <v>0.78984359730898634</v>
      </c>
      <c r="C24" s="5" t="s">
        <v>25</v>
      </c>
      <c r="I24" s="19">
        <v>0.63</v>
      </c>
      <c r="J24" s="20">
        <v>0.41050583657587547</v>
      </c>
      <c r="K24" s="20">
        <v>0.77777777777777779</v>
      </c>
    </row>
    <row r="25" spans="1:11" x14ac:dyDescent="0.2">
      <c r="A25" s="5">
        <v>23</v>
      </c>
      <c r="B25" s="5">
        <f t="shared" ca="1" si="0"/>
        <v>0.87698639740040707</v>
      </c>
      <c r="C25" s="5" t="s">
        <v>24</v>
      </c>
      <c r="I25" s="19">
        <v>0.66</v>
      </c>
      <c r="J25" s="20">
        <v>0.33268482490272377</v>
      </c>
      <c r="K25" s="20">
        <v>0.61934156378600824</v>
      </c>
    </row>
    <row r="26" spans="1:11" x14ac:dyDescent="0.2">
      <c r="A26" s="5">
        <v>24</v>
      </c>
      <c r="B26" s="5">
        <f t="shared" ca="1" si="0"/>
        <v>0.68025445601061418</v>
      </c>
      <c r="C26" s="5" t="s">
        <v>24</v>
      </c>
      <c r="I26" s="19">
        <v>0.69</v>
      </c>
      <c r="J26" s="20">
        <v>0.29182879377431903</v>
      </c>
      <c r="K26" s="20">
        <v>0.52057613168724282</v>
      </c>
    </row>
    <row r="27" spans="1:11" x14ac:dyDescent="0.2">
      <c r="A27" s="5">
        <v>25</v>
      </c>
      <c r="B27" s="5">
        <f t="shared" ca="1" si="0"/>
        <v>0.77877180051426009</v>
      </c>
      <c r="C27" s="5" t="s">
        <v>24</v>
      </c>
      <c r="I27" s="19">
        <v>0.72</v>
      </c>
      <c r="J27" s="20">
        <v>0.2042801556420234</v>
      </c>
      <c r="K27" s="20">
        <v>0.40740740740740738</v>
      </c>
    </row>
    <row r="28" spans="1:11" x14ac:dyDescent="0.2">
      <c r="A28" s="5">
        <v>26</v>
      </c>
      <c r="B28" s="5">
        <f t="shared" ca="1" si="0"/>
        <v>0.64640769522196195</v>
      </c>
      <c r="C28" s="5" t="s">
        <v>24</v>
      </c>
      <c r="I28" s="19">
        <v>0.75</v>
      </c>
      <c r="J28" s="20">
        <v>0.14814814814814814</v>
      </c>
      <c r="K28" s="20">
        <v>0.32854209445585214</v>
      </c>
    </row>
    <row r="29" spans="1:11" x14ac:dyDescent="0.2">
      <c r="A29" s="5">
        <v>27</v>
      </c>
      <c r="B29" s="5">
        <f t="shared" ca="1" si="0"/>
        <v>0.47999872893274587</v>
      </c>
      <c r="C29" s="5" t="s">
        <v>25</v>
      </c>
      <c r="I29" s="19">
        <v>0.78</v>
      </c>
      <c r="J29" s="20">
        <v>0.1089494163424124</v>
      </c>
      <c r="K29" s="20">
        <v>0.17901234567901234</v>
      </c>
    </row>
    <row r="30" spans="1:11" x14ac:dyDescent="0.2">
      <c r="A30" s="5">
        <v>28</v>
      </c>
      <c r="B30" s="5">
        <f t="shared" ca="1" si="0"/>
        <v>0.56734441726426121</v>
      </c>
      <c r="C30" s="5" t="s">
        <v>24</v>
      </c>
      <c r="I30" s="19">
        <v>0.81</v>
      </c>
      <c r="J30" s="20">
        <v>8.1871345029239762E-2</v>
      </c>
      <c r="K30" s="20">
        <v>0.12731006160164271</v>
      </c>
    </row>
    <row r="31" spans="1:11" x14ac:dyDescent="0.2">
      <c r="A31" s="5">
        <v>29</v>
      </c>
      <c r="B31" s="5">
        <f t="shared" ca="1" si="0"/>
        <v>0.64873402359171806</v>
      </c>
      <c r="C31" s="5" t="s">
        <v>25</v>
      </c>
      <c r="I31" s="19">
        <v>0.84</v>
      </c>
      <c r="J31" s="20">
        <v>6.0428849902534165E-2</v>
      </c>
      <c r="K31" s="20">
        <v>6.5708418891170434E-2</v>
      </c>
    </row>
    <row r="32" spans="1:11" x14ac:dyDescent="0.2">
      <c r="A32" s="5">
        <v>30</v>
      </c>
      <c r="B32" s="5">
        <f t="shared" ca="1" si="0"/>
        <v>0.94605904590102885</v>
      </c>
      <c r="C32" s="5" t="s">
        <v>24</v>
      </c>
      <c r="I32" s="19">
        <v>0.87</v>
      </c>
      <c r="J32" s="20">
        <v>3.6964980544747061E-2</v>
      </c>
      <c r="K32" s="20">
        <v>5.5555555555555552E-2</v>
      </c>
    </row>
    <row r="33" spans="1:11" x14ac:dyDescent="0.2">
      <c r="A33" s="5">
        <v>31</v>
      </c>
      <c r="B33" s="5">
        <f t="shared" ca="1" si="0"/>
        <v>0.85979214675758198</v>
      </c>
      <c r="C33" s="5" t="s">
        <v>24</v>
      </c>
      <c r="I33" s="19">
        <v>0.9</v>
      </c>
      <c r="J33" s="20">
        <v>1.5564202334630295E-2</v>
      </c>
      <c r="K33" s="20">
        <v>1.646090534979424E-2</v>
      </c>
    </row>
    <row r="34" spans="1:11" x14ac:dyDescent="0.2">
      <c r="A34" s="5">
        <v>32</v>
      </c>
      <c r="B34" s="5">
        <f t="shared" ca="1" si="0"/>
        <v>0.62880009746962584</v>
      </c>
      <c r="C34" s="5" t="s">
        <v>25</v>
      </c>
      <c r="I34" s="19">
        <v>0.93</v>
      </c>
      <c r="J34" s="20">
        <v>1.3618677042801508E-2</v>
      </c>
      <c r="K34" s="20">
        <v>4.11522633744856E-3</v>
      </c>
    </row>
    <row r="35" spans="1:11" x14ac:dyDescent="0.2">
      <c r="A35" s="5">
        <v>33</v>
      </c>
      <c r="B35" s="5">
        <f t="shared" ca="1" si="0"/>
        <v>0.46219255027144834</v>
      </c>
      <c r="C35" s="5" t="s">
        <v>25</v>
      </c>
      <c r="I35" s="19">
        <v>0.96</v>
      </c>
      <c r="J35" s="20">
        <v>7.7972709551656916E-3</v>
      </c>
      <c r="K35" s="20">
        <v>1.2320328542094456E-2</v>
      </c>
    </row>
    <row r="36" spans="1:11" x14ac:dyDescent="0.2">
      <c r="A36" s="5">
        <v>34</v>
      </c>
      <c r="B36" s="5">
        <f t="shared" ca="1" si="0"/>
        <v>0.48262042123825388</v>
      </c>
      <c r="C36" s="5" t="s">
        <v>25</v>
      </c>
      <c r="I36" s="19">
        <v>0.99</v>
      </c>
      <c r="J36" s="20">
        <v>3.8910505836575737E-3</v>
      </c>
      <c r="K36" s="20">
        <v>2.05761316872428E-3</v>
      </c>
    </row>
    <row r="37" spans="1:11" x14ac:dyDescent="0.2">
      <c r="A37" s="5">
        <v>35</v>
      </c>
      <c r="B37" s="5">
        <f t="shared" ca="1" si="0"/>
        <v>0.80000201780321822</v>
      </c>
      <c r="C37" s="5" t="s">
        <v>24</v>
      </c>
      <c r="I37" s="7"/>
    </row>
    <row r="38" spans="1:11" x14ac:dyDescent="0.2">
      <c r="A38" s="5">
        <v>36</v>
      </c>
      <c r="B38" s="5">
        <f t="shared" ca="1" si="0"/>
        <v>0.52333219154431865</v>
      </c>
      <c r="C38" s="5" t="s">
        <v>25</v>
      </c>
    </row>
    <row r="39" spans="1:11" x14ac:dyDescent="0.2">
      <c r="A39" s="5">
        <v>37</v>
      </c>
      <c r="B39" s="5">
        <f t="shared" ca="1" si="0"/>
        <v>0.62480144458560027</v>
      </c>
      <c r="C39" s="5" t="s">
        <v>25</v>
      </c>
    </row>
    <row r="40" spans="1:11" x14ac:dyDescent="0.2">
      <c r="A40" s="5">
        <v>38</v>
      </c>
      <c r="B40" s="5">
        <f t="shared" ca="1" si="0"/>
        <v>0.92353153548281885</v>
      </c>
      <c r="C40" s="5" t="s">
        <v>24</v>
      </c>
    </row>
    <row r="41" spans="1:11" x14ac:dyDescent="0.2">
      <c r="A41" s="5">
        <v>39</v>
      </c>
      <c r="B41" s="5">
        <f t="shared" ca="1" si="0"/>
        <v>0.45085040523100817</v>
      </c>
      <c r="C41" s="5" t="s">
        <v>25</v>
      </c>
    </row>
    <row r="42" spans="1:11" x14ac:dyDescent="0.2">
      <c r="A42" s="5">
        <v>40</v>
      </c>
      <c r="B42" s="5">
        <f t="shared" ca="1" si="0"/>
        <v>0.82599795938832687</v>
      </c>
      <c r="C42" s="5" t="s">
        <v>24</v>
      </c>
    </row>
    <row r="43" spans="1:11" x14ac:dyDescent="0.2">
      <c r="A43" s="5">
        <v>41</v>
      </c>
      <c r="B43" s="5">
        <f t="shared" ca="1" si="0"/>
        <v>0.83791875240043812</v>
      </c>
      <c r="C43" s="5" t="s">
        <v>25</v>
      </c>
    </row>
    <row r="44" spans="1:11" x14ac:dyDescent="0.2">
      <c r="A44" s="5">
        <v>42</v>
      </c>
      <c r="B44" s="5">
        <f t="shared" ca="1" si="0"/>
        <v>0.48689404653963331</v>
      </c>
      <c r="C44" s="5" t="s">
        <v>25</v>
      </c>
    </row>
    <row r="45" spans="1:11" x14ac:dyDescent="0.2">
      <c r="A45" s="5">
        <v>43</v>
      </c>
      <c r="B45" s="5">
        <f t="shared" ca="1" si="0"/>
        <v>0.38905735820017073</v>
      </c>
      <c r="C45" s="5" t="s">
        <v>25</v>
      </c>
    </row>
    <row r="46" spans="1:11" x14ac:dyDescent="0.2">
      <c r="A46" s="5">
        <v>44</v>
      </c>
      <c r="B46" s="5">
        <f t="shared" ca="1" si="0"/>
        <v>0.18887101943963863</v>
      </c>
      <c r="C46" s="5" t="s">
        <v>25</v>
      </c>
    </row>
    <row r="47" spans="1:11" x14ac:dyDescent="0.2">
      <c r="A47" s="5">
        <v>45</v>
      </c>
      <c r="B47" s="5">
        <f t="shared" ca="1" si="0"/>
        <v>0.53766827357843627</v>
      </c>
      <c r="C47" s="5" t="s">
        <v>25</v>
      </c>
    </row>
    <row r="48" spans="1:11" x14ac:dyDescent="0.2">
      <c r="A48" s="5">
        <v>46</v>
      </c>
      <c r="B48" s="5">
        <f t="shared" ca="1" si="0"/>
        <v>0.75437627289560705</v>
      </c>
      <c r="C48" s="5" t="s">
        <v>24</v>
      </c>
    </row>
    <row r="49" spans="1:3" x14ac:dyDescent="0.2">
      <c r="A49" s="5">
        <v>47</v>
      </c>
      <c r="B49" s="5">
        <f t="shared" ca="1" si="0"/>
        <v>0.84619671572230737</v>
      </c>
      <c r="C49" s="5" t="s">
        <v>24</v>
      </c>
    </row>
    <row r="50" spans="1:3" x14ac:dyDescent="0.2">
      <c r="A50" s="5">
        <v>48</v>
      </c>
      <c r="B50" s="5">
        <f t="shared" ca="1" si="0"/>
        <v>0.65507202921817231</v>
      </c>
      <c r="C50" s="5" t="s">
        <v>25</v>
      </c>
    </row>
    <row r="51" spans="1:3" x14ac:dyDescent="0.2">
      <c r="A51" s="5">
        <v>49</v>
      </c>
      <c r="B51" s="5">
        <f t="shared" ca="1" si="0"/>
        <v>0.54037712595968124</v>
      </c>
      <c r="C51" s="5" t="s">
        <v>24</v>
      </c>
    </row>
    <row r="52" spans="1:3" x14ac:dyDescent="0.2">
      <c r="A52" s="5">
        <v>50</v>
      </c>
      <c r="B52" s="5">
        <f t="shared" ca="1" si="0"/>
        <v>0.67140431590597194</v>
      </c>
      <c r="C52" s="5" t="s">
        <v>24</v>
      </c>
    </row>
    <row r="53" spans="1:3" x14ac:dyDescent="0.2">
      <c r="A53" s="5">
        <v>51</v>
      </c>
      <c r="B53" s="5">
        <f t="shared" ca="1" si="0"/>
        <v>0.60467313706658321</v>
      </c>
      <c r="C53" s="5" t="s">
        <v>24</v>
      </c>
    </row>
    <row r="54" spans="1:3" x14ac:dyDescent="0.2">
      <c r="A54" s="5">
        <v>52</v>
      </c>
      <c r="B54" s="5">
        <f t="shared" ca="1" si="0"/>
        <v>0.68909639350949115</v>
      </c>
      <c r="C54" s="5" t="s">
        <v>25</v>
      </c>
    </row>
    <row r="55" spans="1:3" x14ac:dyDescent="0.2">
      <c r="A55" s="5">
        <v>53</v>
      </c>
      <c r="B55" s="5">
        <f t="shared" ca="1" si="0"/>
        <v>0.65830723865085849</v>
      </c>
      <c r="C55" s="5" t="s">
        <v>25</v>
      </c>
    </row>
    <row r="56" spans="1:3" x14ac:dyDescent="0.2">
      <c r="A56" s="5">
        <v>54</v>
      </c>
      <c r="B56" s="5">
        <f t="shared" ca="1" si="0"/>
        <v>0.84062403617550374</v>
      </c>
      <c r="C56" s="5" t="s">
        <v>24</v>
      </c>
    </row>
    <row r="57" spans="1:3" x14ac:dyDescent="0.2">
      <c r="A57" s="5">
        <v>55</v>
      </c>
      <c r="B57" s="5">
        <f t="shared" ca="1" si="0"/>
        <v>0.70899616438854451</v>
      </c>
      <c r="C57" s="5" t="s">
        <v>24</v>
      </c>
    </row>
    <row r="58" spans="1:3" x14ac:dyDescent="0.2">
      <c r="A58" s="5">
        <v>56</v>
      </c>
      <c r="B58" s="5">
        <f t="shared" ca="1" si="0"/>
        <v>0.68055386193955347</v>
      </c>
      <c r="C58" s="5" t="s">
        <v>24</v>
      </c>
    </row>
    <row r="59" spans="1:3" x14ac:dyDescent="0.2">
      <c r="A59" s="5">
        <v>57</v>
      </c>
      <c r="B59" s="5">
        <f t="shared" ca="1" si="0"/>
        <v>0.63160484580663834</v>
      </c>
      <c r="C59" s="5" t="s">
        <v>25</v>
      </c>
    </row>
    <row r="60" spans="1:3" x14ac:dyDescent="0.2">
      <c r="A60" s="5">
        <v>58</v>
      </c>
      <c r="B60" s="5">
        <f t="shared" ca="1" si="0"/>
        <v>0.55886946896691658</v>
      </c>
      <c r="C60" s="5" t="s">
        <v>24</v>
      </c>
    </row>
    <row r="61" spans="1:3" x14ac:dyDescent="0.2">
      <c r="A61" s="5">
        <v>59</v>
      </c>
      <c r="B61" s="5">
        <f t="shared" ca="1" si="0"/>
        <v>0.61380925295128785</v>
      </c>
      <c r="C61" s="5" t="s">
        <v>24</v>
      </c>
    </row>
    <row r="62" spans="1:3" x14ac:dyDescent="0.2">
      <c r="A62" s="5">
        <v>60</v>
      </c>
      <c r="B62" s="5">
        <f t="shared" ca="1" si="0"/>
        <v>0.28985317035886454</v>
      </c>
      <c r="C62" s="5" t="s">
        <v>25</v>
      </c>
    </row>
    <row r="63" spans="1:3" x14ac:dyDescent="0.2">
      <c r="A63" s="5">
        <v>61</v>
      </c>
      <c r="B63" s="5">
        <f t="shared" ca="1" si="0"/>
        <v>0.5018222076241543</v>
      </c>
      <c r="C63" s="5" t="s">
        <v>25</v>
      </c>
    </row>
    <row r="64" spans="1:3" x14ac:dyDescent="0.2">
      <c r="A64" s="5">
        <v>62</v>
      </c>
      <c r="B64" s="5">
        <f t="shared" ca="1" si="0"/>
        <v>0.62728989553226799</v>
      </c>
      <c r="C64" s="5" t="s">
        <v>25</v>
      </c>
    </row>
    <row r="65" spans="1:3" x14ac:dyDescent="0.2">
      <c r="A65" s="5">
        <v>63</v>
      </c>
      <c r="B65" s="5">
        <f t="shared" ca="1" si="0"/>
        <v>0.64068820821485972</v>
      </c>
      <c r="C65" s="5" t="s">
        <v>24</v>
      </c>
    </row>
    <row r="66" spans="1:3" x14ac:dyDescent="0.2">
      <c r="A66" s="5">
        <v>64</v>
      </c>
      <c r="B66" s="5">
        <f t="shared" ca="1" si="0"/>
        <v>0.55325044890988628</v>
      </c>
      <c r="C66" s="5" t="s">
        <v>24</v>
      </c>
    </row>
    <row r="67" spans="1:3" x14ac:dyDescent="0.2">
      <c r="A67" s="5">
        <v>65</v>
      </c>
      <c r="B67" s="5">
        <f t="shared" ca="1" si="0"/>
        <v>0.71069813623877542</v>
      </c>
      <c r="C67" s="5" t="s">
        <v>24</v>
      </c>
    </row>
    <row r="68" spans="1:3" x14ac:dyDescent="0.2">
      <c r="A68" s="5">
        <v>66</v>
      </c>
      <c r="B68" s="5">
        <f t="shared" ref="B68:B131" ca="1" si="1">IF(C68="Bomb",_xlfn.NORM.INV(RAND(),0.7,0.1),_xlfn.NORM.INV(RAND(),0.6,0.15))</f>
        <v>0.91237200401129515</v>
      </c>
      <c r="C68" s="5" t="s">
        <v>24</v>
      </c>
    </row>
    <row r="69" spans="1:3" x14ac:dyDescent="0.2">
      <c r="A69" s="5">
        <v>67</v>
      </c>
      <c r="B69" s="5">
        <f t="shared" ca="1" si="1"/>
        <v>0.61135864806552709</v>
      </c>
      <c r="C69" s="5" t="s">
        <v>24</v>
      </c>
    </row>
    <row r="70" spans="1:3" x14ac:dyDescent="0.2">
      <c r="A70" s="5">
        <v>68</v>
      </c>
      <c r="B70" s="5">
        <f t="shared" ca="1" si="1"/>
        <v>0.46862556813035494</v>
      </c>
      <c r="C70" s="5" t="s">
        <v>25</v>
      </c>
    </row>
    <row r="71" spans="1:3" x14ac:dyDescent="0.2">
      <c r="A71" s="5">
        <v>69</v>
      </c>
      <c r="B71" s="5">
        <f t="shared" ca="1" si="1"/>
        <v>0.56148547632749901</v>
      </c>
      <c r="C71" s="5" t="s">
        <v>25</v>
      </c>
    </row>
    <row r="72" spans="1:3" x14ac:dyDescent="0.2">
      <c r="A72" s="5">
        <v>70</v>
      </c>
      <c r="B72" s="5">
        <f t="shared" ca="1" si="1"/>
        <v>0.96068247392208495</v>
      </c>
      <c r="C72" s="5" t="s">
        <v>25</v>
      </c>
    </row>
    <row r="73" spans="1:3" x14ac:dyDescent="0.2">
      <c r="A73" s="5">
        <v>71</v>
      </c>
      <c r="B73" s="5">
        <f t="shared" ca="1" si="1"/>
        <v>0.46910752654115906</v>
      </c>
      <c r="C73" s="5" t="s">
        <v>25</v>
      </c>
    </row>
    <row r="74" spans="1:3" x14ac:dyDescent="0.2">
      <c r="A74" s="5">
        <v>72</v>
      </c>
      <c r="B74" s="5">
        <f t="shared" ca="1" si="1"/>
        <v>0.5414983390392073</v>
      </c>
      <c r="C74" s="5" t="s">
        <v>25</v>
      </c>
    </row>
    <row r="75" spans="1:3" x14ac:dyDescent="0.2">
      <c r="A75" s="5">
        <v>73</v>
      </c>
      <c r="B75" s="5">
        <f t="shared" ca="1" si="1"/>
        <v>0.80560417173283339</v>
      </c>
      <c r="C75" s="5" t="s">
        <v>24</v>
      </c>
    </row>
    <row r="76" spans="1:3" x14ac:dyDescent="0.2">
      <c r="A76" s="5">
        <v>74</v>
      </c>
      <c r="B76" s="5">
        <f t="shared" ca="1" si="1"/>
        <v>0.74586526446062618</v>
      </c>
      <c r="C76" s="5" t="s">
        <v>24</v>
      </c>
    </row>
    <row r="77" spans="1:3" x14ac:dyDescent="0.2">
      <c r="A77" s="5">
        <v>75</v>
      </c>
      <c r="B77" s="5">
        <f t="shared" ca="1" si="1"/>
        <v>0.77107388510181241</v>
      </c>
      <c r="C77" s="5" t="s">
        <v>24</v>
      </c>
    </row>
    <row r="78" spans="1:3" x14ac:dyDescent="0.2">
      <c r="A78" s="5">
        <v>76</v>
      </c>
      <c r="B78" s="5">
        <f t="shared" ca="1" si="1"/>
        <v>0.70074253920301566</v>
      </c>
      <c r="C78" s="5" t="s">
        <v>24</v>
      </c>
    </row>
    <row r="79" spans="1:3" x14ac:dyDescent="0.2">
      <c r="A79" s="5">
        <v>77</v>
      </c>
      <c r="B79" s="5">
        <f t="shared" ca="1" si="1"/>
        <v>0.20745874258787439</v>
      </c>
      <c r="C79" s="5" t="s">
        <v>25</v>
      </c>
    </row>
    <row r="80" spans="1:3" x14ac:dyDescent="0.2">
      <c r="A80" s="5">
        <v>78</v>
      </c>
      <c r="B80" s="5">
        <f t="shared" ca="1" si="1"/>
        <v>0.77524443804599763</v>
      </c>
      <c r="C80" s="5" t="s">
        <v>24</v>
      </c>
    </row>
    <row r="81" spans="1:3" x14ac:dyDescent="0.2">
      <c r="A81" s="5">
        <v>79</v>
      </c>
      <c r="B81" s="5">
        <f t="shared" ca="1" si="1"/>
        <v>0.42468450997476759</v>
      </c>
      <c r="C81" s="5" t="s">
        <v>25</v>
      </c>
    </row>
    <row r="82" spans="1:3" x14ac:dyDescent="0.2">
      <c r="A82" s="5">
        <v>80</v>
      </c>
      <c r="B82" s="5">
        <f t="shared" ca="1" si="1"/>
        <v>0.814835032700436</v>
      </c>
      <c r="C82" s="5" t="s">
        <v>24</v>
      </c>
    </row>
    <row r="83" spans="1:3" x14ac:dyDescent="0.2">
      <c r="A83" s="5">
        <v>81</v>
      </c>
      <c r="B83" s="5">
        <f t="shared" ca="1" si="1"/>
        <v>0.77651033639282296</v>
      </c>
      <c r="C83" s="5" t="s">
        <v>24</v>
      </c>
    </row>
    <row r="84" spans="1:3" x14ac:dyDescent="0.2">
      <c r="A84" s="5">
        <v>82</v>
      </c>
      <c r="B84" s="5">
        <f t="shared" ca="1" si="1"/>
        <v>0.49850626980496293</v>
      </c>
      <c r="C84" s="5" t="s">
        <v>25</v>
      </c>
    </row>
    <row r="85" spans="1:3" x14ac:dyDescent="0.2">
      <c r="A85" s="5">
        <v>83</v>
      </c>
      <c r="B85" s="5">
        <f t="shared" ca="1" si="1"/>
        <v>0.71804242613439584</v>
      </c>
      <c r="C85" s="5" t="s">
        <v>24</v>
      </c>
    </row>
    <row r="86" spans="1:3" x14ac:dyDescent="0.2">
      <c r="A86" s="5">
        <v>84</v>
      </c>
      <c r="B86" s="5">
        <f t="shared" ca="1" si="1"/>
        <v>0.83939848886047042</v>
      </c>
      <c r="C86" s="5" t="s">
        <v>24</v>
      </c>
    </row>
    <row r="87" spans="1:3" x14ac:dyDescent="0.2">
      <c r="A87" s="5">
        <v>85</v>
      </c>
      <c r="B87" s="5">
        <f t="shared" ca="1" si="1"/>
        <v>0.5205348481882679</v>
      </c>
      <c r="C87" s="5" t="s">
        <v>25</v>
      </c>
    </row>
    <row r="88" spans="1:3" x14ac:dyDescent="0.2">
      <c r="A88" s="5">
        <v>86</v>
      </c>
      <c r="B88" s="5">
        <f t="shared" ca="1" si="1"/>
        <v>0.82268708435991322</v>
      </c>
      <c r="C88" s="5" t="s">
        <v>25</v>
      </c>
    </row>
    <row r="89" spans="1:3" x14ac:dyDescent="0.2">
      <c r="A89" s="5">
        <v>87</v>
      </c>
      <c r="B89" s="5">
        <f t="shared" ca="1" si="1"/>
        <v>0.86555039835211323</v>
      </c>
      <c r="C89" s="5" t="s">
        <v>25</v>
      </c>
    </row>
    <row r="90" spans="1:3" x14ac:dyDescent="0.2">
      <c r="A90" s="5">
        <v>88</v>
      </c>
      <c r="B90" s="5">
        <f t="shared" ca="1" si="1"/>
        <v>0.60162500857508638</v>
      </c>
      <c r="C90" s="5" t="s">
        <v>25</v>
      </c>
    </row>
    <row r="91" spans="1:3" x14ac:dyDescent="0.2">
      <c r="A91" s="5">
        <v>89</v>
      </c>
      <c r="B91" s="5">
        <f t="shared" ca="1" si="1"/>
        <v>0.64076498192848419</v>
      </c>
      <c r="C91" s="5" t="s">
        <v>25</v>
      </c>
    </row>
    <row r="92" spans="1:3" x14ac:dyDescent="0.2">
      <c r="A92" s="5">
        <v>90</v>
      </c>
      <c r="B92" s="5">
        <f t="shared" ca="1" si="1"/>
        <v>0.7335307406619489</v>
      </c>
      <c r="C92" s="5" t="s">
        <v>24</v>
      </c>
    </row>
    <row r="93" spans="1:3" x14ac:dyDescent="0.2">
      <c r="A93" s="5">
        <v>91</v>
      </c>
      <c r="B93" s="5">
        <f t="shared" ca="1" si="1"/>
        <v>0.72715201300386123</v>
      </c>
      <c r="C93" s="5" t="s">
        <v>24</v>
      </c>
    </row>
    <row r="94" spans="1:3" x14ac:dyDescent="0.2">
      <c r="A94" s="5">
        <v>92</v>
      </c>
      <c r="B94" s="5">
        <f t="shared" ca="1" si="1"/>
        <v>0.57931528808639143</v>
      </c>
      <c r="C94" s="5" t="s">
        <v>25</v>
      </c>
    </row>
    <row r="95" spans="1:3" x14ac:dyDescent="0.2">
      <c r="A95" s="5">
        <v>93</v>
      </c>
      <c r="B95" s="5">
        <f t="shared" ca="1" si="1"/>
        <v>0.65125431111978882</v>
      </c>
      <c r="C95" s="5" t="s">
        <v>24</v>
      </c>
    </row>
    <row r="96" spans="1:3" x14ac:dyDescent="0.2">
      <c r="A96" s="5">
        <v>94</v>
      </c>
      <c r="B96" s="5">
        <f t="shared" ca="1" si="1"/>
        <v>0.5620093005402429</v>
      </c>
      <c r="C96" s="5" t="s">
        <v>24</v>
      </c>
    </row>
    <row r="97" spans="1:3" x14ac:dyDescent="0.2">
      <c r="A97" s="5">
        <v>95</v>
      </c>
      <c r="B97" s="5">
        <f t="shared" ca="1" si="1"/>
        <v>0.61602309051178683</v>
      </c>
      <c r="C97" s="5" t="s">
        <v>25</v>
      </c>
    </row>
    <row r="98" spans="1:3" x14ac:dyDescent="0.2">
      <c r="A98" s="5">
        <v>96</v>
      </c>
      <c r="B98" s="5">
        <f t="shared" ca="1" si="1"/>
        <v>0.69901307321599149</v>
      </c>
      <c r="C98" s="5" t="s">
        <v>25</v>
      </c>
    </row>
    <row r="99" spans="1:3" x14ac:dyDescent="0.2">
      <c r="A99" s="5">
        <v>97</v>
      </c>
      <c r="B99" s="5">
        <f t="shared" ca="1" si="1"/>
        <v>0.72337976426030104</v>
      </c>
      <c r="C99" s="5" t="s">
        <v>24</v>
      </c>
    </row>
    <row r="100" spans="1:3" x14ac:dyDescent="0.2">
      <c r="A100" s="5">
        <v>98</v>
      </c>
      <c r="B100" s="5">
        <f t="shared" ca="1" si="1"/>
        <v>0.55916409269652312</v>
      </c>
      <c r="C100" s="5" t="s">
        <v>24</v>
      </c>
    </row>
    <row r="101" spans="1:3" x14ac:dyDescent="0.2">
      <c r="A101" s="5">
        <v>99</v>
      </c>
      <c r="B101" s="5">
        <f t="shared" ca="1" si="1"/>
        <v>0.51477719578373904</v>
      </c>
      <c r="C101" s="5" t="s">
        <v>24</v>
      </c>
    </row>
    <row r="102" spans="1:3" x14ac:dyDescent="0.2">
      <c r="A102" s="5">
        <v>100</v>
      </c>
      <c r="B102" s="5">
        <f t="shared" ca="1" si="1"/>
        <v>0.74501190859409827</v>
      </c>
      <c r="C102" s="5" t="s">
        <v>25</v>
      </c>
    </row>
    <row r="103" spans="1:3" x14ac:dyDescent="0.2">
      <c r="A103" s="5">
        <v>101</v>
      </c>
      <c r="B103" s="5">
        <f t="shared" ca="1" si="1"/>
        <v>0.5642346560601027</v>
      </c>
      <c r="C103" s="5" t="s">
        <v>24</v>
      </c>
    </row>
    <row r="104" spans="1:3" x14ac:dyDescent="0.2">
      <c r="A104" s="5">
        <v>102</v>
      </c>
      <c r="B104" s="5">
        <f t="shared" ca="1" si="1"/>
        <v>0.58525173373992634</v>
      </c>
      <c r="C104" s="5" t="s">
        <v>25</v>
      </c>
    </row>
    <row r="105" spans="1:3" x14ac:dyDescent="0.2">
      <c r="A105" s="5">
        <v>103</v>
      </c>
      <c r="B105" s="5">
        <f t="shared" ca="1" si="1"/>
        <v>0.63070560888665306</v>
      </c>
      <c r="C105" s="5" t="s">
        <v>25</v>
      </c>
    </row>
    <row r="106" spans="1:3" x14ac:dyDescent="0.2">
      <c r="A106" s="5">
        <v>104</v>
      </c>
      <c r="B106" s="5">
        <f t="shared" ca="1" si="1"/>
        <v>0.74566880536964841</v>
      </c>
      <c r="C106" s="5" t="s">
        <v>25</v>
      </c>
    </row>
    <row r="107" spans="1:3" x14ac:dyDescent="0.2">
      <c r="A107" s="5">
        <v>105</v>
      </c>
      <c r="B107" s="5">
        <f t="shared" ca="1" si="1"/>
        <v>0.51252042233774531</v>
      </c>
      <c r="C107" s="5" t="s">
        <v>24</v>
      </c>
    </row>
    <row r="108" spans="1:3" x14ac:dyDescent="0.2">
      <c r="A108" s="5">
        <v>106</v>
      </c>
      <c r="B108" s="5">
        <f t="shared" ca="1" si="1"/>
        <v>0.62587438010703578</v>
      </c>
      <c r="C108" s="5" t="s">
        <v>25</v>
      </c>
    </row>
    <row r="109" spans="1:3" x14ac:dyDescent="0.2">
      <c r="A109" s="5">
        <v>107</v>
      </c>
      <c r="B109" s="5">
        <f t="shared" ca="1" si="1"/>
        <v>0.46731071076051767</v>
      </c>
      <c r="C109" s="5" t="s">
        <v>25</v>
      </c>
    </row>
    <row r="110" spans="1:3" x14ac:dyDescent="0.2">
      <c r="A110" s="5">
        <v>108</v>
      </c>
      <c r="B110" s="5">
        <f t="shared" ca="1" si="1"/>
        <v>0.54730545169970524</v>
      </c>
      <c r="C110" s="5" t="s">
        <v>25</v>
      </c>
    </row>
    <row r="111" spans="1:3" x14ac:dyDescent="0.2">
      <c r="A111" s="5">
        <v>109</v>
      </c>
      <c r="B111" s="5">
        <f t="shared" ca="1" si="1"/>
        <v>0.66582416399055566</v>
      </c>
      <c r="C111" s="5" t="s">
        <v>25</v>
      </c>
    </row>
    <row r="112" spans="1:3" x14ac:dyDescent="0.2">
      <c r="A112" s="5">
        <v>110</v>
      </c>
      <c r="B112" s="5">
        <f t="shared" ca="1" si="1"/>
        <v>0.51654930643020436</v>
      </c>
      <c r="C112" s="5" t="s">
        <v>25</v>
      </c>
    </row>
    <row r="113" spans="1:3" x14ac:dyDescent="0.2">
      <c r="A113" s="5">
        <v>111</v>
      </c>
      <c r="B113" s="5">
        <f t="shared" ca="1" si="1"/>
        <v>0.88187189244853725</v>
      </c>
      <c r="C113" s="5" t="s">
        <v>24</v>
      </c>
    </row>
    <row r="114" spans="1:3" x14ac:dyDescent="0.2">
      <c r="A114" s="5">
        <v>112</v>
      </c>
      <c r="B114" s="5">
        <f t="shared" ca="1" si="1"/>
        <v>0.52180392315278656</v>
      </c>
      <c r="C114" s="5" t="s">
        <v>25</v>
      </c>
    </row>
    <row r="115" spans="1:3" x14ac:dyDescent="0.2">
      <c r="A115" s="5">
        <v>113</v>
      </c>
      <c r="B115" s="5">
        <f t="shared" ca="1" si="1"/>
        <v>0.47698658544941475</v>
      </c>
      <c r="C115" s="5" t="s">
        <v>25</v>
      </c>
    </row>
    <row r="116" spans="1:3" x14ac:dyDescent="0.2">
      <c r="A116" s="5">
        <v>114</v>
      </c>
      <c r="B116" s="5">
        <f t="shared" ca="1" si="1"/>
        <v>0.62311127701832325</v>
      </c>
      <c r="C116" s="5" t="s">
        <v>25</v>
      </c>
    </row>
    <row r="117" spans="1:3" x14ac:dyDescent="0.2">
      <c r="A117" s="5">
        <v>115</v>
      </c>
      <c r="B117" s="5">
        <f t="shared" ca="1" si="1"/>
        <v>0.81259088567611371</v>
      </c>
      <c r="C117" s="5" t="s">
        <v>25</v>
      </c>
    </row>
    <row r="118" spans="1:3" x14ac:dyDescent="0.2">
      <c r="A118" s="5">
        <v>116</v>
      </c>
      <c r="B118" s="5">
        <f t="shared" ca="1" si="1"/>
        <v>0.54312621733400379</v>
      </c>
      <c r="C118" s="5" t="s">
        <v>25</v>
      </c>
    </row>
    <row r="119" spans="1:3" x14ac:dyDescent="0.2">
      <c r="A119" s="5">
        <v>117</v>
      </c>
      <c r="B119" s="5">
        <f t="shared" ca="1" si="1"/>
        <v>0.68931392504860578</v>
      </c>
      <c r="C119" s="5" t="s">
        <v>25</v>
      </c>
    </row>
    <row r="120" spans="1:3" x14ac:dyDescent="0.2">
      <c r="A120" s="5">
        <v>118</v>
      </c>
      <c r="B120" s="5">
        <f t="shared" ca="1" si="1"/>
        <v>0.38494946535845909</v>
      </c>
      <c r="C120" s="5" t="s">
        <v>25</v>
      </c>
    </row>
    <row r="121" spans="1:3" x14ac:dyDescent="0.2">
      <c r="A121" s="5">
        <v>119</v>
      </c>
      <c r="B121" s="5">
        <f t="shared" ca="1" si="1"/>
        <v>0.70653609979247955</v>
      </c>
      <c r="C121" s="5" t="s">
        <v>25</v>
      </c>
    </row>
    <row r="122" spans="1:3" x14ac:dyDescent="0.2">
      <c r="A122" s="5">
        <v>120</v>
      </c>
      <c r="B122" s="5">
        <f t="shared" ca="1" si="1"/>
        <v>0.68724573658131904</v>
      </c>
      <c r="C122" s="5" t="s">
        <v>24</v>
      </c>
    </row>
    <row r="123" spans="1:3" x14ac:dyDescent="0.2">
      <c r="A123" s="5">
        <v>121</v>
      </c>
      <c r="B123" s="5">
        <f t="shared" ca="1" si="1"/>
        <v>0.56141003449285998</v>
      </c>
      <c r="C123" s="5" t="s">
        <v>24</v>
      </c>
    </row>
    <row r="124" spans="1:3" x14ac:dyDescent="0.2">
      <c r="A124" s="5">
        <v>122</v>
      </c>
      <c r="B124" s="5">
        <f t="shared" ca="1" si="1"/>
        <v>0.77336974605219011</v>
      </c>
      <c r="C124" s="5" t="s">
        <v>25</v>
      </c>
    </row>
    <row r="125" spans="1:3" x14ac:dyDescent="0.2">
      <c r="A125" s="5">
        <v>123</v>
      </c>
      <c r="B125" s="5">
        <f t="shared" ca="1" si="1"/>
        <v>0.4841679334380577</v>
      </c>
      <c r="C125" s="5" t="s">
        <v>24</v>
      </c>
    </row>
    <row r="126" spans="1:3" x14ac:dyDescent="0.2">
      <c r="A126" s="5">
        <v>124</v>
      </c>
      <c r="B126" s="5">
        <f t="shared" ca="1" si="1"/>
        <v>0.88522767759960885</v>
      </c>
      <c r="C126" s="5" t="s">
        <v>24</v>
      </c>
    </row>
    <row r="127" spans="1:3" x14ac:dyDescent="0.2">
      <c r="A127" s="5">
        <v>125</v>
      </c>
      <c r="B127" s="5">
        <f t="shared" ca="1" si="1"/>
        <v>0.22836802969680653</v>
      </c>
      <c r="C127" s="5" t="s">
        <v>25</v>
      </c>
    </row>
    <row r="128" spans="1:3" x14ac:dyDescent="0.2">
      <c r="A128" s="5">
        <v>126</v>
      </c>
      <c r="B128" s="5">
        <f t="shared" ca="1" si="1"/>
        <v>0.65822996923993493</v>
      </c>
      <c r="C128" s="5" t="s">
        <v>25</v>
      </c>
    </row>
    <row r="129" spans="1:3" x14ac:dyDescent="0.2">
      <c r="A129" s="5">
        <v>127</v>
      </c>
      <c r="B129" s="5">
        <f t="shared" ca="1" si="1"/>
        <v>0.6656566061778213</v>
      </c>
      <c r="C129" s="5" t="s">
        <v>25</v>
      </c>
    </row>
    <row r="130" spans="1:3" x14ac:dyDescent="0.2">
      <c r="A130" s="5">
        <v>128</v>
      </c>
      <c r="B130" s="5">
        <f t="shared" ca="1" si="1"/>
        <v>0.59595297029762806</v>
      </c>
      <c r="C130" s="5" t="s">
        <v>25</v>
      </c>
    </row>
    <row r="131" spans="1:3" x14ac:dyDescent="0.2">
      <c r="A131" s="5">
        <v>129</v>
      </c>
      <c r="B131" s="5">
        <f t="shared" ca="1" si="1"/>
        <v>0.40532294134871966</v>
      </c>
      <c r="C131" s="5" t="s">
        <v>25</v>
      </c>
    </row>
    <row r="132" spans="1:3" x14ac:dyDescent="0.2">
      <c r="A132" s="5">
        <v>130</v>
      </c>
      <c r="B132" s="5">
        <f t="shared" ref="B132:B195" ca="1" si="2">IF(C132="Bomb",_xlfn.NORM.INV(RAND(),0.7,0.1),_xlfn.NORM.INV(RAND(),0.6,0.15))</f>
        <v>0.73188493478359196</v>
      </c>
      <c r="C132" s="5" t="s">
        <v>24</v>
      </c>
    </row>
    <row r="133" spans="1:3" x14ac:dyDescent="0.2">
      <c r="A133" s="5">
        <v>131</v>
      </c>
      <c r="B133" s="5">
        <f t="shared" ca="1" si="2"/>
        <v>0.76458924852252075</v>
      </c>
      <c r="C133" s="5" t="s">
        <v>24</v>
      </c>
    </row>
    <row r="134" spans="1:3" x14ac:dyDescent="0.2">
      <c r="A134" s="5">
        <v>132</v>
      </c>
      <c r="B134" s="5">
        <f t="shared" ca="1" si="2"/>
        <v>0.83912791545218546</v>
      </c>
      <c r="C134" s="5" t="s">
        <v>24</v>
      </c>
    </row>
    <row r="135" spans="1:3" x14ac:dyDescent="0.2">
      <c r="A135" s="5">
        <v>133</v>
      </c>
      <c r="B135" s="5">
        <f t="shared" ca="1" si="2"/>
        <v>0.61600269816043718</v>
      </c>
      <c r="C135" s="5" t="s">
        <v>24</v>
      </c>
    </row>
    <row r="136" spans="1:3" x14ac:dyDescent="0.2">
      <c r="A136" s="5">
        <v>134</v>
      </c>
      <c r="B136" s="5">
        <f t="shared" ca="1" si="2"/>
        <v>0.6100426719934986</v>
      </c>
      <c r="C136" s="5" t="s">
        <v>25</v>
      </c>
    </row>
    <row r="137" spans="1:3" x14ac:dyDescent="0.2">
      <c r="A137" s="5">
        <v>135</v>
      </c>
      <c r="B137" s="5">
        <f t="shared" ca="1" si="2"/>
        <v>0.76834120711345943</v>
      </c>
      <c r="C137" s="5" t="s">
        <v>24</v>
      </c>
    </row>
    <row r="138" spans="1:3" x14ac:dyDescent="0.2">
      <c r="A138" s="5">
        <v>136</v>
      </c>
      <c r="B138" s="5">
        <f t="shared" ca="1" si="2"/>
        <v>0.76438212533006467</v>
      </c>
      <c r="C138" s="5" t="s">
        <v>24</v>
      </c>
    </row>
    <row r="139" spans="1:3" x14ac:dyDescent="0.2">
      <c r="A139" s="5">
        <v>137</v>
      </c>
      <c r="B139" s="5">
        <f t="shared" ca="1" si="2"/>
        <v>0.44946944028988056</v>
      </c>
      <c r="C139" s="5" t="s">
        <v>25</v>
      </c>
    </row>
    <row r="140" spans="1:3" x14ac:dyDescent="0.2">
      <c r="A140" s="5">
        <v>138</v>
      </c>
      <c r="B140" s="5">
        <f t="shared" ca="1" si="2"/>
        <v>0.91039726177181213</v>
      </c>
      <c r="C140" s="5" t="s">
        <v>24</v>
      </c>
    </row>
    <row r="141" spans="1:3" x14ac:dyDescent="0.2">
      <c r="A141" s="5">
        <v>139</v>
      </c>
      <c r="B141" s="5">
        <f t="shared" ca="1" si="2"/>
        <v>0.47524775585666501</v>
      </c>
      <c r="C141" s="5" t="s">
        <v>25</v>
      </c>
    </row>
    <row r="142" spans="1:3" x14ac:dyDescent="0.2">
      <c r="A142" s="5">
        <v>140</v>
      </c>
      <c r="B142" s="5">
        <f t="shared" ca="1" si="2"/>
        <v>0.62601116742230933</v>
      </c>
      <c r="C142" s="5" t="s">
        <v>25</v>
      </c>
    </row>
    <row r="143" spans="1:3" x14ac:dyDescent="0.2">
      <c r="A143" s="5">
        <v>141</v>
      </c>
      <c r="B143" s="5">
        <f t="shared" ca="1" si="2"/>
        <v>0.79863109345498062</v>
      </c>
      <c r="C143" s="5" t="s">
        <v>25</v>
      </c>
    </row>
    <row r="144" spans="1:3" x14ac:dyDescent="0.2">
      <c r="A144" s="5">
        <v>142</v>
      </c>
      <c r="B144" s="5">
        <f t="shared" ca="1" si="2"/>
        <v>0.57575161026937749</v>
      </c>
      <c r="C144" s="5" t="s">
        <v>24</v>
      </c>
    </row>
    <row r="145" spans="1:3" x14ac:dyDescent="0.2">
      <c r="A145" s="5">
        <v>143</v>
      </c>
      <c r="B145" s="5">
        <f t="shared" ca="1" si="2"/>
        <v>0.58349859326453357</v>
      </c>
      <c r="C145" s="5" t="s">
        <v>25</v>
      </c>
    </row>
    <row r="146" spans="1:3" x14ac:dyDescent="0.2">
      <c r="A146" s="5">
        <v>144</v>
      </c>
      <c r="B146" s="5">
        <f t="shared" ca="1" si="2"/>
        <v>0.69878504689968701</v>
      </c>
      <c r="C146" s="5" t="s">
        <v>24</v>
      </c>
    </row>
    <row r="147" spans="1:3" x14ac:dyDescent="0.2">
      <c r="A147" s="5">
        <v>145</v>
      </c>
      <c r="B147" s="5">
        <f t="shared" ca="1" si="2"/>
        <v>0.51854883557949849</v>
      </c>
      <c r="C147" s="5" t="s">
        <v>25</v>
      </c>
    </row>
    <row r="148" spans="1:3" x14ac:dyDescent="0.2">
      <c r="A148" s="5">
        <v>146</v>
      </c>
      <c r="B148" s="5">
        <f t="shared" ca="1" si="2"/>
        <v>0.53243319592863469</v>
      </c>
      <c r="C148" s="5" t="s">
        <v>25</v>
      </c>
    </row>
    <row r="149" spans="1:3" x14ac:dyDescent="0.2">
      <c r="A149" s="5">
        <v>147</v>
      </c>
      <c r="B149" s="5">
        <f t="shared" ca="1" si="2"/>
        <v>0.60514778736300734</v>
      </c>
      <c r="C149" s="5" t="s">
        <v>24</v>
      </c>
    </row>
    <row r="150" spans="1:3" x14ac:dyDescent="0.2">
      <c r="A150" s="5">
        <v>148</v>
      </c>
      <c r="B150" s="5">
        <f t="shared" ca="1" si="2"/>
        <v>0.63699641413013552</v>
      </c>
      <c r="C150" s="5" t="s">
        <v>25</v>
      </c>
    </row>
    <row r="151" spans="1:3" x14ac:dyDescent="0.2">
      <c r="A151" s="5">
        <v>149</v>
      </c>
      <c r="B151" s="5">
        <f t="shared" ca="1" si="2"/>
        <v>0.71310725533733843</v>
      </c>
      <c r="C151" s="5" t="s">
        <v>25</v>
      </c>
    </row>
    <row r="152" spans="1:3" x14ac:dyDescent="0.2">
      <c r="A152" s="5">
        <v>150</v>
      </c>
      <c r="B152" s="5">
        <f t="shared" ca="1" si="2"/>
        <v>0.70997558946530537</v>
      </c>
      <c r="C152" s="5" t="s">
        <v>25</v>
      </c>
    </row>
    <row r="153" spans="1:3" x14ac:dyDescent="0.2">
      <c r="A153" s="5">
        <v>151</v>
      </c>
      <c r="B153" s="5">
        <f t="shared" ca="1" si="2"/>
        <v>0.78328604184390338</v>
      </c>
      <c r="C153" s="5" t="s">
        <v>24</v>
      </c>
    </row>
    <row r="154" spans="1:3" x14ac:dyDescent="0.2">
      <c r="A154" s="5">
        <v>152</v>
      </c>
      <c r="B154" s="5">
        <f t="shared" ca="1" si="2"/>
        <v>0.80236112077730548</v>
      </c>
      <c r="C154" s="5" t="s">
        <v>24</v>
      </c>
    </row>
    <row r="155" spans="1:3" x14ac:dyDescent="0.2">
      <c r="A155" s="5">
        <v>153</v>
      </c>
      <c r="B155" s="5">
        <f t="shared" ca="1" si="2"/>
        <v>0.72315273061246255</v>
      </c>
      <c r="C155" s="5" t="s">
        <v>24</v>
      </c>
    </row>
    <row r="156" spans="1:3" x14ac:dyDescent="0.2">
      <c r="A156" s="5">
        <v>154</v>
      </c>
      <c r="B156" s="5">
        <f t="shared" ca="1" si="2"/>
        <v>0.92239813255844449</v>
      </c>
      <c r="C156" s="5" t="s">
        <v>25</v>
      </c>
    </row>
    <row r="157" spans="1:3" x14ac:dyDescent="0.2">
      <c r="A157" s="5">
        <v>155</v>
      </c>
      <c r="B157" s="5">
        <f t="shared" ca="1" si="2"/>
        <v>0.59683533821334145</v>
      </c>
      <c r="C157" s="5" t="s">
        <v>24</v>
      </c>
    </row>
    <row r="158" spans="1:3" x14ac:dyDescent="0.2">
      <c r="A158" s="5">
        <v>156</v>
      </c>
      <c r="B158" s="5">
        <f t="shared" ca="1" si="2"/>
        <v>0.70757320859104733</v>
      </c>
      <c r="C158" s="5" t="s">
        <v>24</v>
      </c>
    </row>
    <row r="159" spans="1:3" x14ac:dyDescent="0.2">
      <c r="A159" s="5">
        <v>157</v>
      </c>
      <c r="B159" s="5">
        <f t="shared" ca="1" si="2"/>
        <v>0.53572215312185045</v>
      </c>
      <c r="C159" s="5" t="s">
        <v>25</v>
      </c>
    </row>
    <row r="160" spans="1:3" x14ac:dyDescent="0.2">
      <c r="A160" s="5">
        <v>158</v>
      </c>
      <c r="B160" s="5">
        <f t="shared" ca="1" si="2"/>
        <v>0.67352153641179779</v>
      </c>
      <c r="C160" s="5" t="s">
        <v>25</v>
      </c>
    </row>
    <row r="161" spans="1:3" x14ac:dyDescent="0.2">
      <c r="A161" s="5">
        <v>159</v>
      </c>
      <c r="B161" s="5">
        <f t="shared" ca="1" si="2"/>
        <v>0.6556130204915942</v>
      </c>
      <c r="C161" s="5" t="s">
        <v>24</v>
      </c>
    </row>
    <row r="162" spans="1:3" x14ac:dyDescent="0.2">
      <c r="A162" s="5">
        <v>160</v>
      </c>
      <c r="B162" s="5">
        <f t="shared" ca="1" si="2"/>
        <v>0.71112488836314769</v>
      </c>
      <c r="C162" s="5" t="s">
        <v>24</v>
      </c>
    </row>
    <row r="163" spans="1:3" x14ac:dyDescent="0.2">
      <c r="A163" s="5">
        <v>161</v>
      </c>
      <c r="B163" s="5">
        <f t="shared" ca="1" si="2"/>
        <v>0.54536833938275286</v>
      </c>
      <c r="C163" s="5" t="s">
        <v>24</v>
      </c>
    </row>
    <row r="164" spans="1:3" x14ac:dyDescent="0.2">
      <c r="A164" s="5">
        <v>162</v>
      </c>
      <c r="B164" s="5">
        <f t="shared" ca="1" si="2"/>
        <v>0.5703680518521792</v>
      </c>
      <c r="C164" s="5" t="s">
        <v>25</v>
      </c>
    </row>
    <row r="165" spans="1:3" x14ac:dyDescent="0.2">
      <c r="A165" s="5">
        <v>163</v>
      </c>
      <c r="B165" s="5">
        <f t="shared" ca="1" si="2"/>
        <v>0.5529965665196237</v>
      </c>
      <c r="C165" s="5" t="s">
        <v>25</v>
      </c>
    </row>
    <row r="166" spans="1:3" x14ac:dyDescent="0.2">
      <c r="A166" s="5">
        <v>164</v>
      </c>
      <c r="B166" s="5">
        <f t="shared" ca="1" si="2"/>
        <v>0.75819606567521769</v>
      </c>
      <c r="C166" s="5" t="s">
        <v>25</v>
      </c>
    </row>
    <row r="167" spans="1:3" x14ac:dyDescent="0.2">
      <c r="A167" s="5">
        <v>165</v>
      </c>
      <c r="B167" s="5">
        <f t="shared" ca="1" si="2"/>
        <v>0.54475527195831985</v>
      </c>
      <c r="C167" s="5" t="s">
        <v>25</v>
      </c>
    </row>
    <row r="168" spans="1:3" x14ac:dyDescent="0.2">
      <c r="A168" s="5">
        <v>166</v>
      </c>
      <c r="B168" s="5">
        <f t="shared" ca="1" si="2"/>
        <v>0.7612502534093315</v>
      </c>
      <c r="C168" s="5" t="s">
        <v>24</v>
      </c>
    </row>
    <row r="169" spans="1:3" x14ac:dyDescent="0.2">
      <c r="A169" s="5">
        <v>167</v>
      </c>
      <c r="B169" s="5">
        <f t="shared" ca="1" si="2"/>
        <v>0.69005635011426825</v>
      </c>
      <c r="C169" s="5" t="s">
        <v>24</v>
      </c>
    </row>
    <row r="170" spans="1:3" x14ac:dyDescent="0.2">
      <c r="A170" s="5">
        <v>168</v>
      </c>
      <c r="B170" s="5">
        <f t="shared" ca="1" si="2"/>
        <v>0.70413365485413992</v>
      </c>
      <c r="C170" s="5" t="s">
        <v>24</v>
      </c>
    </row>
    <row r="171" spans="1:3" x14ac:dyDescent="0.2">
      <c r="A171" s="5">
        <v>169</v>
      </c>
      <c r="B171" s="5">
        <f t="shared" ca="1" si="2"/>
        <v>0.56446867263429634</v>
      </c>
      <c r="C171" s="5" t="s">
        <v>25</v>
      </c>
    </row>
    <row r="172" spans="1:3" x14ac:dyDescent="0.2">
      <c r="A172" s="5">
        <v>170</v>
      </c>
      <c r="B172" s="5">
        <f t="shared" ca="1" si="2"/>
        <v>0.34758567158369069</v>
      </c>
      <c r="C172" s="5" t="s">
        <v>25</v>
      </c>
    </row>
    <row r="173" spans="1:3" x14ac:dyDescent="0.2">
      <c r="A173" s="5">
        <v>171</v>
      </c>
      <c r="B173" s="5">
        <f t="shared" ca="1" si="2"/>
        <v>0.71337473216986713</v>
      </c>
      <c r="C173" s="5" t="s">
        <v>24</v>
      </c>
    </row>
    <row r="174" spans="1:3" x14ac:dyDescent="0.2">
      <c r="A174" s="5">
        <v>172</v>
      </c>
      <c r="B174" s="5">
        <f t="shared" ca="1" si="2"/>
        <v>0.53787856960304126</v>
      </c>
      <c r="C174" s="5" t="s">
        <v>24</v>
      </c>
    </row>
    <row r="175" spans="1:3" x14ac:dyDescent="0.2">
      <c r="A175" s="5">
        <v>173</v>
      </c>
      <c r="B175" s="5">
        <f t="shared" ca="1" si="2"/>
        <v>0.77916992637766802</v>
      </c>
      <c r="C175" s="5" t="s">
        <v>24</v>
      </c>
    </row>
    <row r="176" spans="1:3" x14ac:dyDescent="0.2">
      <c r="A176" s="5">
        <v>174</v>
      </c>
      <c r="B176" s="5">
        <f t="shared" ca="1" si="2"/>
        <v>0.27621324704297112</v>
      </c>
      <c r="C176" s="5" t="s">
        <v>25</v>
      </c>
    </row>
    <row r="177" spans="1:3" x14ac:dyDescent="0.2">
      <c r="A177" s="5">
        <v>175</v>
      </c>
      <c r="B177" s="5">
        <f t="shared" ca="1" si="2"/>
        <v>0.71712431928308973</v>
      </c>
      <c r="C177" s="5" t="s">
        <v>24</v>
      </c>
    </row>
    <row r="178" spans="1:3" x14ac:dyDescent="0.2">
      <c r="A178" s="5">
        <v>176</v>
      </c>
      <c r="B178" s="5">
        <f t="shared" ca="1" si="2"/>
        <v>0.64284102957566258</v>
      </c>
      <c r="C178" s="5" t="s">
        <v>24</v>
      </c>
    </row>
    <row r="179" spans="1:3" x14ac:dyDescent="0.2">
      <c r="A179" s="5">
        <v>177</v>
      </c>
      <c r="B179" s="5">
        <f t="shared" ca="1" si="2"/>
        <v>0.69383338763687807</v>
      </c>
      <c r="C179" s="5" t="s">
        <v>25</v>
      </c>
    </row>
    <row r="180" spans="1:3" x14ac:dyDescent="0.2">
      <c r="A180" s="5">
        <v>178</v>
      </c>
      <c r="B180" s="5">
        <f t="shared" ca="1" si="2"/>
        <v>0.68385116471680529</v>
      </c>
      <c r="C180" s="5" t="s">
        <v>25</v>
      </c>
    </row>
    <row r="181" spans="1:3" x14ac:dyDescent="0.2">
      <c r="A181" s="5">
        <v>179</v>
      </c>
      <c r="B181" s="5">
        <f t="shared" ca="1" si="2"/>
        <v>0.60574307641584624</v>
      </c>
      <c r="C181" s="5" t="s">
        <v>24</v>
      </c>
    </row>
    <row r="182" spans="1:3" x14ac:dyDescent="0.2">
      <c r="A182" s="5">
        <v>180</v>
      </c>
      <c r="B182" s="5">
        <f t="shared" ca="1" si="2"/>
        <v>0.59274685575566743</v>
      </c>
      <c r="C182" s="5" t="s">
        <v>24</v>
      </c>
    </row>
    <row r="183" spans="1:3" x14ac:dyDescent="0.2">
      <c r="A183" s="5">
        <v>181</v>
      </c>
      <c r="B183" s="5">
        <f t="shared" ca="1" si="2"/>
        <v>0.75005342501800054</v>
      </c>
      <c r="C183" s="5" t="s">
        <v>24</v>
      </c>
    </row>
    <row r="184" spans="1:3" x14ac:dyDescent="0.2">
      <c r="A184" s="5">
        <v>182</v>
      </c>
      <c r="B184" s="5">
        <f t="shared" ca="1" si="2"/>
        <v>0.52821119776538217</v>
      </c>
      <c r="C184" s="5" t="s">
        <v>24</v>
      </c>
    </row>
    <row r="185" spans="1:3" x14ac:dyDescent="0.2">
      <c r="A185" s="5">
        <v>183</v>
      </c>
      <c r="B185" s="5">
        <f t="shared" ca="1" si="2"/>
        <v>0.50429212338025309</v>
      </c>
      <c r="C185" s="5" t="s">
        <v>25</v>
      </c>
    </row>
    <row r="186" spans="1:3" x14ac:dyDescent="0.2">
      <c r="A186" s="5">
        <v>184</v>
      </c>
      <c r="B186" s="5">
        <f t="shared" ca="1" si="2"/>
        <v>0.7228274052436845</v>
      </c>
      <c r="C186" s="5" t="s">
        <v>24</v>
      </c>
    </row>
    <row r="187" spans="1:3" x14ac:dyDescent="0.2">
      <c r="A187" s="5">
        <v>185</v>
      </c>
      <c r="B187" s="5">
        <f t="shared" ca="1" si="2"/>
        <v>0.43621112581951199</v>
      </c>
      <c r="C187" s="5" t="s">
        <v>25</v>
      </c>
    </row>
    <row r="188" spans="1:3" x14ac:dyDescent="0.2">
      <c r="A188" s="5">
        <v>186</v>
      </c>
      <c r="B188" s="5">
        <f t="shared" ca="1" si="2"/>
        <v>0.73791095015774555</v>
      </c>
      <c r="C188" s="5" t="s">
        <v>24</v>
      </c>
    </row>
    <row r="189" spans="1:3" x14ac:dyDescent="0.2">
      <c r="A189" s="5">
        <v>187</v>
      </c>
      <c r="B189" s="5">
        <f t="shared" ca="1" si="2"/>
        <v>0.57887479770227479</v>
      </c>
      <c r="C189" s="5" t="s">
        <v>25</v>
      </c>
    </row>
    <row r="190" spans="1:3" x14ac:dyDescent="0.2">
      <c r="A190" s="5">
        <v>188</v>
      </c>
      <c r="B190" s="5">
        <f t="shared" ca="1" si="2"/>
        <v>0.74487659055865152</v>
      </c>
      <c r="C190" s="5" t="s">
        <v>24</v>
      </c>
    </row>
    <row r="191" spans="1:3" x14ac:dyDescent="0.2">
      <c r="A191" s="5">
        <v>189</v>
      </c>
      <c r="B191" s="5">
        <f t="shared" ca="1" si="2"/>
        <v>0.71650406577823822</v>
      </c>
      <c r="C191" s="5" t="s">
        <v>24</v>
      </c>
    </row>
    <row r="192" spans="1:3" x14ac:dyDescent="0.2">
      <c r="A192" s="5">
        <v>190</v>
      </c>
      <c r="B192" s="5">
        <f t="shared" ca="1" si="2"/>
        <v>0.79363902280223508</v>
      </c>
      <c r="C192" s="5" t="s">
        <v>25</v>
      </c>
    </row>
    <row r="193" spans="1:3" x14ac:dyDescent="0.2">
      <c r="A193" s="5">
        <v>191</v>
      </c>
      <c r="B193" s="5">
        <f t="shared" ca="1" si="2"/>
        <v>0.60989877726421871</v>
      </c>
      <c r="C193" s="5" t="s">
        <v>24</v>
      </c>
    </row>
    <row r="194" spans="1:3" x14ac:dyDescent="0.2">
      <c r="A194" s="5">
        <v>192</v>
      </c>
      <c r="B194" s="5">
        <f t="shared" ca="1" si="2"/>
        <v>0.62168389854835537</v>
      </c>
      <c r="C194" s="5" t="s">
        <v>25</v>
      </c>
    </row>
    <row r="195" spans="1:3" x14ac:dyDescent="0.2">
      <c r="A195" s="5">
        <v>193</v>
      </c>
      <c r="B195" s="5">
        <f t="shared" ca="1" si="2"/>
        <v>0.71624747117251042</v>
      </c>
      <c r="C195" s="5" t="s">
        <v>24</v>
      </c>
    </row>
    <row r="196" spans="1:3" x14ac:dyDescent="0.2">
      <c r="A196" s="5">
        <v>194</v>
      </c>
      <c r="B196" s="5">
        <f t="shared" ref="B196:B259" ca="1" si="3">IF(C196="Bomb",_xlfn.NORM.INV(RAND(),0.7,0.1),_xlfn.NORM.INV(RAND(),0.6,0.15))</f>
        <v>0.75059312560647018</v>
      </c>
      <c r="C196" s="5" t="s">
        <v>25</v>
      </c>
    </row>
    <row r="197" spans="1:3" x14ac:dyDescent="0.2">
      <c r="A197" s="5">
        <v>195</v>
      </c>
      <c r="B197" s="5">
        <f t="shared" ca="1" si="3"/>
        <v>0.82090915148889143</v>
      </c>
      <c r="C197" s="5" t="s">
        <v>25</v>
      </c>
    </row>
    <row r="198" spans="1:3" x14ac:dyDescent="0.2">
      <c r="A198" s="5">
        <v>196</v>
      </c>
      <c r="B198" s="5">
        <f t="shared" ca="1" si="3"/>
        <v>0.63483348380890026</v>
      </c>
      <c r="C198" s="5" t="s">
        <v>24</v>
      </c>
    </row>
    <row r="199" spans="1:3" x14ac:dyDescent="0.2">
      <c r="A199" s="5">
        <v>197</v>
      </c>
      <c r="B199" s="5">
        <f t="shared" ca="1" si="3"/>
        <v>0.81622439625968379</v>
      </c>
      <c r="C199" s="5" t="s">
        <v>25</v>
      </c>
    </row>
    <row r="200" spans="1:3" x14ac:dyDescent="0.2">
      <c r="A200" s="5">
        <v>198</v>
      </c>
      <c r="B200" s="5">
        <f t="shared" ca="1" si="3"/>
        <v>0.54953725462600411</v>
      </c>
      <c r="C200" s="5" t="s">
        <v>24</v>
      </c>
    </row>
    <row r="201" spans="1:3" x14ac:dyDescent="0.2">
      <c r="A201" s="5">
        <v>199</v>
      </c>
      <c r="B201" s="5">
        <f t="shared" ca="1" si="3"/>
        <v>0.66482387786755293</v>
      </c>
      <c r="C201" s="5" t="s">
        <v>25</v>
      </c>
    </row>
    <row r="202" spans="1:3" x14ac:dyDescent="0.2">
      <c r="A202" s="5">
        <v>200</v>
      </c>
      <c r="B202" s="5">
        <f t="shared" ca="1" si="3"/>
        <v>0.81454631624396567</v>
      </c>
      <c r="C202" s="5" t="s">
        <v>24</v>
      </c>
    </row>
    <row r="203" spans="1:3" x14ac:dyDescent="0.2">
      <c r="A203" s="5">
        <v>201</v>
      </c>
      <c r="B203" s="5">
        <f t="shared" ca="1" si="3"/>
        <v>0.15878735071215294</v>
      </c>
      <c r="C203" s="5" t="s">
        <v>25</v>
      </c>
    </row>
    <row r="204" spans="1:3" x14ac:dyDescent="0.2">
      <c r="A204" s="5">
        <v>202</v>
      </c>
      <c r="B204" s="5">
        <f t="shared" ca="1" si="3"/>
        <v>0.64019480222409741</v>
      </c>
      <c r="C204" s="5" t="s">
        <v>24</v>
      </c>
    </row>
    <row r="205" spans="1:3" x14ac:dyDescent="0.2">
      <c r="A205" s="5">
        <v>203</v>
      </c>
      <c r="B205" s="5">
        <f t="shared" ca="1" si="3"/>
        <v>0.79743773095897363</v>
      </c>
      <c r="C205" s="5" t="s">
        <v>25</v>
      </c>
    </row>
    <row r="206" spans="1:3" x14ac:dyDescent="0.2">
      <c r="A206" s="5">
        <v>204</v>
      </c>
      <c r="B206" s="5">
        <f t="shared" ca="1" si="3"/>
        <v>0.72076994958242424</v>
      </c>
      <c r="C206" s="5" t="s">
        <v>25</v>
      </c>
    </row>
    <row r="207" spans="1:3" x14ac:dyDescent="0.2">
      <c r="A207" s="5">
        <v>205</v>
      </c>
      <c r="B207" s="5">
        <f t="shared" ca="1" si="3"/>
        <v>0.53120178144091301</v>
      </c>
      <c r="C207" s="5" t="s">
        <v>25</v>
      </c>
    </row>
    <row r="208" spans="1:3" x14ac:dyDescent="0.2">
      <c r="A208" s="5">
        <v>206</v>
      </c>
      <c r="B208" s="5">
        <f t="shared" ca="1" si="3"/>
        <v>0.50062109374119224</v>
      </c>
      <c r="C208" s="5" t="s">
        <v>24</v>
      </c>
    </row>
    <row r="209" spans="1:3" x14ac:dyDescent="0.2">
      <c r="A209" s="5">
        <v>207</v>
      </c>
      <c r="B209" s="5">
        <f t="shared" ca="1" si="3"/>
        <v>0.56019355121050729</v>
      </c>
      <c r="C209" s="5" t="s">
        <v>24</v>
      </c>
    </row>
    <row r="210" spans="1:3" x14ac:dyDescent="0.2">
      <c r="A210" s="5">
        <v>208</v>
      </c>
      <c r="B210" s="5">
        <f t="shared" ca="1" si="3"/>
        <v>0.76166803259193983</v>
      </c>
      <c r="C210" s="5" t="s">
        <v>24</v>
      </c>
    </row>
    <row r="211" spans="1:3" x14ac:dyDescent="0.2">
      <c r="A211" s="5">
        <v>209</v>
      </c>
      <c r="B211" s="5">
        <f t="shared" ca="1" si="3"/>
        <v>0.57941394410761693</v>
      </c>
      <c r="C211" s="5" t="s">
        <v>25</v>
      </c>
    </row>
    <row r="212" spans="1:3" x14ac:dyDescent="0.2">
      <c r="A212" s="5">
        <v>210</v>
      </c>
      <c r="B212" s="5">
        <f t="shared" ca="1" si="3"/>
        <v>0.77607765642135151</v>
      </c>
      <c r="C212" s="5" t="s">
        <v>25</v>
      </c>
    </row>
    <row r="213" spans="1:3" x14ac:dyDescent="0.2">
      <c r="A213" s="5">
        <v>211</v>
      </c>
      <c r="B213" s="5">
        <f t="shared" ca="1" si="3"/>
        <v>0.67049584848353649</v>
      </c>
      <c r="C213" s="5" t="s">
        <v>25</v>
      </c>
    </row>
    <row r="214" spans="1:3" x14ac:dyDescent="0.2">
      <c r="A214" s="5">
        <v>212</v>
      </c>
      <c r="B214" s="5">
        <f t="shared" ca="1" si="3"/>
        <v>0.58653551440318341</v>
      </c>
      <c r="C214" s="5" t="s">
        <v>25</v>
      </c>
    </row>
    <row r="215" spans="1:3" x14ac:dyDescent="0.2">
      <c r="A215" s="5">
        <v>213</v>
      </c>
      <c r="B215" s="5">
        <f t="shared" ca="1" si="3"/>
        <v>0.38566075302265518</v>
      </c>
      <c r="C215" s="5" t="s">
        <v>25</v>
      </c>
    </row>
    <row r="216" spans="1:3" x14ac:dyDescent="0.2">
      <c r="A216" s="5">
        <v>214</v>
      </c>
      <c r="B216" s="5">
        <f t="shared" ca="1" si="3"/>
        <v>0.84729119795691554</v>
      </c>
      <c r="C216" s="5" t="s">
        <v>25</v>
      </c>
    </row>
    <row r="217" spans="1:3" x14ac:dyDescent="0.2">
      <c r="A217" s="5">
        <v>215</v>
      </c>
      <c r="B217" s="5">
        <f t="shared" ca="1" si="3"/>
        <v>0.70453284043020659</v>
      </c>
      <c r="C217" s="5" t="s">
        <v>24</v>
      </c>
    </row>
    <row r="218" spans="1:3" x14ac:dyDescent="0.2">
      <c r="A218" s="5">
        <v>216</v>
      </c>
      <c r="B218" s="5">
        <f t="shared" ca="1" si="3"/>
        <v>0.7053284234076781</v>
      </c>
      <c r="C218" s="5" t="s">
        <v>24</v>
      </c>
    </row>
    <row r="219" spans="1:3" x14ac:dyDescent="0.2">
      <c r="A219" s="5">
        <v>217</v>
      </c>
      <c r="B219" s="5">
        <f t="shared" ca="1" si="3"/>
        <v>0.59864154802283787</v>
      </c>
      <c r="C219" s="5" t="s">
        <v>24</v>
      </c>
    </row>
    <row r="220" spans="1:3" x14ac:dyDescent="0.2">
      <c r="A220" s="5">
        <v>218</v>
      </c>
      <c r="B220" s="5">
        <f t="shared" ca="1" si="3"/>
        <v>0.61515775007044404</v>
      </c>
      <c r="C220" s="5" t="s">
        <v>25</v>
      </c>
    </row>
    <row r="221" spans="1:3" x14ac:dyDescent="0.2">
      <c r="A221" s="5">
        <v>219</v>
      </c>
      <c r="B221" s="5">
        <f t="shared" ca="1" si="3"/>
        <v>0.71803812102717524</v>
      </c>
      <c r="C221" s="5" t="s">
        <v>24</v>
      </c>
    </row>
    <row r="222" spans="1:3" x14ac:dyDescent="0.2">
      <c r="A222" s="5">
        <v>220</v>
      </c>
      <c r="B222" s="5">
        <f t="shared" ca="1" si="3"/>
        <v>0.59416330996707767</v>
      </c>
      <c r="C222" s="5" t="s">
        <v>25</v>
      </c>
    </row>
    <row r="223" spans="1:3" x14ac:dyDescent="0.2">
      <c r="A223" s="5">
        <v>221</v>
      </c>
      <c r="B223" s="5">
        <f t="shared" ca="1" si="3"/>
        <v>0.71574000327457243</v>
      </c>
      <c r="C223" s="5" t="s">
        <v>24</v>
      </c>
    </row>
    <row r="224" spans="1:3" x14ac:dyDescent="0.2">
      <c r="A224" s="5">
        <v>222</v>
      </c>
      <c r="B224" s="5">
        <f t="shared" ca="1" si="3"/>
        <v>0.63278550446216775</v>
      </c>
      <c r="C224" s="5" t="s">
        <v>24</v>
      </c>
    </row>
    <row r="225" spans="1:3" x14ac:dyDescent="0.2">
      <c r="A225" s="5">
        <v>223</v>
      </c>
      <c r="B225" s="5">
        <f t="shared" ca="1" si="3"/>
        <v>0.55962720609798622</v>
      </c>
      <c r="C225" s="5" t="s">
        <v>25</v>
      </c>
    </row>
    <row r="226" spans="1:3" x14ac:dyDescent="0.2">
      <c r="A226" s="5">
        <v>224</v>
      </c>
      <c r="B226" s="5">
        <f t="shared" ca="1" si="3"/>
        <v>0.48698139260528045</v>
      </c>
      <c r="C226" s="5" t="s">
        <v>25</v>
      </c>
    </row>
    <row r="227" spans="1:3" x14ac:dyDescent="0.2">
      <c r="A227" s="5">
        <v>225</v>
      </c>
      <c r="B227" s="5">
        <f t="shared" ca="1" si="3"/>
        <v>0.74313883525244528</v>
      </c>
      <c r="C227" s="5" t="s">
        <v>24</v>
      </c>
    </row>
    <row r="228" spans="1:3" x14ac:dyDescent="0.2">
      <c r="A228" s="5">
        <v>226</v>
      </c>
      <c r="B228" s="5">
        <f t="shared" ca="1" si="3"/>
        <v>0.69765805010004966</v>
      </c>
      <c r="C228" s="5" t="s">
        <v>25</v>
      </c>
    </row>
    <row r="229" spans="1:3" x14ac:dyDescent="0.2">
      <c r="A229" s="5">
        <v>227</v>
      </c>
      <c r="B229" s="5">
        <f t="shared" ca="1" si="3"/>
        <v>0.60533571391874896</v>
      </c>
      <c r="C229" s="5" t="s">
        <v>25</v>
      </c>
    </row>
    <row r="230" spans="1:3" x14ac:dyDescent="0.2">
      <c r="A230" s="5">
        <v>228</v>
      </c>
      <c r="B230" s="5">
        <f t="shared" ca="1" si="3"/>
        <v>0.55130179154505699</v>
      </c>
      <c r="C230" s="5" t="s">
        <v>25</v>
      </c>
    </row>
    <row r="231" spans="1:3" x14ac:dyDescent="0.2">
      <c r="A231" s="5">
        <v>229</v>
      </c>
      <c r="B231" s="5">
        <f t="shared" ca="1" si="3"/>
        <v>0.55817319470683979</v>
      </c>
      <c r="C231" s="5" t="s">
        <v>25</v>
      </c>
    </row>
    <row r="232" spans="1:3" x14ac:dyDescent="0.2">
      <c r="A232" s="5">
        <v>230</v>
      </c>
      <c r="B232" s="5">
        <f t="shared" ca="1" si="3"/>
        <v>0.66445904021498214</v>
      </c>
      <c r="C232" s="5" t="s">
        <v>24</v>
      </c>
    </row>
    <row r="233" spans="1:3" x14ac:dyDescent="0.2">
      <c r="A233" s="5">
        <v>231</v>
      </c>
      <c r="B233" s="5">
        <f t="shared" ca="1" si="3"/>
        <v>0.59140111784215299</v>
      </c>
      <c r="C233" s="5" t="s">
        <v>24</v>
      </c>
    </row>
    <row r="234" spans="1:3" x14ac:dyDescent="0.2">
      <c r="A234" s="5">
        <v>232</v>
      </c>
      <c r="B234" s="5">
        <f t="shared" ca="1" si="3"/>
        <v>0.55050146181679604</v>
      </c>
      <c r="C234" s="5" t="s">
        <v>25</v>
      </c>
    </row>
    <row r="235" spans="1:3" x14ac:dyDescent="0.2">
      <c r="A235" s="5">
        <v>233</v>
      </c>
      <c r="B235" s="5">
        <f t="shared" ca="1" si="3"/>
        <v>0.3194146358893506</v>
      </c>
      <c r="C235" s="5" t="s">
        <v>25</v>
      </c>
    </row>
    <row r="236" spans="1:3" x14ac:dyDescent="0.2">
      <c r="A236" s="5">
        <v>234</v>
      </c>
      <c r="B236" s="5">
        <f t="shared" ca="1" si="3"/>
        <v>0.65691002636132956</v>
      </c>
      <c r="C236" s="5" t="s">
        <v>24</v>
      </c>
    </row>
    <row r="237" spans="1:3" x14ac:dyDescent="0.2">
      <c r="A237" s="5">
        <v>235</v>
      </c>
      <c r="B237" s="5">
        <f t="shared" ca="1" si="3"/>
        <v>0.68705721465051928</v>
      </c>
      <c r="C237" s="5" t="s">
        <v>25</v>
      </c>
    </row>
    <row r="238" spans="1:3" x14ac:dyDescent="0.2">
      <c r="A238" s="5">
        <v>236</v>
      </c>
      <c r="B238" s="5">
        <f t="shared" ca="1" si="3"/>
        <v>0.8128433295843327</v>
      </c>
      <c r="C238" s="5" t="s">
        <v>24</v>
      </c>
    </row>
    <row r="239" spans="1:3" x14ac:dyDescent="0.2">
      <c r="A239" s="5">
        <v>237</v>
      </c>
      <c r="B239" s="5">
        <f t="shared" ca="1" si="3"/>
        <v>0.7047038548166803</v>
      </c>
      <c r="C239" s="5" t="s">
        <v>25</v>
      </c>
    </row>
    <row r="240" spans="1:3" x14ac:dyDescent="0.2">
      <c r="A240" s="5">
        <v>238</v>
      </c>
      <c r="B240" s="5">
        <f t="shared" ca="1" si="3"/>
        <v>0.75673957296759187</v>
      </c>
      <c r="C240" s="5" t="s">
        <v>24</v>
      </c>
    </row>
    <row r="241" spans="1:3" x14ac:dyDescent="0.2">
      <c r="A241" s="5">
        <v>239</v>
      </c>
      <c r="B241" s="5">
        <f t="shared" ca="1" si="3"/>
        <v>0.60499405579529419</v>
      </c>
      <c r="C241" s="5" t="s">
        <v>25</v>
      </c>
    </row>
    <row r="242" spans="1:3" x14ac:dyDescent="0.2">
      <c r="A242" s="5">
        <v>240</v>
      </c>
      <c r="B242" s="5">
        <f t="shared" ca="1" si="3"/>
        <v>0.62232258570445032</v>
      </c>
      <c r="C242" s="5" t="s">
        <v>25</v>
      </c>
    </row>
    <row r="243" spans="1:3" x14ac:dyDescent="0.2">
      <c r="A243" s="5">
        <v>241</v>
      </c>
      <c r="B243" s="5">
        <f t="shared" ca="1" si="3"/>
        <v>0.77415007070763941</v>
      </c>
      <c r="C243" s="5" t="s">
        <v>24</v>
      </c>
    </row>
    <row r="244" spans="1:3" x14ac:dyDescent="0.2">
      <c r="A244" s="5">
        <v>242</v>
      </c>
      <c r="B244" s="5">
        <f t="shared" ca="1" si="3"/>
        <v>0.69509538091145318</v>
      </c>
      <c r="C244" s="5" t="s">
        <v>24</v>
      </c>
    </row>
    <row r="245" spans="1:3" x14ac:dyDescent="0.2">
      <c r="A245" s="5">
        <v>243</v>
      </c>
      <c r="B245" s="5">
        <f t="shared" ca="1" si="3"/>
        <v>0.82668452206219312</v>
      </c>
      <c r="C245" s="5" t="s">
        <v>24</v>
      </c>
    </row>
    <row r="246" spans="1:3" x14ac:dyDescent="0.2">
      <c r="A246" s="5">
        <v>244</v>
      </c>
      <c r="B246" s="5">
        <f t="shared" ca="1" si="3"/>
        <v>0.40173985236577814</v>
      </c>
      <c r="C246" s="5" t="s">
        <v>25</v>
      </c>
    </row>
    <row r="247" spans="1:3" x14ac:dyDescent="0.2">
      <c r="A247" s="5">
        <v>245</v>
      </c>
      <c r="B247" s="5">
        <f t="shared" ca="1" si="3"/>
        <v>0.75426072613576189</v>
      </c>
      <c r="C247" s="5" t="s">
        <v>24</v>
      </c>
    </row>
    <row r="248" spans="1:3" x14ac:dyDescent="0.2">
      <c r="A248" s="5">
        <v>246</v>
      </c>
      <c r="B248" s="5">
        <f t="shared" ca="1" si="3"/>
        <v>0.73756620991627575</v>
      </c>
      <c r="C248" s="5" t="s">
        <v>24</v>
      </c>
    </row>
    <row r="249" spans="1:3" x14ac:dyDescent="0.2">
      <c r="A249" s="5">
        <v>247</v>
      </c>
      <c r="B249" s="5">
        <f t="shared" ca="1" si="3"/>
        <v>0.51641117086230093</v>
      </c>
      <c r="C249" s="5" t="s">
        <v>25</v>
      </c>
    </row>
    <row r="250" spans="1:3" x14ac:dyDescent="0.2">
      <c r="A250" s="5">
        <v>248</v>
      </c>
      <c r="B250" s="5">
        <f t="shared" ca="1" si="3"/>
        <v>0.63751566904268264</v>
      </c>
      <c r="C250" s="5" t="s">
        <v>24</v>
      </c>
    </row>
    <row r="251" spans="1:3" x14ac:dyDescent="0.2">
      <c r="A251" s="5">
        <v>249</v>
      </c>
      <c r="B251" s="5">
        <f t="shared" ca="1" si="3"/>
        <v>0.40946976125241119</v>
      </c>
      <c r="C251" s="5" t="s">
        <v>25</v>
      </c>
    </row>
    <row r="252" spans="1:3" x14ac:dyDescent="0.2">
      <c r="A252" s="5">
        <v>250</v>
      </c>
      <c r="B252" s="5">
        <f t="shared" ca="1" si="3"/>
        <v>0.58049472141170533</v>
      </c>
      <c r="C252" s="5" t="s">
        <v>24</v>
      </c>
    </row>
    <row r="253" spans="1:3" x14ac:dyDescent="0.2">
      <c r="A253" s="5">
        <v>251</v>
      </c>
      <c r="B253" s="5">
        <f t="shared" ca="1" si="3"/>
        <v>0.84982071790991998</v>
      </c>
      <c r="C253" s="5" t="s">
        <v>25</v>
      </c>
    </row>
    <row r="254" spans="1:3" x14ac:dyDescent="0.2">
      <c r="A254" s="5">
        <v>252</v>
      </c>
      <c r="B254" s="5">
        <f t="shared" ca="1" si="3"/>
        <v>0.55754252405007054</v>
      </c>
      <c r="C254" s="5" t="s">
        <v>24</v>
      </c>
    </row>
    <row r="255" spans="1:3" x14ac:dyDescent="0.2">
      <c r="A255" s="5">
        <v>253</v>
      </c>
      <c r="B255" s="5">
        <f t="shared" ca="1" si="3"/>
        <v>0.79016039631951829</v>
      </c>
      <c r="C255" s="5" t="s">
        <v>24</v>
      </c>
    </row>
    <row r="256" spans="1:3" x14ac:dyDescent="0.2">
      <c r="A256" s="5">
        <v>254</v>
      </c>
      <c r="B256" s="5">
        <f t="shared" ca="1" si="3"/>
        <v>0.79215527595528079</v>
      </c>
      <c r="C256" s="5" t="s">
        <v>24</v>
      </c>
    </row>
    <row r="257" spans="1:3" x14ac:dyDescent="0.2">
      <c r="A257" s="5">
        <v>255</v>
      </c>
      <c r="B257" s="5">
        <f t="shared" ca="1" si="3"/>
        <v>0.94203743945991447</v>
      </c>
      <c r="C257" s="5" t="s">
        <v>25</v>
      </c>
    </row>
    <row r="258" spans="1:3" x14ac:dyDescent="0.2">
      <c r="A258" s="5">
        <v>256</v>
      </c>
      <c r="B258" s="5">
        <f t="shared" ca="1" si="3"/>
        <v>0.79199374061773709</v>
      </c>
      <c r="C258" s="5" t="s">
        <v>25</v>
      </c>
    </row>
    <row r="259" spans="1:3" x14ac:dyDescent="0.2">
      <c r="A259" s="5">
        <v>257</v>
      </c>
      <c r="B259" s="5">
        <f t="shared" ca="1" si="3"/>
        <v>0.44210316757280876</v>
      </c>
      <c r="C259" s="5" t="s">
        <v>25</v>
      </c>
    </row>
    <row r="260" spans="1:3" x14ac:dyDescent="0.2">
      <c r="A260" s="5">
        <v>258</v>
      </c>
      <c r="B260" s="5">
        <f t="shared" ref="B260:B323" ca="1" si="4">IF(C260="Bomb",_xlfn.NORM.INV(RAND(),0.7,0.1),_xlfn.NORM.INV(RAND(),0.6,0.15))</f>
        <v>0.53184590859384118</v>
      </c>
      <c r="C260" s="5" t="s">
        <v>25</v>
      </c>
    </row>
    <row r="261" spans="1:3" x14ac:dyDescent="0.2">
      <c r="A261" s="5">
        <v>259</v>
      </c>
      <c r="B261" s="5">
        <f t="shared" ca="1" si="4"/>
        <v>0.8657636152754532</v>
      </c>
      <c r="C261" s="5" t="s">
        <v>25</v>
      </c>
    </row>
    <row r="262" spans="1:3" x14ac:dyDescent="0.2">
      <c r="A262" s="5">
        <v>260</v>
      </c>
      <c r="B262" s="5">
        <f t="shared" ca="1" si="4"/>
        <v>0.71976162381281217</v>
      </c>
      <c r="C262" s="5" t="s">
        <v>24</v>
      </c>
    </row>
    <row r="263" spans="1:3" x14ac:dyDescent="0.2">
      <c r="A263" s="5">
        <v>261</v>
      </c>
      <c r="B263" s="5">
        <f t="shared" ca="1" si="4"/>
        <v>0.75446621898372057</v>
      </c>
      <c r="C263" s="5" t="s">
        <v>24</v>
      </c>
    </row>
    <row r="264" spans="1:3" x14ac:dyDescent="0.2">
      <c r="A264" s="5">
        <v>262</v>
      </c>
      <c r="B264" s="5">
        <f t="shared" ca="1" si="4"/>
        <v>0.61945980848570104</v>
      </c>
      <c r="C264" s="5" t="s">
        <v>24</v>
      </c>
    </row>
    <row r="265" spans="1:3" x14ac:dyDescent="0.2">
      <c r="A265" s="5">
        <v>263</v>
      </c>
      <c r="B265" s="5">
        <f t="shared" ca="1" si="4"/>
        <v>0.86761224279665405</v>
      </c>
      <c r="C265" s="5" t="s">
        <v>24</v>
      </c>
    </row>
    <row r="266" spans="1:3" x14ac:dyDescent="0.2">
      <c r="A266" s="5">
        <v>264</v>
      </c>
      <c r="B266" s="5">
        <f t="shared" ca="1" si="4"/>
        <v>0.47250295510585039</v>
      </c>
      <c r="C266" s="5" t="s">
        <v>25</v>
      </c>
    </row>
    <row r="267" spans="1:3" x14ac:dyDescent="0.2">
      <c r="A267" s="5">
        <v>265</v>
      </c>
      <c r="B267" s="5">
        <f t="shared" ca="1" si="4"/>
        <v>0.79839739275764354</v>
      </c>
      <c r="C267" s="5" t="s">
        <v>24</v>
      </c>
    </row>
    <row r="268" spans="1:3" x14ac:dyDescent="0.2">
      <c r="A268" s="5">
        <v>266</v>
      </c>
      <c r="B268" s="5">
        <f t="shared" ca="1" si="4"/>
        <v>0.5924554031451198</v>
      </c>
      <c r="C268" s="5" t="s">
        <v>24</v>
      </c>
    </row>
    <row r="269" spans="1:3" x14ac:dyDescent="0.2">
      <c r="A269" s="5">
        <v>267</v>
      </c>
      <c r="B269" s="5">
        <f t="shared" ca="1" si="4"/>
        <v>0.73244455237803296</v>
      </c>
      <c r="C269" s="5" t="s">
        <v>25</v>
      </c>
    </row>
    <row r="270" spans="1:3" x14ac:dyDescent="0.2">
      <c r="A270" s="5">
        <v>268</v>
      </c>
      <c r="B270" s="5">
        <f t="shared" ca="1" si="4"/>
        <v>0.63225369514318586</v>
      </c>
      <c r="C270" s="5" t="s">
        <v>25</v>
      </c>
    </row>
    <row r="271" spans="1:3" x14ac:dyDescent="0.2">
      <c r="A271" s="5">
        <v>269</v>
      </c>
      <c r="B271" s="5">
        <f t="shared" ca="1" si="4"/>
        <v>0.63547602932465752</v>
      </c>
      <c r="C271" s="5" t="s">
        <v>24</v>
      </c>
    </row>
    <row r="272" spans="1:3" x14ac:dyDescent="0.2">
      <c r="A272" s="5">
        <v>270</v>
      </c>
      <c r="B272" s="5">
        <f t="shared" ca="1" si="4"/>
        <v>0.73638226348521274</v>
      </c>
      <c r="C272" s="5" t="s">
        <v>24</v>
      </c>
    </row>
    <row r="273" spans="1:3" x14ac:dyDescent="0.2">
      <c r="A273" s="5">
        <v>271</v>
      </c>
      <c r="B273" s="5">
        <f t="shared" ca="1" si="4"/>
        <v>0.79367644002931625</v>
      </c>
      <c r="C273" s="5" t="s">
        <v>25</v>
      </c>
    </row>
    <row r="274" spans="1:3" x14ac:dyDescent="0.2">
      <c r="A274" s="5">
        <v>272</v>
      </c>
      <c r="B274" s="5">
        <f t="shared" ca="1" si="4"/>
        <v>0.47635796657183876</v>
      </c>
      <c r="C274" s="5" t="s">
        <v>25</v>
      </c>
    </row>
    <row r="275" spans="1:3" x14ac:dyDescent="0.2">
      <c r="A275" s="5">
        <v>273</v>
      </c>
      <c r="B275" s="5">
        <f t="shared" ca="1" si="4"/>
        <v>0.58855925514998897</v>
      </c>
      <c r="C275" s="5" t="s">
        <v>24</v>
      </c>
    </row>
    <row r="276" spans="1:3" x14ac:dyDescent="0.2">
      <c r="A276" s="5">
        <v>274</v>
      </c>
      <c r="B276" s="5">
        <f t="shared" ca="1" si="4"/>
        <v>0.73482967894328555</v>
      </c>
      <c r="C276" s="5" t="s">
        <v>25</v>
      </c>
    </row>
    <row r="277" spans="1:3" x14ac:dyDescent="0.2">
      <c r="A277" s="5">
        <v>275</v>
      </c>
      <c r="B277" s="5">
        <f t="shared" ca="1" si="4"/>
        <v>0.4236851159635161</v>
      </c>
      <c r="C277" s="5" t="s">
        <v>25</v>
      </c>
    </row>
    <row r="278" spans="1:3" x14ac:dyDescent="0.2">
      <c r="A278" s="5">
        <v>276</v>
      </c>
      <c r="B278" s="5">
        <f t="shared" ca="1" si="4"/>
        <v>0.71181000249887094</v>
      </c>
      <c r="C278" s="5" t="s">
        <v>24</v>
      </c>
    </row>
    <row r="279" spans="1:3" x14ac:dyDescent="0.2">
      <c r="A279" s="5">
        <v>277</v>
      </c>
      <c r="B279" s="5">
        <f t="shared" ca="1" si="4"/>
        <v>0.62331878762734949</v>
      </c>
      <c r="C279" s="5" t="s">
        <v>24</v>
      </c>
    </row>
    <row r="280" spans="1:3" x14ac:dyDescent="0.2">
      <c r="A280" s="5">
        <v>278</v>
      </c>
      <c r="B280" s="5">
        <f t="shared" ca="1" si="4"/>
        <v>0.37491566893395989</v>
      </c>
      <c r="C280" s="5" t="s">
        <v>25</v>
      </c>
    </row>
    <row r="281" spans="1:3" x14ac:dyDescent="0.2">
      <c r="A281" s="5">
        <v>279</v>
      </c>
      <c r="B281" s="5">
        <f t="shared" ca="1" si="4"/>
        <v>0.42145314962217889</v>
      </c>
      <c r="C281" s="5" t="s">
        <v>25</v>
      </c>
    </row>
    <row r="282" spans="1:3" x14ac:dyDescent="0.2">
      <c r="A282" s="5">
        <v>280</v>
      </c>
      <c r="B282" s="5">
        <f t="shared" ca="1" si="4"/>
        <v>0.63549342317093005</v>
      </c>
      <c r="C282" s="5" t="s">
        <v>25</v>
      </c>
    </row>
    <row r="283" spans="1:3" x14ac:dyDescent="0.2">
      <c r="A283" s="5">
        <v>281</v>
      </c>
      <c r="B283" s="5">
        <f t="shared" ca="1" si="4"/>
        <v>0.33326315873615958</v>
      </c>
      <c r="C283" s="5" t="s">
        <v>25</v>
      </c>
    </row>
    <row r="284" spans="1:3" x14ac:dyDescent="0.2">
      <c r="A284" s="5">
        <v>282</v>
      </c>
      <c r="B284" s="5">
        <f t="shared" ca="1" si="4"/>
        <v>0.67484475144597533</v>
      </c>
      <c r="C284" s="5" t="s">
        <v>24</v>
      </c>
    </row>
    <row r="285" spans="1:3" x14ac:dyDescent="0.2">
      <c r="A285" s="5">
        <v>283</v>
      </c>
      <c r="B285" s="5">
        <f t="shared" ca="1" si="4"/>
        <v>0.7134961453997809</v>
      </c>
      <c r="C285" s="5" t="s">
        <v>24</v>
      </c>
    </row>
    <row r="286" spans="1:3" x14ac:dyDescent="0.2">
      <c r="A286" s="5">
        <v>284</v>
      </c>
      <c r="B286" s="5">
        <f t="shared" ca="1" si="4"/>
        <v>0.7853676504358722</v>
      </c>
      <c r="C286" s="5" t="s">
        <v>24</v>
      </c>
    </row>
    <row r="287" spans="1:3" x14ac:dyDescent="0.2">
      <c r="A287" s="5">
        <v>285</v>
      </c>
      <c r="B287" s="5">
        <f t="shared" ca="1" si="4"/>
        <v>0.47720554072148902</v>
      </c>
      <c r="C287" s="5" t="s">
        <v>25</v>
      </c>
    </row>
    <row r="288" spans="1:3" x14ac:dyDescent="0.2">
      <c r="A288" s="5">
        <v>286</v>
      </c>
      <c r="B288" s="5">
        <f t="shared" ca="1" si="4"/>
        <v>0.52959960615091339</v>
      </c>
      <c r="C288" s="5" t="s">
        <v>24</v>
      </c>
    </row>
    <row r="289" spans="1:3" x14ac:dyDescent="0.2">
      <c r="A289" s="5">
        <v>287</v>
      </c>
      <c r="B289" s="5">
        <f t="shared" ca="1" si="4"/>
        <v>0.78083894187203662</v>
      </c>
      <c r="C289" s="5" t="s">
        <v>24</v>
      </c>
    </row>
    <row r="290" spans="1:3" x14ac:dyDescent="0.2">
      <c r="A290" s="5">
        <v>288</v>
      </c>
      <c r="B290" s="5">
        <f t="shared" ca="1" si="4"/>
        <v>0.64688405814633954</v>
      </c>
      <c r="C290" s="5" t="s">
        <v>24</v>
      </c>
    </row>
    <row r="291" spans="1:3" x14ac:dyDescent="0.2">
      <c r="A291" s="5">
        <v>289</v>
      </c>
      <c r="B291" s="5">
        <f t="shared" ca="1" si="4"/>
        <v>0.62334417623886185</v>
      </c>
      <c r="C291" s="5" t="s">
        <v>24</v>
      </c>
    </row>
    <row r="292" spans="1:3" x14ac:dyDescent="0.2">
      <c r="A292" s="5">
        <v>290</v>
      </c>
      <c r="B292" s="5">
        <f t="shared" ca="1" si="4"/>
        <v>0.59179391384260438</v>
      </c>
      <c r="C292" s="5" t="s">
        <v>25</v>
      </c>
    </row>
    <row r="293" spans="1:3" x14ac:dyDescent="0.2">
      <c r="A293" s="5">
        <v>291</v>
      </c>
      <c r="B293" s="5">
        <f t="shared" ca="1" si="4"/>
        <v>0.69981639795978079</v>
      </c>
      <c r="C293" s="5" t="s">
        <v>24</v>
      </c>
    </row>
    <row r="294" spans="1:3" x14ac:dyDescent="0.2">
      <c r="A294" s="5">
        <v>292</v>
      </c>
      <c r="B294" s="5">
        <f t="shared" ca="1" si="4"/>
        <v>0.83703107849702507</v>
      </c>
      <c r="C294" s="5" t="s">
        <v>25</v>
      </c>
    </row>
    <row r="295" spans="1:3" x14ac:dyDescent="0.2">
      <c r="A295" s="5">
        <v>293</v>
      </c>
      <c r="B295" s="5">
        <f t="shared" ca="1" si="4"/>
        <v>0.6039199115927032</v>
      </c>
      <c r="C295" s="5" t="s">
        <v>24</v>
      </c>
    </row>
    <row r="296" spans="1:3" x14ac:dyDescent="0.2">
      <c r="A296" s="5">
        <v>294</v>
      </c>
      <c r="B296" s="5">
        <f t="shared" ca="1" si="4"/>
        <v>0.74442418857584136</v>
      </c>
      <c r="C296" s="5" t="s">
        <v>25</v>
      </c>
    </row>
    <row r="297" spans="1:3" x14ac:dyDescent="0.2">
      <c r="A297" s="5">
        <v>295</v>
      </c>
      <c r="B297" s="5">
        <f t="shared" ca="1" si="4"/>
        <v>0.64633051244786599</v>
      </c>
      <c r="C297" s="5" t="s">
        <v>25</v>
      </c>
    </row>
    <row r="298" spans="1:3" x14ac:dyDescent="0.2">
      <c r="A298" s="5">
        <v>296</v>
      </c>
      <c r="B298" s="5">
        <f t="shared" ca="1" si="4"/>
        <v>0.82454624409879496</v>
      </c>
      <c r="C298" s="5" t="s">
        <v>24</v>
      </c>
    </row>
    <row r="299" spans="1:3" x14ac:dyDescent="0.2">
      <c r="A299" s="5">
        <v>297</v>
      </c>
      <c r="B299" s="5">
        <f t="shared" ca="1" si="4"/>
        <v>0.62137034816460956</v>
      </c>
      <c r="C299" s="5" t="s">
        <v>24</v>
      </c>
    </row>
    <row r="300" spans="1:3" x14ac:dyDescent="0.2">
      <c r="A300" s="5">
        <v>298</v>
      </c>
      <c r="B300" s="5">
        <f t="shared" ca="1" si="4"/>
        <v>0.61137061637205137</v>
      </c>
      <c r="C300" s="5" t="s">
        <v>25</v>
      </c>
    </row>
    <row r="301" spans="1:3" x14ac:dyDescent="0.2">
      <c r="A301" s="5">
        <v>299</v>
      </c>
      <c r="B301" s="5">
        <f t="shared" ca="1" si="4"/>
        <v>0.68874682420321187</v>
      </c>
      <c r="C301" s="5" t="s">
        <v>24</v>
      </c>
    </row>
    <row r="302" spans="1:3" x14ac:dyDescent="0.2">
      <c r="A302" s="5">
        <v>300</v>
      </c>
      <c r="B302" s="5">
        <f t="shared" ca="1" si="4"/>
        <v>0.7507999925299379</v>
      </c>
      <c r="C302" s="5" t="s">
        <v>24</v>
      </c>
    </row>
    <row r="303" spans="1:3" x14ac:dyDescent="0.2">
      <c r="A303" s="5">
        <v>301</v>
      </c>
      <c r="B303" s="5">
        <f t="shared" ca="1" si="4"/>
        <v>0.6816892395834544</v>
      </c>
      <c r="C303" s="5" t="s">
        <v>24</v>
      </c>
    </row>
    <row r="304" spans="1:3" x14ac:dyDescent="0.2">
      <c r="A304" s="5">
        <v>302</v>
      </c>
      <c r="B304" s="5">
        <f t="shared" ca="1" si="4"/>
        <v>0.83922708544840119</v>
      </c>
      <c r="C304" s="5" t="s">
        <v>24</v>
      </c>
    </row>
    <row r="305" spans="1:3" x14ac:dyDescent="0.2">
      <c r="A305" s="5">
        <v>303</v>
      </c>
      <c r="B305" s="5">
        <f t="shared" ca="1" si="4"/>
        <v>0.7029184176248221</v>
      </c>
      <c r="C305" s="5" t="s">
        <v>24</v>
      </c>
    </row>
    <row r="306" spans="1:3" x14ac:dyDescent="0.2">
      <c r="A306" s="5">
        <v>304</v>
      </c>
      <c r="B306" s="5">
        <f t="shared" ca="1" si="4"/>
        <v>0.74073766236575878</v>
      </c>
      <c r="C306" s="5" t="s">
        <v>24</v>
      </c>
    </row>
    <row r="307" spans="1:3" x14ac:dyDescent="0.2">
      <c r="A307" s="5">
        <v>305</v>
      </c>
      <c r="B307" s="5">
        <f t="shared" ca="1" si="4"/>
        <v>0.48685755704737799</v>
      </c>
      <c r="C307" s="5" t="s">
        <v>25</v>
      </c>
    </row>
    <row r="308" spans="1:3" x14ac:dyDescent="0.2">
      <c r="A308" s="5">
        <v>306</v>
      </c>
      <c r="B308" s="5">
        <f t="shared" ca="1" si="4"/>
        <v>0.7937598029533095</v>
      </c>
      <c r="C308" s="5" t="s">
        <v>24</v>
      </c>
    </row>
    <row r="309" spans="1:3" x14ac:dyDescent="0.2">
      <c r="A309" s="5">
        <v>307</v>
      </c>
      <c r="B309" s="5">
        <f t="shared" ca="1" si="4"/>
        <v>0.92273534786528322</v>
      </c>
      <c r="C309" s="5" t="s">
        <v>25</v>
      </c>
    </row>
    <row r="310" spans="1:3" x14ac:dyDescent="0.2">
      <c r="A310" s="5">
        <v>308</v>
      </c>
      <c r="B310" s="5">
        <f t="shared" ca="1" si="4"/>
        <v>0.68961466171326313</v>
      </c>
      <c r="C310" s="5" t="s">
        <v>24</v>
      </c>
    </row>
    <row r="311" spans="1:3" x14ac:dyDescent="0.2">
      <c r="A311" s="5">
        <v>309</v>
      </c>
      <c r="B311" s="5">
        <f t="shared" ca="1" si="4"/>
        <v>0.57437099712140638</v>
      </c>
      <c r="C311" s="5" t="s">
        <v>24</v>
      </c>
    </row>
    <row r="312" spans="1:3" x14ac:dyDescent="0.2">
      <c r="A312" s="5">
        <v>310</v>
      </c>
      <c r="B312" s="5">
        <f t="shared" ca="1" si="4"/>
        <v>0.56385089433515478</v>
      </c>
      <c r="C312" s="5" t="s">
        <v>25</v>
      </c>
    </row>
    <row r="313" spans="1:3" x14ac:dyDescent="0.2">
      <c r="A313" s="5">
        <v>311</v>
      </c>
      <c r="B313" s="5">
        <f t="shared" ca="1" si="4"/>
        <v>0.70219336873492189</v>
      </c>
      <c r="C313" s="5" t="s">
        <v>24</v>
      </c>
    </row>
    <row r="314" spans="1:3" x14ac:dyDescent="0.2">
      <c r="A314" s="5">
        <v>312</v>
      </c>
      <c r="B314" s="5">
        <f t="shared" ca="1" si="4"/>
        <v>0.65383866131324575</v>
      </c>
      <c r="C314" s="5" t="s">
        <v>24</v>
      </c>
    </row>
    <row r="315" spans="1:3" x14ac:dyDescent="0.2">
      <c r="A315" s="5">
        <v>313</v>
      </c>
      <c r="B315" s="5">
        <f t="shared" ca="1" si="4"/>
        <v>0.58468830235598812</v>
      </c>
      <c r="C315" s="5" t="s">
        <v>25</v>
      </c>
    </row>
    <row r="316" spans="1:3" x14ac:dyDescent="0.2">
      <c r="A316" s="5">
        <v>314</v>
      </c>
      <c r="B316" s="5">
        <f t="shared" ca="1" si="4"/>
        <v>0.47421213336252677</v>
      </c>
      <c r="C316" s="5" t="s">
        <v>25</v>
      </c>
    </row>
    <row r="317" spans="1:3" x14ac:dyDescent="0.2">
      <c r="A317" s="5">
        <v>315</v>
      </c>
      <c r="B317" s="5">
        <f t="shared" ca="1" si="4"/>
        <v>0.7825424136571858</v>
      </c>
      <c r="C317" s="5" t="s">
        <v>24</v>
      </c>
    </row>
    <row r="318" spans="1:3" x14ac:dyDescent="0.2">
      <c r="A318" s="5">
        <v>316</v>
      </c>
      <c r="B318" s="5">
        <f t="shared" ca="1" si="4"/>
        <v>0.64764288083539678</v>
      </c>
      <c r="C318" s="5" t="s">
        <v>24</v>
      </c>
    </row>
    <row r="319" spans="1:3" x14ac:dyDescent="0.2">
      <c r="A319" s="5">
        <v>317</v>
      </c>
      <c r="B319" s="5">
        <f t="shared" ca="1" si="4"/>
        <v>0.820664236213973</v>
      </c>
      <c r="C319" s="5" t="s">
        <v>25</v>
      </c>
    </row>
    <row r="320" spans="1:3" x14ac:dyDescent="0.2">
      <c r="A320" s="5">
        <v>318</v>
      </c>
      <c r="B320" s="5">
        <f t="shared" ca="1" si="4"/>
        <v>0.8565400824206284</v>
      </c>
      <c r="C320" s="5" t="s">
        <v>24</v>
      </c>
    </row>
    <row r="321" spans="1:3" x14ac:dyDescent="0.2">
      <c r="A321" s="5">
        <v>319</v>
      </c>
      <c r="B321" s="5">
        <f t="shared" ca="1" si="4"/>
        <v>0.63510764631186634</v>
      </c>
      <c r="C321" s="5" t="s">
        <v>25</v>
      </c>
    </row>
    <row r="322" spans="1:3" x14ac:dyDescent="0.2">
      <c r="A322" s="5">
        <v>320</v>
      </c>
      <c r="B322" s="5">
        <f t="shared" ca="1" si="4"/>
        <v>0.58584922563712261</v>
      </c>
      <c r="C322" s="5" t="s">
        <v>25</v>
      </c>
    </row>
    <row r="323" spans="1:3" x14ac:dyDescent="0.2">
      <c r="A323" s="5">
        <v>321</v>
      </c>
      <c r="B323" s="5">
        <f t="shared" ca="1" si="4"/>
        <v>0.63737500286748394</v>
      </c>
      <c r="C323" s="5" t="s">
        <v>24</v>
      </c>
    </row>
    <row r="324" spans="1:3" x14ac:dyDescent="0.2">
      <c r="A324" s="5">
        <v>322</v>
      </c>
      <c r="B324" s="5">
        <f t="shared" ref="B324:B387" ca="1" si="5">IF(C324="Bomb",_xlfn.NORM.INV(RAND(),0.7,0.1),_xlfn.NORM.INV(RAND(),0.6,0.15))</f>
        <v>0.70740913953904394</v>
      </c>
      <c r="C324" s="5" t="s">
        <v>24</v>
      </c>
    </row>
    <row r="325" spans="1:3" x14ac:dyDescent="0.2">
      <c r="A325" s="5">
        <v>323</v>
      </c>
      <c r="B325" s="5">
        <f t="shared" ca="1" si="5"/>
        <v>0.77604436211624872</v>
      </c>
      <c r="C325" s="5" t="s">
        <v>24</v>
      </c>
    </row>
    <row r="326" spans="1:3" x14ac:dyDescent="0.2">
      <c r="A326" s="5">
        <v>324</v>
      </c>
      <c r="B326" s="5">
        <f t="shared" ca="1" si="5"/>
        <v>0.76840680474221656</v>
      </c>
      <c r="C326" s="5" t="s">
        <v>25</v>
      </c>
    </row>
    <row r="327" spans="1:3" x14ac:dyDescent="0.2">
      <c r="A327" s="5">
        <v>325</v>
      </c>
      <c r="B327" s="5">
        <f t="shared" ca="1" si="5"/>
        <v>0.44120673496229995</v>
      </c>
      <c r="C327" s="5" t="s">
        <v>25</v>
      </c>
    </row>
    <row r="328" spans="1:3" x14ac:dyDescent="0.2">
      <c r="A328" s="5">
        <v>326</v>
      </c>
      <c r="B328" s="5">
        <f t="shared" ca="1" si="5"/>
        <v>0.79521650995300308</v>
      </c>
      <c r="C328" s="5" t="s">
        <v>24</v>
      </c>
    </row>
    <row r="329" spans="1:3" x14ac:dyDescent="0.2">
      <c r="A329" s="5">
        <v>327</v>
      </c>
      <c r="B329" s="5">
        <f t="shared" ca="1" si="5"/>
        <v>0.3927156461522659</v>
      </c>
      <c r="C329" s="5" t="s">
        <v>25</v>
      </c>
    </row>
    <row r="330" spans="1:3" x14ac:dyDescent="0.2">
      <c r="A330" s="5">
        <v>328</v>
      </c>
      <c r="B330" s="5">
        <f t="shared" ca="1" si="5"/>
        <v>0.44438533662143431</v>
      </c>
      <c r="C330" s="5" t="s">
        <v>25</v>
      </c>
    </row>
    <row r="331" spans="1:3" x14ac:dyDescent="0.2">
      <c r="A331" s="5">
        <v>329</v>
      </c>
      <c r="B331" s="5">
        <f t="shared" ca="1" si="5"/>
        <v>0.84077956492784478</v>
      </c>
      <c r="C331" s="5" t="s">
        <v>24</v>
      </c>
    </row>
    <row r="332" spans="1:3" x14ac:dyDescent="0.2">
      <c r="A332" s="5">
        <v>330</v>
      </c>
      <c r="B332" s="5">
        <f t="shared" ca="1" si="5"/>
        <v>0.58578577423656064</v>
      </c>
      <c r="C332" s="5" t="s">
        <v>25</v>
      </c>
    </row>
    <row r="333" spans="1:3" x14ac:dyDescent="0.2">
      <c r="A333" s="5">
        <v>331</v>
      </c>
      <c r="B333" s="5">
        <f t="shared" ca="1" si="5"/>
        <v>0.51902559414687788</v>
      </c>
      <c r="C333" s="5" t="s">
        <v>25</v>
      </c>
    </row>
    <row r="334" spans="1:3" x14ac:dyDescent="0.2">
      <c r="A334" s="5">
        <v>332</v>
      </c>
      <c r="B334" s="5">
        <f t="shared" ca="1" si="5"/>
        <v>0.55823581642305131</v>
      </c>
      <c r="C334" s="5" t="s">
        <v>24</v>
      </c>
    </row>
    <row r="335" spans="1:3" x14ac:dyDescent="0.2">
      <c r="A335" s="5">
        <v>333</v>
      </c>
      <c r="B335" s="5">
        <f t="shared" ca="1" si="5"/>
        <v>0.5552626667007321</v>
      </c>
      <c r="C335" s="5" t="s">
        <v>25</v>
      </c>
    </row>
    <row r="336" spans="1:3" x14ac:dyDescent="0.2">
      <c r="A336" s="5">
        <v>334</v>
      </c>
      <c r="B336" s="5">
        <f t="shared" ca="1" si="5"/>
        <v>0.7538758503003643</v>
      </c>
      <c r="C336" s="5" t="s">
        <v>25</v>
      </c>
    </row>
    <row r="337" spans="1:3" x14ac:dyDescent="0.2">
      <c r="A337" s="5">
        <v>335</v>
      </c>
      <c r="B337" s="5">
        <f t="shared" ca="1" si="5"/>
        <v>0.84643186784139568</v>
      </c>
      <c r="C337" s="5" t="s">
        <v>25</v>
      </c>
    </row>
    <row r="338" spans="1:3" x14ac:dyDescent="0.2">
      <c r="A338" s="5">
        <v>336</v>
      </c>
      <c r="B338" s="5">
        <f t="shared" ca="1" si="5"/>
        <v>0.87058430393016384</v>
      </c>
      <c r="C338" s="5" t="s">
        <v>24</v>
      </c>
    </row>
    <row r="339" spans="1:3" x14ac:dyDescent="0.2">
      <c r="A339" s="5">
        <v>337</v>
      </c>
      <c r="B339" s="5">
        <f t="shared" ca="1" si="5"/>
        <v>0.59920722102737134</v>
      </c>
      <c r="C339" s="5" t="s">
        <v>24</v>
      </c>
    </row>
    <row r="340" spans="1:3" x14ac:dyDescent="0.2">
      <c r="A340" s="5">
        <v>338</v>
      </c>
      <c r="B340" s="5">
        <f t="shared" ca="1" si="5"/>
        <v>0.75116693174577687</v>
      </c>
      <c r="C340" s="5" t="s">
        <v>24</v>
      </c>
    </row>
    <row r="341" spans="1:3" x14ac:dyDescent="0.2">
      <c r="A341" s="5">
        <v>339</v>
      </c>
      <c r="B341" s="5">
        <f t="shared" ca="1" si="5"/>
        <v>0.75948636033479133</v>
      </c>
      <c r="C341" s="5" t="s">
        <v>25</v>
      </c>
    </row>
    <row r="342" spans="1:3" x14ac:dyDescent="0.2">
      <c r="A342" s="5">
        <v>340</v>
      </c>
      <c r="B342" s="5">
        <f t="shared" ca="1" si="5"/>
        <v>0.49110373688598413</v>
      </c>
      <c r="C342" s="5" t="s">
        <v>25</v>
      </c>
    </row>
    <row r="343" spans="1:3" x14ac:dyDescent="0.2">
      <c r="A343" s="5">
        <v>341</v>
      </c>
      <c r="B343" s="5">
        <f t="shared" ca="1" si="5"/>
        <v>0.55510699645272721</v>
      </c>
      <c r="C343" s="5" t="s">
        <v>25</v>
      </c>
    </row>
    <row r="344" spans="1:3" x14ac:dyDescent="0.2">
      <c r="A344" s="5">
        <v>342</v>
      </c>
      <c r="B344" s="5">
        <f t="shared" ca="1" si="5"/>
        <v>0.83106861232069695</v>
      </c>
      <c r="C344" s="5" t="s">
        <v>25</v>
      </c>
    </row>
    <row r="345" spans="1:3" x14ac:dyDescent="0.2">
      <c r="A345" s="5">
        <v>343</v>
      </c>
      <c r="B345" s="5">
        <f t="shared" ca="1" si="5"/>
        <v>0.66316735756507583</v>
      </c>
      <c r="C345" s="5" t="s">
        <v>24</v>
      </c>
    </row>
    <row r="346" spans="1:3" x14ac:dyDescent="0.2">
      <c r="A346" s="5">
        <v>344</v>
      </c>
      <c r="B346" s="5">
        <f t="shared" ca="1" si="5"/>
        <v>0.83159921243797585</v>
      </c>
      <c r="C346" s="5" t="s">
        <v>24</v>
      </c>
    </row>
    <row r="347" spans="1:3" x14ac:dyDescent="0.2">
      <c r="A347" s="5">
        <v>345</v>
      </c>
      <c r="B347" s="5">
        <f t="shared" ca="1" si="5"/>
        <v>0.64412949530217534</v>
      </c>
      <c r="C347" s="5" t="s">
        <v>25</v>
      </c>
    </row>
    <row r="348" spans="1:3" x14ac:dyDescent="0.2">
      <c r="A348" s="5">
        <v>346</v>
      </c>
      <c r="B348" s="5">
        <f t="shared" ca="1" si="5"/>
        <v>0.77841654402061045</v>
      </c>
      <c r="C348" s="5" t="s">
        <v>24</v>
      </c>
    </row>
    <row r="349" spans="1:3" x14ac:dyDescent="0.2">
      <c r="A349" s="5">
        <v>347</v>
      </c>
      <c r="B349" s="5">
        <f t="shared" ca="1" si="5"/>
        <v>0.4108361407974066</v>
      </c>
      <c r="C349" s="5" t="s">
        <v>25</v>
      </c>
    </row>
    <row r="350" spans="1:3" x14ac:dyDescent="0.2">
      <c r="A350" s="5">
        <v>348</v>
      </c>
      <c r="B350" s="5">
        <f t="shared" ca="1" si="5"/>
        <v>0.84861293046699549</v>
      </c>
      <c r="C350" s="5" t="s">
        <v>24</v>
      </c>
    </row>
    <row r="351" spans="1:3" x14ac:dyDescent="0.2">
      <c r="A351" s="5">
        <v>349</v>
      </c>
      <c r="B351" s="5">
        <f t="shared" ca="1" si="5"/>
        <v>0.63379406331312105</v>
      </c>
      <c r="C351" s="5" t="s">
        <v>24</v>
      </c>
    </row>
    <row r="352" spans="1:3" x14ac:dyDescent="0.2">
      <c r="A352" s="5">
        <v>350</v>
      </c>
      <c r="B352" s="5">
        <f t="shared" ca="1" si="5"/>
        <v>0.54310302086528206</v>
      </c>
      <c r="C352" s="5" t="s">
        <v>25</v>
      </c>
    </row>
    <row r="353" spans="1:3" x14ac:dyDescent="0.2">
      <c r="A353" s="5">
        <v>351</v>
      </c>
      <c r="B353" s="5">
        <f t="shared" ca="1" si="5"/>
        <v>0.46146543802521689</v>
      </c>
      <c r="C353" s="5" t="s">
        <v>25</v>
      </c>
    </row>
    <row r="354" spans="1:3" x14ac:dyDescent="0.2">
      <c r="A354" s="5">
        <v>352</v>
      </c>
      <c r="B354" s="5">
        <f t="shared" ca="1" si="5"/>
        <v>0.73024218384628736</v>
      </c>
      <c r="C354" s="5" t="s">
        <v>25</v>
      </c>
    </row>
    <row r="355" spans="1:3" x14ac:dyDescent="0.2">
      <c r="A355" s="5">
        <v>353</v>
      </c>
      <c r="B355" s="5">
        <f t="shared" ca="1" si="5"/>
        <v>0.67562565351096704</v>
      </c>
      <c r="C355" s="5" t="s">
        <v>24</v>
      </c>
    </row>
    <row r="356" spans="1:3" x14ac:dyDescent="0.2">
      <c r="A356" s="5">
        <v>354</v>
      </c>
      <c r="B356" s="5">
        <f t="shared" ca="1" si="5"/>
        <v>0.69950119959852308</v>
      </c>
      <c r="C356" s="5" t="s">
        <v>24</v>
      </c>
    </row>
    <row r="357" spans="1:3" x14ac:dyDescent="0.2">
      <c r="A357" s="5">
        <v>355</v>
      </c>
      <c r="B357" s="5">
        <f t="shared" ca="1" si="5"/>
        <v>0.86226587336299321</v>
      </c>
      <c r="C357" s="5" t="s">
        <v>24</v>
      </c>
    </row>
    <row r="358" spans="1:3" x14ac:dyDescent="0.2">
      <c r="A358" s="5">
        <v>356</v>
      </c>
      <c r="B358" s="5">
        <f t="shared" ca="1" si="5"/>
        <v>0.54721380029153743</v>
      </c>
      <c r="C358" s="5" t="s">
        <v>24</v>
      </c>
    </row>
    <row r="359" spans="1:3" x14ac:dyDescent="0.2">
      <c r="A359" s="5">
        <v>357</v>
      </c>
      <c r="B359" s="5">
        <f t="shared" ca="1" si="5"/>
        <v>0.29404756460372272</v>
      </c>
      <c r="C359" s="5" t="s">
        <v>25</v>
      </c>
    </row>
    <row r="360" spans="1:3" x14ac:dyDescent="0.2">
      <c r="A360" s="5">
        <v>358</v>
      </c>
      <c r="B360" s="5">
        <f t="shared" ca="1" si="5"/>
        <v>0.70755166605530206</v>
      </c>
      <c r="C360" s="5" t="s">
        <v>24</v>
      </c>
    </row>
    <row r="361" spans="1:3" x14ac:dyDescent="0.2">
      <c r="A361" s="5">
        <v>359</v>
      </c>
      <c r="B361" s="5">
        <f t="shared" ca="1" si="5"/>
        <v>0.69080335110801261</v>
      </c>
      <c r="C361" s="5" t="s">
        <v>25</v>
      </c>
    </row>
    <row r="362" spans="1:3" x14ac:dyDescent="0.2">
      <c r="A362" s="5">
        <v>360</v>
      </c>
      <c r="B362" s="5">
        <f t="shared" ca="1" si="5"/>
        <v>0.58644720466494016</v>
      </c>
      <c r="C362" s="5" t="s">
        <v>25</v>
      </c>
    </row>
    <row r="363" spans="1:3" x14ac:dyDescent="0.2">
      <c r="A363" s="5">
        <v>361</v>
      </c>
      <c r="B363" s="5">
        <f t="shared" ca="1" si="5"/>
        <v>0.70871206886425209</v>
      </c>
      <c r="C363" s="5" t="s">
        <v>24</v>
      </c>
    </row>
    <row r="364" spans="1:3" x14ac:dyDescent="0.2">
      <c r="A364" s="5">
        <v>362</v>
      </c>
      <c r="B364" s="5">
        <f t="shared" ca="1" si="5"/>
        <v>0.80555820240448628</v>
      </c>
      <c r="C364" s="5" t="s">
        <v>24</v>
      </c>
    </row>
    <row r="365" spans="1:3" x14ac:dyDescent="0.2">
      <c r="A365" s="5">
        <v>363</v>
      </c>
      <c r="B365" s="5">
        <f t="shared" ca="1" si="5"/>
        <v>0.56383169256996801</v>
      </c>
      <c r="C365" s="5" t="s">
        <v>25</v>
      </c>
    </row>
    <row r="366" spans="1:3" x14ac:dyDescent="0.2">
      <c r="A366" s="5">
        <v>364</v>
      </c>
      <c r="B366" s="5">
        <f t="shared" ca="1" si="5"/>
        <v>0.66752937098493648</v>
      </c>
      <c r="C366" s="5" t="s">
        <v>24</v>
      </c>
    </row>
    <row r="367" spans="1:3" x14ac:dyDescent="0.2">
      <c r="A367" s="5">
        <v>365</v>
      </c>
      <c r="B367" s="5">
        <f t="shared" ca="1" si="5"/>
        <v>0.61347776919216468</v>
      </c>
      <c r="C367" s="5" t="s">
        <v>25</v>
      </c>
    </row>
    <row r="368" spans="1:3" x14ac:dyDescent="0.2">
      <c r="A368" s="5">
        <v>366</v>
      </c>
      <c r="B368" s="5">
        <f t="shared" ca="1" si="5"/>
        <v>0.48483774682321557</v>
      </c>
      <c r="C368" s="5" t="s">
        <v>25</v>
      </c>
    </row>
    <row r="369" spans="1:3" x14ac:dyDescent="0.2">
      <c r="A369" s="5">
        <v>367</v>
      </c>
      <c r="B369" s="5">
        <f t="shared" ca="1" si="5"/>
        <v>0.59194560636969284</v>
      </c>
      <c r="C369" s="5" t="s">
        <v>24</v>
      </c>
    </row>
    <row r="370" spans="1:3" x14ac:dyDescent="0.2">
      <c r="A370" s="5">
        <v>368</v>
      </c>
      <c r="B370" s="5">
        <f t="shared" ca="1" si="5"/>
        <v>0.66075104581491251</v>
      </c>
      <c r="C370" s="5" t="s">
        <v>24</v>
      </c>
    </row>
    <row r="371" spans="1:3" x14ac:dyDescent="0.2">
      <c r="A371" s="5">
        <v>369</v>
      </c>
      <c r="B371" s="5">
        <f t="shared" ca="1" si="5"/>
        <v>0.61410357694415829</v>
      </c>
      <c r="C371" s="5" t="s">
        <v>25</v>
      </c>
    </row>
    <row r="372" spans="1:3" x14ac:dyDescent="0.2">
      <c r="A372" s="5">
        <v>370</v>
      </c>
      <c r="B372" s="5">
        <f t="shared" ca="1" si="5"/>
        <v>0.6852334419564694</v>
      </c>
      <c r="C372" s="5" t="s">
        <v>24</v>
      </c>
    </row>
    <row r="373" spans="1:3" x14ac:dyDescent="0.2">
      <c r="A373" s="5">
        <v>371</v>
      </c>
      <c r="B373" s="5">
        <f t="shared" ca="1" si="5"/>
        <v>0.71876559468301127</v>
      </c>
      <c r="C373" s="5" t="s">
        <v>24</v>
      </c>
    </row>
    <row r="374" spans="1:3" x14ac:dyDescent="0.2">
      <c r="A374" s="5">
        <v>372</v>
      </c>
      <c r="B374" s="5">
        <f t="shared" ca="1" si="5"/>
        <v>0.49674471566104694</v>
      </c>
      <c r="C374" s="5" t="s">
        <v>25</v>
      </c>
    </row>
    <row r="375" spans="1:3" x14ac:dyDescent="0.2">
      <c r="A375" s="5">
        <v>373</v>
      </c>
      <c r="B375" s="5">
        <f t="shared" ca="1" si="5"/>
        <v>0.68694129171319995</v>
      </c>
      <c r="C375" s="5" t="s">
        <v>24</v>
      </c>
    </row>
    <row r="376" spans="1:3" x14ac:dyDescent="0.2">
      <c r="A376" s="5">
        <v>374</v>
      </c>
      <c r="B376" s="5">
        <f t="shared" ca="1" si="5"/>
        <v>0.70227116829563996</v>
      </c>
      <c r="C376" s="5" t="s">
        <v>24</v>
      </c>
    </row>
    <row r="377" spans="1:3" x14ac:dyDescent="0.2">
      <c r="A377" s="5">
        <v>375</v>
      </c>
      <c r="B377" s="5">
        <f t="shared" ca="1" si="5"/>
        <v>0.72891431121202288</v>
      </c>
      <c r="C377" s="5" t="s">
        <v>25</v>
      </c>
    </row>
    <row r="378" spans="1:3" x14ac:dyDescent="0.2">
      <c r="A378" s="5">
        <v>376</v>
      </c>
      <c r="B378" s="5">
        <f t="shared" ca="1" si="5"/>
        <v>0.72625346210059039</v>
      </c>
      <c r="C378" s="5" t="s">
        <v>24</v>
      </c>
    </row>
    <row r="379" spans="1:3" x14ac:dyDescent="0.2">
      <c r="A379" s="5">
        <v>377</v>
      </c>
      <c r="B379" s="5">
        <f t="shared" ca="1" si="5"/>
        <v>0.50219527109317819</v>
      </c>
      <c r="C379" s="5" t="s">
        <v>24</v>
      </c>
    </row>
    <row r="380" spans="1:3" x14ac:dyDescent="0.2">
      <c r="A380" s="5">
        <v>378</v>
      </c>
      <c r="B380" s="5">
        <f t="shared" ca="1" si="5"/>
        <v>0.76450285440771182</v>
      </c>
      <c r="C380" s="5" t="s">
        <v>24</v>
      </c>
    </row>
    <row r="381" spans="1:3" x14ac:dyDescent="0.2">
      <c r="A381" s="5">
        <v>379</v>
      </c>
      <c r="B381" s="5">
        <f t="shared" ca="1" si="5"/>
        <v>0.83368729969783639</v>
      </c>
      <c r="C381" s="5" t="s">
        <v>24</v>
      </c>
    </row>
    <row r="382" spans="1:3" x14ac:dyDescent="0.2">
      <c r="A382" s="5">
        <v>380</v>
      </c>
      <c r="B382" s="5">
        <f t="shared" ca="1" si="5"/>
        <v>0.82577027164247929</v>
      </c>
      <c r="C382" s="5" t="s">
        <v>24</v>
      </c>
    </row>
    <row r="383" spans="1:3" x14ac:dyDescent="0.2">
      <c r="A383" s="5">
        <v>381</v>
      </c>
      <c r="B383" s="5">
        <f t="shared" ca="1" si="5"/>
        <v>0.74475780414623216</v>
      </c>
      <c r="C383" s="5" t="s">
        <v>24</v>
      </c>
    </row>
    <row r="384" spans="1:3" x14ac:dyDescent="0.2">
      <c r="A384" s="5">
        <v>382</v>
      </c>
      <c r="B384" s="5">
        <f t="shared" ca="1" si="5"/>
        <v>0.67270333690789863</v>
      </c>
      <c r="C384" s="5" t="s">
        <v>24</v>
      </c>
    </row>
    <row r="385" spans="1:3" x14ac:dyDescent="0.2">
      <c r="A385" s="5">
        <v>383</v>
      </c>
      <c r="B385" s="5">
        <f t="shared" ca="1" si="5"/>
        <v>0.6762917205072736</v>
      </c>
      <c r="C385" s="5" t="s">
        <v>25</v>
      </c>
    </row>
    <row r="386" spans="1:3" x14ac:dyDescent="0.2">
      <c r="A386" s="5">
        <v>384</v>
      </c>
      <c r="B386" s="5">
        <f t="shared" ca="1" si="5"/>
        <v>0.7438177413720356</v>
      </c>
      <c r="C386" s="5" t="s">
        <v>24</v>
      </c>
    </row>
    <row r="387" spans="1:3" x14ac:dyDescent="0.2">
      <c r="A387" s="5">
        <v>385</v>
      </c>
      <c r="B387" s="5">
        <f t="shared" ca="1" si="5"/>
        <v>0.7841430741368699</v>
      </c>
      <c r="C387" s="5" t="s">
        <v>25</v>
      </c>
    </row>
    <row r="388" spans="1:3" x14ac:dyDescent="0.2">
      <c r="A388" s="5">
        <v>386</v>
      </c>
      <c r="B388" s="5">
        <f t="shared" ref="B388:B451" ca="1" si="6">IF(C388="Bomb",_xlfn.NORM.INV(RAND(),0.7,0.1),_xlfn.NORM.INV(RAND(),0.6,0.15))</f>
        <v>0.40734695472697963</v>
      </c>
      <c r="C388" s="5" t="s">
        <v>25</v>
      </c>
    </row>
    <row r="389" spans="1:3" x14ac:dyDescent="0.2">
      <c r="A389" s="5">
        <v>387</v>
      </c>
      <c r="B389" s="5">
        <f t="shared" ca="1" si="6"/>
        <v>0.78167600198502218</v>
      </c>
      <c r="C389" s="5" t="s">
        <v>25</v>
      </c>
    </row>
    <row r="390" spans="1:3" x14ac:dyDescent="0.2">
      <c r="A390" s="5">
        <v>388</v>
      </c>
      <c r="B390" s="5">
        <f t="shared" ca="1" si="6"/>
        <v>0.60119369090642216</v>
      </c>
      <c r="C390" s="5" t="s">
        <v>25</v>
      </c>
    </row>
    <row r="391" spans="1:3" x14ac:dyDescent="0.2">
      <c r="A391" s="5">
        <v>389</v>
      </c>
      <c r="B391" s="5">
        <f t="shared" ca="1" si="6"/>
        <v>0.72626635947221407</v>
      </c>
      <c r="C391" s="5" t="s">
        <v>25</v>
      </c>
    </row>
    <row r="392" spans="1:3" x14ac:dyDescent="0.2">
      <c r="A392" s="5">
        <v>390</v>
      </c>
      <c r="B392" s="5">
        <f t="shared" ca="1" si="6"/>
        <v>0.62704611437487601</v>
      </c>
      <c r="C392" s="5" t="s">
        <v>24</v>
      </c>
    </row>
    <row r="393" spans="1:3" x14ac:dyDescent="0.2">
      <c r="A393" s="5">
        <v>391</v>
      </c>
      <c r="B393" s="5">
        <f t="shared" ca="1" si="6"/>
        <v>0.82211966885406074</v>
      </c>
      <c r="C393" s="5" t="s">
        <v>24</v>
      </c>
    </row>
    <row r="394" spans="1:3" x14ac:dyDescent="0.2">
      <c r="A394" s="5">
        <v>392</v>
      </c>
      <c r="B394" s="5">
        <f t="shared" ca="1" si="6"/>
        <v>0.52847765384411005</v>
      </c>
      <c r="C394" s="5" t="s">
        <v>25</v>
      </c>
    </row>
    <row r="395" spans="1:3" x14ac:dyDescent="0.2">
      <c r="A395" s="5">
        <v>393</v>
      </c>
      <c r="B395" s="5">
        <f t="shared" ca="1" si="6"/>
        <v>0.59173286003683334</v>
      </c>
      <c r="C395" s="5" t="s">
        <v>25</v>
      </c>
    </row>
    <row r="396" spans="1:3" x14ac:dyDescent="0.2">
      <c r="A396" s="5">
        <v>394</v>
      </c>
      <c r="B396" s="5">
        <f t="shared" ca="1" si="6"/>
        <v>0.39129303852862829</v>
      </c>
      <c r="C396" s="5" t="s">
        <v>25</v>
      </c>
    </row>
    <row r="397" spans="1:3" x14ac:dyDescent="0.2">
      <c r="A397" s="5">
        <v>395</v>
      </c>
      <c r="B397" s="5">
        <f t="shared" ca="1" si="6"/>
        <v>0.5814754583992694</v>
      </c>
      <c r="C397" s="5" t="s">
        <v>24</v>
      </c>
    </row>
    <row r="398" spans="1:3" x14ac:dyDescent="0.2">
      <c r="A398" s="5">
        <v>396</v>
      </c>
      <c r="B398" s="5">
        <f t="shared" ca="1" si="6"/>
        <v>0.7997011471828992</v>
      </c>
      <c r="C398" s="5" t="s">
        <v>24</v>
      </c>
    </row>
    <row r="399" spans="1:3" x14ac:dyDescent="0.2">
      <c r="A399" s="5">
        <v>397</v>
      </c>
      <c r="B399" s="5">
        <f t="shared" ca="1" si="6"/>
        <v>0.85370235304083186</v>
      </c>
      <c r="C399" s="5" t="s">
        <v>25</v>
      </c>
    </row>
    <row r="400" spans="1:3" x14ac:dyDescent="0.2">
      <c r="A400" s="5">
        <v>398</v>
      </c>
      <c r="B400" s="5">
        <f t="shared" ca="1" si="6"/>
        <v>0.8115737058965512</v>
      </c>
      <c r="C400" s="5" t="s">
        <v>24</v>
      </c>
    </row>
    <row r="401" spans="1:3" x14ac:dyDescent="0.2">
      <c r="A401" s="5">
        <v>399</v>
      </c>
      <c r="B401" s="5">
        <f t="shared" ca="1" si="6"/>
        <v>0.58628589492910921</v>
      </c>
      <c r="C401" s="5" t="s">
        <v>25</v>
      </c>
    </row>
    <row r="402" spans="1:3" x14ac:dyDescent="0.2">
      <c r="A402" s="5">
        <v>400</v>
      </c>
      <c r="B402" s="5">
        <f t="shared" ca="1" si="6"/>
        <v>0.72759744890904188</v>
      </c>
      <c r="C402" s="5" t="s">
        <v>24</v>
      </c>
    </row>
    <row r="403" spans="1:3" x14ac:dyDescent="0.2">
      <c r="A403" s="5">
        <v>401</v>
      </c>
      <c r="B403" s="5">
        <f t="shared" ca="1" si="6"/>
        <v>0.86307395167095002</v>
      </c>
      <c r="C403" s="5" t="s">
        <v>25</v>
      </c>
    </row>
    <row r="404" spans="1:3" x14ac:dyDescent="0.2">
      <c r="A404" s="5">
        <v>402</v>
      </c>
      <c r="B404" s="5">
        <f t="shared" ca="1" si="6"/>
        <v>0.68355467068299813</v>
      </c>
      <c r="C404" s="5" t="s">
        <v>25</v>
      </c>
    </row>
    <row r="405" spans="1:3" x14ac:dyDescent="0.2">
      <c r="A405" s="5">
        <v>403</v>
      </c>
      <c r="B405" s="5">
        <f t="shared" ca="1" si="6"/>
        <v>0.37577288177970514</v>
      </c>
      <c r="C405" s="5" t="s">
        <v>25</v>
      </c>
    </row>
    <row r="406" spans="1:3" x14ac:dyDescent="0.2">
      <c r="A406" s="5">
        <v>404</v>
      </c>
      <c r="B406" s="5">
        <f t="shared" ca="1" si="6"/>
        <v>0.66878317833072565</v>
      </c>
      <c r="C406" s="5" t="s">
        <v>24</v>
      </c>
    </row>
    <row r="407" spans="1:3" x14ac:dyDescent="0.2">
      <c r="A407" s="5">
        <v>405</v>
      </c>
      <c r="B407" s="5">
        <f t="shared" ca="1" si="6"/>
        <v>0.79091744602781078</v>
      </c>
      <c r="C407" s="5" t="s">
        <v>24</v>
      </c>
    </row>
    <row r="408" spans="1:3" x14ac:dyDescent="0.2">
      <c r="A408" s="5">
        <v>406</v>
      </c>
      <c r="B408" s="5">
        <f t="shared" ca="1" si="6"/>
        <v>0.75051839945134557</v>
      </c>
      <c r="C408" s="5" t="s">
        <v>25</v>
      </c>
    </row>
    <row r="409" spans="1:3" x14ac:dyDescent="0.2">
      <c r="A409" s="5">
        <v>407</v>
      </c>
      <c r="B409" s="5">
        <f t="shared" ca="1" si="6"/>
        <v>0.57228264823807362</v>
      </c>
      <c r="C409" s="5" t="s">
        <v>25</v>
      </c>
    </row>
    <row r="410" spans="1:3" x14ac:dyDescent="0.2">
      <c r="A410" s="5">
        <v>408</v>
      </c>
      <c r="B410" s="5">
        <f t="shared" ca="1" si="6"/>
        <v>0.69237665975573426</v>
      </c>
      <c r="C410" s="5" t="s">
        <v>24</v>
      </c>
    </row>
    <row r="411" spans="1:3" x14ac:dyDescent="0.2">
      <c r="A411" s="5">
        <v>409</v>
      </c>
      <c r="B411" s="5">
        <f t="shared" ca="1" si="6"/>
        <v>0.53064985928401176</v>
      </c>
      <c r="C411" s="5" t="s">
        <v>24</v>
      </c>
    </row>
    <row r="412" spans="1:3" x14ac:dyDescent="0.2">
      <c r="A412" s="5">
        <v>410</v>
      </c>
      <c r="B412" s="5">
        <f t="shared" ca="1" si="6"/>
        <v>0.65544997279968154</v>
      </c>
      <c r="C412" s="5" t="s">
        <v>24</v>
      </c>
    </row>
    <row r="413" spans="1:3" x14ac:dyDescent="0.2">
      <c r="A413" s="5">
        <v>411</v>
      </c>
      <c r="B413" s="5">
        <f t="shared" ca="1" si="6"/>
        <v>0.51735151788315892</v>
      </c>
      <c r="C413" s="5" t="s">
        <v>25</v>
      </c>
    </row>
    <row r="414" spans="1:3" x14ac:dyDescent="0.2">
      <c r="A414" s="5">
        <v>412</v>
      </c>
      <c r="B414" s="5">
        <f t="shared" ca="1" si="6"/>
        <v>0.3078764289750387</v>
      </c>
      <c r="C414" s="5" t="s">
        <v>25</v>
      </c>
    </row>
    <row r="415" spans="1:3" x14ac:dyDescent="0.2">
      <c r="A415" s="5">
        <v>413</v>
      </c>
      <c r="B415" s="5">
        <f t="shared" ca="1" si="6"/>
        <v>0.85123941007487036</v>
      </c>
      <c r="C415" s="5" t="s">
        <v>24</v>
      </c>
    </row>
    <row r="416" spans="1:3" x14ac:dyDescent="0.2">
      <c r="A416" s="5">
        <v>414</v>
      </c>
      <c r="B416" s="5">
        <f t="shared" ca="1" si="6"/>
        <v>0.5950843329246569</v>
      </c>
      <c r="C416" s="5" t="s">
        <v>24</v>
      </c>
    </row>
    <row r="417" spans="1:3" x14ac:dyDescent="0.2">
      <c r="A417" s="5">
        <v>415</v>
      </c>
      <c r="B417" s="5">
        <f t="shared" ca="1" si="6"/>
        <v>0.71380807645530575</v>
      </c>
      <c r="C417" s="5" t="s">
        <v>25</v>
      </c>
    </row>
    <row r="418" spans="1:3" x14ac:dyDescent="0.2">
      <c r="A418" s="5">
        <v>416</v>
      </c>
      <c r="B418" s="5">
        <f t="shared" ca="1" si="6"/>
        <v>0.80927239248528537</v>
      </c>
      <c r="C418" s="5" t="s">
        <v>24</v>
      </c>
    </row>
    <row r="419" spans="1:3" x14ac:dyDescent="0.2">
      <c r="A419" s="5">
        <v>417</v>
      </c>
      <c r="B419" s="5">
        <f t="shared" ca="1" si="6"/>
        <v>0.65856145236509311</v>
      </c>
      <c r="C419" s="5" t="s">
        <v>24</v>
      </c>
    </row>
    <row r="420" spans="1:3" x14ac:dyDescent="0.2">
      <c r="A420" s="5">
        <v>418</v>
      </c>
      <c r="B420" s="5">
        <f t="shared" ca="1" si="6"/>
        <v>0.90867925695840945</v>
      </c>
      <c r="C420" s="5" t="s">
        <v>25</v>
      </c>
    </row>
    <row r="421" spans="1:3" x14ac:dyDescent="0.2">
      <c r="A421" s="5">
        <v>419</v>
      </c>
      <c r="B421" s="5">
        <f t="shared" ca="1" si="6"/>
        <v>0.82992444311597335</v>
      </c>
      <c r="C421" s="5" t="s">
        <v>25</v>
      </c>
    </row>
    <row r="422" spans="1:3" x14ac:dyDescent="0.2">
      <c r="A422" s="5">
        <v>420</v>
      </c>
      <c r="B422" s="5">
        <f t="shared" ca="1" si="6"/>
        <v>0.75690582282615682</v>
      </c>
      <c r="C422" s="5" t="s">
        <v>24</v>
      </c>
    </row>
    <row r="423" spans="1:3" x14ac:dyDescent="0.2">
      <c r="A423" s="5">
        <v>421</v>
      </c>
      <c r="B423" s="5">
        <f t="shared" ca="1" si="6"/>
        <v>0.86060617342461443</v>
      </c>
      <c r="C423" s="5" t="s">
        <v>24</v>
      </c>
    </row>
    <row r="424" spans="1:3" x14ac:dyDescent="0.2">
      <c r="A424" s="5">
        <v>422</v>
      </c>
      <c r="B424" s="5">
        <f t="shared" ca="1" si="6"/>
        <v>0.83797475274181943</v>
      </c>
      <c r="C424" s="5" t="s">
        <v>25</v>
      </c>
    </row>
    <row r="425" spans="1:3" x14ac:dyDescent="0.2">
      <c r="A425" s="5">
        <v>423</v>
      </c>
      <c r="B425" s="5">
        <f t="shared" ca="1" si="6"/>
        <v>1.0164711849490817</v>
      </c>
      <c r="C425" s="5" t="s">
        <v>25</v>
      </c>
    </row>
    <row r="426" spans="1:3" x14ac:dyDescent="0.2">
      <c r="A426" s="5">
        <v>424</v>
      </c>
      <c r="B426" s="5">
        <f t="shared" ca="1" si="6"/>
        <v>0.73324911622745703</v>
      </c>
      <c r="C426" s="5" t="s">
        <v>25</v>
      </c>
    </row>
    <row r="427" spans="1:3" x14ac:dyDescent="0.2">
      <c r="A427" s="5">
        <v>425</v>
      </c>
      <c r="B427" s="5">
        <f t="shared" ca="1" si="6"/>
        <v>0.59111423895041881</v>
      </c>
      <c r="C427" s="5" t="s">
        <v>24</v>
      </c>
    </row>
    <row r="428" spans="1:3" x14ac:dyDescent="0.2">
      <c r="A428" s="5">
        <v>426</v>
      </c>
      <c r="B428" s="5">
        <f t="shared" ca="1" si="6"/>
        <v>0.40541897922296177</v>
      </c>
      <c r="C428" s="5" t="s">
        <v>25</v>
      </c>
    </row>
    <row r="429" spans="1:3" x14ac:dyDescent="0.2">
      <c r="A429" s="5">
        <v>427</v>
      </c>
      <c r="B429" s="5">
        <f t="shared" ca="1" si="6"/>
        <v>0.50040730701215841</v>
      </c>
      <c r="C429" s="5" t="s">
        <v>24</v>
      </c>
    </row>
    <row r="430" spans="1:3" x14ac:dyDescent="0.2">
      <c r="A430" s="5">
        <v>428</v>
      </c>
      <c r="B430" s="5">
        <f t="shared" ca="1" si="6"/>
        <v>0.63642594710014744</v>
      </c>
      <c r="C430" s="5" t="s">
        <v>25</v>
      </c>
    </row>
    <row r="431" spans="1:3" x14ac:dyDescent="0.2">
      <c r="A431" s="5">
        <v>429</v>
      </c>
      <c r="B431" s="5">
        <f t="shared" ca="1" si="6"/>
        <v>0.61202590149769442</v>
      </c>
      <c r="C431" s="5" t="s">
        <v>25</v>
      </c>
    </row>
    <row r="432" spans="1:3" x14ac:dyDescent="0.2">
      <c r="A432" s="5">
        <v>430</v>
      </c>
      <c r="B432" s="5">
        <f t="shared" ca="1" si="6"/>
        <v>0.83006301760018908</v>
      </c>
      <c r="C432" s="5" t="s">
        <v>24</v>
      </c>
    </row>
    <row r="433" spans="1:3" x14ac:dyDescent="0.2">
      <c r="A433" s="5">
        <v>431</v>
      </c>
      <c r="B433" s="5">
        <f t="shared" ca="1" si="6"/>
        <v>0.74614111024711272</v>
      </c>
      <c r="C433" s="5" t="s">
        <v>24</v>
      </c>
    </row>
    <row r="434" spans="1:3" x14ac:dyDescent="0.2">
      <c r="A434" s="5">
        <v>432</v>
      </c>
      <c r="B434" s="5">
        <f t="shared" ca="1" si="6"/>
        <v>0.55546969257580103</v>
      </c>
      <c r="C434" s="5" t="s">
        <v>25</v>
      </c>
    </row>
    <row r="435" spans="1:3" x14ac:dyDescent="0.2">
      <c r="A435" s="5">
        <v>433</v>
      </c>
      <c r="B435" s="5">
        <f t="shared" ca="1" si="6"/>
        <v>0.73436838381944503</v>
      </c>
      <c r="C435" s="5" t="s">
        <v>24</v>
      </c>
    </row>
    <row r="436" spans="1:3" x14ac:dyDescent="0.2">
      <c r="A436" s="5">
        <v>434</v>
      </c>
      <c r="B436" s="5">
        <f t="shared" ca="1" si="6"/>
        <v>0.51958993605602266</v>
      </c>
      <c r="C436" s="5" t="s">
        <v>25</v>
      </c>
    </row>
    <row r="437" spans="1:3" x14ac:dyDescent="0.2">
      <c r="A437" s="5">
        <v>435</v>
      </c>
      <c r="B437" s="5">
        <f t="shared" ca="1" si="6"/>
        <v>0.7730017328774903</v>
      </c>
      <c r="C437" s="5" t="s">
        <v>24</v>
      </c>
    </row>
    <row r="438" spans="1:3" x14ac:dyDescent="0.2">
      <c r="A438" s="5">
        <v>436</v>
      </c>
      <c r="B438" s="5">
        <f t="shared" ca="1" si="6"/>
        <v>0.79805708774693673</v>
      </c>
      <c r="C438" s="5" t="s">
        <v>24</v>
      </c>
    </row>
    <row r="439" spans="1:3" x14ac:dyDescent="0.2">
      <c r="A439" s="5">
        <v>437</v>
      </c>
      <c r="B439" s="5">
        <f t="shared" ca="1" si="6"/>
        <v>0.65656947955394285</v>
      </c>
      <c r="C439" s="5" t="s">
        <v>25</v>
      </c>
    </row>
    <row r="440" spans="1:3" x14ac:dyDescent="0.2">
      <c r="A440" s="5">
        <v>438</v>
      </c>
      <c r="B440" s="5">
        <f t="shared" ca="1" si="6"/>
        <v>0.58455236802002275</v>
      </c>
      <c r="C440" s="5" t="s">
        <v>24</v>
      </c>
    </row>
    <row r="441" spans="1:3" x14ac:dyDescent="0.2">
      <c r="A441" s="5">
        <v>439</v>
      </c>
      <c r="B441" s="5">
        <f t="shared" ca="1" si="6"/>
        <v>0.81920145775028863</v>
      </c>
      <c r="C441" s="5" t="s">
        <v>24</v>
      </c>
    </row>
    <row r="442" spans="1:3" x14ac:dyDescent="0.2">
      <c r="A442" s="5">
        <v>440</v>
      </c>
      <c r="B442" s="5">
        <f t="shared" ca="1" si="6"/>
        <v>0.57566484005096308</v>
      </c>
      <c r="C442" s="5" t="s">
        <v>24</v>
      </c>
    </row>
    <row r="443" spans="1:3" x14ac:dyDescent="0.2">
      <c r="A443" s="5">
        <v>441</v>
      </c>
      <c r="B443" s="5">
        <f t="shared" ca="1" si="6"/>
        <v>0.79978211713526171</v>
      </c>
      <c r="C443" s="5" t="s">
        <v>24</v>
      </c>
    </row>
    <row r="444" spans="1:3" x14ac:dyDescent="0.2">
      <c r="A444" s="5">
        <v>442</v>
      </c>
      <c r="B444" s="5">
        <f t="shared" ca="1" si="6"/>
        <v>0.70078335289292604</v>
      </c>
      <c r="C444" s="5" t="s">
        <v>24</v>
      </c>
    </row>
    <row r="445" spans="1:3" x14ac:dyDescent="0.2">
      <c r="A445" s="5">
        <v>443</v>
      </c>
      <c r="B445" s="5">
        <f t="shared" ca="1" si="6"/>
        <v>0.77359486277172562</v>
      </c>
      <c r="C445" s="5" t="s">
        <v>24</v>
      </c>
    </row>
    <row r="446" spans="1:3" x14ac:dyDescent="0.2">
      <c r="A446" s="5">
        <v>444</v>
      </c>
      <c r="B446" s="5">
        <f t="shared" ca="1" si="6"/>
        <v>0.75385854569123212</v>
      </c>
      <c r="C446" s="5" t="s">
        <v>25</v>
      </c>
    </row>
    <row r="447" spans="1:3" x14ac:dyDescent="0.2">
      <c r="A447" s="5">
        <v>445</v>
      </c>
      <c r="B447" s="5">
        <f t="shared" ca="1" si="6"/>
        <v>0.67816380757970163</v>
      </c>
      <c r="C447" s="5" t="s">
        <v>25</v>
      </c>
    </row>
    <row r="448" spans="1:3" x14ac:dyDescent="0.2">
      <c r="A448" s="5">
        <v>446</v>
      </c>
      <c r="B448" s="5">
        <f t="shared" ca="1" si="6"/>
        <v>0.63262523724658137</v>
      </c>
      <c r="C448" s="5" t="s">
        <v>24</v>
      </c>
    </row>
    <row r="449" spans="1:3" x14ac:dyDescent="0.2">
      <c r="A449" s="5">
        <v>447</v>
      </c>
      <c r="B449" s="5">
        <f t="shared" ca="1" si="6"/>
        <v>0.35589338792574493</v>
      </c>
      <c r="C449" s="5" t="s">
        <v>25</v>
      </c>
    </row>
    <row r="450" spans="1:3" x14ac:dyDescent="0.2">
      <c r="A450" s="5">
        <v>448</v>
      </c>
      <c r="B450" s="5">
        <f t="shared" ca="1" si="6"/>
        <v>0.62132502035938852</v>
      </c>
      <c r="C450" s="5" t="s">
        <v>24</v>
      </c>
    </row>
    <row r="451" spans="1:3" x14ac:dyDescent="0.2">
      <c r="A451" s="5">
        <v>449</v>
      </c>
      <c r="B451" s="5">
        <f t="shared" ca="1" si="6"/>
        <v>0.7173910410176797</v>
      </c>
      <c r="C451" s="5" t="s">
        <v>24</v>
      </c>
    </row>
    <row r="452" spans="1:3" x14ac:dyDescent="0.2">
      <c r="A452" s="5">
        <v>450</v>
      </c>
      <c r="B452" s="5">
        <f t="shared" ref="B452:B515" ca="1" si="7">IF(C452="Bomb",_xlfn.NORM.INV(RAND(),0.7,0.1),_xlfn.NORM.INV(RAND(),0.6,0.15))</f>
        <v>0.62233190611323219</v>
      </c>
      <c r="C452" s="5" t="s">
        <v>25</v>
      </c>
    </row>
    <row r="453" spans="1:3" x14ac:dyDescent="0.2">
      <c r="A453" s="5">
        <v>451</v>
      </c>
      <c r="B453" s="5">
        <f t="shared" ca="1" si="7"/>
        <v>0.61604538608133252</v>
      </c>
      <c r="C453" s="5" t="s">
        <v>24</v>
      </c>
    </row>
    <row r="454" spans="1:3" x14ac:dyDescent="0.2">
      <c r="A454" s="5">
        <v>452</v>
      </c>
      <c r="B454" s="5">
        <f t="shared" ca="1" si="7"/>
        <v>0.7838774955566109</v>
      </c>
      <c r="C454" s="5" t="s">
        <v>24</v>
      </c>
    </row>
    <row r="455" spans="1:3" x14ac:dyDescent="0.2">
      <c r="A455" s="5">
        <v>453</v>
      </c>
      <c r="B455" s="5">
        <f t="shared" ca="1" si="7"/>
        <v>0.72890204160011629</v>
      </c>
      <c r="C455" s="5" t="s">
        <v>25</v>
      </c>
    </row>
    <row r="456" spans="1:3" x14ac:dyDescent="0.2">
      <c r="A456" s="5">
        <v>454</v>
      </c>
      <c r="B456" s="5">
        <f t="shared" ca="1" si="7"/>
        <v>0.63890679297989328</v>
      </c>
      <c r="C456" s="5" t="s">
        <v>24</v>
      </c>
    </row>
    <row r="457" spans="1:3" x14ac:dyDescent="0.2">
      <c r="A457" s="5">
        <v>455</v>
      </c>
      <c r="B457" s="5">
        <f t="shared" ca="1" si="7"/>
        <v>0.44494069586198648</v>
      </c>
      <c r="C457" s="5" t="s">
        <v>25</v>
      </c>
    </row>
    <row r="458" spans="1:3" x14ac:dyDescent="0.2">
      <c r="A458" s="5">
        <v>456</v>
      </c>
      <c r="B458" s="5">
        <f t="shared" ca="1" si="7"/>
        <v>0.58792947491879677</v>
      </c>
      <c r="C458" s="5" t="s">
        <v>25</v>
      </c>
    </row>
    <row r="459" spans="1:3" x14ac:dyDescent="0.2">
      <c r="A459" s="5">
        <v>457</v>
      </c>
      <c r="B459" s="5">
        <f t="shared" ca="1" si="7"/>
        <v>0.75836821940240118</v>
      </c>
      <c r="C459" s="5" t="s">
        <v>25</v>
      </c>
    </row>
    <row r="460" spans="1:3" x14ac:dyDescent="0.2">
      <c r="A460" s="5">
        <v>458</v>
      </c>
      <c r="B460" s="5">
        <f t="shared" ca="1" si="7"/>
        <v>0.57849926678136354</v>
      </c>
      <c r="C460" s="5" t="s">
        <v>25</v>
      </c>
    </row>
    <row r="461" spans="1:3" x14ac:dyDescent="0.2">
      <c r="A461" s="5">
        <v>459</v>
      </c>
      <c r="B461" s="5">
        <f t="shared" ca="1" si="7"/>
        <v>0.70694865610409485</v>
      </c>
      <c r="C461" s="5" t="s">
        <v>24</v>
      </c>
    </row>
    <row r="462" spans="1:3" x14ac:dyDescent="0.2">
      <c r="A462" s="5">
        <v>460</v>
      </c>
      <c r="B462" s="5">
        <f t="shared" ca="1" si="7"/>
        <v>0.7571288856121644</v>
      </c>
      <c r="C462" s="5" t="s">
        <v>24</v>
      </c>
    </row>
    <row r="463" spans="1:3" x14ac:dyDescent="0.2">
      <c r="A463" s="5">
        <v>461</v>
      </c>
      <c r="B463" s="5">
        <f t="shared" ca="1" si="7"/>
        <v>0.74828111674672382</v>
      </c>
      <c r="C463" s="5" t="s">
        <v>25</v>
      </c>
    </row>
    <row r="464" spans="1:3" x14ac:dyDescent="0.2">
      <c r="A464" s="5">
        <v>462</v>
      </c>
      <c r="B464" s="5">
        <f t="shared" ca="1" si="7"/>
        <v>0.56346325075053683</v>
      </c>
      <c r="C464" s="5" t="s">
        <v>24</v>
      </c>
    </row>
    <row r="465" spans="1:3" x14ac:dyDescent="0.2">
      <c r="A465" s="5">
        <v>463</v>
      </c>
      <c r="B465" s="5">
        <f t="shared" ca="1" si="7"/>
        <v>0.62461651187841472</v>
      </c>
      <c r="C465" s="5" t="s">
        <v>24</v>
      </c>
    </row>
    <row r="466" spans="1:3" x14ac:dyDescent="0.2">
      <c r="A466" s="5">
        <v>464</v>
      </c>
      <c r="B466" s="5">
        <f t="shared" ca="1" si="7"/>
        <v>0.60113842153268415</v>
      </c>
      <c r="C466" s="5" t="s">
        <v>24</v>
      </c>
    </row>
    <row r="467" spans="1:3" x14ac:dyDescent="0.2">
      <c r="A467" s="5">
        <v>465</v>
      </c>
      <c r="B467" s="5">
        <f t="shared" ca="1" si="7"/>
        <v>0.652777335811207</v>
      </c>
      <c r="C467" s="5" t="s">
        <v>24</v>
      </c>
    </row>
    <row r="468" spans="1:3" x14ac:dyDescent="0.2">
      <c r="A468" s="5">
        <v>466</v>
      </c>
      <c r="B468" s="5">
        <f t="shared" ca="1" si="7"/>
        <v>0.74774124371965733</v>
      </c>
      <c r="C468" s="5" t="s">
        <v>25</v>
      </c>
    </row>
    <row r="469" spans="1:3" x14ac:dyDescent="0.2">
      <c r="A469" s="5">
        <v>467</v>
      </c>
      <c r="B469" s="5">
        <f t="shared" ca="1" si="7"/>
        <v>0.71325498689872802</v>
      </c>
      <c r="C469" s="5" t="s">
        <v>25</v>
      </c>
    </row>
    <row r="470" spans="1:3" x14ac:dyDescent="0.2">
      <c r="A470" s="5">
        <v>468</v>
      </c>
      <c r="B470" s="5">
        <f t="shared" ca="1" si="7"/>
        <v>0.52285610842231456</v>
      </c>
      <c r="C470" s="5" t="s">
        <v>25</v>
      </c>
    </row>
    <row r="471" spans="1:3" x14ac:dyDescent="0.2">
      <c r="A471" s="5">
        <v>469</v>
      </c>
      <c r="B471" s="5">
        <f t="shared" ca="1" si="7"/>
        <v>0.69233155962653237</v>
      </c>
      <c r="C471" s="5" t="s">
        <v>24</v>
      </c>
    </row>
    <row r="472" spans="1:3" x14ac:dyDescent="0.2">
      <c r="A472" s="5">
        <v>470</v>
      </c>
      <c r="B472" s="5">
        <f t="shared" ca="1" si="7"/>
        <v>0.47277446556939984</v>
      </c>
      <c r="C472" s="5" t="s">
        <v>25</v>
      </c>
    </row>
    <row r="473" spans="1:3" x14ac:dyDescent="0.2">
      <c r="A473" s="5">
        <v>471</v>
      </c>
      <c r="B473" s="5">
        <f t="shared" ca="1" si="7"/>
        <v>0.74714592084172804</v>
      </c>
      <c r="C473" s="5" t="s">
        <v>24</v>
      </c>
    </row>
    <row r="474" spans="1:3" x14ac:dyDescent="0.2">
      <c r="A474" s="5">
        <v>472</v>
      </c>
      <c r="B474" s="5">
        <f t="shared" ca="1" si="7"/>
        <v>0.84506078111930039</v>
      </c>
      <c r="C474" s="5" t="s">
        <v>24</v>
      </c>
    </row>
    <row r="475" spans="1:3" x14ac:dyDescent="0.2">
      <c r="A475" s="5">
        <v>473</v>
      </c>
      <c r="B475" s="5">
        <f t="shared" ca="1" si="7"/>
        <v>0.60064254477684642</v>
      </c>
      <c r="C475" s="5" t="s">
        <v>24</v>
      </c>
    </row>
    <row r="476" spans="1:3" x14ac:dyDescent="0.2">
      <c r="A476" s="5">
        <v>474</v>
      </c>
      <c r="B476" s="5">
        <f t="shared" ca="1" si="7"/>
        <v>0.49231482278111899</v>
      </c>
      <c r="C476" s="5" t="s">
        <v>25</v>
      </c>
    </row>
    <row r="477" spans="1:3" x14ac:dyDescent="0.2">
      <c r="A477" s="5">
        <v>475</v>
      </c>
      <c r="B477" s="5">
        <f t="shared" ca="1" si="7"/>
        <v>0.82054218219905528</v>
      </c>
      <c r="C477" s="5" t="s">
        <v>24</v>
      </c>
    </row>
    <row r="478" spans="1:3" x14ac:dyDescent="0.2">
      <c r="A478" s="5">
        <v>476</v>
      </c>
      <c r="B478" s="5">
        <f t="shared" ca="1" si="7"/>
        <v>0.63476888391089603</v>
      </c>
      <c r="C478" s="5" t="s">
        <v>24</v>
      </c>
    </row>
    <row r="479" spans="1:3" x14ac:dyDescent="0.2">
      <c r="A479" s="5">
        <v>477</v>
      </c>
      <c r="B479" s="5">
        <f t="shared" ca="1" si="7"/>
        <v>0.72720509720098747</v>
      </c>
      <c r="C479" s="5" t="s">
        <v>25</v>
      </c>
    </row>
    <row r="480" spans="1:3" x14ac:dyDescent="0.2">
      <c r="A480" s="5">
        <v>478</v>
      </c>
      <c r="B480" s="5">
        <f t="shared" ca="1" si="7"/>
        <v>0.64488894735338009</v>
      </c>
      <c r="C480" s="5" t="s">
        <v>25</v>
      </c>
    </row>
    <row r="481" spans="1:3" x14ac:dyDescent="0.2">
      <c r="A481" s="5">
        <v>479</v>
      </c>
      <c r="B481" s="5">
        <f t="shared" ca="1" si="7"/>
        <v>0.59112726868329668</v>
      </c>
      <c r="C481" s="5" t="s">
        <v>24</v>
      </c>
    </row>
    <row r="482" spans="1:3" x14ac:dyDescent="0.2">
      <c r="A482" s="5">
        <v>480</v>
      </c>
      <c r="B482" s="5">
        <f t="shared" ca="1" si="7"/>
        <v>0.80970763624855402</v>
      </c>
      <c r="C482" s="5" t="s">
        <v>24</v>
      </c>
    </row>
    <row r="483" spans="1:3" x14ac:dyDescent="0.2">
      <c r="A483" s="5">
        <v>481</v>
      </c>
      <c r="B483" s="5">
        <f t="shared" ca="1" si="7"/>
        <v>0.6150672095523203</v>
      </c>
      <c r="C483" s="5" t="s">
        <v>25</v>
      </c>
    </row>
    <row r="484" spans="1:3" x14ac:dyDescent="0.2">
      <c r="A484" s="5">
        <v>482</v>
      </c>
      <c r="B484" s="5">
        <f t="shared" ca="1" si="7"/>
        <v>0.61390005719823104</v>
      </c>
      <c r="C484" s="5" t="s">
        <v>25</v>
      </c>
    </row>
    <row r="485" spans="1:3" x14ac:dyDescent="0.2">
      <c r="A485" s="5">
        <v>483</v>
      </c>
      <c r="B485" s="5">
        <f t="shared" ca="1" si="7"/>
        <v>0.67923396254310586</v>
      </c>
      <c r="C485" s="5" t="s">
        <v>24</v>
      </c>
    </row>
    <row r="486" spans="1:3" x14ac:dyDescent="0.2">
      <c r="A486" s="5">
        <v>484</v>
      </c>
      <c r="B486" s="5">
        <f t="shared" ca="1" si="7"/>
        <v>0.6604217591322552</v>
      </c>
      <c r="C486" s="5" t="s">
        <v>24</v>
      </c>
    </row>
    <row r="487" spans="1:3" x14ac:dyDescent="0.2">
      <c r="A487" s="5">
        <v>485</v>
      </c>
      <c r="B487" s="5">
        <f t="shared" ca="1" si="7"/>
        <v>0.76290371126640999</v>
      </c>
      <c r="C487" s="5" t="s">
        <v>24</v>
      </c>
    </row>
    <row r="488" spans="1:3" x14ac:dyDescent="0.2">
      <c r="A488" s="5">
        <v>486</v>
      </c>
      <c r="B488" s="5">
        <f t="shared" ca="1" si="7"/>
        <v>0.46711317657890727</v>
      </c>
      <c r="C488" s="5" t="s">
        <v>25</v>
      </c>
    </row>
    <row r="489" spans="1:3" x14ac:dyDescent="0.2">
      <c r="A489" s="5">
        <v>487</v>
      </c>
      <c r="B489" s="5">
        <f t="shared" ca="1" si="7"/>
        <v>0.80024909298377445</v>
      </c>
      <c r="C489" s="5" t="s">
        <v>24</v>
      </c>
    </row>
    <row r="490" spans="1:3" x14ac:dyDescent="0.2">
      <c r="A490" s="5">
        <v>488</v>
      </c>
      <c r="B490" s="5">
        <f t="shared" ca="1" si="7"/>
        <v>0.79132947834551504</v>
      </c>
      <c r="C490" s="5" t="s">
        <v>25</v>
      </c>
    </row>
    <row r="491" spans="1:3" x14ac:dyDescent="0.2">
      <c r="A491" s="5">
        <v>489</v>
      </c>
      <c r="B491" s="5">
        <f t="shared" ca="1" si="7"/>
        <v>0.76797795648460765</v>
      </c>
      <c r="C491" s="5" t="s">
        <v>25</v>
      </c>
    </row>
    <row r="492" spans="1:3" x14ac:dyDescent="0.2">
      <c r="A492" s="5">
        <v>490</v>
      </c>
      <c r="B492" s="5">
        <f t="shared" ca="1" si="7"/>
        <v>0.84133322706798686</v>
      </c>
      <c r="C492" s="5" t="s">
        <v>24</v>
      </c>
    </row>
    <row r="493" spans="1:3" x14ac:dyDescent="0.2">
      <c r="A493" s="5">
        <v>491</v>
      </c>
      <c r="B493" s="5">
        <f t="shared" ca="1" si="7"/>
        <v>0.18844555384037692</v>
      </c>
      <c r="C493" s="5" t="s">
        <v>25</v>
      </c>
    </row>
    <row r="494" spans="1:3" x14ac:dyDescent="0.2">
      <c r="A494" s="5">
        <v>492</v>
      </c>
      <c r="B494" s="5">
        <f t="shared" ca="1" si="7"/>
        <v>0.69312664981406347</v>
      </c>
      <c r="C494" s="5" t="s">
        <v>24</v>
      </c>
    </row>
    <row r="495" spans="1:3" x14ac:dyDescent="0.2">
      <c r="A495" s="5">
        <v>493</v>
      </c>
      <c r="B495" s="5">
        <f t="shared" ca="1" si="7"/>
        <v>0.42418085834553509</v>
      </c>
      <c r="C495" s="5" t="s">
        <v>25</v>
      </c>
    </row>
    <row r="496" spans="1:3" x14ac:dyDescent="0.2">
      <c r="A496" s="5">
        <v>494</v>
      </c>
      <c r="B496" s="5">
        <f t="shared" ca="1" si="7"/>
        <v>0.63478856634350644</v>
      </c>
      <c r="C496" s="5" t="s">
        <v>25</v>
      </c>
    </row>
    <row r="497" spans="1:3" x14ac:dyDescent="0.2">
      <c r="A497" s="5">
        <v>495</v>
      </c>
      <c r="B497" s="5">
        <f t="shared" ca="1" si="7"/>
        <v>0.69353977773045716</v>
      </c>
      <c r="C497" s="5" t="s">
        <v>24</v>
      </c>
    </row>
    <row r="498" spans="1:3" x14ac:dyDescent="0.2">
      <c r="A498" s="5">
        <v>496</v>
      </c>
      <c r="B498" s="5">
        <f t="shared" ca="1" si="7"/>
        <v>0.7921145329466609</v>
      </c>
      <c r="C498" s="5" t="s">
        <v>24</v>
      </c>
    </row>
    <row r="499" spans="1:3" x14ac:dyDescent="0.2">
      <c r="A499" s="5">
        <v>497</v>
      </c>
      <c r="B499" s="5">
        <f t="shared" ca="1" si="7"/>
        <v>0.76129735973110446</v>
      </c>
      <c r="C499" s="5" t="s">
        <v>24</v>
      </c>
    </row>
    <row r="500" spans="1:3" x14ac:dyDescent="0.2">
      <c r="A500" s="5">
        <v>498</v>
      </c>
      <c r="B500" s="5">
        <f t="shared" ca="1" si="7"/>
        <v>0.87038956168534876</v>
      </c>
      <c r="C500" s="5" t="s">
        <v>25</v>
      </c>
    </row>
    <row r="501" spans="1:3" x14ac:dyDescent="0.2">
      <c r="A501" s="5">
        <v>499</v>
      </c>
      <c r="B501" s="5">
        <f t="shared" ca="1" si="7"/>
        <v>0.59740724847710847</v>
      </c>
      <c r="C501" s="5" t="s">
        <v>24</v>
      </c>
    </row>
    <row r="502" spans="1:3" x14ac:dyDescent="0.2">
      <c r="A502" s="5">
        <v>500</v>
      </c>
      <c r="B502" s="5">
        <f t="shared" ca="1" si="7"/>
        <v>0.71440133827366292</v>
      </c>
      <c r="C502" s="5" t="s">
        <v>24</v>
      </c>
    </row>
    <row r="503" spans="1:3" x14ac:dyDescent="0.2">
      <c r="A503" s="5">
        <v>501</v>
      </c>
      <c r="B503" s="5">
        <f t="shared" ca="1" si="7"/>
        <v>0.50248085109053608</v>
      </c>
      <c r="C503" s="5" t="s">
        <v>25</v>
      </c>
    </row>
    <row r="504" spans="1:3" x14ac:dyDescent="0.2">
      <c r="A504" s="5">
        <v>502</v>
      </c>
      <c r="B504" s="5">
        <f t="shared" ca="1" si="7"/>
        <v>0.60490238716665745</v>
      </c>
      <c r="C504" s="5" t="s">
        <v>25</v>
      </c>
    </row>
    <row r="505" spans="1:3" x14ac:dyDescent="0.2">
      <c r="A505" s="5">
        <v>503</v>
      </c>
      <c r="B505" s="5">
        <f t="shared" ca="1" si="7"/>
        <v>0.81604423360303802</v>
      </c>
      <c r="C505" s="5" t="s">
        <v>25</v>
      </c>
    </row>
    <row r="506" spans="1:3" x14ac:dyDescent="0.2">
      <c r="A506" s="5">
        <v>504</v>
      </c>
      <c r="B506" s="5">
        <f t="shared" ca="1" si="7"/>
        <v>0.63766556749654391</v>
      </c>
      <c r="C506" s="5" t="s">
        <v>25</v>
      </c>
    </row>
    <row r="507" spans="1:3" x14ac:dyDescent="0.2">
      <c r="A507" s="5">
        <v>505</v>
      </c>
      <c r="B507" s="5">
        <f t="shared" ca="1" si="7"/>
        <v>0.65340684706242369</v>
      </c>
      <c r="C507" s="5" t="s">
        <v>24</v>
      </c>
    </row>
    <row r="508" spans="1:3" x14ac:dyDescent="0.2">
      <c r="A508" s="5">
        <v>506</v>
      </c>
      <c r="B508" s="5">
        <f t="shared" ca="1" si="7"/>
        <v>0.70654489997587511</v>
      </c>
      <c r="C508" s="5" t="s">
        <v>24</v>
      </c>
    </row>
    <row r="509" spans="1:3" x14ac:dyDescent="0.2">
      <c r="A509" s="5">
        <v>507</v>
      </c>
      <c r="B509" s="5">
        <f t="shared" ca="1" si="7"/>
        <v>0.69727884749700142</v>
      </c>
      <c r="C509" s="5" t="s">
        <v>24</v>
      </c>
    </row>
    <row r="510" spans="1:3" x14ac:dyDescent="0.2">
      <c r="A510" s="5">
        <v>508</v>
      </c>
      <c r="B510" s="5">
        <f t="shared" ca="1" si="7"/>
        <v>0.6525348249981614</v>
      </c>
      <c r="C510" s="5" t="s">
        <v>25</v>
      </c>
    </row>
    <row r="511" spans="1:3" x14ac:dyDescent="0.2">
      <c r="A511" s="5">
        <v>509</v>
      </c>
      <c r="B511" s="5">
        <f t="shared" ca="1" si="7"/>
        <v>0.57348222837401752</v>
      </c>
      <c r="C511" s="5" t="s">
        <v>24</v>
      </c>
    </row>
    <row r="512" spans="1:3" x14ac:dyDescent="0.2">
      <c r="A512" s="5">
        <v>510</v>
      </c>
      <c r="B512" s="5">
        <f t="shared" ca="1" si="7"/>
        <v>0.63450703110165552</v>
      </c>
      <c r="C512" s="5" t="s">
        <v>24</v>
      </c>
    </row>
    <row r="513" spans="1:3" x14ac:dyDescent="0.2">
      <c r="A513" s="5">
        <v>511</v>
      </c>
      <c r="B513" s="5">
        <f t="shared" ca="1" si="7"/>
        <v>0.64498956364362126</v>
      </c>
      <c r="C513" s="5" t="s">
        <v>24</v>
      </c>
    </row>
    <row r="514" spans="1:3" x14ac:dyDescent="0.2">
      <c r="A514" s="5">
        <v>512</v>
      </c>
      <c r="B514" s="5">
        <f t="shared" ca="1" si="7"/>
        <v>0.78548860520754815</v>
      </c>
      <c r="C514" s="5" t="s">
        <v>24</v>
      </c>
    </row>
    <row r="515" spans="1:3" x14ac:dyDescent="0.2">
      <c r="A515" s="5">
        <v>513</v>
      </c>
      <c r="B515" s="5">
        <f t="shared" ca="1" si="7"/>
        <v>0.50587292993311384</v>
      </c>
      <c r="C515" s="5" t="s">
        <v>24</v>
      </c>
    </row>
    <row r="516" spans="1:3" x14ac:dyDescent="0.2">
      <c r="A516" s="5">
        <v>514</v>
      </c>
      <c r="B516" s="5">
        <f t="shared" ref="B516:B579" ca="1" si="8">IF(C516="Bomb",_xlfn.NORM.INV(RAND(),0.7,0.1),_xlfn.NORM.INV(RAND(),0.6,0.15))</f>
        <v>0.62252878979020498</v>
      </c>
      <c r="C516" s="5" t="s">
        <v>25</v>
      </c>
    </row>
    <row r="517" spans="1:3" x14ac:dyDescent="0.2">
      <c r="A517" s="5">
        <v>515</v>
      </c>
      <c r="B517" s="5">
        <f t="shared" ca="1" si="8"/>
        <v>0.74930032342005271</v>
      </c>
      <c r="C517" s="5" t="s">
        <v>24</v>
      </c>
    </row>
    <row r="518" spans="1:3" x14ac:dyDescent="0.2">
      <c r="A518" s="5">
        <v>516</v>
      </c>
      <c r="B518" s="5">
        <f t="shared" ca="1" si="8"/>
        <v>0.76245261776408013</v>
      </c>
      <c r="C518" s="5" t="s">
        <v>24</v>
      </c>
    </row>
    <row r="519" spans="1:3" x14ac:dyDescent="0.2">
      <c r="A519" s="5">
        <v>517</v>
      </c>
      <c r="B519" s="5">
        <f t="shared" ca="1" si="8"/>
        <v>0.81849243098859481</v>
      </c>
      <c r="C519" s="5" t="s">
        <v>24</v>
      </c>
    </row>
    <row r="520" spans="1:3" x14ac:dyDescent="0.2">
      <c r="A520" s="5">
        <v>518</v>
      </c>
      <c r="B520" s="5">
        <f t="shared" ca="1" si="8"/>
        <v>0.68188032809469301</v>
      </c>
      <c r="C520" s="5" t="s">
        <v>25</v>
      </c>
    </row>
    <row r="521" spans="1:3" x14ac:dyDescent="0.2">
      <c r="A521" s="5">
        <v>519</v>
      </c>
      <c r="B521" s="5">
        <f t="shared" ca="1" si="8"/>
        <v>0.72117979148438394</v>
      </c>
      <c r="C521" s="5" t="s">
        <v>24</v>
      </c>
    </row>
    <row r="522" spans="1:3" x14ac:dyDescent="0.2">
      <c r="A522" s="5">
        <v>520</v>
      </c>
      <c r="B522" s="5">
        <f t="shared" ca="1" si="8"/>
        <v>0.56543744940463603</v>
      </c>
      <c r="C522" s="5" t="s">
        <v>25</v>
      </c>
    </row>
    <row r="523" spans="1:3" x14ac:dyDescent="0.2">
      <c r="A523" s="5">
        <v>521</v>
      </c>
      <c r="B523" s="5">
        <f t="shared" ca="1" si="8"/>
        <v>0.64374727601718607</v>
      </c>
      <c r="C523" s="5" t="s">
        <v>25</v>
      </c>
    </row>
    <row r="524" spans="1:3" x14ac:dyDescent="0.2">
      <c r="A524" s="5">
        <v>522</v>
      </c>
      <c r="B524" s="5">
        <f t="shared" ca="1" si="8"/>
        <v>0.78181033733308181</v>
      </c>
      <c r="C524" s="5" t="s">
        <v>24</v>
      </c>
    </row>
    <row r="525" spans="1:3" x14ac:dyDescent="0.2">
      <c r="A525" s="5">
        <v>523</v>
      </c>
      <c r="B525" s="5">
        <f t="shared" ca="1" si="8"/>
        <v>0.8181919248541708</v>
      </c>
      <c r="C525" s="5" t="s">
        <v>24</v>
      </c>
    </row>
    <row r="526" spans="1:3" x14ac:dyDescent="0.2">
      <c r="A526" s="5">
        <v>524</v>
      </c>
      <c r="B526" s="5">
        <f t="shared" ca="1" si="8"/>
        <v>0.62713964403642386</v>
      </c>
      <c r="C526" s="5" t="s">
        <v>25</v>
      </c>
    </row>
    <row r="527" spans="1:3" x14ac:dyDescent="0.2">
      <c r="A527" s="5">
        <v>525</v>
      </c>
      <c r="B527" s="5">
        <f t="shared" ca="1" si="8"/>
        <v>0.69859153871498858</v>
      </c>
      <c r="C527" s="5" t="s">
        <v>24</v>
      </c>
    </row>
    <row r="528" spans="1:3" x14ac:dyDescent="0.2">
      <c r="A528" s="5">
        <v>526</v>
      </c>
      <c r="B528" s="5">
        <f t="shared" ca="1" si="8"/>
        <v>0.70257878544135022</v>
      </c>
      <c r="C528" s="5" t="s">
        <v>25</v>
      </c>
    </row>
    <row r="529" spans="1:3" x14ac:dyDescent="0.2">
      <c r="A529" s="5">
        <v>527</v>
      </c>
      <c r="B529" s="5">
        <f t="shared" ca="1" si="8"/>
        <v>0.59404388788319595</v>
      </c>
      <c r="C529" s="5" t="s">
        <v>25</v>
      </c>
    </row>
    <row r="530" spans="1:3" x14ac:dyDescent="0.2">
      <c r="A530" s="5">
        <v>528</v>
      </c>
      <c r="B530" s="5">
        <f t="shared" ca="1" si="8"/>
        <v>0.76028945887448773</v>
      </c>
      <c r="C530" s="5" t="s">
        <v>24</v>
      </c>
    </row>
    <row r="531" spans="1:3" x14ac:dyDescent="0.2">
      <c r="A531" s="5">
        <v>529</v>
      </c>
      <c r="B531" s="5">
        <f t="shared" ca="1" si="8"/>
        <v>0.73900751005358123</v>
      </c>
      <c r="C531" s="5" t="s">
        <v>24</v>
      </c>
    </row>
    <row r="532" spans="1:3" x14ac:dyDescent="0.2">
      <c r="A532" s="5">
        <v>530</v>
      </c>
      <c r="B532" s="5">
        <f t="shared" ca="1" si="8"/>
        <v>0.95426169513160819</v>
      </c>
      <c r="C532" s="5" t="s">
        <v>25</v>
      </c>
    </row>
    <row r="533" spans="1:3" x14ac:dyDescent="0.2">
      <c r="A533" s="5">
        <v>531</v>
      </c>
      <c r="B533" s="5">
        <f t="shared" ca="1" si="8"/>
        <v>0.64005181442566117</v>
      </c>
      <c r="C533" s="5" t="s">
        <v>24</v>
      </c>
    </row>
    <row r="534" spans="1:3" x14ac:dyDescent="0.2">
      <c r="A534" s="5">
        <v>532</v>
      </c>
      <c r="B534" s="5">
        <f t="shared" ca="1" si="8"/>
        <v>0.52129855669001168</v>
      </c>
      <c r="C534" s="5" t="s">
        <v>25</v>
      </c>
    </row>
    <row r="535" spans="1:3" x14ac:dyDescent="0.2">
      <c r="A535" s="5">
        <v>533</v>
      </c>
      <c r="B535" s="5">
        <f t="shared" ca="1" si="8"/>
        <v>0.59296390923041742</v>
      </c>
      <c r="C535" s="5" t="s">
        <v>25</v>
      </c>
    </row>
    <row r="536" spans="1:3" x14ac:dyDescent="0.2">
      <c r="A536" s="5">
        <v>534</v>
      </c>
      <c r="B536" s="5">
        <f t="shared" ca="1" si="8"/>
        <v>0.84855927954754407</v>
      </c>
      <c r="C536" s="5" t="s">
        <v>24</v>
      </c>
    </row>
    <row r="537" spans="1:3" x14ac:dyDescent="0.2">
      <c r="A537" s="5">
        <v>535</v>
      </c>
      <c r="B537" s="5">
        <f t="shared" ca="1" si="8"/>
        <v>0.82997731132880248</v>
      </c>
      <c r="C537" s="5" t="s">
        <v>25</v>
      </c>
    </row>
    <row r="538" spans="1:3" x14ac:dyDescent="0.2">
      <c r="A538" s="5">
        <v>536</v>
      </c>
      <c r="B538" s="5">
        <f t="shared" ca="1" si="8"/>
        <v>0.50217038692068483</v>
      </c>
      <c r="C538" s="5" t="s">
        <v>25</v>
      </c>
    </row>
    <row r="539" spans="1:3" x14ac:dyDescent="0.2">
      <c r="A539" s="5">
        <v>537</v>
      </c>
      <c r="B539" s="5">
        <f t="shared" ca="1" si="8"/>
        <v>0.57310558267943246</v>
      </c>
      <c r="C539" s="5" t="s">
        <v>25</v>
      </c>
    </row>
    <row r="540" spans="1:3" x14ac:dyDescent="0.2">
      <c r="A540" s="5">
        <v>538</v>
      </c>
      <c r="B540" s="5">
        <f t="shared" ca="1" si="8"/>
        <v>0.60539884707924752</v>
      </c>
      <c r="C540" s="5" t="s">
        <v>24</v>
      </c>
    </row>
    <row r="541" spans="1:3" x14ac:dyDescent="0.2">
      <c r="A541" s="5">
        <v>539</v>
      </c>
      <c r="B541" s="5">
        <f t="shared" ca="1" si="8"/>
        <v>0.62243153848713462</v>
      </c>
      <c r="C541" s="5" t="s">
        <v>25</v>
      </c>
    </row>
    <row r="542" spans="1:3" x14ac:dyDescent="0.2">
      <c r="A542" s="5">
        <v>540</v>
      </c>
      <c r="B542" s="5">
        <f t="shared" ca="1" si="8"/>
        <v>0.81422153589211377</v>
      </c>
      <c r="C542" s="5" t="s">
        <v>25</v>
      </c>
    </row>
    <row r="543" spans="1:3" x14ac:dyDescent="0.2">
      <c r="A543" s="5">
        <v>541</v>
      </c>
      <c r="B543" s="5">
        <f t="shared" ca="1" si="8"/>
        <v>0.62173194066344228</v>
      </c>
      <c r="C543" s="5" t="s">
        <v>25</v>
      </c>
    </row>
    <row r="544" spans="1:3" x14ac:dyDescent="0.2">
      <c r="A544" s="5">
        <v>542</v>
      </c>
      <c r="B544" s="5">
        <f t="shared" ca="1" si="8"/>
        <v>0.70348948845337334</v>
      </c>
      <c r="C544" s="5" t="s">
        <v>24</v>
      </c>
    </row>
    <row r="545" spans="1:3" x14ac:dyDescent="0.2">
      <c r="A545" s="5">
        <v>543</v>
      </c>
      <c r="B545" s="5">
        <f t="shared" ca="1" si="8"/>
        <v>0.44610167725604899</v>
      </c>
      <c r="C545" s="5" t="s">
        <v>24</v>
      </c>
    </row>
    <row r="546" spans="1:3" x14ac:dyDescent="0.2">
      <c r="A546" s="5">
        <v>544</v>
      </c>
      <c r="B546" s="5">
        <f t="shared" ca="1" si="8"/>
        <v>0.62779336754767656</v>
      </c>
      <c r="C546" s="5" t="s">
        <v>24</v>
      </c>
    </row>
    <row r="547" spans="1:3" x14ac:dyDescent="0.2">
      <c r="A547" s="5">
        <v>545</v>
      </c>
      <c r="B547" s="5">
        <f t="shared" ca="1" si="8"/>
        <v>0.71194612016356307</v>
      </c>
      <c r="C547" s="5" t="s">
        <v>25</v>
      </c>
    </row>
    <row r="548" spans="1:3" x14ac:dyDescent="0.2">
      <c r="A548" s="5">
        <v>546</v>
      </c>
      <c r="B548" s="5">
        <f t="shared" ca="1" si="8"/>
        <v>0.74805116520672688</v>
      </c>
      <c r="C548" s="5" t="s">
        <v>25</v>
      </c>
    </row>
    <row r="549" spans="1:3" x14ac:dyDescent="0.2">
      <c r="A549" s="5">
        <v>547</v>
      </c>
      <c r="B549" s="5">
        <f t="shared" ca="1" si="8"/>
        <v>0.61291931121257692</v>
      </c>
      <c r="C549" s="5" t="s">
        <v>24</v>
      </c>
    </row>
    <row r="550" spans="1:3" x14ac:dyDescent="0.2">
      <c r="A550" s="5">
        <v>548</v>
      </c>
      <c r="B550" s="5">
        <f t="shared" ca="1" si="8"/>
        <v>0.6768225230129673</v>
      </c>
      <c r="C550" s="5" t="s">
        <v>24</v>
      </c>
    </row>
    <row r="551" spans="1:3" x14ac:dyDescent="0.2">
      <c r="A551" s="5">
        <v>549</v>
      </c>
      <c r="B551" s="5">
        <f t="shared" ca="1" si="8"/>
        <v>0.71276399466955287</v>
      </c>
      <c r="C551" s="5" t="s">
        <v>25</v>
      </c>
    </row>
    <row r="552" spans="1:3" x14ac:dyDescent="0.2">
      <c r="A552" s="5">
        <v>550</v>
      </c>
      <c r="B552" s="5">
        <f t="shared" ca="1" si="8"/>
        <v>0.65846805283384369</v>
      </c>
      <c r="C552" s="5" t="s">
        <v>24</v>
      </c>
    </row>
    <row r="553" spans="1:3" x14ac:dyDescent="0.2">
      <c r="A553" s="5">
        <v>551</v>
      </c>
      <c r="B553" s="5">
        <f t="shared" ca="1" si="8"/>
        <v>0.63518783113470001</v>
      </c>
      <c r="C553" s="5" t="s">
        <v>25</v>
      </c>
    </row>
    <row r="554" spans="1:3" x14ac:dyDescent="0.2">
      <c r="A554" s="5">
        <v>552</v>
      </c>
      <c r="B554" s="5">
        <f t="shared" ca="1" si="8"/>
        <v>0.77478065296883158</v>
      </c>
      <c r="C554" s="5" t="s">
        <v>25</v>
      </c>
    </row>
    <row r="555" spans="1:3" x14ac:dyDescent="0.2">
      <c r="A555" s="5">
        <v>553</v>
      </c>
      <c r="B555" s="5">
        <f t="shared" ca="1" si="8"/>
        <v>0.7920567907789019</v>
      </c>
      <c r="C555" s="5" t="s">
        <v>25</v>
      </c>
    </row>
    <row r="556" spans="1:3" x14ac:dyDescent="0.2">
      <c r="A556" s="5">
        <v>554</v>
      </c>
      <c r="B556" s="5">
        <f t="shared" ca="1" si="8"/>
        <v>0.42689314421449953</v>
      </c>
      <c r="C556" s="5" t="s">
        <v>24</v>
      </c>
    </row>
    <row r="557" spans="1:3" x14ac:dyDescent="0.2">
      <c r="A557" s="5">
        <v>555</v>
      </c>
      <c r="B557" s="5">
        <f t="shared" ca="1" si="8"/>
        <v>0.48607790586728455</v>
      </c>
      <c r="C557" s="5" t="s">
        <v>25</v>
      </c>
    </row>
    <row r="558" spans="1:3" x14ac:dyDescent="0.2">
      <c r="A558" s="5">
        <v>556</v>
      </c>
      <c r="B558" s="5">
        <f t="shared" ca="1" si="8"/>
        <v>0.61533401793051823</v>
      </c>
      <c r="C558" s="5" t="s">
        <v>24</v>
      </c>
    </row>
    <row r="559" spans="1:3" x14ac:dyDescent="0.2">
      <c r="A559" s="5">
        <v>557</v>
      </c>
      <c r="B559" s="5">
        <f t="shared" ca="1" si="8"/>
        <v>0.68439393299473261</v>
      </c>
      <c r="C559" s="5" t="s">
        <v>24</v>
      </c>
    </row>
    <row r="560" spans="1:3" x14ac:dyDescent="0.2">
      <c r="A560" s="5">
        <v>558</v>
      </c>
      <c r="B560" s="5">
        <f t="shared" ca="1" si="8"/>
        <v>0.81080483253610458</v>
      </c>
      <c r="C560" s="5" t="s">
        <v>25</v>
      </c>
    </row>
    <row r="561" spans="1:3" x14ac:dyDescent="0.2">
      <c r="A561" s="5">
        <v>559</v>
      </c>
      <c r="B561" s="5">
        <f t="shared" ca="1" si="8"/>
        <v>0.76401081777554603</v>
      </c>
      <c r="C561" s="5" t="s">
        <v>24</v>
      </c>
    </row>
    <row r="562" spans="1:3" x14ac:dyDescent="0.2">
      <c r="A562" s="5">
        <v>560</v>
      </c>
      <c r="B562" s="5">
        <f t="shared" ca="1" si="8"/>
        <v>0.48927582434499362</v>
      </c>
      <c r="C562" s="5" t="s">
        <v>25</v>
      </c>
    </row>
    <row r="563" spans="1:3" x14ac:dyDescent="0.2">
      <c r="A563" s="5">
        <v>561</v>
      </c>
      <c r="B563" s="5">
        <f t="shared" ca="1" si="8"/>
        <v>0.58872873724293229</v>
      </c>
      <c r="C563" s="5" t="s">
        <v>25</v>
      </c>
    </row>
    <row r="564" spans="1:3" x14ac:dyDescent="0.2">
      <c r="A564" s="5">
        <v>562</v>
      </c>
      <c r="B564" s="5">
        <f t="shared" ca="1" si="8"/>
        <v>0.43347757013230581</v>
      </c>
      <c r="C564" s="5" t="s">
        <v>25</v>
      </c>
    </row>
    <row r="565" spans="1:3" x14ac:dyDescent="0.2">
      <c r="A565" s="5">
        <v>563</v>
      </c>
      <c r="B565" s="5">
        <f t="shared" ca="1" si="8"/>
        <v>0.36149572589468243</v>
      </c>
      <c r="C565" s="5" t="s">
        <v>25</v>
      </c>
    </row>
    <row r="566" spans="1:3" x14ac:dyDescent="0.2">
      <c r="A566" s="5">
        <v>564</v>
      </c>
      <c r="B566" s="5">
        <f t="shared" ca="1" si="8"/>
        <v>0.70522532007794503</v>
      </c>
      <c r="C566" s="5" t="s">
        <v>25</v>
      </c>
    </row>
    <row r="567" spans="1:3" x14ac:dyDescent="0.2">
      <c r="A567" s="5">
        <v>565</v>
      </c>
      <c r="B567" s="5">
        <f t="shared" ca="1" si="8"/>
        <v>0.44486969113265334</v>
      </c>
      <c r="C567" s="5" t="s">
        <v>25</v>
      </c>
    </row>
    <row r="568" spans="1:3" x14ac:dyDescent="0.2">
      <c r="A568" s="5">
        <v>566</v>
      </c>
      <c r="B568" s="5">
        <f t="shared" ca="1" si="8"/>
        <v>0.75009746250742715</v>
      </c>
      <c r="C568" s="5" t="s">
        <v>24</v>
      </c>
    </row>
    <row r="569" spans="1:3" x14ac:dyDescent="0.2">
      <c r="A569" s="5">
        <v>567</v>
      </c>
      <c r="B569" s="5">
        <f t="shared" ca="1" si="8"/>
        <v>0.57118965812442601</v>
      </c>
      <c r="C569" s="5" t="s">
        <v>24</v>
      </c>
    </row>
    <row r="570" spans="1:3" x14ac:dyDescent="0.2">
      <c r="A570" s="5">
        <v>568</v>
      </c>
      <c r="B570" s="5">
        <f t="shared" ca="1" si="8"/>
        <v>0.61421373333976925</v>
      </c>
      <c r="C570" s="5" t="s">
        <v>24</v>
      </c>
    </row>
    <row r="571" spans="1:3" x14ac:dyDescent="0.2">
      <c r="A571" s="5">
        <v>569</v>
      </c>
      <c r="B571" s="5">
        <f t="shared" ca="1" si="8"/>
        <v>0.48975445749239227</v>
      </c>
      <c r="C571" s="5" t="s">
        <v>25</v>
      </c>
    </row>
    <row r="572" spans="1:3" x14ac:dyDescent="0.2">
      <c r="A572" s="5">
        <v>570</v>
      </c>
      <c r="B572" s="5">
        <f t="shared" ca="1" si="8"/>
        <v>0.64316934668538728</v>
      </c>
      <c r="C572" s="5" t="s">
        <v>24</v>
      </c>
    </row>
    <row r="573" spans="1:3" x14ac:dyDescent="0.2">
      <c r="A573" s="5">
        <v>571</v>
      </c>
      <c r="B573" s="5">
        <f t="shared" ca="1" si="8"/>
        <v>0.81998118274771625</v>
      </c>
      <c r="C573" s="5" t="s">
        <v>25</v>
      </c>
    </row>
    <row r="574" spans="1:3" x14ac:dyDescent="0.2">
      <c r="A574" s="5">
        <v>572</v>
      </c>
      <c r="B574" s="5">
        <f t="shared" ca="1" si="8"/>
        <v>0.67525678758415564</v>
      </c>
      <c r="C574" s="5" t="s">
        <v>24</v>
      </c>
    </row>
    <row r="575" spans="1:3" x14ac:dyDescent="0.2">
      <c r="A575" s="5">
        <v>573</v>
      </c>
      <c r="B575" s="5">
        <f t="shared" ca="1" si="8"/>
        <v>0.66015332344640143</v>
      </c>
      <c r="C575" s="5" t="s">
        <v>24</v>
      </c>
    </row>
    <row r="576" spans="1:3" x14ac:dyDescent="0.2">
      <c r="A576" s="5">
        <v>574</v>
      </c>
      <c r="B576" s="5">
        <f t="shared" ca="1" si="8"/>
        <v>0.66834168911672132</v>
      </c>
      <c r="C576" s="5" t="s">
        <v>24</v>
      </c>
    </row>
    <row r="577" spans="1:3" x14ac:dyDescent="0.2">
      <c r="A577" s="5">
        <v>575</v>
      </c>
      <c r="B577" s="5">
        <f t="shared" ca="1" si="8"/>
        <v>0.40174407028186809</v>
      </c>
      <c r="C577" s="5" t="s">
        <v>25</v>
      </c>
    </row>
    <row r="578" spans="1:3" x14ac:dyDescent="0.2">
      <c r="A578" s="5">
        <v>576</v>
      </c>
      <c r="B578" s="5">
        <f t="shared" ca="1" si="8"/>
        <v>0.63895104506111267</v>
      </c>
      <c r="C578" s="5" t="s">
        <v>25</v>
      </c>
    </row>
    <row r="579" spans="1:3" x14ac:dyDescent="0.2">
      <c r="A579" s="5">
        <v>577</v>
      </c>
      <c r="B579" s="5">
        <f t="shared" ca="1" si="8"/>
        <v>0.62141853117658352</v>
      </c>
      <c r="C579" s="5" t="s">
        <v>25</v>
      </c>
    </row>
    <row r="580" spans="1:3" x14ac:dyDescent="0.2">
      <c r="A580" s="5">
        <v>578</v>
      </c>
      <c r="B580" s="5">
        <f t="shared" ref="B580:B643" ca="1" si="9">IF(C580="Bomb",_xlfn.NORM.INV(RAND(),0.7,0.1),_xlfn.NORM.INV(RAND(),0.6,0.15))</f>
        <v>0.8582322542293741</v>
      </c>
      <c r="C580" s="5" t="s">
        <v>24</v>
      </c>
    </row>
    <row r="581" spans="1:3" x14ac:dyDescent="0.2">
      <c r="A581" s="5">
        <v>579</v>
      </c>
      <c r="B581" s="5">
        <f t="shared" ca="1" si="9"/>
        <v>0.64314197169233744</v>
      </c>
      <c r="C581" s="5" t="s">
        <v>24</v>
      </c>
    </row>
    <row r="582" spans="1:3" x14ac:dyDescent="0.2">
      <c r="A582" s="5">
        <v>580</v>
      </c>
      <c r="B582" s="5">
        <f t="shared" ca="1" si="9"/>
        <v>0.76678208044304275</v>
      </c>
      <c r="C582" s="5" t="s">
        <v>24</v>
      </c>
    </row>
    <row r="583" spans="1:3" x14ac:dyDescent="0.2">
      <c r="A583" s="5">
        <v>581</v>
      </c>
      <c r="B583" s="5">
        <f t="shared" ca="1" si="9"/>
        <v>0.53995578370529718</v>
      </c>
      <c r="C583" s="5" t="s">
        <v>25</v>
      </c>
    </row>
    <row r="584" spans="1:3" x14ac:dyDescent="0.2">
      <c r="A584" s="5">
        <v>582</v>
      </c>
      <c r="B584" s="5">
        <f t="shared" ca="1" si="9"/>
        <v>0.67599498225477661</v>
      </c>
      <c r="C584" s="5" t="s">
        <v>24</v>
      </c>
    </row>
    <row r="585" spans="1:3" x14ac:dyDescent="0.2">
      <c r="A585" s="5">
        <v>583</v>
      </c>
      <c r="B585" s="5">
        <f t="shared" ca="1" si="9"/>
        <v>0.43744327471047806</v>
      </c>
      <c r="C585" s="5" t="s">
        <v>25</v>
      </c>
    </row>
    <row r="586" spans="1:3" x14ac:dyDescent="0.2">
      <c r="A586" s="5">
        <v>584</v>
      </c>
      <c r="B586" s="5">
        <f t="shared" ca="1" si="9"/>
        <v>0.69066158300447011</v>
      </c>
      <c r="C586" s="5" t="s">
        <v>24</v>
      </c>
    </row>
    <row r="587" spans="1:3" x14ac:dyDescent="0.2">
      <c r="A587" s="5">
        <v>585</v>
      </c>
      <c r="B587" s="5">
        <f t="shared" ca="1" si="9"/>
        <v>0.67153200464373508</v>
      </c>
      <c r="C587" s="5" t="s">
        <v>25</v>
      </c>
    </row>
    <row r="588" spans="1:3" x14ac:dyDescent="0.2">
      <c r="A588" s="5">
        <v>586</v>
      </c>
      <c r="B588" s="5">
        <f t="shared" ca="1" si="9"/>
        <v>0.49925626311986515</v>
      </c>
      <c r="C588" s="5" t="s">
        <v>25</v>
      </c>
    </row>
    <row r="589" spans="1:3" x14ac:dyDescent="0.2">
      <c r="A589" s="5">
        <v>587</v>
      </c>
      <c r="B589" s="5">
        <f t="shared" ca="1" si="9"/>
        <v>0.70602200286852734</v>
      </c>
      <c r="C589" s="5" t="s">
        <v>24</v>
      </c>
    </row>
    <row r="590" spans="1:3" x14ac:dyDescent="0.2">
      <c r="A590" s="5">
        <v>588</v>
      </c>
      <c r="B590" s="5">
        <f t="shared" ca="1" si="9"/>
        <v>0.74905736174396753</v>
      </c>
      <c r="C590" s="5" t="s">
        <v>25</v>
      </c>
    </row>
    <row r="591" spans="1:3" x14ac:dyDescent="0.2">
      <c r="A591" s="5">
        <v>589</v>
      </c>
      <c r="B591" s="5">
        <f t="shared" ca="1" si="9"/>
        <v>0.63118123911015112</v>
      </c>
      <c r="C591" s="5" t="s">
        <v>25</v>
      </c>
    </row>
    <row r="592" spans="1:3" x14ac:dyDescent="0.2">
      <c r="A592" s="5">
        <v>590</v>
      </c>
      <c r="B592" s="5">
        <f t="shared" ca="1" si="9"/>
        <v>0.70309253490733314</v>
      </c>
      <c r="C592" s="5" t="s">
        <v>24</v>
      </c>
    </row>
    <row r="593" spans="1:3" x14ac:dyDescent="0.2">
      <c r="A593" s="5">
        <v>591</v>
      </c>
      <c r="B593" s="5">
        <f t="shared" ca="1" si="9"/>
        <v>0.58014883944878759</v>
      </c>
      <c r="C593" s="5" t="s">
        <v>25</v>
      </c>
    </row>
    <row r="594" spans="1:3" x14ac:dyDescent="0.2">
      <c r="A594" s="5">
        <v>592</v>
      </c>
      <c r="B594" s="5">
        <f t="shared" ca="1" si="9"/>
        <v>0.71101761939768715</v>
      </c>
      <c r="C594" s="5" t="s">
        <v>24</v>
      </c>
    </row>
    <row r="595" spans="1:3" x14ac:dyDescent="0.2">
      <c r="A595" s="5">
        <v>593</v>
      </c>
      <c r="B595" s="5">
        <f t="shared" ca="1" si="9"/>
        <v>0.56305692922094064</v>
      </c>
      <c r="C595" s="5" t="s">
        <v>25</v>
      </c>
    </row>
    <row r="596" spans="1:3" x14ac:dyDescent="0.2">
      <c r="A596" s="5">
        <v>594</v>
      </c>
      <c r="B596" s="5">
        <f t="shared" ca="1" si="9"/>
        <v>0.69055710560512151</v>
      </c>
      <c r="C596" s="5" t="s">
        <v>24</v>
      </c>
    </row>
    <row r="597" spans="1:3" x14ac:dyDescent="0.2">
      <c r="A597" s="5">
        <v>595</v>
      </c>
      <c r="B597" s="5">
        <f t="shared" ca="1" si="9"/>
        <v>0.73602177814818837</v>
      </c>
      <c r="C597" s="5" t="s">
        <v>24</v>
      </c>
    </row>
    <row r="598" spans="1:3" x14ac:dyDescent="0.2">
      <c r="A598" s="5">
        <v>596</v>
      </c>
      <c r="B598" s="5">
        <f t="shared" ca="1" si="9"/>
        <v>0.56476198830214763</v>
      </c>
      <c r="C598" s="5" t="s">
        <v>24</v>
      </c>
    </row>
    <row r="599" spans="1:3" x14ac:dyDescent="0.2">
      <c r="A599" s="5">
        <v>597</v>
      </c>
      <c r="B599" s="5">
        <f t="shared" ca="1" si="9"/>
        <v>0.63708711265329876</v>
      </c>
      <c r="C599" s="5" t="s">
        <v>24</v>
      </c>
    </row>
    <row r="600" spans="1:3" x14ac:dyDescent="0.2">
      <c r="A600" s="5">
        <v>598</v>
      </c>
      <c r="B600" s="5">
        <f t="shared" ca="1" si="9"/>
        <v>0.22403573241868041</v>
      </c>
      <c r="C600" s="5" t="s">
        <v>25</v>
      </c>
    </row>
    <row r="601" spans="1:3" x14ac:dyDescent="0.2">
      <c r="A601" s="5">
        <v>599</v>
      </c>
      <c r="B601" s="5">
        <f t="shared" ca="1" si="9"/>
        <v>0.70855439825901978</v>
      </c>
      <c r="C601" s="5" t="s">
        <v>24</v>
      </c>
    </row>
    <row r="602" spans="1:3" x14ac:dyDescent="0.2">
      <c r="A602" s="5">
        <v>600</v>
      </c>
      <c r="B602" s="5">
        <f t="shared" ca="1" si="9"/>
        <v>0.71837797168560691</v>
      </c>
      <c r="C602" s="5" t="s">
        <v>24</v>
      </c>
    </row>
    <row r="603" spans="1:3" x14ac:dyDescent="0.2">
      <c r="A603" s="5">
        <v>601</v>
      </c>
      <c r="B603" s="5">
        <f t="shared" ca="1" si="9"/>
        <v>0.52290766898617325</v>
      </c>
      <c r="C603" s="5" t="s">
        <v>25</v>
      </c>
    </row>
    <row r="604" spans="1:3" x14ac:dyDescent="0.2">
      <c r="A604" s="5">
        <v>602</v>
      </c>
      <c r="B604" s="5">
        <f t="shared" ca="1" si="9"/>
        <v>0.44692998647516025</v>
      </c>
      <c r="C604" s="5" t="s">
        <v>25</v>
      </c>
    </row>
    <row r="605" spans="1:3" x14ac:dyDescent="0.2">
      <c r="A605" s="5">
        <v>603</v>
      </c>
      <c r="B605" s="5">
        <f t="shared" ca="1" si="9"/>
        <v>0.71666844602768853</v>
      </c>
      <c r="C605" s="5" t="s">
        <v>25</v>
      </c>
    </row>
    <row r="606" spans="1:3" x14ac:dyDescent="0.2">
      <c r="A606" s="5">
        <v>604</v>
      </c>
      <c r="B606" s="5">
        <f t="shared" ca="1" si="9"/>
        <v>0.57208889898157589</v>
      </c>
      <c r="C606" s="5" t="s">
        <v>24</v>
      </c>
    </row>
    <row r="607" spans="1:3" x14ac:dyDescent="0.2">
      <c r="A607" s="5">
        <v>605</v>
      </c>
      <c r="B607" s="5">
        <f t="shared" ca="1" si="9"/>
        <v>0.89227769050920025</v>
      </c>
      <c r="C607" s="5" t="s">
        <v>25</v>
      </c>
    </row>
    <row r="608" spans="1:3" x14ac:dyDescent="0.2">
      <c r="A608" s="5">
        <v>606</v>
      </c>
      <c r="B608" s="5">
        <f t="shared" ca="1" si="9"/>
        <v>0.80778332118062934</v>
      </c>
      <c r="C608" s="5" t="s">
        <v>24</v>
      </c>
    </row>
    <row r="609" spans="1:3" x14ac:dyDescent="0.2">
      <c r="A609" s="5">
        <v>607</v>
      </c>
      <c r="B609" s="5">
        <f t="shared" ca="1" si="9"/>
        <v>0.74819853130315428</v>
      </c>
      <c r="C609" s="5" t="s">
        <v>25</v>
      </c>
    </row>
    <row r="610" spans="1:3" x14ac:dyDescent="0.2">
      <c r="A610" s="5">
        <v>608</v>
      </c>
      <c r="B610" s="5">
        <f t="shared" ca="1" si="9"/>
        <v>0.62862593754205243</v>
      </c>
      <c r="C610" s="5" t="s">
        <v>24</v>
      </c>
    </row>
    <row r="611" spans="1:3" x14ac:dyDescent="0.2">
      <c r="A611" s="5">
        <v>609</v>
      </c>
      <c r="B611" s="5">
        <f t="shared" ca="1" si="9"/>
        <v>0.93593566093565883</v>
      </c>
      <c r="C611" s="5" t="s">
        <v>25</v>
      </c>
    </row>
    <row r="612" spans="1:3" x14ac:dyDescent="0.2">
      <c r="A612" s="5">
        <v>610</v>
      </c>
      <c r="B612" s="5">
        <f t="shared" ca="1" si="9"/>
        <v>0.48909532535609745</v>
      </c>
      <c r="C612" s="5" t="s">
        <v>25</v>
      </c>
    </row>
    <row r="613" spans="1:3" x14ac:dyDescent="0.2">
      <c r="A613" s="5">
        <v>611</v>
      </c>
      <c r="B613" s="5">
        <f t="shared" ca="1" si="9"/>
        <v>0.77733130681079232</v>
      </c>
      <c r="C613" s="5" t="s">
        <v>24</v>
      </c>
    </row>
    <row r="614" spans="1:3" x14ac:dyDescent="0.2">
      <c r="A614" s="5">
        <v>612</v>
      </c>
      <c r="B614" s="5">
        <f t="shared" ca="1" si="9"/>
        <v>0.85134622741788546</v>
      </c>
      <c r="C614" s="5" t="s">
        <v>24</v>
      </c>
    </row>
    <row r="615" spans="1:3" x14ac:dyDescent="0.2">
      <c r="A615" s="5">
        <v>613</v>
      </c>
      <c r="B615" s="5">
        <f t="shared" ca="1" si="9"/>
        <v>0.62316012457350667</v>
      </c>
      <c r="C615" s="5" t="s">
        <v>25</v>
      </c>
    </row>
    <row r="616" spans="1:3" x14ac:dyDescent="0.2">
      <c r="A616" s="5">
        <v>614</v>
      </c>
      <c r="B616" s="5">
        <f t="shared" ca="1" si="9"/>
        <v>0.61802251196970093</v>
      </c>
      <c r="C616" s="5" t="s">
        <v>25</v>
      </c>
    </row>
    <row r="617" spans="1:3" x14ac:dyDescent="0.2">
      <c r="A617" s="5">
        <v>615</v>
      </c>
      <c r="B617" s="5">
        <f t="shared" ca="1" si="9"/>
        <v>0.53032266264245043</v>
      </c>
      <c r="C617" s="5" t="s">
        <v>25</v>
      </c>
    </row>
    <row r="618" spans="1:3" x14ac:dyDescent="0.2">
      <c r="A618" s="5">
        <v>616</v>
      </c>
      <c r="B618" s="5">
        <f t="shared" ca="1" si="9"/>
        <v>0.84608088866319042</v>
      </c>
      <c r="C618" s="5" t="s">
        <v>24</v>
      </c>
    </row>
    <row r="619" spans="1:3" x14ac:dyDescent="0.2">
      <c r="A619" s="5">
        <v>617</v>
      </c>
      <c r="B619" s="5">
        <f t="shared" ca="1" si="9"/>
        <v>0.63141703125454962</v>
      </c>
      <c r="C619" s="5" t="s">
        <v>24</v>
      </c>
    </row>
    <row r="620" spans="1:3" x14ac:dyDescent="0.2">
      <c r="A620" s="5">
        <v>618</v>
      </c>
      <c r="B620" s="5">
        <f t="shared" ca="1" si="9"/>
        <v>0.6206909048453213</v>
      </c>
      <c r="C620" s="5" t="s">
        <v>24</v>
      </c>
    </row>
    <row r="621" spans="1:3" x14ac:dyDescent="0.2">
      <c r="A621" s="5">
        <v>619</v>
      </c>
      <c r="B621" s="5">
        <f t="shared" ca="1" si="9"/>
        <v>0.79346679138074905</v>
      </c>
      <c r="C621" s="5" t="s">
        <v>25</v>
      </c>
    </row>
    <row r="622" spans="1:3" x14ac:dyDescent="0.2">
      <c r="A622" s="5">
        <v>620</v>
      </c>
      <c r="B622" s="5">
        <f t="shared" ca="1" si="9"/>
        <v>0.75884138694503867</v>
      </c>
      <c r="C622" s="5" t="s">
        <v>25</v>
      </c>
    </row>
    <row r="623" spans="1:3" x14ac:dyDescent="0.2">
      <c r="A623" s="5">
        <v>621</v>
      </c>
      <c r="B623" s="5">
        <f t="shared" ca="1" si="9"/>
        <v>0.76885205765186471</v>
      </c>
      <c r="C623" s="5" t="s">
        <v>24</v>
      </c>
    </row>
    <row r="624" spans="1:3" x14ac:dyDescent="0.2">
      <c r="A624" s="5">
        <v>622</v>
      </c>
      <c r="B624" s="5">
        <f t="shared" ca="1" si="9"/>
        <v>0.56882263116265075</v>
      </c>
      <c r="C624" s="5" t="s">
        <v>24</v>
      </c>
    </row>
    <row r="625" spans="1:3" x14ac:dyDescent="0.2">
      <c r="A625" s="5">
        <v>623</v>
      </c>
      <c r="B625" s="5">
        <f t="shared" ca="1" si="9"/>
        <v>0.83109244133809146</v>
      </c>
      <c r="C625" s="5" t="s">
        <v>24</v>
      </c>
    </row>
    <row r="626" spans="1:3" x14ac:dyDescent="0.2">
      <c r="A626" s="5">
        <v>624</v>
      </c>
      <c r="B626" s="5">
        <f t="shared" ca="1" si="9"/>
        <v>0.46132107439496894</v>
      </c>
      <c r="C626" s="5" t="s">
        <v>25</v>
      </c>
    </row>
    <row r="627" spans="1:3" x14ac:dyDescent="0.2">
      <c r="A627" s="5">
        <v>625</v>
      </c>
      <c r="B627" s="5">
        <f t="shared" ca="1" si="9"/>
        <v>0.67604576571851194</v>
      </c>
      <c r="C627" s="5" t="s">
        <v>24</v>
      </c>
    </row>
    <row r="628" spans="1:3" x14ac:dyDescent="0.2">
      <c r="A628" s="5">
        <v>626</v>
      </c>
      <c r="B628" s="5">
        <f t="shared" ca="1" si="9"/>
        <v>0.83460859444877888</v>
      </c>
      <c r="C628" s="5" t="s">
        <v>25</v>
      </c>
    </row>
    <row r="629" spans="1:3" x14ac:dyDescent="0.2">
      <c r="A629" s="5">
        <v>627</v>
      </c>
      <c r="B629" s="5">
        <f t="shared" ca="1" si="9"/>
        <v>0.85613288588024072</v>
      </c>
      <c r="C629" s="5" t="s">
        <v>25</v>
      </c>
    </row>
    <row r="630" spans="1:3" x14ac:dyDescent="0.2">
      <c r="A630" s="5">
        <v>628</v>
      </c>
      <c r="B630" s="5">
        <f t="shared" ca="1" si="9"/>
        <v>0.83787443555027363</v>
      </c>
      <c r="C630" s="5" t="s">
        <v>25</v>
      </c>
    </row>
    <row r="631" spans="1:3" x14ac:dyDescent="0.2">
      <c r="A631" s="5">
        <v>629</v>
      </c>
      <c r="B631" s="5">
        <f t="shared" ca="1" si="9"/>
        <v>0.58520698331691079</v>
      </c>
      <c r="C631" s="5" t="s">
        <v>25</v>
      </c>
    </row>
    <row r="632" spans="1:3" x14ac:dyDescent="0.2">
      <c r="A632" s="5">
        <v>630</v>
      </c>
      <c r="B632" s="5">
        <f t="shared" ca="1" si="9"/>
        <v>0.7536331972787067</v>
      </c>
      <c r="C632" s="5" t="s">
        <v>24</v>
      </c>
    </row>
    <row r="633" spans="1:3" x14ac:dyDescent="0.2">
      <c r="A633" s="5">
        <v>631</v>
      </c>
      <c r="B633" s="5">
        <f t="shared" ca="1" si="9"/>
        <v>0.82019291922495252</v>
      </c>
      <c r="C633" s="5" t="s">
        <v>24</v>
      </c>
    </row>
    <row r="634" spans="1:3" x14ac:dyDescent="0.2">
      <c r="A634" s="5">
        <v>632</v>
      </c>
      <c r="B634" s="5">
        <f t="shared" ca="1" si="9"/>
        <v>0.41113816747079351</v>
      </c>
      <c r="C634" s="5" t="s">
        <v>25</v>
      </c>
    </row>
    <row r="635" spans="1:3" x14ac:dyDescent="0.2">
      <c r="A635" s="5">
        <v>633</v>
      </c>
      <c r="B635" s="5">
        <f t="shared" ca="1" si="9"/>
        <v>0.56156830446250161</v>
      </c>
      <c r="C635" s="5" t="s">
        <v>24</v>
      </c>
    </row>
    <row r="636" spans="1:3" x14ac:dyDescent="0.2">
      <c r="A636" s="5">
        <v>634</v>
      </c>
      <c r="B636" s="5">
        <f t="shared" ca="1" si="9"/>
        <v>0.80059858746704005</v>
      </c>
      <c r="C636" s="5" t="s">
        <v>24</v>
      </c>
    </row>
    <row r="637" spans="1:3" x14ac:dyDescent="0.2">
      <c r="A637" s="5">
        <v>635</v>
      </c>
      <c r="B637" s="5">
        <f t="shared" ca="1" si="9"/>
        <v>0.51525593808294967</v>
      </c>
      <c r="C637" s="5" t="s">
        <v>24</v>
      </c>
    </row>
    <row r="638" spans="1:3" x14ac:dyDescent="0.2">
      <c r="A638" s="5">
        <v>636</v>
      </c>
      <c r="B638" s="5">
        <f t="shared" ca="1" si="9"/>
        <v>0.58087128534129917</v>
      </c>
      <c r="C638" s="5" t="s">
        <v>25</v>
      </c>
    </row>
    <row r="639" spans="1:3" x14ac:dyDescent="0.2">
      <c r="A639" s="5">
        <v>637</v>
      </c>
      <c r="B639" s="5">
        <f t="shared" ca="1" si="9"/>
        <v>0.66199575434456892</v>
      </c>
      <c r="C639" s="5" t="s">
        <v>25</v>
      </c>
    </row>
    <row r="640" spans="1:3" x14ac:dyDescent="0.2">
      <c r="A640" s="5">
        <v>638</v>
      </c>
      <c r="B640" s="5">
        <f t="shared" ca="1" si="9"/>
        <v>0.84229843964166151</v>
      </c>
      <c r="C640" s="5" t="s">
        <v>24</v>
      </c>
    </row>
    <row r="641" spans="1:3" x14ac:dyDescent="0.2">
      <c r="A641" s="5">
        <v>639</v>
      </c>
      <c r="B641" s="5">
        <f t="shared" ca="1" si="9"/>
        <v>0.69946575572352654</v>
      </c>
      <c r="C641" s="5" t="s">
        <v>25</v>
      </c>
    </row>
    <row r="642" spans="1:3" x14ac:dyDescent="0.2">
      <c r="A642" s="5">
        <v>640</v>
      </c>
      <c r="B642" s="5">
        <f t="shared" ca="1" si="9"/>
        <v>0.68297481875530119</v>
      </c>
      <c r="C642" s="5" t="s">
        <v>24</v>
      </c>
    </row>
    <row r="643" spans="1:3" x14ac:dyDescent="0.2">
      <c r="A643" s="5">
        <v>641</v>
      </c>
      <c r="B643" s="5">
        <f t="shared" ca="1" si="9"/>
        <v>0.72308051446959298</v>
      </c>
      <c r="C643" s="5" t="s">
        <v>24</v>
      </c>
    </row>
    <row r="644" spans="1:3" x14ac:dyDescent="0.2">
      <c r="A644" s="5">
        <v>642</v>
      </c>
      <c r="B644" s="5">
        <f t="shared" ref="B644:B707" ca="1" si="10">IF(C644="Bomb",_xlfn.NORM.INV(RAND(),0.7,0.1),_xlfn.NORM.INV(RAND(),0.6,0.15))</f>
        <v>0.51738475001431394</v>
      </c>
      <c r="C644" s="5" t="s">
        <v>25</v>
      </c>
    </row>
    <row r="645" spans="1:3" x14ac:dyDescent="0.2">
      <c r="A645" s="5">
        <v>643</v>
      </c>
      <c r="B645" s="5">
        <f t="shared" ca="1" si="10"/>
        <v>0.6518129254686672</v>
      </c>
      <c r="C645" s="5" t="s">
        <v>24</v>
      </c>
    </row>
    <row r="646" spans="1:3" x14ac:dyDescent="0.2">
      <c r="A646" s="5">
        <v>644</v>
      </c>
      <c r="B646" s="5">
        <f t="shared" ca="1" si="10"/>
        <v>0.74396979780286487</v>
      </c>
      <c r="C646" s="5" t="s">
        <v>25</v>
      </c>
    </row>
    <row r="647" spans="1:3" x14ac:dyDescent="0.2">
      <c r="A647" s="5">
        <v>645</v>
      </c>
      <c r="B647" s="5">
        <f t="shared" ca="1" si="10"/>
        <v>0.73923773836747741</v>
      </c>
      <c r="C647" s="5" t="s">
        <v>25</v>
      </c>
    </row>
    <row r="648" spans="1:3" x14ac:dyDescent="0.2">
      <c r="A648" s="5">
        <v>646</v>
      </c>
      <c r="B648" s="5">
        <f t="shared" ca="1" si="10"/>
        <v>0.42962494986804128</v>
      </c>
      <c r="C648" s="5" t="s">
        <v>25</v>
      </c>
    </row>
    <row r="649" spans="1:3" x14ac:dyDescent="0.2">
      <c r="A649" s="5">
        <v>647</v>
      </c>
      <c r="B649" s="5">
        <f t="shared" ca="1" si="10"/>
        <v>0.81466548941381944</v>
      </c>
      <c r="C649" s="5" t="s">
        <v>24</v>
      </c>
    </row>
    <row r="650" spans="1:3" x14ac:dyDescent="0.2">
      <c r="A650" s="5">
        <v>648</v>
      </c>
      <c r="B650" s="5">
        <f t="shared" ca="1" si="10"/>
        <v>0.64220468418032017</v>
      </c>
      <c r="C650" s="5" t="s">
        <v>24</v>
      </c>
    </row>
    <row r="651" spans="1:3" x14ac:dyDescent="0.2">
      <c r="A651" s="5">
        <v>649</v>
      </c>
      <c r="B651" s="5">
        <f t="shared" ca="1" si="10"/>
        <v>0.66379171251184144</v>
      </c>
      <c r="C651" s="5" t="s">
        <v>24</v>
      </c>
    </row>
    <row r="652" spans="1:3" x14ac:dyDescent="0.2">
      <c r="A652" s="5">
        <v>650</v>
      </c>
      <c r="B652" s="5">
        <f t="shared" ca="1" si="10"/>
        <v>0.71186986537015395</v>
      </c>
      <c r="C652" s="5" t="s">
        <v>24</v>
      </c>
    </row>
    <row r="653" spans="1:3" x14ac:dyDescent="0.2">
      <c r="A653" s="5">
        <v>651</v>
      </c>
      <c r="B653" s="5">
        <f t="shared" ca="1" si="10"/>
        <v>0.50109925450854864</v>
      </c>
      <c r="C653" s="5" t="s">
        <v>25</v>
      </c>
    </row>
    <row r="654" spans="1:3" x14ac:dyDescent="0.2">
      <c r="A654" s="5">
        <v>652</v>
      </c>
      <c r="B654" s="5">
        <f t="shared" ca="1" si="10"/>
        <v>0.52104949354889651</v>
      </c>
      <c r="C654" s="5" t="s">
        <v>25</v>
      </c>
    </row>
    <row r="655" spans="1:3" x14ac:dyDescent="0.2">
      <c r="A655" s="5">
        <v>653</v>
      </c>
      <c r="B655" s="5">
        <f t="shared" ca="1" si="10"/>
        <v>0.64009689610511478</v>
      </c>
      <c r="C655" s="5" t="s">
        <v>25</v>
      </c>
    </row>
    <row r="656" spans="1:3" x14ac:dyDescent="0.2">
      <c r="A656" s="5">
        <v>654</v>
      </c>
      <c r="B656" s="5">
        <f t="shared" ca="1" si="10"/>
        <v>0.44299479628937721</v>
      </c>
      <c r="C656" s="5" t="s">
        <v>25</v>
      </c>
    </row>
    <row r="657" spans="1:3" x14ac:dyDescent="0.2">
      <c r="A657" s="5">
        <v>655</v>
      </c>
      <c r="B657" s="5">
        <f t="shared" ca="1" si="10"/>
        <v>0.6332020021837097</v>
      </c>
      <c r="C657" s="5" t="s">
        <v>25</v>
      </c>
    </row>
    <row r="658" spans="1:3" x14ac:dyDescent="0.2">
      <c r="A658" s="5">
        <v>656</v>
      </c>
      <c r="B658" s="5">
        <f t="shared" ca="1" si="10"/>
        <v>0.4172152693103427</v>
      </c>
      <c r="C658" s="5" t="s">
        <v>25</v>
      </c>
    </row>
    <row r="659" spans="1:3" x14ac:dyDescent="0.2">
      <c r="A659" s="5">
        <v>657</v>
      </c>
      <c r="B659" s="5">
        <f t="shared" ca="1" si="10"/>
        <v>0.62920310752602793</v>
      </c>
      <c r="C659" s="5" t="s">
        <v>24</v>
      </c>
    </row>
    <row r="660" spans="1:3" x14ac:dyDescent="0.2">
      <c r="A660" s="5">
        <v>658</v>
      </c>
      <c r="B660" s="5">
        <f t="shared" ca="1" si="10"/>
        <v>0.66651870021070014</v>
      </c>
      <c r="C660" s="5" t="s">
        <v>25</v>
      </c>
    </row>
    <row r="661" spans="1:3" x14ac:dyDescent="0.2">
      <c r="A661" s="5">
        <v>659</v>
      </c>
      <c r="B661" s="5">
        <f t="shared" ca="1" si="10"/>
        <v>0.61843841696013135</v>
      </c>
      <c r="C661" s="5" t="s">
        <v>24</v>
      </c>
    </row>
    <row r="662" spans="1:3" x14ac:dyDescent="0.2">
      <c r="A662" s="5">
        <v>660</v>
      </c>
      <c r="B662" s="5">
        <f t="shared" ca="1" si="10"/>
        <v>0.42852088625139023</v>
      </c>
      <c r="C662" s="5" t="s">
        <v>25</v>
      </c>
    </row>
    <row r="663" spans="1:3" x14ac:dyDescent="0.2">
      <c r="A663" s="5">
        <v>661</v>
      </c>
      <c r="B663" s="5">
        <f t="shared" ca="1" si="10"/>
        <v>0.72648398495240374</v>
      </c>
      <c r="C663" s="5" t="s">
        <v>24</v>
      </c>
    </row>
    <row r="664" spans="1:3" x14ac:dyDescent="0.2">
      <c r="A664" s="5">
        <v>662</v>
      </c>
      <c r="B664" s="5">
        <f t="shared" ca="1" si="10"/>
        <v>0.67105477098181232</v>
      </c>
      <c r="C664" s="5" t="s">
        <v>25</v>
      </c>
    </row>
    <row r="665" spans="1:3" x14ac:dyDescent="0.2">
      <c r="A665" s="5">
        <v>663</v>
      </c>
      <c r="B665" s="5">
        <f t="shared" ca="1" si="10"/>
        <v>0.83820497911297065</v>
      </c>
      <c r="C665" s="5" t="s">
        <v>25</v>
      </c>
    </row>
    <row r="666" spans="1:3" x14ac:dyDescent="0.2">
      <c r="A666" s="5">
        <v>664</v>
      </c>
      <c r="B666" s="5">
        <f t="shared" ca="1" si="10"/>
        <v>0.57056459938376325</v>
      </c>
      <c r="C666" s="5" t="s">
        <v>24</v>
      </c>
    </row>
    <row r="667" spans="1:3" x14ac:dyDescent="0.2">
      <c r="A667" s="5">
        <v>665</v>
      </c>
      <c r="B667" s="5">
        <f t="shared" ca="1" si="10"/>
        <v>0.64523923035176534</v>
      </c>
      <c r="C667" s="5" t="s">
        <v>25</v>
      </c>
    </row>
    <row r="668" spans="1:3" x14ac:dyDescent="0.2">
      <c r="A668" s="5">
        <v>666</v>
      </c>
      <c r="B668" s="5">
        <f t="shared" ca="1" si="10"/>
        <v>0.96808136980883308</v>
      </c>
      <c r="C668" s="5" t="s">
        <v>25</v>
      </c>
    </row>
    <row r="669" spans="1:3" x14ac:dyDescent="0.2">
      <c r="A669" s="5">
        <v>667</v>
      </c>
      <c r="B669" s="5">
        <f t="shared" ca="1" si="10"/>
        <v>0.66490247726650131</v>
      </c>
      <c r="C669" s="5" t="s">
        <v>24</v>
      </c>
    </row>
    <row r="670" spans="1:3" x14ac:dyDescent="0.2">
      <c r="A670" s="5">
        <v>668</v>
      </c>
      <c r="B670" s="5">
        <f t="shared" ca="1" si="10"/>
        <v>0.25424454257264106</v>
      </c>
      <c r="C670" s="5" t="s">
        <v>25</v>
      </c>
    </row>
    <row r="671" spans="1:3" x14ac:dyDescent="0.2">
      <c r="A671" s="5">
        <v>669</v>
      </c>
      <c r="B671" s="5">
        <f t="shared" ca="1" si="10"/>
        <v>0.61200652781287546</v>
      </c>
      <c r="C671" s="5" t="s">
        <v>25</v>
      </c>
    </row>
    <row r="672" spans="1:3" x14ac:dyDescent="0.2">
      <c r="A672" s="5">
        <v>670</v>
      </c>
      <c r="B672" s="5">
        <f t="shared" ca="1" si="10"/>
        <v>8.6517774942965087E-2</v>
      </c>
      <c r="C672" s="5" t="s">
        <v>25</v>
      </c>
    </row>
    <row r="673" spans="1:3" x14ac:dyDescent="0.2">
      <c r="A673" s="5">
        <v>671</v>
      </c>
      <c r="B673" s="5">
        <f t="shared" ca="1" si="10"/>
        <v>0.405928717061663</v>
      </c>
      <c r="C673" s="5" t="s">
        <v>25</v>
      </c>
    </row>
    <row r="674" spans="1:3" x14ac:dyDescent="0.2">
      <c r="A674" s="5">
        <v>672</v>
      </c>
      <c r="B674" s="5">
        <f t="shared" ca="1" si="10"/>
        <v>0.70987941778293728</v>
      </c>
      <c r="C674" s="5" t="s">
        <v>25</v>
      </c>
    </row>
    <row r="675" spans="1:3" x14ac:dyDescent="0.2">
      <c r="A675" s="5">
        <v>673</v>
      </c>
      <c r="B675" s="5">
        <f t="shared" ca="1" si="10"/>
        <v>0.29591762464365956</v>
      </c>
      <c r="C675" s="5" t="s">
        <v>25</v>
      </c>
    </row>
    <row r="676" spans="1:3" x14ac:dyDescent="0.2">
      <c r="A676" s="5">
        <v>674</v>
      </c>
      <c r="B676" s="5">
        <f t="shared" ca="1" si="10"/>
        <v>0.59912953826014481</v>
      </c>
      <c r="C676" s="5" t="s">
        <v>24</v>
      </c>
    </row>
    <row r="677" spans="1:3" x14ac:dyDescent="0.2">
      <c r="A677" s="5">
        <v>675</v>
      </c>
      <c r="B677" s="5">
        <f t="shared" ca="1" si="10"/>
        <v>0.74342796754100138</v>
      </c>
      <c r="C677" s="5" t="s">
        <v>25</v>
      </c>
    </row>
    <row r="678" spans="1:3" x14ac:dyDescent="0.2">
      <c r="A678" s="5">
        <v>676</v>
      </c>
      <c r="B678" s="5">
        <f t="shared" ca="1" si="10"/>
        <v>0.49426940640005523</v>
      </c>
      <c r="C678" s="5" t="s">
        <v>24</v>
      </c>
    </row>
    <row r="679" spans="1:3" x14ac:dyDescent="0.2">
      <c r="A679" s="5">
        <v>677</v>
      </c>
      <c r="B679" s="5">
        <f t="shared" ca="1" si="10"/>
        <v>0.44878928844562149</v>
      </c>
      <c r="C679" s="5" t="s">
        <v>25</v>
      </c>
    </row>
    <row r="680" spans="1:3" x14ac:dyDescent="0.2">
      <c r="A680" s="5">
        <v>678</v>
      </c>
      <c r="B680" s="5">
        <f t="shared" ca="1" si="10"/>
        <v>0.79116570596315505</v>
      </c>
      <c r="C680" s="5" t="s">
        <v>24</v>
      </c>
    </row>
    <row r="681" spans="1:3" x14ac:dyDescent="0.2">
      <c r="A681" s="5">
        <v>679</v>
      </c>
      <c r="B681" s="5">
        <f t="shared" ca="1" si="10"/>
        <v>0.7759053006847233</v>
      </c>
      <c r="C681" s="5" t="s">
        <v>25</v>
      </c>
    </row>
    <row r="682" spans="1:3" x14ac:dyDescent="0.2">
      <c r="A682" s="5">
        <v>680</v>
      </c>
      <c r="B682" s="5">
        <f t="shared" ca="1" si="10"/>
        <v>0.51473544604825128</v>
      </c>
      <c r="C682" s="5" t="s">
        <v>25</v>
      </c>
    </row>
    <row r="683" spans="1:3" x14ac:dyDescent="0.2">
      <c r="A683" s="5">
        <v>681</v>
      </c>
      <c r="B683" s="5">
        <f t="shared" ca="1" si="10"/>
        <v>0.55433910649118756</v>
      </c>
      <c r="C683" s="5" t="s">
        <v>25</v>
      </c>
    </row>
    <row r="684" spans="1:3" x14ac:dyDescent="0.2">
      <c r="A684" s="5">
        <v>682</v>
      </c>
      <c r="B684" s="5">
        <f t="shared" ca="1" si="10"/>
        <v>0.86984284100939124</v>
      </c>
      <c r="C684" s="5" t="s">
        <v>25</v>
      </c>
    </row>
    <row r="685" spans="1:3" x14ac:dyDescent="0.2">
      <c r="A685" s="5">
        <v>683</v>
      </c>
      <c r="B685" s="5">
        <f t="shared" ca="1" si="10"/>
        <v>0.73731739542411345</v>
      </c>
      <c r="C685" s="5" t="s">
        <v>25</v>
      </c>
    </row>
    <row r="686" spans="1:3" x14ac:dyDescent="0.2">
      <c r="A686" s="5">
        <v>684</v>
      </c>
      <c r="B686" s="5">
        <f t="shared" ca="1" si="10"/>
        <v>0.78372979292987499</v>
      </c>
      <c r="C686" s="5" t="s">
        <v>25</v>
      </c>
    </row>
    <row r="687" spans="1:3" x14ac:dyDescent="0.2">
      <c r="A687" s="5">
        <v>685</v>
      </c>
      <c r="B687" s="5">
        <f t="shared" ca="1" si="10"/>
        <v>0.86949136783635295</v>
      </c>
      <c r="C687" s="5" t="s">
        <v>24</v>
      </c>
    </row>
    <row r="688" spans="1:3" x14ac:dyDescent="0.2">
      <c r="A688" s="5">
        <v>686</v>
      </c>
      <c r="B688" s="5">
        <f t="shared" ca="1" si="10"/>
        <v>0.58246692703969016</v>
      </c>
      <c r="C688" s="5" t="s">
        <v>25</v>
      </c>
    </row>
    <row r="689" spans="1:3" x14ac:dyDescent="0.2">
      <c r="A689" s="5">
        <v>687</v>
      </c>
      <c r="B689" s="5">
        <f t="shared" ca="1" si="10"/>
        <v>0.61362416833926503</v>
      </c>
      <c r="C689" s="5" t="s">
        <v>25</v>
      </c>
    </row>
    <row r="690" spans="1:3" x14ac:dyDescent="0.2">
      <c r="A690" s="5">
        <v>688</v>
      </c>
      <c r="B690" s="5">
        <f t="shared" ca="1" si="10"/>
        <v>0.44956163532682025</v>
      </c>
      <c r="C690" s="5" t="s">
        <v>25</v>
      </c>
    </row>
    <row r="691" spans="1:3" x14ac:dyDescent="0.2">
      <c r="A691" s="5">
        <v>689</v>
      </c>
      <c r="B691" s="5">
        <f t="shared" ca="1" si="10"/>
        <v>0.51086402001368292</v>
      </c>
      <c r="C691" s="5" t="s">
        <v>25</v>
      </c>
    </row>
    <row r="692" spans="1:3" x14ac:dyDescent="0.2">
      <c r="A692" s="5">
        <v>690</v>
      </c>
      <c r="B692" s="5">
        <f t="shared" ca="1" si="10"/>
        <v>0.64148452601231176</v>
      </c>
      <c r="C692" s="5" t="s">
        <v>24</v>
      </c>
    </row>
    <row r="693" spans="1:3" x14ac:dyDescent="0.2">
      <c r="A693" s="5">
        <v>691</v>
      </c>
      <c r="B693" s="5">
        <f t="shared" ca="1" si="10"/>
        <v>0.58402092094914138</v>
      </c>
      <c r="C693" s="5" t="s">
        <v>24</v>
      </c>
    </row>
    <row r="694" spans="1:3" x14ac:dyDescent="0.2">
      <c r="A694" s="5">
        <v>692</v>
      </c>
      <c r="B694" s="5">
        <f t="shared" ca="1" si="10"/>
        <v>0.56656646280628242</v>
      </c>
      <c r="C694" s="5" t="s">
        <v>24</v>
      </c>
    </row>
    <row r="695" spans="1:3" x14ac:dyDescent="0.2">
      <c r="A695" s="5">
        <v>693</v>
      </c>
      <c r="B695" s="5">
        <f t="shared" ca="1" si="10"/>
        <v>0.61281247792281213</v>
      </c>
      <c r="C695" s="5" t="s">
        <v>24</v>
      </c>
    </row>
    <row r="696" spans="1:3" x14ac:dyDescent="0.2">
      <c r="A696" s="5">
        <v>694</v>
      </c>
      <c r="B696" s="5">
        <f t="shared" ca="1" si="10"/>
        <v>0.26366381525868915</v>
      </c>
      <c r="C696" s="5" t="s">
        <v>25</v>
      </c>
    </row>
    <row r="697" spans="1:3" x14ac:dyDescent="0.2">
      <c r="A697" s="5">
        <v>695</v>
      </c>
      <c r="B697" s="5">
        <f t="shared" ca="1" si="10"/>
        <v>0.52676770841247755</v>
      </c>
      <c r="C697" s="5" t="s">
        <v>25</v>
      </c>
    </row>
    <row r="698" spans="1:3" x14ac:dyDescent="0.2">
      <c r="A698" s="5">
        <v>696</v>
      </c>
      <c r="B698" s="5">
        <f t="shared" ca="1" si="10"/>
        <v>0.75927078440812201</v>
      </c>
      <c r="C698" s="5" t="s">
        <v>25</v>
      </c>
    </row>
    <row r="699" spans="1:3" x14ac:dyDescent="0.2">
      <c r="A699" s="5">
        <v>697</v>
      </c>
      <c r="B699" s="5">
        <f t="shared" ca="1" si="10"/>
        <v>0.57806244219916725</v>
      </c>
      <c r="C699" s="5" t="s">
        <v>25</v>
      </c>
    </row>
    <row r="700" spans="1:3" x14ac:dyDescent="0.2">
      <c r="A700" s="5">
        <v>698</v>
      </c>
      <c r="B700" s="5">
        <f t="shared" ca="1" si="10"/>
        <v>0.772055283598585</v>
      </c>
      <c r="C700" s="5" t="s">
        <v>24</v>
      </c>
    </row>
    <row r="701" spans="1:3" x14ac:dyDescent="0.2">
      <c r="A701" s="5">
        <v>699</v>
      </c>
      <c r="B701" s="5">
        <f t="shared" ca="1" si="10"/>
        <v>0.72582074478386005</v>
      </c>
      <c r="C701" s="5" t="s">
        <v>25</v>
      </c>
    </row>
    <row r="702" spans="1:3" x14ac:dyDescent="0.2">
      <c r="A702" s="5">
        <v>700</v>
      </c>
      <c r="B702" s="5">
        <f t="shared" ca="1" si="10"/>
        <v>0.44035796299502311</v>
      </c>
      <c r="C702" s="5" t="s">
        <v>25</v>
      </c>
    </row>
    <row r="703" spans="1:3" x14ac:dyDescent="0.2">
      <c r="A703" s="5">
        <v>701</v>
      </c>
      <c r="B703" s="5">
        <f t="shared" ca="1" si="10"/>
        <v>0.15402511651501083</v>
      </c>
      <c r="C703" s="5" t="s">
        <v>25</v>
      </c>
    </row>
    <row r="704" spans="1:3" x14ac:dyDescent="0.2">
      <c r="A704" s="5">
        <v>702</v>
      </c>
      <c r="B704" s="5">
        <f t="shared" ca="1" si="10"/>
        <v>0.39480814429240868</v>
      </c>
      <c r="C704" s="5" t="s">
        <v>25</v>
      </c>
    </row>
    <row r="705" spans="1:3" x14ac:dyDescent="0.2">
      <c r="A705" s="5">
        <v>703</v>
      </c>
      <c r="B705" s="5">
        <f t="shared" ca="1" si="10"/>
        <v>0.54975379623549014</v>
      </c>
      <c r="C705" s="5" t="s">
        <v>24</v>
      </c>
    </row>
    <row r="706" spans="1:3" x14ac:dyDescent="0.2">
      <c r="A706" s="5">
        <v>704</v>
      </c>
      <c r="B706" s="5">
        <f t="shared" ca="1" si="10"/>
        <v>0.59251385528743106</v>
      </c>
      <c r="C706" s="5" t="s">
        <v>24</v>
      </c>
    </row>
    <row r="707" spans="1:3" x14ac:dyDescent="0.2">
      <c r="A707" s="5">
        <v>705</v>
      </c>
      <c r="B707" s="5">
        <f t="shared" ca="1" si="10"/>
        <v>0.7795979142675673</v>
      </c>
      <c r="C707" s="5" t="s">
        <v>25</v>
      </c>
    </row>
    <row r="708" spans="1:3" x14ac:dyDescent="0.2">
      <c r="A708" s="5">
        <v>706</v>
      </c>
      <c r="B708" s="5">
        <f t="shared" ref="B708:B771" ca="1" si="11">IF(C708="Bomb",_xlfn.NORM.INV(RAND(),0.7,0.1),_xlfn.NORM.INV(RAND(),0.6,0.15))</f>
        <v>0.76502682189893445</v>
      </c>
      <c r="C708" s="5" t="s">
        <v>25</v>
      </c>
    </row>
    <row r="709" spans="1:3" x14ac:dyDescent="0.2">
      <c r="A709" s="5">
        <v>707</v>
      </c>
      <c r="B709" s="5">
        <f t="shared" ca="1" si="11"/>
        <v>0.69460024862335967</v>
      </c>
      <c r="C709" s="5" t="s">
        <v>25</v>
      </c>
    </row>
    <row r="710" spans="1:3" x14ac:dyDescent="0.2">
      <c r="A710" s="5">
        <v>708</v>
      </c>
      <c r="B710" s="5">
        <f t="shared" ca="1" si="11"/>
        <v>0.75317428162093392</v>
      </c>
      <c r="C710" s="5" t="s">
        <v>24</v>
      </c>
    </row>
    <row r="711" spans="1:3" x14ac:dyDescent="0.2">
      <c r="A711" s="5">
        <v>709</v>
      </c>
      <c r="B711" s="5">
        <f t="shared" ca="1" si="11"/>
        <v>0.648646347170871</v>
      </c>
      <c r="C711" s="5" t="s">
        <v>24</v>
      </c>
    </row>
    <row r="712" spans="1:3" x14ac:dyDescent="0.2">
      <c r="A712" s="5">
        <v>710</v>
      </c>
      <c r="B712" s="5">
        <f t="shared" ca="1" si="11"/>
        <v>0.80366544016965702</v>
      </c>
      <c r="C712" s="5" t="s">
        <v>24</v>
      </c>
    </row>
    <row r="713" spans="1:3" x14ac:dyDescent="0.2">
      <c r="A713" s="5">
        <v>711</v>
      </c>
      <c r="B713" s="5">
        <f t="shared" ca="1" si="11"/>
        <v>0.74164077549292595</v>
      </c>
      <c r="C713" s="5" t="s">
        <v>25</v>
      </c>
    </row>
    <row r="714" spans="1:3" x14ac:dyDescent="0.2">
      <c r="A714" s="5">
        <v>712</v>
      </c>
      <c r="B714" s="5">
        <f t="shared" ca="1" si="11"/>
        <v>0.77319576525873124</v>
      </c>
      <c r="C714" s="5" t="s">
        <v>24</v>
      </c>
    </row>
    <row r="715" spans="1:3" x14ac:dyDescent="0.2">
      <c r="A715" s="5">
        <v>713</v>
      </c>
      <c r="B715" s="5">
        <f t="shared" ca="1" si="11"/>
        <v>0.69987652463726646</v>
      </c>
      <c r="C715" s="5" t="s">
        <v>25</v>
      </c>
    </row>
    <row r="716" spans="1:3" x14ac:dyDescent="0.2">
      <c r="A716" s="5">
        <v>714</v>
      </c>
      <c r="B716" s="5">
        <f t="shared" ca="1" si="11"/>
        <v>0.58576641172283406</v>
      </c>
      <c r="C716" s="5" t="s">
        <v>25</v>
      </c>
    </row>
    <row r="717" spans="1:3" x14ac:dyDescent="0.2">
      <c r="A717" s="5">
        <v>715</v>
      </c>
      <c r="B717" s="5">
        <f t="shared" ca="1" si="11"/>
        <v>0.44799720584084646</v>
      </c>
      <c r="C717" s="5" t="s">
        <v>25</v>
      </c>
    </row>
    <row r="718" spans="1:3" x14ac:dyDescent="0.2">
      <c r="A718" s="5">
        <v>716</v>
      </c>
      <c r="B718" s="5">
        <f t="shared" ca="1" si="11"/>
        <v>0.63151852819417909</v>
      </c>
      <c r="C718" s="5" t="s">
        <v>24</v>
      </c>
    </row>
    <row r="719" spans="1:3" x14ac:dyDescent="0.2">
      <c r="A719" s="5">
        <v>717</v>
      </c>
      <c r="B719" s="5">
        <f t="shared" ca="1" si="11"/>
        <v>0.45460286942715422</v>
      </c>
      <c r="C719" s="5" t="s">
        <v>25</v>
      </c>
    </row>
    <row r="720" spans="1:3" x14ac:dyDescent="0.2">
      <c r="A720" s="5">
        <v>718</v>
      </c>
      <c r="B720" s="5">
        <f t="shared" ca="1" si="11"/>
        <v>0.61242323864749704</v>
      </c>
      <c r="C720" s="5" t="s">
        <v>25</v>
      </c>
    </row>
    <row r="721" spans="1:3" x14ac:dyDescent="0.2">
      <c r="A721" s="5">
        <v>719</v>
      </c>
      <c r="B721" s="5">
        <f t="shared" ca="1" si="11"/>
        <v>0.74403628145363476</v>
      </c>
      <c r="C721" s="5" t="s">
        <v>25</v>
      </c>
    </row>
    <row r="722" spans="1:3" x14ac:dyDescent="0.2">
      <c r="A722" s="5">
        <v>720</v>
      </c>
      <c r="B722" s="5">
        <f t="shared" ca="1" si="11"/>
        <v>0.30424876307187537</v>
      </c>
      <c r="C722" s="5" t="s">
        <v>25</v>
      </c>
    </row>
    <row r="723" spans="1:3" x14ac:dyDescent="0.2">
      <c r="A723" s="5">
        <v>721</v>
      </c>
      <c r="B723" s="5">
        <f t="shared" ca="1" si="11"/>
        <v>0.6675853563614067</v>
      </c>
      <c r="C723" s="5" t="s">
        <v>24</v>
      </c>
    </row>
    <row r="724" spans="1:3" x14ac:dyDescent="0.2">
      <c r="A724" s="5">
        <v>722</v>
      </c>
      <c r="B724" s="5">
        <f t="shared" ca="1" si="11"/>
        <v>0.67366029801714877</v>
      </c>
      <c r="C724" s="5" t="s">
        <v>25</v>
      </c>
    </row>
    <row r="725" spans="1:3" x14ac:dyDescent="0.2">
      <c r="A725" s="5">
        <v>723</v>
      </c>
      <c r="B725" s="5">
        <f t="shared" ca="1" si="11"/>
        <v>0.5073930231345245</v>
      </c>
      <c r="C725" s="5" t="s">
        <v>24</v>
      </c>
    </row>
    <row r="726" spans="1:3" x14ac:dyDescent="0.2">
      <c r="A726" s="5">
        <v>724</v>
      </c>
      <c r="B726" s="5">
        <f t="shared" ca="1" si="11"/>
        <v>0.92812052024644243</v>
      </c>
      <c r="C726" s="5" t="s">
        <v>24</v>
      </c>
    </row>
    <row r="727" spans="1:3" x14ac:dyDescent="0.2">
      <c r="A727" s="5">
        <v>725</v>
      </c>
      <c r="B727" s="5">
        <f t="shared" ca="1" si="11"/>
        <v>0.68077450091091274</v>
      </c>
      <c r="C727" s="5" t="s">
        <v>25</v>
      </c>
    </row>
    <row r="728" spans="1:3" x14ac:dyDescent="0.2">
      <c r="A728" s="5">
        <v>726</v>
      </c>
      <c r="B728" s="5">
        <f t="shared" ca="1" si="11"/>
        <v>0.86615132770758818</v>
      </c>
      <c r="C728" s="5" t="s">
        <v>25</v>
      </c>
    </row>
    <row r="729" spans="1:3" x14ac:dyDescent="0.2">
      <c r="A729" s="5">
        <v>727</v>
      </c>
      <c r="B729" s="5">
        <f t="shared" ca="1" si="11"/>
        <v>0.66674326952157181</v>
      </c>
      <c r="C729" s="5" t="s">
        <v>24</v>
      </c>
    </row>
    <row r="730" spans="1:3" x14ac:dyDescent="0.2">
      <c r="A730" s="5">
        <v>728</v>
      </c>
      <c r="B730" s="5">
        <f t="shared" ca="1" si="11"/>
        <v>0.21259054495748492</v>
      </c>
      <c r="C730" s="5" t="s">
        <v>25</v>
      </c>
    </row>
    <row r="731" spans="1:3" x14ac:dyDescent="0.2">
      <c r="A731" s="5">
        <v>729</v>
      </c>
      <c r="B731" s="5">
        <f t="shared" ca="1" si="11"/>
        <v>0.83533262024263411</v>
      </c>
      <c r="C731" s="5" t="s">
        <v>24</v>
      </c>
    </row>
    <row r="732" spans="1:3" x14ac:dyDescent="0.2">
      <c r="A732" s="5">
        <v>730</v>
      </c>
      <c r="B732" s="5">
        <f t="shared" ca="1" si="11"/>
        <v>0.5576013486526924</v>
      </c>
      <c r="C732" s="5" t="s">
        <v>24</v>
      </c>
    </row>
    <row r="733" spans="1:3" x14ac:dyDescent="0.2">
      <c r="A733" s="5">
        <v>731</v>
      </c>
      <c r="B733" s="5">
        <f t="shared" ca="1" si="11"/>
        <v>0.59293597734162007</v>
      </c>
      <c r="C733" s="5" t="s">
        <v>24</v>
      </c>
    </row>
    <row r="734" spans="1:3" x14ac:dyDescent="0.2">
      <c r="A734" s="5">
        <v>732</v>
      </c>
      <c r="B734" s="5">
        <f t="shared" ca="1" si="11"/>
        <v>0.68501515780877931</v>
      </c>
      <c r="C734" s="5" t="s">
        <v>25</v>
      </c>
    </row>
    <row r="735" spans="1:3" x14ac:dyDescent="0.2">
      <c r="A735" s="5">
        <v>733</v>
      </c>
      <c r="B735" s="5">
        <f t="shared" ca="1" si="11"/>
        <v>0.47265295653899847</v>
      </c>
      <c r="C735" s="5" t="s">
        <v>25</v>
      </c>
    </row>
    <row r="736" spans="1:3" x14ac:dyDescent="0.2">
      <c r="A736" s="5">
        <v>734</v>
      </c>
      <c r="B736" s="5">
        <f t="shared" ca="1" si="11"/>
        <v>0.91525338188410565</v>
      </c>
      <c r="C736" s="5" t="s">
        <v>25</v>
      </c>
    </row>
    <row r="737" spans="1:3" x14ac:dyDescent="0.2">
      <c r="A737" s="5">
        <v>735</v>
      </c>
      <c r="B737" s="5">
        <f t="shared" ca="1" si="11"/>
        <v>0.77832277710097586</v>
      </c>
      <c r="C737" s="5" t="s">
        <v>24</v>
      </c>
    </row>
    <row r="738" spans="1:3" x14ac:dyDescent="0.2">
      <c r="A738" s="5">
        <v>736</v>
      </c>
      <c r="B738" s="5">
        <f t="shared" ca="1" si="11"/>
        <v>0.78875697715986337</v>
      </c>
      <c r="C738" s="5" t="s">
        <v>24</v>
      </c>
    </row>
    <row r="739" spans="1:3" x14ac:dyDescent="0.2">
      <c r="A739" s="5">
        <v>737</v>
      </c>
      <c r="B739" s="5">
        <f t="shared" ca="1" si="11"/>
        <v>0.69177619608834584</v>
      </c>
      <c r="C739" s="5" t="s">
        <v>25</v>
      </c>
    </row>
    <row r="740" spans="1:3" x14ac:dyDescent="0.2">
      <c r="A740" s="5">
        <v>738</v>
      </c>
      <c r="B740" s="5">
        <f t="shared" ca="1" si="11"/>
        <v>0.7082980674368673</v>
      </c>
      <c r="C740" s="5" t="s">
        <v>25</v>
      </c>
    </row>
    <row r="741" spans="1:3" x14ac:dyDescent="0.2">
      <c r="A741" s="5">
        <v>739</v>
      </c>
      <c r="B741" s="5">
        <f t="shared" ca="1" si="11"/>
        <v>0.62670505320173808</v>
      </c>
      <c r="C741" s="5" t="s">
        <v>24</v>
      </c>
    </row>
    <row r="742" spans="1:3" x14ac:dyDescent="0.2">
      <c r="A742" s="5">
        <v>740</v>
      </c>
      <c r="B742" s="5">
        <f t="shared" ca="1" si="11"/>
        <v>0.52665366226770516</v>
      </c>
      <c r="C742" s="5" t="s">
        <v>25</v>
      </c>
    </row>
    <row r="743" spans="1:3" x14ac:dyDescent="0.2">
      <c r="A743" s="5">
        <v>741</v>
      </c>
      <c r="B743" s="5">
        <f t="shared" ca="1" si="11"/>
        <v>0.57457810197462567</v>
      </c>
      <c r="C743" s="5" t="s">
        <v>25</v>
      </c>
    </row>
    <row r="744" spans="1:3" x14ac:dyDescent="0.2">
      <c r="A744" s="5">
        <v>742</v>
      </c>
      <c r="B744" s="5">
        <f t="shared" ca="1" si="11"/>
        <v>0.55447895112375478</v>
      </c>
      <c r="C744" s="5" t="s">
        <v>25</v>
      </c>
    </row>
    <row r="745" spans="1:3" x14ac:dyDescent="0.2">
      <c r="A745" s="5">
        <v>743</v>
      </c>
      <c r="B745" s="5">
        <f t="shared" ca="1" si="11"/>
        <v>0.74803736727842818</v>
      </c>
      <c r="C745" s="5" t="s">
        <v>25</v>
      </c>
    </row>
    <row r="746" spans="1:3" x14ac:dyDescent="0.2">
      <c r="A746" s="5">
        <v>744</v>
      </c>
      <c r="B746" s="5">
        <f t="shared" ca="1" si="11"/>
        <v>0.56737403350852311</v>
      </c>
      <c r="C746" s="5" t="s">
        <v>25</v>
      </c>
    </row>
    <row r="747" spans="1:3" x14ac:dyDescent="0.2">
      <c r="A747" s="5">
        <v>745</v>
      </c>
      <c r="B747" s="5">
        <f t="shared" ca="1" si="11"/>
        <v>0.53063106325315401</v>
      </c>
      <c r="C747" s="5" t="s">
        <v>25</v>
      </c>
    </row>
    <row r="748" spans="1:3" x14ac:dyDescent="0.2">
      <c r="A748" s="5">
        <v>746</v>
      </c>
      <c r="B748" s="5">
        <f t="shared" ca="1" si="11"/>
        <v>0.64429148901944988</v>
      </c>
      <c r="C748" s="5" t="s">
        <v>24</v>
      </c>
    </row>
    <row r="749" spans="1:3" x14ac:dyDescent="0.2">
      <c r="A749" s="5">
        <v>747</v>
      </c>
      <c r="B749" s="5">
        <f t="shared" ca="1" si="11"/>
        <v>0.75421772531189735</v>
      </c>
      <c r="C749" s="5" t="s">
        <v>24</v>
      </c>
    </row>
    <row r="750" spans="1:3" x14ac:dyDescent="0.2">
      <c r="A750" s="5">
        <v>748</v>
      </c>
      <c r="B750" s="5">
        <f t="shared" ca="1" si="11"/>
        <v>0.46108121644567956</v>
      </c>
      <c r="C750" s="5" t="s">
        <v>25</v>
      </c>
    </row>
    <row r="751" spans="1:3" x14ac:dyDescent="0.2">
      <c r="A751" s="5">
        <v>749</v>
      </c>
      <c r="B751" s="5">
        <f t="shared" ca="1" si="11"/>
        <v>0.70870841045325406</v>
      </c>
      <c r="C751" s="5" t="s">
        <v>24</v>
      </c>
    </row>
    <row r="752" spans="1:3" x14ac:dyDescent="0.2">
      <c r="A752" s="5">
        <v>750</v>
      </c>
      <c r="B752" s="5">
        <f t="shared" ca="1" si="11"/>
        <v>0.64950038719977055</v>
      </c>
      <c r="C752" s="5" t="s">
        <v>25</v>
      </c>
    </row>
    <row r="753" spans="1:3" x14ac:dyDescent="0.2">
      <c r="A753" s="5">
        <v>751</v>
      </c>
      <c r="B753" s="5">
        <f t="shared" ca="1" si="11"/>
        <v>0.53043280142450866</v>
      </c>
      <c r="C753" s="5" t="s">
        <v>24</v>
      </c>
    </row>
    <row r="754" spans="1:3" x14ac:dyDescent="0.2">
      <c r="A754" s="5">
        <v>752</v>
      </c>
      <c r="B754" s="5">
        <f t="shared" ca="1" si="11"/>
        <v>0.63466505778472704</v>
      </c>
      <c r="C754" s="5" t="s">
        <v>24</v>
      </c>
    </row>
    <row r="755" spans="1:3" x14ac:dyDescent="0.2">
      <c r="A755" s="5">
        <v>753</v>
      </c>
      <c r="B755" s="5">
        <f t="shared" ca="1" si="11"/>
        <v>0.63233184581881896</v>
      </c>
      <c r="C755" s="5" t="s">
        <v>24</v>
      </c>
    </row>
    <row r="756" spans="1:3" x14ac:dyDescent="0.2">
      <c r="A756" s="5">
        <v>754</v>
      </c>
      <c r="B756" s="5">
        <f t="shared" ca="1" si="11"/>
        <v>0.72340106910278068</v>
      </c>
      <c r="C756" s="5" t="s">
        <v>24</v>
      </c>
    </row>
    <row r="757" spans="1:3" x14ac:dyDescent="0.2">
      <c r="A757" s="5">
        <v>755</v>
      </c>
      <c r="B757" s="5">
        <f t="shared" ca="1" si="11"/>
        <v>0.88126751609204956</v>
      </c>
      <c r="C757" s="5" t="s">
        <v>25</v>
      </c>
    </row>
    <row r="758" spans="1:3" x14ac:dyDescent="0.2">
      <c r="A758" s="5">
        <v>756</v>
      </c>
      <c r="B758" s="5">
        <f t="shared" ca="1" si="11"/>
        <v>0.67763086103735182</v>
      </c>
      <c r="C758" s="5" t="s">
        <v>24</v>
      </c>
    </row>
    <row r="759" spans="1:3" x14ac:dyDescent="0.2">
      <c r="A759" s="5">
        <v>757</v>
      </c>
      <c r="B759" s="5">
        <f t="shared" ca="1" si="11"/>
        <v>0.62328876747284856</v>
      </c>
      <c r="C759" s="5" t="s">
        <v>24</v>
      </c>
    </row>
    <row r="760" spans="1:3" x14ac:dyDescent="0.2">
      <c r="A760" s="5">
        <v>758</v>
      </c>
      <c r="B760" s="5">
        <f t="shared" ca="1" si="11"/>
        <v>0.67945826771963314</v>
      </c>
      <c r="C760" s="5" t="s">
        <v>24</v>
      </c>
    </row>
    <row r="761" spans="1:3" x14ac:dyDescent="0.2">
      <c r="A761" s="5">
        <v>759</v>
      </c>
      <c r="B761" s="5">
        <f t="shared" ca="1" si="11"/>
        <v>0.52629722284522218</v>
      </c>
      <c r="C761" s="5" t="s">
        <v>25</v>
      </c>
    </row>
    <row r="762" spans="1:3" x14ac:dyDescent="0.2">
      <c r="A762" s="5">
        <v>760</v>
      </c>
      <c r="B762" s="5">
        <f t="shared" ca="1" si="11"/>
        <v>0.69008800369017154</v>
      </c>
      <c r="C762" s="5" t="s">
        <v>24</v>
      </c>
    </row>
    <row r="763" spans="1:3" x14ac:dyDescent="0.2">
      <c r="A763" s="5">
        <v>761</v>
      </c>
      <c r="B763" s="5">
        <f t="shared" ca="1" si="11"/>
        <v>0.5465459758461052</v>
      </c>
      <c r="C763" s="5" t="s">
        <v>25</v>
      </c>
    </row>
    <row r="764" spans="1:3" x14ac:dyDescent="0.2">
      <c r="A764" s="5">
        <v>762</v>
      </c>
      <c r="B764" s="5">
        <f t="shared" ca="1" si="11"/>
        <v>0.65881508537298694</v>
      </c>
      <c r="C764" s="5" t="s">
        <v>25</v>
      </c>
    </row>
    <row r="765" spans="1:3" x14ac:dyDescent="0.2">
      <c r="A765" s="5">
        <v>763</v>
      </c>
      <c r="B765" s="5">
        <f t="shared" ca="1" si="11"/>
        <v>0.75132034048769136</v>
      </c>
      <c r="C765" s="5" t="s">
        <v>25</v>
      </c>
    </row>
    <row r="766" spans="1:3" x14ac:dyDescent="0.2">
      <c r="A766" s="5">
        <v>764</v>
      </c>
      <c r="B766" s="5">
        <f t="shared" ca="1" si="11"/>
        <v>0.87281053403060205</v>
      </c>
      <c r="C766" s="5" t="s">
        <v>25</v>
      </c>
    </row>
    <row r="767" spans="1:3" x14ac:dyDescent="0.2">
      <c r="A767" s="5">
        <v>765</v>
      </c>
      <c r="B767" s="5">
        <f t="shared" ca="1" si="11"/>
        <v>0.72981513390631014</v>
      </c>
      <c r="C767" s="5" t="s">
        <v>25</v>
      </c>
    </row>
    <row r="768" spans="1:3" x14ac:dyDescent="0.2">
      <c r="A768" s="5">
        <v>766</v>
      </c>
      <c r="B768" s="5">
        <f t="shared" ca="1" si="11"/>
        <v>0.39011588826205579</v>
      </c>
      <c r="C768" s="5" t="s">
        <v>25</v>
      </c>
    </row>
    <row r="769" spans="1:3" x14ac:dyDescent="0.2">
      <c r="A769" s="5">
        <v>767</v>
      </c>
      <c r="B769" s="5">
        <f t="shared" ca="1" si="11"/>
        <v>0.77569044921483621</v>
      </c>
      <c r="C769" s="5" t="s">
        <v>24</v>
      </c>
    </row>
    <row r="770" spans="1:3" x14ac:dyDescent="0.2">
      <c r="A770" s="5">
        <v>768</v>
      </c>
      <c r="B770" s="5">
        <f t="shared" ca="1" si="11"/>
        <v>0.86582798324499466</v>
      </c>
      <c r="C770" s="5" t="s">
        <v>24</v>
      </c>
    </row>
    <row r="771" spans="1:3" x14ac:dyDescent="0.2">
      <c r="A771" s="5">
        <v>769</v>
      </c>
      <c r="B771" s="5">
        <f t="shared" ca="1" si="11"/>
        <v>0.44897908835060985</v>
      </c>
      <c r="C771" s="5" t="s">
        <v>25</v>
      </c>
    </row>
    <row r="772" spans="1:3" x14ac:dyDescent="0.2">
      <c r="A772" s="5">
        <v>770</v>
      </c>
      <c r="B772" s="5">
        <f t="shared" ref="B772:B835" ca="1" si="12">IF(C772="Bomb",_xlfn.NORM.INV(RAND(),0.7,0.1),_xlfn.NORM.INV(RAND(),0.6,0.15))</f>
        <v>0.79737978643141405</v>
      </c>
      <c r="C772" s="5" t="s">
        <v>24</v>
      </c>
    </row>
    <row r="773" spans="1:3" x14ac:dyDescent="0.2">
      <c r="A773" s="5">
        <v>771</v>
      </c>
      <c r="B773" s="5">
        <f t="shared" ca="1" si="12"/>
        <v>0.64349073705221671</v>
      </c>
      <c r="C773" s="5" t="s">
        <v>25</v>
      </c>
    </row>
    <row r="774" spans="1:3" x14ac:dyDescent="0.2">
      <c r="A774" s="5">
        <v>772</v>
      </c>
      <c r="B774" s="5">
        <f t="shared" ca="1" si="12"/>
        <v>0.60074661178264421</v>
      </c>
      <c r="C774" s="5" t="s">
        <v>25</v>
      </c>
    </row>
    <row r="775" spans="1:3" x14ac:dyDescent="0.2">
      <c r="A775" s="5">
        <v>773</v>
      </c>
      <c r="B775" s="5">
        <f t="shared" ca="1" si="12"/>
        <v>0.63837657398025582</v>
      </c>
      <c r="C775" s="5" t="s">
        <v>25</v>
      </c>
    </row>
    <row r="776" spans="1:3" x14ac:dyDescent="0.2">
      <c r="A776" s="5">
        <v>774</v>
      </c>
      <c r="B776" s="5">
        <f t="shared" ca="1" si="12"/>
        <v>0.30446716814691982</v>
      </c>
      <c r="C776" s="5" t="s">
        <v>25</v>
      </c>
    </row>
    <row r="777" spans="1:3" x14ac:dyDescent="0.2">
      <c r="A777" s="5">
        <v>775</v>
      </c>
      <c r="B777" s="5">
        <f t="shared" ca="1" si="12"/>
        <v>0.82945739719082201</v>
      </c>
      <c r="C777" s="5" t="s">
        <v>24</v>
      </c>
    </row>
    <row r="778" spans="1:3" x14ac:dyDescent="0.2">
      <c r="A778" s="5">
        <v>776</v>
      </c>
      <c r="B778" s="5">
        <f t="shared" ca="1" si="12"/>
        <v>0.69213801129879138</v>
      </c>
      <c r="C778" s="5" t="s">
        <v>25</v>
      </c>
    </row>
    <row r="779" spans="1:3" x14ac:dyDescent="0.2">
      <c r="A779" s="5">
        <v>777</v>
      </c>
      <c r="B779" s="5">
        <f t="shared" ca="1" si="12"/>
        <v>0.55496159467675943</v>
      </c>
      <c r="C779" s="5" t="s">
        <v>24</v>
      </c>
    </row>
    <row r="780" spans="1:3" x14ac:dyDescent="0.2">
      <c r="A780" s="5">
        <v>778</v>
      </c>
      <c r="B780" s="5">
        <f t="shared" ca="1" si="12"/>
        <v>0.56685974811048789</v>
      </c>
      <c r="C780" s="5" t="s">
        <v>24</v>
      </c>
    </row>
    <row r="781" spans="1:3" x14ac:dyDescent="0.2">
      <c r="A781" s="5">
        <v>779</v>
      </c>
      <c r="B781" s="5">
        <f t="shared" ca="1" si="12"/>
        <v>0.83692796837054628</v>
      </c>
      <c r="C781" s="5" t="s">
        <v>24</v>
      </c>
    </row>
    <row r="782" spans="1:3" x14ac:dyDescent="0.2">
      <c r="A782" s="5">
        <v>780</v>
      </c>
      <c r="B782" s="5">
        <f t="shared" ca="1" si="12"/>
        <v>0.89539020242631095</v>
      </c>
      <c r="C782" s="5" t="s">
        <v>24</v>
      </c>
    </row>
    <row r="783" spans="1:3" x14ac:dyDescent="0.2">
      <c r="A783" s="5">
        <v>781</v>
      </c>
      <c r="B783" s="5">
        <f t="shared" ca="1" si="12"/>
        <v>0.93902387228883843</v>
      </c>
      <c r="C783" s="5" t="s">
        <v>24</v>
      </c>
    </row>
    <row r="784" spans="1:3" x14ac:dyDescent="0.2">
      <c r="A784" s="5">
        <v>782</v>
      </c>
      <c r="B784" s="5">
        <f t="shared" ca="1" si="12"/>
        <v>0.74648327601876596</v>
      </c>
      <c r="C784" s="5" t="s">
        <v>24</v>
      </c>
    </row>
    <row r="785" spans="1:3" x14ac:dyDescent="0.2">
      <c r="A785" s="5">
        <v>783</v>
      </c>
      <c r="B785" s="5">
        <f t="shared" ca="1" si="12"/>
        <v>0.64096042383020313</v>
      </c>
      <c r="C785" s="5" t="s">
        <v>24</v>
      </c>
    </row>
    <row r="786" spans="1:3" x14ac:dyDescent="0.2">
      <c r="A786" s="5">
        <v>784</v>
      </c>
      <c r="B786" s="5">
        <f t="shared" ca="1" si="12"/>
        <v>0.5230530566883943</v>
      </c>
      <c r="C786" s="5" t="s">
        <v>25</v>
      </c>
    </row>
    <row r="787" spans="1:3" x14ac:dyDescent="0.2">
      <c r="A787" s="5">
        <v>785</v>
      </c>
      <c r="B787" s="5">
        <f t="shared" ca="1" si="12"/>
        <v>0.44375092543622296</v>
      </c>
      <c r="C787" s="5" t="s">
        <v>25</v>
      </c>
    </row>
    <row r="788" spans="1:3" x14ac:dyDescent="0.2">
      <c r="A788" s="5">
        <v>786</v>
      </c>
      <c r="B788" s="5">
        <f t="shared" ca="1" si="12"/>
        <v>0.32787223074235039</v>
      </c>
      <c r="C788" s="5" t="s">
        <v>25</v>
      </c>
    </row>
    <row r="789" spans="1:3" x14ac:dyDescent="0.2">
      <c r="A789" s="5">
        <v>787</v>
      </c>
      <c r="B789" s="5">
        <f t="shared" ca="1" si="12"/>
        <v>0.61566629165443809</v>
      </c>
      <c r="C789" s="5" t="s">
        <v>24</v>
      </c>
    </row>
    <row r="790" spans="1:3" x14ac:dyDescent="0.2">
      <c r="A790" s="5">
        <v>788</v>
      </c>
      <c r="B790" s="5">
        <f t="shared" ca="1" si="12"/>
        <v>0.69448747940286559</v>
      </c>
      <c r="C790" s="5" t="s">
        <v>25</v>
      </c>
    </row>
    <row r="791" spans="1:3" x14ac:dyDescent="0.2">
      <c r="A791" s="5">
        <v>789</v>
      </c>
      <c r="B791" s="5">
        <f t="shared" ca="1" si="12"/>
        <v>0.78013947445255305</v>
      </c>
      <c r="C791" s="5" t="s">
        <v>24</v>
      </c>
    </row>
    <row r="792" spans="1:3" x14ac:dyDescent="0.2">
      <c r="A792" s="5">
        <v>790</v>
      </c>
      <c r="B792" s="5">
        <f t="shared" ca="1" si="12"/>
        <v>0.47724671191134116</v>
      </c>
      <c r="C792" s="5" t="s">
        <v>24</v>
      </c>
    </row>
    <row r="793" spans="1:3" x14ac:dyDescent="0.2">
      <c r="A793" s="5">
        <v>791</v>
      </c>
      <c r="B793" s="5">
        <f t="shared" ca="1" si="12"/>
        <v>0.7447530484496353</v>
      </c>
      <c r="C793" s="5" t="s">
        <v>25</v>
      </c>
    </row>
    <row r="794" spans="1:3" x14ac:dyDescent="0.2">
      <c r="A794" s="5">
        <v>792</v>
      </c>
      <c r="B794" s="5">
        <f t="shared" ca="1" si="12"/>
        <v>0.83619414812461101</v>
      </c>
      <c r="C794" s="5" t="s">
        <v>25</v>
      </c>
    </row>
    <row r="795" spans="1:3" x14ac:dyDescent="0.2">
      <c r="A795" s="5">
        <v>793</v>
      </c>
      <c r="B795" s="5">
        <f t="shared" ca="1" si="12"/>
        <v>0.58204006643263417</v>
      </c>
      <c r="C795" s="5" t="s">
        <v>24</v>
      </c>
    </row>
    <row r="796" spans="1:3" x14ac:dyDescent="0.2">
      <c r="A796" s="5">
        <v>794</v>
      </c>
      <c r="B796" s="5">
        <f t="shared" ca="1" si="12"/>
        <v>0.54942971915054095</v>
      </c>
      <c r="C796" s="5" t="s">
        <v>25</v>
      </c>
    </row>
    <row r="797" spans="1:3" x14ac:dyDescent="0.2">
      <c r="A797" s="5">
        <v>795</v>
      </c>
      <c r="B797" s="5">
        <f t="shared" ca="1" si="12"/>
        <v>0.48520354727002879</v>
      </c>
      <c r="C797" s="5" t="s">
        <v>25</v>
      </c>
    </row>
    <row r="798" spans="1:3" x14ac:dyDescent="0.2">
      <c r="A798" s="5">
        <v>796</v>
      </c>
      <c r="B798" s="5">
        <f t="shared" ca="1" si="12"/>
        <v>0.52243916198160245</v>
      </c>
      <c r="C798" s="5" t="s">
        <v>25</v>
      </c>
    </row>
    <row r="799" spans="1:3" x14ac:dyDescent="0.2">
      <c r="A799" s="5">
        <v>797</v>
      </c>
      <c r="B799" s="5">
        <f t="shared" ca="1" si="12"/>
        <v>0.42786820716091922</v>
      </c>
      <c r="C799" s="5" t="s">
        <v>25</v>
      </c>
    </row>
    <row r="800" spans="1:3" x14ac:dyDescent="0.2">
      <c r="A800" s="5">
        <v>798</v>
      </c>
      <c r="B800" s="5">
        <f t="shared" ca="1" si="12"/>
        <v>0.71149044965082175</v>
      </c>
      <c r="C800" s="5" t="s">
        <v>24</v>
      </c>
    </row>
    <row r="801" spans="1:3" x14ac:dyDescent="0.2">
      <c r="A801" s="5">
        <v>799</v>
      </c>
      <c r="B801" s="5">
        <f t="shared" ca="1" si="12"/>
        <v>0.79871990314981489</v>
      </c>
      <c r="C801" s="5" t="s">
        <v>25</v>
      </c>
    </row>
    <row r="802" spans="1:3" x14ac:dyDescent="0.2">
      <c r="A802" s="5">
        <v>800</v>
      </c>
      <c r="B802" s="5">
        <f t="shared" ca="1" si="12"/>
        <v>0.83727555152439292</v>
      </c>
      <c r="C802" s="5" t="s">
        <v>25</v>
      </c>
    </row>
    <row r="803" spans="1:3" x14ac:dyDescent="0.2">
      <c r="A803" s="5">
        <v>801</v>
      </c>
      <c r="B803" s="5">
        <f t="shared" ca="1" si="12"/>
        <v>0.57769801601407644</v>
      </c>
      <c r="C803" s="5" t="s">
        <v>25</v>
      </c>
    </row>
    <row r="804" spans="1:3" x14ac:dyDescent="0.2">
      <c r="A804" s="5">
        <v>802</v>
      </c>
      <c r="B804" s="5">
        <f t="shared" ca="1" si="12"/>
        <v>0.79264563088543738</v>
      </c>
      <c r="C804" s="5" t="s">
        <v>25</v>
      </c>
    </row>
    <row r="805" spans="1:3" x14ac:dyDescent="0.2">
      <c r="A805" s="5">
        <v>803</v>
      </c>
      <c r="B805" s="5">
        <f t="shared" ca="1" si="12"/>
        <v>0.72723656336692655</v>
      </c>
      <c r="C805" s="5" t="s">
        <v>24</v>
      </c>
    </row>
    <row r="806" spans="1:3" x14ac:dyDescent="0.2">
      <c r="A806" s="5">
        <v>804</v>
      </c>
      <c r="B806" s="5">
        <f t="shared" ca="1" si="12"/>
        <v>0.36286028128424241</v>
      </c>
      <c r="C806" s="5" t="s">
        <v>25</v>
      </c>
    </row>
    <row r="807" spans="1:3" x14ac:dyDescent="0.2">
      <c r="A807" s="5">
        <v>805</v>
      </c>
      <c r="B807" s="5">
        <f t="shared" ca="1" si="12"/>
        <v>0.71509288937536108</v>
      </c>
      <c r="C807" s="5" t="s">
        <v>24</v>
      </c>
    </row>
    <row r="808" spans="1:3" x14ac:dyDescent="0.2">
      <c r="A808" s="5">
        <v>806</v>
      </c>
      <c r="B808" s="5">
        <f t="shared" ca="1" si="12"/>
        <v>0.54168545982238236</v>
      </c>
      <c r="C808" s="5" t="s">
        <v>25</v>
      </c>
    </row>
    <row r="809" spans="1:3" x14ac:dyDescent="0.2">
      <c r="A809" s="5">
        <v>807</v>
      </c>
      <c r="B809" s="5">
        <f t="shared" ca="1" si="12"/>
        <v>0.67756672113724636</v>
      </c>
      <c r="C809" s="5" t="s">
        <v>24</v>
      </c>
    </row>
    <row r="810" spans="1:3" x14ac:dyDescent="0.2">
      <c r="A810" s="5">
        <v>808</v>
      </c>
      <c r="B810" s="5">
        <f t="shared" ca="1" si="12"/>
        <v>0.63375224636216798</v>
      </c>
      <c r="C810" s="5" t="s">
        <v>24</v>
      </c>
    </row>
    <row r="811" spans="1:3" x14ac:dyDescent="0.2">
      <c r="A811" s="5">
        <v>809</v>
      </c>
      <c r="B811" s="5">
        <f t="shared" ca="1" si="12"/>
        <v>0.59061165603345844</v>
      </c>
      <c r="C811" s="5" t="s">
        <v>24</v>
      </c>
    </row>
    <row r="812" spans="1:3" x14ac:dyDescent="0.2">
      <c r="A812" s="5">
        <v>810</v>
      </c>
      <c r="B812" s="5">
        <f t="shared" ca="1" si="12"/>
        <v>0.58913656303735973</v>
      </c>
      <c r="C812" s="5" t="s">
        <v>24</v>
      </c>
    </row>
    <row r="813" spans="1:3" x14ac:dyDescent="0.2">
      <c r="A813" s="5">
        <v>811</v>
      </c>
      <c r="B813" s="5">
        <f t="shared" ca="1" si="12"/>
        <v>0.49631118695616916</v>
      </c>
      <c r="C813" s="5" t="s">
        <v>25</v>
      </c>
    </row>
    <row r="814" spans="1:3" x14ac:dyDescent="0.2">
      <c r="A814" s="5">
        <v>812</v>
      </c>
      <c r="B814" s="5">
        <f t="shared" ca="1" si="12"/>
        <v>0.80983957389721362</v>
      </c>
      <c r="C814" s="5" t="s">
        <v>24</v>
      </c>
    </row>
    <row r="815" spans="1:3" x14ac:dyDescent="0.2">
      <c r="A815" s="5">
        <v>813</v>
      </c>
      <c r="B815" s="5">
        <f t="shared" ca="1" si="12"/>
        <v>0.6648193887717645</v>
      </c>
      <c r="C815" s="5" t="s">
        <v>24</v>
      </c>
    </row>
    <row r="816" spans="1:3" x14ac:dyDescent="0.2">
      <c r="A816" s="5">
        <v>814</v>
      </c>
      <c r="B816" s="5">
        <f t="shared" ca="1" si="12"/>
        <v>0.84044351585882049</v>
      </c>
      <c r="C816" s="5" t="s">
        <v>25</v>
      </c>
    </row>
    <row r="817" spans="1:3" x14ac:dyDescent="0.2">
      <c r="A817" s="5">
        <v>815</v>
      </c>
      <c r="B817" s="5">
        <f t="shared" ca="1" si="12"/>
        <v>0.52861238245005537</v>
      </c>
      <c r="C817" s="5" t="s">
        <v>25</v>
      </c>
    </row>
    <row r="818" spans="1:3" x14ac:dyDescent="0.2">
      <c r="A818" s="5">
        <v>816</v>
      </c>
      <c r="B818" s="5">
        <f t="shared" ca="1" si="12"/>
        <v>0.86325204496334473</v>
      </c>
      <c r="C818" s="5" t="s">
        <v>25</v>
      </c>
    </row>
    <row r="819" spans="1:3" x14ac:dyDescent="0.2">
      <c r="A819" s="5">
        <v>817</v>
      </c>
      <c r="B819" s="5">
        <f t="shared" ca="1" si="12"/>
        <v>0.55258989348763199</v>
      </c>
      <c r="C819" s="5" t="s">
        <v>25</v>
      </c>
    </row>
    <row r="820" spans="1:3" x14ac:dyDescent="0.2">
      <c r="A820" s="5">
        <v>818</v>
      </c>
      <c r="B820" s="5">
        <f t="shared" ca="1" si="12"/>
        <v>0.38196616214133694</v>
      </c>
      <c r="C820" s="5" t="s">
        <v>25</v>
      </c>
    </row>
    <row r="821" spans="1:3" x14ac:dyDescent="0.2">
      <c r="A821" s="5">
        <v>819</v>
      </c>
      <c r="B821" s="5">
        <f t="shared" ca="1" si="12"/>
        <v>0.60685541131643639</v>
      </c>
      <c r="C821" s="5" t="s">
        <v>25</v>
      </c>
    </row>
    <row r="822" spans="1:3" x14ac:dyDescent="0.2">
      <c r="A822" s="5">
        <v>820</v>
      </c>
      <c r="B822" s="5">
        <f t="shared" ca="1" si="12"/>
        <v>0.63859750213301114</v>
      </c>
      <c r="C822" s="5" t="s">
        <v>25</v>
      </c>
    </row>
    <row r="823" spans="1:3" x14ac:dyDescent="0.2">
      <c r="A823" s="5">
        <v>821</v>
      </c>
      <c r="B823" s="5">
        <f t="shared" ca="1" si="12"/>
        <v>0.806637407900336</v>
      </c>
      <c r="C823" s="5" t="s">
        <v>24</v>
      </c>
    </row>
    <row r="824" spans="1:3" x14ac:dyDescent="0.2">
      <c r="A824" s="5">
        <v>822</v>
      </c>
      <c r="B824" s="5">
        <f t="shared" ca="1" si="12"/>
        <v>0.67270576909186597</v>
      </c>
      <c r="C824" s="5" t="s">
        <v>25</v>
      </c>
    </row>
    <row r="825" spans="1:3" x14ac:dyDescent="0.2">
      <c r="A825" s="5">
        <v>823</v>
      </c>
      <c r="B825" s="5">
        <f t="shared" ca="1" si="12"/>
        <v>0.66672925980767628</v>
      </c>
      <c r="C825" s="5" t="s">
        <v>24</v>
      </c>
    </row>
    <row r="826" spans="1:3" x14ac:dyDescent="0.2">
      <c r="A826" s="5">
        <v>824</v>
      </c>
      <c r="B826" s="5">
        <f t="shared" ca="1" si="12"/>
        <v>0.66021808248575242</v>
      </c>
      <c r="C826" s="5" t="s">
        <v>24</v>
      </c>
    </row>
    <row r="827" spans="1:3" x14ac:dyDescent="0.2">
      <c r="A827" s="5">
        <v>825</v>
      </c>
      <c r="B827" s="5">
        <f t="shared" ca="1" si="12"/>
        <v>0.60348481144657562</v>
      </c>
      <c r="C827" s="5" t="s">
        <v>24</v>
      </c>
    </row>
    <row r="828" spans="1:3" x14ac:dyDescent="0.2">
      <c r="A828" s="5">
        <v>826</v>
      </c>
      <c r="B828" s="5">
        <f t="shared" ca="1" si="12"/>
        <v>0.55588206833666332</v>
      </c>
      <c r="C828" s="5" t="s">
        <v>25</v>
      </c>
    </row>
    <row r="829" spans="1:3" x14ac:dyDescent="0.2">
      <c r="A829" s="5">
        <v>827</v>
      </c>
      <c r="B829" s="5">
        <f t="shared" ca="1" si="12"/>
        <v>0.88561144719060569</v>
      </c>
      <c r="C829" s="5" t="s">
        <v>25</v>
      </c>
    </row>
    <row r="830" spans="1:3" x14ac:dyDescent="0.2">
      <c r="A830" s="5">
        <v>828</v>
      </c>
      <c r="B830" s="5">
        <f t="shared" ca="1" si="12"/>
        <v>0.46610381557049985</v>
      </c>
      <c r="C830" s="5" t="s">
        <v>25</v>
      </c>
    </row>
    <row r="831" spans="1:3" x14ac:dyDescent="0.2">
      <c r="A831" s="5">
        <v>829</v>
      </c>
      <c r="B831" s="5">
        <f t="shared" ca="1" si="12"/>
        <v>0.69983454302016967</v>
      </c>
      <c r="C831" s="5" t="s">
        <v>24</v>
      </c>
    </row>
    <row r="832" spans="1:3" x14ac:dyDescent="0.2">
      <c r="A832" s="5">
        <v>830</v>
      </c>
      <c r="B832" s="5">
        <f t="shared" ca="1" si="12"/>
        <v>0.52946218143980484</v>
      </c>
      <c r="C832" s="5" t="s">
        <v>25</v>
      </c>
    </row>
    <row r="833" spans="1:3" x14ac:dyDescent="0.2">
      <c r="A833" s="5">
        <v>831</v>
      </c>
      <c r="B833" s="5">
        <f t="shared" ca="1" si="12"/>
        <v>0.19781600174633296</v>
      </c>
      <c r="C833" s="5" t="s">
        <v>25</v>
      </c>
    </row>
    <row r="834" spans="1:3" x14ac:dyDescent="0.2">
      <c r="A834" s="5">
        <v>832</v>
      </c>
      <c r="B834" s="5">
        <f t="shared" ca="1" si="12"/>
        <v>0.81033727895553409</v>
      </c>
      <c r="C834" s="5" t="s">
        <v>25</v>
      </c>
    </row>
    <row r="835" spans="1:3" x14ac:dyDescent="0.2">
      <c r="A835" s="5">
        <v>833</v>
      </c>
      <c r="B835" s="5">
        <f t="shared" ca="1" si="12"/>
        <v>0.60037604854994742</v>
      </c>
      <c r="C835" s="5" t="s">
        <v>24</v>
      </c>
    </row>
    <row r="836" spans="1:3" x14ac:dyDescent="0.2">
      <c r="A836" s="5">
        <v>834</v>
      </c>
      <c r="B836" s="5">
        <f t="shared" ref="B836:B899" ca="1" si="13">IF(C836="Bomb",_xlfn.NORM.INV(RAND(),0.7,0.1),_xlfn.NORM.INV(RAND(),0.6,0.15))</f>
        <v>0.66460033187481149</v>
      </c>
      <c r="C836" s="5" t="s">
        <v>25</v>
      </c>
    </row>
    <row r="837" spans="1:3" x14ac:dyDescent="0.2">
      <c r="A837" s="5">
        <v>835</v>
      </c>
      <c r="B837" s="5">
        <f t="shared" ca="1" si="13"/>
        <v>0.73324809819093451</v>
      </c>
      <c r="C837" s="5" t="s">
        <v>24</v>
      </c>
    </row>
    <row r="838" spans="1:3" x14ac:dyDescent="0.2">
      <c r="A838" s="5">
        <v>836</v>
      </c>
      <c r="B838" s="5">
        <f t="shared" ca="1" si="13"/>
        <v>0.73535792446495363</v>
      </c>
      <c r="C838" s="5" t="s">
        <v>25</v>
      </c>
    </row>
    <row r="839" spans="1:3" x14ac:dyDescent="0.2">
      <c r="A839" s="5">
        <v>837</v>
      </c>
      <c r="B839" s="5">
        <f t="shared" ca="1" si="13"/>
        <v>0.83322805484272777</v>
      </c>
      <c r="C839" s="5" t="s">
        <v>24</v>
      </c>
    </row>
    <row r="840" spans="1:3" x14ac:dyDescent="0.2">
      <c r="A840" s="5">
        <v>838</v>
      </c>
      <c r="B840" s="5">
        <f t="shared" ca="1" si="13"/>
        <v>0.78049773698565694</v>
      </c>
      <c r="C840" s="5" t="s">
        <v>25</v>
      </c>
    </row>
    <row r="841" spans="1:3" x14ac:dyDescent="0.2">
      <c r="A841" s="5">
        <v>839</v>
      </c>
      <c r="B841" s="5">
        <f t="shared" ca="1" si="13"/>
        <v>0.65105538931466944</v>
      </c>
      <c r="C841" s="5" t="s">
        <v>24</v>
      </c>
    </row>
    <row r="842" spans="1:3" x14ac:dyDescent="0.2">
      <c r="A842" s="5">
        <v>840</v>
      </c>
      <c r="B842" s="5">
        <f t="shared" ca="1" si="13"/>
        <v>0.74346083678636044</v>
      </c>
      <c r="C842" s="5" t="s">
        <v>24</v>
      </c>
    </row>
    <row r="843" spans="1:3" x14ac:dyDescent="0.2">
      <c r="A843" s="5">
        <v>841</v>
      </c>
      <c r="B843" s="5">
        <f t="shared" ca="1" si="13"/>
        <v>0.60526875322041995</v>
      </c>
      <c r="C843" s="5" t="s">
        <v>24</v>
      </c>
    </row>
    <row r="844" spans="1:3" x14ac:dyDescent="0.2">
      <c r="A844" s="5">
        <v>842</v>
      </c>
      <c r="B844" s="5">
        <f t="shared" ca="1" si="13"/>
        <v>0.58525245017869143</v>
      </c>
      <c r="C844" s="5" t="s">
        <v>25</v>
      </c>
    </row>
    <row r="845" spans="1:3" x14ac:dyDescent="0.2">
      <c r="A845" s="5">
        <v>843</v>
      </c>
      <c r="B845" s="5">
        <f t="shared" ca="1" si="13"/>
        <v>0.6311975761293912</v>
      </c>
      <c r="C845" s="5" t="s">
        <v>25</v>
      </c>
    </row>
    <row r="846" spans="1:3" x14ac:dyDescent="0.2">
      <c r="A846" s="5">
        <v>844</v>
      </c>
      <c r="B846" s="5">
        <f t="shared" ca="1" si="13"/>
        <v>0.70018332869595534</v>
      </c>
      <c r="C846" s="5" t="s">
        <v>25</v>
      </c>
    </row>
    <row r="847" spans="1:3" x14ac:dyDescent="0.2">
      <c r="A847" s="5">
        <v>845</v>
      </c>
      <c r="B847" s="5">
        <f t="shared" ca="1" si="13"/>
        <v>0.58779599874921162</v>
      </c>
      <c r="C847" s="5" t="s">
        <v>25</v>
      </c>
    </row>
    <row r="848" spans="1:3" x14ac:dyDescent="0.2">
      <c r="A848" s="5">
        <v>846</v>
      </c>
      <c r="B848" s="5">
        <f t="shared" ca="1" si="13"/>
        <v>0.32196164483898909</v>
      </c>
      <c r="C848" s="5" t="s">
        <v>25</v>
      </c>
    </row>
    <row r="849" spans="1:3" x14ac:dyDescent="0.2">
      <c r="A849" s="5">
        <v>847</v>
      </c>
      <c r="B849" s="5">
        <f t="shared" ca="1" si="13"/>
        <v>0.72657652604718692</v>
      </c>
      <c r="C849" s="5" t="s">
        <v>24</v>
      </c>
    </row>
    <row r="850" spans="1:3" x14ac:dyDescent="0.2">
      <c r="A850" s="5">
        <v>848</v>
      </c>
      <c r="B850" s="5">
        <f t="shared" ca="1" si="13"/>
        <v>0.4875379758665051</v>
      </c>
      <c r="C850" s="5" t="s">
        <v>25</v>
      </c>
    </row>
    <row r="851" spans="1:3" x14ac:dyDescent="0.2">
      <c r="A851" s="5">
        <v>849</v>
      </c>
      <c r="B851" s="5">
        <f t="shared" ca="1" si="13"/>
        <v>0.55533652756650187</v>
      </c>
      <c r="C851" s="5" t="s">
        <v>24</v>
      </c>
    </row>
    <row r="852" spans="1:3" x14ac:dyDescent="0.2">
      <c r="A852" s="5">
        <v>850</v>
      </c>
      <c r="B852" s="5">
        <f t="shared" ca="1" si="13"/>
        <v>0.85092093906072364</v>
      </c>
      <c r="C852" s="5" t="s">
        <v>25</v>
      </c>
    </row>
    <row r="853" spans="1:3" x14ac:dyDescent="0.2">
      <c r="A853" s="5">
        <v>851</v>
      </c>
      <c r="B853" s="5">
        <f t="shared" ca="1" si="13"/>
        <v>0.72007085335590693</v>
      </c>
      <c r="C853" s="5" t="s">
        <v>25</v>
      </c>
    </row>
    <row r="854" spans="1:3" x14ac:dyDescent="0.2">
      <c r="A854" s="5">
        <v>852</v>
      </c>
      <c r="B854" s="5">
        <f t="shared" ca="1" si="13"/>
        <v>0.74832640096163505</v>
      </c>
      <c r="C854" s="5" t="s">
        <v>25</v>
      </c>
    </row>
    <row r="855" spans="1:3" x14ac:dyDescent="0.2">
      <c r="A855" s="5">
        <v>853</v>
      </c>
      <c r="B855" s="5">
        <f t="shared" ca="1" si="13"/>
        <v>0.42051773590098446</v>
      </c>
      <c r="C855" s="5" t="s">
        <v>25</v>
      </c>
    </row>
    <row r="856" spans="1:3" x14ac:dyDescent="0.2">
      <c r="A856" s="5">
        <v>854</v>
      </c>
      <c r="B856" s="5">
        <f t="shared" ca="1" si="13"/>
        <v>0.89773797016746404</v>
      </c>
      <c r="C856" s="5" t="s">
        <v>25</v>
      </c>
    </row>
    <row r="857" spans="1:3" x14ac:dyDescent="0.2">
      <c r="A857" s="5">
        <v>855</v>
      </c>
      <c r="B857" s="5">
        <f t="shared" ca="1" si="13"/>
        <v>0.67019660124440228</v>
      </c>
      <c r="C857" s="5" t="s">
        <v>24</v>
      </c>
    </row>
    <row r="858" spans="1:3" x14ac:dyDescent="0.2">
      <c r="A858" s="5">
        <v>856</v>
      </c>
      <c r="B858" s="5">
        <f t="shared" ca="1" si="13"/>
        <v>0.63248898895902339</v>
      </c>
      <c r="C858" s="5" t="s">
        <v>24</v>
      </c>
    </row>
    <row r="859" spans="1:3" x14ac:dyDescent="0.2">
      <c r="A859" s="5">
        <v>857</v>
      </c>
      <c r="B859" s="5">
        <f t="shared" ca="1" si="13"/>
        <v>0.51610694838548599</v>
      </c>
      <c r="C859" s="5" t="s">
        <v>25</v>
      </c>
    </row>
    <row r="860" spans="1:3" x14ac:dyDescent="0.2">
      <c r="A860" s="5">
        <v>858</v>
      </c>
      <c r="B860" s="5">
        <f t="shared" ca="1" si="13"/>
        <v>0.57001083948057696</v>
      </c>
      <c r="C860" s="5" t="s">
        <v>25</v>
      </c>
    </row>
    <row r="861" spans="1:3" x14ac:dyDescent="0.2">
      <c r="A861" s="5">
        <v>859</v>
      </c>
      <c r="B861" s="5">
        <f t="shared" ca="1" si="13"/>
        <v>0.87399701475960201</v>
      </c>
      <c r="C861" s="5" t="s">
        <v>25</v>
      </c>
    </row>
    <row r="862" spans="1:3" x14ac:dyDescent="0.2">
      <c r="A862" s="5">
        <v>860</v>
      </c>
      <c r="B862" s="5">
        <f t="shared" ca="1" si="13"/>
        <v>0.65233821993485241</v>
      </c>
      <c r="C862" s="5" t="s">
        <v>25</v>
      </c>
    </row>
    <row r="863" spans="1:3" x14ac:dyDescent="0.2">
      <c r="A863" s="5">
        <v>861</v>
      </c>
      <c r="B863" s="5">
        <f t="shared" ca="1" si="13"/>
        <v>0.5315705013186609</v>
      </c>
      <c r="C863" s="5" t="s">
        <v>24</v>
      </c>
    </row>
    <row r="864" spans="1:3" x14ac:dyDescent="0.2">
      <c r="A864" s="5">
        <v>862</v>
      </c>
      <c r="B864" s="5">
        <f t="shared" ca="1" si="13"/>
        <v>0.67495233489188411</v>
      </c>
      <c r="C864" s="5" t="s">
        <v>25</v>
      </c>
    </row>
    <row r="865" spans="1:3" x14ac:dyDescent="0.2">
      <c r="A865" s="5">
        <v>863</v>
      </c>
      <c r="B865" s="5">
        <f t="shared" ca="1" si="13"/>
        <v>0.57999543825523958</v>
      </c>
      <c r="C865" s="5" t="s">
        <v>25</v>
      </c>
    </row>
    <row r="866" spans="1:3" x14ac:dyDescent="0.2">
      <c r="A866" s="5">
        <v>864</v>
      </c>
      <c r="B866" s="5">
        <f t="shared" ca="1" si="13"/>
        <v>0.66707699282376776</v>
      </c>
      <c r="C866" s="5" t="s">
        <v>25</v>
      </c>
    </row>
    <row r="867" spans="1:3" x14ac:dyDescent="0.2">
      <c r="A867" s="5">
        <v>865</v>
      </c>
      <c r="B867" s="5">
        <f t="shared" ca="1" si="13"/>
        <v>0.7525429382472244</v>
      </c>
      <c r="C867" s="5" t="s">
        <v>25</v>
      </c>
    </row>
    <row r="868" spans="1:3" x14ac:dyDescent="0.2">
      <c r="A868" s="5">
        <v>866</v>
      </c>
      <c r="B868" s="5">
        <f t="shared" ca="1" si="13"/>
        <v>0.64297792838992041</v>
      </c>
      <c r="C868" s="5" t="s">
        <v>25</v>
      </c>
    </row>
    <row r="869" spans="1:3" x14ac:dyDescent="0.2">
      <c r="A869" s="5">
        <v>867</v>
      </c>
      <c r="B869" s="5">
        <f t="shared" ca="1" si="13"/>
        <v>0.55687241316465164</v>
      </c>
      <c r="C869" s="5" t="s">
        <v>25</v>
      </c>
    </row>
    <row r="870" spans="1:3" x14ac:dyDescent="0.2">
      <c r="A870" s="5">
        <v>868</v>
      </c>
      <c r="B870" s="5">
        <f t="shared" ca="1" si="13"/>
        <v>0.50933597419527965</v>
      </c>
      <c r="C870" s="5" t="s">
        <v>25</v>
      </c>
    </row>
    <row r="871" spans="1:3" x14ac:dyDescent="0.2">
      <c r="A871" s="5">
        <v>869</v>
      </c>
      <c r="B871" s="5">
        <f t="shared" ca="1" si="13"/>
        <v>0.66334766373527465</v>
      </c>
      <c r="C871" s="5" t="s">
        <v>25</v>
      </c>
    </row>
    <row r="872" spans="1:3" x14ac:dyDescent="0.2">
      <c r="A872" s="5">
        <v>870</v>
      </c>
      <c r="B872" s="5">
        <f t="shared" ca="1" si="13"/>
        <v>0.39310765425992911</v>
      </c>
      <c r="C872" s="5" t="s">
        <v>25</v>
      </c>
    </row>
    <row r="873" spans="1:3" x14ac:dyDescent="0.2">
      <c r="A873" s="5">
        <v>871</v>
      </c>
      <c r="B873" s="5">
        <f t="shared" ca="1" si="13"/>
        <v>0.65936729997967847</v>
      </c>
      <c r="C873" s="5" t="s">
        <v>24</v>
      </c>
    </row>
    <row r="874" spans="1:3" x14ac:dyDescent="0.2">
      <c r="A874" s="5">
        <v>872</v>
      </c>
      <c r="B874" s="5">
        <f t="shared" ca="1" si="13"/>
        <v>0.82315266759799421</v>
      </c>
      <c r="C874" s="5" t="s">
        <v>24</v>
      </c>
    </row>
    <row r="875" spans="1:3" x14ac:dyDescent="0.2">
      <c r="A875" s="5">
        <v>873</v>
      </c>
      <c r="B875" s="5">
        <f t="shared" ca="1" si="13"/>
        <v>0.84056590911900064</v>
      </c>
      <c r="C875" s="5" t="s">
        <v>24</v>
      </c>
    </row>
    <row r="876" spans="1:3" x14ac:dyDescent="0.2">
      <c r="A876" s="5">
        <v>874</v>
      </c>
      <c r="B876" s="5">
        <f t="shared" ca="1" si="13"/>
        <v>0.72043049376796398</v>
      </c>
      <c r="C876" s="5" t="s">
        <v>25</v>
      </c>
    </row>
    <row r="877" spans="1:3" x14ac:dyDescent="0.2">
      <c r="A877" s="5">
        <v>875</v>
      </c>
      <c r="B877" s="5">
        <f t="shared" ca="1" si="13"/>
        <v>0.4802996738873046</v>
      </c>
      <c r="C877" s="5" t="s">
        <v>25</v>
      </c>
    </row>
    <row r="878" spans="1:3" x14ac:dyDescent="0.2">
      <c r="A878" s="5">
        <v>876</v>
      </c>
      <c r="B878" s="5">
        <f t="shared" ca="1" si="13"/>
        <v>0.7260748197626925</v>
      </c>
      <c r="C878" s="5" t="s">
        <v>24</v>
      </c>
    </row>
    <row r="879" spans="1:3" x14ac:dyDescent="0.2">
      <c r="A879" s="5">
        <v>877</v>
      </c>
      <c r="B879" s="5">
        <f t="shared" ca="1" si="13"/>
        <v>0.64254669090279781</v>
      </c>
      <c r="C879" s="5" t="s">
        <v>25</v>
      </c>
    </row>
    <row r="880" spans="1:3" x14ac:dyDescent="0.2">
      <c r="A880" s="5">
        <v>878</v>
      </c>
      <c r="B880" s="5">
        <f t="shared" ca="1" si="13"/>
        <v>0.32514205824525716</v>
      </c>
      <c r="C880" s="5" t="s">
        <v>25</v>
      </c>
    </row>
    <row r="881" spans="1:3" x14ac:dyDescent="0.2">
      <c r="A881" s="5">
        <v>879</v>
      </c>
      <c r="B881" s="5">
        <f t="shared" ca="1" si="13"/>
        <v>0.71404247427274603</v>
      </c>
      <c r="C881" s="5" t="s">
        <v>24</v>
      </c>
    </row>
    <row r="882" spans="1:3" x14ac:dyDescent="0.2">
      <c r="A882" s="5">
        <v>880</v>
      </c>
      <c r="B882" s="5">
        <f t="shared" ca="1" si="13"/>
        <v>0.63540516235713118</v>
      </c>
      <c r="C882" s="5" t="s">
        <v>24</v>
      </c>
    </row>
    <row r="883" spans="1:3" x14ac:dyDescent="0.2">
      <c r="A883" s="5">
        <v>881</v>
      </c>
      <c r="B883" s="5">
        <f t="shared" ca="1" si="13"/>
        <v>0.78475939518980153</v>
      </c>
      <c r="C883" s="5" t="s">
        <v>24</v>
      </c>
    </row>
    <row r="884" spans="1:3" x14ac:dyDescent="0.2">
      <c r="A884" s="5">
        <v>882</v>
      </c>
      <c r="B884" s="5">
        <f t="shared" ca="1" si="13"/>
        <v>0.81383182960887979</v>
      </c>
      <c r="C884" s="5" t="s">
        <v>24</v>
      </c>
    </row>
    <row r="885" spans="1:3" x14ac:dyDescent="0.2">
      <c r="A885" s="5">
        <v>883</v>
      </c>
      <c r="B885" s="5">
        <f t="shared" ca="1" si="13"/>
        <v>0.69167125582498556</v>
      </c>
      <c r="C885" s="5" t="s">
        <v>25</v>
      </c>
    </row>
    <row r="886" spans="1:3" x14ac:dyDescent="0.2">
      <c r="A886" s="5">
        <v>884</v>
      </c>
      <c r="B886" s="5">
        <f t="shared" ca="1" si="13"/>
        <v>0.46078208950671018</v>
      </c>
      <c r="C886" s="5" t="s">
        <v>25</v>
      </c>
    </row>
    <row r="887" spans="1:3" x14ac:dyDescent="0.2">
      <c r="A887" s="5">
        <v>885</v>
      </c>
      <c r="B887" s="5">
        <f t="shared" ca="1" si="13"/>
        <v>0.61321985165502801</v>
      </c>
      <c r="C887" s="5" t="s">
        <v>25</v>
      </c>
    </row>
    <row r="888" spans="1:3" x14ac:dyDescent="0.2">
      <c r="A888" s="5">
        <v>886</v>
      </c>
      <c r="B888" s="5">
        <f t="shared" ca="1" si="13"/>
        <v>0.70163511279353996</v>
      </c>
      <c r="C888" s="5" t="s">
        <v>24</v>
      </c>
    </row>
    <row r="889" spans="1:3" x14ac:dyDescent="0.2">
      <c r="A889" s="5">
        <v>887</v>
      </c>
      <c r="B889" s="5">
        <f t="shared" ca="1" si="13"/>
        <v>0.60237804537530126</v>
      </c>
      <c r="C889" s="5" t="s">
        <v>24</v>
      </c>
    </row>
    <row r="890" spans="1:3" x14ac:dyDescent="0.2">
      <c r="A890" s="5">
        <v>888</v>
      </c>
      <c r="B890" s="5">
        <f t="shared" ca="1" si="13"/>
        <v>0.64119733796377454</v>
      </c>
      <c r="C890" s="5" t="s">
        <v>24</v>
      </c>
    </row>
    <row r="891" spans="1:3" x14ac:dyDescent="0.2">
      <c r="A891" s="5">
        <v>889</v>
      </c>
      <c r="B891" s="5">
        <f t="shared" ca="1" si="13"/>
        <v>0.57924984546378233</v>
      </c>
      <c r="C891" s="5" t="s">
        <v>25</v>
      </c>
    </row>
    <row r="892" spans="1:3" x14ac:dyDescent="0.2">
      <c r="A892" s="5">
        <v>890</v>
      </c>
      <c r="B892" s="5">
        <f t="shared" ca="1" si="13"/>
        <v>0.56312975298315771</v>
      </c>
      <c r="C892" s="5" t="s">
        <v>25</v>
      </c>
    </row>
    <row r="893" spans="1:3" x14ac:dyDescent="0.2">
      <c r="A893" s="5">
        <v>891</v>
      </c>
      <c r="B893" s="5">
        <f t="shared" ca="1" si="13"/>
        <v>0.51747541552185294</v>
      </c>
      <c r="C893" s="5" t="s">
        <v>25</v>
      </c>
    </row>
    <row r="894" spans="1:3" x14ac:dyDescent="0.2">
      <c r="A894" s="5">
        <v>892</v>
      </c>
      <c r="B894" s="5">
        <f t="shared" ca="1" si="13"/>
        <v>0.69343768290499397</v>
      </c>
      <c r="C894" s="5" t="s">
        <v>24</v>
      </c>
    </row>
    <row r="895" spans="1:3" x14ac:dyDescent="0.2">
      <c r="A895" s="5">
        <v>893</v>
      </c>
      <c r="B895" s="5">
        <f t="shared" ca="1" si="13"/>
        <v>0.48989544176246314</v>
      </c>
      <c r="C895" s="5" t="s">
        <v>25</v>
      </c>
    </row>
    <row r="896" spans="1:3" x14ac:dyDescent="0.2">
      <c r="A896" s="5">
        <v>894</v>
      </c>
      <c r="B896" s="5">
        <f t="shared" ca="1" si="13"/>
        <v>0.72042318890798829</v>
      </c>
      <c r="C896" s="5" t="s">
        <v>24</v>
      </c>
    </row>
    <row r="897" spans="1:3" x14ac:dyDescent="0.2">
      <c r="A897" s="5">
        <v>895</v>
      </c>
      <c r="B897" s="5">
        <f t="shared" ca="1" si="13"/>
        <v>0.49106704007092872</v>
      </c>
      <c r="C897" s="5" t="s">
        <v>25</v>
      </c>
    </row>
    <row r="898" spans="1:3" x14ac:dyDescent="0.2">
      <c r="A898" s="5">
        <v>896</v>
      </c>
      <c r="B898" s="5">
        <f t="shared" ca="1" si="13"/>
        <v>0.74213195493213702</v>
      </c>
      <c r="C898" s="5" t="s">
        <v>24</v>
      </c>
    </row>
    <row r="899" spans="1:3" x14ac:dyDescent="0.2">
      <c r="A899" s="5">
        <v>897</v>
      </c>
      <c r="B899" s="5">
        <f t="shared" ca="1" si="13"/>
        <v>0.65283004240038833</v>
      </c>
      <c r="C899" s="5" t="s">
        <v>24</v>
      </c>
    </row>
    <row r="900" spans="1:3" x14ac:dyDescent="0.2">
      <c r="A900" s="5">
        <v>898</v>
      </c>
      <c r="B900" s="5">
        <f t="shared" ref="B900:B963" ca="1" si="14">IF(C900="Bomb",_xlfn.NORM.INV(RAND(),0.7,0.1),_xlfn.NORM.INV(RAND(),0.6,0.15))</f>
        <v>0.63301185892676382</v>
      </c>
      <c r="C900" s="5" t="s">
        <v>24</v>
      </c>
    </row>
    <row r="901" spans="1:3" x14ac:dyDescent="0.2">
      <c r="A901" s="5">
        <v>899</v>
      </c>
      <c r="B901" s="5">
        <f t="shared" ca="1" si="14"/>
        <v>0.53662738009272659</v>
      </c>
      <c r="C901" s="5" t="s">
        <v>25</v>
      </c>
    </row>
    <row r="902" spans="1:3" x14ac:dyDescent="0.2">
      <c r="A902" s="5">
        <v>900</v>
      </c>
      <c r="B902" s="5">
        <f t="shared" ca="1" si="14"/>
        <v>0.71195780771098904</v>
      </c>
      <c r="C902" s="5" t="s">
        <v>24</v>
      </c>
    </row>
    <row r="903" spans="1:3" x14ac:dyDescent="0.2">
      <c r="A903" s="5">
        <v>901</v>
      </c>
      <c r="B903" s="5">
        <f t="shared" ca="1" si="14"/>
        <v>0.76622310737646726</v>
      </c>
      <c r="C903" s="5" t="s">
        <v>24</v>
      </c>
    </row>
    <row r="904" spans="1:3" x14ac:dyDescent="0.2">
      <c r="A904" s="5">
        <v>902</v>
      </c>
      <c r="B904" s="5">
        <f t="shared" ca="1" si="14"/>
        <v>0.72145268825124376</v>
      </c>
      <c r="C904" s="5" t="s">
        <v>24</v>
      </c>
    </row>
    <row r="905" spans="1:3" x14ac:dyDescent="0.2">
      <c r="A905" s="5">
        <v>903</v>
      </c>
      <c r="B905" s="5">
        <f t="shared" ca="1" si="14"/>
        <v>0.75271929694976858</v>
      </c>
      <c r="C905" s="5" t="s">
        <v>24</v>
      </c>
    </row>
    <row r="906" spans="1:3" x14ac:dyDescent="0.2">
      <c r="A906" s="5">
        <v>904</v>
      </c>
      <c r="B906" s="5">
        <f t="shared" ca="1" si="14"/>
        <v>0.52820345912970224</v>
      </c>
      <c r="C906" s="5" t="s">
        <v>24</v>
      </c>
    </row>
    <row r="907" spans="1:3" x14ac:dyDescent="0.2">
      <c r="A907" s="5">
        <v>905</v>
      </c>
      <c r="B907" s="5">
        <f t="shared" ca="1" si="14"/>
        <v>0.30692863411425647</v>
      </c>
      <c r="C907" s="5" t="s">
        <v>25</v>
      </c>
    </row>
    <row r="908" spans="1:3" x14ac:dyDescent="0.2">
      <c r="A908" s="5">
        <v>906</v>
      </c>
      <c r="B908" s="5">
        <f t="shared" ca="1" si="14"/>
        <v>0.64775476397793119</v>
      </c>
      <c r="C908" s="5" t="s">
        <v>25</v>
      </c>
    </row>
    <row r="909" spans="1:3" x14ac:dyDescent="0.2">
      <c r="A909" s="5">
        <v>907</v>
      </c>
      <c r="B909" s="5">
        <f t="shared" ca="1" si="14"/>
        <v>0.95207175611340267</v>
      </c>
      <c r="C909" s="5" t="s">
        <v>25</v>
      </c>
    </row>
    <row r="910" spans="1:3" x14ac:dyDescent="0.2">
      <c r="A910" s="5">
        <v>908</v>
      </c>
      <c r="B910" s="5">
        <f t="shared" ca="1" si="14"/>
        <v>0.67076600895580007</v>
      </c>
      <c r="C910" s="5" t="s">
        <v>25</v>
      </c>
    </row>
    <row r="911" spans="1:3" x14ac:dyDescent="0.2">
      <c r="A911" s="5">
        <v>909</v>
      </c>
      <c r="B911" s="5">
        <f t="shared" ca="1" si="14"/>
        <v>0.73264278522929083</v>
      </c>
      <c r="C911" s="5" t="s">
        <v>25</v>
      </c>
    </row>
    <row r="912" spans="1:3" x14ac:dyDescent="0.2">
      <c r="A912" s="5">
        <v>910</v>
      </c>
      <c r="B912" s="5">
        <f t="shared" ca="1" si="14"/>
        <v>0.78304667808338801</v>
      </c>
      <c r="C912" s="5" t="s">
        <v>24</v>
      </c>
    </row>
    <row r="913" spans="1:3" x14ac:dyDescent="0.2">
      <c r="A913" s="5">
        <v>911</v>
      </c>
      <c r="B913" s="5">
        <f t="shared" ca="1" si="14"/>
        <v>0.51969554039403132</v>
      </c>
      <c r="C913" s="5" t="s">
        <v>25</v>
      </c>
    </row>
    <row r="914" spans="1:3" x14ac:dyDescent="0.2">
      <c r="A914" s="5">
        <v>912</v>
      </c>
      <c r="B914" s="5">
        <f t="shared" ca="1" si="14"/>
        <v>0.90247671724299527</v>
      </c>
      <c r="C914" s="5" t="s">
        <v>25</v>
      </c>
    </row>
    <row r="915" spans="1:3" x14ac:dyDescent="0.2">
      <c r="A915" s="5">
        <v>913</v>
      </c>
      <c r="B915" s="5">
        <f t="shared" ca="1" si="14"/>
        <v>0.54454345470546572</v>
      </c>
      <c r="C915" s="5" t="s">
        <v>25</v>
      </c>
    </row>
    <row r="916" spans="1:3" x14ac:dyDescent="0.2">
      <c r="A916" s="5">
        <v>914</v>
      </c>
      <c r="B916" s="5">
        <f t="shared" ca="1" si="14"/>
        <v>0.70075275199606946</v>
      </c>
      <c r="C916" s="5" t="s">
        <v>24</v>
      </c>
    </row>
    <row r="917" spans="1:3" x14ac:dyDescent="0.2">
      <c r="A917" s="5">
        <v>915</v>
      </c>
      <c r="B917" s="5">
        <f t="shared" ca="1" si="14"/>
        <v>0.43180578768054956</v>
      </c>
      <c r="C917" s="5" t="s">
        <v>25</v>
      </c>
    </row>
    <row r="918" spans="1:3" x14ac:dyDescent="0.2">
      <c r="A918" s="5">
        <v>916</v>
      </c>
      <c r="B918" s="5">
        <f t="shared" ca="1" si="14"/>
        <v>0.78766009312860497</v>
      </c>
      <c r="C918" s="5" t="s">
        <v>24</v>
      </c>
    </row>
    <row r="919" spans="1:3" x14ac:dyDescent="0.2">
      <c r="A919" s="5">
        <v>917</v>
      </c>
      <c r="B919" s="5">
        <f t="shared" ca="1" si="14"/>
        <v>0.53733657575600802</v>
      </c>
      <c r="C919" s="5" t="s">
        <v>25</v>
      </c>
    </row>
    <row r="920" spans="1:3" x14ac:dyDescent="0.2">
      <c r="A920" s="5">
        <v>918</v>
      </c>
      <c r="B920" s="5">
        <f t="shared" ca="1" si="14"/>
        <v>0.76845329029692167</v>
      </c>
      <c r="C920" s="5" t="s">
        <v>24</v>
      </c>
    </row>
    <row r="921" spans="1:3" x14ac:dyDescent="0.2">
      <c r="A921" s="5">
        <v>919</v>
      </c>
      <c r="B921" s="5">
        <f t="shared" ca="1" si="14"/>
        <v>1.1186646824247308</v>
      </c>
      <c r="C921" s="5" t="s">
        <v>25</v>
      </c>
    </row>
    <row r="922" spans="1:3" x14ac:dyDescent="0.2">
      <c r="A922" s="5">
        <v>920</v>
      </c>
      <c r="B922" s="5">
        <f t="shared" ca="1" si="14"/>
        <v>0.80110768909870733</v>
      </c>
      <c r="C922" s="5" t="s">
        <v>24</v>
      </c>
    </row>
    <row r="923" spans="1:3" x14ac:dyDescent="0.2">
      <c r="A923" s="5">
        <v>921</v>
      </c>
      <c r="B923" s="5">
        <f t="shared" ca="1" si="14"/>
        <v>0.60379280593316209</v>
      </c>
      <c r="C923" s="5" t="s">
        <v>24</v>
      </c>
    </row>
    <row r="924" spans="1:3" x14ac:dyDescent="0.2">
      <c r="A924" s="5">
        <v>922</v>
      </c>
      <c r="B924" s="5">
        <f t="shared" ca="1" si="14"/>
        <v>0.6089621529755086</v>
      </c>
      <c r="C924" s="5" t="s">
        <v>25</v>
      </c>
    </row>
    <row r="925" spans="1:3" x14ac:dyDescent="0.2">
      <c r="A925" s="5">
        <v>923</v>
      </c>
      <c r="B925" s="5">
        <f t="shared" ca="1" si="14"/>
        <v>0.39461309648353954</v>
      </c>
      <c r="C925" s="5" t="s">
        <v>25</v>
      </c>
    </row>
    <row r="926" spans="1:3" x14ac:dyDescent="0.2">
      <c r="A926" s="5">
        <v>924</v>
      </c>
      <c r="B926" s="5">
        <f t="shared" ca="1" si="14"/>
        <v>0.46791037947154379</v>
      </c>
      <c r="C926" s="5" t="s">
        <v>25</v>
      </c>
    </row>
    <row r="927" spans="1:3" x14ac:dyDescent="0.2">
      <c r="A927" s="5">
        <v>925</v>
      </c>
      <c r="B927" s="5">
        <f t="shared" ca="1" si="14"/>
        <v>0.67781760154842374</v>
      </c>
      <c r="C927" s="5" t="s">
        <v>24</v>
      </c>
    </row>
    <row r="928" spans="1:3" x14ac:dyDescent="0.2">
      <c r="A928" s="5">
        <v>926</v>
      </c>
      <c r="B928" s="5">
        <f t="shared" ca="1" si="14"/>
        <v>0.74089938664539179</v>
      </c>
      <c r="C928" s="5" t="s">
        <v>24</v>
      </c>
    </row>
    <row r="929" spans="1:3" x14ac:dyDescent="0.2">
      <c r="A929" s="5">
        <v>927</v>
      </c>
      <c r="B929" s="5">
        <f t="shared" ca="1" si="14"/>
        <v>0.70440318847121985</v>
      </c>
      <c r="C929" s="5" t="s">
        <v>24</v>
      </c>
    </row>
    <row r="930" spans="1:3" x14ac:dyDescent="0.2">
      <c r="A930" s="5">
        <v>928</v>
      </c>
      <c r="B930" s="5">
        <f t="shared" ca="1" si="14"/>
        <v>0.85471988094948947</v>
      </c>
      <c r="C930" s="5" t="s">
        <v>24</v>
      </c>
    </row>
    <row r="931" spans="1:3" x14ac:dyDescent="0.2">
      <c r="A931" s="5">
        <v>929</v>
      </c>
      <c r="B931" s="5">
        <f t="shared" ca="1" si="14"/>
        <v>0.68910977756776093</v>
      </c>
      <c r="C931" s="5" t="s">
        <v>24</v>
      </c>
    </row>
    <row r="932" spans="1:3" x14ac:dyDescent="0.2">
      <c r="A932" s="5">
        <v>930</v>
      </c>
      <c r="B932" s="5">
        <f t="shared" ca="1" si="14"/>
        <v>0.66344858481656388</v>
      </c>
      <c r="C932" s="5" t="s">
        <v>24</v>
      </c>
    </row>
    <row r="933" spans="1:3" x14ac:dyDescent="0.2">
      <c r="A933" s="5">
        <v>931</v>
      </c>
      <c r="B933" s="5">
        <f t="shared" ca="1" si="14"/>
        <v>0.81380971676593383</v>
      </c>
      <c r="C933" s="5" t="s">
        <v>25</v>
      </c>
    </row>
    <row r="934" spans="1:3" x14ac:dyDescent="0.2">
      <c r="A934" s="5">
        <v>932</v>
      </c>
      <c r="B934" s="5">
        <f t="shared" ca="1" si="14"/>
        <v>0.85175128982206705</v>
      </c>
      <c r="C934" s="5" t="s">
        <v>24</v>
      </c>
    </row>
    <row r="935" spans="1:3" x14ac:dyDescent="0.2">
      <c r="A935" s="5">
        <v>933</v>
      </c>
      <c r="B935" s="5">
        <f t="shared" ca="1" si="14"/>
        <v>0.64273238861974602</v>
      </c>
      <c r="C935" s="5" t="s">
        <v>25</v>
      </c>
    </row>
    <row r="936" spans="1:3" x14ac:dyDescent="0.2">
      <c r="A936" s="5">
        <v>934</v>
      </c>
      <c r="B936" s="5">
        <f t="shared" ca="1" si="14"/>
        <v>0.73996066359739043</v>
      </c>
      <c r="C936" s="5" t="s">
        <v>24</v>
      </c>
    </row>
    <row r="937" spans="1:3" x14ac:dyDescent="0.2">
      <c r="A937" s="5">
        <v>935</v>
      </c>
      <c r="B937" s="5">
        <f t="shared" ca="1" si="14"/>
        <v>0.66310898745721381</v>
      </c>
      <c r="C937" s="5" t="s">
        <v>24</v>
      </c>
    </row>
    <row r="938" spans="1:3" x14ac:dyDescent="0.2">
      <c r="A938" s="5">
        <v>936</v>
      </c>
      <c r="B938" s="5">
        <f t="shared" ca="1" si="14"/>
        <v>0.76314042143150451</v>
      </c>
      <c r="C938" s="5" t="s">
        <v>25</v>
      </c>
    </row>
    <row r="939" spans="1:3" x14ac:dyDescent="0.2">
      <c r="A939" s="5">
        <v>937</v>
      </c>
      <c r="B939" s="5">
        <f t="shared" ca="1" si="14"/>
        <v>0.43313898706496434</v>
      </c>
      <c r="C939" s="5" t="s">
        <v>25</v>
      </c>
    </row>
    <row r="940" spans="1:3" x14ac:dyDescent="0.2">
      <c r="A940" s="5">
        <v>938</v>
      </c>
      <c r="B940" s="5">
        <f t="shared" ca="1" si="14"/>
        <v>0.62879939816144637</v>
      </c>
      <c r="C940" s="5" t="s">
        <v>24</v>
      </c>
    </row>
    <row r="941" spans="1:3" x14ac:dyDescent="0.2">
      <c r="A941" s="5">
        <v>939</v>
      </c>
      <c r="B941" s="5">
        <f t="shared" ca="1" si="14"/>
        <v>0.80147234783138077</v>
      </c>
      <c r="C941" s="5" t="s">
        <v>24</v>
      </c>
    </row>
    <row r="942" spans="1:3" x14ac:dyDescent="0.2">
      <c r="A942" s="5">
        <v>940</v>
      </c>
      <c r="B942" s="5">
        <f t="shared" ca="1" si="14"/>
        <v>0.55569341873773226</v>
      </c>
      <c r="C942" s="5" t="s">
        <v>25</v>
      </c>
    </row>
    <row r="943" spans="1:3" x14ac:dyDescent="0.2">
      <c r="A943" s="5">
        <v>941</v>
      </c>
      <c r="B943" s="5">
        <f t="shared" ca="1" si="14"/>
        <v>0.88817015037873404</v>
      </c>
      <c r="C943" s="5" t="s">
        <v>25</v>
      </c>
    </row>
    <row r="944" spans="1:3" x14ac:dyDescent="0.2">
      <c r="A944" s="5">
        <v>942</v>
      </c>
      <c r="B944" s="5">
        <f t="shared" ca="1" si="14"/>
        <v>0.69096627528225119</v>
      </c>
      <c r="C944" s="5" t="s">
        <v>25</v>
      </c>
    </row>
    <row r="945" spans="1:3" x14ac:dyDescent="0.2">
      <c r="A945" s="5">
        <v>943</v>
      </c>
      <c r="B945" s="5">
        <f t="shared" ca="1" si="14"/>
        <v>0.51125675401868564</v>
      </c>
      <c r="C945" s="5" t="s">
        <v>25</v>
      </c>
    </row>
    <row r="946" spans="1:3" x14ac:dyDescent="0.2">
      <c r="A946" s="5">
        <v>944</v>
      </c>
      <c r="B946" s="5">
        <f t="shared" ca="1" si="14"/>
        <v>0.34994305434167</v>
      </c>
      <c r="C946" s="5" t="s">
        <v>25</v>
      </c>
    </row>
    <row r="947" spans="1:3" x14ac:dyDescent="0.2">
      <c r="A947" s="5">
        <v>945</v>
      </c>
      <c r="B947" s="5">
        <f t="shared" ca="1" si="14"/>
        <v>0.80816652334807582</v>
      </c>
      <c r="C947" s="5" t="s">
        <v>24</v>
      </c>
    </row>
    <row r="948" spans="1:3" x14ac:dyDescent="0.2">
      <c r="A948" s="5">
        <v>946</v>
      </c>
      <c r="B948" s="5">
        <f t="shared" ca="1" si="14"/>
        <v>0.63106987395666536</v>
      </c>
      <c r="C948" s="5" t="s">
        <v>25</v>
      </c>
    </row>
    <row r="949" spans="1:3" x14ac:dyDescent="0.2">
      <c r="A949" s="5">
        <v>947</v>
      </c>
      <c r="B949" s="5">
        <f t="shared" ca="1" si="14"/>
        <v>0.74575767186059894</v>
      </c>
      <c r="C949" s="5" t="s">
        <v>24</v>
      </c>
    </row>
    <row r="950" spans="1:3" x14ac:dyDescent="0.2">
      <c r="A950" s="5">
        <v>948</v>
      </c>
      <c r="B950" s="5">
        <f t="shared" ca="1" si="14"/>
        <v>0.46205589059777763</v>
      </c>
      <c r="C950" s="5" t="s">
        <v>25</v>
      </c>
    </row>
    <row r="951" spans="1:3" x14ac:dyDescent="0.2">
      <c r="A951" s="5">
        <v>949</v>
      </c>
      <c r="B951" s="5">
        <f t="shared" ca="1" si="14"/>
        <v>0.74482018610321543</v>
      </c>
      <c r="C951" s="5" t="s">
        <v>24</v>
      </c>
    </row>
    <row r="952" spans="1:3" x14ac:dyDescent="0.2">
      <c r="A952" s="5">
        <v>950</v>
      </c>
      <c r="B952" s="5">
        <f t="shared" ca="1" si="14"/>
        <v>0.61995827941990589</v>
      </c>
      <c r="C952" s="5" t="s">
        <v>24</v>
      </c>
    </row>
    <row r="953" spans="1:3" x14ac:dyDescent="0.2">
      <c r="A953" s="5">
        <v>951</v>
      </c>
      <c r="B953" s="5">
        <f t="shared" ca="1" si="14"/>
        <v>0.64589770689036374</v>
      </c>
      <c r="C953" s="5" t="s">
        <v>25</v>
      </c>
    </row>
    <row r="954" spans="1:3" x14ac:dyDescent="0.2">
      <c r="A954" s="5">
        <v>952</v>
      </c>
      <c r="B954" s="5">
        <f t="shared" ca="1" si="14"/>
        <v>0.66813587227387794</v>
      </c>
      <c r="C954" s="5" t="s">
        <v>25</v>
      </c>
    </row>
    <row r="955" spans="1:3" x14ac:dyDescent="0.2">
      <c r="A955" s="5">
        <v>953</v>
      </c>
      <c r="B955" s="5">
        <f t="shared" ca="1" si="14"/>
        <v>0.85958019504897287</v>
      </c>
      <c r="C955" s="5" t="s">
        <v>24</v>
      </c>
    </row>
    <row r="956" spans="1:3" x14ac:dyDescent="0.2">
      <c r="A956" s="5">
        <v>954</v>
      </c>
      <c r="B956" s="5">
        <f t="shared" ca="1" si="14"/>
        <v>0.51737314584419902</v>
      </c>
      <c r="C956" s="5" t="s">
        <v>25</v>
      </c>
    </row>
    <row r="957" spans="1:3" x14ac:dyDescent="0.2">
      <c r="A957" s="5">
        <v>955</v>
      </c>
      <c r="B957" s="5">
        <f t="shared" ca="1" si="14"/>
        <v>0.71805575041611858</v>
      </c>
      <c r="C957" s="5" t="s">
        <v>24</v>
      </c>
    </row>
    <row r="958" spans="1:3" x14ac:dyDescent="0.2">
      <c r="A958" s="5">
        <v>956</v>
      </c>
      <c r="B958" s="5">
        <f t="shared" ca="1" si="14"/>
        <v>0.82408133369520797</v>
      </c>
      <c r="C958" s="5" t="s">
        <v>24</v>
      </c>
    </row>
    <row r="959" spans="1:3" x14ac:dyDescent="0.2">
      <c r="A959" s="5">
        <v>957</v>
      </c>
      <c r="B959" s="5">
        <f t="shared" ca="1" si="14"/>
        <v>0.60803297235008458</v>
      </c>
      <c r="C959" s="5" t="s">
        <v>25</v>
      </c>
    </row>
    <row r="960" spans="1:3" x14ac:dyDescent="0.2">
      <c r="A960" s="5">
        <v>958</v>
      </c>
      <c r="B960" s="5">
        <f t="shared" ca="1" si="14"/>
        <v>0.84046936931530281</v>
      </c>
      <c r="C960" s="5" t="s">
        <v>24</v>
      </c>
    </row>
    <row r="961" spans="1:3" x14ac:dyDescent="0.2">
      <c r="A961" s="5">
        <v>959</v>
      </c>
      <c r="B961" s="5">
        <f t="shared" ca="1" si="14"/>
        <v>0.3859020127425688</v>
      </c>
      <c r="C961" s="5" t="s">
        <v>25</v>
      </c>
    </row>
    <row r="962" spans="1:3" x14ac:dyDescent="0.2">
      <c r="A962" s="5">
        <v>960</v>
      </c>
      <c r="B962" s="5">
        <f t="shared" ca="1" si="14"/>
        <v>0.47740005927872431</v>
      </c>
      <c r="C962" s="5" t="s">
        <v>25</v>
      </c>
    </row>
    <row r="963" spans="1:3" x14ac:dyDescent="0.2">
      <c r="A963" s="5">
        <v>961</v>
      </c>
      <c r="B963" s="5">
        <f t="shared" ca="1" si="14"/>
        <v>0.65768112733880191</v>
      </c>
      <c r="C963" s="5" t="s">
        <v>24</v>
      </c>
    </row>
    <row r="964" spans="1:3" x14ac:dyDescent="0.2">
      <c r="A964" s="5">
        <v>962</v>
      </c>
      <c r="B964" s="5">
        <f t="shared" ref="B964:B1002" ca="1" si="15">IF(C964="Bomb",_xlfn.NORM.INV(RAND(),0.7,0.1),_xlfn.NORM.INV(RAND(),0.6,0.15))</f>
        <v>0.72599440816005889</v>
      </c>
      <c r="C964" s="5" t="s">
        <v>24</v>
      </c>
    </row>
    <row r="965" spans="1:3" x14ac:dyDescent="0.2">
      <c r="A965" s="5">
        <v>963</v>
      </c>
      <c r="B965" s="5">
        <f t="shared" ca="1" si="15"/>
        <v>0.83362350527504614</v>
      </c>
      <c r="C965" s="5" t="s">
        <v>24</v>
      </c>
    </row>
    <row r="966" spans="1:3" x14ac:dyDescent="0.2">
      <c r="A966" s="5">
        <v>964</v>
      </c>
      <c r="B966" s="5">
        <f t="shared" ca="1" si="15"/>
        <v>0.62564451793108622</v>
      </c>
      <c r="C966" s="5" t="s">
        <v>24</v>
      </c>
    </row>
    <row r="967" spans="1:3" x14ac:dyDescent="0.2">
      <c r="A967" s="5">
        <v>965</v>
      </c>
      <c r="B967" s="5">
        <f t="shared" ca="1" si="15"/>
        <v>0.51307509252016303</v>
      </c>
      <c r="C967" s="5" t="s">
        <v>24</v>
      </c>
    </row>
    <row r="968" spans="1:3" x14ac:dyDescent="0.2">
      <c r="A968" s="5">
        <v>966</v>
      </c>
      <c r="B968" s="5">
        <f t="shared" ca="1" si="15"/>
        <v>0.765994935808894</v>
      </c>
      <c r="C968" s="5" t="s">
        <v>24</v>
      </c>
    </row>
    <row r="969" spans="1:3" x14ac:dyDescent="0.2">
      <c r="A969" s="5">
        <v>967</v>
      </c>
      <c r="B969" s="5">
        <f t="shared" ca="1" si="15"/>
        <v>0.82958992424082134</v>
      </c>
      <c r="C969" s="5" t="s">
        <v>24</v>
      </c>
    </row>
    <row r="970" spans="1:3" x14ac:dyDescent="0.2">
      <c r="A970" s="5">
        <v>968</v>
      </c>
      <c r="B970" s="5">
        <f t="shared" ca="1" si="15"/>
        <v>0.86958422542318969</v>
      </c>
      <c r="C970" s="5" t="s">
        <v>24</v>
      </c>
    </row>
    <row r="971" spans="1:3" x14ac:dyDescent="0.2">
      <c r="A971" s="5">
        <v>969</v>
      </c>
      <c r="B971" s="5">
        <f t="shared" ca="1" si="15"/>
        <v>0.54540306524649551</v>
      </c>
      <c r="C971" s="5" t="s">
        <v>25</v>
      </c>
    </row>
    <row r="972" spans="1:3" x14ac:dyDescent="0.2">
      <c r="A972" s="5">
        <v>970</v>
      </c>
      <c r="B972" s="5">
        <f t="shared" ca="1" si="15"/>
        <v>0.44638623686429524</v>
      </c>
      <c r="C972" s="5" t="s">
        <v>25</v>
      </c>
    </row>
    <row r="973" spans="1:3" x14ac:dyDescent="0.2">
      <c r="A973" s="5">
        <v>971</v>
      </c>
      <c r="B973" s="5">
        <f t="shared" ca="1" si="15"/>
        <v>0.58725031227589941</v>
      </c>
      <c r="C973" s="5" t="s">
        <v>24</v>
      </c>
    </row>
    <row r="974" spans="1:3" x14ac:dyDescent="0.2">
      <c r="A974" s="5">
        <v>972</v>
      </c>
      <c r="B974" s="5">
        <f t="shared" ca="1" si="15"/>
        <v>0.5328309924503617</v>
      </c>
      <c r="C974" s="5" t="s">
        <v>25</v>
      </c>
    </row>
    <row r="975" spans="1:3" x14ac:dyDescent="0.2">
      <c r="A975" s="5">
        <v>973</v>
      </c>
      <c r="B975" s="5">
        <f t="shared" ca="1" si="15"/>
        <v>0.7284739886395285</v>
      </c>
      <c r="C975" s="5" t="s">
        <v>24</v>
      </c>
    </row>
    <row r="976" spans="1:3" x14ac:dyDescent="0.2">
      <c r="A976" s="5">
        <v>974</v>
      </c>
      <c r="B976" s="5">
        <f t="shared" ca="1" si="15"/>
        <v>0.68296018503413569</v>
      </c>
      <c r="C976" s="5" t="s">
        <v>24</v>
      </c>
    </row>
    <row r="977" spans="1:3" x14ac:dyDescent="0.2">
      <c r="A977" s="5">
        <v>975</v>
      </c>
      <c r="B977" s="5">
        <f t="shared" ca="1" si="15"/>
        <v>0.80587182294009863</v>
      </c>
      <c r="C977" s="5" t="s">
        <v>24</v>
      </c>
    </row>
    <row r="978" spans="1:3" x14ac:dyDescent="0.2">
      <c r="A978" s="5">
        <v>976</v>
      </c>
      <c r="B978" s="5">
        <f t="shared" ca="1" si="15"/>
        <v>0.65882552018572393</v>
      </c>
      <c r="C978" s="5" t="s">
        <v>24</v>
      </c>
    </row>
    <row r="979" spans="1:3" x14ac:dyDescent="0.2">
      <c r="A979" s="5">
        <v>977</v>
      </c>
      <c r="B979" s="5">
        <f t="shared" ca="1" si="15"/>
        <v>0.73635459730101105</v>
      </c>
      <c r="C979" s="5" t="s">
        <v>24</v>
      </c>
    </row>
    <row r="980" spans="1:3" x14ac:dyDescent="0.2">
      <c r="A980" s="5">
        <v>978</v>
      </c>
      <c r="B980" s="5">
        <f t="shared" ca="1" si="15"/>
        <v>0.72112020303322244</v>
      </c>
      <c r="C980" s="5" t="s">
        <v>24</v>
      </c>
    </row>
    <row r="981" spans="1:3" x14ac:dyDescent="0.2">
      <c r="A981" s="5">
        <v>979</v>
      </c>
      <c r="B981" s="5">
        <f t="shared" ca="1" si="15"/>
        <v>0.7508393254114949</v>
      </c>
      <c r="C981" s="5" t="s">
        <v>24</v>
      </c>
    </row>
    <row r="982" spans="1:3" x14ac:dyDescent="0.2">
      <c r="A982" s="5">
        <v>980</v>
      </c>
      <c r="B982" s="5">
        <f t="shared" ca="1" si="15"/>
        <v>0.81836811699976808</v>
      </c>
      <c r="C982" s="5" t="s">
        <v>25</v>
      </c>
    </row>
    <row r="983" spans="1:3" x14ac:dyDescent="0.2">
      <c r="A983" s="5">
        <v>981</v>
      </c>
      <c r="B983" s="5">
        <f t="shared" ca="1" si="15"/>
        <v>0.80712819963917959</v>
      </c>
      <c r="C983" s="5" t="s">
        <v>25</v>
      </c>
    </row>
    <row r="984" spans="1:3" x14ac:dyDescent="0.2">
      <c r="A984" s="5">
        <v>982</v>
      </c>
      <c r="B984" s="5">
        <f t="shared" ca="1" si="15"/>
        <v>0.69797527998861963</v>
      </c>
      <c r="C984" s="5" t="s">
        <v>24</v>
      </c>
    </row>
    <row r="985" spans="1:3" x14ac:dyDescent="0.2">
      <c r="A985" s="5">
        <v>983</v>
      </c>
      <c r="B985" s="5">
        <f t="shared" ca="1" si="15"/>
        <v>0.52682074708821314</v>
      </c>
      <c r="C985" s="5" t="s">
        <v>24</v>
      </c>
    </row>
    <row r="986" spans="1:3" x14ac:dyDescent="0.2">
      <c r="A986" s="5">
        <v>984</v>
      </c>
      <c r="B986" s="5">
        <f t="shared" ca="1" si="15"/>
        <v>0.64796933774682053</v>
      </c>
      <c r="C986" s="5" t="s">
        <v>25</v>
      </c>
    </row>
    <row r="987" spans="1:3" x14ac:dyDescent="0.2">
      <c r="A987" s="5">
        <v>985</v>
      </c>
      <c r="B987" s="5">
        <f t="shared" ca="1" si="15"/>
        <v>0.38983375503113338</v>
      </c>
      <c r="C987" s="5" t="s">
        <v>25</v>
      </c>
    </row>
    <row r="988" spans="1:3" x14ac:dyDescent="0.2">
      <c r="A988" s="5">
        <v>986</v>
      </c>
      <c r="B988" s="5">
        <f t="shared" ca="1" si="15"/>
        <v>0.56957999208776178</v>
      </c>
      <c r="C988" s="5" t="s">
        <v>24</v>
      </c>
    </row>
    <row r="989" spans="1:3" x14ac:dyDescent="0.2">
      <c r="A989" s="5">
        <v>987</v>
      </c>
      <c r="B989" s="5">
        <f t="shared" ca="1" si="15"/>
        <v>0.6186300087089075</v>
      </c>
      <c r="C989" s="5" t="s">
        <v>25</v>
      </c>
    </row>
    <row r="990" spans="1:3" x14ac:dyDescent="0.2">
      <c r="A990" s="5">
        <v>988</v>
      </c>
      <c r="B990" s="5">
        <f t="shared" ca="1" si="15"/>
        <v>0.63096181780404648</v>
      </c>
      <c r="C990" s="5" t="s">
        <v>25</v>
      </c>
    </row>
    <row r="991" spans="1:3" x14ac:dyDescent="0.2">
      <c r="A991" s="5">
        <v>989</v>
      </c>
      <c r="B991" s="5">
        <f t="shared" ca="1" si="15"/>
        <v>0.71079038961448671</v>
      </c>
      <c r="C991" s="5" t="s">
        <v>24</v>
      </c>
    </row>
    <row r="992" spans="1:3" x14ac:dyDescent="0.2">
      <c r="A992" s="5">
        <v>990</v>
      </c>
      <c r="B992" s="5">
        <f t="shared" ca="1" si="15"/>
        <v>0.45853221715860765</v>
      </c>
      <c r="C992" s="5" t="s">
        <v>25</v>
      </c>
    </row>
    <row r="993" spans="1:3" x14ac:dyDescent="0.2">
      <c r="A993" s="5">
        <v>991</v>
      </c>
      <c r="B993" s="5">
        <f t="shared" ca="1" si="15"/>
        <v>0.63266248700166383</v>
      </c>
      <c r="C993" s="5" t="s">
        <v>24</v>
      </c>
    </row>
    <row r="994" spans="1:3" x14ac:dyDescent="0.2">
      <c r="A994" s="5">
        <v>992</v>
      </c>
      <c r="B994" s="5">
        <f t="shared" ca="1" si="15"/>
        <v>0.77877766883145916</v>
      </c>
      <c r="C994" s="5" t="s">
        <v>25</v>
      </c>
    </row>
    <row r="995" spans="1:3" x14ac:dyDescent="0.2">
      <c r="A995" s="5">
        <v>993</v>
      </c>
      <c r="B995" s="5">
        <f t="shared" ca="1" si="15"/>
        <v>0.53567573467894014</v>
      </c>
      <c r="C995" s="5" t="s">
        <v>24</v>
      </c>
    </row>
    <row r="996" spans="1:3" x14ac:dyDescent="0.2">
      <c r="A996" s="5">
        <v>994</v>
      </c>
      <c r="B996" s="5">
        <f t="shared" ca="1" si="15"/>
        <v>0.7730264404309759</v>
      </c>
      <c r="C996" s="5" t="s">
        <v>24</v>
      </c>
    </row>
    <row r="997" spans="1:3" x14ac:dyDescent="0.2">
      <c r="A997" s="5">
        <v>995</v>
      </c>
      <c r="B997" s="5">
        <f t="shared" ca="1" si="15"/>
        <v>0.58680577132170275</v>
      </c>
      <c r="C997" s="5" t="s">
        <v>25</v>
      </c>
    </row>
    <row r="998" spans="1:3" x14ac:dyDescent="0.2">
      <c r="A998" s="5">
        <v>996</v>
      </c>
      <c r="B998" s="5">
        <f t="shared" ca="1" si="15"/>
        <v>0.66864942601885313</v>
      </c>
      <c r="C998" s="5" t="s">
        <v>24</v>
      </c>
    </row>
    <row r="999" spans="1:3" x14ac:dyDescent="0.2">
      <c r="A999" s="5">
        <v>997</v>
      </c>
      <c r="B999" s="5">
        <f t="shared" ca="1" si="15"/>
        <v>0.58147726025626456</v>
      </c>
      <c r="C999" s="5" t="s">
        <v>25</v>
      </c>
    </row>
    <row r="1000" spans="1:3" x14ac:dyDescent="0.2">
      <c r="A1000" s="5">
        <v>998</v>
      </c>
      <c r="B1000" s="5">
        <f t="shared" ca="1" si="15"/>
        <v>0.74868708190437816</v>
      </c>
      <c r="C1000" s="5" t="s">
        <v>25</v>
      </c>
    </row>
    <row r="1001" spans="1:3" x14ac:dyDescent="0.2">
      <c r="A1001" s="5">
        <v>999</v>
      </c>
      <c r="B1001" s="5">
        <f t="shared" ca="1" si="15"/>
        <v>0.3961945430500422</v>
      </c>
      <c r="C1001" s="5" t="s">
        <v>25</v>
      </c>
    </row>
    <row r="1002" spans="1:3" x14ac:dyDescent="0.2">
      <c r="A1002" s="5">
        <v>1000</v>
      </c>
      <c r="B1002" s="5">
        <f t="shared" ca="1" si="15"/>
        <v>0.37857165136272497</v>
      </c>
      <c r="C1002" s="5" t="s">
        <v>25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C0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6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124</v>
      </c>
    </row>
    <row r="4" spans="2:3" x14ac:dyDescent="0.3">
      <c r="B4" s="1" t="s">
        <v>125</v>
      </c>
    </row>
    <row r="5" spans="2:3" x14ac:dyDescent="0.3">
      <c r="B5" s="1" t="s">
        <v>126</v>
      </c>
    </row>
    <row r="7" spans="2:3" x14ac:dyDescent="0.3">
      <c r="B7" s="1" t="s">
        <v>127</v>
      </c>
    </row>
    <row r="8" spans="2:3" x14ac:dyDescent="0.3">
      <c r="B8" s="1" t="s">
        <v>128</v>
      </c>
    </row>
    <row r="9" spans="2:3" x14ac:dyDescent="0.3">
      <c r="B9" s="1" t="s">
        <v>129</v>
      </c>
    </row>
    <row r="11" spans="2:3" x14ac:dyDescent="0.3">
      <c r="C11" s="41">
        <v>1</v>
      </c>
    </row>
    <row r="12" spans="2:3" x14ac:dyDescent="0.3">
      <c r="C12" s="26" t="s">
        <v>138</v>
      </c>
    </row>
    <row r="14" spans="2:3" x14ac:dyDescent="0.3">
      <c r="C14" s="41">
        <v>1</v>
      </c>
    </row>
    <row r="15" spans="2:3" x14ac:dyDescent="0.3">
      <c r="C15" s="26" t="s">
        <v>130</v>
      </c>
    </row>
    <row r="17" spans="3:13" ht="31" x14ac:dyDescent="0.4">
      <c r="C17" s="41">
        <v>2</v>
      </c>
      <c r="E17" s="41">
        <v>2</v>
      </c>
      <c r="G17" s="41" t="s">
        <v>134</v>
      </c>
      <c r="I17" s="41" t="s">
        <v>134</v>
      </c>
      <c r="K17" s="41" t="s">
        <v>134</v>
      </c>
      <c r="M17" s="26" t="s">
        <v>137</v>
      </c>
    </row>
    <row r="18" spans="3:13" ht="30" x14ac:dyDescent="0.4">
      <c r="C18" s="26" t="s">
        <v>131</v>
      </c>
      <c r="E18" s="26" t="s">
        <v>132</v>
      </c>
      <c r="G18" s="26" t="s">
        <v>133</v>
      </c>
      <c r="I18" s="26" t="s">
        <v>135</v>
      </c>
      <c r="K18" s="26" t="s">
        <v>136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C0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46" t="s">
        <v>151</v>
      </c>
    </row>
    <row r="4" spans="2:2" x14ac:dyDescent="0.3">
      <c r="B4" s="1" t="s">
        <v>146</v>
      </c>
    </row>
    <row r="5" spans="2:2" x14ac:dyDescent="0.3">
      <c r="B5" s="1" t="s">
        <v>147</v>
      </c>
    </row>
    <row r="7" spans="2:2" x14ac:dyDescent="0.3">
      <c r="B7" s="1" t="s">
        <v>148</v>
      </c>
    </row>
    <row r="8" spans="2:2" x14ac:dyDescent="0.3">
      <c r="B8" s="1" t="s">
        <v>150</v>
      </c>
    </row>
    <row r="9" spans="2:2" x14ac:dyDescent="0.3">
      <c r="B9" s="1" t="s">
        <v>149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D9316-9E83-AD4E-9347-44F825D984FB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157</v>
      </c>
    </row>
    <row r="3" spans="2:4" x14ac:dyDescent="0.3">
      <c r="B3" s="3" t="s">
        <v>158</v>
      </c>
    </row>
    <row r="6" spans="2:4" x14ac:dyDescent="0.3">
      <c r="C6" s="1" t="s">
        <v>159</v>
      </c>
    </row>
    <row r="7" spans="2:4" x14ac:dyDescent="0.3">
      <c r="C7" s="1" t="s">
        <v>160</v>
      </c>
    </row>
    <row r="8" spans="2:4" x14ac:dyDescent="0.3">
      <c r="D8" s="1" t="s">
        <v>161</v>
      </c>
    </row>
    <row r="9" spans="2:4" x14ac:dyDescent="0.3">
      <c r="D9" s="1" t="s">
        <v>162</v>
      </c>
    </row>
  </sheetData>
  <hyperlinks>
    <hyperlink ref="B3" r:id="rId1" xr:uid="{5147AC51-3D20-2347-988A-5B9B21BBB079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163</v>
      </c>
    </row>
    <row r="4" spans="2:4" x14ac:dyDescent="0.3">
      <c r="B4" s="1" t="s">
        <v>164</v>
      </c>
    </row>
    <row r="6" spans="2:4" x14ac:dyDescent="0.3">
      <c r="C6" s="26" t="s">
        <v>165</v>
      </c>
      <c r="D6" s="26" t="s">
        <v>166</v>
      </c>
    </row>
    <row r="7" spans="2:4" x14ac:dyDescent="0.3">
      <c r="C7" s="48">
        <v>1</v>
      </c>
      <c r="D7" s="48" t="s">
        <v>167</v>
      </c>
    </row>
    <row r="8" spans="2:4" x14ac:dyDescent="0.3">
      <c r="C8" s="48">
        <v>0</v>
      </c>
      <c r="D8" s="48" t="s">
        <v>168</v>
      </c>
    </row>
    <row r="11" spans="2:4" x14ac:dyDescent="0.3">
      <c r="B11" s="1" t="s">
        <v>169</v>
      </c>
      <c r="C11" s="49" t="s">
        <v>170</v>
      </c>
    </row>
    <row r="12" spans="2:4" ht="29" x14ac:dyDescent="0.3">
      <c r="B12" s="1" t="s">
        <v>171</v>
      </c>
      <c r="C12" s="49" t="s">
        <v>172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34</v>
      </c>
    </row>
    <row r="2" spans="1:4" x14ac:dyDescent="0.25">
      <c r="A2" s="2" t="s">
        <v>35</v>
      </c>
      <c r="B2" s="3"/>
    </row>
    <row r="3" spans="1:4" x14ac:dyDescent="0.25">
      <c r="A3" s="2" t="s">
        <v>36</v>
      </c>
    </row>
    <row r="4" spans="1:4" x14ac:dyDescent="0.25">
      <c r="A4" s="2" t="s">
        <v>37</v>
      </c>
    </row>
    <row r="5" spans="1:4" x14ac:dyDescent="0.25">
      <c r="A5" s="2" t="s">
        <v>38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3"/>
  </cols>
  <sheetData>
    <row r="3" spans="2:4" x14ac:dyDescent="0.3">
      <c r="B3" s="13" t="s">
        <v>39</v>
      </c>
    </row>
    <row r="4" spans="2:4" x14ac:dyDescent="0.3">
      <c r="C4" s="13" t="s">
        <v>40</v>
      </c>
    </row>
    <row r="5" spans="2:4" x14ac:dyDescent="0.3">
      <c r="D5" s="14" t="s">
        <v>41</v>
      </c>
    </row>
    <row r="6" spans="2:4" x14ac:dyDescent="0.3">
      <c r="D6" s="14" t="s">
        <v>42</v>
      </c>
    </row>
    <row r="7" spans="2:4" x14ac:dyDescent="0.3">
      <c r="D7" s="14" t="s">
        <v>43</v>
      </c>
    </row>
    <row r="8" spans="2:4" x14ac:dyDescent="0.3">
      <c r="C8" s="13" t="s">
        <v>44</v>
      </c>
    </row>
    <row r="9" spans="2:4" x14ac:dyDescent="0.3">
      <c r="D9" s="14" t="s">
        <v>45</v>
      </c>
    </row>
    <row r="10" spans="2:4" x14ac:dyDescent="0.3">
      <c r="D10" s="14" t="s">
        <v>46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5"/>
  </cols>
  <sheetData>
    <row r="1" spans="1:6" x14ac:dyDescent="0.2">
      <c r="B1" s="15" t="s">
        <v>52</v>
      </c>
      <c r="C1" s="15" t="s">
        <v>53</v>
      </c>
      <c r="D1" s="15" t="s">
        <v>54</v>
      </c>
      <c r="E1" s="15" t="s">
        <v>55</v>
      </c>
      <c r="F1" s="15" t="s">
        <v>56</v>
      </c>
    </row>
    <row r="2" spans="1:6" x14ac:dyDescent="0.2">
      <c r="A2" s="15">
        <v>1</v>
      </c>
      <c r="B2" s="15">
        <v>5.0999999999999996</v>
      </c>
      <c r="C2" s="15">
        <v>3.5</v>
      </c>
      <c r="D2" s="15">
        <v>1.4</v>
      </c>
      <c r="E2" s="15">
        <v>0.2</v>
      </c>
      <c r="F2" s="15" t="s">
        <v>57</v>
      </c>
    </row>
    <row r="3" spans="1:6" x14ac:dyDescent="0.2">
      <c r="A3" s="15">
        <v>2</v>
      </c>
      <c r="B3" s="15">
        <v>4.9000000000000004</v>
      </c>
      <c r="C3" s="15">
        <v>3</v>
      </c>
      <c r="D3" s="15">
        <v>1.4</v>
      </c>
      <c r="E3" s="15">
        <v>0.2</v>
      </c>
      <c r="F3" s="15" t="s">
        <v>57</v>
      </c>
    </row>
    <row r="4" spans="1:6" x14ac:dyDescent="0.2">
      <c r="A4" s="15">
        <v>3</v>
      </c>
      <c r="B4" s="15">
        <v>4.7</v>
      </c>
      <c r="C4" s="15">
        <v>3.2</v>
      </c>
      <c r="D4" s="15">
        <v>1.3</v>
      </c>
      <c r="E4" s="15">
        <v>0.2</v>
      </c>
      <c r="F4" s="15" t="s">
        <v>57</v>
      </c>
    </row>
    <row r="5" spans="1:6" x14ac:dyDescent="0.2">
      <c r="A5" s="15">
        <v>4</v>
      </c>
      <c r="B5" s="15">
        <v>4.5999999999999996</v>
      </c>
      <c r="C5" s="15">
        <v>3.1</v>
      </c>
      <c r="D5" s="15">
        <v>1.5</v>
      </c>
      <c r="E5" s="15">
        <v>0.2</v>
      </c>
      <c r="F5" s="15" t="s">
        <v>57</v>
      </c>
    </row>
    <row r="6" spans="1:6" x14ac:dyDescent="0.2">
      <c r="A6" s="15">
        <v>5</v>
      </c>
      <c r="B6" s="15">
        <v>5</v>
      </c>
      <c r="C6" s="15">
        <v>3.6</v>
      </c>
      <c r="D6" s="15">
        <v>1.4</v>
      </c>
      <c r="E6" s="15">
        <v>0.2</v>
      </c>
      <c r="F6" s="15" t="s">
        <v>57</v>
      </c>
    </row>
    <row r="7" spans="1:6" x14ac:dyDescent="0.2">
      <c r="A7" s="15">
        <v>6</v>
      </c>
      <c r="B7" s="15">
        <v>5.4</v>
      </c>
      <c r="C7" s="15">
        <v>3.9</v>
      </c>
      <c r="D7" s="15">
        <v>1.7</v>
      </c>
      <c r="E7" s="15">
        <v>0.4</v>
      </c>
      <c r="F7" s="15" t="s">
        <v>57</v>
      </c>
    </row>
    <row r="8" spans="1:6" x14ac:dyDescent="0.2">
      <c r="A8" s="15">
        <v>7</v>
      </c>
      <c r="B8" s="15">
        <v>4.5999999999999996</v>
      </c>
      <c r="C8" s="15">
        <v>3.4</v>
      </c>
      <c r="D8" s="15">
        <v>1.4</v>
      </c>
      <c r="E8" s="15">
        <v>0.3</v>
      </c>
      <c r="F8" s="15" t="s">
        <v>57</v>
      </c>
    </row>
    <row r="9" spans="1:6" x14ac:dyDescent="0.2">
      <c r="A9" s="15">
        <v>8</v>
      </c>
      <c r="B9" s="15">
        <v>5</v>
      </c>
      <c r="C9" s="15">
        <v>3.4</v>
      </c>
      <c r="D9" s="15">
        <v>1.5</v>
      </c>
      <c r="E9" s="15">
        <v>0.2</v>
      </c>
      <c r="F9" s="15" t="s">
        <v>57</v>
      </c>
    </row>
    <row r="10" spans="1:6" x14ac:dyDescent="0.2">
      <c r="A10" s="15">
        <v>9</v>
      </c>
      <c r="B10" s="15">
        <v>4.4000000000000004</v>
      </c>
      <c r="C10" s="15">
        <v>2.9</v>
      </c>
      <c r="D10" s="15">
        <v>1.4</v>
      </c>
      <c r="E10" s="15">
        <v>0.2</v>
      </c>
      <c r="F10" s="15" t="s">
        <v>57</v>
      </c>
    </row>
    <row r="11" spans="1:6" x14ac:dyDescent="0.2">
      <c r="A11" s="15">
        <v>10</v>
      </c>
      <c r="B11" s="15">
        <v>4.9000000000000004</v>
      </c>
      <c r="C11" s="15">
        <v>3.1</v>
      </c>
      <c r="D11" s="15">
        <v>1.5</v>
      </c>
      <c r="E11" s="15">
        <v>0.1</v>
      </c>
      <c r="F11" s="15" t="s">
        <v>57</v>
      </c>
    </row>
    <row r="12" spans="1:6" x14ac:dyDescent="0.2">
      <c r="A12" s="15">
        <v>11</v>
      </c>
      <c r="B12" s="15">
        <v>5.4</v>
      </c>
      <c r="C12" s="15">
        <v>3.7</v>
      </c>
      <c r="D12" s="15">
        <v>1.5</v>
      </c>
      <c r="E12" s="15">
        <v>0.2</v>
      </c>
      <c r="F12" s="15" t="s">
        <v>57</v>
      </c>
    </row>
    <row r="13" spans="1:6" x14ac:dyDescent="0.2">
      <c r="A13" s="15">
        <v>12</v>
      </c>
      <c r="B13" s="15">
        <v>4.8</v>
      </c>
      <c r="C13" s="15">
        <v>3.4</v>
      </c>
      <c r="D13" s="15">
        <v>1.6</v>
      </c>
      <c r="E13" s="15">
        <v>0.2</v>
      </c>
      <c r="F13" s="15" t="s">
        <v>57</v>
      </c>
    </row>
    <row r="14" spans="1:6" x14ac:dyDescent="0.2">
      <c r="A14" s="15">
        <v>13</v>
      </c>
      <c r="B14" s="15">
        <v>4.8</v>
      </c>
      <c r="C14" s="15">
        <v>3</v>
      </c>
      <c r="D14" s="15">
        <v>1.4</v>
      </c>
      <c r="E14" s="15">
        <v>0.1</v>
      </c>
      <c r="F14" s="15" t="s">
        <v>57</v>
      </c>
    </row>
    <row r="15" spans="1:6" x14ac:dyDescent="0.2">
      <c r="A15" s="15">
        <v>14</v>
      </c>
      <c r="B15" s="15">
        <v>4.3</v>
      </c>
      <c r="C15" s="15">
        <v>3</v>
      </c>
      <c r="D15" s="15">
        <v>1.1000000000000001</v>
      </c>
      <c r="E15" s="15">
        <v>0.1</v>
      </c>
      <c r="F15" s="15" t="s">
        <v>57</v>
      </c>
    </row>
    <row r="16" spans="1:6" x14ac:dyDescent="0.2">
      <c r="A16" s="15">
        <v>15</v>
      </c>
      <c r="B16" s="15">
        <v>5.8</v>
      </c>
      <c r="C16" s="15">
        <v>4</v>
      </c>
      <c r="D16" s="15">
        <v>1.2</v>
      </c>
      <c r="E16" s="15">
        <v>0.2</v>
      </c>
      <c r="F16" s="15" t="s">
        <v>57</v>
      </c>
    </row>
    <row r="17" spans="1:6" x14ac:dyDescent="0.2">
      <c r="A17" s="15">
        <v>16</v>
      </c>
      <c r="B17" s="15">
        <v>5.7</v>
      </c>
      <c r="C17" s="15">
        <v>4.4000000000000004</v>
      </c>
      <c r="D17" s="15">
        <v>1.5</v>
      </c>
      <c r="E17" s="15">
        <v>0.4</v>
      </c>
      <c r="F17" s="15" t="s">
        <v>57</v>
      </c>
    </row>
    <row r="18" spans="1:6" x14ac:dyDescent="0.2">
      <c r="A18" s="15">
        <v>17</v>
      </c>
      <c r="B18" s="15">
        <v>5.4</v>
      </c>
      <c r="C18" s="15">
        <v>3.9</v>
      </c>
      <c r="D18" s="15">
        <v>1.3</v>
      </c>
      <c r="E18" s="15">
        <v>0.4</v>
      </c>
      <c r="F18" s="15" t="s">
        <v>57</v>
      </c>
    </row>
    <row r="19" spans="1:6" x14ac:dyDescent="0.2">
      <c r="A19" s="15">
        <v>18</v>
      </c>
      <c r="B19" s="15">
        <v>5.0999999999999996</v>
      </c>
      <c r="C19" s="15">
        <v>3.5</v>
      </c>
      <c r="D19" s="15">
        <v>1.4</v>
      </c>
      <c r="E19" s="15">
        <v>0.3</v>
      </c>
      <c r="F19" s="15" t="s">
        <v>57</v>
      </c>
    </row>
    <row r="20" spans="1:6" x14ac:dyDescent="0.2">
      <c r="A20" s="15">
        <v>19</v>
      </c>
      <c r="B20" s="15">
        <v>5.7</v>
      </c>
      <c r="C20" s="15">
        <v>3.8</v>
      </c>
      <c r="D20" s="15">
        <v>1.7</v>
      </c>
      <c r="E20" s="15">
        <v>0.3</v>
      </c>
      <c r="F20" s="15" t="s">
        <v>57</v>
      </c>
    </row>
    <row r="21" spans="1:6" x14ac:dyDescent="0.2">
      <c r="A21" s="15">
        <v>20</v>
      </c>
      <c r="B21" s="15">
        <v>5.0999999999999996</v>
      </c>
      <c r="C21" s="15">
        <v>3.8</v>
      </c>
      <c r="D21" s="15">
        <v>1.5</v>
      </c>
      <c r="E21" s="15">
        <v>0.3</v>
      </c>
      <c r="F21" s="15" t="s">
        <v>57</v>
      </c>
    </row>
    <row r="22" spans="1:6" x14ac:dyDescent="0.2">
      <c r="A22" s="15">
        <v>21</v>
      </c>
      <c r="B22" s="15">
        <v>5.4</v>
      </c>
      <c r="C22" s="15">
        <v>3.4</v>
      </c>
      <c r="D22" s="15">
        <v>1.7</v>
      </c>
      <c r="E22" s="15">
        <v>0.2</v>
      </c>
      <c r="F22" s="15" t="s">
        <v>57</v>
      </c>
    </row>
    <row r="23" spans="1:6" x14ac:dyDescent="0.2">
      <c r="A23" s="15">
        <v>22</v>
      </c>
      <c r="B23" s="15">
        <v>5.0999999999999996</v>
      </c>
      <c r="C23" s="15">
        <v>3.7</v>
      </c>
      <c r="D23" s="15">
        <v>1.5</v>
      </c>
      <c r="E23" s="15">
        <v>0.4</v>
      </c>
      <c r="F23" s="15" t="s">
        <v>57</v>
      </c>
    </row>
    <row r="24" spans="1:6" x14ac:dyDescent="0.2">
      <c r="A24" s="15">
        <v>23</v>
      </c>
      <c r="B24" s="15">
        <v>4.5999999999999996</v>
      </c>
      <c r="C24" s="15">
        <v>3.6</v>
      </c>
      <c r="D24" s="15">
        <v>1</v>
      </c>
      <c r="E24" s="15">
        <v>0.2</v>
      </c>
      <c r="F24" s="15" t="s">
        <v>57</v>
      </c>
    </row>
    <row r="25" spans="1:6" x14ac:dyDescent="0.2">
      <c r="A25" s="15">
        <v>24</v>
      </c>
      <c r="B25" s="15">
        <v>5.0999999999999996</v>
      </c>
      <c r="C25" s="15">
        <v>3.3</v>
      </c>
      <c r="D25" s="15">
        <v>1.7</v>
      </c>
      <c r="E25" s="15">
        <v>0.5</v>
      </c>
      <c r="F25" s="15" t="s">
        <v>57</v>
      </c>
    </row>
    <row r="26" spans="1:6" x14ac:dyDescent="0.2">
      <c r="A26" s="15">
        <v>25</v>
      </c>
      <c r="B26" s="15">
        <v>4.8</v>
      </c>
      <c r="C26" s="15">
        <v>3.4</v>
      </c>
      <c r="D26" s="15">
        <v>1.9</v>
      </c>
      <c r="E26" s="15">
        <v>0.2</v>
      </c>
      <c r="F26" s="15" t="s">
        <v>57</v>
      </c>
    </row>
    <row r="27" spans="1:6" x14ac:dyDescent="0.2">
      <c r="A27" s="15">
        <v>26</v>
      </c>
      <c r="B27" s="15">
        <v>5</v>
      </c>
      <c r="C27" s="15">
        <v>3</v>
      </c>
      <c r="D27" s="15">
        <v>1.6</v>
      </c>
      <c r="E27" s="15">
        <v>0.2</v>
      </c>
      <c r="F27" s="15" t="s">
        <v>57</v>
      </c>
    </row>
    <row r="28" spans="1:6" x14ac:dyDescent="0.2">
      <c r="A28" s="15">
        <v>27</v>
      </c>
      <c r="B28" s="15">
        <v>5</v>
      </c>
      <c r="C28" s="15">
        <v>3.4</v>
      </c>
      <c r="D28" s="15">
        <v>1.6</v>
      </c>
      <c r="E28" s="15">
        <v>0.4</v>
      </c>
      <c r="F28" s="15" t="s">
        <v>57</v>
      </c>
    </row>
    <row r="29" spans="1:6" x14ac:dyDescent="0.2">
      <c r="A29" s="15">
        <v>28</v>
      </c>
      <c r="B29" s="15">
        <v>5.2</v>
      </c>
      <c r="C29" s="15">
        <v>3.5</v>
      </c>
      <c r="D29" s="15">
        <v>1.5</v>
      </c>
      <c r="E29" s="15">
        <v>0.2</v>
      </c>
      <c r="F29" s="15" t="s">
        <v>57</v>
      </c>
    </row>
    <row r="30" spans="1:6" x14ac:dyDescent="0.2">
      <c r="A30" s="15">
        <v>29</v>
      </c>
      <c r="B30" s="15">
        <v>5.2</v>
      </c>
      <c r="C30" s="15">
        <v>3.4</v>
      </c>
      <c r="D30" s="15">
        <v>1.4</v>
      </c>
      <c r="E30" s="15">
        <v>0.2</v>
      </c>
      <c r="F30" s="15" t="s">
        <v>57</v>
      </c>
    </row>
    <row r="31" spans="1:6" x14ac:dyDescent="0.2">
      <c r="A31" s="15">
        <v>30</v>
      </c>
      <c r="B31" s="15">
        <v>4.7</v>
      </c>
      <c r="C31" s="15">
        <v>3.2</v>
      </c>
      <c r="D31" s="15">
        <v>1.6</v>
      </c>
      <c r="E31" s="15">
        <v>0.2</v>
      </c>
      <c r="F31" s="15" t="s">
        <v>57</v>
      </c>
    </row>
    <row r="32" spans="1:6" x14ac:dyDescent="0.2">
      <c r="A32" s="15">
        <v>31</v>
      </c>
      <c r="B32" s="15">
        <v>4.8</v>
      </c>
      <c r="C32" s="15">
        <v>3.1</v>
      </c>
      <c r="D32" s="15">
        <v>1.6</v>
      </c>
      <c r="E32" s="15">
        <v>0.2</v>
      </c>
      <c r="F32" s="15" t="s">
        <v>57</v>
      </c>
    </row>
    <row r="33" spans="1:6" x14ac:dyDescent="0.2">
      <c r="A33" s="15">
        <v>32</v>
      </c>
      <c r="B33" s="15">
        <v>5.4</v>
      </c>
      <c r="C33" s="15">
        <v>3.4</v>
      </c>
      <c r="D33" s="15">
        <v>1.5</v>
      </c>
      <c r="E33" s="15">
        <v>0.4</v>
      </c>
      <c r="F33" s="15" t="s">
        <v>57</v>
      </c>
    </row>
    <row r="34" spans="1:6" x14ac:dyDescent="0.2">
      <c r="A34" s="15">
        <v>33</v>
      </c>
      <c r="B34" s="15">
        <v>5.2</v>
      </c>
      <c r="C34" s="15">
        <v>4.0999999999999996</v>
      </c>
      <c r="D34" s="15">
        <v>1.5</v>
      </c>
      <c r="E34" s="15">
        <v>0.1</v>
      </c>
      <c r="F34" s="15" t="s">
        <v>57</v>
      </c>
    </row>
    <row r="35" spans="1:6" x14ac:dyDescent="0.2">
      <c r="A35" s="15">
        <v>34</v>
      </c>
      <c r="B35" s="15">
        <v>5.5</v>
      </c>
      <c r="C35" s="15">
        <v>4.2</v>
      </c>
      <c r="D35" s="15">
        <v>1.4</v>
      </c>
      <c r="E35" s="15">
        <v>0.2</v>
      </c>
      <c r="F35" s="15" t="s">
        <v>57</v>
      </c>
    </row>
    <row r="36" spans="1:6" x14ac:dyDescent="0.2">
      <c r="A36" s="15">
        <v>35</v>
      </c>
      <c r="B36" s="15">
        <v>4.9000000000000004</v>
      </c>
      <c r="C36" s="15">
        <v>3.1</v>
      </c>
      <c r="D36" s="15">
        <v>1.5</v>
      </c>
      <c r="E36" s="15">
        <v>0.2</v>
      </c>
      <c r="F36" s="15" t="s">
        <v>57</v>
      </c>
    </row>
    <row r="37" spans="1:6" x14ac:dyDescent="0.2">
      <c r="A37" s="15">
        <v>36</v>
      </c>
      <c r="B37" s="15">
        <v>5</v>
      </c>
      <c r="C37" s="15">
        <v>3.2</v>
      </c>
      <c r="D37" s="15">
        <v>1.2</v>
      </c>
      <c r="E37" s="15">
        <v>0.2</v>
      </c>
      <c r="F37" s="15" t="s">
        <v>57</v>
      </c>
    </row>
    <row r="38" spans="1:6" x14ac:dyDescent="0.2">
      <c r="A38" s="15">
        <v>37</v>
      </c>
      <c r="B38" s="15">
        <v>5.5</v>
      </c>
      <c r="C38" s="15">
        <v>3.5</v>
      </c>
      <c r="D38" s="15">
        <v>1.3</v>
      </c>
      <c r="E38" s="15">
        <v>0.2</v>
      </c>
      <c r="F38" s="15" t="s">
        <v>57</v>
      </c>
    </row>
    <row r="39" spans="1:6" x14ac:dyDescent="0.2">
      <c r="A39" s="15">
        <v>38</v>
      </c>
      <c r="B39" s="15">
        <v>4.9000000000000004</v>
      </c>
      <c r="C39" s="15">
        <v>3.6</v>
      </c>
      <c r="D39" s="15">
        <v>1.4</v>
      </c>
      <c r="E39" s="15">
        <v>0.1</v>
      </c>
      <c r="F39" s="15" t="s">
        <v>57</v>
      </c>
    </row>
    <row r="40" spans="1:6" x14ac:dyDescent="0.2">
      <c r="A40" s="15">
        <v>39</v>
      </c>
      <c r="B40" s="15">
        <v>4.4000000000000004</v>
      </c>
      <c r="C40" s="15">
        <v>3</v>
      </c>
      <c r="D40" s="15">
        <v>1.3</v>
      </c>
      <c r="E40" s="15">
        <v>0.2</v>
      </c>
      <c r="F40" s="15" t="s">
        <v>57</v>
      </c>
    </row>
    <row r="41" spans="1:6" x14ac:dyDescent="0.2">
      <c r="A41" s="15">
        <v>40</v>
      </c>
      <c r="B41" s="15">
        <v>5.0999999999999996</v>
      </c>
      <c r="C41" s="15">
        <v>3.4</v>
      </c>
      <c r="D41" s="15">
        <v>1.5</v>
      </c>
      <c r="E41" s="15">
        <v>0.2</v>
      </c>
      <c r="F41" s="15" t="s">
        <v>57</v>
      </c>
    </row>
    <row r="42" spans="1:6" x14ac:dyDescent="0.2">
      <c r="A42" s="15">
        <v>41</v>
      </c>
      <c r="B42" s="15">
        <v>5</v>
      </c>
      <c r="C42" s="15">
        <v>3.5</v>
      </c>
      <c r="D42" s="15">
        <v>1.3</v>
      </c>
      <c r="E42" s="15">
        <v>0.3</v>
      </c>
      <c r="F42" s="15" t="s">
        <v>57</v>
      </c>
    </row>
    <row r="43" spans="1:6" x14ac:dyDescent="0.2">
      <c r="A43" s="15">
        <v>42</v>
      </c>
      <c r="B43" s="15">
        <v>4.5</v>
      </c>
      <c r="C43" s="15">
        <v>2.2999999999999998</v>
      </c>
      <c r="D43" s="15">
        <v>1.3</v>
      </c>
      <c r="E43" s="15">
        <v>0.3</v>
      </c>
      <c r="F43" s="15" t="s">
        <v>57</v>
      </c>
    </row>
    <row r="44" spans="1:6" x14ac:dyDescent="0.2">
      <c r="A44" s="15">
        <v>43</v>
      </c>
      <c r="B44" s="15">
        <v>4.4000000000000004</v>
      </c>
      <c r="C44" s="15">
        <v>3.2</v>
      </c>
      <c r="D44" s="15">
        <v>1.3</v>
      </c>
      <c r="E44" s="15">
        <v>0.2</v>
      </c>
      <c r="F44" s="15" t="s">
        <v>57</v>
      </c>
    </row>
    <row r="45" spans="1:6" x14ac:dyDescent="0.2">
      <c r="A45" s="15">
        <v>44</v>
      </c>
      <c r="B45" s="15">
        <v>5</v>
      </c>
      <c r="C45" s="15">
        <v>3.5</v>
      </c>
      <c r="D45" s="15">
        <v>1.6</v>
      </c>
      <c r="E45" s="15">
        <v>0.6</v>
      </c>
      <c r="F45" s="15" t="s">
        <v>57</v>
      </c>
    </row>
    <row r="46" spans="1:6" x14ac:dyDescent="0.2">
      <c r="A46" s="15">
        <v>45</v>
      </c>
      <c r="B46" s="15">
        <v>5.0999999999999996</v>
      </c>
      <c r="C46" s="15">
        <v>3.8</v>
      </c>
      <c r="D46" s="15">
        <v>1.9</v>
      </c>
      <c r="E46" s="15">
        <v>0.4</v>
      </c>
      <c r="F46" s="15" t="s">
        <v>57</v>
      </c>
    </row>
    <row r="47" spans="1:6" x14ac:dyDescent="0.2">
      <c r="A47" s="15">
        <v>46</v>
      </c>
      <c r="B47" s="15">
        <v>4.8</v>
      </c>
      <c r="C47" s="15">
        <v>3</v>
      </c>
      <c r="D47" s="15">
        <v>1.4</v>
      </c>
      <c r="E47" s="15">
        <v>0.3</v>
      </c>
      <c r="F47" s="15" t="s">
        <v>57</v>
      </c>
    </row>
    <row r="48" spans="1:6" x14ac:dyDescent="0.2">
      <c r="A48" s="15">
        <v>47</v>
      </c>
      <c r="B48" s="15">
        <v>5.0999999999999996</v>
      </c>
      <c r="C48" s="15">
        <v>3.8</v>
      </c>
      <c r="D48" s="15">
        <v>1.6</v>
      </c>
      <c r="E48" s="15">
        <v>0.2</v>
      </c>
      <c r="F48" s="15" t="s">
        <v>57</v>
      </c>
    </row>
    <row r="49" spans="1:6" x14ac:dyDescent="0.2">
      <c r="A49" s="15">
        <v>48</v>
      </c>
      <c r="B49" s="15">
        <v>4.5999999999999996</v>
      </c>
      <c r="C49" s="15">
        <v>3.2</v>
      </c>
      <c r="D49" s="15">
        <v>1.4</v>
      </c>
      <c r="E49" s="15">
        <v>0.2</v>
      </c>
      <c r="F49" s="15" t="s">
        <v>57</v>
      </c>
    </row>
    <row r="50" spans="1:6" x14ac:dyDescent="0.2">
      <c r="A50" s="15">
        <v>49</v>
      </c>
      <c r="B50" s="15">
        <v>5.3</v>
      </c>
      <c r="C50" s="15">
        <v>3.7</v>
      </c>
      <c r="D50" s="15">
        <v>1.5</v>
      </c>
      <c r="E50" s="15">
        <v>0.2</v>
      </c>
      <c r="F50" s="15" t="s">
        <v>57</v>
      </c>
    </row>
    <row r="51" spans="1:6" x14ac:dyDescent="0.2">
      <c r="A51" s="15">
        <v>50</v>
      </c>
      <c r="B51" s="15">
        <v>5</v>
      </c>
      <c r="C51" s="15">
        <v>3.3</v>
      </c>
      <c r="D51" s="15">
        <v>1.4</v>
      </c>
      <c r="E51" s="15">
        <v>0.2</v>
      </c>
      <c r="F51" s="15" t="s">
        <v>57</v>
      </c>
    </row>
    <row r="52" spans="1:6" x14ac:dyDescent="0.2">
      <c r="A52" s="15">
        <v>51</v>
      </c>
      <c r="B52" s="15">
        <v>7</v>
      </c>
      <c r="C52" s="15">
        <v>3.2</v>
      </c>
      <c r="D52" s="15">
        <v>4.7</v>
      </c>
      <c r="E52" s="15">
        <v>1.4</v>
      </c>
      <c r="F52" s="15" t="s">
        <v>58</v>
      </c>
    </row>
    <row r="53" spans="1:6" x14ac:dyDescent="0.2">
      <c r="A53" s="15">
        <v>52</v>
      </c>
      <c r="B53" s="15">
        <v>6.4</v>
      </c>
      <c r="C53" s="15">
        <v>3.2</v>
      </c>
      <c r="D53" s="15">
        <v>4.5</v>
      </c>
      <c r="E53" s="15">
        <v>1.5</v>
      </c>
      <c r="F53" s="15" t="s">
        <v>58</v>
      </c>
    </row>
    <row r="54" spans="1:6" x14ac:dyDescent="0.2">
      <c r="A54" s="15">
        <v>53</v>
      </c>
      <c r="B54" s="15">
        <v>6.9</v>
      </c>
      <c r="C54" s="15">
        <v>3.1</v>
      </c>
      <c r="D54" s="15">
        <v>4.9000000000000004</v>
      </c>
      <c r="E54" s="15">
        <v>1.5</v>
      </c>
      <c r="F54" s="15" t="s">
        <v>58</v>
      </c>
    </row>
    <row r="55" spans="1:6" x14ac:dyDescent="0.2">
      <c r="A55" s="15">
        <v>54</v>
      </c>
      <c r="B55" s="15">
        <v>5.5</v>
      </c>
      <c r="C55" s="15">
        <v>2.2999999999999998</v>
      </c>
      <c r="D55" s="15">
        <v>4</v>
      </c>
      <c r="E55" s="15">
        <v>1.3</v>
      </c>
      <c r="F55" s="15" t="s">
        <v>58</v>
      </c>
    </row>
    <row r="56" spans="1:6" x14ac:dyDescent="0.2">
      <c r="A56" s="15">
        <v>55</v>
      </c>
      <c r="B56" s="15">
        <v>6.5</v>
      </c>
      <c r="C56" s="15">
        <v>2.8</v>
      </c>
      <c r="D56" s="15">
        <v>4.5999999999999996</v>
      </c>
      <c r="E56" s="15">
        <v>1.5</v>
      </c>
      <c r="F56" s="15" t="s">
        <v>58</v>
      </c>
    </row>
    <row r="57" spans="1:6" x14ac:dyDescent="0.2">
      <c r="A57" s="15">
        <v>56</v>
      </c>
      <c r="B57" s="15">
        <v>5.7</v>
      </c>
      <c r="C57" s="15">
        <v>2.8</v>
      </c>
      <c r="D57" s="15">
        <v>4.5</v>
      </c>
      <c r="E57" s="15">
        <v>1.3</v>
      </c>
      <c r="F57" s="15" t="s">
        <v>58</v>
      </c>
    </row>
    <row r="58" spans="1:6" x14ac:dyDescent="0.2">
      <c r="A58" s="15">
        <v>57</v>
      </c>
      <c r="B58" s="15">
        <v>6.3</v>
      </c>
      <c r="C58" s="15">
        <v>3.3</v>
      </c>
      <c r="D58" s="15">
        <v>4.7</v>
      </c>
      <c r="E58" s="15">
        <v>1.6</v>
      </c>
      <c r="F58" s="15" t="s">
        <v>58</v>
      </c>
    </row>
    <row r="59" spans="1:6" x14ac:dyDescent="0.2">
      <c r="A59" s="15">
        <v>58</v>
      </c>
      <c r="B59" s="15">
        <v>4.9000000000000004</v>
      </c>
      <c r="C59" s="15">
        <v>2.4</v>
      </c>
      <c r="D59" s="15">
        <v>3.3</v>
      </c>
      <c r="E59" s="15">
        <v>1</v>
      </c>
      <c r="F59" s="15" t="s">
        <v>58</v>
      </c>
    </row>
    <row r="60" spans="1:6" x14ac:dyDescent="0.2">
      <c r="A60" s="15">
        <v>59</v>
      </c>
      <c r="B60" s="15">
        <v>6.6</v>
      </c>
      <c r="C60" s="15">
        <v>2.9</v>
      </c>
      <c r="D60" s="15">
        <v>4.5999999999999996</v>
      </c>
      <c r="E60" s="15">
        <v>1.3</v>
      </c>
      <c r="F60" s="15" t="s">
        <v>58</v>
      </c>
    </row>
    <row r="61" spans="1:6" x14ac:dyDescent="0.2">
      <c r="A61" s="15">
        <v>60</v>
      </c>
      <c r="B61" s="15">
        <v>5.2</v>
      </c>
      <c r="C61" s="15">
        <v>2.7</v>
      </c>
      <c r="D61" s="15">
        <v>3.9</v>
      </c>
      <c r="E61" s="15">
        <v>1.4</v>
      </c>
      <c r="F61" s="15" t="s">
        <v>58</v>
      </c>
    </row>
    <row r="62" spans="1:6" x14ac:dyDescent="0.2">
      <c r="A62" s="15">
        <v>61</v>
      </c>
      <c r="B62" s="15">
        <v>5</v>
      </c>
      <c r="C62" s="15">
        <v>2</v>
      </c>
      <c r="D62" s="15">
        <v>3.5</v>
      </c>
      <c r="E62" s="15">
        <v>1</v>
      </c>
      <c r="F62" s="15" t="s">
        <v>58</v>
      </c>
    </row>
    <row r="63" spans="1:6" x14ac:dyDescent="0.2">
      <c r="A63" s="15">
        <v>62</v>
      </c>
      <c r="B63" s="15">
        <v>5.9</v>
      </c>
      <c r="C63" s="15">
        <v>3</v>
      </c>
      <c r="D63" s="15">
        <v>4.2</v>
      </c>
      <c r="E63" s="15">
        <v>1.5</v>
      </c>
      <c r="F63" s="15" t="s">
        <v>58</v>
      </c>
    </row>
    <row r="64" spans="1:6" x14ac:dyDescent="0.2">
      <c r="A64" s="15">
        <v>63</v>
      </c>
      <c r="B64" s="15">
        <v>6</v>
      </c>
      <c r="C64" s="15">
        <v>2.2000000000000002</v>
      </c>
      <c r="D64" s="15">
        <v>4</v>
      </c>
      <c r="E64" s="15">
        <v>1</v>
      </c>
      <c r="F64" s="15" t="s">
        <v>58</v>
      </c>
    </row>
    <row r="65" spans="1:6" x14ac:dyDescent="0.2">
      <c r="A65" s="15">
        <v>64</v>
      </c>
      <c r="B65" s="15">
        <v>6.1</v>
      </c>
      <c r="C65" s="15">
        <v>2.9</v>
      </c>
      <c r="D65" s="15">
        <v>4.7</v>
      </c>
      <c r="E65" s="15">
        <v>1.4</v>
      </c>
      <c r="F65" s="15" t="s">
        <v>58</v>
      </c>
    </row>
    <row r="66" spans="1:6" x14ac:dyDescent="0.2">
      <c r="A66" s="15">
        <v>65</v>
      </c>
      <c r="B66" s="15">
        <v>5.6</v>
      </c>
      <c r="C66" s="15">
        <v>2.9</v>
      </c>
      <c r="D66" s="15">
        <v>3.6</v>
      </c>
      <c r="E66" s="15">
        <v>1.3</v>
      </c>
      <c r="F66" s="15" t="s">
        <v>58</v>
      </c>
    </row>
    <row r="67" spans="1:6" x14ac:dyDescent="0.2">
      <c r="A67" s="15">
        <v>66</v>
      </c>
      <c r="B67" s="15">
        <v>6.7</v>
      </c>
      <c r="C67" s="15">
        <v>3.1</v>
      </c>
      <c r="D67" s="15">
        <v>4.4000000000000004</v>
      </c>
      <c r="E67" s="15">
        <v>1.4</v>
      </c>
      <c r="F67" s="15" t="s">
        <v>58</v>
      </c>
    </row>
    <row r="68" spans="1:6" x14ac:dyDescent="0.2">
      <c r="A68" s="15">
        <v>67</v>
      </c>
      <c r="B68" s="15">
        <v>5.6</v>
      </c>
      <c r="C68" s="15">
        <v>3</v>
      </c>
      <c r="D68" s="15">
        <v>4.5</v>
      </c>
      <c r="E68" s="15">
        <v>1.5</v>
      </c>
      <c r="F68" s="15" t="s">
        <v>58</v>
      </c>
    </row>
    <row r="69" spans="1:6" x14ac:dyDescent="0.2">
      <c r="A69" s="15">
        <v>68</v>
      </c>
      <c r="B69" s="15">
        <v>5.8</v>
      </c>
      <c r="C69" s="15">
        <v>2.7</v>
      </c>
      <c r="D69" s="15">
        <v>4.0999999999999996</v>
      </c>
      <c r="E69" s="15">
        <v>1</v>
      </c>
      <c r="F69" s="15" t="s">
        <v>58</v>
      </c>
    </row>
    <row r="70" spans="1:6" x14ac:dyDescent="0.2">
      <c r="A70" s="15">
        <v>69</v>
      </c>
      <c r="B70" s="15">
        <v>6.2</v>
      </c>
      <c r="C70" s="15">
        <v>2.2000000000000002</v>
      </c>
      <c r="D70" s="15">
        <v>4.5</v>
      </c>
      <c r="E70" s="15">
        <v>1.5</v>
      </c>
      <c r="F70" s="15" t="s">
        <v>58</v>
      </c>
    </row>
    <row r="71" spans="1:6" x14ac:dyDescent="0.2">
      <c r="A71" s="15">
        <v>70</v>
      </c>
      <c r="B71" s="15">
        <v>5.6</v>
      </c>
      <c r="C71" s="15">
        <v>2.5</v>
      </c>
      <c r="D71" s="15">
        <v>3.9</v>
      </c>
      <c r="E71" s="15">
        <v>1.1000000000000001</v>
      </c>
      <c r="F71" s="15" t="s">
        <v>58</v>
      </c>
    </row>
    <row r="72" spans="1:6" x14ac:dyDescent="0.2">
      <c r="A72" s="15">
        <v>71</v>
      </c>
      <c r="B72" s="15">
        <v>5.9</v>
      </c>
      <c r="C72" s="15">
        <v>3.2</v>
      </c>
      <c r="D72" s="15">
        <v>4.8</v>
      </c>
      <c r="E72" s="15">
        <v>1.8</v>
      </c>
      <c r="F72" s="15" t="s">
        <v>58</v>
      </c>
    </row>
    <row r="73" spans="1:6" x14ac:dyDescent="0.2">
      <c r="A73" s="15">
        <v>72</v>
      </c>
      <c r="B73" s="15">
        <v>6.1</v>
      </c>
      <c r="C73" s="15">
        <v>2.8</v>
      </c>
      <c r="D73" s="15">
        <v>4</v>
      </c>
      <c r="E73" s="15">
        <v>1.3</v>
      </c>
      <c r="F73" s="15" t="s">
        <v>58</v>
      </c>
    </row>
    <row r="74" spans="1:6" x14ac:dyDescent="0.2">
      <c r="A74" s="15">
        <v>73</v>
      </c>
      <c r="B74" s="15">
        <v>6.3</v>
      </c>
      <c r="C74" s="15">
        <v>2.5</v>
      </c>
      <c r="D74" s="15">
        <v>4.9000000000000004</v>
      </c>
      <c r="E74" s="15">
        <v>1.5</v>
      </c>
      <c r="F74" s="15" t="s">
        <v>58</v>
      </c>
    </row>
    <row r="75" spans="1:6" x14ac:dyDescent="0.2">
      <c r="A75" s="15">
        <v>74</v>
      </c>
      <c r="B75" s="15">
        <v>6.1</v>
      </c>
      <c r="C75" s="15">
        <v>2.8</v>
      </c>
      <c r="D75" s="15">
        <v>4.7</v>
      </c>
      <c r="E75" s="15">
        <v>1.2</v>
      </c>
      <c r="F75" s="15" t="s">
        <v>58</v>
      </c>
    </row>
    <row r="76" spans="1:6" x14ac:dyDescent="0.2">
      <c r="A76" s="15">
        <v>75</v>
      </c>
      <c r="B76" s="15">
        <v>6.4</v>
      </c>
      <c r="C76" s="15">
        <v>2.9</v>
      </c>
      <c r="D76" s="15">
        <v>4.3</v>
      </c>
      <c r="E76" s="15">
        <v>1.3</v>
      </c>
      <c r="F76" s="15" t="s">
        <v>58</v>
      </c>
    </row>
    <row r="77" spans="1:6" x14ac:dyDescent="0.2">
      <c r="A77" s="15">
        <v>76</v>
      </c>
      <c r="B77" s="15">
        <v>6.6</v>
      </c>
      <c r="C77" s="15">
        <v>3</v>
      </c>
      <c r="D77" s="15">
        <v>4.4000000000000004</v>
      </c>
      <c r="E77" s="15">
        <v>1.4</v>
      </c>
      <c r="F77" s="15" t="s">
        <v>58</v>
      </c>
    </row>
    <row r="78" spans="1:6" x14ac:dyDescent="0.2">
      <c r="A78" s="15">
        <v>77</v>
      </c>
      <c r="B78" s="15">
        <v>6.8</v>
      </c>
      <c r="C78" s="15">
        <v>2.8</v>
      </c>
      <c r="D78" s="15">
        <v>4.8</v>
      </c>
      <c r="E78" s="15">
        <v>1.4</v>
      </c>
      <c r="F78" s="15" t="s">
        <v>58</v>
      </c>
    </row>
    <row r="79" spans="1:6" x14ac:dyDescent="0.2">
      <c r="A79" s="15">
        <v>78</v>
      </c>
      <c r="B79" s="15">
        <v>6.7</v>
      </c>
      <c r="C79" s="15">
        <v>3</v>
      </c>
      <c r="D79" s="15">
        <v>5</v>
      </c>
      <c r="E79" s="15">
        <v>1.7</v>
      </c>
      <c r="F79" s="15" t="s">
        <v>58</v>
      </c>
    </row>
    <row r="80" spans="1:6" x14ac:dyDescent="0.2">
      <c r="A80" s="15">
        <v>79</v>
      </c>
      <c r="B80" s="15">
        <v>6</v>
      </c>
      <c r="C80" s="15">
        <v>2.9</v>
      </c>
      <c r="D80" s="15">
        <v>4.5</v>
      </c>
      <c r="E80" s="15">
        <v>1.5</v>
      </c>
      <c r="F80" s="15" t="s">
        <v>58</v>
      </c>
    </row>
    <row r="81" spans="1:6" x14ac:dyDescent="0.2">
      <c r="A81" s="15">
        <v>80</v>
      </c>
      <c r="B81" s="15">
        <v>5.7</v>
      </c>
      <c r="C81" s="15">
        <v>2.6</v>
      </c>
      <c r="D81" s="15">
        <v>3.5</v>
      </c>
      <c r="E81" s="15">
        <v>1</v>
      </c>
      <c r="F81" s="15" t="s">
        <v>58</v>
      </c>
    </row>
    <row r="82" spans="1:6" x14ac:dyDescent="0.2">
      <c r="A82" s="15">
        <v>81</v>
      </c>
      <c r="B82" s="15">
        <v>5.5</v>
      </c>
      <c r="C82" s="15">
        <v>2.4</v>
      </c>
      <c r="D82" s="15">
        <v>3.8</v>
      </c>
      <c r="E82" s="15">
        <v>1.1000000000000001</v>
      </c>
      <c r="F82" s="15" t="s">
        <v>58</v>
      </c>
    </row>
    <row r="83" spans="1:6" x14ac:dyDescent="0.2">
      <c r="A83" s="15">
        <v>82</v>
      </c>
      <c r="B83" s="15">
        <v>5.5</v>
      </c>
      <c r="C83" s="15">
        <v>2.4</v>
      </c>
      <c r="D83" s="15">
        <v>3.7</v>
      </c>
      <c r="E83" s="15">
        <v>1</v>
      </c>
      <c r="F83" s="15" t="s">
        <v>58</v>
      </c>
    </row>
    <row r="84" spans="1:6" x14ac:dyDescent="0.2">
      <c r="A84" s="15">
        <v>83</v>
      </c>
      <c r="B84" s="15">
        <v>5.8</v>
      </c>
      <c r="C84" s="15">
        <v>2.7</v>
      </c>
      <c r="D84" s="15">
        <v>3.9</v>
      </c>
      <c r="E84" s="15">
        <v>1.2</v>
      </c>
      <c r="F84" s="15" t="s">
        <v>58</v>
      </c>
    </row>
    <row r="85" spans="1:6" x14ac:dyDescent="0.2">
      <c r="A85" s="15">
        <v>84</v>
      </c>
      <c r="B85" s="15">
        <v>6</v>
      </c>
      <c r="C85" s="15">
        <v>2.7</v>
      </c>
      <c r="D85" s="15">
        <v>5.0999999999999996</v>
      </c>
      <c r="E85" s="15">
        <v>1.6</v>
      </c>
      <c r="F85" s="15" t="s">
        <v>58</v>
      </c>
    </row>
    <row r="86" spans="1:6" x14ac:dyDescent="0.2">
      <c r="A86" s="15">
        <v>85</v>
      </c>
      <c r="B86" s="15">
        <v>5.4</v>
      </c>
      <c r="C86" s="15">
        <v>3</v>
      </c>
      <c r="D86" s="15">
        <v>4.5</v>
      </c>
      <c r="E86" s="15">
        <v>1.5</v>
      </c>
      <c r="F86" s="15" t="s">
        <v>58</v>
      </c>
    </row>
    <row r="87" spans="1:6" x14ac:dyDescent="0.2">
      <c r="A87" s="15">
        <v>86</v>
      </c>
      <c r="B87" s="15">
        <v>6</v>
      </c>
      <c r="C87" s="15">
        <v>3.4</v>
      </c>
      <c r="D87" s="15">
        <v>4.5</v>
      </c>
      <c r="E87" s="15">
        <v>1.6</v>
      </c>
      <c r="F87" s="15" t="s">
        <v>58</v>
      </c>
    </row>
    <row r="88" spans="1:6" x14ac:dyDescent="0.2">
      <c r="A88" s="15">
        <v>87</v>
      </c>
      <c r="B88" s="15">
        <v>6.7</v>
      </c>
      <c r="C88" s="15">
        <v>3.1</v>
      </c>
      <c r="D88" s="15">
        <v>4.7</v>
      </c>
      <c r="E88" s="15">
        <v>1.5</v>
      </c>
      <c r="F88" s="15" t="s">
        <v>58</v>
      </c>
    </row>
    <row r="89" spans="1:6" x14ac:dyDescent="0.2">
      <c r="A89" s="15">
        <v>88</v>
      </c>
      <c r="B89" s="15">
        <v>6.3</v>
      </c>
      <c r="C89" s="15">
        <v>2.2999999999999998</v>
      </c>
      <c r="D89" s="15">
        <v>4.4000000000000004</v>
      </c>
      <c r="E89" s="15">
        <v>1.3</v>
      </c>
      <c r="F89" s="15" t="s">
        <v>58</v>
      </c>
    </row>
    <row r="90" spans="1:6" x14ac:dyDescent="0.2">
      <c r="A90" s="15">
        <v>89</v>
      </c>
      <c r="B90" s="15">
        <v>5.6</v>
      </c>
      <c r="C90" s="15">
        <v>3</v>
      </c>
      <c r="D90" s="15">
        <v>4.0999999999999996</v>
      </c>
      <c r="E90" s="15">
        <v>1.3</v>
      </c>
      <c r="F90" s="15" t="s">
        <v>58</v>
      </c>
    </row>
    <row r="91" spans="1:6" x14ac:dyDescent="0.2">
      <c r="A91" s="15">
        <v>90</v>
      </c>
      <c r="B91" s="15">
        <v>5.5</v>
      </c>
      <c r="C91" s="15">
        <v>2.5</v>
      </c>
      <c r="D91" s="15">
        <v>4</v>
      </c>
      <c r="E91" s="15">
        <v>1.3</v>
      </c>
      <c r="F91" s="15" t="s">
        <v>58</v>
      </c>
    </row>
    <row r="92" spans="1:6" x14ac:dyDescent="0.2">
      <c r="A92" s="15">
        <v>91</v>
      </c>
      <c r="B92" s="15">
        <v>5.5</v>
      </c>
      <c r="C92" s="15">
        <v>2.6</v>
      </c>
      <c r="D92" s="15">
        <v>4.4000000000000004</v>
      </c>
      <c r="E92" s="15">
        <v>1.2</v>
      </c>
      <c r="F92" s="15" t="s">
        <v>58</v>
      </c>
    </row>
    <row r="93" spans="1:6" x14ac:dyDescent="0.2">
      <c r="A93" s="15">
        <v>92</v>
      </c>
      <c r="B93" s="15">
        <v>6.1</v>
      </c>
      <c r="C93" s="15">
        <v>3</v>
      </c>
      <c r="D93" s="15">
        <v>4.5999999999999996</v>
      </c>
      <c r="E93" s="15">
        <v>1.4</v>
      </c>
      <c r="F93" s="15" t="s">
        <v>58</v>
      </c>
    </row>
    <row r="94" spans="1:6" x14ac:dyDescent="0.2">
      <c r="A94" s="15">
        <v>93</v>
      </c>
      <c r="B94" s="15">
        <v>5.8</v>
      </c>
      <c r="C94" s="15">
        <v>2.6</v>
      </c>
      <c r="D94" s="15">
        <v>4</v>
      </c>
      <c r="E94" s="15">
        <v>1.2</v>
      </c>
      <c r="F94" s="15" t="s">
        <v>58</v>
      </c>
    </row>
    <row r="95" spans="1:6" x14ac:dyDescent="0.2">
      <c r="A95" s="15">
        <v>94</v>
      </c>
      <c r="B95" s="15">
        <v>5</v>
      </c>
      <c r="C95" s="15">
        <v>2.2999999999999998</v>
      </c>
      <c r="D95" s="15">
        <v>3.3</v>
      </c>
      <c r="E95" s="15">
        <v>1</v>
      </c>
      <c r="F95" s="15" t="s">
        <v>58</v>
      </c>
    </row>
    <row r="96" spans="1:6" x14ac:dyDescent="0.2">
      <c r="A96" s="15">
        <v>95</v>
      </c>
      <c r="B96" s="15">
        <v>5.6</v>
      </c>
      <c r="C96" s="15">
        <v>2.7</v>
      </c>
      <c r="D96" s="15">
        <v>4.2</v>
      </c>
      <c r="E96" s="15">
        <v>1.3</v>
      </c>
      <c r="F96" s="15" t="s">
        <v>58</v>
      </c>
    </row>
    <row r="97" spans="1:6" x14ac:dyDescent="0.2">
      <c r="A97" s="15">
        <v>96</v>
      </c>
      <c r="B97" s="15">
        <v>5.7</v>
      </c>
      <c r="C97" s="15">
        <v>3</v>
      </c>
      <c r="D97" s="15">
        <v>4.2</v>
      </c>
      <c r="E97" s="15">
        <v>1.2</v>
      </c>
      <c r="F97" s="15" t="s">
        <v>58</v>
      </c>
    </row>
    <row r="98" spans="1:6" x14ac:dyDescent="0.2">
      <c r="A98" s="15">
        <v>97</v>
      </c>
      <c r="B98" s="15">
        <v>5.7</v>
      </c>
      <c r="C98" s="15">
        <v>2.9</v>
      </c>
      <c r="D98" s="15">
        <v>4.2</v>
      </c>
      <c r="E98" s="15">
        <v>1.3</v>
      </c>
      <c r="F98" s="15" t="s">
        <v>58</v>
      </c>
    </row>
    <row r="99" spans="1:6" x14ac:dyDescent="0.2">
      <c r="A99" s="15">
        <v>98</v>
      </c>
      <c r="B99" s="15">
        <v>6.2</v>
      </c>
      <c r="C99" s="15">
        <v>2.9</v>
      </c>
      <c r="D99" s="15">
        <v>4.3</v>
      </c>
      <c r="E99" s="15">
        <v>1.3</v>
      </c>
      <c r="F99" s="15" t="s">
        <v>58</v>
      </c>
    </row>
    <row r="100" spans="1:6" x14ac:dyDescent="0.2">
      <c r="A100" s="15">
        <v>99</v>
      </c>
      <c r="B100" s="15">
        <v>5.0999999999999996</v>
      </c>
      <c r="C100" s="15">
        <v>2.5</v>
      </c>
      <c r="D100" s="15">
        <v>3</v>
      </c>
      <c r="E100" s="15">
        <v>1.1000000000000001</v>
      </c>
      <c r="F100" s="15" t="s">
        <v>58</v>
      </c>
    </row>
    <row r="101" spans="1:6" x14ac:dyDescent="0.2">
      <c r="A101" s="15">
        <v>100</v>
      </c>
      <c r="B101" s="15">
        <v>5.7</v>
      </c>
      <c r="C101" s="15">
        <v>2.8</v>
      </c>
      <c r="D101" s="15">
        <v>4.0999999999999996</v>
      </c>
      <c r="E101" s="15">
        <v>1.3</v>
      </c>
      <c r="F101" s="15" t="s">
        <v>58</v>
      </c>
    </row>
    <row r="102" spans="1:6" x14ac:dyDescent="0.2">
      <c r="A102" s="15">
        <v>101</v>
      </c>
      <c r="B102" s="15">
        <v>6.3</v>
      </c>
      <c r="C102" s="15">
        <v>3.3</v>
      </c>
      <c r="D102" s="15">
        <v>6</v>
      </c>
      <c r="E102" s="15">
        <v>2.5</v>
      </c>
      <c r="F102" s="15" t="s">
        <v>59</v>
      </c>
    </row>
    <row r="103" spans="1:6" x14ac:dyDescent="0.2">
      <c r="A103" s="15">
        <v>102</v>
      </c>
      <c r="B103" s="15">
        <v>5.8</v>
      </c>
      <c r="C103" s="15">
        <v>2.7</v>
      </c>
      <c r="D103" s="15">
        <v>5.0999999999999996</v>
      </c>
      <c r="E103" s="15">
        <v>1.9</v>
      </c>
      <c r="F103" s="15" t="s">
        <v>59</v>
      </c>
    </row>
    <row r="104" spans="1:6" x14ac:dyDescent="0.2">
      <c r="A104" s="15">
        <v>103</v>
      </c>
      <c r="B104" s="15">
        <v>7.1</v>
      </c>
      <c r="C104" s="15">
        <v>3</v>
      </c>
      <c r="D104" s="15">
        <v>5.9</v>
      </c>
      <c r="E104" s="15">
        <v>2.1</v>
      </c>
      <c r="F104" s="15" t="s">
        <v>59</v>
      </c>
    </row>
    <row r="105" spans="1:6" x14ac:dyDescent="0.2">
      <c r="A105" s="15">
        <v>104</v>
      </c>
      <c r="B105" s="15">
        <v>6.3</v>
      </c>
      <c r="C105" s="15">
        <v>2.9</v>
      </c>
      <c r="D105" s="15">
        <v>5.6</v>
      </c>
      <c r="E105" s="15">
        <v>1.8</v>
      </c>
      <c r="F105" s="15" t="s">
        <v>59</v>
      </c>
    </row>
    <row r="106" spans="1:6" x14ac:dyDescent="0.2">
      <c r="A106" s="15">
        <v>105</v>
      </c>
      <c r="B106" s="15">
        <v>6.5</v>
      </c>
      <c r="C106" s="15">
        <v>3</v>
      </c>
      <c r="D106" s="15">
        <v>5.8</v>
      </c>
      <c r="E106" s="15">
        <v>2.2000000000000002</v>
      </c>
      <c r="F106" s="15" t="s">
        <v>59</v>
      </c>
    </row>
    <row r="107" spans="1:6" x14ac:dyDescent="0.2">
      <c r="A107" s="15">
        <v>106</v>
      </c>
      <c r="B107" s="15">
        <v>7.6</v>
      </c>
      <c r="C107" s="15">
        <v>3</v>
      </c>
      <c r="D107" s="15">
        <v>6.6</v>
      </c>
      <c r="E107" s="15">
        <v>2.1</v>
      </c>
      <c r="F107" s="15" t="s">
        <v>59</v>
      </c>
    </row>
    <row r="108" spans="1:6" x14ac:dyDescent="0.2">
      <c r="A108" s="15">
        <v>107</v>
      </c>
      <c r="B108" s="15">
        <v>4.9000000000000004</v>
      </c>
      <c r="C108" s="15">
        <v>2.5</v>
      </c>
      <c r="D108" s="15">
        <v>4.5</v>
      </c>
      <c r="E108" s="15">
        <v>1.7</v>
      </c>
      <c r="F108" s="15" t="s">
        <v>59</v>
      </c>
    </row>
    <row r="109" spans="1:6" x14ac:dyDescent="0.2">
      <c r="A109" s="15">
        <v>108</v>
      </c>
      <c r="B109" s="15">
        <v>7.3</v>
      </c>
      <c r="C109" s="15">
        <v>2.9</v>
      </c>
      <c r="D109" s="15">
        <v>6.3</v>
      </c>
      <c r="E109" s="15">
        <v>1.8</v>
      </c>
      <c r="F109" s="15" t="s">
        <v>59</v>
      </c>
    </row>
    <row r="110" spans="1:6" x14ac:dyDescent="0.2">
      <c r="A110" s="15">
        <v>109</v>
      </c>
      <c r="B110" s="15">
        <v>6.7</v>
      </c>
      <c r="C110" s="15">
        <v>2.5</v>
      </c>
      <c r="D110" s="15">
        <v>5.8</v>
      </c>
      <c r="E110" s="15">
        <v>1.8</v>
      </c>
      <c r="F110" s="15" t="s">
        <v>59</v>
      </c>
    </row>
    <row r="111" spans="1:6" x14ac:dyDescent="0.2">
      <c r="A111" s="15">
        <v>110</v>
      </c>
      <c r="B111" s="15">
        <v>7.2</v>
      </c>
      <c r="C111" s="15">
        <v>3.6</v>
      </c>
      <c r="D111" s="15">
        <v>6.1</v>
      </c>
      <c r="E111" s="15">
        <v>2.5</v>
      </c>
      <c r="F111" s="15" t="s">
        <v>59</v>
      </c>
    </row>
    <row r="112" spans="1:6" x14ac:dyDescent="0.2">
      <c r="A112" s="15">
        <v>111</v>
      </c>
      <c r="B112" s="15">
        <v>6.5</v>
      </c>
      <c r="C112" s="15">
        <v>3.2</v>
      </c>
      <c r="D112" s="15">
        <v>5.0999999999999996</v>
      </c>
      <c r="E112" s="15">
        <v>2</v>
      </c>
      <c r="F112" s="15" t="s">
        <v>59</v>
      </c>
    </row>
    <row r="113" spans="1:6" x14ac:dyDescent="0.2">
      <c r="A113" s="15">
        <v>112</v>
      </c>
      <c r="B113" s="15">
        <v>6.4</v>
      </c>
      <c r="C113" s="15">
        <v>2.7</v>
      </c>
      <c r="D113" s="15">
        <v>5.3</v>
      </c>
      <c r="E113" s="15">
        <v>1.9</v>
      </c>
      <c r="F113" s="15" t="s">
        <v>59</v>
      </c>
    </row>
    <row r="114" spans="1:6" x14ac:dyDescent="0.2">
      <c r="A114" s="15">
        <v>113</v>
      </c>
      <c r="B114" s="15">
        <v>6.8</v>
      </c>
      <c r="C114" s="15">
        <v>3</v>
      </c>
      <c r="D114" s="15">
        <v>5.5</v>
      </c>
      <c r="E114" s="15">
        <v>2.1</v>
      </c>
      <c r="F114" s="15" t="s">
        <v>59</v>
      </c>
    </row>
    <row r="115" spans="1:6" x14ac:dyDescent="0.2">
      <c r="A115" s="15">
        <v>114</v>
      </c>
      <c r="B115" s="15">
        <v>5.7</v>
      </c>
      <c r="C115" s="15">
        <v>2.5</v>
      </c>
      <c r="D115" s="15">
        <v>5</v>
      </c>
      <c r="E115" s="15">
        <v>2</v>
      </c>
      <c r="F115" s="15" t="s">
        <v>59</v>
      </c>
    </row>
    <row r="116" spans="1:6" x14ac:dyDescent="0.2">
      <c r="A116" s="15">
        <v>115</v>
      </c>
      <c r="B116" s="15">
        <v>5.8</v>
      </c>
      <c r="C116" s="15">
        <v>2.8</v>
      </c>
      <c r="D116" s="15">
        <v>5.0999999999999996</v>
      </c>
      <c r="E116" s="15">
        <v>2.4</v>
      </c>
      <c r="F116" s="15" t="s">
        <v>59</v>
      </c>
    </row>
    <row r="117" spans="1:6" x14ac:dyDescent="0.2">
      <c r="A117" s="15">
        <v>116</v>
      </c>
      <c r="B117" s="15">
        <v>6.4</v>
      </c>
      <c r="C117" s="15">
        <v>3.2</v>
      </c>
      <c r="D117" s="15">
        <v>5.3</v>
      </c>
      <c r="E117" s="15">
        <v>2.2999999999999998</v>
      </c>
      <c r="F117" s="15" t="s">
        <v>59</v>
      </c>
    </row>
    <row r="118" spans="1:6" x14ac:dyDescent="0.2">
      <c r="A118" s="15">
        <v>117</v>
      </c>
      <c r="B118" s="15">
        <v>6.5</v>
      </c>
      <c r="C118" s="15">
        <v>3</v>
      </c>
      <c r="D118" s="15">
        <v>5.5</v>
      </c>
      <c r="E118" s="15">
        <v>1.8</v>
      </c>
      <c r="F118" s="15" t="s">
        <v>59</v>
      </c>
    </row>
    <row r="119" spans="1:6" x14ac:dyDescent="0.2">
      <c r="A119" s="15">
        <v>118</v>
      </c>
      <c r="B119" s="15">
        <v>7.7</v>
      </c>
      <c r="C119" s="15">
        <v>3.8</v>
      </c>
      <c r="D119" s="15">
        <v>6.7</v>
      </c>
      <c r="E119" s="15">
        <v>2.2000000000000002</v>
      </c>
      <c r="F119" s="15" t="s">
        <v>59</v>
      </c>
    </row>
    <row r="120" spans="1:6" x14ac:dyDescent="0.2">
      <c r="A120" s="15">
        <v>119</v>
      </c>
      <c r="B120" s="15">
        <v>7.7</v>
      </c>
      <c r="C120" s="15">
        <v>2.6</v>
      </c>
      <c r="D120" s="15">
        <v>6.9</v>
      </c>
      <c r="E120" s="15">
        <v>2.2999999999999998</v>
      </c>
      <c r="F120" s="15" t="s">
        <v>59</v>
      </c>
    </row>
    <row r="121" spans="1:6" x14ac:dyDescent="0.2">
      <c r="A121" s="15">
        <v>120</v>
      </c>
      <c r="B121" s="15">
        <v>6</v>
      </c>
      <c r="C121" s="15">
        <v>2.2000000000000002</v>
      </c>
      <c r="D121" s="15">
        <v>5</v>
      </c>
      <c r="E121" s="15">
        <v>1.5</v>
      </c>
      <c r="F121" s="15" t="s">
        <v>59</v>
      </c>
    </row>
    <row r="122" spans="1:6" x14ac:dyDescent="0.2">
      <c r="A122" s="15">
        <v>121</v>
      </c>
      <c r="B122" s="15">
        <v>6.9</v>
      </c>
      <c r="C122" s="15">
        <v>3.2</v>
      </c>
      <c r="D122" s="15">
        <v>5.7</v>
      </c>
      <c r="E122" s="15">
        <v>2.2999999999999998</v>
      </c>
      <c r="F122" s="15" t="s">
        <v>59</v>
      </c>
    </row>
    <row r="123" spans="1:6" x14ac:dyDescent="0.2">
      <c r="A123" s="15">
        <v>122</v>
      </c>
      <c r="B123" s="15">
        <v>5.6</v>
      </c>
      <c r="C123" s="15">
        <v>2.8</v>
      </c>
      <c r="D123" s="15">
        <v>4.9000000000000004</v>
      </c>
      <c r="E123" s="15">
        <v>2</v>
      </c>
      <c r="F123" s="15" t="s">
        <v>59</v>
      </c>
    </row>
    <row r="124" spans="1:6" x14ac:dyDescent="0.2">
      <c r="A124" s="15">
        <v>123</v>
      </c>
      <c r="B124" s="15">
        <v>7.7</v>
      </c>
      <c r="C124" s="15">
        <v>2.8</v>
      </c>
      <c r="D124" s="15">
        <v>6.7</v>
      </c>
      <c r="E124" s="15">
        <v>2</v>
      </c>
      <c r="F124" s="15" t="s">
        <v>59</v>
      </c>
    </row>
    <row r="125" spans="1:6" x14ac:dyDescent="0.2">
      <c r="A125" s="15">
        <v>124</v>
      </c>
      <c r="B125" s="15">
        <v>6.3</v>
      </c>
      <c r="C125" s="15">
        <v>2.7</v>
      </c>
      <c r="D125" s="15">
        <v>4.9000000000000004</v>
      </c>
      <c r="E125" s="15">
        <v>1.8</v>
      </c>
      <c r="F125" s="15" t="s">
        <v>59</v>
      </c>
    </row>
    <row r="126" spans="1:6" x14ac:dyDescent="0.2">
      <c r="A126" s="15">
        <v>125</v>
      </c>
      <c r="B126" s="15">
        <v>6.7</v>
      </c>
      <c r="C126" s="15">
        <v>3.3</v>
      </c>
      <c r="D126" s="15">
        <v>5.7</v>
      </c>
      <c r="E126" s="15">
        <v>2.1</v>
      </c>
      <c r="F126" s="15" t="s">
        <v>59</v>
      </c>
    </row>
    <row r="127" spans="1:6" x14ac:dyDescent="0.2">
      <c r="A127" s="15">
        <v>126</v>
      </c>
      <c r="B127" s="15">
        <v>7.2</v>
      </c>
      <c r="C127" s="15">
        <v>3.2</v>
      </c>
      <c r="D127" s="15">
        <v>6</v>
      </c>
      <c r="E127" s="15">
        <v>1.8</v>
      </c>
      <c r="F127" s="15" t="s">
        <v>59</v>
      </c>
    </row>
    <row r="128" spans="1:6" x14ac:dyDescent="0.2">
      <c r="A128" s="15">
        <v>127</v>
      </c>
      <c r="B128" s="15">
        <v>6.2</v>
      </c>
      <c r="C128" s="15">
        <v>2.8</v>
      </c>
      <c r="D128" s="15">
        <v>4.8</v>
      </c>
      <c r="E128" s="15">
        <v>1.8</v>
      </c>
      <c r="F128" s="15" t="s">
        <v>59</v>
      </c>
    </row>
    <row r="129" spans="1:6" x14ac:dyDescent="0.2">
      <c r="A129" s="15">
        <v>128</v>
      </c>
      <c r="B129" s="15">
        <v>6.1</v>
      </c>
      <c r="C129" s="15">
        <v>3</v>
      </c>
      <c r="D129" s="15">
        <v>4.9000000000000004</v>
      </c>
      <c r="E129" s="15">
        <v>1.8</v>
      </c>
      <c r="F129" s="15" t="s">
        <v>59</v>
      </c>
    </row>
    <row r="130" spans="1:6" x14ac:dyDescent="0.2">
      <c r="A130" s="15">
        <v>129</v>
      </c>
      <c r="B130" s="15">
        <v>6.4</v>
      </c>
      <c r="C130" s="15">
        <v>2.8</v>
      </c>
      <c r="D130" s="15">
        <v>5.6</v>
      </c>
      <c r="E130" s="15">
        <v>2.1</v>
      </c>
      <c r="F130" s="15" t="s">
        <v>59</v>
      </c>
    </row>
    <row r="131" spans="1:6" x14ac:dyDescent="0.2">
      <c r="A131" s="15">
        <v>130</v>
      </c>
      <c r="B131" s="15">
        <v>7.2</v>
      </c>
      <c r="C131" s="15">
        <v>3</v>
      </c>
      <c r="D131" s="15">
        <v>5.8</v>
      </c>
      <c r="E131" s="15">
        <v>1.6</v>
      </c>
      <c r="F131" s="15" t="s">
        <v>59</v>
      </c>
    </row>
    <row r="132" spans="1:6" x14ac:dyDescent="0.2">
      <c r="A132" s="15">
        <v>131</v>
      </c>
      <c r="B132" s="15">
        <v>7.4</v>
      </c>
      <c r="C132" s="15">
        <v>2.8</v>
      </c>
      <c r="D132" s="15">
        <v>6.1</v>
      </c>
      <c r="E132" s="15">
        <v>1.9</v>
      </c>
      <c r="F132" s="15" t="s">
        <v>59</v>
      </c>
    </row>
    <row r="133" spans="1:6" x14ac:dyDescent="0.2">
      <c r="A133" s="15">
        <v>132</v>
      </c>
      <c r="B133" s="15">
        <v>7.9</v>
      </c>
      <c r="C133" s="15">
        <v>3.8</v>
      </c>
      <c r="D133" s="15">
        <v>6.4</v>
      </c>
      <c r="E133" s="15">
        <v>2</v>
      </c>
      <c r="F133" s="15" t="s">
        <v>59</v>
      </c>
    </row>
    <row r="134" spans="1:6" x14ac:dyDescent="0.2">
      <c r="A134" s="15">
        <v>133</v>
      </c>
      <c r="B134" s="15">
        <v>6.4</v>
      </c>
      <c r="C134" s="15">
        <v>2.8</v>
      </c>
      <c r="D134" s="15">
        <v>5.6</v>
      </c>
      <c r="E134" s="15">
        <v>2.2000000000000002</v>
      </c>
      <c r="F134" s="15" t="s">
        <v>59</v>
      </c>
    </row>
    <row r="135" spans="1:6" x14ac:dyDescent="0.2">
      <c r="A135" s="15">
        <v>134</v>
      </c>
      <c r="B135" s="15">
        <v>6.3</v>
      </c>
      <c r="C135" s="15">
        <v>2.8</v>
      </c>
      <c r="D135" s="15">
        <v>5.0999999999999996</v>
      </c>
      <c r="E135" s="15">
        <v>1.5</v>
      </c>
      <c r="F135" s="15" t="s">
        <v>59</v>
      </c>
    </row>
    <row r="136" spans="1:6" x14ac:dyDescent="0.2">
      <c r="A136" s="15">
        <v>135</v>
      </c>
      <c r="B136" s="15">
        <v>6.1</v>
      </c>
      <c r="C136" s="15">
        <v>2.6</v>
      </c>
      <c r="D136" s="15">
        <v>5.6</v>
      </c>
      <c r="E136" s="15">
        <v>1.4</v>
      </c>
      <c r="F136" s="15" t="s">
        <v>59</v>
      </c>
    </row>
    <row r="137" spans="1:6" x14ac:dyDescent="0.2">
      <c r="A137" s="15">
        <v>136</v>
      </c>
      <c r="B137" s="15">
        <v>7.7</v>
      </c>
      <c r="C137" s="15">
        <v>3</v>
      </c>
      <c r="D137" s="15">
        <v>6.1</v>
      </c>
      <c r="E137" s="15">
        <v>2.2999999999999998</v>
      </c>
      <c r="F137" s="15" t="s">
        <v>59</v>
      </c>
    </row>
    <row r="138" spans="1:6" x14ac:dyDescent="0.2">
      <c r="A138" s="15">
        <v>137</v>
      </c>
      <c r="B138" s="15">
        <v>6.3</v>
      </c>
      <c r="C138" s="15">
        <v>3.4</v>
      </c>
      <c r="D138" s="15">
        <v>5.6</v>
      </c>
      <c r="E138" s="15">
        <v>2.4</v>
      </c>
      <c r="F138" s="15" t="s">
        <v>59</v>
      </c>
    </row>
    <row r="139" spans="1:6" x14ac:dyDescent="0.2">
      <c r="A139" s="15">
        <v>138</v>
      </c>
      <c r="B139" s="15">
        <v>6.4</v>
      </c>
      <c r="C139" s="15">
        <v>3.1</v>
      </c>
      <c r="D139" s="15">
        <v>5.5</v>
      </c>
      <c r="E139" s="15">
        <v>1.8</v>
      </c>
      <c r="F139" s="15" t="s">
        <v>59</v>
      </c>
    </row>
    <row r="140" spans="1:6" x14ac:dyDescent="0.2">
      <c r="A140" s="15">
        <v>139</v>
      </c>
      <c r="B140" s="15">
        <v>6</v>
      </c>
      <c r="C140" s="15">
        <v>3</v>
      </c>
      <c r="D140" s="15">
        <v>4.8</v>
      </c>
      <c r="E140" s="15">
        <v>1.8</v>
      </c>
      <c r="F140" s="15" t="s">
        <v>59</v>
      </c>
    </row>
    <row r="141" spans="1:6" x14ac:dyDescent="0.2">
      <c r="A141" s="15">
        <v>140</v>
      </c>
      <c r="B141" s="15">
        <v>6.9</v>
      </c>
      <c r="C141" s="15">
        <v>3.1</v>
      </c>
      <c r="D141" s="15">
        <v>5.4</v>
      </c>
      <c r="E141" s="15">
        <v>2.1</v>
      </c>
      <c r="F141" s="15" t="s">
        <v>59</v>
      </c>
    </row>
    <row r="142" spans="1:6" x14ac:dyDescent="0.2">
      <c r="A142" s="15">
        <v>141</v>
      </c>
      <c r="B142" s="15">
        <v>6.7</v>
      </c>
      <c r="C142" s="15">
        <v>3.1</v>
      </c>
      <c r="D142" s="15">
        <v>5.6</v>
      </c>
      <c r="E142" s="15">
        <v>2.4</v>
      </c>
      <c r="F142" s="15" t="s">
        <v>59</v>
      </c>
    </row>
    <row r="143" spans="1:6" x14ac:dyDescent="0.2">
      <c r="A143" s="15">
        <v>142</v>
      </c>
      <c r="B143" s="15">
        <v>6.9</v>
      </c>
      <c r="C143" s="15">
        <v>3.1</v>
      </c>
      <c r="D143" s="15">
        <v>5.0999999999999996</v>
      </c>
      <c r="E143" s="15">
        <v>2.2999999999999998</v>
      </c>
      <c r="F143" s="15" t="s">
        <v>59</v>
      </c>
    </row>
    <row r="144" spans="1:6" x14ac:dyDescent="0.2">
      <c r="A144" s="15">
        <v>143</v>
      </c>
      <c r="B144" s="15">
        <v>5.8</v>
      </c>
      <c r="C144" s="15">
        <v>2.7</v>
      </c>
      <c r="D144" s="15">
        <v>5.0999999999999996</v>
      </c>
      <c r="E144" s="15">
        <v>1.9</v>
      </c>
      <c r="F144" s="15" t="s">
        <v>59</v>
      </c>
    </row>
    <row r="145" spans="1:6" x14ac:dyDescent="0.2">
      <c r="A145" s="15">
        <v>144</v>
      </c>
      <c r="B145" s="15">
        <v>6.8</v>
      </c>
      <c r="C145" s="15">
        <v>3.2</v>
      </c>
      <c r="D145" s="15">
        <v>5.9</v>
      </c>
      <c r="E145" s="15">
        <v>2.2999999999999998</v>
      </c>
      <c r="F145" s="15" t="s">
        <v>59</v>
      </c>
    </row>
    <row r="146" spans="1:6" x14ac:dyDescent="0.2">
      <c r="A146" s="15">
        <v>145</v>
      </c>
      <c r="B146" s="15">
        <v>6.7</v>
      </c>
      <c r="C146" s="15">
        <v>3.3</v>
      </c>
      <c r="D146" s="15">
        <v>5.7</v>
      </c>
      <c r="E146" s="15">
        <v>2.5</v>
      </c>
      <c r="F146" s="15" t="s">
        <v>59</v>
      </c>
    </row>
    <row r="147" spans="1:6" x14ac:dyDescent="0.2">
      <c r="A147" s="15">
        <v>146</v>
      </c>
      <c r="B147" s="15">
        <v>6.7</v>
      </c>
      <c r="C147" s="15">
        <v>3</v>
      </c>
      <c r="D147" s="15">
        <v>5.2</v>
      </c>
      <c r="E147" s="15">
        <v>2.2999999999999998</v>
      </c>
      <c r="F147" s="15" t="s">
        <v>59</v>
      </c>
    </row>
    <row r="148" spans="1:6" x14ac:dyDescent="0.2">
      <c r="A148" s="15">
        <v>147</v>
      </c>
      <c r="B148" s="15">
        <v>6.3</v>
      </c>
      <c r="C148" s="15">
        <v>2.5</v>
      </c>
      <c r="D148" s="15">
        <v>5</v>
      </c>
      <c r="E148" s="15">
        <v>1.9</v>
      </c>
      <c r="F148" s="15" t="s">
        <v>59</v>
      </c>
    </row>
    <row r="149" spans="1:6" x14ac:dyDescent="0.2">
      <c r="A149" s="15">
        <v>148</v>
      </c>
      <c r="B149" s="15">
        <v>6.5</v>
      </c>
      <c r="C149" s="15">
        <v>3</v>
      </c>
      <c r="D149" s="15">
        <v>5.2</v>
      </c>
      <c r="E149" s="15">
        <v>2</v>
      </c>
      <c r="F149" s="15" t="s">
        <v>59</v>
      </c>
    </row>
    <row r="150" spans="1:6" x14ac:dyDescent="0.2">
      <c r="A150" s="15">
        <v>149</v>
      </c>
      <c r="B150" s="15">
        <v>6.2</v>
      </c>
      <c r="C150" s="15">
        <v>3.4</v>
      </c>
      <c r="D150" s="15">
        <v>5.4</v>
      </c>
      <c r="E150" s="15">
        <v>2.2999999999999998</v>
      </c>
      <c r="F150" s="15" t="s">
        <v>59</v>
      </c>
    </row>
    <row r="151" spans="1:6" x14ac:dyDescent="0.2">
      <c r="A151" s="15">
        <v>150</v>
      </c>
      <c r="B151" s="15">
        <v>5.9</v>
      </c>
      <c r="C151" s="15">
        <v>3</v>
      </c>
      <c r="D151" s="15">
        <v>5.0999999999999996</v>
      </c>
      <c r="E151" s="15">
        <v>1.8</v>
      </c>
      <c r="F151" s="15" t="s">
        <v>59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7"/>
    <col min="7" max="7" width="15" style="17" bestFit="1" customWidth="1"/>
    <col min="8" max="8" width="10.83203125" style="17"/>
    <col min="9" max="10" width="23.5" style="17" bestFit="1" customWidth="1"/>
    <col min="11" max="11" width="11.83203125" style="17" bestFit="1" customWidth="1"/>
    <col min="12" max="12" width="15.33203125" style="17" bestFit="1" customWidth="1"/>
    <col min="13" max="16384" width="10.83203125" style="17"/>
  </cols>
  <sheetData>
    <row r="3" spans="2:12" s="16" customFormat="1" x14ac:dyDescent="0.3">
      <c r="H3" s="16" t="s">
        <v>60</v>
      </c>
      <c r="K3" s="16" t="s">
        <v>51</v>
      </c>
    </row>
    <row r="4" spans="2:12" x14ac:dyDescent="0.3">
      <c r="G4" s="17" t="s">
        <v>61</v>
      </c>
      <c r="H4" s="17">
        <v>0</v>
      </c>
      <c r="K4" s="17">
        <f t="array" ref="K4">SUM(LN(K12:K61+0.00000000001))</f>
        <v>-1266.4218011467253</v>
      </c>
    </row>
    <row r="5" spans="2:12" x14ac:dyDescent="0.3">
      <c r="G5" s="17" t="s">
        <v>47</v>
      </c>
      <c r="H5" s="17">
        <v>0</v>
      </c>
    </row>
    <row r="6" spans="2:12" x14ac:dyDescent="0.3">
      <c r="G6" s="17" t="s">
        <v>48</v>
      </c>
      <c r="H6" s="17">
        <v>0</v>
      </c>
    </row>
    <row r="7" spans="2:12" x14ac:dyDescent="0.3">
      <c r="G7" s="17" t="s">
        <v>62</v>
      </c>
      <c r="H7" s="17">
        <v>0</v>
      </c>
    </row>
    <row r="8" spans="2:12" x14ac:dyDescent="0.3">
      <c r="G8" s="17" t="s">
        <v>63</v>
      </c>
      <c r="H8" s="17">
        <v>1.5482559354478314</v>
      </c>
    </row>
    <row r="11" spans="2:12" s="16" customFormat="1" x14ac:dyDescent="0.3">
      <c r="B11" s="16" t="s">
        <v>49</v>
      </c>
      <c r="C11" s="16" t="s">
        <v>50</v>
      </c>
      <c r="D11" s="16" t="s">
        <v>18</v>
      </c>
      <c r="E11" s="16" t="s">
        <v>20</v>
      </c>
      <c r="F11" s="16" t="s">
        <v>64</v>
      </c>
      <c r="G11" s="16" t="s">
        <v>65</v>
      </c>
      <c r="H11" s="16" t="s">
        <v>19</v>
      </c>
      <c r="I11" s="16" t="s">
        <v>66</v>
      </c>
      <c r="J11" s="16" t="s">
        <v>67</v>
      </c>
      <c r="K11" s="16" t="s">
        <v>68</v>
      </c>
      <c r="L11" s="16" t="s">
        <v>17</v>
      </c>
    </row>
    <row r="12" spans="2:12" x14ac:dyDescent="0.3">
      <c r="B12" s="17" cm="1">
        <f t="array" aca="1" ref="B12:G36" ca="1">OFFSET(Iris_Data!A1,1,0,25,6)</f>
        <v>1</v>
      </c>
      <c r="C12" s="17">
        <f ca="1"/>
        <v>5.0999999999999996</v>
      </c>
      <c r="D12" s="17">
        <f ca="1"/>
        <v>3.5</v>
      </c>
      <c r="E12" s="17">
        <f ca="1"/>
        <v>1.4</v>
      </c>
      <c r="F12" s="17">
        <f ca="1"/>
        <v>0.2</v>
      </c>
      <c r="G12" s="17" t="str">
        <f ca="1"/>
        <v>setosa</v>
      </c>
      <c r="H12" s="17">
        <f t="shared" ref="H12:H61" ca="1" si="0">(G12="versicolor")+0</f>
        <v>0</v>
      </c>
      <c r="I12" s="21"/>
      <c r="J12" s="21"/>
      <c r="K12" s="21"/>
      <c r="L12" s="21"/>
    </row>
    <row r="13" spans="2:12" x14ac:dyDescent="0.3">
      <c r="B13" s="17">
        <f ca="1"/>
        <v>2</v>
      </c>
      <c r="C13" s="17">
        <f ca="1"/>
        <v>4.9000000000000004</v>
      </c>
      <c r="D13" s="17">
        <f ca="1"/>
        <v>3</v>
      </c>
      <c r="E13" s="17">
        <f ca="1"/>
        <v>1.4</v>
      </c>
      <c r="F13" s="17">
        <f ca="1"/>
        <v>0.2</v>
      </c>
      <c r="G13" s="17" t="str">
        <f ca="1"/>
        <v>setosa</v>
      </c>
      <c r="H13" s="17">
        <f t="shared" ca="1" si="0"/>
        <v>0</v>
      </c>
      <c r="I13" s="21"/>
      <c r="J13" s="21"/>
      <c r="K13" s="21"/>
      <c r="L13" s="21"/>
    </row>
    <row r="14" spans="2:12" x14ac:dyDescent="0.3">
      <c r="B14" s="17">
        <f ca="1"/>
        <v>3</v>
      </c>
      <c r="C14" s="17">
        <f ca="1"/>
        <v>4.7</v>
      </c>
      <c r="D14" s="17">
        <f ca="1"/>
        <v>3.2</v>
      </c>
      <c r="E14" s="17">
        <f ca="1"/>
        <v>1.3</v>
      </c>
      <c r="F14" s="17">
        <f ca="1"/>
        <v>0.2</v>
      </c>
      <c r="G14" s="17" t="str">
        <f ca="1"/>
        <v>setosa</v>
      </c>
      <c r="H14" s="17">
        <f t="shared" ca="1" si="0"/>
        <v>0</v>
      </c>
      <c r="I14" s="21"/>
      <c r="J14" s="21"/>
      <c r="K14" s="21"/>
      <c r="L14" s="21"/>
    </row>
    <row r="15" spans="2:12" x14ac:dyDescent="0.3">
      <c r="B15" s="17">
        <f ca="1"/>
        <v>4</v>
      </c>
      <c r="C15" s="17">
        <f ca="1"/>
        <v>4.5999999999999996</v>
      </c>
      <c r="D15" s="17">
        <f ca="1"/>
        <v>3.1</v>
      </c>
      <c r="E15" s="17">
        <f ca="1"/>
        <v>1.5</v>
      </c>
      <c r="F15" s="17">
        <f ca="1"/>
        <v>0.2</v>
      </c>
      <c r="G15" s="17" t="str">
        <f ca="1"/>
        <v>setosa</v>
      </c>
      <c r="H15" s="17">
        <f t="shared" ca="1" si="0"/>
        <v>0</v>
      </c>
      <c r="I15" s="21"/>
      <c r="J15" s="21"/>
      <c r="K15" s="21"/>
      <c r="L15" s="21"/>
    </row>
    <row r="16" spans="2:12" x14ac:dyDescent="0.3">
      <c r="B16" s="17">
        <f ca="1"/>
        <v>5</v>
      </c>
      <c r="C16" s="17">
        <f ca="1"/>
        <v>5</v>
      </c>
      <c r="D16" s="17">
        <f ca="1"/>
        <v>3.6</v>
      </c>
      <c r="E16" s="17">
        <f ca="1"/>
        <v>1.4</v>
      </c>
      <c r="F16" s="17">
        <f ca="1"/>
        <v>0.2</v>
      </c>
      <c r="G16" s="17" t="str">
        <f ca="1"/>
        <v>setosa</v>
      </c>
      <c r="H16" s="17">
        <f t="shared" ca="1" si="0"/>
        <v>0</v>
      </c>
      <c r="I16" s="21"/>
      <c r="J16" s="21"/>
      <c r="K16" s="21"/>
      <c r="L16" s="21"/>
    </row>
    <row r="17" spans="2:12" x14ac:dyDescent="0.3">
      <c r="B17" s="17">
        <f ca="1"/>
        <v>6</v>
      </c>
      <c r="C17" s="17">
        <f ca="1"/>
        <v>5.4</v>
      </c>
      <c r="D17" s="17">
        <f ca="1"/>
        <v>3.9</v>
      </c>
      <c r="E17" s="17">
        <f ca="1"/>
        <v>1.7</v>
      </c>
      <c r="F17" s="17">
        <f ca="1"/>
        <v>0.4</v>
      </c>
      <c r="G17" s="17" t="str">
        <f ca="1"/>
        <v>setosa</v>
      </c>
      <c r="H17" s="17">
        <f t="shared" ca="1" si="0"/>
        <v>0</v>
      </c>
      <c r="I17" s="21"/>
      <c r="J17" s="21"/>
      <c r="K17" s="21"/>
      <c r="L17" s="21"/>
    </row>
    <row r="18" spans="2:12" x14ac:dyDescent="0.3">
      <c r="B18" s="17">
        <f ca="1"/>
        <v>7</v>
      </c>
      <c r="C18" s="17">
        <f ca="1"/>
        <v>4.5999999999999996</v>
      </c>
      <c r="D18" s="17">
        <f ca="1"/>
        <v>3.4</v>
      </c>
      <c r="E18" s="17">
        <f ca="1"/>
        <v>1.4</v>
      </c>
      <c r="F18" s="17">
        <f ca="1"/>
        <v>0.3</v>
      </c>
      <c r="G18" s="17" t="str">
        <f ca="1"/>
        <v>setosa</v>
      </c>
      <c r="H18" s="17">
        <f t="shared" ca="1" si="0"/>
        <v>0</v>
      </c>
      <c r="I18" s="21"/>
      <c r="J18" s="21"/>
      <c r="K18" s="21"/>
      <c r="L18" s="21"/>
    </row>
    <row r="19" spans="2:12" x14ac:dyDescent="0.3">
      <c r="B19" s="17">
        <f ca="1"/>
        <v>8</v>
      </c>
      <c r="C19" s="17">
        <f ca="1"/>
        <v>5</v>
      </c>
      <c r="D19" s="17">
        <f ca="1"/>
        <v>3.4</v>
      </c>
      <c r="E19" s="17">
        <f ca="1"/>
        <v>1.5</v>
      </c>
      <c r="F19" s="17">
        <f ca="1"/>
        <v>0.2</v>
      </c>
      <c r="G19" s="17" t="str">
        <f ca="1"/>
        <v>setosa</v>
      </c>
      <c r="H19" s="17">
        <f t="shared" ca="1" si="0"/>
        <v>0</v>
      </c>
      <c r="I19" s="21"/>
      <c r="J19" s="21"/>
      <c r="K19" s="21"/>
      <c r="L19" s="21"/>
    </row>
    <row r="20" spans="2:12" x14ac:dyDescent="0.3">
      <c r="B20" s="17">
        <f ca="1"/>
        <v>9</v>
      </c>
      <c r="C20" s="17">
        <f ca="1"/>
        <v>4.4000000000000004</v>
      </c>
      <c r="D20" s="17">
        <f ca="1"/>
        <v>2.9</v>
      </c>
      <c r="E20" s="17">
        <f ca="1"/>
        <v>1.4</v>
      </c>
      <c r="F20" s="17">
        <f ca="1"/>
        <v>0.2</v>
      </c>
      <c r="G20" s="17" t="str">
        <f ca="1"/>
        <v>setosa</v>
      </c>
      <c r="H20" s="17">
        <f t="shared" ca="1" si="0"/>
        <v>0</v>
      </c>
      <c r="I20" s="21"/>
      <c r="J20" s="21"/>
      <c r="K20" s="21"/>
      <c r="L20" s="21"/>
    </row>
    <row r="21" spans="2:12" x14ac:dyDescent="0.3">
      <c r="B21" s="17">
        <f ca="1"/>
        <v>10</v>
      </c>
      <c r="C21" s="17">
        <f ca="1"/>
        <v>4.9000000000000004</v>
      </c>
      <c r="D21" s="17">
        <f ca="1"/>
        <v>3.1</v>
      </c>
      <c r="E21" s="17">
        <f ca="1"/>
        <v>1.5</v>
      </c>
      <c r="F21" s="17">
        <f ca="1"/>
        <v>0.1</v>
      </c>
      <c r="G21" s="17" t="str">
        <f ca="1"/>
        <v>setosa</v>
      </c>
      <c r="H21" s="17">
        <f t="shared" ca="1" si="0"/>
        <v>0</v>
      </c>
      <c r="I21" s="21"/>
      <c r="J21" s="21"/>
      <c r="K21" s="21"/>
      <c r="L21" s="21"/>
    </row>
    <row r="22" spans="2:12" x14ac:dyDescent="0.3">
      <c r="B22" s="17">
        <f ca="1"/>
        <v>11</v>
      </c>
      <c r="C22" s="17">
        <f ca="1"/>
        <v>5.4</v>
      </c>
      <c r="D22" s="17">
        <f ca="1"/>
        <v>3.7</v>
      </c>
      <c r="E22" s="17">
        <f ca="1"/>
        <v>1.5</v>
      </c>
      <c r="F22" s="17">
        <f ca="1"/>
        <v>0.2</v>
      </c>
      <c r="G22" s="17" t="str">
        <f ca="1"/>
        <v>setosa</v>
      </c>
      <c r="H22" s="17">
        <f t="shared" ca="1" si="0"/>
        <v>0</v>
      </c>
      <c r="I22" s="21"/>
      <c r="J22" s="21"/>
      <c r="K22" s="21"/>
      <c r="L22" s="21"/>
    </row>
    <row r="23" spans="2:12" x14ac:dyDescent="0.3">
      <c r="B23" s="17">
        <f ca="1"/>
        <v>12</v>
      </c>
      <c r="C23" s="17">
        <f ca="1"/>
        <v>4.8</v>
      </c>
      <c r="D23" s="17">
        <f ca="1"/>
        <v>3.4</v>
      </c>
      <c r="E23" s="17">
        <f ca="1"/>
        <v>1.6</v>
      </c>
      <c r="F23" s="17">
        <f ca="1"/>
        <v>0.2</v>
      </c>
      <c r="G23" s="17" t="str">
        <f ca="1"/>
        <v>setosa</v>
      </c>
      <c r="H23" s="17">
        <f t="shared" ca="1" si="0"/>
        <v>0</v>
      </c>
      <c r="I23" s="21"/>
      <c r="J23" s="21"/>
      <c r="K23" s="21"/>
      <c r="L23" s="21"/>
    </row>
    <row r="24" spans="2:12" x14ac:dyDescent="0.3">
      <c r="B24" s="17">
        <f ca="1"/>
        <v>13</v>
      </c>
      <c r="C24" s="17">
        <f ca="1"/>
        <v>4.8</v>
      </c>
      <c r="D24" s="17">
        <f ca="1"/>
        <v>3</v>
      </c>
      <c r="E24" s="17">
        <f ca="1"/>
        <v>1.4</v>
      </c>
      <c r="F24" s="17">
        <f ca="1"/>
        <v>0.1</v>
      </c>
      <c r="G24" s="17" t="str">
        <f ca="1"/>
        <v>setosa</v>
      </c>
      <c r="H24" s="17">
        <f t="shared" ca="1" si="0"/>
        <v>0</v>
      </c>
      <c r="I24" s="21"/>
      <c r="J24" s="21"/>
      <c r="K24" s="21"/>
      <c r="L24" s="21"/>
    </row>
    <row r="25" spans="2:12" x14ac:dyDescent="0.3">
      <c r="B25" s="17">
        <f ca="1"/>
        <v>14</v>
      </c>
      <c r="C25" s="17">
        <f ca="1"/>
        <v>4.3</v>
      </c>
      <c r="D25" s="17">
        <f ca="1"/>
        <v>3</v>
      </c>
      <c r="E25" s="17">
        <f ca="1"/>
        <v>1.1000000000000001</v>
      </c>
      <c r="F25" s="17">
        <f ca="1"/>
        <v>0.1</v>
      </c>
      <c r="G25" s="17" t="str">
        <f ca="1"/>
        <v>setosa</v>
      </c>
      <c r="H25" s="17">
        <f t="shared" ca="1" si="0"/>
        <v>0</v>
      </c>
      <c r="I25" s="21"/>
      <c r="J25" s="21"/>
      <c r="K25" s="21"/>
      <c r="L25" s="21"/>
    </row>
    <row r="26" spans="2:12" x14ac:dyDescent="0.3">
      <c r="B26" s="17">
        <f ca="1"/>
        <v>15</v>
      </c>
      <c r="C26" s="17">
        <f ca="1"/>
        <v>5.8</v>
      </c>
      <c r="D26" s="17">
        <f ca="1"/>
        <v>4</v>
      </c>
      <c r="E26" s="17">
        <f ca="1"/>
        <v>1.2</v>
      </c>
      <c r="F26" s="17">
        <f ca="1"/>
        <v>0.2</v>
      </c>
      <c r="G26" s="17" t="str">
        <f ca="1"/>
        <v>setosa</v>
      </c>
      <c r="H26" s="17">
        <f t="shared" ca="1" si="0"/>
        <v>0</v>
      </c>
      <c r="I26" s="21"/>
      <c r="J26" s="21"/>
      <c r="K26" s="21"/>
      <c r="L26" s="21"/>
    </row>
    <row r="27" spans="2:12" x14ac:dyDescent="0.3">
      <c r="B27" s="17">
        <f ca="1"/>
        <v>16</v>
      </c>
      <c r="C27" s="17">
        <f ca="1"/>
        <v>5.7</v>
      </c>
      <c r="D27" s="17">
        <f ca="1"/>
        <v>4.4000000000000004</v>
      </c>
      <c r="E27" s="17">
        <f ca="1"/>
        <v>1.5</v>
      </c>
      <c r="F27" s="17">
        <f ca="1"/>
        <v>0.4</v>
      </c>
      <c r="G27" s="17" t="str">
        <f ca="1"/>
        <v>setosa</v>
      </c>
      <c r="H27" s="17">
        <f t="shared" ca="1" si="0"/>
        <v>0</v>
      </c>
      <c r="I27" s="21"/>
      <c r="J27" s="21"/>
      <c r="K27" s="21"/>
      <c r="L27" s="21"/>
    </row>
    <row r="28" spans="2:12" x14ac:dyDescent="0.3">
      <c r="B28" s="17">
        <f ca="1"/>
        <v>17</v>
      </c>
      <c r="C28" s="17">
        <f ca="1"/>
        <v>5.4</v>
      </c>
      <c r="D28" s="17">
        <f ca="1"/>
        <v>3.9</v>
      </c>
      <c r="E28" s="17">
        <f ca="1"/>
        <v>1.3</v>
      </c>
      <c r="F28" s="17">
        <f ca="1"/>
        <v>0.4</v>
      </c>
      <c r="G28" s="17" t="str">
        <f ca="1"/>
        <v>setosa</v>
      </c>
      <c r="H28" s="17">
        <f t="shared" ca="1" si="0"/>
        <v>0</v>
      </c>
      <c r="I28" s="21"/>
      <c r="J28" s="21"/>
      <c r="K28" s="21"/>
      <c r="L28" s="21"/>
    </row>
    <row r="29" spans="2:12" x14ac:dyDescent="0.3">
      <c r="B29" s="17">
        <f ca="1"/>
        <v>18</v>
      </c>
      <c r="C29" s="17">
        <f ca="1"/>
        <v>5.0999999999999996</v>
      </c>
      <c r="D29" s="17">
        <f ca="1"/>
        <v>3.5</v>
      </c>
      <c r="E29" s="17">
        <f ca="1"/>
        <v>1.4</v>
      </c>
      <c r="F29" s="17">
        <f ca="1"/>
        <v>0.3</v>
      </c>
      <c r="G29" s="17" t="str">
        <f ca="1"/>
        <v>setosa</v>
      </c>
      <c r="H29" s="17">
        <f t="shared" ca="1" si="0"/>
        <v>0</v>
      </c>
      <c r="I29" s="21"/>
      <c r="J29" s="21"/>
      <c r="K29" s="21"/>
      <c r="L29" s="21"/>
    </row>
    <row r="30" spans="2:12" x14ac:dyDescent="0.3">
      <c r="B30" s="17">
        <f ca="1"/>
        <v>19</v>
      </c>
      <c r="C30" s="17">
        <f ca="1"/>
        <v>5.7</v>
      </c>
      <c r="D30" s="17">
        <f ca="1"/>
        <v>3.8</v>
      </c>
      <c r="E30" s="17">
        <f ca="1"/>
        <v>1.7</v>
      </c>
      <c r="F30" s="17">
        <f ca="1"/>
        <v>0.3</v>
      </c>
      <c r="G30" s="17" t="str">
        <f ca="1"/>
        <v>setosa</v>
      </c>
      <c r="H30" s="17">
        <f t="shared" ca="1" si="0"/>
        <v>0</v>
      </c>
      <c r="I30" s="21"/>
      <c r="J30" s="21"/>
      <c r="K30" s="21"/>
      <c r="L30" s="21"/>
    </row>
    <row r="31" spans="2:12" x14ac:dyDescent="0.3">
      <c r="B31" s="17">
        <f ca="1"/>
        <v>20</v>
      </c>
      <c r="C31" s="17">
        <f ca="1"/>
        <v>5.0999999999999996</v>
      </c>
      <c r="D31" s="17">
        <f ca="1"/>
        <v>3.8</v>
      </c>
      <c r="E31" s="17">
        <f ca="1"/>
        <v>1.5</v>
      </c>
      <c r="F31" s="17">
        <f ca="1"/>
        <v>0.3</v>
      </c>
      <c r="G31" s="17" t="str">
        <f ca="1"/>
        <v>setosa</v>
      </c>
      <c r="H31" s="17">
        <f t="shared" ca="1" si="0"/>
        <v>0</v>
      </c>
      <c r="I31" s="21"/>
      <c r="J31" s="21"/>
      <c r="K31" s="21"/>
      <c r="L31" s="21"/>
    </row>
    <row r="32" spans="2:12" x14ac:dyDescent="0.3">
      <c r="B32" s="17">
        <f ca="1"/>
        <v>21</v>
      </c>
      <c r="C32" s="17">
        <f ca="1"/>
        <v>5.4</v>
      </c>
      <c r="D32" s="17">
        <f ca="1"/>
        <v>3.4</v>
      </c>
      <c r="E32" s="17">
        <f ca="1"/>
        <v>1.7</v>
      </c>
      <c r="F32" s="17">
        <f ca="1"/>
        <v>0.2</v>
      </c>
      <c r="G32" s="17" t="str">
        <f ca="1"/>
        <v>setosa</v>
      </c>
      <c r="H32" s="17">
        <f t="shared" ca="1" si="0"/>
        <v>0</v>
      </c>
      <c r="I32" s="21"/>
      <c r="J32" s="21"/>
      <c r="K32" s="21"/>
      <c r="L32" s="21"/>
    </row>
    <row r="33" spans="2:12" x14ac:dyDescent="0.3">
      <c r="B33" s="17">
        <f ca="1"/>
        <v>22</v>
      </c>
      <c r="C33" s="17">
        <f ca="1"/>
        <v>5.0999999999999996</v>
      </c>
      <c r="D33" s="17">
        <f ca="1"/>
        <v>3.7</v>
      </c>
      <c r="E33" s="17">
        <f ca="1"/>
        <v>1.5</v>
      </c>
      <c r="F33" s="17">
        <f ca="1"/>
        <v>0.4</v>
      </c>
      <c r="G33" s="17" t="str">
        <f ca="1"/>
        <v>setosa</v>
      </c>
      <c r="H33" s="17">
        <f t="shared" ca="1" si="0"/>
        <v>0</v>
      </c>
      <c r="I33" s="21"/>
      <c r="J33" s="21"/>
      <c r="K33" s="21"/>
      <c r="L33" s="21"/>
    </row>
    <row r="34" spans="2:12" x14ac:dyDescent="0.3">
      <c r="B34" s="17">
        <f ca="1"/>
        <v>23</v>
      </c>
      <c r="C34" s="17">
        <f ca="1"/>
        <v>4.5999999999999996</v>
      </c>
      <c r="D34" s="17">
        <f ca="1"/>
        <v>3.6</v>
      </c>
      <c r="E34" s="17">
        <f ca="1"/>
        <v>1</v>
      </c>
      <c r="F34" s="17">
        <f ca="1"/>
        <v>0.2</v>
      </c>
      <c r="G34" s="17" t="str">
        <f ca="1"/>
        <v>setosa</v>
      </c>
      <c r="H34" s="17">
        <f t="shared" ca="1" si="0"/>
        <v>0</v>
      </c>
      <c r="I34" s="21"/>
      <c r="J34" s="21"/>
      <c r="K34" s="21"/>
      <c r="L34" s="21"/>
    </row>
    <row r="35" spans="2:12" x14ac:dyDescent="0.3">
      <c r="B35" s="17">
        <f ca="1"/>
        <v>24</v>
      </c>
      <c r="C35" s="17">
        <f ca="1"/>
        <v>5.0999999999999996</v>
      </c>
      <c r="D35" s="17">
        <f ca="1"/>
        <v>3.3</v>
      </c>
      <c r="E35" s="17">
        <f ca="1"/>
        <v>1.7</v>
      </c>
      <c r="F35" s="17">
        <f ca="1"/>
        <v>0.5</v>
      </c>
      <c r="G35" s="17" t="str">
        <f ca="1"/>
        <v>setosa</v>
      </c>
      <c r="H35" s="17">
        <f t="shared" ca="1" si="0"/>
        <v>0</v>
      </c>
      <c r="I35" s="21"/>
      <c r="J35" s="21"/>
      <c r="K35" s="21"/>
      <c r="L35" s="21"/>
    </row>
    <row r="36" spans="2:12" x14ac:dyDescent="0.3">
      <c r="B36" s="17">
        <f ca="1"/>
        <v>25</v>
      </c>
      <c r="C36" s="17">
        <f ca="1"/>
        <v>4.8</v>
      </c>
      <c r="D36" s="17">
        <f ca="1"/>
        <v>3.4</v>
      </c>
      <c r="E36" s="17">
        <f ca="1"/>
        <v>1.9</v>
      </c>
      <c r="F36" s="17">
        <f ca="1"/>
        <v>0.2</v>
      </c>
      <c r="G36" s="17" t="str">
        <f ca="1"/>
        <v>setosa</v>
      </c>
      <c r="H36" s="17">
        <f t="shared" ca="1" si="0"/>
        <v>0</v>
      </c>
      <c r="I36" s="21"/>
      <c r="J36" s="21"/>
      <c r="K36" s="21"/>
      <c r="L36" s="21"/>
    </row>
    <row r="37" spans="2:12" x14ac:dyDescent="0.3">
      <c r="B37" s="17" cm="1">
        <f t="array" aca="1" ref="B37:G61" ca="1">OFFSET(Iris_Data!A76,1,0,25,6)</f>
        <v>76</v>
      </c>
      <c r="C37" s="17">
        <f ca="1"/>
        <v>6.6</v>
      </c>
      <c r="D37" s="17">
        <f ca="1"/>
        <v>3</v>
      </c>
      <c r="E37" s="17">
        <f ca="1"/>
        <v>4.4000000000000004</v>
      </c>
      <c r="F37" s="17">
        <f ca="1"/>
        <v>1.4</v>
      </c>
      <c r="G37" s="17" t="str">
        <f ca="1"/>
        <v>versicolor</v>
      </c>
      <c r="H37" s="17">
        <f t="shared" ca="1" si="0"/>
        <v>1</v>
      </c>
      <c r="I37" s="21"/>
      <c r="J37" s="21"/>
      <c r="K37" s="21"/>
      <c r="L37" s="21"/>
    </row>
    <row r="38" spans="2:12" x14ac:dyDescent="0.3">
      <c r="B38" s="17">
        <f ca="1"/>
        <v>77</v>
      </c>
      <c r="C38" s="17">
        <f ca="1"/>
        <v>6.8</v>
      </c>
      <c r="D38" s="17">
        <f ca="1"/>
        <v>2.8</v>
      </c>
      <c r="E38" s="17">
        <f ca="1"/>
        <v>4.8</v>
      </c>
      <c r="F38" s="17">
        <f ca="1"/>
        <v>1.4</v>
      </c>
      <c r="G38" s="17" t="str">
        <f ca="1"/>
        <v>versicolor</v>
      </c>
      <c r="H38" s="17">
        <f t="shared" ca="1" si="0"/>
        <v>1</v>
      </c>
      <c r="I38" s="21"/>
      <c r="J38" s="21"/>
      <c r="K38" s="21"/>
      <c r="L38" s="21"/>
    </row>
    <row r="39" spans="2:12" x14ac:dyDescent="0.3">
      <c r="B39" s="17">
        <f ca="1"/>
        <v>78</v>
      </c>
      <c r="C39" s="17">
        <f ca="1"/>
        <v>6.7</v>
      </c>
      <c r="D39" s="17">
        <f ca="1"/>
        <v>3</v>
      </c>
      <c r="E39" s="17">
        <f ca="1"/>
        <v>5</v>
      </c>
      <c r="F39" s="17">
        <f ca="1"/>
        <v>1.7</v>
      </c>
      <c r="G39" s="17" t="str">
        <f ca="1"/>
        <v>versicolor</v>
      </c>
      <c r="H39" s="17">
        <f t="shared" ca="1" si="0"/>
        <v>1</v>
      </c>
      <c r="I39" s="21"/>
      <c r="J39" s="21"/>
      <c r="K39" s="21"/>
      <c r="L39" s="21"/>
    </row>
    <row r="40" spans="2:12" x14ac:dyDescent="0.3">
      <c r="B40" s="17">
        <f ca="1"/>
        <v>79</v>
      </c>
      <c r="C40" s="17">
        <f ca="1"/>
        <v>6</v>
      </c>
      <c r="D40" s="17">
        <f ca="1"/>
        <v>2.9</v>
      </c>
      <c r="E40" s="17">
        <f ca="1"/>
        <v>4.5</v>
      </c>
      <c r="F40" s="17">
        <f ca="1"/>
        <v>1.5</v>
      </c>
      <c r="G40" s="17" t="str">
        <f ca="1"/>
        <v>versicolor</v>
      </c>
      <c r="H40" s="17">
        <f t="shared" ca="1" si="0"/>
        <v>1</v>
      </c>
      <c r="I40" s="21"/>
      <c r="J40" s="21"/>
      <c r="K40" s="21"/>
      <c r="L40" s="21"/>
    </row>
    <row r="41" spans="2:12" x14ac:dyDescent="0.3">
      <c r="B41" s="17">
        <f ca="1"/>
        <v>80</v>
      </c>
      <c r="C41" s="17">
        <f ca="1"/>
        <v>5.7</v>
      </c>
      <c r="D41" s="17">
        <f ca="1"/>
        <v>2.6</v>
      </c>
      <c r="E41" s="17">
        <f ca="1"/>
        <v>3.5</v>
      </c>
      <c r="F41" s="17">
        <f ca="1"/>
        <v>1</v>
      </c>
      <c r="G41" s="17" t="str">
        <f ca="1"/>
        <v>versicolor</v>
      </c>
      <c r="H41" s="17">
        <f t="shared" ca="1" si="0"/>
        <v>1</v>
      </c>
      <c r="I41" s="21"/>
      <c r="J41" s="21"/>
      <c r="K41" s="21"/>
      <c r="L41" s="21"/>
    </row>
    <row r="42" spans="2:12" x14ac:dyDescent="0.3">
      <c r="B42" s="17">
        <f ca="1"/>
        <v>81</v>
      </c>
      <c r="C42" s="17">
        <f ca="1"/>
        <v>5.5</v>
      </c>
      <c r="D42" s="17">
        <f ca="1"/>
        <v>2.4</v>
      </c>
      <c r="E42" s="17">
        <f ca="1"/>
        <v>3.8</v>
      </c>
      <c r="F42" s="17">
        <f ca="1"/>
        <v>1.1000000000000001</v>
      </c>
      <c r="G42" s="17" t="str">
        <f ca="1"/>
        <v>versicolor</v>
      </c>
      <c r="H42" s="17">
        <f t="shared" ca="1" si="0"/>
        <v>1</v>
      </c>
      <c r="I42" s="21"/>
      <c r="J42" s="21"/>
      <c r="K42" s="21"/>
      <c r="L42" s="21"/>
    </row>
    <row r="43" spans="2:12" x14ac:dyDescent="0.3">
      <c r="B43" s="17">
        <f ca="1"/>
        <v>82</v>
      </c>
      <c r="C43" s="17">
        <f ca="1"/>
        <v>5.5</v>
      </c>
      <c r="D43" s="17">
        <f ca="1"/>
        <v>2.4</v>
      </c>
      <c r="E43" s="17">
        <f ca="1"/>
        <v>3.7</v>
      </c>
      <c r="F43" s="17">
        <f ca="1"/>
        <v>1</v>
      </c>
      <c r="G43" s="17" t="str">
        <f ca="1"/>
        <v>versicolor</v>
      </c>
      <c r="H43" s="17">
        <f t="shared" ca="1" si="0"/>
        <v>1</v>
      </c>
      <c r="I43" s="21"/>
      <c r="J43" s="21"/>
      <c r="K43" s="21"/>
      <c r="L43" s="21"/>
    </row>
    <row r="44" spans="2:12" x14ac:dyDescent="0.3">
      <c r="B44" s="17">
        <f ca="1"/>
        <v>83</v>
      </c>
      <c r="C44" s="17">
        <f ca="1"/>
        <v>5.8</v>
      </c>
      <c r="D44" s="17">
        <f ca="1"/>
        <v>2.7</v>
      </c>
      <c r="E44" s="17">
        <f ca="1"/>
        <v>3.9</v>
      </c>
      <c r="F44" s="17">
        <f ca="1"/>
        <v>1.2</v>
      </c>
      <c r="G44" s="17" t="str">
        <f ca="1"/>
        <v>versicolor</v>
      </c>
      <c r="H44" s="17">
        <f t="shared" ca="1" si="0"/>
        <v>1</v>
      </c>
      <c r="I44" s="21"/>
      <c r="J44" s="21"/>
      <c r="K44" s="21"/>
      <c r="L44" s="21"/>
    </row>
    <row r="45" spans="2:12" x14ac:dyDescent="0.3">
      <c r="B45" s="17">
        <f ca="1"/>
        <v>84</v>
      </c>
      <c r="C45" s="17">
        <f ca="1"/>
        <v>6</v>
      </c>
      <c r="D45" s="17">
        <f ca="1"/>
        <v>2.7</v>
      </c>
      <c r="E45" s="17">
        <f ca="1"/>
        <v>5.0999999999999996</v>
      </c>
      <c r="F45" s="17">
        <f ca="1"/>
        <v>1.6</v>
      </c>
      <c r="G45" s="17" t="str">
        <f ca="1"/>
        <v>versicolor</v>
      </c>
      <c r="H45" s="17">
        <f t="shared" ca="1" si="0"/>
        <v>1</v>
      </c>
      <c r="I45" s="21"/>
      <c r="J45" s="21"/>
      <c r="K45" s="21"/>
      <c r="L45" s="21"/>
    </row>
    <row r="46" spans="2:12" x14ac:dyDescent="0.3">
      <c r="B46" s="17">
        <f ca="1"/>
        <v>85</v>
      </c>
      <c r="C46" s="17">
        <f ca="1"/>
        <v>5.4</v>
      </c>
      <c r="D46" s="17">
        <f ca="1"/>
        <v>3</v>
      </c>
      <c r="E46" s="17">
        <f ca="1"/>
        <v>4.5</v>
      </c>
      <c r="F46" s="17">
        <f ca="1"/>
        <v>1.5</v>
      </c>
      <c r="G46" s="17" t="str">
        <f ca="1"/>
        <v>versicolor</v>
      </c>
      <c r="H46" s="17">
        <f t="shared" ca="1" si="0"/>
        <v>1</v>
      </c>
      <c r="I46" s="21"/>
      <c r="J46" s="21"/>
      <c r="K46" s="21"/>
      <c r="L46" s="21"/>
    </row>
    <row r="47" spans="2:12" x14ac:dyDescent="0.3">
      <c r="B47" s="17">
        <f ca="1"/>
        <v>86</v>
      </c>
      <c r="C47" s="17">
        <f ca="1"/>
        <v>6</v>
      </c>
      <c r="D47" s="17">
        <f ca="1"/>
        <v>3.4</v>
      </c>
      <c r="E47" s="17">
        <f ca="1"/>
        <v>4.5</v>
      </c>
      <c r="F47" s="17">
        <f ca="1"/>
        <v>1.6</v>
      </c>
      <c r="G47" s="17" t="str">
        <f ca="1"/>
        <v>versicolor</v>
      </c>
      <c r="H47" s="17">
        <f t="shared" ca="1" si="0"/>
        <v>1</v>
      </c>
      <c r="I47" s="21"/>
      <c r="J47" s="21"/>
      <c r="K47" s="21"/>
      <c r="L47" s="21"/>
    </row>
    <row r="48" spans="2:12" x14ac:dyDescent="0.3">
      <c r="B48" s="17">
        <f ca="1"/>
        <v>87</v>
      </c>
      <c r="C48" s="17">
        <f ca="1"/>
        <v>6.7</v>
      </c>
      <c r="D48" s="17">
        <f ca="1"/>
        <v>3.1</v>
      </c>
      <c r="E48" s="17">
        <f ca="1"/>
        <v>4.7</v>
      </c>
      <c r="F48" s="17">
        <f ca="1"/>
        <v>1.5</v>
      </c>
      <c r="G48" s="17" t="str">
        <f ca="1"/>
        <v>versicolor</v>
      </c>
      <c r="H48" s="17">
        <f t="shared" ca="1" si="0"/>
        <v>1</v>
      </c>
      <c r="I48" s="21"/>
      <c r="J48" s="21"/>
      <c r="K48" s="21"/>
      <c r="L48" s="21"/>
    </row>
    <row r="49" spans="2:12" x14ac:dyDescent="0.3">
      <c r="B49" s="17">
        <f ca="1"/>
        <v>88</v>
      </c>
      <c r="C49" s="17">
        <f ca="1"/>
        <v>6.3</v>
      </c>
      <c r="D49" s="17">
        <f ca="1"/>
        <v>2.2999999999999998</v>
      </c>
      <c r="E49" s="17">
        <f ca="1"/>
        <v>4.4000000000000004</v>
      </c>
      <c r="F49" s="17">
        <f ca="1"/>
        <v>1.3</v>
      </c>
      <c r="G49" s="17" t="str">
        <f ca="1"/>
        <v>versicolor</v>
      </c>
      <c r="H49" s="17">
        <f t="shared" ca="1" si="0"/>
        <v>1</v>
      </c>
      <c r="I49" s="21"/>
      <c r="J49" s="21"/>
      <c r="K49" s="21"/>
      <c r="L49" s="21"/>
    </row>
    <row r="50" spans="2:12" x14ac:dyDescent="0.3">
      <c r="B50" s="17">
        <f ca="1"/>
        <v>89</v>
      </c>
      <c r="C50" s="17">
        <f ca="1"/>
        <v>5.6</v>
      </c>
      <c r="D50" s="17">
        <f ca="1"/>
        <v>3</v>
      </c>
      <c r="E50" s="17">
        <f ca="1"/>
        <v>4.0999999999999996</v>
      </c>
      <c r="F50" s="17">
        <f ca="1"/>
        <v>1.3</v>
      </c>
      <c r="G50" s="17" t="str">
        <f ca="1"/>
        <v>versicolor</v>
      </c>
      <c r="H50" s="17">
        <f t="shared" ca="1" si="0"/>
        <v>1</v>
      </c>
      <c r="I50" s="21"/>
      <c r="J50" s="21"/>
      <c r="K50" s="21"/>
      <c r="L50" s="21"/>
    </row>
    <row r="51" spans="2:12" x14ac:dyDescent="0.3">
      <c r="B51" s="17">
        <f ca="1"/>
        <v>90</v>
      </c>
      <c r="C51" s="17">
        <f ca="1"/>
        <v>5.5</v>
      </c>
      <c r="D51" s="17">
        <f ca="1"/>
        <v>2.5</v>
      </c>
      <c r="E51" s="17">
        <f ca="1"/>
        <v>4</v>
      </c>
      <c r="F51" s="17">
        <f ca="1"/>
        <v>1.3</v>
      </c>
      <c r="G51" s="17" t="str">
        <f ca="1"/>
        <v>versicolor</v>
      </c>
      <c r="H51" s="17">
        <f t="shared" ca="1" si="0"/>
        <v>1</v>
      </c>
      <c r="I51" s="21"/>
      <c r="J51" s="21"/>
      <c r="K51" s="21"/>
      <c r="L51" s="21"/>
    </row>
    <row r="52" spans="2:12" x14ac:dyDescent="0.3">
      <c r="B52" s="17">
        <f ca="1"/>
        <v>91</v>
      </c>
      <c r="C52" s="17">
        <f ca="1"/>
        <v>5.5</v>
      </c>
      <c r="D52" s="17">
        <f ca="1"/>
        <v>2.6</v>
      </c>
      <c r="E52" s="17">
        <f ca="1"/>
        <v>4.4000000000000004</v>
      </c>
      <c r="F52" s="17">
        <f ca="1"/>
        <v>1.2</v>
      </c>
      <c r="G52" s="17" t="str">
        <f ca="1"/>
        <v>versicolor</v>
      </c>
      <c r="H52" s="17">
        <f t="shared" ca="1" si="0"/>
        <v>1</v>
      </c>
      <c r="I52" s="21"/>
      <c r="J52" s="21"/>
      <c r="K52" s="21"/>
      <c r="L52" s="21"/>
    </row>
    <row r="53" spans="2:12" x14ac:dyDescent="0.3">
      <c r="B53" s="17">
        <f ca="1"/>
        <v>92</v>
      </c>
      <c r="C53" s="17">
        <f ca="1"/>
        <v>6.1</v>
      </c>
      <c r="D53" s="17">
        <f ca="1"/>
        <v>3</v>
      </c>
      <c r="E53" s="17">
        <f ca="1"/>
        <v>4.5999999999999996</v>
      </c>
      <c r="F53" s="17">
        <f ca="1"/>
        <v>1.4</v>
      </c>
      <c r="G53" s="17" t="str">
        <f ca="1"/>
        <v>versicolor</v>
      </c>
      <c r="H53" s="17">
        <f t="shared" ca="1" si="0"/>
        <v>1</v>
      </c>
      <c r="I53" s="21"/>
      <c r="J53" s="21"/>
      <c r="K53" s="21"/>
      <c r="L53" s="21"/>
    </row>
    <row r="54" spans="2:12" x14ac:dyDescent="0.3">
      <c r="B54" s="17">
        <f ca="1"/>
        <v>93</v>
      </c>
      <c r="C54" s="17">
        <f ca="1"/>
        <v>5.8</v>
      </c>
      <c r="D54" s="17">
        <f ca="1"/>
        <v>2.6</v>
      </c>
      <c r="E54" s="17">
        <f ca="1"/>
        <v>4</v>
      </c>
      <c r="F54" s="17">
        <f ca="1"/>
        <v>1.2</v>
      </c>
      <c r="G54" s="17" t="str">
        <f ca="1"/>
        <v>versicolor</v>
      </c>
      <c r="H54" s="17">
        <f t="shared" ca="1" si="0"/>
        <v>1</v>
      </c>
      <c r="I54" s="21"/>
      <c r="J54" s="21"/>
      <c r="K54" s="21"/>
      <c r="L54" s="21"/>
    </row>
    <row r="55" spans="2:12" x14ac:dyDescent="0.3">
      <c r="B55" s="17">
        <f ca="1"/>
        <v>94</v>
      </c>
      <c r="C55" s="17">
        <f ca="1"/>
        <v>5</v>
      </c>
      <c r="D55" s="17">
        <f ca="1"/>
        <v>2.2999999999999998</v>
      </c>
      <c r="E55" s="17">
        <f ca="1"/>
        <v>3.3</v>
      </c>
      <c r="F55" s="17">
        <f ca="1"/>
        <v>1</v>
      </c>
      <c r="G55" s="17" t="str">
        <f ca="1"/>
        <v>versicolor</v>
      </c>
      <c r="H55" s="17">
        <f t="shared" ca="1" si="0"/>
        <v>1</v>
      </c>
      <c r="I55" s="21"/>
      <c r="J55" s="21"/>
      <c r="K55" s="21"/>
      <c r="L55" s="21"/>
    </row>
    <row r="56" spans="2:12" x14ac:dyDescent="0.3">
      <c r="B56" s="17">
        <f ca="1"/>
        <v>95</v>
      </c>
      <c r="C56" s="17">
        <f ca="1"/>
        <v>5.6</v>
      </c>
      <c r="D56" s="17">
        <f ca="1"/>
        <v>2.7</v>
      </c>
      <c r="E56" s="17">
        <f ca="1"/>
        <v>4.2</v>
      </c>
      <c r="F56" s="17">
        <f ca="1"/>
        <v>1.3</v>
      </c>
      <c r="G56" s="17" t="str">
        <f ca="1"/>
        <v>versicolor</v>
      </c>
      <c r="H56" s="17">
        <f t="shared" ca="1" si="0"/>
        <v>1</v>
      </c>
      <c r="I56" s="21"/>
      <c r="J56" s="21"/>
      <c r="K56" s="21"/>
      <c r="L56" s="21"/>
    </row>
    <row r="57" spans="2:12" x14ac:dyDescent="0.3">
      <c r="B57" s="17">
        <f ca="1"/>
        <v>96</v>
      </c>
      <c r="C57" s="17">
        <f ca="1"/>
        <v>5.7</v>
      </c>
      <c r="D57" s="17">
        <f ca="1"/>
        <v>3</v>
      </c>
      <c r="E57" s="17">
        <f ca="1"/>
        <v>4.2</v>
      </c>
      <c r="F57" s="17">
        <f ca="1"/>
        <v>1.2</v>
      </c>
      <c r="G57" s="17" t="str">
        <f ca="1"/>
        <v>versicolor</v>
      </c>
      <c r="H57" s="17">
        <f t="shared" ca="1" si="0"/>
        <v>1</v>
      </c>
      <c r="I57" s="21"/>
      <c r="J57" s="21"/>
      <c r="K57" s="21"/>
      <c r="L57" s="21"/>
    </row>
    <row r="58" spans="2:12" x14ac:dyDescent="0.3">
      <c r="B58" s="17">
        <f ca="1"/>
        <v>97</v>
      </c>
      <c r="C58" s="17">
        <f ca="1"/>
        <v>5.7</v>
      </c>
      <c r="D58" s="17">
        <f ca="1"/>
        <v>2.9</v>
      </c>
      <c r="E58" s="17">
        <f ca="1"/>
        <v>4.2</v>
      </c>
      <c r="F58" s="17">
        <f ca="1"/>
        <v>1.3</v>
      </c>
      <c r="G58" s="17" t="str">
        <f ca="1"/>
        <v>versicolor</v>
      </c>
      <c r="H58" s="17">
        <f t="shared" ca="1" si="0"/>
        <v>1</v>
      </c>
      <c r="I58" s="21"/>
      <c r="J58" s="21"/>
      <c r="K58" s="21"/>
      <c r="L58" s="21"/>
    </row>
    <row r="59" spans="2:12" x14ac:dyDescent="0.3">
      <c r="B59" s="17">
        <f ca="1"/>
        <v>98</v>
      </c>
      <c r="C59" s="17">
        <f ca="1"/>
        <v>6.2</v>
      </c>
      <c r="D59" s="17">
        <f ca="1"/>
        <v>2.9</v>
      </c>
      <c r="E59" s="17">
        <f ca="1"/>
        <v>4.3</v>
      </c>
      <c r="F59" s="17">
        <f ca="1"/>
        <v>1.3</v>
      </c>
      <c r="G59" s="17" t="str">
        <f ca="1"/>
        <v>versicolor</v>
      </c>
      <c r="H59" s="17">
        <f t="shared" ca="1" si="0"/>
        <v>1</v>
      </c>
      <c r="I59" s="21"/>
      <c r="J59" s="21"/>
      <c r="K59" s="21"/>
      <c r="L59" s="21"/>
    </row>
    <row r="60" spans="2:12" x14ac:dyDescent="0.3">
      <c r="B60" s="17">
        <f ca="1"/>
        <v>99</v>
      </c>
      <c r="C60" s="17">
        <f ca="1"/>
        <v>5.0999999999999996</v>
      </c>
      <c r="D60" s="17">
        <f ca="1"/>
        <v>2.5</v>
      </c>
      <c r="E60" s="17">
        <f ca="1"/>
        <v>3</v>
      </c>
      <c r="F60" s="17">
        <f ca="1"/>
        <v>1.1000000000000001</v>
      </c>
      <c r="G60" s="17" t="str">
        <f ca="1"/>
        <v>versicolor</v>
      </c>
      <c r="H60" s="17">
        <f t="shared" ca="1" si="0"/>
        <v>1</v>
      </c>
      <c r="I60" s="21"/>
      <c r="J60" s="21"/>
      <c r="K60" s="21"/>
      <c r="L60" s="21"/>
    </row>
    <row r="61" spans="2:12" x14ac:dyDescent="0.3">
      <c r="B61" s="17">
        <f ca="1"/>
        <v>100</v>
      </c>
      <c r="C61" s="17">
        <f ca="1"/>
        <v>5.7</v>
      </c>
      <c r="D61" s="17">
        <f ca="1"/>
        <v>2.8</v>
      </c>
      <c r="E61" s="17">
        <f ca="1"/>
        <v>4.0999999999999996</v>
      </c>
      <c r="F61" s="17">
        <f ca="1"/>
        <v>1.3</v>
      </c>
      <c r="G61" s="17" t="str">
        <f ca="1"/>
        <v>versicolor</v>
      </c>
      <c r="H61" s="17">
        <f t="shared" ca="1" si="0"/>
        <v>1</v>
      </c>
      <c r="I61" s="21"/>
      <c r="J61" s="21"/>
      <c r="K61" s="21"/>
      <c r="L61" s="2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7"/>
    <col min="7" max="7" width="15" style="17" bestFit="1" customWidth="1"/>
    <col min="8" max="8" width="10.83203125" style="17"/>
    <col min="9" max="10" width="23.5" style="17" bestFit="1" customWidth="1"/>
    <col min="11" max="11" width="11.83203125" style="17" bestFit="1" customWidth="1"/>
    <col min="12" max="12" width="15.33203125" style="17" bestFit="1" customWidth="1"/>
    <col min="13" max="16384" width="10.83203125" style="17"/>
  </cols>
  <sheetData>
    <row r="3" spans="2:12" s="16" customFormat="1" x14ac:dyDescent="0.3">
      <c r="H3" s="16" t="s">
        <v>60</v>
      </c>
      <c r="K3" s="17"/>
    </row>
    <row r="4" spans="2:12" x14ac:dyDescent="0.3">
      <c r="G4" s="17" t="s">
        <v>61</v>
      </c>
      <c r="H4" s="17" cm="1">
        <f t="array" ref="H4:H8">Iris_Fit!H4:H8</f>
        <v>0</v>
      </c>
    </row>
    <row r="5" spans="2:12" x14ac:dyDescent="0.3">
      <c r="G5" s="17" t="s">
        <v>47</v>
      </c>
      <c r="H5" s="17">
        <v>0</v>
      </c>
    </row>
    <row r="6" spans="2:12" x14ac:dyDescent="0.3">
      <c r="G6" s="17" t="s">
        <v>48</v>
      </c>
      <c r="H6" s="17">
        <v>0</v>
      </c>
    </row>
    <row r="7" spans="2:12" x14ac:dyDescent="0.3">
      <c r="G7" s="17" t="s">
        <v>62</v>
      </c>
      <c r="H7" s="17">
        <v>0</v>
      </c>
    </row>
    <row r="8" spans="2:12" x14ac:dyDescent="0.3">
      <c r="G8" s="17" t="s">
        <v>63</v>
      </c>
      <c r="H8" s="17">
        <v>1.5482559354478314</v>
      </c>
    </row>
    <row r="11" spans="2:12" s="16" customFormat="1" x14ac:dyDescent="0.3">
      <c r="B11" s="16" t="s">
        <v>49</v>
      </c>
      <c r="C11" s="16" t="s">
        <v>50</v>
      </c>
      <c r="D11" s="16" t="s">
        <v>18</v>
      </c>
      <c r="E11" s="16" t="s">
        <v>20</v>
      </c>
      <c r="F11" s="16" t="s">
        <v>64</v>
      </c>
      <c r="G11" s="16" t="s">
        <v>65</v>
      </c>
      <c r="H11" s="16" t="s">
        <v>19</v>
      </c>
      <c r="I11" s="16" t="s">
        <v>66</v>
      </c>
      <c r="J11" s="16" t="s">
        <v>67</v>
      </c>
      <c r="K11" s="16" t="s">
        <v>68</v>
      </c>
      <c r="L11" s="16" t="s">
        <v>17</v>
      </c>
    </row>
    <row r="12" spans="2:12" x14ac:dyDescent="0.3">
      <c r="B12" s="17" cm="1">
        <f t="array" aca="1" ref="B12:G61" ca="1">OFFSET(Iris_Data!A26,1,0,50,6)</f>
        <v>26</v>
      </c>
      <c r="C12" s="17">
        <f ca="1"/>
        <v>5</v>
      </c>
      <c r="D12" s="17">
        <f ca="1"/>
        <v>3</v>
      </c>
      <c r="E12" s="17">
        <f ca="1"/>
        <v>1.6</v>
      </c>
      <c r="F12" s="17">
        <f ca="1"/>
        <v>0.2</v>
      </c>
      <c r="G12" s="17" t="str">
        <f ca="1"/>
        <v>setosa</v>
      </c>
      <c r="H12" s="17">
        <f t="shared" ref="H12:H61" ca="1" si="0">(G12="versicolor")+0</f>
        <v>0</v>
      </c>
      <c r="I12" s="17">
        <f t="array" aca="1" ref="I12:I61" ca="1">H4+MMULT(C12:F61,H5:H8)</f>
        <v>0.30965118708956629</v>
      </c>
      <c r="J12" s="17">
        <f t="shared" ref="J12:J61" ca="1" si="1">1/(1+EXP(-I12))</f>
        <v>0.57680011757476135</v>
      </c>
      <c r="K12" s="17">
        <f t="shared" ref="K12:K61" ca="1" si="2">IF(H12,J12,1-J12)</f>
        <v>0.42319988242523865</v>
      </c>
      <c r="L12" s="17">
        <f t="shared" ref="L12:L61" ca="1" si="3">ROUND(K12,0)</f>
        <v>0</v>
      </c>
    </row>
    <row r="13" spans="2:12" x14ac:dyDescent="0.3">
      <c r="B13" s="17">
        <f ca="1"/>
        <v>27</v>
      </c>
      <c r="C13" s="17">
        <f ca="1"/>
        <v>5</v>
      </c>
      <c r="D13" s="17">
        <f ca="1"/>
        <v>3.4</v>
      </c>
      <c r="E13" s="17">
        <f ca="1"/>
        <v>1.6</v>
      </c>
      <c r="F13" s="17">
        <f ca="1"/>
        <v>0.4</v>
      </c>
      <c r="G13" s="17" t="str">
        <f ca="1"/>
        <v>setosa</v>
      </c>
      <c r="H13" s="17">
        <f t="shared" ca="1" si="0"/>
        <v>0</v>
      </c>
      <c r="I13" s="17">
        <f ca="1"/>
        <v>0.61930237417913259</v>
      </c>
      <c r="J13" s="17">
        <f t="shared" ca="1" si="1"/>
        <v>0.65005986784971603</v>
      </c>
      <c r="K13" s="17">
        <f t="shared" ca="1" si="2"/>
        <v>0.34994013215028397</v>
      </c>
      <c r="L13" s="17">
        <f t="shared" ca="1" si="3"/>
        <v>0</v>
      </c>
    </row>
    <row r="14" spans="2:12" x14ac:dyDescent="0.3">
      <c r="B14" s="17">
        <f ca="1"/>
        <v>28</v>
      </c>
      <c r="C14" s="17">
        <f ca="1"/>
        <v>5.2</v>
      </c>
      <c r="D14" s="17">
        <f ca="1"/>
        <v>3.5</v>
      </c>
      <c r="E14" s="17">
        <f ca="1"/>
        <v>1.5</v>
      </c>
      <c r="F14" s="17">
        <f ca="1"/>
        <v>0.2</v>
      </c>
      <c r="G14" s="17" t="str">
        <f ca="1"/>
        <v>setosa</v>
      </c>
      <c r="H14" s="17">
        <f t="shared" ca="1" si="0"/>
        <v>0</v>
      </c>
      <c r="I14" s="17">
        <f ca="1"/>
        <v>0.30965118708956629</v>
      </c>
      <c r="J14" s="17">
        <f t="shared" ca="1" si="1"/>
        <v>0.57680011757476135</v>
      </c>
      <c r="K14" s="17">
        <f t="shared" ca="1" si="2"/>
        <v>0.42319988242523865</v>
      </c>
      <c r="L14" s="17">
        <f t="shared" ca="1" si="3"/>
        <v>0</v>
      </c>
    </row>
    <row r="15" spans="2:12" x14ac:dyDescent="0.3">
      <c r="B15" s="17">
        <f ca="1"/>
        <v>29</v>
      </c>
      <c r="C15" s="17">
        <f ca="1"/>
        <v>5.2</v>
      </c>
      <c r="D15" s="17">
        <f ca="1"/>
        <v>3.4</v>
      </c>
      <c r="E15" s="17">
        <f ca="1"/>
        <v>1.4</v>
      </c>
      <c r="F15" s="17">
        <f ca="1"/>
        <v>0.2</v>
      </c>
      <c r="G15" s="17" t="str">
        <f ca="1"/>
        <v>setosa</v>
      </c>
      <c r="H15" s="17">
        <f t="shared" ca="1" si="0"/>
        <v>0</v>
      </c>
      <c r="I15" s="17">
        <f ca="1"/>
        <v>0.30965118708956629</v>
      </c>
      <c r="J15" s="17">
        <f t="shared" ca="1" si="1"/>
        <v>0.57680011757476135</v>
      </c>
      <c r="K15" s="17">
        <f t="shared" ca="1" si="2"/>
        <v>0.42319988242523865</v>
      </c>
      <c r="L15" s="17">
        <f t="shared" ca="1" si="3"/>
        <v>0</v>
      </c>
    </row>
    <row r="16" spans="2:12" x14ac:dyDescent="0.3">
      <c r="B16" s="17">
        <f ca="1"/>
        <v>30</v>
      </c>
      <c r="C16" s="17">
        <f ca="1"/>
        <v>4.7</v>
      </c>
      <c r="D16" s="17">
        <f ca="1"/>
        <v>3.2</v>
      </c>
      <c r="E16" s="17">
        <f ca="1"/>
        <v>1.6</v>
      </c>
      <c r="F16" s="17">
        <f ca="1"/>
        <v>0.2</v>
      </c>
      <c r="G16" s="17" t="str">
        <f ca="1"/>
        <v>setosa</v>
      </c>
      <c r="H16" s="17">
        <f t="shared" ca="1" si="0"/>
        <v>0</v>
      </c>
      <c r="I16" s="17">
        <f ca="1"/>
        <v>0.30965118708956629</v>
      </c>
      <c r="J16" s="17">
        <f t="shared" ca="1" si="1"/>
        <v>0.57680011757476135</v>
      </c>
      <c r="K16" s="17">
        <f t="shared" ca="1" si="2"/>
        <v>0.42319988242523865</v>
      </c>
      <c r="L16" s="17">
        <f t="shared" ca="1" si="3"/>
        <v>0</v>
      </c>
    </row>
    <row r="17" spans="2:12" x14ac:dyDescent="0.3">
      <c r="B17" s="17">
        <f ca="1"/>
        <v>31</v>
      </c>
      <c r="C17" s="17">
        <f ca="1"/>
        <v>4.8</v>
      </c>
      <c r="D17" s="17">
        <f ca="1"/>
        <v>3.1</v>
      </c>
      <c r="E17" s="17">
        <f ca="1"/>
        <v>1.6</v>
      </c>
      <c r="F17" s="17">
        <f ca="1"/>
        <v>0.2</v>
      </c>
      <c r="G17" s="17" t="str">
        <f ca="1"/>
        <v>setosa</v>
      </c>
      <c r="H17" s="17">
        <f t="shared" ca="1" si="0"/>
        <v>0</v>
      </c>
      <c r="I17" s="17">
        <f ca="1"/>
        <v>0.30965118708956629</v>
      </c>
      <c r="J17" s="17">
        <f t="shared" ca="1" si="1"/>
        <v>0.57680011757476135</v>
      </c>
      <c r="K17" s="17">
        <f t="shared" ca="1" si="2"/>
        <v>0.42319988242523865</v>
      </c>
      <c r="L17" s="17">
        <f t="shared" ca="1" si="3"/>
        <v>0</v>
      </c>
    </row>
    <row r="18" spans="2:12" x14ac:dyDescent="0.3">
      <c r="B18" s="17">
        <f ca="1"/>
        <v>32</v>
      </c>
      <c r="C18" s="17">
        <f ca="1"/>
        <v>5.4</v>
      </c>
      <c r="D18" s="17">
        <f ca="1"/>
        <v>3.4</v>
      </c>
      <c r="E18" s="17">
        <f ca="1"/>
        <v>1.5</v>
      </c>
      <c r="F18" s="17">
        <f ca="1"/>
        <v>0.4</v>
      </c>
      <c r="G18" s="17" t="str">
        <f ca="1"/>
        <v>setosa</v>
      </c>
      <c r="H18" s="17">
        <f t="shared" ca="1" si="0"/>
        <v>0</v>
      </c>
      <c r="I18" s="17">
        <f ca="1"/>
        <v>0.61930237417913259</v>
      </c>
      <c r="J18" s="17">
        <f t="shared" ca="1" si="1"/>
        <v>0.65005986784971603</v>
      </c>
      <c r="K18" s="17">
        <f t="shared" ca="1" si="2"/>
        <v>0.34994013215028397</v>
      </c>
      <c r="L18" s="17">
        <f t="shared" ca="1" si="3"/>
        <v>0</v>
      </c>
    </row>
    <row r="19" spans="2:12" x14ac:dyDescent="0.3">
      <c r="B19" s="17">
        <f ca="1"/>
        <v>33</v>
      </c>
      <c r="C19" s="17">
        <f ca="1"/>
        <v>5.2</v>
      </c>
      <c r="D19" s="17">
        <f ca="1"/>
        <v>4.0999999999999996</v>
      </c>
      <c r="E19" s="17">
        <f ca="1"/>
        <v>1.5</v>
      </c>
      <c r="F19" s="17">
        <f ca="1"/>
        <v>0.1</v>
      </c>
      <c r="G19" s="17" t="str">
        <f ca="1"/>
        <v>setosa</v>
      </c>
      <c r="H19" s="17">
        <f t="shared" ca="1" si="0"/>
        <v>0</v>
      </c>
      <c r="I19" s="17">
        <f ca="1"/>
        <v>0.15482559354478315</v>
      </c>
      <c r="J19" s="17">
        <f t="shared" ca="1" si="1"/>
        <v>0.53862926413761969</v>
      </c>
      <c r="K19" s="17">
        <f t="shared" ca="1" si="2"/>
        <v>0.46137073586238031</v>
      </c>
      <c r="L19" s="17">
        <f t="shared" ca="1" si="3"/>
        <v>0</v>
      </c>
    </row>
    <row r="20" spans="2:12" x14ac:dyDescent="0.3">
      <c r="B20" s="17">
        <f ca="1"/>
        <v>34</v>
      </c>
      <c r="C20" s="17">
        <f ca="1"/>
        <v>5.5</v>
      </c>
      <c r="D20" s="17">
        <f ca="1"/>
        <v>4.2</v>
      </c>
      <c r="E20" s="17">
        <f ca="1"/>
        <v>1.4</v>
      </c>
      <c r="F20" s="17">
        <f ca="1"/>
        <v>0.2</v>
      </c>
      <c r="G20" s="17" t="str">
        <f ca="1"/>
        <v>setosa</v>
      </c>
      <c r="H20" s="17">
        <f t="shared" ca="1" si="0"/>
        <v>0</v>
      </c>
      <c r="I20" s="17">
        <f ca="1"/>
        <v>0.30965118708956629</v>
      </c>
      <c r="J20" s="17">
        <f t="shared" ca="1" si="1"/>
        <v>0.57680011757476135</v>
      </c>
      <c r="K20" s="17">
        <f t="shared" ca="1" si="2"/>
        <v>0.42319988242523865</v>
      </c>
      <c r="L20" s="17">
        <f t="shared" ca="1" si="3"/>
        <v>0</v>
      </c>
    </row>
    <row r="21" spans="2:12" x14ac:dyDescent="0.3">
      <c r="B21" s="17">
        <f ca="1"/>
        <v>35</v>
      </c>
      <c r="C21" s="17">
        <f ca="1"/>
        <v>4.9000000000000004</v>
      </c>
      <c r="D21" s="17">
        <f ca="1"/>
        <v>3.1</v>
      </c>
      <c r="E21" s="17">
        <f ca="1"/>
        <v>1.5</v>
      </c>
      <c r="F21" s="17">
        <f ca="1"/>
        <v>0.2</v>
      </c>
      <c r="G21" s="17" t="str">
        <f ca="1"/>
        <v>setosa</v>
      </c>
      <c r="H21" s="17">
        <f t="shared" ca="1" si="0"/>
        <v>0</v>
      </c>
      <c r="I21" s="17">
        <f ca="1"/>
        <v>0.30965118708956629</v>
      </c>
      <c r="J21" s="17">
        <f t="shared" ca="1" si="1"/>
        <v>0.57680011757476135</v>
      </c>
      <c r="K21" s="17">
        <f t="shared" ca="1" si="2"/>
        <v>0.42319988242523865</v>
      </c>
      <c r="L21" s="17">
        <f t="shared" ca="1" si="3"/>
        <v>0</v>
      </c>
    </row>
    <row r="22" spans="2:12" x14ac:dyDescent="0.3">
      <c r="B22" s="17">
        <f ca="1"/>
        <v>36</v>
      </c>
      <c r="C22" s="17">
        <f ca="1"/>
        <v>5</v>
      </c>
      <c r="D22" s="17">
        <f ca="1"/>
        <v>3.2</v>
      </c>
      <c r="E22" s="17">
        <f ca="1"/>
        <v>1.2</v>
      </c>
      <c r="F22" s="17">
        <f ca="1"/>
        <v>0.2</v>
      </c>
      <c r="G22" s="17" t="str">
        <f ca="1"/>
        <v>setosa</v>
      </c>
      <c r="H22" s="17">
        <f t="shared" ca="1" si="0"/>
        <v>0</v>
      </c>
      <c r="I22" s="17">
        <f ca="1"/>
        <v>0.30965118708956629</v>
      </c>
      <c r="J22" s="17">
        <f t="shared" ca="1" si="1"/>
        <v>0.57680011757476135</v>
      </c>
      <c r="K22" s="17">
        <f t="shared" ca="1" si="2"/>
        <v>0.42319988242523865</v>
      </c>
      <c r="L22" s="17">
        <f t="shared" ca="1" si="3"/>
        <v>0</v>
      </c>
    </row>
    <row r="23" spans="2:12" x14ac:dyDescent="0.3">
      <c r="B23" s="17">
        <f ca="1"/>
        <v>37</v>
      </c>
      <c r="C23" s="17">
        <f ca="1"/>
        <v>5.5</v>
      </c>
      <c r="D23" s="17">
        <f ca="1"/>
        <v>3.5</v>
      </c>
      <c r="E23" s="17">
        <f ca="1"/>
        <v>1.3</v>
      </c>
      <c r="F23" s="17">
        <f ca="1"/>
        <v>0.2</v>
      </c>
      <c r="G23" s="17" t="str">
        <f ca="1"/>
        <v>setosa</v>
      </c>
      <c r="H23" s="17">
        <f t="shared" ca="1" si="0"/>
        <v>0</v>
      </c>
      <c r="I23" s="17">
        <f ca="1"/>
        <v>0.30965118708956629</v>
      </c>
      <c r="J23" s="17">
        <f t="shared" ca="1" si="1"/>
        <v>0.57680011757476135</v>
      </c>
      <c r="K23" s="17">
        <f t="shared" ca="1" si="2"/>
        <v>0.42319988242523865</v>
      </c>
      <c r="L23" s="17">
        <f t="shared" ca="1" si="3"/>
        <v>0</v>
      </c>
    </row>
    <row r="24" spans="2:12" x14ac:dyDescent="0.3">
      <c r="B24" s="17">
        <f ca="1"/>
        <v>38</v>
      </c>
      <c r="C24" s="17">
        <f ca="1"/>
        <v>4.9000000000000004</v>
      </c>
      <c r="D24" s="17">
        <f ca="1"/>
        <v>3.6</v>
      </c>
      <c r="E24" s="17">
        <f ca="1"/>
        <v>1.4</v>
      </c>
      <c r="F24" s="17">
        <f ca="1"/>
        <v>0.1</v>
      </c>
      <c r="G24" s="17" t="str">
        <f ca="1"/>
        <v>setosa</v>
      </c>
      <c r="H24" s="17">
        <f t="shared" ca="1" si="0"/>
        <v>0</v>
      </c>
      <c r="I24" s="17">
        <f ca="1"/>
        <v>0.15482559354478315</v>
      </c>
      <c r="J24" s="17">
        <f t="shared" ca="1" si="1"/>
        <v>0.53862926413761969</v>
      </c>
      <c r="K24" s="17">
        <f t="shared" ca="1" si="2"/>
        <v>0.46137073586238031</v>
      </c>
      <c r="L24" s="17">
        <f t="shared" ca="1" si="3"/>
        <v>0</v>
      </c>
    </row>
    <row r="25" spans="2:12" x14ac:dyDescent="0.3">
      <c r="B25" s="17">
        <f ca="1"/>
        <v>39</v>
      </c>
      <c r="C25" s="17">
        <f ca="1"/>
        <v>4.4000000000000004</v>
      </c>
      <c r="D25" s="17">
        <f ca="1"/>
        <v>3</v>
      </c>
      <c r="E25" s="17">
        <f ca="1"/>
        <v>1.3</v>
      </c>
      <c r="F25" s="17">
        <f ca="1"/>
        <v>0.2</v>
      </c>
      <c r="G25" s="17" t="str">
        <f ca="1"/>
        <v>setosa</v>
      </c>
      <c r="H25" s="17">
        <f t="shared" ca="1" si="0"/>
        <v>0</v>
      </c>
      <c r="I25" s="17">
        <f ca="1"/>
        <v>0.30965118708956629</v>
      </c>
      <c r="J25" s="17">
        <f t="shared" ca="1" si="1"/>
        <v>0.57680011757476135</v>
      </c>
      <c r="K25" s="17">
        <f t="shared" ca="1" si="2"/>
        <v>0.42319988242523865</v>
      </c>
      <c r="L25" s="17">
        <f t="shared" ca="1" si="3"/>
        <v>0</v>
      </c>
    </row>
    <row r="26" spans="2:12" x14ac:dyDescent="0.3">
      <c r="B26" s="17">
        <f ca="1"/>
        <v>40</v>
      </c>
      <c r="C26" s="17">
        <f ca="1"/>
        <v>5.0999999999999996</v>
      </c>
      <c r="D26" s="17">
        <f ca="1"/>
        <v>3.4</v>
      </c>
      <c r="E26" s="17">
        <f ca="1"/>
        <v>1.5</v>
      </c>
      <c r="F26" s="17">
        <f ca="1"/>
        <v>0.2</v>
      </c>
      <c r="G26" s="17" t="str">
        <f ca="1"/>
        <v>setosa</v>
      </c>
      <c r="H26" s="17">
        <f t="shared" ca="1" si="0"/>
        <v>0</v>
      </c>
      <c r="I26" s="17">
        <f ca="1"/>
        <v>0.30965118708956629</v>
      </c>
      <c r="J26" s="17">
        <f t="shared" ca="1" si="1"/>
        <v>0.57680011757476135</v>
      </c>
      <c r="K26" s="17">
        <f t="shared" ca="1" si="2"/>
        <v>0.42319988242523865</v>
      </c>
      <c r="L26" s="17">
        <f t="shared" ca="1" si="3"/>
        <v>0</v>
      </c>
    </row>
    <row r="27" spans="2:12" x14ac:dyDescent="0.3">
      <c r="B27" s="17">
        <f ca="1"/>
        <v>41</v>
      </c>
      <c r="C27" s="17">
        <f ca="1"/>
        <v>5</v>
      </c>
      <c r="D27" s="17">
        <f ca="1"/>
        <v>3.5</v>
      </c>
      <c r="E27" s="17">
        <f ca="1"/>
        <v>1.3</v>
      </c>
      <c r="F27" s="17">
        <f ca="1"/>
        <v>0.3</v>
      </c>
      <c r="G27" s="17" t="str">
        <f ca="1"/>
        <v>setosa</v>
      </c>
      <c r="H27" s="17">
        <f t="shared" ca="1" si="0"/>
        <v>0</v>
      </c>
      <c r="I27" s="17">
        <f ca="1"/>
        <v>0.46447678063434938</v>
      </c>
      <c r="J27" s="17">
        <f t="shared" ca="1" si="1"/>
        <v>0.61407565412572618</v>
      </c>
      <c r="K27" s="17">
        <f t="shared" ca="1" si="2"/>
        <v>0.38592434587427382</v>
      </c>
      <c r="L27" s="17">
        <f t="shared" ca="1" si="3"/>
        <v>0</v>
      </c>
    </row>
    <row r="28" spans="2:12" x14ac:dyDescent="0.3">
      <c r="B28" s="17">
        <f ca="1"/>
        <v>42</v>
      </c>
      <c r="C28" s="17">
        <f ca="1"/>
        <v>4.5</v>
      </c>
      <c r="D28" s="17">
        <f ca="1"/>
        <v>2.2999999999999998</v>
      </c>
      <c r="E28" s="17">
        <f ca="1"/>
        <v>1.3</v>
      </c>
      <c r="F28" s="17">
        <f ca="1"/>
        <v>0.3</v>
      </c>
      <c r="G28" s="17" t="str">
        <f ca="1"/>
        <v>setosa</v>
      </c>
      <c r="H28" s="17">
        <f t="shared" ca="1" si="0"/>
        <v>0</v>
      </c>
      <c r="I28" s="17">
        <f ca="1"/>
        <v>0.46447678063434938</v>
      </c>
      <c r="J28" s="17">
        <f t="shared" ca="1" si="1"/>
        <v>0.61407565412572618</v>
      </c>
      <c r="K28" s="17">
        <f t="shared" ca="1" si="2"/>
        <v>0.38592434587427382</v>
      </c>
      <c r="L28" s="17">
        <f t="shared" ca="1" si="3"/>
        <v>0</v>
      </c>
    </row>
    <row r="29" spans="2:12" x14ac:dyDescent="0.3">
      <c r="B29" s="17">
        <f ca="1"/>
        <v>43</v>
      </c>
      <c r="C29" s="17">
        <f ca="1"/>
        <v>4.4000000000000004</v>
      </c>
      <c r="D29" s="17">
        <f ca="1"/>
        <v>3.2</v>
      </c>
      <c r="E29" s="17">
        <f ca="1"/>
        <v>1.3</v>
      </c>
      <c r="F29" s="17">
        <f ca="1"/>
        <v>0.2</v>
      </c>
      <c r="G29" s="17" t="str">
        <f ca="1"/>
        <v>setosa</v>
      </c>
      <c r="H29" s="17">
        <f t="shared" ca="1" si="0"/>
        <v>0</v>
      </c>
      <c r="I29" s="17">
        <f ca="1"/>
        <v>0.30965118708956629</v>
      </c>
      <c r="J29" s="17">
        <f t="shared" ca="1" si="1"/>
        <v>0.57680011757476135</v>
      </c>
      <c r="K29" s="17">
        <f t="shared" ca="1" si="2"/>
        <v>0.42319988242523865</v>
      </c>
      <c r="L29" s="17">
        <f t="shared" ca="1" si="3"/>
        <v>0</v>
      </c>
    </row>
    <row r="30" spans="2:12" x14ac:dyDescent="0.3">
      <c r="B30" s="17">
        <f ca="1"/>
        <v>44</v>
      </c>
      <c r="C30" s="17">
        <f ca="1"/>
        <v>5</v>
      </c>
      <c r="D30" s="17">
        <f ca="1"/>
        <v>3.5</v>
      </c>
      <c r="E30" s="17">
        <f ca="1"/>
        <v>1.6</v>
      </c>
      <c r="F30" s="17">
        <f ca="1"/>
        <v>0.6</v>
      </c>
      <c r="G30" s="17" t="str">
        <f ca="1"/>
        <v>setosa</v>
      </c>
      <c r="H30" s="17">
        <f t="shared" ca="1" si="0"/>
        <v>0</v>
      </c>
      <c r="I30" s="17">
        <f ca="1"/>
        <v>0.92895356126869877</v>
      </c>
      <c r="J30" s="17">
        <f t="shared" ca="1" si="1"/>
        <v>0.71686293754400465</v>
      </c>
      <c r="K30" s="17">
        <f t="shared" ca="1" si="2"/>
        <v>0.28313706245599535</v>
      </c>
      <c r="L30" s="17">
        <f t="shared" ca="1" si="3"/>
        <v>0</v>
      </c>
    </row>
    <row r="31" spans="2:12" x14ac:dyDescent="0.3">
      <c r="B31" s="17">
        <f ca="1"/>
        <v>45</v>
      </c>
      <c r="C31" s="17">
        <f ca="1"/>
        <v>5.0999999999999996</v>
      </c>
      <c r="D31" s="17">
        <f ca="1"/>
        <v>3.8</v>
      </c>
      <c r="E31" s="17">
        <f ca="1"/>
        <v>1.9</v>
      </c>
      <c r="F31" s="17">
        <f ca="1"/>
        <v>0.4</v>
      </c>
      <c r="G31" s="17" t="str">
        <f ca="1"/>
        <v>setosa</v>
      </c>
      <c r="H31" s="17">
        <f t="shared" ca="1" si="0"/>
        <v>0</v>
      </c>
      <c r="I31" s="17">
        <f ca="1"/>
        <v>0.61930237417913259</v>
      </c>
      <c r="J31" s="17">
        <f t="shared" ca="1" si="1"/>
        <v>0.65005986784971603</v>
      </c>
      <c r="K31" s="17">
        <f t="shared" ca="1" si="2"/>
        <v>0.34994013215028397</v>
      </c>
      <c r="L31" s="17">
        <f t="shared" ca="1" si="3"/>
        <v>0</v>
      </c>
    </row>
    <row r="32" spans="2:12" x14ac:dyDescent="0.3">
      <c r="B32" s="17">
        <f ca="1"/>
        <v>46</v>
      </c>
      <c r="C32" s="17">
        <f ca="1"/>
        <v>4.8</v>
      </c>
      <c r="D32" s="17">
        <f ca="1"/>
        <v>3</v>
      </c>
      <c r="E32" s="17">
        <f ca="1"/>
        <v>1.4</v>
      </c>
      <c r="F32" s="17">
        <f ca="1"/>
        <v>0.3</v>
      </c>
      <c r="G32" s="17" t="str">
        <f ca="1"/>
        <v>setosa</v>
      </c>
      <c r="H32" s="17">
        <f t="shared" ca="1" si="0"/>
        <v>0</v>
      </c>
      <c r="I32" s="17">
        <f ca="1"/>
        <v>0.46447678063434938</v>
      </c>
      <c r="J32" s="17">
        <f t="shared" ca="1" si="1"/>
        <v>0.61407565412572618</v>
      </c>
      <c r="K32" s="17">
        <f t="shared" ca="1" si="2"/>
        <v>0.38592434587427382</v>
      </c>
      <c r="L32" s="17">
        <f t="shared" ca="1" si="3"/>
        <v>0</v>
      </c>
    </row>
    <row r="33" spans="2:12" x14ac:dyDescent="0.3">
      <c r="B33" s="17">
        <f ca="1"/>
        <v>47</v>
      </c>
      <c r="C33" s="17">
        <f ca="1"/>
        <v>5.0999999999999996</v>
      </c>
      <c r="D33" s="17">
        <f ca="1"/>
        <v>3.8</v>
      </c>
      <c r="E33" s="17">
        <f ca="1"/>
        <v>1.6</v>
      </c>
      <c r="F33" s="17">
        <f ca="1"/>
        <v>0.2</v>
      </c>
      <c r="G33" s="17" t="str">
        <f ca="1"/>
        <v>setosa</v>
      </c>
      <c r="H33" s="17">
        <f t="shared" ca="1" si="0"/>
        <v>0</v>
      </c>
      <c r="I33" s="17">
        <f ca="1"/>
        <v>0.30965118708956629</v>
      </c>
      <c r="J33" s="17">
        <f t="shared" ca="1" si="1"/>
        <v>0.57680011757476135</v>
      </c>
      <c r="K33" s="17">
        <f t="shared" ca="1" si="2"/>
        <v>0.42319988242523865</v>
      </c>
      <c r="L33" s="17">
        <f t="shared" ca="1" si="3"/>
        <v>0</v>
      </c>
    </row>
    <row r="34" spans="2:12" x14ac:dyDescent="0.3">
      <c r="B34" s="17">
        <f ca="1"/>
        <v>48</v>
      </c>
      <c r="C34" s="17">
        <f ca="1"/>
        <v>4.5999999999999996</v>
      </c>
      <c r="D34" s="17">
        <f ca="1"/>
        <v>3.2</v>
      </c>
      <c r="E34" s="17">
        <f ca="1"/>
        <v>1.4</v>
      </c>
      <c r="F34" s="17">
        <f ca="1"/>
        <v>0.2</v>
      </c>
      <c r="G34" s="17" t="str">
        <f ca="1"/>
        <v>setosa</v>
      </c>
      <c r="H34" s="17">
        <f t="shared" ca="1" si="0"/>
        <v>0</v>
      </c>
      <c r="I34" s="17">
        <f ca="1"/>
        <v>0.30965118708956629</v>
      </c>
      <c r="J34" s="17">
        <f t="shared" ca="1" si="1"/>
        <v>0.57680011757476135</v>
      </c>
      <c r="K34" s="17">
        <f t="shared" ca="1" si="2"/>
        <v>0.42319988242523865</v>
      </c>
      <c r="L34" s="17">
        <f t="shared" ca="1" si="3"/>
        <v>0</v>
      </c>
    </row>
    <row r="35" spans="2:12" x14ac:dyDescent="0.3">
      <c r="B35" s="17">
        <f ca="1"/>
        <v>49</v>
      </c>
      <c r="C35" s="17">
        <f ca="1"/>
        <v>5.3</v>
      </c>
      <c r="D35" s="17">
        <f ca="1"/>
        <v>3.7</v>
      </c>
      <c r="E35" s="17">
        <f ca="1"/>
        <v>1.5</v>
      </c>
      <c r="F35" s="17">
        <f ca="1"/>
        <v>0.2</v>
      </c>
      <c r="G35" s="17" t="str">
        <f ca="1"/>
        <v>setosa</v>
      </c>
      <c r="H35" s="17">
        <f t="shared" ca="1" si="0"/>
        <v>0</v>
      </c>
      <c r="I35" s="17">
        <f ca="1"/>
        <v>0.30965118708956629</v>
      </c>
      <c r="J35" s="17">
        <f t="shared" ca="1" si="1"/>
        <v>0.57680011757476135</v>
      </c>
      <c r="K35" s="17">
        <f t="shared" ca="1" si="2"/>
        <v>0.42319988242523865</v>
      </c>
      <c r="L35" s="17">
        <f t="shared" ca="1" si="3"/>
        <v>0</v>
      </c>
    </row>
    <row r="36" spans="2:12" x14ac:dyDescent="0.3">
      <c r="B36" s="17">
        <f ca="1"/>
        <v>50</v>
      </c>
      <c r="C36" s="17">
        <f ca="1"/>
        <v>5</v>
      </c>
      <c r="D36" s="17">
        <f ca="1"/>
        <v>3.3</v>
      </c>
      <c r="E36" s="17">
        <f ca="1"/>
        <v>1.4</v>
      </c>
      <c r="F36" s="17">
        <f ca="1"/>
        <v>0.2</v>
      </c>
      <c r="G36" s="17" t="str">
        <f ca="1"/>
        <v>setosa</v>
      </c>
      <c r="H36" s="17">
        <f t="shared" ca="1" si="0"/>
        <v>0</v>
      </c>
      <c r="I36" s="17">
        <f ca="1"/>
        <v>0.30965118708956629</v>
      </c>
      <c r="J36" s="17">
        <f t="shared" ca="1" si="1"/>
        <v>0.57680011757476135</v>
      </c>
      <c r="K36" s="17">
        <f t="shared" ca="1" si="2"/>
        <v>0.42319988242523865</v>
      </c>
      <c r="L36" s="17">
        <f t="shared" ca="1" si="3"/>
        <v>0</v>
      </c>
    </row>
    <row r="37" spans="2:12" x14ac:dyDescent="0.3">
      <c r="B37" s="17">
        <f ca="1"/>
        <v>51</v>
      </c>
      <c r="C37" s="17">
        <f ca="1"/>
        <v>7</v>
      </c>
      <c r="D37" s="17">
        <f ca="1"/>
        <v>3.2</v>
      </c>
      <c r="E37" s="17">
        <f ca="1"/>
        <v>4.7</v>
      </c>
      <c r="F37" s="17">
        <f ca="1"/>
        <v>1.4</v>
      </c>
      <c r="G37" s="17" t="str">
        <f ca="1"/>
        <v>versicolor</v>
      </c>
      <c r="H37" s="17">
        <f t="shared" ca="1" si="0"/>
        <v>1</v>
      </c>
      <c r="I37" s="17">
        <f ca="1"/>
        <v>2.1675583096269637</v>
      </c>
      <c r="J37" s="17">
        <f t="shared" ca="1" si="1"/>
        <v>0.89729817280539836</v>
      </c>
      <c r="K37" s="17">
        <f t="shared" ca="1" si="2"/>
        <v>0.89729817280539836</v>
      </c>
      <c r="L37" s="17">
        <f t="shared" ca="1" si="3"/>
        <v>1</v>
      </c>
    </row>
    <row r="38" spans="2:12" x14ac:dyDescent="0.3">
      <c r="B38" s="17">
        <f ca="1"/>
        <v>52</v>
      </c>
      <c r="C38" s="17">
        <f ca="1"/>
        <v>6.4</v>
      </c>
      <c r="D38" s="17">
        <f ca="1"/>
        <v>3.2</v>
      </c>
      <c r="E38" s="17">
        <f ca="1"/>
        <v>4.5</v>
      </c>
      <c r="F38" s="17">
        <f ca="1"/>
        <v>1.5</v>
      </c>
      <c r="G38" s="17" t="str">
        <f ca="1"/>
        <v>versicolor</v>
      </c>
      <c r="H38" s="17">
        <f t="shared" ca="1" si="0"/>
        <v>1</v>
      </c>
      <c r="I38" s="17">
        <f ca="1"/>
        <v>2.322383903171747</v>
      </c>
      <c r="J38" s="17">
        <f t="shared" ca="1" si="1"/>
        <v>0.91071397532948406</v>
      </c>
      <c r="K38" s="17">
        <f t="shared" ca="1" si="2"/>
        <v>0.91071397532948406</v>
      </c>
      <c r="L38" s="17">
        <f t="shared" ca="1" si="3"/>
        <v>1</v>
      </c>
    </row>
    <row r="39" spans="2:12" x14ac:dyDescent="0.3">
      <c r="B39" s="17">
        <f ca="1"/>
        <v>53</v>
      </c>
      <c r="C39" s="17">
        <f ca="1"/>
        <v>6.9</v>
      </c>
      <c r="D39" s="17">
        <f ca="1"/>
        <v>3.1</v>
      </c>
      <c r="E39" s="17">
        <f ca="1"/>
        <v>4.9000000000000004</v>
      </c>
      <c r="F39" s="17">
        <f ca="1"/>
        <v>1.5</v>
      </c>
      <c r="G39" s="17" t="str">
        <f ca="1"/>
        <v>versicolor</v>
      </c>
      <c r="H39" s="17">
        <f t="shared" ca="1" si="0"/>
        <v>1</v>
      </c>
      <c r="I39" s="17">
        <f ca="1"/>
        <v>2.322383903171747</v>
      </c>
      <c r="J39" s="17">
        <f t="shared" ca="1" si="1"/>
        <v>0.91071397532948406</v>
      </c>
      <c r="K39" s="17">
        <f t="shared" ca="1" si="2"/>
        <v>0.91071397532948406</v>
      </c>
      <c r="L39" s="17">
        <f t="shared" ca="1" si="3"/>
        <v>1</v>
      </c>
    </row>
    <row r="40" spans="2:12" x14ac:dyDescent="0.3">
      <c r="B40" s="17">
        <f ca="1"/>
        <v>54</v>
      </c>
      <c r="C40" s="17">
        <f ca="1"/>
        <v>5.5</v>
      </c>
      <c r="D40" s="17">
        <f ca="1"/>
        <v>2.2999999999999998</v>
      </c>
      <c r="E40" s="17">
        <f ca="1"/>
        <v>4</v>
      </c>
      <c r="F40" s="17">
        <f ca="1"/>
        <v>1.3</v>
      </c>
      <c r="G40" s="17" t="str">
        <f ca="1"/>
        <v>versicolor</v>
      </c>
      <c r="H40" s="17">
        <f t="shared" ca="1" si="0"/>
        <v>1</v>
      </c>
      <c r="I40" s="17">
        <f ca="1"/>
        <v>2.0127327160821809</v>
      </c>
      <c r="J40" s="17">
        <f t="shared" ca="1" si="1"/>
        <v>0.88212746303776468</v>
      </c>
      <c r="K40" s="17">
        <f t="shared" ca="1" si="2"/>
        <v>0.88212746303776468</v>
      </c>
      <c r="L40" s="17">
        <f t="shared" ca="1" si="3"/>
        <v>1</v>
      </c>
    </row>
    <row r="41" spans="2:12" x14ac:dyDescent="0.3">
      <c r="B41" s="17">
        <f ca="1"/>
        <v>55</v>
      </c>
      <c r="C41" s="17">
        <f ca="1"/>
        <v>6.5</v>
      </c>
      <c r="D41" s="17">
        <f ca="1"/>
        <v>2.8</v>
      </c>
      <c r="E41" s="17">
        <f ca="1"/>
        <v>4.5999999999999996</v>
      </c>
      <c r="F41" s="17">
        <f ca="1"/>
        <v>1.5</v>
      </c>
      <c r="G41" s="17" t="str">
        <f ca="1"/>
        <v>versicolor</v>
      </c>
      <c r="H41" s="17">
        <f t="shared" ca="1" si="0"/>
        <v>1</v>
      </c>
      <c r="I41" s="17">
        <f ca="1"/>
        <v>2.322383903171747</v>
      </c>
      <c r="J41" s="17">
        <f t="shared" ca="1" si="1"/>
        <v>0.91071397532948406</v>
      </c>
      <c r="K41" s="17">
        <f t="shared" ca="1" si="2"/>
        <v>0.91071397532948406</v>
      </c>
      <c r="L41" s="17">
        <f t="shared" ca="1" si="3"/>
        <v>1</v>
      </c>
    </row>
    <row r="42" spans="2:12" x14ac:dyDescent="0.3">
      <c r="B42" s="17">
        <f ca="1"/>
        <v>56</v>
      </c>
      <c r="C42" s="17">
        <f ca="1"/>
        <v>5.7</v>
      </c>
      <c r="D42" s="17">
        <f ca="1"/>
        <v>2.8</v>
      </c>
      <c r="E42" s="17">
        <f ca="1"/>
        <v>4.5</v>
      </c>
      <c r="F42" s="17">
        <f ca="1"/>
        <v>1.3</v>
      </c>
      <c r="G42" s="17" t="str">
        <f ca="1"/>
        <v>versicolor</v>
      </c>
      <c r="H42" s="17">
        <f t="shared" ca="1" si="0"/>
        <v>1</v>
      </c>
      <c r="I42" s="17">
        <f ca="1"/>
        <v>2.0127327160821809</v>
      </c>
      <c r="J42" s="17">
        <f t="shared" ca="1" si="1"/>
        <v>0.88212746303776468</v>
      </c>
      <c r="K42" s="17">
        <f t="shared" ca="1" si="2"/>
        <v>0.88212746303776468</v>
      </c>
      <c r="L42" s="17">
        <f t="shared" ca="1" si="3"/>
        <v>1</v>
      </c>
    </row>
    <row r="43" spans="2:12" x14ac:dyDescent="0.3">
      <c r="B43" s="17">
        <f ca="1"/>
        <v>57</v>
      </c>
      <c r="C43" s="17">
        <f ca="1"/>
        <v>6.3</v>
      </c>
      <c r="D43" s="17">
        <f ca="1"/>
        <v>3.3</v>
      </c>
      <c r="E43" s="17">
        <f ca="1"/>
        <v>4.7</v>
      </c>
      <c r="F43" s="17">
        <f ca="1"/>
        <v>1.6</v>
      </c>
      <c r="G43" s="17" t="str">
        <f ca="1"/>
        <v>versicolor</v>
      </c>
      <c r="H43" s="17">
        <f t="shared" ca="1" si="0"/>
        <v>1</v>
      </c>
      <c r="I43" s="17">
        <f ca="1"/>
        <v>2.4772094967165303</v>
      </c>
      <c r="J43" s="17">
        <f t="shared" ca="1" si="1"/>
        <v>0.92252859675274168</v>
      </c>
      <c r="K43" s="17">
        <f t="shared" ca="1" si="2"/>
        <v>0.92252859675274168</v>
      </c>
      <c r="L43" s="17">
        <f t="shared" ca="1" si="3"/>
        <v>1</v>
      </c>
    </row>
    <row r="44" spans="2:12" x14ac:dyDescent="0.3">
      <c r="B44" s="17">
        <f ca="1"/>
        <v>58</v>
      </c>
      <c r="C44" s="17">
        <f ca="1"/>
        <v>4.9000000000000004</v>
      </c>
      <c r="D44" s="17">
        <f ca="1"/>
        <v>2.4</v>
      </c>
      <c r="E44" s="17">
        <f ca="1"/>
        <v>3.3</v>
      </c>
      <c r="F44" s="17">
        <f ca="1"/>
        <v>1</v>
      </c>
      <c r="G44" s="17" t="str">
        <f ca="1"/>
        <v>versicolor</v>
      </c>
      <c r="H44" s="17">
        <f t="shared" ca="1" si="0"/>
        <v>1</v>
      </c>
      <c r="I44" s="17">
        <f ca="1"/>
        <v>1.5482559354478314</v>
      </c>
      <c r="J44" s="17">
        <f t="shared" ca="1" si="1"/>
        <v>0.82466169197233596</v>
      </c>
      <c r="K44" s="17">
        <f t="shared" ca="1" si="2"/>
        <v>0.82466169197233596</v>
      </c>
      <c r="L44" s="17">
        <f t="shared" ca="1" si="3"/>
        <v>1</v>
      </c>
    </row>
    <row r="45" spans="2:12" x14ac:dyDescent="0.3">
      <c r="B45" s="17">
        <f ca="1"/>
        <v>59</v>
      </c>
      <c r="C45" s="17">
        <f ca="1"/>
        <v>6.6</v>
      </c>
      <c r="D45" s="17">
        <f ca="1"/>
        <v>2.9</v>
      </c>
      <c r="E45" s="17">
        <f ca="1"/>
        <v>4.5999999999999996</v>
      </c>
      <c r="F45" s="17">
        <f ca="1"/>
        <v>1.3</v>
      </c>
      <c r="G45" s="17" t="str">
        <f ca="1"/>
        <v>versicolor</v>
      </c>
      <c r="H45" s="17">
        <f t="shared" ca="1" si="0"/>
        <v>1</v>
      </c>
      <c r="I45" s="17">
        <f ca="1"/>
        <v>2.0127327160821809</v>
      </c>
      <c r="J45" s="17">
        <f t="shared" ca="1" si="1"/>
        <v>0.88212746303776468</v>
      </c>
      <c r="K45" s="17">
        <f t="shared" ca="1" si="2"/>
        <v>0.88212746303776468</v>
      </c>
      <c r="L45" s="17">
        <f t="shared" ca="1" si="3"/>
        <v>1</v>
      </c>
    </row>
    <row r="46" spans="2:12" x14ac:dyDescent="0.3">
      <c r="B46" s="17">
        <f ca="1"/>
        <v>60</v>
      </c>
      <c r="C46" s="17">
        <f ca="1"/>
        <v>5.2</v>
      </c>
      <c r="D46" s="17">
        <f ca="1"/>
        <v>2.7</v>
      </c>
      <c r="E46" s="17">
        <f ca="1"/>
        <v>3.9</v>
      </c>
      <c r="F46" s="17">
        <f ca="1"/>
        <v>1.4</v>
      </c>
      <c r="G46" s="17" t="str">
        <f ca="1"/>
        <v>versicolor</v>
      </c>
      <c r="H46" s="17">
        <f t="shared" ca="1" si="0"/>
        <v>1</v>
      </c>
      <c r="I46" s="17">
        <f ca="1"/>
        <v>2.1675583096269637</v>
      </c>
      <c r="J46" s="17">
        <f t="shared" ca="1" si="1"/>
        <v>0.89729817280539836</v>
      </c>
      <c r="K46" s="17">
        <f t="shared" ca="1" si="2"/>
        <v>0.89729817280539836</v>
      </c>
      <c r="L46" s="17">
        <f t="shared" ca="1" si="3"/>
        <v>1</v>
      </c>
    </row>
    <row r="47" spans="2:12" x14ac:dyDescent="0.3">
      <c r="B47" s="17">
        <f ca="1"/>
        <v>61</v>
      </c>
      <c r="C47" s="17">
        <f ca="1"/>
        <v>5</v>
      </c>
      <c r="D47" s="17">
        <f ca="1"/>
        <v>2</v>
      </c>
      <c r="E47" s="17">
        <f ca="1"/>
        <v>3.5</v>
      </c>
      <c r="F47" s="17">
        <f ca="1"/>
        <v>1</v>
      </c>
      <c r="G47" s="17" t="str">
        <f ca="1"/>
        <v>versicolor</v>
      </c>
      <c r="H47" s="17">
        <f t="shared" ca="1" si="0"/>
        <v>1</v>
      </c>
      <c r="I47" s="17">
        <f ca="1"/>
        <v>1.5482559354478314</v>
      </c>
      <c r="J47" s="17">
        <f t="shared" ca="1" si="1"/>
        <v>0.82466169197233596</v>
      </c>
      <c r="K47" s="17">
        <f t="shared" ca="1" si="2"/>
        <v>0.82466169197233596</v>
      </c>
      <c r="L47" s="17">
        <f t="shared" ca="1" si="3"/>
        <v>1</v>
      </c>
    </row>
    <row r="48" spans="2:12" x14ac:dyDescent="0.3">
      <c r="B48" s="17">
        <f ca="1"/>
        <v>62</v>
      </c>
      <c r="C48" s="17">
        <f ca="1"/>
        <v>5.9</v>
      </c>
      <c r="D48" s="17">
        <f ca="1"/>
        <v>3</v>
      </c>
      <c r="E48" s="17">
        <f ca="1"/>
        <v>4.2</v>
      </c>
      <c r="F48" s="17">
        <f ca="1"/>
        <v>1.5</v>
      </c>
      <c r="G48" s="17" t="str">
        <f ca="1"/>
        <v>versicolor</v>
      </c>
      <c r="H48" s="17">
        <f t="shared" ca="1" si="0"/>
        <v>1</v>
      </c>
      <c r="I48" s="17">
        <f ca="1"/>
        <v>2.322383903171747</v>
      </c>
      <c r="J48" s="17">
        <f t="shared" ca="1" si="1"/>
        <v>0.91071397532948406</v>
      </c>
      <c r="K48" s="17">
        <f t="shared" ca="1" si="2"/>
        <v>0.91071397532948406</v>
      </c>
      <c r="L48" s="17">
        <f t="shared" ca="1" si="3"/>
        <v>1</v>
      </c>
    </row>
    <row r="49" spans="2:12" x14ac:dyDescent="0.3">
      <c r="B49" s="17">
        <f ca="1"/>
        <v>63</v>
      </c>
      <c r="C49" s="17">
        <f ca="1"/>
        <v>6</v>
      </c>
      <c r="D49" s="17">
        <f ca="1"/>
        <v>2.2000000000000002</v>
      </c>
      <c r="E49" s="17">
        <f ca="1"/>
        <v>4</v>
      </c>
      <c r="F49" s="17">
        <f ca="1"/>
        <v>1</v>
      </c>
      <c r="G49" s="17" t="str">
        <f ca="1"/>
        <v>versicolor</v>
      </c>
      <c r="H49" s="17">
        <f t="shared" ca="1" si="0"/>
        <v>1</v>
      </c>
      <c r="I49" s="17">
        <f ca="1"/>
        <v>1.5482559354478314</v>
      </c>
      <c r="J49" s="17">
        <f t="shared" ca="1" si="1"/>
        <v>0.82466169197233596</v>
      </c>
      <c r="K49" s="17">
        <f t="shared" ca="1" si="2"/>
        <v>0.82466169197233596</v>
      </c>
      <c r="L49" s="17">
        <f t="shared" ca="1" si="3"/>
        <v>1</v>
      </c>
    </row>
    <row r="50" spans="2:12" x14ac:dyDescent="0.3">
      <c r="B50" s="17">
        <f ca="1"/>
        <v>64</v>
      </c>
      <c r="C50" s="17">
        <f ca="1"/>
        <v>6.1</v>
      </c>
      <c r="D50" s="17">
        <f ca="1"/>
        <v>2.9</v>
      </c>
      <c r="E50" s="17">
        <f ca="1"/>
        <v>4.7</v>
      </c>
      <c r="F50" s="17">
        <f ca="1"/>
        <v>1.4</v>
      </c>
      <c r="G50" s="17" t="str">
        <f ca="1"/>
        <v>versicolor</v>
      </c>
      <c r="H50" s="17">
        <f t="shared" ca="1" si="0"/>
        <v>1</v>
      </c>
      <c r="I50" s="17">
        <f ca="1"/>
        <v>2.1675583096269637</v>
      </c>
      <c r="J50" s="17">
        <f t="shared" ca="1" si="1"/>
        <v>0.89729817280539836</v>
      </c>
      <c r="K50" s="17">
        <f t="shared" ca="1" si="2"/>
        <v>0.89729817280539836</v>
      </c>
      <c r="L50" s="17">
        <f t="shared" ca="1" si="3"/>
        <v>1</v>
      </c>
    </row>
    <row r="51" spans="2:12" x14ac:dyDescent="0.3">
      <c r="B51" s="17">
        <f ca="1"/>
        <v>65</v>
      </c>
      <c r="C51" s="17">
        <f ca="1"/>
        <v>5.6</v>
      </c>
      <c r="D51" s="17">
        <f ca="1"/>
        <v>2.9</v>
      </c>
      <c r="E51" s="17">
        <f ca="1"/>
        <v>3.6</v>
      </c>
      <c r="F51" s="17">
        <f ca="1"/>
        <v>1.3</v>
      </c>
      <c r="G51" s="17" t="str">
        <f ca="1"/>
        <v>versicolor</v>
      </c>
      <c r="H51" s="17">
        <f t="shared" ca="1" si="0"/>
        <v>1</v>
      </c>
      <c r="I51" s="17">
        <f ca="1"/>
        <v>2.0127327160821809</v>
      </c>
      <c r="J51" s="17">
        <f t="shared" ca="1" si="1"/>
        <v>0.88212746303776468</v>
      </c>
      <c r="K51" s="17">
        <f t="shared" ca="1" si="2"/>
        <v>0.88212746303776468</v>
      </c>
      <c r="L51" s="17">
        <f t="shared" ca="1" si="3"/>
        <v>1</v>
      </c>
    </row>
    <row r="52" spans="2:12" x14ac:dyDescent="0.3">
      <c r="B52" s="17">
        <f ca="1"/>
        <v>66</v>
      </c>
      <c r="C52" s="17">
        <f ca="1"/>
        <v>6.7</v>
      </c>
      <c r="D52" s="17">
        <f ca="1"/>
        <v>3.1</v>
      </c>
      <c r="E52" s="17">
        <f ca="1"/>
        <v>4.4000000000000004</v>
      </c>
      <c r="F52" s="17">
        <f ca="1"/>
        <v>1.4</v>
      </c>
      <c r="G52" s="17" t="str">
        <f ca="1"/>
        <v>versicolor</v>
      </c>
      <c r="H52" s="17">
        <f t="shared" ca="1" si="0"/>
        <v>1</v>
      </c>
      <c r="I52" s="17">
        <f ca="1"/>
        <v>2.1675583096269637</v>
      </c>
      <c r="J52" s="17">
        <f t="shared" ca="1" si="1"/>
        <v>0.89729817280539836</v>
      </c>
      <c r="K52" s="17">
        <f t="shared" ca="1" si="2"/>
        <v>0.89729817280539836</v>
      </c>
      <c r="L52" s="17">
        <f t="shared" ca="1" si="3"/>
        <v>1</v>
      </c>
    </row>
    <row r="53" spans="2:12" x14ac:dyDescent="0.3">
      <c r="B53" s="17">
        <f ca="1"/>
        <v>67</v>
      </c>
      <c r="C53" s="17">
        <f ca="1"/>
        <v>5.6</v>
      </c>
      <c r="D53" s="17">
        <f ca="1"/>
        <v>3</v>
      </c>
      <c r="E53" s="17">
        <f ca="1"/>
        <v>4.5</v>
      </c>
      <c r="F53" s="17">
        <f ca="1"/>
        <v>1.5</v>
      </c>
      <c r="G53" s="17" t="str">
        <f ca="1"/>
        <v>versicolor</v>
      </c>
      <c r="H53" s="17">
        <f t="shared" ca="1" si="0"/>
        <v>1</v>
      </c>
      <c r="I53" s="17">
        <f ca="1"/>
        <v>2.322383903171747</v>
      </c>
      <c r="J53" s="17">
        <f t="shared" ca="1" si="1"/>
        <v>0.91071397532948406</v>
      </c>
      <c r="K53" s="17">
        <f t="shared" ca="1" si="2"/>
        <v>0.91071397532948406</v>
      </c>
      <c r="L53" s="17">
        <f t="shared" ca="1" si="3"/>
        <v>1</v>
      </c>
    </row>
    <row r="54" spans="2:12" x14ac:dyDescent="0.3">
      <c r="B54" s="17">
        <f ca="1"/>
        <v>68</v>
      </c>
      <c r="C54" s="17">
        <f ca="1"/>
        <v>5.8</v>
      </c>
      <c r="D54" s="17">
        <f ca="1"/>
        <v>2.7</v>
      </c>
      <c r="E54" s="17">
        <f ca="1"/>
        <v>4.0999999999999996</v>
      </c>
      <c r="F54" s="17">
        <f ca="1"/>
        <v>1</v>
      </c>
      <c r="G54" s="17" t="str">
        <f ca="1"/>
        <v>versicolor</v>
      </c>
      <c r="H54" s="17">
        <f t="shared" ca="1" si="0"/>
        <v>1</v>
      </c>
      <c r="I54" s="17">
        <f ca="1"/>
        <v>1.5482559354478314</v>
      </c>
      <c r="J54" s="17">
        <f t="shared" ca="1" si="1"/>
        <v>0.82466169197233596</v>
      </c>
      <c r="K54" s="17">
        <f t="shared" ca="1" si="2"/>
        <v>0.82466169197233596</v>
      </c>
      <c r="L54" s="17">
        <f t="shared" ca="1" si="3"/>
        <v>1</v>
      </c>
    </row>
    <row r="55" spans="2:12" x14ac:dyDescent="0.3">
      <c r="B55" s="17">
        <f ca="1"/>
        <v>69</v>
      </c>
      <c r="C55" s="17">
        <f ca="1"/>
        <v>6.2</v>
      </c>
      <c r="D55" s="17">
        <f ca="1"/>
        <v>2.2000000000000002</v>
      </c>
      <c r="E55" s="17">
        <f ca="1"/>
        <v>4.5</v>
      </c>
      <c r="F55" s="17">
        <f ca="1"/>
        <v>1.5</v>
      </c>
      <c r="G55" s="17" t="str">
        <f ca="1"/>
        <v>versicolor</v>
      </c>
      <c r="H55" s="17">
        <f t="shared" ca="1" si="0"/>
        <v>1</v>
      </c>
      <c r="I55" s="17">
        <f ca="1"/>
        <v>2.322383903171747</v>
      </c>
      <c r="J55" s="17">
        <f t="shared" ca="1" si="1"/>
        <v>0.91071397532948406</v>
      </c>
      <c r="K55" s="17">
        <f t="shared" ca="1" si="2"/>
        <v>0.91071397532948406</v>
      </c>
      <c r="L55" s="17">
        <f t="shared" ca="1" si="3"/>
        <v>1</v>
      </c>
    </row>
    <row r="56" spans="2:12" x14ac:dyDescent="0.3">
      <c r="B56" s="17">
        <f ca="1"/>
        <v>70</v>
      </c>
      <c r="C56" s="17">
        <f ca="1"/>
        <v>5.6</v>
      </c>
      <c r="D56" s="17">
        <f ca="1"/>
        <v>2.5</v>
      </c>
      <c r="E56" s="17">
        <f ca="1"/>
        <v>3.9</v>
      </c>
      <c r="F56" s="17">
        <f ca="1"/>
        <v>1.1000000000000001</v>
      </c>
      <c r="G56" s="17" t="str">
        <f ca="1"/>
        <v>versicolor</v>
      </c>
      <c r="H56" s="17">
        <f t="shared" ca="1" si="0"/>
        <v>1</v>
      </c>
      <c r="I56" s="17">
        <f ca="1"/>
        <v>1.7030815289926147</v>
      </c>
      <c r="J56" s="17">
        <f t="shared" ca="1" si="1"/>
        <v>0.84593677191513728</v>
      </c>
      <c r="K56" s="17">
        <f t="shared" ca="1" si="2"/>
        <v>0.84593677191513728</v>
      </c>
      <c r="L56" s="17">
        <f t="shared" ca="1" si="3"/>
        <v>1</v>
      </c>
    </row>
    <row r="57" spans="2:12" x14ac:dyDescent="0.3">
      <c r="B57" s="17">
        <f ca="1"/>
        <v>71</v>
      </c>
      <c r="C57" s="17">
        <f ca="1"/>
        <v>5.9</v>
      </c>
      <c r="D57" s="17">
        <f ca="1"/>
        <v>3.2</v>
      </c>
      <c r="E57" s="17">
        <f ca="1"/>
        <v>4.8</v>
      </c>
      <c r="F57" s="17">
        <f ca="1"/>
        <v>1.8</v>
      </c>
      <c r="G57" s="17" t="str">
        <f ca="1"/>
        <v>versicolor</v>
      </c>
      <c r="H57" s="17">
        <f t="shared" ca="1" si="0"/>
        <v>1</v>
      </c>
      <c r="I57" s="17">
        <f ca="1"/>
        <v>2.7868606838060965</v>
      </c>
      <c r="J57" s="17">
        <f t="shared" ca="1" si="1"/>
        <v>0.94196165657422537</v>
      </c>
      <c r="K57" s="17">
        <f t="shared" ca="1" si="2"/>
        <v>0.94196165657422537</v>
      </c>
      <c r="L57" s="17">
        <f t="shared" ca="1" si="3"/>
        <v>1</v>
      </c>
    </row>
    <row r="58" spans="2:12" x14ac:dyDescent="0.3">
      <c r="B58" s="17">
        <f ca="1"/>
        <v>72</v>
      </c>
      <c r="C58" s="17">
        <f ca="1"/>
        <v>6.1</v>
      </c>
      <c r="D58" s="17">
        <f ca="1"/>
        <v>2.8</v>
      </c>
      <c r="E58" s="17">
        <f ca="1"/>
        <v>4</v>
      </c>
      <c r="F58" s="17">
        <f ca="1"/>
        <v>1.3</v>
      </c>
      <c r="G58" s="17" t="str">
        <f ca="1"/>
        <v>versicolor</v>
      </c>
      <c r="H58" s="17">
        <f t="shared" ca="1" si="0"/>
        <v>1</v>
      </c>
      <c r="I58" s="17">
        <f ca="1"/>
        <v>2.0127327160821809</v>
      </c>
      <c r="J58" s="17">
        <f t="shared" ca="1" si="1"/>
        <v>0.88212746303776468</v>
      </c>
      <c r="K58" s="17">
        <f t="shared" ca="1" si="2"/>
        <v>0.88212746303776468</v>
      </c>
      <c r="L58" s="17">
        <f t="shared" ca="1" si="3"/>
        <v>1</v>
      </c>
    </row>
    <row r="59" spans="2:12" x14ac:dyDescent="0.3">
      <c r="B59" s="17">
        <f ca="1"/>
        <v>73</v>
      </c>
      <c r="C59" s="17">
        <f ca="1"/>
        <v>6.3</v>
      </c>
      <c r="D59" s="17">
        <f ca="1"/>
        <v>2.5</v>
      </c>
      <c r="E59" s="17">
        <f ca="1"/>
        <v>4.9000000000000004</v>
      </c>
      <c r="F59" s="17">
        <f ca="1"/>
        <v>1.5</v>
      </c>
      <c r="G59" s="17" t="str">
        <f ca="1"/>
        <v>versicolor</v>
      </c>
      <c r="H59" s="17">
        <f t="shared" ca="1" si="0"/>
        <v>1</v>
      </c>
      <c r="I59" s="17">
        <f ca="1"/>
        <v>2.322383903171747</v>
      </c>
      <c r="J59" s="17">
        <f t="shared" ca="1" si="1"/>
        <v>0.91071397532948406</v>
      </c>
      <c r="K59" s="17">
        <f t="shared" ca="1" si="2"/>
        <v>0.91071397532948406</v>
      </c>
      <c r="L59" s="17">
        <f t="shared" ca="1" si="3"/>
        <v>1</v>
      </c>
    </row>
    <row r="60" spans="2:12" x14ac:dyDescent="0.3">
      <c r="B60" s="17">
        <f ca="1"/>
        <v>74</v>
      </c>
      <c r="C60" s="17">
        <f ca="1"/>
        <v>6.1</v>
      </c>
      <c r="D60" s="17">
        <f ca="1"/>
        <v>2.8</v>
      </c>
      <c r="E60" s="17">
        <f ca="1"/>
        <v>4.7</v>
      </c>
      <c r="F60" s="17">
        <f ca="1"/>
        <v>1.2</v>
      </c>
      <c r="G60" s="17" t="str">
        <f ca="1"/>
        <v>versicolor</v>
      </c>
      <c r="H60" s="17">
        <f t="shared" ca="1" si="0"/>
        <v>1</v>
      </c>
      <c r="I60" s="17">
        <f ca="1"/>
        <v>1.8579071225373975</v>
      </c>
      <c r="J60" s="17">
        <f t="shared" ca="1" si="1"/>
        <v>0.86505281959180802</v>
      </c>
      <c r="K60" s="17">
        <f t="shared" ca="1" si="2"/>
        <v>0.86505281959180802</v>
      </c>
      <c r="L60" s="17">
        <f t="shared" ca="1" si="3"/>
        <v>1</v>
      </c>
    </row>
    <row r="61" spans="2:12" x14ac:dyDescent="0.3">
      <c r="B61" s="17">
        <f ca="1"/>
        <v>75</v>
      </c>
      <c r="C61" s="17">
        <f ca="1"/>
        <v>6.4</v>
      </c>
      <c r="D61" s="17">
        <f ca="1"/>
        <v>2.9</v>
      </c>
      <c r="E61" s="17">
        <f ca="1"/>
        <v>4.3</v>
      </c>
      <c r="F61" s="17">
        <f ca="1"/>
        <v>1.3</v>
      </c>
      <c r="G61" s="17" t="str">
        <f ca="1"/>
        <v>versicolor</v>
      </c>
      <c r="H61" s="17">
        <f t="shared" ca="1" si="0"/>
        <v>1</v>
      </c>
      <c r="I61" s="17">
        <f ca="1"/>
        <v>2.0127327160821809</v>
      </c>
      <c r="J61" s="17">
        <f t="shared" ca="1" si="1"/>
        <v>0.88212746303776468</v>
      </c>
      <c r="K61" s="17">
        <f t="shared" ca="1" si="2"/>
        <v>0.88212746303776468</v>
      </c>
      <c r="L61" s="17">
        <f t="shared" ca="1" si="3"/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7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70</v>
      </c>
    </row>
    <row r="2" spans="1:1" x14ac:dyDescent="0.3">
      <c r="A2" s="1" t="s">
        <v>71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D3:K8"/>
  <sheetViews>
    <sheetView workbookViewId="0">
      <selection activeCell="I4" sqref="I4:I7"/>
    </sheetView>
  </sheetViews>
  <sheetFormatPr baseColWidth="10" defaultRowHeight="47" x14ac:dyDescent="0.55000000000000004"/>
  <cols>
    <col min="1" max="4" width="10.83203125" style="42"/>
    <col min="5" max="9" width="12.6640625" style="42" bestFit="1" customWidth="1"/>
    <col min="10" max="10" width="10.83203125" style="42"/>
    <col min="11" max="11" width="12.6640625" style="42" bestFit="1" customWidth="1"/>
    <col min="12" max="16384" width="10.83203125" style="42"/>
  </cols>
  <sheetData>
    <row r="3" spans="4:11" x14ac:dyDescent="0.55000000000000004">
      <c r="E3" s="42" t="s">
        <v>141</v>
      </c>
      <c r="F3" s="42" t="s">
        <v>142</v>
      </c>
      <c r="G3" s="42" t="s">
        <v>143</v>
      </c>
      <c r="H3" s="42" t="s">
        <v>144</v>
      </c>
      <c r="I3" s="42" t="s">
        <v>145</v>
      </c>
    </row>
    <row r="4" spans="4:11" x14ac:dyDescent="0.55000000000000004">
      <c r="D4" s="42" t="s">
        <v>141</v>
      </c>
      <c r="E4" s="43"/>
      <c r="F4" s="43">
        <f ca="1">RAND()</f>
        <v>0.69079412153038411</v>
      </c>
      <c r="G4" s="43">
        <f t="shared" ref="G4:I7" ca="1" si="0">RAND()</f>
        <v>0.88056853459888029</v>
      </c>
      <c r="H4" s="43">
        <f t="shared" ca="1" si="0"/>
        <v>0.13032234007469889</v>
      </c>
      <c r="I4" s="43">
        <f t="shared" ca="1" si="0"/>
        <v>0.20739753325300359</v>
      </c>
      <c r="K4" s="45">
        <f ca="1">AVERAGE(E4:I4)</f>
        <v>0.47727063236424172</v>
      </c>
    </row>
    <row r="5" spans="4:11" x14ac:dyDescent="0.55000000000000004">
      <c r="D5" s="42" t="s">
        <v>142</v>
      </c>
      <c r="E5" s="44">
        <f ca="1">1-F4</f>
        <v>0.30920587846961589</v>
      </c>
      <c r="F5" s="43"/>
      <c r="G5" s="43">
        <f t="shared" ca="1" si="0"/>
        <v>0.14566623949425395</v>
      </c>
      <c r="H5" s="43">
        <f t="shared" ca="1" si="0"/>
        <v>0.64722357391654928</v>
      </c>
      <c r="I5" s="43">
        <f t="shared" ca="1" si="0"/>
        <v>0.20295890373170045</v>
      </c>
      <c r="K5" s="45">
        <f t="shared" ref="K5:K8" ca="1" si="1">AVERAGE(E5:I5)</f>
        <v>0.32626364890302983</v>
      </c>
    </row>
    <row r="6" spans="4:11" x14ac:dyDescent="0.55000000000000004">
      <c r="D6" s="42" t="s">
        <v>143</v>
      </c>
      <c r="E6" s="44">
        <f ca="1">1-G4</f>
        <v>0.11943146540111971</v>
      </c>
      <c r="F6" s="44">
        <f ca="1">1-G5</f>
        <v>0.85433376050574605</v>
      </c>
      <c r="G6" s="43"/>
      <c r="H6" s="43">
        <f t="shared" ca="1" si="0"/>
        <v>0.32188574244205226</v>
      </c>
      <c r="I6" s="43">
        <f t="shared" ca="1" si="0"/>
        <v>0.81507520439996672</v>
      </c>
      <c r="K6" s="45">
        <f t="shared" ca="1" si="1"/>
        <v>0.52768154318722127</v>
      </c>
    </row>
    <row r="7" spans="4:11" x14ac:dyDescent="0.55000000000000004">
      <c r="D7" s="42" t="s">
        <v>144</v>
      </c>
      <c r="E7" s="44">
        <f ca="1">1-H4</f>
        <v>0.86967765992530111</v>
      </c>
      <c r="F7" s="44">
        <f ca="1">1-H5</f>
        <v>0.35277642608345072</v>
      </c>
      <c r="G7" s="44">
        <f ca="1">1-H6</f>
        <v>0.67811425755794774</v>
      </c>
      <c r="H7" s="43"/>
      <c r="I7" s="43">
        <f t="shared" ca="1" si="0"/>
        <v>0.83665678337752414</v>
      </c>
      <c r="K7" s="45">
        <f t="shared" ca="1" si="1"/>
        <v>0.6843062817360559</v>
      </c>
    </row>
    <row r="8" spans="4:11" x14ac:dyDescent="0.55000000000000004">
      <c r="D8" s="42" t="s">
        <v>145</v>
      </c>
      <c r="E8" s="44">
        <f ca="1">1-I4</f>
        <v>0.79260246674699641</v>
      </c>
      <c r="F8" s="44">
        <f ca="1">1-I5</f>
        <v>0.79704109626829955</v>
      </c>
      <c r="G8" s="44">
        <f ca="1">1-I6</f>
        <v>0.18492479560003328</v>
      </c>
      <c r="H8" s="44">
        <f ca="1">1-I7</f>
        <v>0.16334321662247586</v>
      </c>
      <c r="I8" s="43"/>
      <c r="K8" s="45">
        <f t="shared" ca="1" si="1"/>
        <v>0.48447789380945128</v>
      </c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D3:E8"/>
  <sheetViews>
    <sheetView workbookViewId="0"/>
  </sheetViews>
  <sheetFormatPr baseColWidth="10" defaultRowHeight="47" x14ac:dyDescent="0.55000000000000004"/>
  <cols>
    <col min="1" max="4" width="10.83203125" style="42"/>
    <col min="5" max="5" width="12.6640625" style="42" customWidth="1"/>
    <col min="6" max="16384" width="10.83203125" style="42"/>
  </cols>
  <sheetData>
    <row r="3" spans="4:5" x14ac:dyDescent="0.55000000000000004">
      <c r="E3" s="42" t="s">
        <v>155</v>
      </c>
    </row>
    <row r="4" spans="4:5" x14ac:dyDescent="0.55000000000000004">
      <c r="D4" s="42" t="s">
        <v>141</v>
      </c>
      <c r="E4" s="43">
        <f ca="1">RAND()</f>
        <v>5.15734674354561E-2</v>
      </c>
    </row>
    <row r="5" spans="4:5" x14ac:dyDescent="0.55000000000000004">
      <c r="D5" s="42" t="s">
        <v>142</v>
      </c>
      <c r="E5" s="43">
        <f t="shared" ref="E5:E8" ca="1" si="0">RAND()</f>
        <v>0.78894215047770999</v>
      </c>
    </row>
    <row r="6" spans="4:5" x14ac:dyDescent="0.55000000000000004">
      <c r="D6" s="42" t="s">
        <v>143</v>
      </c>
      <c r="E6" s="43">
        <f t="shared" ca="1" si="0"/>
        <v>0.17081636543627754</v>
      </c>
    </row>
    <row r="7" spans="4:5" x14ac:dyDescent="0.55000000000000004">
      <c r="D7" s="42" t="s">
        <v>144</v>
      </c>
      <c r="E7" s="43">
        <f t="shared" ca="1" si="0"/>
        <v>0.21027143105306323</v>
      </c>
    </row>
    <row r="8" spans="4:5" x14ac:dyDescent="0.55000000000000004">
      <c r="D8" s="42" t="s">
        <v>145</v>
      </c>
      <c r="E8" s="43">
        <f t="shared" ca="1" si="0"/>
        <v>0.56442641639672586</v>
      </c>
    </row>
  </sheetData>
  <conditionalFormatting sqref="E4:E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106</v>
      </c>
    </row>
    <row r="2" spans="1:1" x14ac:dyDescent="0.3">
      <c r="A2" s="1" t="s">
        <v>107</v>
      </c>
    </row>
    <row r="3" spans="1:1" x14ac:dyDescent="0.3">
      <c r="A3" s="1" t="s">
        <v>108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3" t="s">
        <v>80</v>
      </c>
    </row>
    <row r="3" spans="1:8" x14ac:dyDescent="0.3">
      <c r="B3" s="24" t="s">
        <v>49</v>
      </c>
      <c r="C3" s="24" t="s">
        <v>81</v>
      </c>
      <c r="D3" s="24" t="s">
        <v>82</v>
      </c>
      <c r="E3" s="24" t="s">
        <v>83</v>
      </c>
      <c r="F3" s="24" t="s">
        <v>84</v>
      </c>
      <c r="G3" s="24" t="s">
        <v>85</v>
      </c>
      <c r="H3" s="24" t="s">
        <v>86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4.6936519346973657</v>
      </c>
      <c r="H4" s="1">
        <f ca="1">_xlfn.NORM.INV(RAND(),E4,F4)</f>
        <v>6.0021640188767602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4.0976793852212348</v>
      </c>
      <c r="H5" s="1">
        <f t="shared" ref="H5:H33" ca="1" si="1">_xlfn.NORM.INV(RAND(),E5,F5)</f>
        <v>6.1054581393237708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4.8428238201250888</v>
      </c>
      <c r="H6" s="1">
        <f t="shared" ca="1" si="1"/>
        <v>6.0926361355893652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4.3854910295150669</v>
      </c>
      <c r="H7" s="1">
        <f t="shared" ca="1" si="1"/>
        <v>6.1573942638315762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3.5759039207935994</v>
      </c>
      <c r="H8" s="1">
        <f t="shared" ca="1" si="1"/>
        <v>6.0459496281058325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2.6165185777299804</v>
      </c>
      <c r="H9" s="1">
        <f t="shared" ca="1" si="1"/>
        <v>5.8196486638872891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3.5675558212003939</v>
      </c>
      <c r="H10" s="1">
        <f t="shared" ca="1" si="1"/>
        <v>6.0631097917924901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4.539503182110888</v>
      </c>
      <c r="H11" s="1">
        <f t="shared" ca="1" si="1"/>
        <v>6.1564038087904578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4.0862965912658895</v>
      </c>
      <c r="H12" s="1">
        <f t="shared" ca="1" si="1"/>
        <v>5.8003911408372701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4.1595133452120256</v>
      </c>
      <c r="H13" s="1">
        <f t="shared" ca="1" si="1"/>
        <v>6.3658967418975347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2.2989014692561467</v>
      </c>
      <c r="H14" s="1">
        <f t="shared" ca="1" si="1"/>
        <v>2.0916517776167058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1.1308516558421391</v>
      </c>
      <c r="H15" s="1">
        <f t="shared" ca="1" si="1"/>
        <v>1.9669533153672072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1.8534356116997293</v>
      </c>
      <c r="H16" s="1">
        <f t="shared" ca="1" si="1"/>
        <v>1.7680160609563653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2.1710410856672824</v>
      </c>
      <c r="H17" s="1">
        <f t="shared" ca="1" si="1"/>
        <v>2.1039121854429337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1.9969975302096337</v>
      </c>
      <c r="H18" s="1">
        <f t="shared" ca="1" si="1"/>
        <v>1.7652853328648375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2.0549967284829957</v>
      </c>
      <c r="H19" s="1">
        <f t="shared" ca="1" si="1"/>
        <v>1.8934517984419033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2.6886789926107539</v>
      </c>
      <c r="H20" s="1">
        <f t="shared" ca="1" si="1"/>
        <v>1.9773415669158321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1.9125175779196233</v>
      </c>
      <c r="H21" s="1">
        <f t="shared" ca="1" si="1"/>
        <v>2.1275814068418195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2.3941758077897108</v>
      </c>
      <c r="H22" s="1">
        <f t="shared" ca="1" si="1"/>
        <v>2.2356953100120149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2.2958366984186127</v>
      </c>
      <c r="H23" s="1">
        <f t="shared" ca="1" si="1"/>
        <v>1.7722482972024287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1.8826144496146582</v>
      </c>
      <c r="H24" s="1">
        <f t="shared" ca="1" si="1"/>
        <v>7.3672527242633183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1.7232149239968617</v>
      </c>
      <c r="H25" s="1">
        <f t="shared" ca="1" si="1"/>
        <v>5.9919284568409976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2.045104004078691</v>
      </c>
      <c r="H26" s="1">
        <f t="shared" ca="1" si="1"/>
        <v>7.38260253034362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2.2333503403945816</v>
      </c>
      <c r="H27" s="1">
        <f t="shared" ca="1" si="1"/>
        <v>6.4115989493760601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2.2211693281112108</v>
      </c>
      <c r="H28" s="1">
        <f t="shared" ca="1" si="1"/>
        <v>5.697756934259397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1.5681686735279765</v>
      </c>
      <c r="H29" s="1">
        <f t="shared" ca="1" si="1"/>
        <v>6.6584081535459685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1.8733599094611826</v>
      </c>
      <c r="H30" s="1">
        <f t="shared" ca="1" si="1"/>
        <v>6.1783148618055135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1.7523319808298365</v>
      </c>
      <c r="H31" s="1">
        <f t="shared" ca="1" si="1"/>
        <v>6.4433629955726746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1.8727614137878958</v>
      </c>
      <c r="H32" s="1">
        <f t="shared" ca="1" si="1"/>
        <v>6.930930088434347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1.8295890189092749</v>
      </c>
      <c r="H33" s="1">
        <f t="shared" ca="1" si="1"/>
        <v>5.2615989816557622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6" customWidth="1"/>
    <col min="2" max="8" width="10.83203125" style="26"/>
    <col min="9" max="9" width="13.33203125" style="26" bestFit="1" customWidth="1"/>
    <col min="10" max="16384" width="10.83203125" style="26"/>
  </cols>
  <sheetData>
    <row r="2" spans="2:8" x14ac:dyDescent="0.3">
      <c r="B2" s="25" t="s">
        <v>87</v>
      </c>
    </row>
    <row r="5" spans="2:8" x14ac:dyDescent="0.3">
      <c r="B5" s="27" t="s">
        <v>88</v>
      </c>
      <c r="C5" s="26">
        <v>1</v>
      </c>
      <c r="D5" s="26">
        <v>1</v>
      </c>
    </row>
    <row r="6" spans="2:8" x14ac:dyDescent="0.3">
      <c r="B6" s="27" t="s">
        <v>89</v>
      </c>
      <c r="C6" s="26">
        <v>5</v>
      </c>
      <c r="D6" s="26">
        <v>5</v>
      </c>
    </row>
    <row r="7" spans="2:8" x14ac:dyDescent="0.3">
      <c r="B7" s="27" t="s">
        <v>90</v>
      </c>
      <c r="C7" s="26">
        <v>10</v>
      </c>
      <c r="D7" s="26">
        <v>10</v>
      </c>
    </row>
    <row r="9" spans="2:8" x14ac:dyDescent="0.3">
      <c r="B9" s="26" t="s">
        <v>91</v>
      </c>
      <c r="C9" s="26">
        <f ca="1">_xlfn.NORM.INV(RAND(),2,1)</f>
        <v>1.1777208249690989</v>
      </c>
      <c r="D9" s="26">
        <f ca="1">_xlfn.NORM.INV(RAND(),2,1)</f>
        <v>1.479720837303357</v>
      </c>
      <c r="E9" s="26" cm="1">
        <f t="array" aca="1" ref="E9" ca="1">SUMSQ(C9:D9-C$5:D$5)</f>
        <v>0.26171677337073102</v>
      </c>
      <c r="F9" s="26" cm="1">
        <f t="array" aca="1" ref="F9" ca="1">SUMSQ(C9:D9-C$6:D$6)</f>
        <v>27.002183475191082</v>
      </c>
      <c r="G9" s="26" cm="1">
        <f t="array" aca="1" ref="G9" ca="1">SUMSQ(C9:D9-C$7:D$7)</f>
        <v>150.4277668524665</v>
      </c>
      <c r="H9" s="26">
        <f ca="1">MATCH(MIN(E9:G9),E9:G9,0)</f>
        <v>1</v>
      </c>
    </row>
    <row r="10" spans="2:8" x14ac:dyDescent="0.3">
      <c r="B10" s="26" t="s">
        <v>92</v>
      </c>
      <c r="C10" s="26">
        <f t="shared" ref="C10:D11" ca="1" si="0">_xlfn.NORM.INV(RAND(),2,1)</f>
        <v>2.0467276609633842</v>
      </c>
      <c r="D10" s="26">
        <f t="shared" ca="1" si="0"/>
        <v>1.1413535574131553</v>
      </c>
      <c r="E10" s="26" cm="1">
        <f t="array" aca="1" ref="E10" ca="1">SUMSQ(C10:D10-C$5:D$5)</f>
        <v>1.1156196244192316</v>
      </c>
      <c r="F10" s="26" cm="1">
        <f t="array" aca="1" ref="F10" ca="1">SUMSQ(C10:D10-C$6:D$6)</f>
        <v>23.610969877406916</v>
      </c>
      <c r="G10" s="26" cm="1">
        <f t="array" aca="1" ref="G10" ca="1">SUMSQ(C10:D10-C$7:D$7)</f>
        <v>141.73015769364153</v>
      </c>
      <c r="H10" s="26">
        <f t="shared" ref="H10:H17" ca="1" si="1">MATCH(MIN(E10:G10),E10:G10,0)</f>
        <v>1</v>
      </c>
    </row>
    <row r="11" spans="2:8" x14ac:dyDescent="0.3">
      <c r="B11" s="26" t="s">
        <v>93</v>
      </c>
      <c r="C11" s="26">
        <f t="shared" ca="1" si="0"/>
        <v>-6.837122863968581E-2</v>
      </c>
      <c r="D11" s="26">
        <f t="shared" ca="1" si="0"/>
        <v>2.5302354437072676</v>
      </c>
      <c r="E11" s="26" cm="1">
        <f t="array" aca="1" ref="E11" ca="1">SUMSQ(C11:D11-C$5:D$5)</f>
        <v>3.4830375953630499</v>
      </c>
      <c r="F11" s="26" cm="1">
        <f t="array" aca="1" ref="F11" ca="1">SUMSQ(C11:D11-C$6:D$6)</f>
        <v>31.788123874822396</v>
      </c>
      <c r="G11" s="26" cm="1">
        <f t="array" aca="1" ref="G11" ca="1">SUMSQ(C11:D11-C$7:D$7)</f>
        <v>157.16948172414658</v>
      </c>
      <c r="H11" s="26">
        <f t="shared" ca="1" si="1"/>
        <v>1</v>
      </c>
    </row>
    <row r="12" spans="2:8" x14ac:dyDescent="0.3">
      <c r="B12" s="26" t="s">
        <v>94</v>
      </c>
      <c r="C12" s="26">
        <f ca="1">_xlfn.NORM.INV(RAND(),4,1)</f>
        <v>4.5803768213299199</v>
      </c>
      <c r="D12" s="26">
        <f ca="1">_xlfn.NORM.INV(RAND(),4,1)</f>
        <v>3.8825841868697637</v>
      </c>
      <c r="E12" s="26" cm="1">
        <f t="array" aca="1" ref="E12" ca="1">SUMSQ(C12:D12-C$5:D$5)</f>
        <v>21.128389777108158</v>
      </c>
      <c r="F12" s="26" cm="1">
        <f t="array" aca="1" ref="F12" ca="1">SUMSQ(C12:D12-C$6:D$6)</f>
        <v>1.4247017115106893</v>
      </c>
      <c r="G12" s="26" cm="1">
        <f t="array" aca="1" ref="G12" ca="1">SUMSQ(C12:D12-C$7:D$7)</f>
        <v>66.795091629513848</v>
      </c>
      <c r="H12" s="26">
        <f t="shared" ca="1" si="1"/>
        <v>2</v>
      </c>
    </row>
    <row r="13" spans="2:8" x14ac:dyDescent="0.3">
      <c r="B13" s="26" t="s">
        <v>95</v>
      </c>
      <c r="C13" s="26">
        <f t="shared" ref="C13:D14" ca="1" si="2">_xlfn.NORM.INV(RAND(),4,1)</f>
        <v>3.2420941967366046</v>
      </c>
      <c r="D13" s="26">
        <f t="shared" ca="1" si="2"/>
        <v>3.1910056205372426</v>
      </c>
      <c r="E13" s="26" cm="1">
        <f t="array" aca="1" ref="E13" ca="1">SUMSQ(C13:D13-C$5:D$5)</f>
        <v>9.8274920162657473</v>
      </c>
      <c r="F13" s="26" cm="1">
        <f t="array" aca="1" ref="F13" ca="1">SUMSQ(C13:D13-C$6:D$6)</f>
        <v>6.36269347807497</v>
      </c>
      <c r="G13" s="26" cm="1">
        <f t="array" aca="1" ref="G13" ca="1">SUMSQ(C13:D13-C$7:D$7)</f>
        <v>92.031695305336498</v>
      </c>
      <c r="H13" s="26">
        <f t="shared" ca="1" si="1"/>
        <v>2</v>
      </c>
    </row>
    <row r="14" spans="2:8" x14ac:dyDescent="0.3">
      <c r="B14" s="26" t="s">
        <v>96</v>
      </c>
      <c r="C14" s="26">
        <f t="shared" ca="1" si="2"/>
        <v>4.4925359633414663</v>
      </c>
      <c r="D14" s="26">
        <f t="shared" ca="1" si="2"/>
        <v>2.6469054584357767</v>
      </c>
      <c r="E14" s="26" cm="1">
        <f t="array" aca="1" ref="E14" ca="1">SUMSQ(C14:D14-C$5:D$5)</f>
        <v>14.910105044259058</v>
      </c>
      <c r="F14" s="26" cm="1">
        <f t="array" aca="1" ref="F14" ca="1">SUMSQ(C14:D14-C$6:D$6)</f>
        <v>5.7945736700411157</v>
      </c>
      <c r="G14" s="26" cm="1">
        <f t="array" aca="1" ref="G14" ca="1">SUMSQ(C14:D14-C$7:D$7)</f>
        <v>84.400159452268682</v>
      </c>
      <c r="H14" s="26">
        <f t="shared" ca="1" si="1"/>
        <v>2</v>
      </c>
    </row>
    <row r="15" spans="2:8" x14ac:dyDescent="0.3">
      <c r="B15" s="26" t="s">
        <v>97</v>
      </c>
      <c r="C15" s="26">
        <f ca="1">_xlfn.NORM.INV(RAND(),8,1)</f>
        <v>7.065269876249574</v>
      </c>
      <c r="D15" s="26">
        <f ca="1">_xlfn.NORM.INV(RAND(),8,1)</f>
        <v>8.0483406859554947</v>
      </c>
      <c r="E15" s="26" cm="1">
        <f t="array" aca="1" ref="E15" ca="1">SUMSQ(C15:D15-C$5:D$5)</f>
        <v>86.466605097036094</v>
      </c>
      <c r="F15" s="26" cm="1">
        <f t="array" aca="1" ref="F15" ca="1">SUMSQ(C15:D15-C$6:D$6)</f>
        <v>13.557720599395548</v>
      </c>
      <c r="G15" s="26" cm="1">
        <f t="array" aca="1" ref="G15" ca="1">SUMSQ(C15:D15-C$7:D$7)</f>
        <v>12.421614977344861</v>
      </c>
      <c r="H15" s="26">
        <f t="shared" ca="1" si="1"/>
        <v>3</v>
      </c>
    </row>
    <row r="16" spans="2:8" x14ac:dyDescent="0.3">
      <c r="B16" s="26" t="s">
        <v>98</v>
      </c>
      <c r="C16" s="26">
        <f t="shared" ref="C16:D17" ca="1" si="3">_xlfn.NORM.INV(RAND(),8,1)</f>
        <v>7.600547356446997</v>
      </c>
      <c r="D16" s="26">
        <f t="shared" ca="1" si="3"/>
        <v>8.1653026897717549</v>
      </c>
      <c r="E16" s="26" cm="1">
        <f t="array" aca="1" ref="E16" ca="1">SUMSQ(C16:D16-C$5:D$5)</f>
        <v>94.908788040749783</v>
      </c>
      <c r="F16" s="26" cm="1">
        <f t="array" aca="1" ref="F16" ca="1">SUMSQ(C16:D16-C$6:D$6)</f>
        <v>16.781987670999772</v>
      </c>
      <c r="G16" s="26" cm="1">
        <f t="array" aca="1" ref="G16" ca="1">SUMSQ(C16:D16-C$7:D$7)</f>
        <v>9.1234872088122518</v>
      </c>
      <c r="H16" s="26">
        <f t="shared" ca="1" si="1"/>
        <v>3</v>
      </c>
    </row>
    <row r="17" spans="1:8" x14ac:dyDescent="0.3">
      <c r="B17" s="26" t="s">
        <v>99</v>
      </c>
      <c r="C17" s="26">
        <f t="shared" ca="1" si="3"/>
        <v>9.6667771431180949</v>
      </c>
      <c r="D17" s="26">
        <f t="shared" ca="1" si="3"/>
        <v>5.9858984529912416</v>
      </c>
      <c r="E17" s="26" cm="1">
        <f t="array" aca="1" ref="E17" ca="1">SUMSQ(C17:D17-C$5:D$5)</f>
        <v>99.972209432014708</v>
      </c>
      <c r="F17" s="26" cm="1">
        <f t="array" aca="1" ref="F17" ca="1">SUMSQ(C17:D17-C$6:D$6)</f>
        <v>22.750804663140009</v>
      </c>
      <c r="G17" s="26" cm="1">
        <f t="array" aca="1" ref="G17" ca="1">SUMSQ(C17:D17-C$7:D$7)</f>
        <v>16.224048702046645</v>
      </c>
      <c r="H17" s="26">
        <f t="shared" ca="1" si="1"/>
        <v>3</v>
      </c>
    </row>
    <row r="19" spans="1:8" x14ac:dyDescent="0.3">
      <c r="A19" s="26">
        <v>1</v>
      </c>
      <c r="B19" s="28" t="s">
        <v>88</v>
      </c>
      <c r="C19" s="26">
        <f ca="1">AVERAGEIF($H$9:$H$17,A19,$C$9:$C$17)</f>
        <v>1.0520257524309324</v>
      </c>
      <c r="D19" s="26">
        <f ca="1">AVERAGEIF($H$9:$H$17,A19,$D$9:$D$17)</f>
        <v>1.7171032794745933</v>
      </c>
    </row>
    <row r="20" spans="1:8" x14ac:dyDescent="0.3">
      <c r="A20" s="26">
        <v>2</v>
      </c>
      <c r="B20" s="28" t="s">
        <v>89</v>
      </c>
      <c r="C20" s="26">
        <f ca="1">AVERAGEIF($H$9:$H$17,A20,$C$9:$C$17)</f>
        <v>4.1050023271359963</v>
      </c>
      <c r="D20" s="26">
        <f ca="1">AVERAGEIF($H$9:$H$17,A20,$D$9:$D$17)</f>
        <v>3.2401650886142606</v>
      </c>
    </row>
    <row r="21" spans="1:8" x14ac:dyDescent="0.3">
      <c r="A21" s="26">
        <v>3</v>
      </c>
      <c r="B21" s="28" t="s">
        <v>90</v>
      </c>
      <c r="C21" s="26">
        <f ca="1">AVERAGEIF($H$9:$H$17,A21,$C$9:$C$17)</f>
        <v>8.1108647919382211</v>
      </c>
      <c r="D21" s="26">
        <f ca="1">AVERAGEIF($H$9:$H$17,A21,$D$9:$D$17)</f>
        <v>7.3998472762394982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>
      <selection activeCell="F22" sqref="F2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124"/>
  </cols>
  <sheetData>
    <row r="1" spans="1:1" x14ac:dyDescent="0.3">
      <c r="A1" s="124" t="s">
        <v>338</v>
      </c>
    </row>
    <row r="2" spans="1:1" x14ac:dyDescent="0.3">
      <c r="A2" s="124" t="s">
        <v>339</v>
      </c>
    </row>
    <row r="3" spans="1:1" x14ac:dyDescent="0.3">
      <c r="A3" s="124" t="s">
        <v>340</v>
      </c>
    </row>
    <row r="4" spans="1:1" x14ac:dyDescent="0.3">
      <c r="A4" s="124" t="s">
        <v>341</v>
      </c>
    </row>
    <row r="5" spans="1:1" x14ac:dyDescent="0.3">
      <c r="A5" s="124" t="s">
        <v>342</v>
      </c>
    </row>
    <row r="6" spans="1:1" x14ac:dyDescent="0.3">
      <c r="A6" s="124" t="s">
        <v>343</v>
      </c>
    </row>
    <row r="7" spans="1:1" x14ac:dyDescent="0.3">
      <c r="A7" s="124" t="s">
        <v>344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2:C32"/>
  <sheetViews>
    <sheetView workbookViewId="0"/>
  </sheetViews>
  <sheetFormatPr baseColWidth="10" defaultRowHeight="19" x14ac:dyDescent="0.25"/>
  <cols>
    <col min="1" max="16384" width="10.83203125" style="50"/>
  </cols>
  <sheetData>
    <row r="2" spans="1:3" x14ac:dyDescent="0.25">
      <c r="B2" s="50" t="s">
        <v>173</v>
      </c>
      <c r="C2" s="50" t="s">
        <v>19</v>
      </c>
    </row>
    <row r="3" spans="1:3" x14ac:dyDescent="0.25">
      <c r="A3" s="50">
        <v>1</v>
      </c>
      <c r="B3" s="50">
        <v>0.20943951023931953</v>
      </c>
      <c r="C3" s="50">
        <v>-1.0584942919841807</v>
      </c>
    </row>
    <row r="4" spans="1:3" x14ac:dyDescent="0.25">
      <c r="A4" s="50">
        <v>2</v>
      </c>
      <c r="B4" s="50">
        <v>0.41887902047863906</v>
      </c>
      <c r="C4" s="50">
        <v>-1.0115837814668849</v>
      </c>
    </row>
    <row r="5" spans="1:3" x14ac:dyDescent="0.25">
      <c r="A5" s="50">
        <v>3</v>
      </c>
      <c r="B5" s="50">
        <v>0.62831853071795862</v>
      </c>
      <c r="C5" s="50">
        <v>-0.67059413777823096</v>
      </c>
    </row>
    <row r="6" spans="1:3" x14ac:dyDescent="0.25">
      <c r="A6" s="50">
        <v>4</v>
      </c>
      <c r="B6" s="50">
        <v>0.83775804095727813</v>
      </c>
      <c r="C6" s="50">
        <v>-7.8907528339460575E-2</v>
      </c>
    </row>
    <row r="7" spans="1:3" x14ac:dyDescent="0.25">
      <c r="A7" s="50">
        <v>5</v>
      </c>
      <c r="B7" s="50">
        <v>1.0471975511965976</v>
      </c>
      <c r="C7" s="50">
        <v>0.19372967770232674</v>
      </c>
    </row>
    <row r="8" spans="1:3" x14ac:dyDescent="0.25">
      <c r="A8" s="50">
        <v>6</v>
      </c>
      <c r="B8" s="50">
        <v>1.2566370614359172</v>
      </c>
      <c r="C8" s="50">
        <v>0.71211759028393917</v>
      </c>
    </row>
    <row r="9" spans="1:3" x14ac:dyDescent="0.25">
      <c r="A9" s="50">
        <v>7</v>
      </c>
      <c r="B9" s="50">
        <v>1.4660765716752369</v>
      </c>
      <c r="C9" s="50">
        <v>0.46458641028249809</v>
      </c>
    </row>
    <row r="10" spans="1:3" x14ac:dyDescent="0.25">
      <c r="A10" s="50">
        <v>8</v>
      </c>
      <c r="B10" s="50">
        <v>1.6755160819145563</v>
      </c>
      <c r="C10" s="50">
        <v>1.0904375200021745</v>
      </c>
    </row>
    <row r="11" spans="1:3" x14ac:dyDescent="0.25">
      <c r="A11" s="50">
        <v>9</v>
      </c>
      <c r="B11" s="50">
        <v>1.8849555921538759</v>
      </c>
      <c r="C11" s="50">
        <v>0.73460352450894062</v>
      </c>
    </row>
    <row r="12" spans="1:3" x14ac:dyDescent="0.25">
      <c r="A12" s="50">
        <v>10</v>
      </c>
      <c r="B12" s="50">
        <v>2.0943951023931953</v>
      </c>
      <c r="C12" s="50">
        <v>0.65405740699127635</v>
      </c>
    </row>
    <row r="13" spans="1:3" x14ac:dyDescent="0.25">
      <c r="A13" s="50">
        <v>11</v>
      </c>
      <c r="B13" s="50">
        <v>2.3038346126325147</v>
      </c>
      <c r="C13" s="50">
        <v>0.57004534084851322</v>
      </c>
    </row>
    <row r="14" spans="1:3" x14ac:dyDescent="0.25">
      <c r="A14" s="50">
        <v>12</v>
      </c>
      <c r="B14" s="50">
        <v>2.5132741228718345</v>
      </c>
      <c r="C14" s="50">
        <v>-0.15194780570688993</v>
      </c>
    </row>
    <row r="15" spans="1:3" x14ac:dyDescent="0.25">
      <c r="A15" s="50">
        <v>13</v>
      </c>
      <c r="B15" s="50">
        <v>2.7227136331111543</v>
      </c>
      <c r="C15" s="50">
        <v>4.9191643383140769E-2</v>
      </c>
    </row>
    <row r="16" spans="1:3" x14ac:dyDescent="0.25">
      <c r="A16" s="50">
        <v>14</v>
      </c>
      <c r="B16" s="50">
        <v>2.9321531433504737</v>
      </c>
      <c r="C16" s="50">
        <v>-0.23766540139636769</v>
      </c>
    </row>
    <row r="17" spans="1:3" x14ac:dyDescent="0.25">
      <c r="A17" s="50">
        <v>15</v>
      </c>
      <c r="B17" s="50">
        <v>3.1415926535897927</v>
      </c>
      <c r="C17" s="50">
        <v>7.2641248128490127E-2</v>
      </c>
    </row>
    <row r="18" spans="1:3" x14ac:dyDescent="0.25">
      <c r="A18" s="50">
        <v>16</v>
      </c>
      <c r="B18" s="50">
        <v>3.3510321638291125</v>
      </c>
      <c r="C18" s="50">
        <v>2.1344472249498331E-2</v>
      </c>
    </row>
    <row r="19" spans="1:3" x14ac:dyDescent="0.25">
      <c r="A19" s="50">
        <v>17</v>
      </c>
      <c r="B19" s="50">
        <v>3.5604716740684323</v>
      </c>
      <c r="C19" s="50">
        <v>4.3416060207188134E-4</v>
      </c>
    </row>
    <row r="20" spans="1:3" x14ac:dyDescent="0.25">
      <c r="A20" s="50">
        <v>18</v>
      </c>
      <c r="B20" s="50">
        <v>3.7699111843077517</v>
      </c>
      <c r="C20" s="50">
        <v>-0.48127635421609938</v>
      </c>
    </row>
    <row r="21" spans="1:3" x14ac:dyDescent="0.25">
      <c r="A21" s="50">
        <v>19</v>
      </c>
      <c r="B21" s="50">
        <v>3.9793506945470711</v>
      </c>
      <c r="C21" s="50">
        <v>-0.33927941399176736</v>
      </c>
    </row>
    <row r="22" spans="1:3" x14ac:dyDescent="0.25">
      <c r="A22" s="50">
        <v>20</v>
      </c>
      <c r="B22" s="50">
        <v>4.1887902047863905</v>
      </c>
      <c r="C22" s="50">
        <v>-0.66663393104980051</v>
      </c>
    </row>
    <row r="23" spans="1:3" x14ac:dyDescent="0.25">
      <c r="A23" s="50">
        <v>21</v>
      </c>
      <c r="B23" s="50">
        <v>4.3982297150257104</v>
      </c>
      <c r="C23" s="50">
        <v>-0.82049127729304749</v>
      </c>
    </row>
    <row r="24" spans="1:3" x14ac:dyDescent="0.25">
      <c r="A24" s="50">
        <v>22</v>
      </c>
      <c r="B24" s="50">
        <v>4.6076692252650293</v>
      </c>
      <c r="C24" s="50">
        <v>-0.93606956280844389</v>
      </c>
    </row>
    <row r="25" spans="1:3" x14ac:dyDescent="0.25">
      <c r="A25" s="50">
        <v>23</v>
      </c>
      <c r="B25" s="50">
        <v>4.8171087355043491</v>
      </c>
      <c r="C25" s="50">
        <v>-0.70020245579705642</v>
      </c>
    </row>
    <row r="26" spans="1:3" x14ac:dyDescent="0.25">
      <c r="A26" s="50">
        <v>24</v>
      </c>
      <c r="B26" s="50">
        <v>5.026548245743669</v>
      </c>
      <c r="C26" s="50">
        <v>-0.48320257654754589</v>
      </c>
    </row>
    <row r="27" spans="1:3" x14ac:dyDescent="0.25">
      <c r="A27" s="50">
        <v>25</v>
      </c>
      <c r="B27" s="50">
        <v>5.2359877559829888</v>
      </c>
      <c r="C27" s="50">
        <v>2.507130588071016E-2</v>
      </c>
    </row>
    <row r="28" spans="1:3" x14ac:dyDescent="0.25">
      <c r="A28" s="50">
        <v>26</v>
      </c>
      <c r="B28" s="50">
        <v>5.4454272662223087</v>
      </c>
      <c r="C28" s="50">
        <v>0.14363276847356277</v>
      </c>
    </row>
    <row r="29" spans="1:3" x14ac:dyDescent="0.25">
      <c r="A29" s="50">
        <v>27</v>
      </c>
      <c r="B29" s="50">
        <v>5.6548667764616276</v>
      </c>
      <c r="C29" s="50">
        <v>0.25366487237671459</v>
      </c>
    </row>
    <row r="30" spans="1:3" x14ac:dyDescent="0.25">
      <c r="A30" s="50">
        <v>28</v>
      </c>
      <c r="B30" s="50">
        <v>5.8643062867009474</v>
      </c>
      <c r="C30" s="50">
        <v>1.2946583886008181</v>
      </c>
    </row>
    <row r="31" spans="1:3" x14ac:dyDescent="0.25">
      <c r="A31" s="50">
        <v>29</v>
      </c>
      <c r="B31" s="50">
        <v>6.0737457969402673</v>
      </c>
      <c r="C31" s="50">
        <v>1.2745794914650472</v>
      </c>
    </row>
    <row r="32" spans="1:3" x14ac:dyDescent="0.25">
      <c r="A32" s="50">
        <v>30</v>
      </c>
      <c r="B32" s="50">
        <v>6.2831853071795853</v>
      </c>
      <c r="C32" s="50">
        <v>1.3982376248155151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x14ac:dyDescent="0.25">
      <c r="B2" s="50" t="s">
        <v>173</v>
      </c>
      <c r="C2" s="50" t="s">
        <v>18</v>
      </c>
      <c r="D2" s="50" t="s">
        <v>20</v>
      </c>
      <c r="E2" s="50" t="s">
        <v>19</v>
      </c>
      <c r="F2" s="50" t="s">
        <v>17</v>
      </c>
    </row>
    <row r="3" spans="1:10" x14ac:dyDescent="0.25">
      <c r="A3" s="50">
        <v>1</v>
      </c>
      <c r="B3" s="50">
        <v>0.20943951023931953</v>
      </c>
      <c r="C3" s="50">
        <f t="shared" ref="C3:C32" si="0">B3^2</f>
        <v>4.3864908449286033E-2</v>
      </c>
      <c r="D3" s="50">
        <f t="shared" ref="D3:D32" si="1">B3^3</f>
        <v>9.1870449423110557E-3</v>
      </c>
      <c r="E3" s="50">
        <v>-1.0584942919841807</v>
      </c>
      <c r="F3" s="50" cm="1">
        <f t="array" ref="F3:F32">TREND(E3:E32,B3:D32,B3:D32,1)</f>
        <v>-1.2888007502634404</v>
      </c>
      <c r="G3" s="50" cm="1">
        <f t="array" ref="G3:J7">LINEST(E3:E32,B3:D32,1,1)</f>
        <v>0.13072680831182865</v>
      </c>
      <c r="H3" s="50">
        <v>-1.2322254546610762</v>
      </c>
      <c r="I3" s="50">
        <v>3.1805413197669328</v>
      </c>
      <c r="J3" s="50">
        <v>-1.9020813028768835</v>
      </c>
    </row>
    <row r="4" spans="1:10" x14ac:dyDescent="0.25">
      <c r="A4" s="50">
        <v>2</v>
      </c>
      <c r="B4" s="50">
        <v>0.41887902047863906</v>
      </c>
      <c r="C4" s="50">
        <f t="shared" si="0"/>
        <v>0.17545963379714413</v>
      </c>
      <c r="D4" s="50">
        <f t="shared" si="1"/>
        <v>7.3496359538488445E-2</v>
      </c>
      <c r="E4" s="50">
        <v>-1.0115837814668849</v>
      </c>
      <c r="F4" s="50">
        <v>-0.77641715278641943</v>
      </c>
      <c r="G4" s="50">
        <v>1.0984176298449744E-2</v>
      </c>
      <c r="H4" s="50">
        <v>0.10838182968397431</v>
      </c>
      <c r="I4" s="50">
        <v>0.3054826840308264</v>
      </c>
      <c r="J4" s="50">
        <v>0.23282406038839545</v>
      </c>
    </row>
    <row r="5" spans="1:10" x14ac:dyDescent="0.25">
      <c r="A5" s="50">
        <v>3</v>
      </c>
      <c r="B5" s="50">
        <v>0.62831853071795862</v>
      </c>
      <c r="C5" s="50">
        <f t="shared" si="0"/>
        <v>0.3947841760435743</v>
      </c>
      <c r="D5" s="50">
        <f t="shared" si="1"/>
        <v>0.24805021344239853</v>
      </c>
      <c r="E5" s="50">
        <v>-0.67059413777823096</v>
      </c>
      <c r="F5" s="50">
        <v>-0.35772455206706644</v>
      </c>
      <c r="G5" s="50">
        <v>0.85739799271598294</v>
      </c>
      <c r="H5" s="50">
        <v>0.27983217634102292</v>
      </c>
      <c r="I5" s="50" t="e">
        <v>#N/A</v>
      </c>
      <c r="J5" s="50" t="e">
        <v>#N/A</v>
      </c>
    </row>
    <row r="6" spans="1:10" x14ac:dyDescent="0.25">
      <c r="A6" s="50">
        <v>4</v>
      </c>
      <c r="B6" s="50">
        <v>0.83775804095727813</v>
      </c>
      <c r="C6" s="50">
        <f t="shared" si="0"/>
        <v>0.70183853518857653</v>
      </c>
      <c r="D6" s="50">
        <f t="shared" si="1"/>
        <v>0.58797087630790756</v>
      </c>
      <c r="E6" s="50">
        <v>-7.8907528339460575E-2</v>
      </c>
      <c r="F6" s="50">
        <v>-2.5516989726627637E-2</v>
      </c>
      <c r="G6" s="50">
        <v>52.108541422834264</v>
      </c>
      <c r="H6" s="50">
        <v>26</v>
      </c>
      <c r="I6" s="50" t="e">
        <v>#N/A</v>
      </c>
      <c r="J6" s="50" t="e">
        <v>#N/A</v>
      </c>
    </row>
    <row r="7" spans="1:10" x14ac:dyDescent="0.25">
      <c r="A7" s="50">
        <v>5</v>
      </c>
      <c r="B7" s="50">
        <v>1.0471975511965976</v>
      </c>
      <c r="C7" s="50">
        <f t="shared" si="0"/>
        <v>1.0966227112321507</v>
      </c>
      <c r="D7" s="50">
        <f t="shared" si="1"/>
        <v>1.1483806177888818</v>
      </c>
      <c r="E7" s="50">
        <v>0.19372967770232674</v>
      </c>
      <c r="F7" s="50">
        <v>0.22741149261365079</v>
      </c>
      <c r="G7" s="50">
        <v>12.241241668103809</v>
      </c>
      <c r="H7" s="50">
        <v>2.0359572198095872</v>
      </c>
      <c r="I7" s="50" t="e">
        <v>#N/A</v>
      </c>
      <c r="J7" s="50" t="e">
        <v>#N/A</v>
      </c>
    </row>
    <row r="8" spans="1:10" x14ac:dyDescent="0.25">
      <c r="A8" s="50">
        <v>6</v>
      </c>
      <c r="B8" s="50">
        <v>1.2566370614359172</v>
      </c>
      <c r="C8" s="50">
        <f t="shared" si="0"/>
        <v>1.5791367041742972</v>
      </c>
      <c r="D8" s="50">
        <f t="shared" si="1"/>
        <v>1.9844017075391882</v>
      </c>
      <c r="E8" s="50">
        <v>0.71211759028393917</v>
      </c>
      <c r="F8" s="50">
        <v>0.40826685333252311</v>
      </c>
    </row>
    <row r="9" spans="1:10" x14ac:dyDescent="0.25">
      <c r="A9" s="50">
        <v>7</v>
      </c>
      <c r="B9" s="50">
        <v>1.4660765716752369</v>
      </c>
      <c r="C9" s="50">
        <f t="shared" si="0"/>
        <v>2.1493805140150157</v>
      </c>
      <c r="D9" s="50">
        <f t="shared" si="1"/>
        <v>3.1511564152126925</v>
      </c>
      <c r="E9" s="50">
        <v>0.46458641028249809</v>
      </c>
      <c r="F9" s="50">
        <v>0.52425505080874224</v>
      </c>
    </row>
    <row r="10" spans="1:10" x14ac:dyDescent="0.25">
      <c r="A10" s="50">
        <v>8</v>
      </c>
      <c r="B10" s="50">
        <v>1.6755160819145563</v>
      </c>
      <c r="C10" s="50">
        <f t="shared" si="0"/>
        <v>2.8073541407543061</v>
      </c>
      <c r="D10" s="50">
        <f t="shared" si="1"/>
        <v>4.7037670104632605</v>
      </c>
      <c r="E10" s="50">
        <v>1.0904375200021745</v>
      </c>
      <c r="F10" s="50">
        <v>0.58258204342106357</v>
      </c>
    </row>
    <row r="11" spans="1:10" x14ac:dyDescent="0.25">
      <c r="A11" s="50">
        <v>9</v>
      </c>
      <c r="B11" s="50">
        <v>1.8849555921538759</v>
      </c>
      <c r="C11" s="50">
        <f t="shared" si="0"/>
        <v>3.5530575843921688</v>
      </c>
      <c r="D11" s="50">
        <f t="shared" si="1"/>
        <v>6.6973557629447606</v>
      </c>
      <c r="E11" s="50">
        <v>0.73460352450894062</v>
      </c>
      <c r="F11" s="50">
        <v>0.59045378954824024</v>
      </c>
    </row>
    <row r="12" spans="1:10" x14ac:dyDescent="0.25">
      <c r="A12" s="50">
        <v>10</v>
      </c>
      <c r="B12" s="50">
        <v>2.0943951023931953</v>
      </c>
      <c r="C12" s="50">
        <f t="shared" si="0"/>
        <v>4.3864908449286029</v>
      </c>
      <c r="D12" s="50">
        <f t="shared" si="1"/>
        <v>9.1870449423110543</v>
      </c>
      <c r="E12" s="50">
        <v>0.65405740699127635</v>
      </c>
      <c r="F12" s="50">
        <v>0.5550762475690254</v>
      </c>
    </row>
    <row r="13" spans="1:10" x14ac:dyDescent="0.25">
      <c r="A13" s="50">
        <v>11</v>
      </c>
      <c r="B13" s="50">
        <v>2.3038346126325147</v>
      </c>
      <c r="C13" s="50">
        <f t="shared" si="0"/>
        <v>5.3076539223636088</v>
      </c>
      <c r="D13" s="50">
        <f t="shared" si="1"/>
        <v>12.227956818216011</v>
      </c>
      <c r="E13" s="50">
        <v>0.57004534084851322</v>
      </c>
      <c r="F13" s="50">
        <v>0.48365537586217577</v>
      </c>
    </row>
    <row r="14" spans="1:10" x14ac:dyDescent="0.25">
      <c r="A14" s="50">
        <v>12</v>
      </c>
      <c r="B14" s="50">
        <v>2.5132741228718345</v>
      </c>
      <c r="C14" s="50">
        <f t="shared" si="0"/>
        <v>6.3165468166971888</v>
      </c>
      <c r="D14" s="50">
        <f t="shared" si="1"/>
        <v>15.875213660313506</v>
      </c>
      <c r="E14" s="50">
        <v>-0.15194780570688993</v>
      </c>
      <c r="F14" s="50">
        <v>0.38339713280644183</v>
      </c>
    </row>
    <row r="15" spans="1:10" x14ac:dyDescent="0.25">
      <c r="A15" s="50">
        <v>13</v>
      </c>
      <c r="B15" s="50">
        <v>2.7227136331111543</v>
      </c>
      <c r="C15" s="50">
        <f t="shared" si="0"/>
        <v>7.4131695279293419</v>
      </c>
      <c r="D15" s="50">
        <f t="shared" si="1"/>
        <v>20.183937738257399</v>
      </c>
      <c r="E15" s="50">
        <v>4.9191643383140769E-2</v>
      </c>
      <c r="F15" s="50">
        <v>0.26150747678057851</v>
      </c>
    </row>
    <row r="16" spans="1:10" x14ac:dyDescent="0.25">
      <c r="A16" s="50">
        <v>14</v>
      </c>
      <c r="B16" s="50">
        <v>2.9321531433504737</v>
      </c>
      <c r="C16" s="50">
        <f t="shared" si="0"/>
        <v>8.5975220560600629</v>
      </c>
      <c r="D16" s="50">
        <f t="shared" si="1"/>
        <v>25.20925132170154</v>
      </c>
      <c r="E16" s="50">
        <v>-0.23766540139636769</v>
      </c>
      <c r="F16" s="50">
        <v>0.12519236616333984</v>
      </c>
    </row>
    <row r="17" spans="1:6" x14ac:dyDescent="0.25">
      <c r="A17" s="50">
        <v>15</v>
      </c>
      <c r="B17" s="50">
        <v>3.1415926535897927</v>
      </c>
      <c r="C17" s="50">
        <f t="shared" si="0"/>
        <v>9.8696044010893544</v>
      </c>
      <c r="D17" s="50">
        <f t="shared" si="1"/>
        <v>31.006276680299802</v>
      </c>
      <c r="E17" s="50">
        <v>7.2641248128490127E-2</v>
      </c>
      <c r="F17" s="50">
        <v>-1.8342240666517462E-2</v>
      </c>
    </row>
    <row r="18" spans="1:6" x14ac:dyDescent="0.25">
      <c r="A18" s="50">
        <v>16</v>
      </c>
      <c r="B18" s="50">
        <v>3.3510321638291125</v>
      </c>
      <c r="C18" s="50">
        <f t="shared" si="0"/>
        <v>11.229416563017224</v>
      </c>
      <c r="D18" s="50">
        <f t="shared" si="1"/>
        <v>37.630136083706084</v>
      </c>
      <c r="E18" s="50">
        <v>2.1344472249498331E-2</v>
      </c>
      <c r="F18" s="50">
        <v>-0.16189038533024558</v>
      </c>
    </row>
    <row r="19" spans="1:6" x14ac:dyDescent="0.25">
      <c r="A19" s="50">
        <v>17</v>
      </c>
      <c r="B19" s="50">
        <v>3.5604716740684323</v>
      </c>
      <c r="C19" s="50">
        <f t="shared" si="0"/>
        <v>12.676958541843666</v>
      </c>
      <c r="D19" s="50">
        <f t="shared" si="1"/>
        <v>45.13595180157423</v>
      </c>
      <c r="E19" s="50">
        <v>4.3416060207188134E-4</v>
      </c>
      <c r="F19" s="50">
        <v>-0.29824610944908514</v>
      </c>
    </row>
    <row r="20" spans="1:6" x14ac:dyDescent="0.25">
      <c r="A20" s="50">
        <v>18</v>
      </c>
      <c r="B20" s="50">
        <v>3.7699111843077517</v>
      </c>
      <c r="C20" s="50">
        <f t="shared" si="0"/>
        <v>14.212230337568675</v>
      </c>
      <c r="D20" s="50">
        <f t="shared" si="1"/>
        <v>53.578846103558085</v>
      </c>
      <c r="E20" s="50">
        <v>-0.48127635421609938</v>
      </c>
      <c r="F20" s="50">
        <v>-0.4202034546442821</v>
      </c>
    </row>
    <row r="21" spans="1:6" x14ac:dyDescent="0.25">
      <c r="A21" s="50">
        <v>19</v>
      </c>
      <c r="B21" s="50">
        <v>3.9793506945470711</v>
      </c>
      <c r="C21" s="50">
        <f t="shared" si="0"/>
        <v>15.835231950192258</v>
      </c>
      <c r="D21" s="50">
        <f t="shared" si="1"/>
        <v>63.01394125931153</v>
      </c>
      <c r="E21" s="50">
        <v>-0.33927941399176736</v>
      </c>
      <c r="F21" s="50">
        <v>-0.52055646253708687</v>
      </c>
    </row>
    <row r="22" spans="1:6" x14ac:dyDescent="0.25">
      <c r="A22" s="50">
        <v>20</v>
      </c>
      <c r="B22" s="50">
        <v>4.1887902047863905</v>
      </c>
      <c r="C22" s="50">
        <f t="shared" si="0"/>
        <v>17.545963379714411</v>
      </c>
      <c r="D22" s="50">
        <f t="shared" si="1"/>
        <v>73.496359538488434</v>
      </c>
      <c r="E22" s="50">
        <v>-0.66663393104980051</v>
      </c>
      <c r="F22" s="50">
        <v>-0.59209917474874629</v>
      </c>
    </row>
    <row r="23" spans="1:6" x14ac:dyDescent="0.25">
      <c r="A23" s="50">
        <v>21</v>
      </c>
      <c r="B23" s="50">
        <v>4.3982297150257104</v>
      </c>
      <c r="C23" s="50">
        <f t="shared" si="0"/>
        <v>19.34442462613514</v>
      </c>
      <c r="D23" s="50">
        <f t="shared" si="1"/>
        <v>85.081223210742692</v>
      </c>
      <c r="E23" s="50">
        <v>-0.82049127729304749</v>
      </c>
      <c r="F23" s="50">
        <v>-0.62762563290049656</v>
      </c>
    </row>
    <row r="24" spans="1:6" x14ac:dyDescent="0.25">
      <c r="A24" s="50">
        <v>22</v>
      </c>
      <c r="B24" s="50">
        <v>4.6076692252650293</v>
      </c>
      <c r="C24" s="50">
        <f t="shared" si="0"/>
        <v>21.230615689454435</v>
      </c>
      <c r="D24" s="50">
        <f t="shared" si="1"/>
        <v>97.82365454572809</v>
      </c>
      <c r="E24" s="50">
        <v>-0.93606956280844389</v>
      </c>
      <c r="F24" s="50">
        <v>-0.61992987861359516</v>
      </c>
    </row>
    <row r="25" spans="1:6" x14ac:dyDescent="0.25">
      <c r="A25" s="50">
        <v>23</v>
      </c>
      <c r="B25" s="50">
        <v>4.8171087355043491</v>
      </c>
      <c r="C25" s="50">
        <f t="shared" si="0"/>
        <v>23.20453656967231</v>
      </c>
      <c r="D25" s="50">
        <f t="shared" si="1"/>
        <v>111.7787758130986</v>
      </c>
      <c r="E25" s="50">
        <v>-0.70020245579705642</v>
      </c>
      <c r="F25" s="50">
        <v>-0.56180595350928364</v>
      </c>
    </row>
    <row r="26" spans="1:6" x14ac:dyDescent="0.25">
      <c r="A26" s="50">
        <v>24</v>
      </c>
      <c r="B26" s="50">
        <v>5.026548245743669</v>
      </c>
      <c r="C26" s="50">
        <f t="shared" si="0"/>
        <v>25.266187266788755</v>
      </c>
      <c r="D26" s="50">
        <f t="shared" si="1"/>
        <v>127.00170928250805</v>
      </c>
      <c r="E26" s="50">
        <v>-0.48320257654754589</v>
      </c>
      <c r="F26" s="50">
        <v>-0.4460478992088035</v>
      </c>
    </row>
    <row r="27" spans="1:6" x14ac:dyDescent="0.25">
      <c r="A27" s="50">
        <v>25</v>
      </c>
      <c r="B27" s="50">
        <v>5.2359877559829888</v>
      </c>
      <c r="C27" s="50">
        <f t="shared" si="0"/>
        <v>27.415567780803777</v>
      </c>
      <c r="D27" s="50">
        <f t="shared" si="1"/>
        <v>143.54757722361029</v>
      </c>
      <c r="E27" s="50">
        <v>2.507130588071016E-2</v>
      </c>
      <c r="F27" s="50">
        <v>-0.26544975733341403</v>
      </c>
    </row>
    <row r="28" spans="1:6" x14ac:dyDescent="0.25">
      <c r="A28" s="50">
        <v>26</v>
      </c>
      <c r="B28" s="50">
        <v>5.4454272662223087</v>
      </c>
      <c r="C28" s="50">
        <f t="shared" si="0"/>
        <v>29.652678111717368</v>
      </c>
      <c r="D28" s="50">
        <f t="shared" si="1"/>
        <v>161.47150190605919</v>
      </c>
      <c r="E28" s="50">
        <v>0.14363276847356277</v>
      </c>
      <c r="F28" s="50">
        <v>-1.2805569504340752E-2</v>
      </c>
    </row>
    <row r="29" spans="1:6" x14ac:dyDescent="0.25">
      <c r="A29" s="50">
        <v>27</v>
      </c>
      <c r="B29" s="50">
        <v>5.6548667764616276</v>
      </c>
      <c r="C29" s="50">
        <f t="shared" si="0"/>
        <v>31.977518259529518</v>
      </c>
      <c r="D29" s="50">
        <f t="shared" si="1"/>
        <v>180.82860559950853</v>
      </c>
      <c r="E29" s="50">
        <v>0.25366487237671459</v>
      </c>
      <c r="F29" s="50">
        <v>0.31909062265715349</v>
      </c>
    </row>
    <row r="30" spans="1:6" x14ac:dyDescent="0.25">
      <c r="A30" s="50">
        <v>28</v>
      </c>
      <c r="B30" s="50">
        <v>5.8643062867009474</v>
      </c>
      <c r="C30" s="50">
        <f t="shared" si="0"/>
        <v>34.390088224240252</v>
      </c>
      <c r="D30" s="50">
        <f t="shared" si="1"/>
        <v>201.67401057361232</v>
      </c>
      <c r="E30" s="50">
        <v>1.2946583886008181</v>
      </c>
      <c r="F30" s="50">
        <v>0.73744477752982007</v>
      </c>
    </row>
    <row r="31" spans="1:6" x14ac:dyDescent="0.25">
      <c r="A31" s="50">
        <v>29</v>
      </c>
      <c r="B31" s="50">
        <v>6.0737457969402673</v>
      </c>
      <c r="C31" s="50">
        <f t="shared" si="0"/>
        <v>36.890388005849566</v>
      </c>
      <c r="D31" s="50">
        <f t="shared" si="1"/>
        <v>224.06283909802445</v>
      </c>
      <c r="E31" s="50">
        <v>1.2745794914650472</v>
      </c>
      <c r="F31" s="50">
        <v>1.2494628534924281</v>
      </c>
    </row>
    <row r="32" spans="1:6" x14ac:dyDescent="0.25">
      <c r="A32" s="50">
        <v>30</v>
      </c>
      <c r="B32" s="50">
        <v>6.2831853071795853</v>
      </c>
      <c r="C32" s="50">
        <f t="shared" si="0"/>
        <v>39.478417604357418</v>
      </c>
      <c r="D32" s="50">
        <f t="shared" si="1"/>
        <v>248.05021344239842</v>
      </c>
      <c r="E32" s="50">
        <v>1.3982376248155151</v>
      </c>
      <c r="F32" s="50">
        <v>1.8623508089237184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50"/>
  </cols>
  <sheetData>
    <row r="2" spans="1:7" s="51" customFormat="1" x14ac:dyDescent="0.25">
      <c r="B2" s="51" t="s">
        <v>173</v>
      </c>
      <c r="C2" s="51" t="s">
        <v>176</v>
      </c>
      <c r="D2" s="51" t="s">
        <v>175</v>
      </c>
      <c r="E2" s="51" t="s">
        <v>174</v>
      </c>
      <c r="F2" s="51" t="s">
        <v>19</v>
      </c>
      <c r="G2" s="51" t="s">
        <v>17</v>
      </c>
    </row>
    <row r="3" spans="1:7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v>-1.0584942919841807</v>
      </c>
      <c r="G3" s="50" cm="1">
        <f t="array" ref="G3:G32">TREND(F3:F32,C3:E32,C3:E32,FALSE)</f>
        <v>0.10299523902023984</v>
      </c>
    </row>
    <row r="4" spans="1:7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v>-1.0115837814668849</v>
      </c>
      <c r="G4" s="50">
        <v>0.10299523902023984</v>
      </c>
    </row>
    <row r="5" spans="1:7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v>-0.67059413777823096</v>
      </c>
      <c r="G5" s="50">
        <v>0.10299523902023984</v>
      </c>
    </row>
    <row r="6" spans="1:7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v>-7.8907528339460575E-2</v>
      </c>
      <c r="G6" s="50">
        <v>0.10299523902023984</v>
      </c>
    </row>
    <row r="7" spans="1:7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v>0.19372967770232674</v>
      </c>
      <c r="G7" s="50">
        <v>0.10299523902023984</v>
      </c>
    </row>
    <row r="8" spans="1:7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v>0.71211759028393917</v>
      </c>
      <c r="G8" s="50">
        <v>0.10299523902023984</v>
      </c>
    </row>
    <row r="9" spans="1:7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v>0.46458641028249809</v>
      </c>
      <c r="G9" s="50">
        <v>0.10299523902023984</v>
      </c>
    </row>
    <row r="10" spans="1:7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v>1.0904375200021745</v>
      </c>
      <c r="G10" s="50">
        <v>0.10299523902023984</v>
      </c>
    </row>
    <row r="11" spans="1:7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v>0.73460352450894062</v>
      </c>
      <c r="G11" s="50">
        <v>0.10299523902023984</v>
      </c>
    </row>
    <row r="12" spans="1:7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v>0.65405740699127635</v>
      </c>
      <c r="G12" s="50">
        <v>0.10299523902023984</v>
      </c>
    </row>
    <row r="13" spans="1:7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v>0.57004534084851322</v>
      </c>
      <c r="G13" s="50">
        <v>-0.11631460411492099</v>
      </c>
    </row>
    <row r="14" spans="1:7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v>-0.15194780570688993</v>
      </c>
      <c r="G14" s="50">
        <v>-0.11631460411492099</v>
      </c>
    </row>
    <row r="15" spans="1:7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v>4.9191643383140769E-2</v>
      </c>
      <c r="G15" s="50">
        <v>-0.11631460411492099</v>
      </c>
    </row>
    <row r="16" spans="1:7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v>-0.23766540139636769</v>
      </c>
      <c r="G16" s="50">
        <v>-0.11631460411492099</v>
      </c>
    </row>
    <row r="17" spans="1:7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v>7.2641248128490127E-2</v>
      </c>
      <c r="G17" s="50">
        <v>-0.11631460411492099</v>
      </c>
    </row>
    <row r="18" spans="1:7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v>2.1344472249498331E-2</v>
      </c>
      <c r="G18" s="50">
        <v>-0.11631460411492099</v>
      </c>
    </row>
    <row r="19" spans="1:7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v>4.3416060207188134E-4</v>
      </c>
      <c r="G19" s="50">
        <v>-0.11631460411492099</v>
      </c>
    </row>
    <row r="20" spans="1:7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v>-0.48127635421609938</v>
      </c>
      <c r="G20" s="50">
        <v>-0.11631460411492099</v>
      </c>
    </row>
    <row r="21" spans="1:7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v>-0.33927941399176736</v>
      </c>
      <c r="G21" s="50">
        <v>-0.11631460411492099</v>
      </c>
    </row>
    <row r="22" spans="1:7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v>-0.66663393104980051</v>
      </c>
      <c r="G22" s="50">
        <v>-0.11631460411492099</v>
      </c>
    </row>
    <row r="23" spans="1:7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v>-0.82049127729304749</v>
      </c>
      <c r="G23" s="50">
        <v>0.14498785791662738</v>
      </c>
    </row>
    <row r="24" spans="1:7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v>-0.93606956280844389</v>
      </c>
      <c r="G24" s="50">
        <v>0.14498785791662738</v>
      </c>
    </row>
    <row r="25" spans="1:7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v>-0.70020245579705642</v>
      </c>
      <c r="G25" s="50">
        <v>0.14498785791662738</v>
      </c>
    </row>
    <row r="26" spans="1:7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v>-0.48320257654754589</v>
      </c>
      <c r="G26" s="50">
        <v>0.14498785791662738</v>
      </c>
    </row>
    <row r="27" spans="1:7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v>2.507130588071016E-2</v>
      </c>
      <c r="G27" s="50">
        <v>0.14498785791662738</v>
      </c>
    </row>
    <row r="28" spans="1:7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v>0.14363276847356277</v>
      </c>
      <c r="G28" s="50">
        <v>0.14498785791662738</v>
      </c>
    </row>
    <row r="29" spans="1:7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v>0.25366487237671459</v>
      </c>
      <c r="G29" s="50">
        <v>0.14498785791662738</v>
      </c>
    </row>
    <row r="30" spans="1:7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v>1.2946583886008181</v>
      </c>
      <c r="G30" s="50">
        <v>0.14498785791662738</v>
      </c>
    </row>
    <row r="31" spans="1:7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v>1.2745794914650472</v>
      </c>
      <c r="G31" s="50">
        <v>0.14498785791662738</v>
      </c>
    </row>
    <row r="32" spans="1:7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v>1.3982376248155151</v>
      </c>
      <c r="G32" s="50">
        <v>0.14498785791662738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s="51" customFormat="1" x14ac:dyDescent="0.25">
      <c r="B2" s="51" t="s">
        <v>173</v>
      </c>
      <c r="C2" s="51" t="s">
        <v>176</v>
      </c>
      <c r="D2" s="51" t="s">
        <v>175</v>
      </c>
      <c r="E2" s="51" t="s">
        <v>174</v>
      </c>
      <c r="F2" s="51" t="s">
        <v>179</v>
      </c>
      <c r="G2" s="51" t="s">
        <v>178</v>
      </c>
      <c r="H2" s="51" t="s">
        <v>177</v>
      </c>
      <c r="I2" s="51" t="s">
        <v>19</v>
      </c>
      <c r="J2" s="51" t="s">
        <v>17</v>
      </c>
    </row>
    <row r="3" spans="1:10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f t="shared" ref="F3:F32" si="0">$B3*C3</f>
        <v>0.20943951023931953</v>
      </c>
      <c r="G3" s="50">
        <f t="shared" ref="G3:G32" si="1">$B3*D3</f>
        <v>0</v>
      </c>
      <c r="H3" s="50">
        <f t="shared" ref="H3:H32" si="2">$B3*E3</f>
        <v>0</v>
      </c>
      <c r="I3" s="50">
        <v>-1.0584942919841807</v>
      </c>
      <c r="J3" s="50" cm="1">
        <f t="array" ref="J3:J32">TREND(I3:I32,C3:H32,C3:H32,FALSE)</f>
        <v>-0.94946760961501697</v>
      </c>
    </row>
    <row r="4" spans="1:10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f t="shared" si="0"/>
        <v>0.41887902047863906</v>
      </c>
      <c r="G4" s="50">
        <f t="shared" si="1"/>
        <v>0</v>
      </c>
      <c r="H4" s="50">
        <f t="shared" si="2"/>
        <v>0</v>
      </c>
      <c r="I4" s="50">
        <v>-1.0115837814668849</v>
      </c>
      <c r="J4" s="50">
        <v>-0.71558697658496018</v>
      </c>
    </row>
    <row r="5" spans="1:10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f t="shared" si="0"/>
        <v>0.62831853071795862</v>
      </c>
      <c r="G5" s="50">
        <f t="shared" si="1"/>
        <v>0</v>
      </c>
      <c r="H5" s="50">
        <f t="shared" si="2"/>
        <v>0</v>
      </c>
      <c r="I5" s="50">
        <v>-0.67059413777823096</v>
      </c>
      <c r="J5" s="50">
        <v>-0.48170634355490327</v>
      </c>
    </row>
    <row r="6" spans="1:10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f t="shared" si="0"/>
        <v>0.83775804095727813</v>
      </c>
      <c r="G6" s="50">
        <f t="shared" si="1"/>
        <v>0</v>
      </c>
      <c r="H6" s="50">
        <f t="shared" si="2"/>
        <v>0</v>
      </c>
      <c r="I6" s="50">
        <v>-7.8907528339460575E-2</v>
      </c>
      <c r="J6" s="50">
        <v>-0.24782571052484648</v>
      </c>
    </row>
    <row r="7" spans="1:10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f t="shared" si="0"/>
        <v>1.0471975511965976</v>
      </c>
      <c r="G7" s="50">
        <f t="shared" si="1"/>
        <v>0</v>
      </c>
      <c r="H7" s="50">
        <f t="shared" si="2"/>
        <v>0</v>
      </c>
      <c r="I7" s="50">
        <v>0.19372967770232674</v>
      </c>
      <c r="J7" s="50">
        <v>-1.3945077494789571E-2</v>
      </c>
    </row>
    <row r="8" spans="1:10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f t="shared" si="0"/>
        <v>1.2566370614359172</v>
      </c>
      <c r="G8" s="50">
        <f t="shared" si="1"/>
        <v>0</v>
      </c>
      <c r="H8" s="50">
        <f t="shared" si="2"/>
        <v>0</v>
      </c>
      <c r="I8" s="50">
        <v>0.71211759028393917</v>
      </c>
      <c r="J8" s="50">
        <v>0.21993555553526734</v>
      </c>
    </row>
    <row r="9" spans="1:10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f t="shared" si="0"/>
        <v>1.4660765716752369</v>
      </c>
      <c r="G9" s="50">
        <f t="shared" si="1"/>
        <v>0</v>
      </c>
      <c r="H9" s="50">
        <f t="shared" si="2"/>
        <v>0</v>
      </c>
      <c r="I9" s="50">
        <v>0.46458641028249809</v>
      </c>
      <c r="J9" s="50">
        <v>0.45381618856532424</v>
      </c>
    </row>
    <row r="10" spans="1:10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f t="shared" si="0"/>
        <v>1.6755160819145563</v>
      </c>
      <c r="G10" s="50">
        <f t="shared" si="1"/>
        <v>0</v>
      </c>
      <c r="H10" s="50">
        <f t="shared" si="2"/>
        <v>0</v>
      </c>
      <c r="I10" s="50">
        <v>1.0904375200021745</v>
      </c>
      <c r="J10" s="50">
        <v>0.68769682159538092</v>
      </c>
    </row>
    <row r="11" spans="1:10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f t="shared" si="0"/>
        <v>1.8849555921538759</v>
      </c>
      <c r="G11" s="50">
        <f t="shared" si="1"/>
        <v>0</v>
      </c>
      <c r="H11" s="50">
        <f t="shared" si="2"/>
        <v>0</v>
      </c>
      <c r="I11" s="50">
        <v>0.73460352450894062</v>
      </c>
      <c r="J11" s="50">
        <v>0.92157745462543783</v>
      </c>
    </row>
    <row r="12" spans="1:10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f t="shared" si="0"/>
        <v>2.0943951023931953</v>
      </c>
      <c r="G12" s="50">
        <f t="shared" si="1"/>
        <v>0</v>
      </c>
      <c r="H12" s="50">
        <f t="shared" si="2"/>
        <v>0</v>
      </c>
      <c r="I12" s="50">
        <v>0.65405740699127635</v>
      </c>
      <c r="J12" s="50">
        <v>1.1554580876554947</v>
      </c>
    </row>
    <row r="13" spans="1:10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f t="shared" si="0"/>
        <v>0</v>
      </c>
      <c r="G13" s="50">
        <f t="shared" si="1"/>
        <v>2.3038346126325147</v>
      </c>
      <c r="H13" s="50">
        <f t="shared" si="2"/>
        <v>0</v>
      </c>
      <c r="I13" s="50">
        <v>0.57004534084851322</v>
      </c>
      <c r="J13" s="50">
        <v>0.2772519263294112</v>
      </c>
    </row>
    <row r="14" spans="1:10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f t="shared" si="0"/>
        <v>0</v>
      </c>
      <c r="G14" s="50">
        <f t="shared" si="1"/>
        <v>2.5132741228718345</v>
      </c>
      <c r="H14" s="50">
        <f t="shared" si="2"/>
        <v>0</v>
      </c>
      <c r="I14" s="50">
        <v>-0.15194780570688993</v>
      </c>
      <c r="J14" s="50">
        <v>0.18979269734178184</v>
      </c>
    </row>
    <row r="15" spans="1:10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f t="shared" si="0"/>
        <v>0</v>
      </c>
      <c r="G15" s="50">
        <f t="shared" si="1"/>
        <v>2.7227136331111543</v>
      </c>
      <c r="H15" s="50">
        <f t="shared" si="2"/>
        <v>0</v>
      </c>
      <c r="I15" s="50">
        <v>4.9191643383140769E-2</v>
      </c>
      <c r="J15" s="50">
        <v>0.10233346835415236</v>
      </c>
    </row>
    <row r="16" spans="1:10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f t="shared" si="0"/>
        <v>0</v>
      </c>
      <c r="G16" s="50">
        <f t="shared" si="1"/>
        <v>2.9321531433504737</v>
      </c>
      <c r="H16" s="50">
        <f t="shared" si="2"/>
        <v>0</v>
      </c>
      <c r="I16" s="50">
        <v>-0.23766540139636769</v>
      </c>
      <c r="J16" s="50">
        <v>1.4874239366523101E-2</v>
      </c>
    </row>
    <row r="17" spans="1:10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f t="shared" si="0"/>
        <v>0</v>
      </c>
      <c r="G17" s="50">
        <f t="shared" si="1"/>
        <v>3.1415926535897927</v>
      </c>
      <c r="H17" s="50">
        <f t="shared" si="2"/>
        <v>0</v>
      </c>
      <c r="I17" s="50">
        <v>7.2641248128490127E-2</v>
      </c>
      <c r="J17" s="50">
        <v>-7.2584989621106155E-2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f t="shared" si="0"/>
        <v>0</v>
      </c>
      <c r="G18" s="50">
        <f t="shared" si="1"/>
        <v>3.3510321638291125</v>
      </c>
      <c r="H18" s="50">
        <f t="shared" si="2"/>
        <v>0</v>
      </c>
      <c r="I18" s="50">
        <v>2.1344472249498331E-2</v>
      </c>
      <c r="J18" s="50">
        <v>-0.16004421860873541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f t="shared" si="0"/>
        <v>0</v>
      </c>
      <c r="G19" s="50">
        <f t="shared" si="1"/>
        <v>3.5604716740684323</v>
      </c>
      <c r="H19" s="50">
        <f t="shared" si="2"/>
        <v>0</v>
      </c>
      <c r="I19" s="50">
        <v>4.3416060207188134E-4</v>
      </c>
      <c r="J19" s="50">
        <v>-0.24750344759636489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f t="shared" si="0"/>
        <v>0</v>
      </c>
      <c r="G20" s="50">
        <f t="shared" si="1"/>
        <v>3.7699111843077517</v>
      </c>
      <c r="H20" s="50">
        <f t="shared" si="2"/>
        <v>0</v>
      </c>
      <c r="I20" s="50">
        <v>-0.48127635421609938</v>
      </c>
      <c r="J20" s="50">
        <v>-0.33496267658399415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f t="shared" si="0"/>
        <v>0</v>
      </c>
      <c r="G21" s="50">
        <f t="shared" si="1"/>
        <v>3.9793506945470711</v>
      </c>
      <c r="H21" s="50">
        <f t="shared" si="2"/>
        <v>0</v>
      </c>
      <c r="I21" s="50">
        <v>-0.33927941399176736</v>
      </c>
      <c r="J21" s="50">
        <v>-0.4224219055716234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f t="shared" si="0"/>
        <v>0</v>
      </c>
      <c r="G22" s="50">
        <f t="shared" si="1"/>
        <v>4.1887902047863905</v>
      </c>
      <c r="H22" s="50">
        <f t="shared" si="2"/>
        <v>0</v>
      </c>
      <c r="I22" s="50">
        <v>-0.66663393104980051</v>
      </c>
      <c r="J22" s="50">
        <v>-0.50988113455925266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f t="shared" si="0"/>
        <v>0</v>
      </c>
      <c r="G23" s="50">
        <f t="shared" si="1"/>
        <v>0</v>
      </c>
      <c r="H23" s="50">
        <f t="shared" si="2"/>
        <v>4.3982297150257104</v>
      </c>
      <c r="I23" s="50">
        <v>-0.82049127729304749</v>
      </c>
      <c r="J23" s="50">
        <v>-1.1571913656355504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f t="shared" si="0"/>
        <v>0</v>
      </c>
      <c r="G24" s="50">
        <f t="shared" si="1"/>
        <v>0</v>
      </c>
      <c r="H24" s="50">
        <f t="shared" si="2"/>
        <v>4.6076692252650293</v>
      </c>
      <c r="I24" s="50">
        <v>-0.93606956280844389</v>
      </c>
      <c r="J24" s="50">
        <v>-0.867818204846178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f t="shared" si="0"/>
        <v>0</v>
      </c>
      <c r="G25" s="50">
        <f t="shared" si="1"/>
        <v>0</v>
      </c>
      <c r="H25" s="50">
        <f t="shared" si="2"/>
        <v>4.8171087355043491</v>
      </c>
      <c r="I25" s="50">
        <v>-0.70020245579705642</v>
      </c>
      <c r="J25" s="50">
        <v>-0.57844504405680475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f t="shared" si="0"/>
        <v>0</v>
      </c>
      <c r="G26" s="50">
        <f t="shared" si="1"/>
        <v>0</v>
      </c>
      <c r="H26" s="50">
        <f t="shared" si="2"/>
        <v>5.026548245743669</v>
      </c>
      <c r="I26" s="50">
        <v>-0.48320257654754589</v>
      </c>
      <c r="J26" s="50">
        <v>-0.2890718832674315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f t="shared" si="0"/>
        <v>0</v>
      </c>
      <c r="G27" s="50">
        <f t="shared" si="1"/>
        <v>0</v>
      </c>
      <c r="H27" s="50">
        <f t="shared" si="2"/>
        <v>5.2359877559829888</v>
      </c>
      <c r="I27" s="50">
        <v>2.507130588071016E-2</v>
      </c>
      <c r="J27" s="50">
        <v>3.0127752194175628E-4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f t="shared" si="0"/>
        <v>0</v>
      </c>
      <c r="G28" s="50">
        <f t="shared" si="1"/>
        <v>0</v>
      </c>
      <c r="H28" s="50">
        <f t="shared" si="2"/>
        <v>5.4454272662223087</v>
      </c>
      <c r="I28" s="50">
        <v>0.14363276847356277</v>
      </c>
      <c r="J28" s="50">
        <v>0.28967443831131501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f t="shared" si="0"/>
        <v>0</v>
      </c>
      <c r="G29" s="50">
        <f t="shared" si="1"/>
        <v>0</v>
      </c>
      <c r="H29" s="50">
        <f t="shared" si="2"/>
        <v>5.6548667764616276</v>
      </c>
      <c r="I29" s="50">
        <v>0.25366487237671459</v>
      </c>
      <c r="J29" s="50">
        <v>0.57904759910068648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f t="shared" si="0"/>
        <v>0</v>
      </c>
      <c r="G30" s="50">
        <f t="shared" si="1"/>
        <v>0</v>
      </c>
      <c r="H30" s="50">
        <f t="shared" si="2"/>
        <v>5.8643062867009474</v>
      </c>
      <c r="I30" s="50">
        <v>1.2946583886008181</v>
      </c>
      <c r="J30" s="50">
        <v>0.86842075989006062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f t="shared" si="0"/>
        <v>0</v>
      </c>
      <c r="G31" s="50">
        <f t="shared" si="1"/>
        <v>0</v>
      </c>
      <c r="H31" s="50">
        <f t="shared" si="2"/>
        <v>6.0737457969402673</v>
      </c>
      <c r="I31" s="50">
        <v>1.2745794914650472</v>
      </c>
      <c r="J31" s="50">
        <v>1.157793920679433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f t="shared" si="0"/>
        <v>0</v>
      </c>
      <c r="G32" s="50">
        <f t="shared" si="1"/>
        <v>0</v>
      </c>
      <c r="H32" s="50">
        <f t="shared" si="2"/>
        <v>6.2831853071795853</v>
      </c>
      <c r="I32" s="50">
        <v>1.3982376248155151</v>
      </c>
      <c r="J32" s="50">
        <v>1.4471670814688036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50"/>
  </cols>
  <sheetData>
    <row r="2" spans="1:17" s="51" customFormat="1" x14ac:dyDescent="0.25">
      <c r="B2" s="51" t="s">
        <v>173</v>
      </c>
      <c r="C2" s="51" t="s">
        <v>176</v>
      </c>
      <c r="D2" s="51" t="s">
        <v>175</v>
      </c>
      <c r="E2" s="51" t="s">
        <v>174</v>
      </c>
      <c r="F2" s="51" t="s">
        <v>179</v>
      </c>
      <c r="G2" s="51" t="s">
        <v>178</v>
      </c>
      <c r="H2" s="51" t="s">
        <v>177</v>
      </c>
      <c r="I2" s="51" t="s">
        <v>19</v>
      </c>
      <c r="J2" s="51" t="s">
        <v>17</v>
      </c>
    </row>
    <row r="3" spans="1:17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f t="shared" ref="F3:F32" si="0">$B3*C3</f>
        <v>0.20943951023931953</v>
      </c>
      <c r="G3" s="50">
        <f t="shared" ref="G3:G32" si="1">$B3*D3</f>
        <v>0</v>
      </c>
      <c r="H3" s="50">
        <f t="shared" ref="H3:H32" si="2">$B3*E3</f>
        <v>0</v>
      </c>
      <c r="I3" s="50">
        <v>-1.0584942919841807</v>
      </c>
      <c r="J3" s="50" cm="1">
        <f t="array" ref="J3:J32">TREND(I3:I32,C3:H32,C3:H32,FALSE)</f>
        <v>-0.94946760961501697</v>
      </c>
      <c r="K3" s="50" cm="1">
        <f t="array" ref="K3:Q7">LINEST(I3:I32,C3:H32,FALSE,TRUE)</f>
        <v>1.3816550681326354</v>
      </c>
      <c r="L3" s="50">
        <v>-0.41758705837161564</v>
      </c>
      <c r="M3" s="50">
        <v>1.1166977652058547</v>
      </c>
      <c r="N3" s="50">
        <v>-7.2340277422123798</v>
      </c>
      <c r="O3" s="50">
        <v>1.2393034451933336</v>
      </c>
      <c r="P3" s="50">
        <v>-1.1833482426450739</v>
      </c>
      <c r="Q3" s="50">
        <v>0</v>
      </c>
    </row>
    <row r="4" spans="1:17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f t="shared" si="0"/>
        <v>0.41887902047863906</v>
      </c>
      <c r="G4" s="50">
        <f t="shared" si="1"/>
        <v>0</v>
      </c>
      <c r="H4" s="50">
        <f t="shared" si="2"/>
        <v>0</v>
      </c>
      <c r="I4" s="50">
        <v>-1.0115837814668849</v>
      </c>
      <c r="J4" s="50">
        <v>-0.71558697658496018</v>
      </c>
      <c r="K4" s="50">
        <v>0.14520728871519786</v>
      </c>
      <c r="L4" s="50">
        <v>0.14520728871519789</v>
      </c>
      <c r="M4" s="50">
        <v>0.14520728871519786</v>
      </c>
      <c r="N4" s="50">
        <v>0.78041376285291653</v>
      </c>
      <c r="O4" s="50">
        <v>0.47941346385480721</v>
      </c>
      <c r="P4" s="50">
        <v>0.18870238743117199</v>
      </c>
      <c r="Q4" s="50" t="e">
        <v>#N/A</v>
      </c>
    </row>
    <row r="5" spans="1:17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f t="shared" si="0"/>
        <v>0.62831853071795862</v>
      </c>
      <c r="G5" s="50">
        <f t="shared" si="1"/>
        <v>0</v>
      </c>
      <c r="H5" s="50">
        <f t="shared" si="2"/>
        <v>0</v>
      </c>
      <c r="I5" s="50">
        <v>-0.67059413777823096</v>
      </c>
      <c r="J5" s="50">
        <v>-0.48170634355490327</v>
      </c>
      <c r="K5" s="50">
        <v>0.87224969932548324</v>
      </c>
      <c r="L5" s="50">
        <v>0.27623201048946444</v>
      </c>
      <c r="M5" s="50" t="e">
        <v>#N/A</v>
      </c>
      <c r="N5" s="50" t="e">
        <v>#N/A</v>
      </c>
      <c r="O5" s="50" t="e">
        <v>#N/A</v>
      </c>
      <c r="P5" s="50" t="e">
        <v>#N/A</v>
      </c>
      <c r="Q5" s="50" t="e">
        <v>#N/A</v>
      </c>
    </row>
    <row r="6" spans="1:17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f t="shared" si="0"/>
        <v>0.83775804095727813</v>
      </c>
      <c r="G6" s="50">
        <f t="shared" si="1"/>
        <v>0</v>
      </c>
      <c r="H6" s="50">
        <f t="shared" si="2"/>
        <v>0</v>
      </c>
      <c r="I6" s="50">
        <v>-7.8907528339460575E-2</v>
      </c>
      <c r="J6" s="50">
        <v>-0.24782571052484648</v>
      </c>
      <c r="K6" s="50">
        <v>27.311080904546987</v>
      </c>
      <c r="L6" s="50">
        <v>24</v>
      </c>
      <c r="M6" s="50" t="e">
        <v>#N/A</v>
      </c>
      <c r="N6" s="50" t="e">
        <v>#N/A</v>
      </c>
      <c r="O6" s="50" t="e">
        <v>#N/A</v>
      </c>
      <c r="P6" s="50" t="e">
        <v>#N/A</v>
      </c>
      <c r="Q6" s="50" t="e">
        <v>#N/A</v>
      </c>
    </row>
    <row r="7" spans="1:17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f t="shared" si="0"/>
        <v>1.0471975511965976</v>
      </c>
      <c r="G7" s="50">
        <f t="shared" si="1"/>
        <v>0</v>
      </c>
      <c r="H7" s="50">
        <f t="shared" si="2"/>
        <v>0</v>
      </c>
      <c r="I7" s="50">
        <v>0.19372967770232674</v>
      </c>
      <c r="J7" s="50">
        <v>-1.3945077494789571E-2</v>
      </c>
      <c r="K7" s="50">
        <v>12.503688561062837</v>
      </c>
      <c r="L7" s="50">
        <v>1.8312989668572386</v>
      </c>
      <c r="M7" s="50" t="e">
        <v>#N/A</v>
      </c>
      <c r="N7" s="50" t="e">
        <v>#N/A</v>
      </c>
      <c r="O7" s="50" t="e">
        <v>#N/A</v>
      </c>
      <c r="P7" s="50" t="e">
        <v>#N/A</v>
      </c>
      <c r="Q7" s="50" t="e">
        <v>#N/A</v>
      </c>
    </row>
    <row r="8" spans="1:17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v>0</v>
      </c>
      <c r="F8" s="50">
        <f t="shared" si="0"/>
        <v>1.2566370614359172</v>
      </c>
      <c r="G8" s="50">
        <f t="shared" si="1"/>
        <v>0</v>
      </c>
      <c r="H8" s="50">
        <f t="shared" si="2"/>
        <v>0</v>
      </c>
      <c r="I8" s="50">
        <v>0.71211759028393917</v>
      </c>
      <c r="J8" s="50">
        <v>0.21993555553526734</v>
      </c>
    </row>
    <row r="9" spans="1:17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v>0</v>
      </c>
      <c r="F9" s="50">
        <f t="shared" si="0"/>
        <v>1.4660765716752369</v>
      </c>
      <c r="G9" s="50">
        <f t="shared" si="1"/>
        <v>0</v>
      </c>
      <c r="H9" s="50">
        <f t="shared" si="2"/>
        <v>0</v>
      </c>
      <c r="I9" s="50">
        <v>0.46458641028249809</v>
      </c>
      <c r="J9" s="50">
        <v>0.45381618856532424</v>
      </c>
    </row>
    <row r="10" spans="1:17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v>0</v>
      </c>
      <c r="F10" s="50">
        <f t="shared" si="0"/>
        <v>1.6755160819145563</v>
      </c>
      <c r="G10" s="50">
        <f t="shared" si="1"/>
        <v>0</v>
      </c>
      <c r="H10" s="50">
        <f t="shared" si="2"/>
        <v>0</v>
      </c>
      <c r="I10" s="50">
        <v>1.0904375200021745</v>
      </c>
      <c r="J10" s="50">
        <v>0.68769682159538092</v>
      </c>
    </row>
    <row r="11" spans="1:17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v>0</v>
      </c>
      <c r="F11" s="50">
        <f t="shared" si="0"/>
        <v>1.8849555921538759</v>
      </c>
      <c r="G11" s="50">
        <f t="shared" si="1"/>
        <v>0</v>
      </c>
      <c r="H11" s="50">
        <f t="shared" si="2"/>
        <v>0</v>
      </c>
      <c r="I11" s="50">
        <v>0.73460352450894062</v>
      </c>
      <c r="J11" s="50">
        <v>0.92157745462543783</v>
      </c>
    </row>
    <row r="12" spans="1:17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v>0</v>
      </c>
      <c r="F12" s="50">
        <f t="shared" si="0"/>
        <v>2.0943951023931953</v>
      </c>
      <c r="G12" s="50">
        <f t="shared" si="1"/>
        <v>0</v>
      </c>
      <c r="H12" s="50">
        <f t="shared" si="2"/>
        <v>0</v>
      </c>
      <c r="I12" s="50">
        <v>0.65405740699127635</v>
      </c>
      <c r="J12" s="50">
        <v>1.1554580876554947</v>
      </c>
    </row>
    <row r="13" spans="1:17" x14ac:dyDescent="0.25">
      <c r="A13" s="50">
        <v>11</v>
      </c>
      <c r="B13" s="50">
        <v>2.3038346126325147</v>
      </c>
      <c r="C13" s="50">
        <v>0</v>
      </c>
      <c r="D13" s="50">
        <v>1</v>
      </c>
      <c r="E13" s="50">
        <v>0</v>
      </c>
      <c r="F13" s="50">
        <f t="shared" si="0"/>
        <v>0</v>
      </c>
      <c r="G13" s="50">
        <f t="shared" si="1"/>
        <v>2.3038346126325147</v>
      </c>
      <c r="H13" s="50">
        <f t="shared" si="2"/>
        <v>0</v>
      </c>
      <c r="I13" s="50">
        <v>0.57004534084851322</v>
      </c>
      <c r="J13" s="50">
        <v>0.2772519263294112</v>
      </c>
    </row>
    <row r="14" spans="1:17" x14ac:dyDescent="0.25">
      <c r="A14" s="50">
        <v>12</v>
      </c>
      <c r="B14" s="50">
        <v>2.5132741228718345</v>
      </c>
      <c r="C14" s="50">
        <v>0</v>
      </c>
      <c r="D14" s="50">
        <v>1</v>
      </c>
      <c r="E14" s="50">
        <v>0</v>
      </c>
      <c r="F14" s="50">
        <f t="shared" si="0"/>
        <v>0</v>
      </c>
      <c r="G14" s="50">
        <f t="shared" si="1"/>
        <v>2.5132741228718345</v>
      </c>
      <c r="H14" s="50">
        <f t="shared" si="2"/>
        <v>0</v>
      </c>
      <c r="I14" s="50">
        <v>-0.15194780570688993</v>
      </c>
      <c r="J14" s="50">
        <v>0.18979269734178184</v>
      </c>
    </row>
    <row r="15" spans="1:17" x14ac:dyDescent="0.25">
      <c r="A15" s="50">
        <v>13</v>
      </c>
      <c r="B15" s="50">
        <v>2.7227136331111543</v>
      </c>
      <c r="C15" s="50">
        <v>0</v>
      </c>
      <c r="D15" s="50">
        <v>1</v>
      </c>
      <c r="E15" s="50">
        <v>0</v>
      </c>
      <c r="F15" s="50">
        <f t="shared" si="0"/>
        <v>0</v>
      </c>
      <c r="G15" s="50">
        <f t="shared" si="1"/>
        <v>2.7227136331111543</v>
      </c>
      <c r="H15" s="50">
        <f t="shared" si="2"/>
        <v>0</v>
      </c>
      <c r="I15" s="50">
        <v>4.9191643383140769E-2</v>
      </c>
      <c r="J15" s="50">
        <v>0.10233346835415236</v>
      </c>
    </row>
    <row r="16" spans="1:17" x14ac:dyDescent="0.25">
      <c r="A16" s="50">
        <v>14</v>
      </c>
      <c r="B16" s="50">
        <v>2.9321531433504737</v>
      </c>
      <c r="C16" s="50">
        <v>0</v>
      </c>
      <c r="D16" s="50">
        <v>1</v>
      </c>
      <c r="E16" s="50">
        <v>0</v>
      </c>
      <c r="F16" s="50">
        <f t="shared" si="0"/>
        <v>0</v>
      </c>
      <c r="G16" s="50">
        <f t="shared" si="1"/>
        <v>2.9321531433504737</v>
      </c>
      <c r="H16" s="50">
        <f t="shared" si="2"/>
        <v>0</v>
      </c>
      <c r="I16" s="50">
        <v>-0.23766540139636769</v>
      </c>
      <c r="J16" s="50">
        <v>1.4874239366523101E-2</v>
      </c>
    </row>
    <row r="17" spans="1:10" x14ac:dyDescent="0.25">
      <c r="A17" s="50">
        <v>15</v>
      </c>
      <c r="B17" s="50">
        <v>3.1415926535897927</v>
      </c>
      <c r="C17" s="50">
        <v>0</v>
      </c>
      <c r="D17" s="50">
        <v>1</v>
      </c>
      <c r="E17" s="50">
        <v>0</v>
      </c>
      <c r="F17" s="50">
        <f t="shared" si="0"/>
        <v>0</v>
      </c>
      <c r="G17" s="50">
        <f t="shared" si="1"/>
        <v>3.1415926535897927</v>
      </c>
      <c r="H17" s="50">
        <f t="shared" si="2"/>
        <v>0</v>
      </c>
      <c r="I17" s="50">
        <v>7.2641248128490127E-2</v>
      </c>
      <c r="J17" s="50">
        <v>-7.2584989621106155E-2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v>0</v>
      </c>
      <c r="F18" s="50">
        <f t="shared" si="0"/>
        <v>0</v>
      </c>
      <c r="G18" s="50">
        <f t="shared" si="1"/>
        <v>3.3510321638291125</v>
      </c>
      <c r="H18" s="50">
        <f t="shared" si="2"/>
        <v>0</v>
      </c>
      <c r="I18" s="50">
        <v>2.1344472249498331E-2</v>
      </c>
      <c r="J18" s="50">
        <v>-0.16004421860873541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v>0</v>
      </c>
      <c r="F19" s="50">
        <f t="shared" si="0"/>
        <v>0</v>
      </c>
      <c r="G19" s="50">
        <f t="shared" si="1"/>
        <v>3.5604716740684323</v>
      </c>
      <c r="H19" s="50">
        <f t="shared" si="2"/>
        <v>0</v>
      </c>
      <c r="I19" s="50">
        <v>4.3416060207188134E-4</v>
      </c>
      <c r="J19" s="50">
        <v>-0.24750344759636489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v>0</v>
      </c>
      <c r="F20" s="50">
        <f t="shared" si="0"/>
        <v>0</v>
      </c>
      <c r="G20" s="50">
        <f t="shared" si="1"/>
        <v>3.7699111843077517</v>
      </c>
      <c r="H20" s="50">
        <f t="shared" si="2"/>
        <v>0</v>
      </c>
      <c r="I20" s="50">
        <v>-0.48127635421609938</v>
      </c>
      <c r="J20" s="50">
        <v>-0.33496267658399415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v>0</v>
      </c>
      <c r="F21" s="50">
        <f t="shared" si="0"/>
        <v>0</v>
      </c>
      <c r="G21" s="50">
        <f t="shared" si="1"/>
        <v>3.9793506945470711</v>
      </c>
      <c r="H21" s="50">
        <f t="shared" si="2"/>
        <v>0</v>
      </c>
      <c r="I21" s="50">
        <v>-0.33927941399176736</v>
      </c>
      <c r="J21" s="50">
        <v>-0.4224219055716234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v>0</v>
      </c>
      <c r="F22" s="50">
        <f t="shared" si="0"/>
        <v>0</v>
      </c>
      <c r="G22" s="50">
        <f t="shared" si="1"/>
        <v>4.1887902047863905</v>
      </c>
      <c r="H22" s="50">
        <f t="shared" si="2"/>
        <v>0</v>
      </c>
      <c r="I22" s="50">
        <v>-0.66663393104980051</v>
      </c>
      <c r="J22" s="50">
        <v>-0.50988113455925266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1</v>
      </c>
      <c r="F23" s="50">
        <f t="shared" si="0"/>
        <v>0</v>
      </c>
      <c r="G23" s="50">
        <f t="shared" si="1"/>
        <v>0</v>
      </c>
      <c r="H23" s="50">
        <f t="shared" si="2"/>
        <v>4.3982297150257104</v>
      </c>
      <c r="I23" s="50">
        <v>-0.82049127729304749</v>
      </c>
      <c r="J23" s="50">
        <v>-1.1571913656355504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1</v>
      </c>
      <c r="F24" s="50">
        <f t="shared" si="0"/>
        <v>0</v>
      </c>
      <c r="G24" s="50">
        <f t="shared" si="1"/>
        <v>0</v>
      </c>
      <c r="H24" s="50">
        <f t="shared" si="2"/>
        <v>4.6076692252650293</v>
      </c>
      <c r="I24" s="50">
        <v>-0.93606956280844389</v>
      </c>
      <c r="J24" s="50">
        <v>-0.867818204846178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1</v>
      </c>
      <c r="F25" s="50">
        <f t="shared" si="0"/>
        <v>0</v>
      </c>
      <c r="G25" s="50">
        <f t="shared" si="1"/>
        <v>0</v>
      </c>
      <c r="H25" s="50">
        <f t="shared" si="2"/>
        <v>4.8171087355043491</v>
      </c>
      <c r="I25" s="50">
        <v>-0.70020245579705642</v>
      </c>
      <c r="J25" s="50">
        <v>-0.57844504405680475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1</v>
      </c>
      <c r="F26" s="50">
        <f t="shared" si="0"/>
        <v>0</v>
      </c>
      <c r="G26" s="50">
        <f t="shared" si="1"/>
        <v>0</v>
      </c>
      <c r="H26" s="50">
        <f t="shared" si="2"/>
        <v>5.026548245743669</v>
      </c>
      <c r="I26" s="50">
        <v>-0.48320257654754589</v>
      </c>
      <c r="J26" s="50">
        <v>-0.2890718832674315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1</v>
      </c>
      <c r="F27" s="50">
        <f t="shared" si="0"/>
        <v>0</v>
      </c>
      <c r="G27" s="50">
        <f t="shared" si="1"/>
        <v>0</v>
      </c>
      <c r="H27" s="50">
        <f t="shared" si="2"/>
        <v>5.2359877559829888</v>
      </c>
      <c r="I27" s="50">
        <v>2.507130588071016E-2</v>
      </c>
      <c r="J27" s="50">
        <v>3.0127752194175628E-4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1</v>
      </c>
      <c r="F28" s="50">
        <f t="shared" si="0"/>
        <v>0</v>
      </c>
      <c r="G28" s="50">
        <f t="shared" si="1"/>
        <v>0</v>
      </c>
      <c r="H28" s="50">
        <f t="shared" si="2"/>
        <v>5.4454272662223087</v>
      </c>
      <c r="I28" s="50">
        <v>0.14363276847356277</v>
      </c>
      <c r="J28" s="50">
        <v>0.28967443831131501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1</v>
      </c>
      <c r="F29" s="50">
        <f t="shared" si="0"/>
        <v>0</v>
      </c>
      <c r="G29" s="50">
        <f t="shared" si="1"/>
        <v>0</v>
      </c>
      <c r="H29" s="50">
        <f t="shared" si="2"/>
        <v>5.6548667764616276</v>
      </c>
      <c r="I29" s="50">
        <v>0.25366487237671459</v>
      </c>
      <c r="J29" s="50">
        <v>0.57904759910068648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1</v>
      </c>
      <c r="F30" s="50">
        <f t="shared" si="0"/>
        <v>0</v>
      </c>
      <c r="G30" s="50">
        <f t="shared" si="1"/>
        <v>0</v>
      </c>
      <c r="H30" s="50">
        <f t="shared" si="2"/>
        <v>5.8643062867009474</v>
      </c>
      <c r="I30" s="50">
        <v>1.2946583886008181</v>
      </c>
      <c r="J30" s="50">
        <v>0.86842075989006062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1</v>
      </c>
      <c r="F31" s="50">
        <f t="shared" si="0"/>
        <v>0</v>
      </c>
      <c r="G31" s="50">
        <f t="shared" si="1"/>
        <v>0</v>
      </c>
      <c r="H31" s="50">
        <f t="shared" si="2"/>
        <v>6.0737457969402673</v>
      </c>
      <c r="I31" s="50">
        <v>1.2745794914650472</v>
      </c>
      <c r="J31" s="50">
        <v>1.157793920679433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1</v>
      </c>
      <c r="F32" s="50">
        <f t="shared" si="0"/>
        <v>0</v>
      </c>
      <c r="G32" s="50">
        <f t="shared" si="1"/>
        <v>0</v>
      </c>
      <c r="H32" s="50">
        <f t="shared" si="2"/>
        <v>6.2831853071795853</v>
      </c>
      <c r="I32" s="50">
        <v>1.3982376248155151</v>
      </c>
      <c r="J32" s="50">
        <v>1.4471670814688036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50" bestFit="1" customWidth="1"/>
    <col min="2" max="2" width="14" style="50" bestFit="1" customWidth="1"/>
    <col min="3" max="8" width="4.5" style="50" bestFit="1" customWidth="1"/>
    <col min="9" max="16" width="7.6640625" style="50" customWidth="1"/>
    <col min="17" max="16384" width="10.83203125" style="50"/>
  </cols>
  <sheetData>
    <row r="2" spans="1:16" s="51" customFormat="1" x14ac:dyDescent="0.25">
      <c r="B2" s="51" t="s">
        <v>173</v>
      </c>
      <c r="C2" s="51" t="s">
        <v>176</v>
      </c>
      <c r="D2" s="51" t="s">
        <v>175</v>
      </c>
      <c r="E2" s="51" t="s">
        <v>174</v>
      </c>
      <c r="F2" s="51" t="s">
        <v>185</v>
      </c>
      <c r="G2" s="51" t="s">
        <v>184</v>
      </c>
      <c r="H2" s="51" t="s">
        <v>183</v>
      </c>
      <c r="I2" s="51" t="s">
        <v>179</v>
      </c>
      <c r="J2" s="51" t="s">
        <v>178</v>
      </c>
      <c r="K2" s="51" t="s">
        <v>177</v>
      </c>
      <c r="L2" s="51" t="s">
        <v>182</v>
      </c>
      <c r="M2" s="51" t="s">
        <v>181</v>
      </c>
      <c r="N2" s="51" t="s">
        <v>180</v>
      </c>
      <c r="O2" s="51" t="s">
        <v>19</v>
      </c>
      <c r="P2" s="51" t="s">
        <v>17</v>
      </c>
    </row>
    <row r="3" spans="1:16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v>0</v>
      </c>
      <c r="F3" s="50">
        <v>0</v>
      </c>
      <c r="G3" s="50">
        <v>0</v>
      </c>
      <c r="H3" s="50">
        <v>0</v>
      </c>
      <c r="I3" s="50">
        <f t="shared" ref="I3:I32" si="0">$B3*C3</f>
        <v>0.20943951023931953</v>
      </c>
      <c r="J3" s="50">
        <f t="shared" ref="J3:J32" si="1">$B3*D3</f>
        <v>0</v>
      </c>
      <c r="K3" s="50">
        <f t="shared" ref="K3:K32" si="2">$B3*E3</f>
        <v>0</v>
      </c>
      <c r="L3" s="50">
        <f t="shared" ref="L3:L32" si="3">$B3*F3</f>
        <v>0</v>
      </c>
      <c r="M3" s="50">
        <f t="shared" ref="M3:M32" si="4">$B3*G3</f>
        <v>0</v>
      </c>
      <c r="N3" s="50">
        <f t="shared" ref="N3:N32" si="5">$B3*H3</f>
        <v>0</v>
      </c>
      <c r="O3" s="50">
        <v>-1.0584942919841807</v>
      </c>
      <c r="P3" s="50" cm="1">
        <f t="array" ref="P3:P32">TREND(O3:O32,C3:N32,C3:N32,FALSE)</f>
        <v>-1.2125948508733759</v>
      </c>
    </row>
    <row r="4" spans="1:16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v>0</v>
      </c>
      <c r="F4" s="50">
        <v>0</v>
      </c>
      <c r="G4" s="50">
        <v>0</v>
      </c>
      <c r="H4" s="50">
        <v>0</v>
      </c>
      <c r="I4" s="50">
        <f t="shared" si="0"/>
        <v>0.41887902047863906</v>
      </c>
      <c r="J4" s="50">
        <f t="shared" si="1"/>
        <v>0</v>
      </c>
      <c r="K4" s="50">
        <f t="shared" si="2"/>
        <v>0</v>
      </c>
      <c r="L4" s="50">
        <f t="shared" si="3"/>
        <v>0</v>
      </c>
      <c r="M4" s="50">
        <f t="shared" si="4"/>
        <v>0</v>
      </c>
      <c r="N4" s="50">
        <f t="shared" si="5"/>
        <v>0</v>
      </c>
      <c r="O4" s="50">
        <v>-1.0115837814668849</v>
      </c>
      <c r="P4" s="50">
        <v>-0.86888243162333156</v>
      </c>
    </row>
    <row r="5" spans="1:16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v>0</v>
      </c>
      <c r="F5" s="50">
        <v>0</v>
      </c>
      <c r="G5" s="50">
        <v>0</v>
      </c>
      <c r="H5" s="50">
        <v>0</v>
      </c>
      <c r="I5" s="50">
        <f t="shared" si="0"/>
        <v>0.62831853071795862</v>
      </c>
      <c r="J5" s="50">
        <f t="shared" si="1"/>
        <v>0</v>
      </c>
      <c r="K5" s="50">
        <f t="shared" si="2"/>
        <v>0</v>
      </c>
      <c r="L5" s="50">
        <f t="shared" si="3"/>
        <v>0</v>
      </c>
      <c r="M5" s="50">
        <f t="shared" si="4"/>
        <v>0</v>
      </c>
      <c r="N5" s="50">
        <f t="shared" si="5"/>
        <v>0</v>
      </c>
      <c r="O5" s="50">
        <v>-0.67059413777823096</v>
      </c>
      <c r="P5" s="50">
        <v>-0.5251700123732872</v>
      </c>
    </row>
    <row r="6" spans="1:16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v>0</v>
      </c>
      <c r="F6" s="50">
        <v>0</v>
      </c>
      <c r="G6" s="50">
        <v>0</v>
      </c>
      <c r="H6" s="50">
        <v>0</v>
      </c>
      <c r="I6" s="50">
        <f t="shared" si="0"/>
        <v>0.83775804095727813</v>
      </c>
      <c r="J6" s="50">
        <f t="shared" si="1"/>
        <v>0</v>
      </c>
      <c r="K6" s="50">
        <f t="shared" si="2"/>
        <v>0</v>
      </c>
      <c r="L6" s="50">
        <f t="shared" si="3"/>
        <v>0</v>
      </c>
      <c r="M6" s="50">
        <f t="shared" si="4"/>
        <v>0</v>
      </c>
      <c r="N6" s="50">
        <f t="shared" si="5"/>
        <v>0</v>
      </c>
      <c r="O6" s="50">
        <v>-7.8907528339460575E-2</v>
      </c>
      <c r="P6" s="50">
        <v>-0.18145759312324294</v>
      </c>
    </row>
    <row r="7" spans="1:16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f t="shared" si="0"/>
        <v>1.0471975511965976</v>
      </c>
      <c r="J7" s="50">
        <f t="shared" si="1"/>
        <v>0</v>
      </c>
      <c r="K7" s="50">
        <f t="shared" si="2"/>
        <v>0</v>
      </c>
      <c r="L7" s="50">
        <f t="shared" si="3"/>
        <v>0</v>
      </c>
      <c r="M7" s="50">
        <f t="shared" si="4"/>
        <v>0</v>
      </c>
      <c r="N7" s="50">
        <f t="shared" si="5"/>
        <v>0</v>
      </c>
      <c r="O7" s="50">
        <v>0.19372967770232674</v>
      </c>
      <c r="P7" s="50">
        <v>0.16225482612680131</v>
      </c>
    </row>
    <row r="8" spans="1:16" x14ac:dyDescent="0.25">
      <c r="A8" s="50">
        <v>6</v>
      </c>
      <c r="B8" s="50">
        <v>1.2566370614359172</v>
      </c>
      <c r="C8" s="50">
        <v>0</v>
      </c>
      <c r="D8" s="50">
        <v>1</v>
      </c>
      <c r="E8" s="50">
        <v>0</v>
      </c>
      <c r="F8" s="50">
        <v>0</v>
      </c>
      <c r="G8" s="50">
        <v>0</v>
      </c>
      <c r="H8" s="50">
        <v>0</v>
      </c>
      <c r="I8" s="50">
        <f t="shared" si="0"/>
        <v>0</v>
      </c>
      <c r="J8" s="50">
        <f t="shared" si="1"/>
        <v>1.2566370614359172</v>
      </c>
      <c r="K8" s="50">
        <f t="shared" si="2"/>
        <v>0</v>
      </c>
      <c r="L8" s="50">
        <f t="shared" si="3"/>
        <v>0</v>
      </c>
      <c r="M8" s="50">
        <f t="shared" si="4"/>
        <v>0</v>
      </c>
      <c r="N8" s="50">
        <f t="shared" si="5"/>
        <v>0</v>
      </c>
      <c r="O8" s="50">
        <v>0.71211759028393917</v>
      </c>
      <c r="P8" s="50">
        <v>0.70038114088554237</v>
      </c>
    </row>
    <row r="9" spans="1:16" x14ac:dyDescent="0.25">
      <c r="A9" s="50">
        <v>7</v>
      </c>
      <c r="B9" s="50">
        <v>1.4660765716752369</v>
      </c>
      <c r="C9" s="50">
        <v>0</v>
      </c>
      <c r="D9" s="50">
        <v>1</v>
      </c>
      <c r="E9" s="50">
        <v>0</v>
      </c>
      <c r="F9" s="50">
        <v>0</v>
      </c>
      <c r="G9" s="50">
        <v>0</v>
      </c>
      <c r="H9" s="50">
        <v>0</v>
      </c>
      <c r="I9" s="50">
        <f t="shared" si="0"/>
        <v>0</v>
      </c>
      <c r="J9" s="50">
        <f t="shared" si="1"/>
        <v>1.4660765716752369</v>
      </c>
      <c r="K9" s="50">
        <f t="shared" si="2"/>
        <v>0</v>
      </c>
      <c r="L9" s="50">
        <f t="shared" si="3"/>
        <v>0</v>
      </c>
      <c r="M9" s="50">
        <f t="shared" si="4"/>
        <v>0</v>
      </c>
      <c r="N9" s="50">
        <f t="shared" si="5"/>
        <v>0</v>
      </c>
      <c r="O9" s="50">
        <v>0.46458641028249809</v>
      </c>
      <c r="P9" s="50">
        <v>0.71577081564965417</v>
      </c>
    </row>
    <row r="10" spans="1:16" x14ac:dyDescent="0.25">
      <c r="A10" s="50">
        <v>8</v>
      </c>
      <c r="B10" s="50">
        <v>1.6755160819145563</v>
      </c>
      <c r="C10" s="50">
        <v>0</v>
      </c>
      <c r="D10" s="50">
        <v>1</v>
      </c>
      <c r="E10" s="50">
        <v>0</v>
      </c>
      <c r="F10" s="50">
        <v>0</v>
      </c>
      <c r="G10" s="50">
        <v>0</v>
      </c>
      <c r="H10" s="50">
        <v>0</v>
      </c>
      <c r="I10" s="50">
        <f t="shared" si="0"/>
        <v>0</v>
      </c>
      <c r="J10" s="50">
        <f t="shared" si="1"/>
        <v>1.6755160819145563</v>
      </c>
      <c r="K10" s="50">
        <f t="shared" si="2"/>
        <v>0</v>
      </c>
      <c r="L10" s="50">
        <f t="shared" si="3"/>
        <v>0</v>
      </c>
      <c r="M10" s="50">
        <f t="shared" si="4"/>
        <v>0</v>
      </c>
      <c r="N10" s="50">
        <f t="shared" si="5"/>
        <v>0</v>
      </c>
      <c r="O10" s="50">
        <v>1.0904375200021745</v>
      </c>
      <c r="P10" s="50">
        <v>0.73116049041376596</v>
      </c>
    </row>
    <row r="11" spans="1:16" x14ac:dyDescent="0.25">
      <c r="A11" s="50">
        <v>9</v>
      </c>
      <c r="B11" s="50">
        <v>1.8849555921538759</v>
      </c>
      <c r="C11" s="50">
        <v>0</v>
      </c>
      <c r="D11" s="50">
        <v>1</v>
      </c>
      <c r="E11" s="50">
        <v>0</v>
      </c>
      <c r="F11" s="50">
        <v>0</v>
      </c>
      <c r="G11" s="50">
        <v>0</v>
      </c>
      <c r="H11" s="50">
        <v>0</v>
      </c>
      <c r="I11" s="50">
        <f t="shared" si="0"/>
        <v>0</v>
      </c>
      <c r="J11" s="50">
        <f t="shared" si="1"/>
        <v>1.8849555921538759</v>
      </c>
      <c r="K11" s="50">
        <f t="shared" si="2"/>
        <v>0</v>
      </c>
      <c r="L11" s="50">
        <f t="shared" si="3"/>
        <v>0</v>
      </c>
      <c r="M11" s="50">
        <f t="shared" si="4"/>
        <v>0</v>
      </c>
      <c r="N11" s="50">
        <f t="shared" si="5"/>
        <v>0</v>
      </c>
      <c r="O11" s="50">
        <v>0.73460352450894062</v>
      </c>
      <c r="P11" s="50">
        <v>0.74655016517787776</v>
      </c>
    </row>
    <row r="12" spans="1:16" x14ac:dyDescent="0.25">
      <c r="A12" s="50">
        <v>10</v>
      </c>
      <c r="B12" s="50">
        <v>2.0943951023931953</v>
      </c>
      <c r="C12" s="50">
        <v>0</v>
      </c>
      <c r="D12" s="50">
        <v>1</v>
      </c>
      <c r="E12" s="50">
        <v>0</v>
      </c>
      <c r="F12" s="50">
        <v>0</v>
      </c>
      <c r="G12" s="50">
        <v>0</v>
      </c>
      <c r="H12" s="50">
        <v>0</v>
      </c>
      <c r="I12" s="50">
        <f t="shared" si="0"/>
        <v>0</v>
      </c>
      <c r="J12" s="50">
        <f t="shared" si="1"/>
        <v>2.0943951023931953</v>
      </c>
      <c r="K12" s="50">
        <f t="shared" si="2"/>
        <v>0</v>
      </c>
      <c r="L12" s="50">
        <f t="shared" si="3"/>
        <v>0</v>
      </c>
      <c r="M12" s="50">
        <f t="shared" si="4"/>
        <v>0</v>
      </c>
      <c r="N12" s="50">
        <f t="shared" si="5"/>
        <v>0</v>
      </c>
      <c r="O12" s="50">
        <v>0.65405740699127635</v>
      </c>
      <c r="P12" s="50">
        <v>0.76193983994198955</v>
      </c>
    </row>
    <row r="13" spans="1:16" x14ac:dyDescent="0.25">
      <c r="A13" s="50">
        <v>11</v>
      </c>
      <c r="B13" s="50">
        <v>2.3038346126325147</v>
      </c>
      <c r="C13" s="50">
        <v>0</v>
      </c>
      <c r="D13" s="50">
        <v>0</v>
      </c>
      <c r="E13" s="50">
        <v>1</v>
      </c>
      <c r="F13" s="50">
        <v>0</v>
      </c>
      <c r="G13" s="50">
        <v>0</v>
      </c>
      <c r="H13" s="50">
        <v>0</v>
      </c>
      <c r="I13" s="50">
        <f t="shared" si="0"/>
        <v>0</v>
      </c>
      <c r="J13" s="50">
        <f t="shared" si="1"/>
        <v>0</v>
      </c>
      <c r="K13" s="50">
        <f t="shared" si="2"/>
        <v>2.3038346126325147</v>
      </c>
      <c r="L13" s="50">
        <f t="shared" si="3"/>
        <v>0</v>
      </c>
      <c r="M13" s="50">
        <f t="shared" si="4"/>
        <v>0</v>
      </c>
      <c r="N13" s="50">
        <f t="shared" si="5"/>
        <v>0</v>
      </c>
      <c r="O13" s="50">
        <v>0.57004534084851322</v>
      </c>
      <c r="P13" s="50">
        <v>0.27655816127728228</v>
      </c>
    </row>
    <row r="14" spans="1:16" x14ac:dyDescent="0.25">
      <c r="A14" s="50">
        <v>12</v>
      </c>
      <c r="B14" s="50">
        <v>2.5132741228718345</v>
      </c>
      <c r="C14" s="50">
        <v>0</v>
      </c>
      <c r="D14" s="50">
        <v>0</v>
      </c>
      <c r="E14" s="50">
        <v>1</v>
      </c>
      <c r="F14" s="50">
        <v>0</v>
      </c>
      <c r="G14" s="50">
        <v>0</v>
      </c>
      <c r="H14" s="50">
        <v>0</v>
      </c>
      <c r="I14" s="50">
        <f t="shared" si="0"/>
        <v>0</v>
      </c>
      <c r="J14" s="50">
        <f t="shared" si="1"/>
        <v>0</v>
      </c>
      <c r="K14" s="50">
        <f t="shared" si="2"/>
        <v>2.5132741228718345</v>
      </c>
      <c r="L14" s="50">
        <f t="shared" si="3"/>
        <v>0</v>
      </c>
      <c r="M14" s="50">
        <f t="shared" si="4"/>
        <v>0</v>
      </c>
      <c r="N14" s="50">
        <f t="shared" si="5"/>
        <v>0</v>
      </c>
      <c r="O14" s="50">
        <v>-0.15194780570688993</v>
      </c>
      <c r="P14" s="50">
        <v>0.16850558316432962</v>
      </c>
    </row>
    <row r="15" spans="1:16" x14ac:dyDescent="0.25">
      <c r="A15" s="50">
        <v>13</v>
      </c>
      <c r="B15" s="50">
        <v>2.7227136331111543</v>
      </c>
      <c r="C15" s="50">
        <v>0</v>
      </c>
      <c r="D15" s="50">
        <v>0</v>
      </c>
      <c r="E15" s="50">
        <v>1</v>
      </c>
      <c r="F15" s="50">
        <v>0</v>
      </c>
      <c r="G15" s="50">
        <v>0</v>
      </c>
      <c r="H15" s="50">
        <v>0</v>
      </c>
      <c r="I15" s="50">
        <f t="shared" si="0"/>
        <v>0</v>
      </c>
      <c r="J15" s="50">
        <f t="shared" si="1"/>
        <v>0</v>
      </c>
      <c r="K15" s="50">
        <f t="shared" si="2"/>
        <v>2.7227136331111543</v>
      </c>
      <c r="L15" s="50">
        <f t="shared" si="3"/>
        <v>0</v>
      </c>
      <c r="M15" s="50">
        <f t="shared" si="4"/>
        <v>0</v>
      </c>
      <c r="N15" s="50">
        <f t="shared" si="5"/>
        <v>0</v>
      </c>
      <c r="O15" s="50">
        <v>4.9191643383140769E-2</v>
      </c>
      <c r="P15" s="50">
        <v>6.0453005051376962E-2</v>
      </c>
    </row>
    <row r="16" spans="1:16" x14ac:dyDescent="0.25">
      <c r="A16" s="50">
        <v>14</v>
      </c>
      <c r="B16" s="50">
        <v>2.9321531433504737</v>
      </c>
      <c r="C16" s="50">
        <v>0</v>
      </c>
      <c r="D16" s="50">
        <v>0</v>
      </c>
      <c r="E16" s="50">
        <v>1</v>
      </c>
      <c r="F16" s="50">
        <v>0</v>
      </c>
      <c r="G16" s="50">
        <v>0</v>
      </c>
      <c r="H16" s="50">
        <v>0</v>
      </c>
      <c r="I16" s="50">
        <f t="shared" si="0"/>
        <v>0</v>
      </c>
      <c r="J16" s="50">
        <f t="shared" si="1"/>
        <v>0</v>
      </c>
      <c r="K16" s="50">
        <f t="shared" si="2"/>
        <v>2.9321531433504737</v>
      </c>
      <c r="L16" s="50">
        <f t="shared" si="3"/>
        <v>0</v>
      </c>
      <c r="M16" s="50">
        <f t="shared" si="4"/>
        <v>0</v>
      </c>
      <c r="N16" s="50">
        <f t="shared" si="5"/>
        <v>0</v>
      </c>
      <c r="O16" s="50">
        <v>-0.23766540139636769</v>
      </c>
      <c r="P16" s="50">
        <v>-4.7599573061575473E-2</v>
      </c>
    </row>
    <row r="17" spans="1:16" x14ac:dyDescent="0.25">
      <c r="A17" s="50">
        <v>15</v>
      </c>
      <c r="B17" s="50">
        <v>3.1415926535897927</v>
      </c>
      <c r="C17" s="50">
        <v>0</v>
      </c>
      <c r="D17" s="50">
        <v>0</v>
      </c>
      <c r="E17" s="50">
        <v>1</v>
      </c>
      <c r="F17" s="50">
        <v>0</v>
      </c>
      <c r="G17" s="50">
        <v>0</v>
      </c>
      <c r="H17" s="50">
        <v>0</v>
      </c>
      <c r="I17" s="50">
        <f t="shared" si="0"/>
        <v>0</v>
      </c>
      <c r="J17" s="50">
        <f t="shared" si="1"/>
        <v>0</v>
      </c>
      <c r="K17" s="50">
        <f t="shared" si="2"/>
        <v>3.1415926535897927</v>
      </c>
      <c r="L17" s="50">
        <f t="shared" si="3"/>
        <v>0</v>
      </c>
      <c r="M17" s="50">
        <f t="shared" si="4"/>
        <v>0</v>
      </c>
      <c r="N17" s="50">
        <f t="shared" si="5"/>
        <v>0</v>
      </c>
      <c r="O17" s="50">
        <v>7.2641248128490127E-2</v>
      </c>
      <c r="P17" s="50">
        <v>-0.15565215117452746</v>
      </c>
    </row>
    <row r="18" spans="1:16" x14ac:dyDescent="0.25">
      <c r="A18" s="50">
        <v>16</v>
      </c>
      <c r="B18" s="50">
        <v>3.3510321638291125</v>
      </c>
      <c r="C18" s="50">
        <v>0</v>
      </c>
      <c r="D18" s="50">
        <v>0</v>
      </c>
      <c r="E18" s="50">
        <v>0</v>
      </c>
      <c r="F18" s="50">
        <v>1</v>
      </c>
      <c r="G18" s="50">
        <v>0</v>
      </c>
      <c r="H18" s="50">
        <v>0</v>
      </c>
      <c r="I18" s="50">
        <f t="shared" si="0"/>
        <v>0</v>
      </c>
      <c r="J18" s="50">
        <f t="shared" si="1"/>
        <v>0</v>
      </c>
      <c r="K18" s="50">
        <f t="shared" si="2"/>
        <v>0</v>
      </c>
      <c r="L18" s="50">
        <f t="shared" si="3"/>
        <v>3.3510321638291125</v>
      </c>
      <c r="M18" s="50">
        <f t="shared" si="4"/>
        <v>0</v>
      </c>
      <c r="N18" s="50">
        <f t="shared" si="5"/>
        <v>0</v>
      </c>
      <c r="O18" s="50">
        <v>2.1344472249498331E-2</v>
      </c>
      <c r="P18" s="50">
        <v>5.00518629572686E-2</v>
      </c>
    </row>
    <row r="19" spans="1:16" x14ac:dyDescent="0.25">
      <c r="A19" s="50">
        <v>17</v>
      </c>
      <c r="B19" s="50">
        <v>3.5604716740684323</v>
      </c>
      <c r="C19" s="50">
        <v>0</v>
      </c>
      <c r="D19" s="50">
        <v>0</v>
      </c>
      <c r="E19" s="50">
        <v>0</v>
      </c>
      <c r="F19" s="50">
        <v>1</v>
      </c>
      <c r="G19" s="50">
        <v>0</v>
      </c>
      <c r="H19" s="50">
        <v>0</v>
      </c>
      <c r="I19" s="50">
        <f t="shared" si="0"/>
        <v>0</v>
      </c>
      <c r="J19" s="50">
        <f t="shared" si="1"/>
        <v>0</v>
      </c>
      <c r="K19" s="50">
        <f t="shared" si="2"/>
        <v>0</v>
      </c>
      <c r="L19" s="50">
        <f t="shared" si="3"/>
        <v>3.5604716740684323</v>
      </c>
      <c r="M19" s="50">
        <f t="shared" si="4"/>
        <v>0</v>
      </c>
      <c r="N19" s="50">
        <f t="shared" si="5"/>
        <v>0</v>
      </c>
      <c r="O19" s="50">
        <v>4.3416060207188134E-4</v>
      </c>
      <c r="P19" s="50">
        <v>-0.12151517516197519</v>
      </c>
    </row>
    <row r="20" spans="1:16" x14ac:dyDescent="0.25">
      <c r="A20" s="50">
        <v>18</v>
      </c>
      <c r="B20" s="50">
        <v>3.7699111843077517</v>
      </c>
      <c r="C20" s="50">
        <v>0</v>
      </c>
      <c r="D20" s="50">
        <v>0</v>
      </c>
      <c r="E20" s="50">
        <v>0</v>
      </c>
      <c r="F20" s="50">
        <v>1</v>
      </c>
      <c r="G20" s="50">
        <v>0</v>
      </c>
      <c r="H20" s="50">
        <v>0</v>
      </c>
      <c r="I20" s="50">
        <f t="shared" si="0"/>
        <v>0</v>
      </c>
      <c r="J20" s="50">
        <f t="shared" si="1"/>
        <v>0</v>
      </c>
      <c r="K20" s="50">
        <f t="shared" si="2"/>
        <v>0</v>
      </c>
      <c r="L20" s="50">
        <f t="shared" si="3"/>
        <v>3.7699111843077517</v>
      </c>
      <c r="M20" s="50">
        <f t="shared" si="4"/>
        <v>0</v>
      </c>
      <c r="N20" s="50">
        <f t="shared" si="5"/>
        <v>0</v>
      </c>
      <c r="O20" s="50">
        <v>-0.48127635421609938</v>
      </c>
      <c r="P20" s="50">
        <v>-0.29308221328121853</v>
      </c>
    </row>
    <row r="21" spans="1:16" x14ac:dyDescent="0.25">
      <c r="A21" s="50">
        <v>19</v>
      </c>
      <c r="B21" s="50">
        <v>3.9793506945470711</v>
      </c>
      <c r="C21" s="50">
        <v>0</v>
      </c>
      <c r="D21" s="50">
        <v>0</v>
      </c>
      <c r="E21" s="50">
        <v>0</v>
      </c>
      <c r="F21" s="50">
        <v>1</v>
      </c>
      <c r="G21" s="50">
        <v>0</v>
      </c>
      <c r="H21" s="50">
        <v>0</v>
      </c>
      <c r="I21" s="50">
        <f t="shared" si="0"/>
        <v>0</v>
      </c>
      <c r="J21" s="50">
        <f t="shared" si="1"/>
        <v>0</v>
      </c>
      <c r="K21" s="50">
        <f t="shared" si="2"/>
        <v>0</v>
      </c>
      <c r="L21" s="50">
        <f t="shared" si="3"/>
        <v>3.9793506945470711</v>
      </c>
      <c r="M21" s="50">
        <f t="shared" si="4"/>
        <v>0</v>
      </c>
      <c r="N21" s="50">
        <f t="shared" si="5"/>
        <v>0</v>
      </c>
      <c r="O21" s="50">
        <v>-0.33927941399176736</v>
      </c>
      <c r="P21" s="50">
        <v>-0.46464925140046232</v>
      </c>
    </row>
    <row r="22" spans="1:16" x14ac:dyDescent="0.25">
      <c r="A22" s="50">
        <v>20</v>
      </c>
      <c r="B22" s="50">
        <v>4.1887902047863905</v>
      </c>
      <c r="C22" s="50">
        <v>0</v>
      </c>
      <c r="D22" s="50">
        <v>0</v>
      </c>
      <c r="E22" s="50">
        <v>0</v>
      </c>
      <c r="F22" s="50">
        <v>1</v>
      </c>
      <c r="G22" s="50">
        <v>0</v>
      </c>
      <c r="H22" s="50">
        <v>0</v>
      </c>
      <c r="I22" s="50">
        <f t="shared" si="0"/>
        <v>0</v>
      </c>
      <c r="J22" s="50">
        <f t="shared" si="1"/>
        <v>0</v>
      </c>
      <c r="K22" s="50">
        <f t="shared" si="2"/>
        <v>0</v>
      </c>
      <c r="L22" s="50">
        <f t="shared" si="3"/>
        <v>4.1887902047863905</v>
      </c>
      <c r="M22" s="50">
        <f t="shared" si="4"/>
        <v>0</v>
      </c>
      <c r="N22" s="50">
        <f t="shared" si="5"/>
        <v>0</v>
      </c>
      <c r="O22" s="50">
        <v>-0.66663393104980051</v>
      </c>
      <c r="P22" s="50">
        <v>-0.63621628951970566</v>
      </c>
    </row>
    <row r="23" spans="1:16" x14ac:dyDescent="0.25">
      <c r="A23" s="50">
        <v>21</v>
      </c>
      <c r="B23" s="50">
        <v>4.3982297150257104</v>
      </c>
      <c r="C23" s="50">
        <v>0</v>
      </c>
      <c r="D23" s="50">
        <v>0</v>
      </c>
      <c r="E23" s="50">
        <v>0</v>
      </c>
      <c r="F23" s="50">
        <v>0</v>
      </c>
      <c r="G23" s="50">
        <v>1</v>
      </c>
      <c r="H23" s="50">
        <v>0</v>
      </c>
      <c r="I23" s="50">
        <f t="shared" si="0"/>
        <v>0</v>
      </c>
      <c r="J23" s="50">
        <f t="shared" si="1"/>
        <v>0</v>
      </c>
      <c r="K23" s="50">
        <f t="shared" si="2"/>
        <v>0</v>
      </c>
      <c r="L23" s="50">
        <f t="shared" si="3"/>
        <v>0</v>
      </c>
      <c r="M23" s="50">
        <f t="shared" si="4"/>
        <v>4.3982297150257104</v>
      </c>
      <c r="N23" s="50">
        <f t="shared" si="5"/>
        <v>0</v>
      </c>
      <c r="O23" s="50">
        <v>-0.82049127729304749</v>
      </c>
      <c r="P23" s="50">
        <v>-1.0117773438347601</v>
      </c>
    </row>
    <row r="24" spans="1:16" x14ac:dyDescent="0.25">
      <c r="A24" s="50">
        <v>22</v>
      </c>
      <c r="B24" s="50">
        <v>4.6076692252650293</v>
      </c>
      <c r="C24" s="50">
        <v>0</v>
      </c>
      <c r="D24" s="50">
        <v>0</v>
      </c>
      <c r="E24" s="50">
        <v>0</v>
      </c>
      <c r="F24" s="50">
        <v>0</v>
      </c>
      <c r="G24" s="50">
        <v>1</v>
      </c>
      <c r="H24" s="50">
        <v>0</v>
      </c>
      <c r="I24" s="50">
        <f t="shared" si="0"/>
        <v>0</v>
      </c>
      <c r="J24" s="50">
        <f t="shared" si="1"/>
        <v>0</v>
      </c>
      <c r="K24" s="50">
        <f t="shared" si="2"/>
        <v>0</v>
      </c>
      <c r="L24" s="50">
        <f t="shared" si="3"/>
        <v>0</v>
      </c>
      <c r="M24" s="50">
        <f t="shared" si="4"/>
        <v>4.6076692252650293</v>
      </c>
      <c r="N24" s="50">
        <f t="shared" si="5"/>
        <v>0</v>
      </c>
      <c r="O24" s="50">
        <v>-0.93606956280844389</v>
      </c>
      <c r="P24" s="50">
        <v>-0.79737812857391965</v>
      </c>
    </row>
    <row r="25" spans="1:16" x14ac:dyDescent="0.25">
      <c r="A25" s="50">
        <v>23</v>
      </c>
      <c r="B25" s="50">
        <v>4.8171087355043491</v>
      </c>
      <c r="C25" s="50">
        <v>0</v>
      </c>
      <c r="D25" s="50">
        <v>0</v>
      </c>
      <c r="E25" s="50">
        <v>0</v>
      </c>
      <c r="F25" s="50">
        <v>0</v>
      </c>
      <c r="G25" s="50">
        <v>1</v>
      </c>
      <c r="H25" s="50">
        <v>0</v>
      </c>
      <c r="I25" s="50">
        <f t="shared" si="0"/>
        <v>0</v>
      </c>
      <c r="J25" s="50">
        <f t="shared" si="1"/>
        <v>0</v>
      </c>
      <c r="K25" s="50">
        <f t="shared" si="2"/>
        <v>0</v>
      </c>
      <c r="L25" s="50">
        <f t="shared" si="3"/>
        <v>0</v>
      </c>
      <c r="M25" s="50">
        <f t="shared" si="4"/>
        <v>4.8171087355043491</v>
      </c>
      <c r="N25" s="50">
        <f t="shared" si="5"/>
        <v>0</v>
      </c>
      <c r="O25" s="50">
        <v>-0.70020245579705642</v>
      </c>
      <c r="P25" s="50">
        <v>-0.58297891331307827</v>
      </c>
    </row>
    <row r="26" spans="1:16" x14ac:dyDescent="0.25">
      <c r="A26" s="50">
        <v>24</v>
      </c>
      <c r="B26" s="50">
        <v>5.026548245743669</v>
      </c>
      <c r="C26" s="50">
        <v>0</v>
      </c>
      <c r="D26" s="50">
        <v>0</v>
      </c>
      <c r="E26" s="50">
        <v>0</v>
      </c>
      <c r="F26" s="50">
        <v>0</v>
      </c>
      <c r="G26" s="50">
        <v>1</v>
      </c>
      <c r="H26" s="50">
        <v>0</v>
      </c>
      <c r="I26" s="50">
        <f t="shared" si="0"/>
        <v>0</v>
      </c>
      <c r="J26" s="50">
        <f t="shared" si="1"/>
        <v>0</v>
      </c>
      <c r="K26" s="50">
        <f t="shared" si="2"/>
        <v>0</v>
      </c>
      <c r="L26" s="50">
        <f t="shared" si="3"/>
        <v>0</v>
      </c>
      <c r="M26" s="50">
        <f t="shared" si="4"/>
        <v>5.026548245743669</v>
      </c>
      <c r="N26" s="50">
        <f t="shared" si="5"/>
        <v>0</v>
      </c>
      <c r="O26" s="50">
        <v>-0.48320257654754589</v>
      </c>
      <c r="P26" s="50">
        <v>-0.368579698052236</v>
      </c>
    </row>
    <row r="27" spans="1:16" x14ac:dyDescent="0.25">
      <c r="A27" s="50">
        <v>25</v>
      </c>
      <c r="B27" s="50">
        <v>5.2359877559829888</v>
      </c>
      <c r="C27" s="50">
        <v>0</v>
      </c>
      <c r="D27" s="50">
        <v>0</v>
      </c>
      <c r="E27" s="50">
        <v>0</v>
      </c>
      <c r="F27" s="50">
        <v>0</v>
      </c>
      <c r="G27" s="50">
        <v>1</v>
      </c>
      <c r="H27" s="50">
        <v>0</v>
      </c>
      <c r="I27" s="50">
        <f t="shared" si="0"/>
        <v>0</v>
      </c>
      <c r="J27" s="50">
        <f t="shared" si="1"/>
        <v>0</v>
      </c>
      <c r="K27" s="50">
        <f t="shared" si="2"/>
        <v>0</v>
      </c>
      <c r="L27" s="50">
        <f t="shared" si="3"/>
        <v>0</v>
      </c>
      <c r="M27" s="50">
        <f t="shared" si="4"/>
        <v>5.2359877559829888</v>
      </c>
      <c r="N27" s="50">
        <f t="shared" si="5"/>
        <v>0</v>
      </c>
      <c r="O27" s="50">
        <v>2.507130588071016E-2</v>
      </c>
      <c r="P27" s="50">
        <v>-0.15418048279139462</v>
      </c>
    </row>
    <row r="28" spans="1:16" x14ac:dyDescent="0.25">
      <c r="A28" s="50">
        <v>26</v>
      </c>
      <c r="B28" s="50">
        <v>5.4454272662223087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1</v>
      </c>
      <c r="I28" s="50">
        <f t="shared" si="0"/>
        <v>0</v>
      </c>
      <c r="J28" s="50">
        <f t="shared" si="1"/>
        <v>0</v>
      </c>
      <c r="K28" s="50">
        <f t="shared" si="2"/>
        <v>0</v>
      </c>
      <c r="L28" s="50">
        <f t="shared" si="3"/>
        <v>0</v>
      </c>
      <c r="M28" s="50">
        <f t="shared" si="4"/>
        <v>0</v>
      </c>
      <c r="N28" s="50">
        <f t="shared" si="5"/>
        <v>5.4454272662223087</v>
      </c>
      <c r="O28" s="50">
        <v>0.14363276847356277</v>
      </c>
      <c r="P28" s="50">
        <v>0.16692976279188443</v>
      </c>
    </row>
    <row r="29" spans="1:16" x14ac:dyDescent="0.25">
      <c r="A29" s="50">
        <v>27</v>
      </c>
      <c r="B29" s="50">
        <v>5.6548667764616276</v>
      </c>
      <c r="C29" s="50">
        <v>0</v>
      </c>
      <c r="D29" s="50">
        <v>0</v>
      </c>
      <c r="E29" s="50">
        <v>0</v>
      </c>
      <c r="F29" s="50">
        <v>0</v>
      </c>
      <c r="G29" s="50">
        <v>0</v>
      </c>
      <c r="H29" s="50">
        <v>1</v>
      </c>
      <c r="I29" s="50">
        <f t="shared" si="0"/>
        <v>0</v>
      </c>
      <c r="J29" s="50">
        <f t="shared" si="1"/>
        <v>0</v>
      </c>
      <c r="K29" s="50">
        <f t="shared" si="2"/>
        <v>0</v>
      </c>
      <c r="L29" s="50">
        <f t="shared" si="3"/>
        <v>0</v>
      </c>
      <c r="M29" s="50">
        <f t="shared" si="4"/>
        <v>0</v>
      </c>
      <c r="N29" s="50">
        <f t="shared" si="5"/>
        <v>5.6548667764616276</v>
      </c>
      <c r="O29" s="50">
        <v>0.25366487237671459</v>
      </c>
      <c r="P29" s="50">
        <v>0.51994219596910796</v>
      </c>
    </row>
    <row r="30" spans="1:16" x14ac:dyDescent="0.25">
      <c r="A30" s="50">
        <v>28</v>
      </c>
      <c r="B30" s="50">
        <v>5.8643062867009474</v>
      </c>
      <c r="C30" s="50">
        <v>0</v>
      </c>
      <c r="D30" s="50">
        <v>0</v>
      </c>
      <c r="E30" s="50">
        <v>0</v>
      </c>
      <c r="F30" s="50">
        <v>0</v>
      </c>
      <c r="G30" s="50">
        <v>0</v>
      </c>
      <c r="H30" s="50">
        <v>1</v>
      </c>
      <c r="I30" s="50">
        <f t="shared" si="0"/>
        <v>0</v>
      </c>
      <c r="J30" s="50">
        <f t="shared" si="1"/>
        <v>0</v>
      </c>
      <c r="K30" s="50">
        <f t="shared" si="2"/>
        <v>0</v>
      </c>
      <c r="L30" s="50">
        <f t="shared" si="3"/>
        <v>0</v>
      </c>
      <c r="M30" s="50">
        <f t="shared" si="4"/>
        <v>0</v>
      </c>
      <c r="N30" s="50">
        <f t="shared" si="5"/>
        <v>5.8643062867009474</v>
      </c>
      <c r="O30" s="50">
        <v>1.2946583886008181</v>
      </c>
      <c r="P30" s="50">
        <v>0.87295462914633326</v>
      </c>
    </row>
    <row r="31" spans="1:16" x14ac:dyDescent="0.25">
      <c r="A31" s="50">
        <v>29</v>
      </c>
      <c r="B31" s="50">
        <v>6.0737457969402673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1</v>
      </c>
      <c r="I31" s="50">
        <f t="shared" si="0"/>
        <v>0</v>
      </c>
      <c r="J31" s="50">
        <f t="shared" si="1"/>
        <v>0</v>
      </c>
      <c r="K31" s="50">
        <f t="shared" si="2"/>
        <v>0</v>
      </c>
      <c r="L31" s="50">
        <f t="shared" si="3"/>
        <v>0</v>
      </c>
      <c r="M31" s="50">
        <f t="shared" si="4"/>
        <v>0</v>
      </c>
      <c r="N31" s="50">
        <f t="shared" si="5"/>
        <v>6.0737457969402673</v>
      </c>
      <c r="O31" s="50">
        <v>1.2745794914650472</v>
      </c>
      <c r="P31" s="50">
        <v>1.2259670623235568</v>
      </c>
    </row>
    <row r="32" spans="1:16" x14ac:dyDescent="0.25">
      <c r="A32" s="50">
        <v>30</v>
      </c>
      <c r="B32" s="50">
        <v>6.2831853071795853</v>
      </c>
      <c r="C32" s="50">
        <v>0</v>
      </c>
      <c r="D32" s="50">
        <v>0</v>
      </c>
      <c r="E32" s="50">
        <v>0</v>
      </c>
      <c r="F32" s="50">
        <v>0</v>
      </c>
      <c r="G32" s="50">
        <v>0</v>
      </c>
      <c r="H32" s="50">
        <v>1</v>
      </c>
      <c r="I32" s="50">
        <f t="shared" si="0"/>
        <v>0</v>
      </c>
      <c r="J32" s="50">
        <f t="shared" si="1"/>
        <v>0</v>
      </c>
      <c r="K32" s="50">
        <f t="shared" si="2"/>
        <v>0</v>
      </c>
      <c r="L32" s="50">
        <f t="shared" si="3"/>
        <v>0</v>
      </c>
      <c r="M32" s="50">
        <f t="shared" si="4"/>
        <v>0</v>
      </c>
      <c r="N32" s="50">
        <f t="shared" si="5"/>
        <v>6.2831853071795853</v>
      </c>
      <c r="O32" s="50">
        <v>1.3982376248155151</v>
      </c>
      <c r="P32" s="50">
        <v>1.5789794955007785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50"/>
  </cols>
  <sheetData>
    <row r="2" spans="1:10" s="51" customFormat="1" x14ac:dyDescent="0.25">
      <c r="B2" s="51" t="s">
        <v>173</v>
      </c>
      <c r="C2" s="51" t="s">
        <v>176</v>
      </c>
      <c r="D2" s="51" t="s">
        <v>175</v>
      </c>
      <c r="E2" s="51" t="s">
        <v>179</v>
      </c>
      <c r="F2" s="51" t="s">
        <v>178</v>
      </c>
      <c r="G2" s="51" t="s">
        <v>187</v>
      </c>
      <c r="H2" s="51" t="s">
        <v>186</v>
      </c>
      <c r="I2" s="51" t="s">
        <v>19</v>
      </c>
      <c r="J2" s="51" t="s">
        <v>17</v>
      </c>
    </row>
    <row r="3" spans="1:10" x14ac:dyDescent="0.25">
      <c r="A3" s="50">
        <v>1</v>
      </c>
      <c r="B3" s="50">
        <v>0.20943951023931953</v>
      </c>
      <c r="C3" s="50">
        <v>1</v>
      </c>
      <c r="D3" s="50">
        <v>0</v>
      </c>
      <c r="E3" s="50">
        <f t="shared" ref="E3:E32" si="0">$B3*C3</f>
        <v>0.20943951023931953</v>
      </c>
      <c r="F3" s="50">
        <f t="shared" ref="F3:F32" si="1">$B3*D3</f>
        <v>0</v>
      </c>
      <c r="G3" s="50">
        <f t="shared" ref="G3:G32" si="2">$B3^2*D3</f>
        <v>0</v>
      </c>
      <c r="H3" s="50">
        <f t="shared" ref="H3:H32" si="3">$B3^2*E3</f>
        <v>9.1870449423110557E-3</v>
      </c>
      <c r="I3" s="50">
        <v>-1.0584942919841807</v>
      </c>
      <c r="J3" s="50" cm="1">
        <f t="array" ref="J3:J32">TREND(I3:I32,C3:H32,C3:H32,FALSE)</f>
        <v>-1.0760110124151598</v>
      </c>
    </row>
    <row r="4" spans="1:10" x14ac:dyDescent="0.25">
      <c r="A4" s="50">
        <v>2</v>
      </c>
      <c r="B4" s="50">
        <v>0.41887902047863906</v>
      </c>
      <c r="C4" s="50">
        <v>1</v>
      </c>
      <c r="D4" s="50">
        <v>0</v>
      </c>
      <c r="E4" s="50">
        <f t="shared" si="0"/>
        <v>0.41887902047863906</v>
      </c>
      <c r="F4" s="50">
        <f t="shared" si="1"/>
        <v>0</v>
      </c>
      <c r="G4" s="50">
        <f t="shared" si="2"/>
        <v>0</v>
      </c>
      <c r="H4" s="50">
        <f t="shared" si="3"/>
        <v>7.3496359538488445E-2</v>
      </c>
      <c r="I4" s="50">
        <v>-1.0115837814668849</v>
      </c>
      <c r="J4" s="50">
        <v>-0.75497527995230318</v>
      </c>
    </row>
    <row r="5" spans="1:10" x14ac:dyDescent="0.25">
      <c r="A5" s="50">
        <v>3</v>
      </c>
      <c r="B5" s="50">
        <v>0.62831853071795862</v>
      </c>
      <c r="C5" s="50">
        <v>1</v>
      </c>
      <c r="D5" s="50">
        <v>0</v>
      </c>
      <c r="E5" s="50">
        <f t="shared" si="0"/>
        <v>0.62831853071795862</v>
      </c>
      <c r="F5" s="50">
        <f t="shared" si="1"/>
        <v>0</v>
      </c>
      <c r="G5" s="50">
        <f t="shared" si="2"/>
        <v>0</v>
      </c>
      <c r="H5" s="50">
        <f t="shared" si="3"/>
        <v>0.24805021344239853</v>
      </c>
      <c r="I5" s="50">
        <v>-0.67059413777823096</v>
      </c>
      <c r="J5" s="50">
        <v>-0.44821327874827138</v>
      </c>
    </row>
    <row r="6" spans="1:10" x14ac:dyDescent="0.25">
      <c r="A6" s="50">
        <v>4</v>
      </c>
      <c r="B6" s="50">
        <v>0.83775804095727813</v>
      </c>
      <c r="C6" s="50">
        <v>1</v>
      </c>
      <c r="D6" s="50">
        <v>0</v>
      </c>
      <c r="E6" s="50">
        <f t="shared" si="0"/>
        <v>0.83775804095727813</v>
      </c>
      <c r="F6" s="50">
        <f t="shared" si="1"/>
        <v>0</v>
      </c>
      <c r="G6" s="50">
        <f t="shared" si="2"/>
        <v>0</v>
      </c>
      <c r="H6" s="50">
        <f t="shared" si="3"/>
        <v>0.58797087630790756</v>
      </c>
      <c r="I6" s="50">
        <v>-7.8907528339460575E-2</v>
      </c>
      <c r="J6" s="50">
        <v>-0.16286187443247691</v>
      </c>
    </row>
    <row r="7" spans="1:10" x14ac:dyDescent="0.25">
      <c r="A7" s="50">
        <v>5</v>
      </c>
      <c r="B7" s="50">
        <v>1.0471975511965976</v>
      </c>
      <c r="C7" s="50">
        <v>1</v>
      </c>
      <c r="D7" s="50">
        <v>0</v>
      </c>
      <c r="E7" s="50">
        <f t="shared" si="0"/>
        <v>1.0471975511965976</v>
      </c>
      <c r="F7" s="50">
        <f t="shared" si="1"/>
        <v>0</v>
      </c>
      <c r="G7" s="50">
        <f t="shared" si="2"/>
        <v>0</v>
      </c>
      <c r="H7" s="50">
        <f t="shared" si="3"/>
        <v>1.1483806177888818</v>
      </c>
      <c r="I7" s="50">
        <v>0.19372967770232674</v>
      </c>
      <c r="J7" s="50">
        <v>9.394206736566782E-2</v>
      </c>
    </row>
    <row r="8" spans="1:10" x14ac:dyDescent="0.25">
      <c r="A8" s="50">
        <v>6</v>
      </c>
      <c r="B8" s="50">
        <v>1.2566370614359172</v>
      </c>
      <c r="C8" s="50">
        <v>1</v>
      </c>
      <c r="D8" s="50">
        <v>0</v>
      </c>
      <c r="E8" s="50">
        <f t="shared" si="0"/>
        <v>1.2566370614359172</v>
      </c>
      <c r="F8" s="50">
        <f t="shared" si="1"/>
        <v>0</v>
      </c>
      <c r="G8" s="50">
        <f t="shared" si="2"/>
        <v>0</v>
      </c>
      <c r="H8" s="50">
        <f t="shared" si="3"/>
        <v>1.9844017075391882</v>
      </c>
      <c r="I8" s="50">
        <v>0.71211759028393917</v>
      </c>
      <c r="J8" s="50">
        <v>0.31506168101675086</v>
      </c>
    </row>
    <row r="9" spans="1:10" x14ac:dyDescent="0.25">
      <c r="A9" s="50">
        <v>7</v>
      </c>
      <c r="B9" s="50">
        <v>1.4660765716752369</v>
      </c>
      <c r="C9" s="50">
        <v>1</v>
      </c>
      <c r="D9" s="50">
        <v>0</v>
      </c>
      <c r="E9" s="50">
        <f t="shared" si="0"/>
        <v>1.4660765716752369</v>
      </c>
      <c r="F9" s="50">
        <f t="shared" si="1"/>
        <v>0</v>
      </c>
      <c r="G9" s="50">
        <f t="shared" si="2"/>
        <v>0</v>
      </c>
      <c r="H9" s="50">
        <f t="shared" si="3"/>
        <v>3.1511564152126925</v>
      </c>
      <c r="I9" s="50">
        <v>0.46458641028249809</v>
      </c>
      <c r="J9" s="50">
        <v>0.49336010089135923</v>
      </c>
    </row>
    <row r="10" spans="1:10" x14ac:dyDescent="0.25">
      <c r="A10" s="50">
        <v>8</v>
      </c>
      <c r="B10" s="50">
        <v>1.6755160819145563</v>
      </c>
      <c r="C10" s="50">
        <v>1</v>
      </c>
      <c r="D10" s="50">
        <v>0</v>
      </c>
      <c r="E10" s="50">
        <f t="shared" si="0"/>
        <v>1.6755160819145563</v>
      </c>
      <c r="F10" s="50">
        <f t="shared" si="1"/>
        <v>0</v>
      </c>
      <c r="G10" s="50">
        <f t="shared" si="2"/>
        <v>0</v>
      </c>
      <c r="H10" s="50">
        <f t="shared" si="3"/>
        <v>4.7037670104632605</v>
      </c>
      <c r="I10" s="50">
        <v>1.0904375200021745</v>
      </c>
      <c r="J10" s="50">
        <v>0.6217004613600805</v>
      </c>
    </row>
    <row r="11" spans="1:10" x14ac:dyDescent="0.25">
      <c r="A11" s="50">
        <v>9</v>
      </c>
      <c r="B11" s="50">
        <v>1.8849555921538759</v>
      </c>
      <c r="C11" s="50">
        <v>1</v>
      </c>
      <c r="D11" s="50">
        <v>0</v>
      </c>
      <c r="E11" s="50">
        <f t="shared" si="0"/>
        <v>1.8849555921538759</v>
      </c>
      <c r="F11" s="50">
        <f t="shared" si="1"/>
        <v>0</v>
      </c>
      <c r="G11" s="50">
        <f t="shared" si="2"/>
        <v>0</v>
      </c>
      <c r="H11" s="50">
        <f t="shared" si="3"/>
        <v>6.6973557629447606</v>
      </c>
      <c r="I11" s="50">
        <v>0.73460352450894062</v>
      </c>
      <c r="J11" s="50">
        <v>0.69294589679350282</v>
      </c>
    </row>
    <row r="12" spans="1:10" x14ac:dyDescent="0.25">
      <c r="A12" s="50">
        <v>10</v>
      </c>
      <c r="B12" s="50">
        <v>2.0943951023931953</v>
      </c>
      <c r="C12" s="50">
        <v>1</v>
      </c>
      <c r="D12" s="50">
        <v>0</v>
      </c>
      <c r="E12" s="50">
        <f t="shared" si="0"/>
        <v>2.0943951023931953</v>
      </c>
      <c r="F12" s="50">
        <f t="shared" si="1"/>
        <v>0</v>
      </c>
      <c r="G12" s="50">
        <f t="shared" si="2"/>
        <v>0</v>
      </c>
      <c r="H12" s="50">
        <f t="shared" si="3"/>
        <v>9.1870449423110543</v>
      </c>
      <c r="I12" s="50">
        <v>0.65405740699127635</v>
      </c>
      <c r="J12" s="50">
        <v>0.69995954156221285</v>
      </c>
    </row>
    <row r="13" spans="1:10" x14ac:dyDescent="0.25">
      <c r="A13" s="50">
        <v>11</v>
      </c>
      <c r="B13" s="50">
        <v>2.3038346126325147</v>
      </c>
      <c r="C13" s="50">
        <v>1</v>
      </c>
      <c r="D13" s="50">
        <v>0</v>
      </c>
      <c r="E13" s="50">
        <f t="shared" si="0"/>
        <v>2.3038346126325147</v>
      </c>
      <c r="F13" s="50">
        <f t="shared" si="1"/>
        <v>0</v>
      </c>
      <c r="G13" s="50">
        <f t="shared" si="2"/>
        <v>0</v>
      </c>
      <c r="H13" s="50">
        <f t="shared" si="3"/>
        <v>12.227956818216011</v>
      </c>
      <c r="I13" s="50">
        <v>0.57004534084851322</v>
      </c>
      <c r="J13" s="50">
        <v>0.6356045300367994</v>
      </c>
    </row>
    <row r="14" spans="1:10" x14ac:dyDescent="0.25">
      <c r="A14" s="50">
        <v>12</v>
      </c>
      <c r="B14" s="50">
        <v>2.5132741228718345</v>
      </c>
      <c r="C14" s="50">
        <v>1</v>
      </c>
      <c r="D14" s="50">
        <v>0</v>
      </c>
      <c r="E14" s="50">
        <f t="shared" si="0"/>
        <v>2.5132741228718345</v>
      </c>
      <c r="F14" s="50">
        <f t="shared" si="1"/>
        <v>0</v>
      </c>
      <c r="G14" s="50">
        <f t="shared" si="2"/>
        <v>0</v>
      </c>
      <c r="H14" s="50">
        <f t="shared" si="3"/>
        <v>15.875213660313506</v>
      </c>
      <c r="I14" s="50">
        <v>-0.15194780570688993</v>
      </c>
      <c r="J14" s="50">
        <v>0.49274399658784906</v>
      </c>
    </row>
    <row r="15" spans="1:10" x14ac:dyDescent="0.25">
      <c r="A15" s="50">
        <v>13</v>
      </c>
      <c r="B15" s="50">
        <v>2.7227136331111543</v>
      </c>
      <c r="C15" s="50">
        <v>1</v>
      </c>
      <c r="D15" s="50">
        <v>0</v>
      </c>
      <c r="E15" s="50">
        <f t="shared" si="0"/>
        <v>2.7227136331111543</v>
      </c>
      <c r="F15" s="50">
        <f t="shared" si="1"/>
        <v>0</v>
      </c>
      <c r="G15" s="50">
        <f t="shared" si="2"/>
        <v>0</v>
      </c>
      <c r="H15" s="50">
        <f t="shared" si="3"/>
        <v>20.183937738257399</v>
      </c>
      <c r="I15" s="50">
        <v>4.9191643383140769E-2</v>
      </c>
      <c r="J15" s="50">
        <v>0.26424107558594923</v>
      </c>
    </row>
    <row r="16" spans="1:10" x14ac:dyDescent="0.25">
      <c r="A16" s="50">
        <v>14</v>
      </c>
      <c r="B16" s="50">
        <v>2.9321531433504737</v>
      </c>
      <c r="C16" s="50">
        <v>1</v>
      </c>
      <c r="D16" s="50">
        <v>0</v>
      </c>
      <c r="E16" s="50">
        <f t="shared" si="0"/>
        <v>2.9321531433504737</v>
      </c>
      <c r="F16" s="50">
        <f t="shared" si="1"/>
        <v>0</v>
      </c>
      <c r="G16" s="50">
        <f t="shared" si="2"/>
        <v>0</v>
      </c>
      <c r="H16" s="50">
        <f t="shared" si="3"/>
        <v>25.20925132170154</v>
      </c>
      <c r="I16" s="50">
        <v>-0.23766540139636769</v>
      </c>
      <c r="J16" s="50">
        <v>-5.7041098598310747E-2</v>
      </c>
    </row>
    <row r="17" spans="1:10" x14ac:dyDescent="0.25">
      <c r="A17" s="50">
        <v>15</v>
      </c>
      <c r="B17" s="50">
        <v>3.1415926535897927</v>
      </c>
      <c r="C17" s="50">
        <v>1</v>
      </c>
      <c r="D17" s="50">
        <v>0</v>
      </c>
      <c r="E17" s="50">
        <f t="shared" si="0"/>
        <v>3.1415926535897927</v>
      </c>
      <c r="F17" s="50">
        <f t="shared" si="1"/>
        <v>0</v>
      </c>
      <c r="G17" s="50">
        <f t="shared" si="2"/>
        <v>0</v>
      </c>
      <c r="H17" s="50">
        <f t="shared" si="3"/>
        <v>31.006276680299802</v>
      </c>
      <c r="I17" s="50">
        <v>7.2641248128490127E-2</v>
      </c>
      <c r="J17" s="50">
        <v>-0.47823939159434437</v>
      </c>
    </row>
    <row r="18" spans="1:10" x14ac:dyDescent="0.25">
      <c r="A18" s="50">
        <v>16</v>
      </c>
      <c r="B18" s="50">
        <v>3.3510321638291125</v>
      </c>
      <c r="C18" s="50">
        <v>0</v>
      </c>
      <c r="D18" s="50">
        <v>1</v>
      </c>
      <c r="E18" s="50">
        <f t="shared" si="0"/>
        <v>0</v>
      </c>
      <c r="F18" s="50">
        <f t="shared" si="1"/>
        <v>3.3510321638291125</v>
      </c>
      <c r="G18" s="50">
        <f t="shared" si="2"/>
        <v>11.229416563017224</v>
      </c>
      <c r="H18" s="50">
        <f t="shared" si="3"/>
        <v>0</v>
      </c>
      <c r="I18" s="50">
        <v>2.1344472249498331E-2</v>
      </c>
      <c r="J18" s="50">
        <v>9.3338481297851494E-2</v>
      </c>
    </row>
    <row r="19" spans="1:10" x14ac:dyDescent="0.25">
      <c r="A19" s="50">
        <v>17</v>
      </c>
      <c r="B19" s="50">
        <v>3.5604716740684323</v>
      </c>
      <c r="C19" s="50">
        <v>0</v>
      </c>
      <c r="D19" s="50">
        <v>1</v>
      </c>
      <c r="E19" s="50">
        <f t="shared" si="0"/>
        <v>0</v>
      </c>
      <c r="F19" s="50">
        <f t="shared" si="1"/>
        <v>3.5604716740684323</v>
      </c>
      <c r="G19" s="50">
        <f t="shared" si="2"/>
        <v>12.676958541843666</v>
      </c>
      <c r="H19" s="50">
        <f t="shared" si="3"/>
        <v>0</v>
      </c>
      <c r="I19" s="50">
        <v>4.3416060207188134E-4</v>
      </c>
      <c r="J19" s="50">
        <v>-0.18360299006434566</v>
      </c>
    </row>
    <row r="20" spans="1:10" x14ac:dyDescent="0.25">
      <c r="A20" s="50">
        <v>18</v>
      </c>
      <c r="B20" s="50">
        <v>3.7699111843077517</v>
      </c>
      <c r="C20" s="50">
        <v>0</v>
      </c>
      <c r="D20" s="50">
        <v>1</v>
      </c>
      <c r="E20" s="50">
        <f t="shared" si="0"/>
        <v>0</v>
      </c>
      <c r="F20" s="50">
        <f t="shared" si="1"/>
        <v>3.7699111843077517</v>
      </c>
      <c r="G20" s="50">
        <f t="shared" si="2"/>
        <v>14.212230337568675</v>
      </c>
      <c r="H20" s="50">
        <f t="shared" si="3"/>
        <v>0</v>
      </c>
      <c r="I20" s="50">
        <v>-0.48127635421609938</v>
      </c>
      <c r="J20" s="50">
        <v>-0.39974612123682185</v>
      </c>
    </row>
    <row r="21" spans="1:10" x14ac:dyDescent="0.25">
      <c r="A21" s="50">
        <v>19</v>
      </c>
      <c r="B21" s="50">
        <v>3.9793506945470711</v>
      </c>
      <c r="C21" s="50">
        <v>0</v>
      </c>
      <c r="D21" s="50">
        <v>1</v>
      </c>
      <c r="E21" s="50">
        <f t="shared" si="0"/>
        <v>0</v>
      </c>
      <c r="F21" s="50">
        <f t="shared" si="1"/>
        <v>3.9793506945470711</v>
      </c>
      <c r="G21" s="50">
        <f t="shared" si="2"/>
        <v>15.835231950192258</v>
      </c>
      <c r="H21" s="50">
        <f t="shared" si="3"/>
        <v>0</v>
      </c>
      <c r="I21" s="50">
        <v>-0.33927941399176736</v>
      </c>
      <c r="J21" s="50">
        <v>-0.55509091221957618</v>
      </c>
    </row>
    <row r="22" spans="1:10" x14ac:dyDescent="0.25">
      <c r="A22" s="50">
        <v>20</v>
      </c>
      <c r="B22" s="50">
        <v>4.1887902047863905</v>
      </c>
      <c r="C22" s="50">
        <v>0</v>
      </c>
      <c r="D22" s="50">
        <v>1</v>
      </c>
      <c r="E22" s="50">
        <f t="shared" si="0"/>
        <v>0</v>
      </c>
      <c r="F22" s="50">
        <f t="shared" si="1"/>
        <v>4.1887902047863905</v>
      </c>
      <c r="G22" s="50">
        <f t="shared" si="2"/>
        <v>17.545963379714411</v>
      </c>
      <c r="H22" s="50">
        <f t="shared" si="3"/>
        <v>0</v>
      </c>
      <c r="I22" s="50">
        <v>-0.66663393104980051</v>
      </c>
      <c r="J22" s="50">
        <v>-0.64963736301261044</v>
      </c>
    </row>
    <row r="23" spans="1:10" x14ac:dyDescent="0.25">
      <c r="A23" s="50">
        <v>21</v>
      </c>
      <c r="B23" s="50">
        <v>4.3982297150257104</v>
      </c>
      <c r="C23" s="50">
        <v>0</v>
      </c>
      <c r="D23" s="50">
        <v>1</v>
      </c>
      <c r="E23" s="50">
        <f t="shared" si="0"/>
        <v>0</v>
      </c>
      <c r="F23" s="50">
        <f t="shared" si="1"/>
        <v>4.3982297150257104</v>
      </c>
      <c r="G23" s="50">
        <f t="shared" si="2"/>
        <v>19.34442462613514</v>
      </c>
      <c r="H23" s="50">
        <f t="shared" si="3"/>
        <v>0</v>
      </c>
      <c r="I23" s="50">
        <v>-0.82049127729304749</v>
      </c>
      <c r="J23" s="50">
        <v>-0.68338547361592639</v>
      </c>
    </row>
    <row r="24" spans="1:10" x14ac:dyDescent="0.25">
      <c r="A24" s="50">
        <v>22</v>
      </c>
      <c r="B24" s="50">
        <v>4.6076692252650293</v>
      </c>
      <c r="C24" s="50">
        <v>0</v>
      </c>
      <c r="D24" s="50">
        <v>1</v>
      </c>
      <c r="E24" s="50">
        <f t="shared" si="0"/>
        <v>0</v>
      </c>
      <c r="F24" s="50">
        <f t="shared" si="1"/>
        <v>4.6076692252650293</v>
      </c>
      <c r="G24" s="50">
        <f t="shared" si="2"/>
        <v>21.230615689454435</v>
      </c>
      <c r="H24" s="50">
        <f t="shared" si="3"/>
        <v>0</v>
      </c>
      <c r="I24" s="50">
        <v>-0.93606956280844389</v>
      </c>
      <c r="J24" s="50">
        <v>-0.65633524402951693</v>
      </c>
    </row>
    <row r="25" spans="1:10" x14ac:dyDescent="0.25">
      <c r="A25" s="50">
        <v>23</v>
      </c>
      <c r="B25" s="50">
        <v>4.8171087355043491</v>
      </c>
      <c r="C25" s="50">
        <v>0</v>
      </c>
      <c r="D25" s="50">
        <v>1</v>
      </c>
      <c r="E25" s="50">
        <f t="shared" si="0"/>
        <v>0</v>
      </c>
      <c r="F25" s="50">
        <f t="shared" si="1"/>
        <v>4.8171087355043491</v>
      </c>
      <c r="G25" s="50">
        <f t="shared" si="2"/>
        <v>23.20453656967231</v>
      </c>
      <c r="H25" s="50">
        <f t="shared" si="3"/>
        <v>0</v>
      </c>
      <c r="I25" s="50">
        <v>-0.70020245579705642</v>
      </c>
      <c r="J25" s="50">
        <v>-0.56848667425338562</v>
      </c>
    </row>
    <row r="26" spans="1:10" x14ac:dyDescent="0.25">
      <c r="A26" s="50">
        <v>24</v>
      </c>
      <c r="B26" s="50">
        <v>5.026548245743669</v>
      </c>
      <c r="C26" s="50">
        <v>0</v>
      </c>
      <c r="D26" s="50">
        <v>1</v>
      </c>
      <c r="E26" s="50">
        <f t="shared" si="0"/>
        <v>0</v>
      </c>
      <c r="F26" s="50">
        <f t="shared" si="1"/>
        <v>5.026548245743669</v>
      </c>
      <c r="G26" s="50">
        <f t="shared" si="2"/>
        <v>25.266187266788755</v>
      </c>
      <c r="H26" s="50">
        <f t="shared" si="3"/>
        <v>0</v>
      </c>
      <c r="I26" s="50">
        <v>-0.48320257654754589</v>
      </c>
      <c r="J26" s="50">
        <v>-0.41983976428753422</v>
      </c>
    </row>
    <row r="27" spans="1:10" x14ac:dyDescent="0.25">
      <c r="A27" s="50">
        <v>25</v>
      </c>
      <c r="B27" s="50">
        <v>5.2359877559829888</v>
      </c>
      <c r="C27" s="50">
        <v>0</v>
      </c>
      <c r="D27" s="50">
        <v>1</v>
      </c>
      <c r="E27" s="50">
        <f t="shared" si="0"/>
        <v>0</v>
      </c>
      <c r="F27" s="50">
        <f t="shared" si="1"/>
        <v>5.2359877559829888</v>
      </c>
      <c r="G27" s="50">
        <f t="shared" si="2"/>
        <v>27.415567780803777</v>
      </c>
      <c r="H27" s="50">
        <f t="shared" si="3"/>
        <v>0</v>
      </c>
      <c r="I27" s="50">
        <v>2.507130588071016E-2</v>
      </c>
      <c r="J27" s="50">
        <v>-0.21039451413196275</v>
      </c>
    </row>
    <row r="28" spans="1:10" x14ac:dyDescent="0.25">
      <c r="A28" s="50">
        <v>26</v>
      </c>
      <c r="B28" s="50">
        <v>5.4454272662223087</v>
      </c>
      <c r="C28" s="50">
        <v>0</v>
      </c>
      <c r="D28" s="50">
        <v>1</v>
      </c>
      <c r="E28" s="50">
        <f t="shared" si="0"/>
        <v>0</v>
      </c>
      <c r="F28" s="50">
        <f t="shared" si="1"/>
        <v>5.4454272662223087</v>
      </c>
      <c r="G28" s="50">
        <f t="shared" si="2"/>
        <v>29.652678111717368</v>
      </c>
      <c r="H28" s="50">
        <f t="shared" si="3"/>
        <v>0</v>
      </c>
      <c r="I28" s="50">
        <v>0.14363276847356277</v>
      </c>
      <c r="J28" s="50">
        <v>5.98490762133288E-2</v>
      </c>
    </row>
    <row r="29" spans="1:10" x14ac:dyDescent="0.25">
      <c r="A29" s="50">
        <v>27</v>
      </c>
      <c r="B29" s="50">
        <v>5.6548667764616276</v>
      </c>
      <c r="C29" s="50">
        <v>0</v>
      </c>
      <c r="D29" s="50">
        <v>1</v>
      </c>
      <c r="E29" s="50">
        <f t="shared" si="0"/>
        <v>0</v>
      </c>
      <c r="F29" s="50">
        <f t="shared" si="1"/>
        <v>5.6548667764616276</v>
      </c>
      <c r="G29" s="50">
        <f t="shared" si="2"/>
        <v>31.977518259529518</v>
      </c>
      <c r="H29" s="50">
        <f t="shared" si="3"/>
        <v>0</v>
      </c>
      <c r="I29" s="50">
        <v>0.25366487237671459</v>
      </c>
      <c r="J29" s="50">
        <v>0.39089100674834043</v>
      </c>
    </row>
    <row r="30" spans="1:10" x14ac:dyDescent="0.25">
      <c r="A30" s="50">
        <v>28</v>
      </c>
      <c r="B30" s="50">
        <v>5.8643062867009474</v>
      </c>
      <c r="C30" s="50">
        <v>0</v>
      </c>
      <c r="D30" s="50">
        <v>1</v>
      </c>
      <c r="E30" s="50">
        <f t="shared" si="0"/>
        <v>0</v>
      </c>
      <c r="F30" s="50">
        <f t="shared" si="1"/>
        <v>5.8643062867009474</v>
      </c>
      <c r="G30" s="50">
        <f t="shared" si="2"/>
        <v>34.390088224240252</v>
      </c>
      <c r="H30" s="50">
        <f t="shared" si="3"/>
        <v>0</v>
      </c>
      <c r="I30" s="50">
        <v>1.2946583886008181</v>
      </c>
      <c r="J30" s="50">
        <v>0.78273127747307214</v>
      </c>
    </row>
    <row r="31" spans="1:10" x14ac:dyDescent="0.25">
      <c r="A31" s="50">
        <v>29</v>
      </c>
      <c r="B31" s="50">
        <v>6.0737457969402673</v>
      </c>
      <c r="C31" s="50">
        <v>0</v>
      </c>
      <c r="D31" s="50">
        <v>1</v>
      </c>
      <c r="E31" s="50">
        <f t="shared" si="0"/>
        <v>0</v>
      </c>
      <c r="F31" s="50">
        <f t="shared" si="1"/>
        <v>6.0737457969402673</v>
      </c>
      <c r="G31" s="50">
        <f t="shared" si="2"/>
        <v>36.890388005849566</v>
      </c>
      <c r="H31" s="50">
        <f t="shared" si="3"/>
        <v>0</v>
      </c>
      <c r="I31" s="50">
        <v>1.2745794914650472</v>
      </c>
      <c r="J31" s="50">
        <v>1.235369888387531</v>
      </c>
    </row>
    <row r="32" spans="1:10" x14ac:dyDescent="0.25">
      <c r="A32" s="50">
        <v>30</v>
      </c>
      <c r="B32" s="50">
        <v>6.2831853071795853</v>
      </c>
      <c r="C32" s="50">
        <v>0</v>
      </c>
      <c r="D32" s="50">
        <v>1</v>
      </c>
      <c r="E32" s="50">
        <f t="shared" si="0"/>
        <v>0</v>
      </c>
      <c r="F32" s="50">
        <f t="shared" si="1"/>
        <v>6.2831853071795853</v>
      </c>
      <c r="G32" s="50">
        <f t="shared" si="2"/>
        <v>39.478417604357418</v>
      </c>
      <c r="H32" s="50">
        <f t="shared" si="3"/>
        <v>0</v>
      </c>
      <c r="I32" s="50">
        <v>1.3982376248155151</v>
      </c>
      <c r="J32" s="50">
        <v>1.7488068394917029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>
      <selection sqref="A1:A9"/>
    </sheetView>
  </sheetViews>
  <sheetFormatPr baseColWidth="10" defaultRowHeight="26" x14ac:dyDescent="0.3"/>
  <cols>
    <col min="1" max="16384" width="10.83203125" style="124"/>
  </cols>
  <sheetData>
    <row r="1" spans="1:1" x14ac:dyDescent="0.3">
      <c r="A1" s="124" t="s">
        <v>345</v>
      </c>
    </row>
    <row r="2" spans="1:1" x14ac:dyDescent="0.3">
      <c r="A2" s="124" t="s">
        <v>346</v>
      </c>
    </row>
    <row r="3" spans="1:1" x14ac:dyDescent="0.3">
      <c r="A3" s="124" t="s">
        <v>347</v>
      </c>
    </row>
    <row r="4" spans="1:1" x14ac:dyDescent="0.3">
      <c r="A4" s="124" t="s">
        <v>348</v>
      </c>
    </row>
    <row r="5" spans="1:1" x14ac:dyDescent="0.3">
      <c r="A5" s="124" t="s">
        <v>349</v>
      </c>
    </row>
    <row r="6" spans="1:1" x14ac:dyDescent="0.3">
      <c r="A6" s="124" t="s">
        <v>350</v>
      </c>
    </row>
    <row r="7" spans="1:1" x14ac:dyDescent="0.3">
      <c r="A7" s="124" t="s">
        <v>351</v>
      </c>
    </row>
    <row r="8" spans="1:1" x14ac:dyDescent="0.3">
      <c r="A8" s="124" t="s">
        <v>352</v>
      </c>
    </row>
    <row r="9" spans="1:1" x14ac:dyDescent="0.3">
      <c r="A9" s="124" t="s">
        <v>353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C4:T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188</v>
      </c>
      <c r="D4" s="52" t="s">
        <v>189</v>
      </c>
      <c r="E4" s="53" t="s">
        <v>190</v>
      </c>
      <c r="F4" s="53" t="s">
        <v>191</v>
      </c>
    </row>
    <row r="5" spans="3:6" ht="18" x14ac:dyDescent="0.25">
      <c r="C5" s="53">
        <v>2</v>
      </c>
      <c r="D5" s="53">
        <f>$O$40*C5+$O$41</f>
        <v>5.0000000000000018</v>
      </c>
      <c r="E5" s="53" t="s">
        <v>192</v>
      </c>
    </row>
    <row r="6" spans="3:6" x14ac:dyDescent="0.2">
      <c r="C6" s="54">
        <v>2.1</v>
      </c>
      <c r="D6" s="53">
        <f t="shared" ref="D6:D15" si="0">$O$40*C6+$O$41</f>
        <v>5.1000000000000014</v>
      </c>
    </row>
    <row r="7" spans="3:6" x14ac:dyDescent="0.2">
      <c r="C7" s="54">
        <v>2.2000000000000002</v>
      </c>
      <c r="D7" s="53">
        <f t="shared" si="0"/>
        <v>5.200000000000002</v>
      </c>
    </row>
    <row r="8" spans="3:6" x14ac:dyDescent="0.2">
      <c r="C8" s="54">
        <v>2.2999999999999998</v>
      </c>
      <c r="D8" s="53">
        <f t="shared" si="0"/>
        <v>5.3000000000000025</v>
      </c>
    </row>
    <row r="9" spans="3:6" x14ac:dyDescent="0.2">
      <c r="C9" s="54">
        <v>2.4</v>
      </c>
      <c r="D9" s="53">
        <f t="shared" si="0"/>
        <v>5.4000000000000021</v>
      </c>
    </row>
    <row r="10" spans="3:6" x14ac:dyDescent="0.2">
      <c r="C10" s="54">
        <v>2.5</v>
      </c>
      <c r="D10" s="53">
        <f t="shared" si="0"/>
        <v>5.5000000000000018</v>
      </c>
    </row>
    <row r="11" spans="3:6" x14ac:dyDescent="0.2">
      <c r="C11" s="54">
        <v>2.6</v>
      </c>
      <c r="D11" s="53">
        <f t="shared" si="0"/>
        <v>5.6000000000000023</v>
      </c>
    </row>
    <row r="12" spans="3:6" x14ac:dyDescent="0.2">
      <c r="C12" s="54">
        <v>2.7</v>
      </c>
      <c r="D12" s="53">
        <f t="shared" si="0"/>
        <v>5.7000000000000028</v>
      </c>
    </row>
    <row r="13" spans="3:6" x14ac:dyDescent="0.2">
      <c r="C13" s="54">
        <v>2.8</v>
      </c>
      <c r="D13" s="53">
        <f t="shared" si="0"/>
        <v>5.8000000000000025</v>
      </c>
    </row>
    <row r="14" spans="3:6" x14ac:dyDescent="0.2">
      <c r="C14" s="54">
        <v>2.9</v>
      </c>
      <c r="D14" s="53">
        <f t="shared" si="0"/>
        <v>5.9000000000000021</v>
      </c>
    </row>
    <row r="15" spans="3:6" ht="18" x14ac:dyDescent="0.25">
      <c r="C15" s="53">
        <v>3</v>
      </c>
      <c r="D15" s="53">
        <f t="shared" si="0"/>
        <v>6.0000000000000027</v>
      </c>
      <c r="E15" s="53" t="s">
        <v>193</v>
      </c>
      <c r="F15" s="53" t="s">
        <v>194</v>
      </c>
    </row>
    <row r="16" spans="3:6" x14ac:dyDescent="0.2">
      <c r="C16" s="54">
        <v>3.1</v>
      </c>
      <c r="D16" s="53">
        <f>$O$42*C16+$O$43</f>
        <v>6.3000000000000007</v>
      </c>
    </row>
    <row r="17" spans="3:20" x14ac:dyDescent="0.2">
      <c r="C17" s="54">
        <v>3.2</v>
      </c>
      <c r="D17" s="53">
        <f t="shared" ref="D17:D25" si="1">$O$42*C17+$O$43</f>
        <v>6.6000000000000014</v>
      </c>
    </row>
    <row r="18" spans="3:20" x14ac:dyDescent="0.2">
      <c r="C18" s="54">
        <v>3.3</v>
      </c>
      <c r="D18" s="53">
        <f t="shared" si="1"/>
        <v>6.8999999999999986</v>
      </c>
    </row>
    <row r="19" spans="3:20" x14ac:dyDescent="0.2">
      <c r="C19" s="54">
        <v>3.4</v>
      </c>
      <c r="D19" s="53">
        <f t="shared" si="1"/>
        <v>7.1999999999999993</v>
      </c>
    </row>
    <row r="20" spans="3:20" x14ac:dyDescent="0.2">
      <c r="C20" s="54">
        <v>3.5</v>
      </c>
      <c r="D20" s="53">
        <f t="shared" si="1"/>
        <v>7.5</v>
      </c>
    </row>
    <row r="21" spans="3:20" x14ac:dyDescent="0.2">
      <c r="C21" s="54">
        <v>3.6</v>
      </c>
      <c r="D21" s="53">
        <f t="shared" si="1"/>
        <v>7.8000000000000007</v>
      </c>
    </row>
    <row r="22" spans="3:20" x14ac:dyDescent="0.2">
      <c r="C22" s="54">
        <v>3.7</v>
      </c>
      <c r="D22" s="53">
        <f t="shared" si="1"/>
        <v>8.1000000000000014</v>
      </c>
    </row>
    <row r="23" spans="3:20" x14ac:dyDescent="0.2">
      <c r="C23" s="54">
        <v>3.8</v>
      </c>
      <c r="D23" s="53">
        <f t="shared" si="1"/>
        <v>8.3999999999999986</v>
      </c>
    </row>
    <row r="24" spans="3:20" x14ac:dyDescent="0.2">
      <c r="C24" s="54">
        <v>3.9</v>
      </c>
      <c r="D24" s="53">
        <f t="shared" si="1"/>
        <v>8.6999999999999993</v>
      </c>
    </row>
    <row r="25" spans="3:20" ht="18" x14ac:dyDescent="0.25">
      <c r="C25" s="53">
        <v>4</v>
      </c>
      <c r="D25" s="53">
        <f t="shared" si="1"/>
        <v>9</v>
      </c>
      <c r="E25" s="53" t="s">
        <v>194</v>
      </c>
    </row>
    <row r="31" spans="3:20" s="52" customFormat="1" ht="20" x14ac:dyDescent="0.25">
      <c r="D31" s="52" t="s">
        <v>195</v>
      </c>
      <c r="E31" s="52" t="s">
        <v>196</v>
      </c>
      <c r="G31" s="52" t="s">
        <v>197</v>
      </c>
      <c r="H31" s="52" t="s">
        <v>198</v>
      </c>
      <c r="I31" s="52" t="s">
        <v>199</v>
      </c>
      <c r="J31" s="52" t="s">
        <v>200</v>
      </c>
      <c r="L31" s="52" t="s">
        <v>201</v>
      </c>
      <c r="O31" s="52" t="s">
        <v>202</v>
      </c>
    </row>
    <row r="32" spans="3:20" ht="18" x14ac:dyDescent="0.25">
      <c r="C32" s="53" t="s">
        <v>203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204</v>
      </c>
      <c r="O32" s="60">
        <v>5</v>
      </c>
      <c r="Q32" s="53" cm="1">
        <f t="array" ref="Q32:R33">MINVERSE(G32:H33)</f>
        <v>-0.99999999999999989</v>
      </c>
      <c r="R32" s="53">
        <v>1</v>
      </c>
      <c r="T32" s="53" cm="1">
        <f t="array" ref="T32:T33">MMULT(_xlfn.ANCHORARRAY(Q32),O32:O33)</f>
        <v>1.0000000000000009</v>
      </c>
    </row>
    <row r="33" spans="3:20" ht="18" x14ac:dyDescent="0.25">
      <c r="C33" s="53" t="s">
        <v>203</v>
      </c>
      <c r="D33" s="55" t="str">
        <f t="shared" ref="D33:D35" si="2">"y(" &amp; E33 &amp; ")"</f>
        <v>y(3)</v>
      </c>
      <c r="E33" s="53">
        <v>3</v>
      </c>
      <c r="G33" s="61">
        <f>E33</f>
        <v>3</v>
      </c>
      <c r="H33" s="53">
        <v>1</v>
      </c>
      <c r="I33" s="53">
        <v>0</v>
      </c>
      <c r="J33" s="62">
        <v>0</v>
      </c>
      <c r="L33" s="63" t="s">
        <v>205</v>
      </c>
      <c r="N33" s="53" t="s">
        <v>206</v>
      </c>
      <c r="O33" s="64">
        <v>6</v>
      </c>
      <c r="Q33" s="53">
        <v>2.9999999999999996</v>
      </c>
      <c r="R33" s="53">
        <v>-1.9999999999999998</v>
      </c>
      <c r="T33" s="53">
        <v>3</v>
      </c>
    </row>
    <row r="34" spans="3:20" ht="18" x14ac:dyDescent="0.25">
      <c r="C34" s="53" t="s">
        <v>207</v>
      </c>
      <c r="D34" s="55" t="str">
        <f t="shared" si="2"/>
        <v>y(3)</v>
      </c>
      <c r="E34" s="53">
        <v>3</v>
      </c>
      <c r="G34" s="61">
        <v>0</v>
      </c>
      <c r="H34" s="53">
        <v>0</v>
      </c>
      <c r="I34" s="53">
        <f>E34</f>
        <v>3</v>
      </c>
      <c r="J34" s="62">
        <v>1</v>
      </c>
      <c r="L34" s="63" t="s">
        <v>208</v>
      </c>
      <c r="O34" s="64">
        <v>6</v>
      </c>
    </row>
    <row r="35" spans="3:20" ht="18" x14ac:dyDescent="0.25">
      <c r="C35" s="53" t="s">
        <v>207</v>
      </c>
      <c r="D35" s="55" t="str">
        <f t="shared" si="2"/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209</v>
      </c>
      <c r="O35" s="69">
        <v>9</v>
      </c>
    </row>
    <row r="39" spans="3:20" x14ac:dyDescent="0.2">
      <c r="L39" s="52" t="s">
        <v>201</v>
      </c>
      <c r="O39" s="52" t="s">
        <v>201</v>
      </c>
    </row>
    <row r="40" spans="3:20" ht="18" x14ac:dyDescent="0.25">
      <c r="I40" s="52"/>
      <c r="L40" s="59" t="s">
        <v>204</v>
      </c>
      <c r="O40" s="60">
        <f t="array" ref="O40:O43">MMULT(MINVERSE(G32:J35),O32:O35)</f>
        <v>1.0000000000000009</v>
      </c>
    </row>
    <row r="41" spans="3:20" ht="18" x14ac:dyDescent="0.25">
      <c r="L41" s="63" t="s">
        <v>205</v>
      </c>
      <c r="N41" s="53" t="s">
        <v>206</v>
      </c>
      <c r="O41" s="64">
        <v>3</v>
      </c>
    </row>
    <row r="42" spans="3:20" ht="18" x14ac:dyDescent="0.25">
      <c r="L42" s="63" t="s">
        <v>208</v>
      </c>
      <c r="O42" s="64">
        <v>3</v>
      </c>
    </row>
    <row r="43" spans="3:20" ht="18" x14ac:dyDescent="0.25">
      <c r="L43" s="68" t="s">
        <v>209</v>
      </c>
      <c r="O43" s="69">
        <v>-3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188</v>
      </c>
      <c r="D4" s="52" t="s">
        <v>189</v>
      </c>
      <c r="E4" s="53" t="s">
        <v>190</v>
      </c>
      <c r="F4" s="53" t="s">
        <v>191</v>
      </c>
    </row>
    <row r="5" spans="3:6" ht="18" x14ac:dyDescent="0.25">
      <c r="C5" s="53">
        <v>2</v>
      </c>
      <c r="D5" s="53">
        <f>$O$40*C5+$O$41</f>
        <v>5.0000000000000018</v>
      </c>
      <c r="E5" s="53" t="s">
        <v>192</v>
      </c>
    </row>
    <row r="6" spans="3:6" x14ac:dyDescent="0.2">
      <c r="C6" s="54">
        <v>2.1</v>
      </c>
      <c r="D6" s="53">
        <f t="shared" ref="D6:D15" si="0">$O$40*C6+$O$41</f>
        <v>5.1000000000000014</v>
      </c>
    </row>
    <row r="7" spans="3:6" x14ac:dyDescent="0.2">
      <c r="C7" s="54">
        <v>2.2000000000000002</v>
      </c>
      <c r="D7" s="53">
        <f t="shared" si="0"/>
        <v>5.200000000000002</v>
      </c>
    </row>
    <row r="8" spans="3:6" x14ac:dyDescent="0.2">
      <c r="C8" s="54">
        <v>2.2999999999999998</v>
      </c>
      <c r="D8" s="53">
        <f t="shared" si="0"/>
        <v>5.3000000000000025</v>
      </c>
    </row>
    <row r="9" spans="3:6" x14ac:dyDescent="0.2">
      <c r="C9" s="54">
        <v>2.4</v>
      </c>
      <c r="D9" s="53">
        <f t="shared" si="0"/>
        <v>5.4000000000000021</v>
      </c>
    </row>
    <row r="10" spans="3:6" x14ac:dyDescent="0.2">
      <c r="C10" s="54">
        <v>2.5</v>
      </c>
      <c r="D10" s="53">
        <f t="shared" si="0"/>
        <v>5.5000000000000018</v>
      </c>
    </row>
    <row r="11" spans="3:6" x14ac:dyDescent="0.2">
      <c r="C11" s="54">
        <v>2.6</v>
      </c>
      <c r="D11" s="53">
        <f t="shared" si="0"/>
        <v>5.6000000000000023</v>
      </c>
    </row>
    <row r="12" spans="3:6" x14ac:dyDescent="0.2">
      <c r="C12" s="54">
        <v>2.7</v>
      </c>
      <c r="D12" s="53">
        <f t="shared" si="0"/>
        <v>5.7000000000000028</v>
      </c>
    </row>
    <row r="13" spans="3:6" x14ac:dyDescent="0.2">
      <c r="C13" s="54">
        <v>2.8</v>
      </c>
      <c r="D13" s="53">
        <f t="shared" si="0"/>
        <v>5.8000000000000025</v>
      </c>
    </row>
    <row r="14" spans="3:6" x14ac:dyDescent="0.2">
      <c r="C14" s="54">
        <v>2.9</v>
      </c>
      <c r="D14" s="53">
        <f t="shared" si="0"/>
        <v>5.9000000000000021</v>
      </c>
    </row>
    <row r="15" spans="3:6" ht="18" x14ac:dyDescent="0.25">
      <c r="C15" s="53">
        <v>3</v>
      </c>
      <c r="D15" s="53">
        <f t="shared" si="0"/>
        <v>6.0000000000000027</v>
      </c>
      <c r="E15" s="53" t="s">
        <v>193</v>
      </c>
      <c r="F15" s="53" t="s">
        <v>194</v>
      </c>
    </row>
    <row r="16" spans="3:6" x14ac:dyDescent="0.2">
      <c r="C16" s="54">
        <v>3.1</v>
      </c>
      <c r="D16" s="53">
        <f>$O$42*C16+$O$43</f>
        <v>6.1</v>
      </c>
    </row>
    <row r="17" spans="3:15" x14ac:dyDescent="0.2">
      <c r="C17" s="54">
        <v>3.2</v>
      </c>
      <c r="D17" s="53">
        <f t="shared" ref="D17:D25" si="1">$O$42*C17+$O$43</f>
        <v>6.2</v>
      </c>
    </row>
    <row r="18" spans="3:15" x14ac:dyDescent="0.2">
      <c r="C18" s="54">
        <v>3.3</v>
      </c>
      <c r="D18" s="53">
        <f t="shared" si="1"/>
        <v>6.3</v>
      </c>
    </row>
    <row r="19" spans="3:15" x14ac:dyDescent="0.2">
      <c r="C19" s="54">
        <v>3.4</v>
      </c>
      <c r="D19" s="53">
        <f t="shared" si="1"/>
        <v>6.4</v>
      </c>
    </row>
    <row r="20" spans="3:15" x14ac:dyDescent="0.2">
      <c r="C20" s="54">
        <v>3.5</v>
      </c>
      <c r="D20" s="53">
        <f t="shared" si="1"/>
        <v>6.5</v>
      </c>
    </row>
    <row r="21" spans="3:15" x14ac:dyDescent="0.2">
      <c r="C21" s="54">
        <v>3.6</v>
      </c>
      <c r="D21" s="53">
        <f t="shared" si="1"/>
        <v>6.6</v>
      </c>
    </row>
    <row r="22" spans="3:15" x14ac:dyDescent="0.2">
      <c r="C22" s="54">
        <v>3.7</v>
      </c>
      <c r="D22" s="53">
        <f t="shared" si="1"/>
        <v>6.7</v>
      </c>
    </row>
    <row r="23" spans="3:15" x14ac:dyDescent="0.2">
      <c r="C23" s="54">
        <v>3.8</v>
      </c>
      <c r="D23" s="53">
        <f t="shared" si="1"/>
        <v>6.8</v>
      </c>
    </row>
    <row r="24" spans="3:15" x14ac:dyDescent="0.2">
      <c r="C24" s="54">
        <v>3.9</v>
      </c>
      <c r="D24" s="53">
        <f t="shared" si="1"/>
        <v>6.9</v>
      </c>
    </row>
    <row r="25" spans="3:15" ht="18" x14ac:dyDescent="0.25">
      <c r="C25" s="53">
        <v>4</v>
      </c>
      <c r="D25" s="53">
        <f t="shared" si="1"/>
        <v>7</v>
      </c>
      <c r="E25" s="53" t="s">
        <v>194</v>
      </c>
    </row>
    <row r="31" spans="3:15" s="52" customFormat="1" ht="20" x14ac:dyDescent="0.25">
      <c r="D31" s="52" t="s">
        <v>195</v>
      </c>
      <c r="E31" s="52" t="s">
        <v>196</v>
      </c>
      <c r="G31" s="52" t="s">
        <v>197</v>
      </c>
      <c r="H31" s="52" t="s">
        <v>198</v>
      </c>
      <c r="I31" s="52" t="s">
        <v>199</v>
      </c>
      <c r="J31" s="52" t="s">
        <v>200</v>
      </c>
      <c r="L31" s="52" t="s">
        <v>201</v>
      </c>
      <c r="O31" s="52" t="s">
        <v>202</v>
      </c>
    </row>
    <row r="32" spans="3:15" ht="18" x14ac:dyDescent="0.25">
      <c r="C32" s="53" t="s">
        <v>203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204</v>
      </c>
      <c r="O32" s="60">
        <v>5</v>
      </c>
    </row>
    <row r="33" spans="3:15" ht="18" x14ac:dyDescent="0.25">
      <c r="C33" s="53" t="s">
        <v>203</v>
      </c>
      <c r="D33" s="55" t="str">
        <f t="shared" ref="D33:D35" si="2">"y(" &amp; E33 &amp; ")"</f>
        <v>y(3)</v>
      </c>
      <c r="E33" s="53">
        <v>3</v>
      </c>
      <c r="G33" s="61">
        <v>3</v>
      </c>
      <c r="H33" s="53">
        <v>1</v>
      </c>
      <c r="I33" s="53">
        <v>0</v>
      </c>
      <c r="J33" s="62">
        <v>0</v>
      </c>
      <c r="L33" s="63" t="s">
        <v>205</v>
      </c>
      <c r="N33" s="53" t="s">
        <v>206</v>
      </c>
      <c r="O33" s="64">
        <v>6</v>
      </c>
    </row>
    <row r="34" spans="3:15" ht="18" x14ac:dyDescent="0.25">
      <c r="C34" s="53" t="s">
        <v>207</v>
      </c>
      <c r="D34" s="55" t="str">
        <f t="shared" si="2"/>
        <v>y(3)</v>
      </c>
      <c r="E34" s="53">
        <v>3</v>
      </c>
      <c r="G34" s="61">
        <v>0</v>
      </c>
      <c r="H34" s="53">
        <v>0</v>
      </c>
      <c r="I34" s="53">
        <v>3</v>
      </c>
      <c r="J34" s="62">
        <v>1</v>
      </c>
      <c r="L34" s="63" t="s">
        <v>208</v>
      </c>
      <c r="O34" s="64">
        <v>6</v>
      </c>
    </row>
    <row r="35" spans="3:15" ht="18" x14ac:dyDescent="0.25">
      <c r="C35" s="53" t="s">
        <v>207</v>
      </c>
      <c r="D35" s="55" t="str">
        <f t="shared" si="2"/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209</v>
      </c>
      <c r="O35" s="69">
        <v>7</v>
      </c>
    </row>
    <row r="39" spans="3:15" x14ac:dyDescent="0.2">
      <c r="L39" s="52" t="s">
        <v>201</v>
      </c>
      <c r="O39" s="52" t="s">
        <v>201</v>
      </c>
    </row>
    <row r="40" spans="3:15" ht="18" x14ac:dyDescent="0.25">
      <c r="I40" s="52"/>
      <c r="L40" s="59" t="s">
        <v>204</v>
      </c>
      <c r="O40" s="60">
        <f t="array" ref="O40:O43">MMULT(MINVERSE(G32:J35),O32:O35)</f>
        <v>1.0000000000000009</v>
      </c>
    </row>
    <row r="41" spans="3:15" ht="18" x14ac:dyDescent="0.25">
      <c r="L41" s="63" t="s">
        <v>205</v>
      </c>
      <c r="N41" s="53" t="s">
        <v>206</v>
      </c>
      <c r="O41" s="64">
        <v>3</v>
      </c>
    </row>
    <row r="42" spans="3:15" ht="18" x14ac:dyDescent="0.25">
      <c r="L42" s="63" t="s">
        <v>208</v>
      </c>
      <c r="O42" s="64">
        <v>1</v>
      </c>
    </row>
    <row r="43" spans="3:15" ht="18" x14ac:dyDescent="0.25">
      <c r="L43" s="68" t="s">
        <v>209</v>
      </c>
      <c r="O43" s="69">
        <v>3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53"/>
  </cols>
  <sheetData>
    <row r="4" spans="3:6" x14ac:dyDescent="0.2">
      <c r="C4" s="52" t="s">
        <v>188</v>
      </c>
      <c r="D4" s="52" t="s">
        <v>189</v>
      </c>
      <c r="E4" s="53" t="s">
        <v>190</v>
      </c>
      <c r="F4" s="53" t="s">
        <v>191</v>
      </c>
    </row>
    <row r="5" spans="3:6" ht="18" x14ac:dyDescent="0.25">
      <c r="C5" s="53">
        <v>2</v>
      </c>
      <c r="D5" s="53">
        <f>$O$40*C5+$O$41</f>
        <v>5</v>
      </c>
      <c r="E5" s="53" t="s">
        <v>192</v>
      </c>
    </row>
    <row r="6" spans="3:6" x14ac:dyDescent="0.2">
      <c r="C6" s="54">
        <v>2.1</v>
      </c>
      <c r="D6" s="53">
        <f t="shared" ref="D6:D15" si="0">$O$40*C6+$O$41</f>
        <v>5.0999999999999996</v>
      </c>
    </row>
    <row r="7" spans="3:6" x14ac:dyDescent="0.2">
      <c r="C7" s="54">
        <v>2.2000000000000002</v>
      </c>
      <c r="D7" s="53">
        <f t="shared" si="0"/>
        <v>5.2</v>
      </c>
    </row>
    <row r="8" spans="3:6" x14ac:dyDescent="0.2">
      <c r="C8" s="54">
        <v>2.2999999999999998</v>
      </c>
      <c r="D8" s="53">
        <f t="shared" si="0"/>
        <v>5.3</v>
      </c>
    </row>
    <row r="9" spans="3:6" x14ac:dyDescent="0.2">
      <c r="C9" s="54">
        <v>2.4</v>
      </c>
      <c r="D9" s="53">
        <f t="shared" si="0"/>
        <v>5.4</v>
      </c>
    </row>
    <row r="10" spans="3:6" x14ac:dyDescent="0.2">
      <c r="C10" s="54">
        <v>2.5</v>
      </c>
      <c r="D10" s="53">
        <f t="shared" si="0"/>
        <v>5.5</v>
      </c>
    </row>
    <row r="11" spans="3:6" x14ac:dyDescent="0.2">
      <c r="C11" s="54">
        <v>2.6</v>
      </c>
      <c r="D11" s="53">
        <f t="shared" si="0"/>
        <v>5.6</v>
      </c>
    </row>
    <row r="12" spans="3:6" x14ac:dyDescent="0.2">
      <c r="C12" s="54">
        <v>2.7</v>
      </c>
      <c r="D12" s="53">
        <f t="shared" si="0"/>
        <v>5.7</v>
      </c>
    </row>
    <row r="13" spans="3:6" x14ac:dyDescent="0.2">
      <c r="C13" s="54">
        <v>2.8</v>
      </c>
      <c r="D13" s="53">
        <f t="shared" si="0"/>
        <v>5.8</v>
      </c>
    </row>
    <row r="14" spans="3:6" x14ac:dyDescent="0.2">
      <c r="C14" s="54">
        <v>2.9</v>
      </c>
      <c r="D14" s="53">
        <f t="shared" si="0"/>
        <v>5.9</v>
      </c>
    </row>
    <row r="15" spans="3:6" ht="18" x14ac:dyDescent="0.25">
      <c r="C15" s="53">
        <v>3</v>
      </c>
      <c r="D15" s="53">
        <f t="shared" si="0"/>
        <v>6</v>
      </c>
      <c r="E15" s="53" t="s">
        <v>193</v>
      </c>
      <c r="F15" s="53" t="s">
        <v>194</v>
      </c>
    </row>
    <row r="16" spans="3:6" x14ac:dyDescent="0.2">
      <c r="C16" s="54">
        <v>3.1</v>
      </c>
      <c r="D16" s="53">
        <f t="shared" ref="D16:D24" si="1">$O$42*C16+$O$43</f>
        <v>6.1</v>
      </c>
    </row>
    <row r="17" spans="3:15" x14ac:dyDescent="0.2">
      <c r="C17" s="54">
        <v>3.2</v>
      </c>
      <c r="D17" s="53">
        <f t="shared" si="1"/>
        <v>6.2</v>
      </c>
    </row>
    <row r="18" spans="3:15" x14ac:dyDescent="0.2">
      <c r="C18" s="54">
        <v>3.3</v>
      </c>
      <c r="D18" s="53">
        <f t="shared" si="1"/>
        <v>6.3</v>
      </c>
    </row>
    <row r="19" spans="3:15" x14ac:dyDescent="0.2">
      <c r="C19" s="54">
        <v>3.4</v>
      </c>
      <c r="D19" s="53">
        <f t="shared" si="1"/>
        <v>6.4</v>
      </c>
    </row>
    <row r="20" spans="3:15" x14ac:dyDescent="0.2">
      <c r="C20" s="54">
        <v>3.5</v>
      </c>
      <c r="D20" s="53">
        <f t="shared" si="1"/>
        <v>6.5</v>
      </c>
    </row>
    <row r="21" spans="3:15" x14ac:dyDescent="0.2">
      <c r="C21" s="54">
        <v>3.6</v>
      </c>
      <c r="D21" s="53">
        <f t="shared" si="1"/>
        <v>6.6</v>
      </c>
    </row>
    <row r="22" spans="3:15" x14ac:dyDescent="0.2">
      <c r="C22" s="54">
        <v>3.7</v>
      </c>
      <c r="D22" s="53">
        <f t="shared" si="1"/>
        <v>6.7</v>
      </c>
    </row>
    <row r="23" spans="3:15" x14ac:dyDescent="0.2">
      <c r="C23" s="54">
        <v>3.8</v>
      </c>
      <c r="D23" s="53">
        <f t="shared" si="1"/>
        <v>6.8</v>
      </c>
    </row>
    <row r="24" spans="3:15" x14ac:dyDescent="0.2">
      <c r="C24" s="54">
        <v>3.9</v>
      </c>
      <c r="D24" s="53">
        <f t="shared" si="1"/>
        <v>6.9</v>
      </c>
    </row>
    <row r="25" spans="3:15" ht="18" x14ac:dyDescent="0.25">
      <c r="C25" s="53">
        <v>4</v>
      </c>
      <c r="D25" s="53">
        <f>$O$42*C25+$O$43</f>
        <v>7</v>
      </c>
      <c r="E25" s="53" t="s">
        <v>194</v>
      </c>
    </row>
    <row r="31" spans="3:15" s="52" customFormat="1" ht="20" x14ac:dyDescent="0.25">
      <c r="D31" s="52" t="s">
        <v>195</v>
      </c>
      <c r="E31" s="52" t="s">
        <v>196</v>
      </c>
      <c r="G31" s="52" t="s">
        <v>197</v>
      </c>
      <c r="H31" s="52" t="s">
        <v>198</v>
      </c>
      <c r="I31" s="52" t="s">
        <v>199</v>
      </c>
      <c r="J31" s="52" t="s">
        <v>200</v>
      </c>
      <c r="L31" s="52" t="s">
        <v>201</v>
      </c>
      <c r="O31" s="52" t="s">
        <v>202</v>
      </c>
    </row>
    <row r="32" spans="3:15" ht="18" x14ac:dyDescent="0.25">
      <c r="C32" s="53" t="s">
        <v>203</v>
      </c>
      <c r="D32" s="55" t="str">
        <f>"y(" &amp; E32 &amp; ")"</f>
        <v>y(2)</v>
      </c>
      <c r="E32" s="53">
        <v>2</v>
      </c>
      <c r="G32" s="56">
        <f>E32</f>
        <v>2</v>
      </c>
      <c r="H32" s="57">
        <v>1</v>
      </c>
      <c r="I32" s="57">
        <v>0</v>
      </c>
      <c r="J32" s="58">
        <v>0</v>
      </c>
      <c r="L32" s="59" t="s">
        <v>204</v>
      </c>
      <c r="O32" s="60">
        <v>5</v>
      </c>
    </row>
    <row r="33" spans="3:15" ht="18" x14ac:dyDescent="0.25">
      <c r="C33" s="53" t="s">
        <v>203</v>
      </c>
      <c r="D33" s="70" t="str">
        <f>"y'(" &amp; E33 &amp; ")"</f>
        <v>y'(3)</v>
      </c>
      <c r="E33" s="47">
        <v>3</v>
      </c>
      <c r="F33" s="47"/>
      <c r="G33" s="71">
        <v>1</v>
      </c>
      <c r="H33" s="47">
        <v>0</v>
      </c>
      <c r="I33" s="47">
        <v>-1</v>
      </c>
      <c r="J33" s="72">
        <v>0</v>
      </c>
      <c r="L33" s="63" t="s">
        <v>205</v>
      </c>
      <c r="N33" s="53" t="s">
        <v>206</v>
      </c>
      <c r="O33" s="64">
        <v>0</v>
      </c>
    </row>
    <row r="34" spans="3:15" ht="18" x14ac:dyDescent="0.25">
      <c r="C34" s="53" t="s">
        <v>207</v>
      </c>
      <c r="D34" s="55" t="str">
        <f>"y(" &amp; E34 &amp; ")"</f>
        <v>y(3)</v>
      </c>
      <c r="E34" s="53">
        <v>3</v>
      </c>
      <c r="G34" s="61">
        <v>0</v>
      </c>
      <c r="H34" s="53">
        <v>0</v>
      </c>
      <c r="I34" s="53">
        <v>3</v>
      </c>
      <c r="J34" s="62">
        <v>1</v>
      </c>
      <c r="L34" s="63" t="s">
        <v>208</v>
      </c>
      <c r="O34" s="64">
        <v>6</v>
      </c>
    </row>
    <row r="35" spans="3:15" ht="18" x14ac:dyDescent="0.25">
      <c r="C35" s="53" t="s">
        <v>207</v>
      </c>
      <c r="D35" s="55" t="str">
        <f t="shared" ref="D35" si="2">"y(" &amp; E35 &amp; ")"</f>
        <v>y(4)</v>
      </c>
      <c r="E35" s="53">
        <v>4</v>
      </c>
      <c r="G35" s="65">
        <v>0</v>
      </c>
      <c r="H35" s="66">
        <v>0</v>
      </c>
      <c r="I35" s="66">
        <f>E35</f>
        <v>4</v>
      </c>
      <c r="J35" s="67">
        <v>1</v>
      </c>
      <c r="L35" s="68" t="s">
        <v>209</v>
      </c>
      <c r="O35" s="69">
        <v>7</v>
      </c>
    </row>
    <row r="39" spans="3:15" x14ac:dyDescent="0.2">
      <c r="L39" s="52" t="s">
        <v>201</v>
      </c>
      <c r="O39" s="52" t="s">
        <v>201</v>
      </c>
    </row>
    <row r="40" spans="3:15" ht="18" x14ac:dyDescent="0.25">
      <c r="I40" s="52"/>
      <c r="L40" s="59" t="s">
        <v>204</v>
      </c>
      <c r="O40" s="60">
        <f t="array" ref="O40:O43">MMULT(MINVERSE(G32:J35),O32:O35)</f>
        <v>1</v>
      </c>
    </row>
    <row r="41" spans="3:15" ht="18" x14ac:dyDescent="0.25">
      <c r="L41" s="63" t="s">
        <v>205</v>
      </c>
      <c r="N41" s="53" t="s">
        <v>206</v>
      </c>
      <c r="O41" s="64">
        <v>3</v>
      </c>
    </row>
    <row r="42" spans="3:15" ht="18" x14ac:dyDescent="0.25">
      <c r="L42" s="63" t="s">
        <v>208</v>
      </c>
      <c r="O42" s="64">
        <v>1</v>
      </c>
    </row>
    <row r="43" spans="3:15" ht="18" x14ac:dyDescent="0.25">
      <c r="L43" s="68" t="s">
        <v>209</v>
      </c>
      <c r="O43" s="69">
        <v>3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B2:Y33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2" spans="2:3" s="73" customFormat="1" ht="26" x14ac:dyDescent="0.3"/>
    <row r="3" spans="2:3" ht="29" x14ac:dyDescent="0.3">
      <c r="C3" s="73" t="s">
        <v>210</v>
      </c>
    </row>
    <row r="4" spans="2:3" ht="26" x14ac:dyDescent="0.3">
      <c r="C4" s="73"/>
    </row>
    <row r="5" spans="2:3" ht="29" x14ac:dyDescent="0.3">
      <c r="C5" s="73" t="s">
        <v>211</v>
      </c>
    </row>
    <row r="6" spans="2:3" ht="26" x14ac:dyDescent="0.3">
      <c r="C6" s="73"/>
    </row>
    <row r="7" spans="2:3" ht="26" x14ac:dyDescent="0.3">
      <c r="C7" s="73" t="s">
        <v>212</v>
      </c>
    </row>
    <row r="11" spans="2:3" x14ac:dyDescent="0.2">
      <c r="B11" s="55" t="s">
        <v>188</v>
      </c>
      <c r="C11" s="55" t="s">
        <v>189</v>
      </c>
    </row>
    <row r="12" spans="2:3" x14ac:dyDescent="0.2">
      <c r="B12" s="74">
        <v>2</v>
      </c>
      <c r="C12" s="74">
        <v>1</v>
      </c>
    </row>
    <row r="13" spans="2:3" x14ac:dyDescent="0.2">
      <c r="B13" s="74">
        <v>3</v>
      </c>
      <c r="C13" s="74">
        <v>2</v>
      </c>
    </row>
    <row r="14" spans="2:3" x14ac:dyDescent="0.2">
      <c r="B14" s="74">
        <v>4</v>
      </c>
      <c r="C14" s="74">
        <v>6</v>
      </c>
    </row>
    <row r="15" spans="2:3" x14ac:dyDescent="0.2">
      <c r="B15" s="74">
        <v>5</v>
      </c>
      <c r="C15" s="74">
        <v>9</v>
      </c>
    </row>
    <row r="23" spans="2:25" s="55" customFormat="1" ht="20" x14ac:dyDescent="0.25">
      <c r="B23" s="55" t="s">
        <v>213</v>
      </c>
      <c r="C23" s="55" t="s">
        <v>214</v>
      </c>
      <c r="D23" s="55" t="s">
        <v>196</v>
      </c>
      <c r="F23" s="52" t="s">
        <v>215</v>
      </c>
      <c r="G23" s="52" t="s">
        <v>216</v>
      </c>
      <c r="H23" s="52" t="s">
        <v>197</v>
      </c>
      <c r="I23" s="52" t="s">
        <v>198</v>
      </c>
      <c r="J23" s="52" t="s">
        <v>217</v>
      </c>
      <c r="K23" s="52" t="s">
        <v>218</v>
      </c>
      <c r="L23" s="52" t="s">
        <v>199</v>
      </c>
      <c r="M23" s="52" t="s">
        <v>200</v>
      </c>
      <c r="N23" s="52" t="s">
        <v>219</v>
      </c>
      <c r="O23" s="52" t="s">
        <v>220</v>
      </c>
      <c r="P23" s="52" t="s">
        <v>221</v>
      </c>
      <c r="Q23" s="52" t="s">
        <v>222</v>
      </c>
      <c r="R23" s="52" t="s">
        <v>223</v>
      </c>
      <c r="S23" s="52" t="s">
        <v>224</v>
      </c>
      <c r="T23" s="52" t="s">
        <v>225</v>
      </c>
      <c r="U23" s="52" t="s">
        <v>226</v>
      </c>
      <c r="V23" s="52" t="s">
        <v>227</v>
      </c>
      <c r="W23" s="52" t="s">
        <v>228</v>
      </c>
      <c r="X23" s="52" t="s">
        <v>229</v>
      </c>
      <c r="Y23" s="52" t="s">
        <v>230</v>
      </c>
    </row>
    <row r="24" spans="2:25" x14ac:dyDescent="0.2">
      <c r="B24" s="55" t="s">
        <v>231</v>
      </c>
      <c r="C24" s="74">
        <v>2</v>
      </c>
      <c r="D24" s="74">
        <v>3</v>
      </c>
      <c r="F24" s="75" t="e">
        <f>_xlfn.SINGLE(Time)^3</f>
        <v>#REF!</v>
      </c>
      <c r="G24" s="76" t="e">
        <f>_xlfn.SINGLE(Time)^2</f>
        <v>#REF!</v>
      </c>
      <c r="H24" s="76" t="e">
        <f>_xlfn.SINGLE(Time)^1</f>
        <v>#REF!</v>
      </c>
      <c r="I24" s="76" t="e">
        <f>_xlfn.SINGLE(Time)^0</f>
        <v>#REF!</v>
      </c>
      <c r="J24" s="76">
        <v>0</v>
      </c>
      <c r="K24" s="76">
        <v>0</v>
      </c>
      <c r="L24" s="76">
        <v>0</v>
      </c>
      <c r="M24" s="77">
        <v>0</v>
      </c>
      <c r="N24" s="74">
        <v>0</v>
      </c>
      <c r="O24" s="74">
        <v>0</v>
      </c>
      <c r="P24" s="74">
        <v>0</v>
      </c>
      <c r="Q24" s="74">
        <v>0</v>
      </c>
      <c r="R24" s="74">
        <v>0</v>
      </c>
      <c r="S24" s="74">
        <v>0</v>
      </c>
      <c r="T24" s="74">
        <v>0</v>
      </c>
      <c r="U24" s="74">
        <v>0</v>
      </c>
      <c r="V24" s="74">
        <v>0</v>
      </c>
      <c r="W24" s="74">
        <v>0</v>
      </c>
      <c r="X24" s="74">
        <v>0</v>
      </c>
      <c r="Y24" s="74">
        <v>0</v>
      </c>
    </row>
    <row r="25" spans="2:25" x14ac:dyDescent="0.2">
      <c r="B25" s="55" t="s">
        <v>231</v>
      </c>
      <c r="C25" s="74">
        <v>2</v>
      </c>
      <c r="D25" s="74">
        <v>3</v>
      </c>
      <c r="F25" s="78">
        <v>0</v>
      </c>
      <c r="G25" s="74">
        <v>0</v>
      </c>
      <c r="H25" s="74">
        <v>0</v>
      </c>
      <c r="I25" s="74">
        <v>0</v>
      </c>
      <c r="J25" s="74" t="e">
        <f>_xlfn.SINGLE(Time)^3</f>
        <v>#REF!</v>
      </c>
      <c r="K25" s="74" t="e">
        <f>_xlfn.SINGLE(Time)^2</f>
        <v>#REF!</v>
      </c>
      <c r="L25" s="74" t="e">
        <f>_xlfn.SINGLE(Time)^1</f>
        <v>#REF!</v>
      </c>
      <c r="M25" s="79" t="e">
        <f>_xlfn.SINGLE(Time)^0</f>
        <v>#REF!</v>
      </c>
      <c r="N25" s="74">
        <v>0</v>
      </c>
      <c r="O25" s="74">
        <v>0</v>
      </c>
      <c r="P25" s="74">
        <v>0</v>
      </c>
      <c r="Q25" s="74">
        <v>0</v>
      </c>
      <c r="R25" s="74">
        <v>0</v>
      </c>
      <c r="S25" s="74">
        <v>0</v>
      </c>
      <c r="T25" s="74">
        <v>0</v>
      </c>
      <c r="U25" s="74">
        <v>0</v>
      </c>
      <c r="V25" s="74">
        <v>0</v>
      </c>
      <c r="W25" s="74">
        <v>0</v>
      </c>
      <c r="X25" s="74">
        <v>0</v>
      </c>
      <c r="Y25" s="74">
        <v>0</v>
      </c>
    </row>
    <row r="26" spans="2:25" x14ac:dyDescent="0.2">
      <c r="B26" s="55" t="s">
        <v>232</v>
      </c>
      <c r="C26" s="74">
        <v>0</v>
      </c>
      <c r="D26" s="74">
        <v>3</v>
      </c>
      <c r="F26" s="78" t="e">
        <f>3*_xlfn.SINGLE(Time)^2</f>
        <v>#REF!</v>
      </c>
      <c r="G26" s="74" t="e">
        <f>2*_xlfn.SINGLE(Time)</f>
        <v>#REF!</v>
      </c>
      <c r="H26" s="74" t="e">
        <f>_xlfn.SINGLE(Time)^0</f>
        <v>#REF!</v>
      </c>
      <c r="I26" s="74">
        <v>0</v>
      </c>
      <c r="J26" s="74" t="e">
        <f>-3*_xlfn.SINGLE(Time)^2</f>
        <v>#REF!</v>
      </c>
      <c r="K26" s="74" t="e">
        <f>-2*_xlfn.SINGLE(Time)</f>
        <v>#REF!</v>
      </c>
      <c r="L26" s="74" t="e">
        <f>-(_xlfn.SINGLE(Time)^0)</f>
        <v>#REF!</v>
      </c>
      <c r="M26" s="79">
        <v>0</v>
      </c>
      <c r="N26" s="74">
        <v>0</v>
      </c>
      <c r="O26" s="74">
        <v>0</v>
      </c>
      <c r="P26" s="74">
        <v>0</v>
      </c>
      <c r="Q26" s="74">
        <v>0</v>
      </c>
      <c r="R26" s="74">
        <v>0</v>
      </c>
      <c r="S26" s="74">
        <v>0</v>
      </c>
      <c r="T26" s="74">
        <v>0</v>
      </c>
      <c r="U26" s="74">
        <v>0</v>
      </c>
      <c r="V26" s="74">
        <v>0</v>
      </c>
      <c r="W26" s="74">
        <v>0</v>
      </c>
      <c r="X26" s="74">
        <v>0</v>
      </c>
      <c r="Y26" s="74">
        <v>0</v>
      </c>
    </row>
    <row r="27" spans="2:25" x14ac:dyDescent="0.2">
      <c r="B27" s="55" t="s">
        <v>233</v>
      </c>
      <c r="C27" s="74">
        <v>0</v>
      </c>
      <c r="D27" s="74">
        <v>3</v>
      </c>
      <c r="F27" s="80" t="e">
        <f>2*3*_xlfn.SINGLE(Time)^1</f>
        <v>#REF!</v>
      </c>
      <c r="G27" s="81" t="e">
        <f>2*_xlfn.SINGLE(Time)^0</f>
        <v>#REF!</v>
      </c>
      <c r="H27" s="81">
        <v>0</v>
      </c>
      <c r="I27" s="81">
        <v>0</v>
      </c>
      <c r="J27" s="81" t="e">
        <f>-2*3*_xlfn.SINGLE(Time)^1</f>
        <v>#REF!</v>
      </c>
      <c r="K27" s="81" t="e">
        <f>-2*_xlfn.SINGLE(Time)^0</f>
        <v>#REF!</v>
      </c>
      <c r="L27" s="81">
        <v>0</v>
      </c>
      <c r="M27" s="82">
        <v>0</v>
      </c>
      <c r="N27" s="74">
        <v>0</v>
      </c>
      <c r="O27" s="74">
        <v>0</v>
      </c>
      <c r="P27" s="74">
        <v>0</v>
      </c>
      <c r="Q27" s="74">
        <v>0</v>
      </c>
      <c r="R27" s="74">
        <v>0</v>
      </c>
      <c r="S27" s="74">
        <v>0</v>
      </c>
      <c r="T27" s="74">
        <v>0</v>
      </c>
      <c r="U27" s="74">
        <v>0</v>
      </c>
      <c r="V27" s="74">
        <v>0</v>
      </c>
      <c r="W27" s="74">
        <v>0</v>
      </c>
      <c r="X27" s="74">
        <v>0</v>
      </c>
      <c r="Y27" s="74">
        <v>0</v>
      </c>
    </row>
    <row r="30" spans="2:25" x14ac:dyDescent="0.2">
      <c r="F30" s="52"/>
      <c r="G30" s="52"/>
      <c r="H30" s="52"/>
      <c r="I30" s="52"/>
    </row>
    <row r="31" spans="2:25" x14ac:dyDescent="0.2">
      <c r="F31" s="52"/>
      <c r="G31" s="52"/>
    </row>
    <row r="32" spans="2:25" x14ac:dyDescent="0.2">
      <c r="F32" s="52"/>
      <c r="G32" s="52"/>
    </row>
    <row r="33" spans="6:8" x14ac:dyDescent="0.2">
      <c r="F33" s="52"/>
      <c r="G33" s="52"/>
      <c r="H33" s="52"/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B2:Y36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2" spans="2:3" s="73" customFormat="1" ht="26" x14ac:dyDescent="0.3"/>
    <row r="3" spans="2:3" ht="29" x14ac:dyDescent="0.3">
      <c r="C3" s="73" t="s">
        <v>210</v>
      </c>
    </row>
    <row r="4" spans="2:3" ht="26" x14ac:dyDescent="0.3">
      <c r="C4" s="73"/>
    </row>
    <row r="5" spans="2:3" ht="29" x14ac:dyDescent="0.3">
      <c r="C5" s="73" t="s">
        <v>211</v>
      </c>
    </row>
    <row r="6" spans="2:3" ht="26" x14ac:dyDescent="0.3">
      <c r="C6" s="73"/>
    </row>
    <row r="7" spans="2:3" ht="26" x14ac:dyDescent="0.3">
      <c r="C7" s="73" t="s">
        <v>212</v>
      </c>
    </row>
    <row r="11" spans="2:3" x14ac:dyDescent="0.2">
      <c r="B11" s="55" t="s">
        <v>188</v>
      </c>
      <c r="C11" s="55" t="s">
        <v>189</v>
      </c>
    </row>
    <row r="12" spans="2:3" x14ac:dyDescent="0.2">
      <c r="B12" s="74">
        <v>2</v>
      </c>
      <c r="C12" s="74">
        <v>1</v>
      </c>
    </row>
    <row r="13" spans="2:3" x14ac:dyDescent="0.2">
      <c r="B13" s="74">
        <v>3</v>
      </c>
      <c r="C13" s="74">
        <v>2</v>
      </c>
    </row>
    <row r="14" spans="2:3" x14ac:dyDescent="0.2">
      <c r="B14" s="74">
        <v>4</v>
      </c>
      <c r="C14" s="74">
        <v>6</v>
      </c>
    </row>
    <row r="15" spans="2:3" x14ac:dyDescent="0.2">
      <c r="B15" s="74">
        <v>5</v>
      </c>
      <c r="C15" s="74">
        <v>9</v>
      </c>
    </row>
    <row r="24" spans="2:25" s="83" customFormat="1" ht="20" x14ac:dyDescent="0.25">
      <c r="B24" s="83" t="s">
        <v>213</v>
      </c>
      <c r="C24" s="83" t="s">
        <v>214</v>
      </c>
      <c r="D24" s="83" t="s">
        <v>196</v>
      </c>
      <c r="F24" s="84" t="s">
        <v>234</v>
      </c>
      <c r="G24" s="84" t="s">
        <v>235</v>
      </c>
      <c r="H24" s="84" t="s">
        <v>236</v>
      </c>
      <c r="I24" s="84" t="s">
        <v>237</v>
      </c>
      <c r="J24" s="84" t="s">
        <v>238</v>
      </c>
      <c r="K24" s="84" t="s">
        <v>239</v>
      </c>
      <c r="L24" s="84" t="s">
        <v>240</v>
      </c>
      <c r="M24" s="84" t="s">
        <v>241</v>
      </c>
      <c r="N24" s="84" t="s">
        <v>242</v>
      </c>
      <c r="O24" s="84" t="s">
        <v>243</v>
      </c>
      <c r="P24" s="84" t="s">
        <v>244</v>
      </c>
      <c r="Q24" s="84" t="s">
        <v>245</v>
      </c>
      <c r="R24" s="74"/>
      <c r="T24" s="74"/>
      <c r="U24" s="74"/>
      <c r="V24" s="85"/>
      <c r="W24" s="85"/>
      <c r="X24" s="85"/>
      <c r="Y24" s="85"/>
    </row>
    <row r="25" spans="2:25" ht="18" x14ac:dyDescent="0.25">
      <c r="B25" s="55" t="s">
        <v>231</v>
      </c>
      <c r="C25" s="74">
        <v>2</v>
      </c>
      <c r="D25" s="74">
        <v>3</v>
      </c>
      <c r="F25" s="75">
        <f>time^3</f>
        <v>27</v>
      </c>
      <c r="G25" s="76">
        <f>time^2</f>
        <v>9</v>
      </c>
      <c r="H25" s="76">
        <f>time^1</f>
        <v>3</v>
      </c>
      <c r="I25" s="76">
        <f>time^0</f>
        <v>1</v>
      </c>
      <c r="J25" s="76">
        <v>0</v>
      </c>
      <c r="K25" s="76">
        <v>0</v>
      </c>
      <c r="L25" s="76">
        <v>0</v>
      </c>
      <c r="M25" s="77">
        <v>0</v>
      </c>
      <c r="N25" s="74">
        <v>0</v>
      </c>
      <c r="O25" s="74">
        <v>0</v>
      </c>
      <c r="P25" s="74">
        <v>0</v>
      </c>
      <c r="Q25" s="74">
        <v>0</v>
      </c>
      <c r="S25" s="52" t="s">
        <v>246</v>
      </c>
      <c r="T25" s="74">
        <f t="array" ref="T25:T36">MMULT(MINVERSE(F25:Q36),C25:C36)</f>
        <v>0.86666666666666714</v>
      </c>
    </row>
    <row r="26" spans="2:25" ht="18" x14ac:dyDescent="0.25">
      <c r="B26" s="55" t="s">
        <v>231</v>
      </c>
      <c r="C26" s="74">
        <v>2</v>
      </c>
      <c r="D26" s="74">
        <v>3</v>
      </c>
      <c r="F26" s="78">
        <v>0</v>
      </c>
      <c r="G26" s="74">
        <v>0</v>
      </c>
      <c r="H26" s="74">
        <v>0</v>
      </c>
      <c r="I26" s="74">
        <v>0</v>
      </c>
      <c r="J26" s="74">
        <f>time^3</f>
        <v>27</v>
      </c>
      <c r="K26" s="74">
        <f>time^2</f>
        <v>9</v>
      </c>
      <c r="L26" s="74">
        <f>time^1</f>
        <v>3</v>
      </c>
      <c r="M26" s="79">
        <f>time^0</f>
        <v>1</v>
      </c>
      <c r="N26" s="74">
        <v>0</v>
      </c>
      <c r="O26" s="74">
        <v>0</v>
      </c>
      <c r="P26" s="74">
        <v>0</v>
      </c>
      <c r="Q26" s="74">
        <v>0</v>
      </c>
      <c r="S26" s="52" t="s">
        <v>247</v>
      </c>
      <c r="T26" s="74">
        <v>-5.1999999999999922</v>
      </c>
    </row>
    <row r="27" spans="2:25" ht="18" x14ac:dyDescent="0.25">
      <c r="B27" s="55" t="s">
        <v>232</v>
      </c>
      <c r="C27" s="74">
        <v>0</v>
      </c>
      <c r="D27" s="74">
        <v>3</v>
      </c>
      <c r="F27" s="78">
        <f>3*time^2</f>
        <v>27</v>
      </c>
      <c r="G27" s="74">
        <f>2*time</f>
        <v>6</v>
      </c>
      <c r="H27" s="74">
        <f>time^0</f>
        <v>1</v>
      </c>
      <c r="I27" s="74">
        <v>0</v>
      </c>
      <c r="J27" s="74">
        <f>-3*time^2</f>
        <v>-27</v>
      </c>
      <c r="K27" s="74">
        <f>-2*time</f>
        <v>-6</v>
      </c>
      <c r="L27" s="74">
        <f>-(time^0)</f>
        <v>-1</v>
      </c>
      <c r="M27" s="79">
        <v>0</v>
      </c>
      <c r="N27" s="74">
        <v>0</v>
      </c>
      <c r="O27" s="74">
        <v>0</v>
      </c>
      <c r="P27" s="74">
        <v>0</v>
      </c>
      <c r="Q27" s="74">
        <v>0</v>
      </c>
      <c r="S27" s="52" t="s">
        <v>204</v>
      </c>
      <c r="T27" s="74">
        <v>10.533333333333299</v>
      </c>
    </row>
    <row r="28" spans="2:25" ht="18" x14ac:dyDescent="0.25">
      <c r="B28" s="55" t="s">
        <v>233</v>
      </c>
      <c r="C28" s="74">
        <v>0</v>
      </c>
      <c r="D28" s="74">
        <v>3</v>
      </c>
      <c r="F28" s="80">
        <f>2*3*time^1</f>
        <v>18</v>
      </c>
      <c r="G28" s="81">
        <f>2*time^0</f>
        <v>2</v>
      </c>
      <c r="H28" s="81">
        <v>0</v>
      </c>
      <c r="I28" s="81">
        <v>0</v>
      </c>
      <c r="J28" s="81">
        <f>-2*3*time^1</f>
        <v>-18</v>
      </c>
      <c r="K28" s="81">
        <f>-2*time^0</f>
        <v>-2</v>
      </c>
      <c r="L28" s="81">
        <v>0</v>
      </c>
      <c r="M28" s="82">
        <v>0</v>
      </c>
      <c r="N28" s="74">
        <v>0</v>
      </c>
      <c r="O28" s="74">
        <v>0</v>
      </c>
      <c r="P28" s="74">
        <v>0</v>
      </c>
      <c r="Q28" s="74">
        <v>0</v>
      </c>
      <c r="S28" s="52" t="s">
        <v>205</v>
      </c>
      <c r="T28" s="74">
        <v>-6.1999999999999789</v>
      </c>
    </row>
    <row r="29" spans="2:25" ht="18" x14ac:dyDescent="0.25">
      <c r="B29" s="55" t="s">
        <v>248</v>
      </c>
      <c r="C29" s="74">
        <v>6</v>
      </c>
      <c r="D29" s="74">
        <v>4</v>
      </c>
      <c r="F29" s="74">
        <v>0</v>
      </c>
      <c r="G29" s="74">
        <v>0</v>
      </c>
      <c r="H29" s="74">
        <v>0</v>
      </c>
      <c r="I29" s="74">
        <v>0</v>
      </c>
      <c r="J29" s="75">
        <f>time^3</f>
        <v>64</v>
      </c>
      <c r="K29" s="76">
        <f>time^2</f>
        <v>16</v>
      </c>
      <c r="L29" s="76">
        <f>time^1</f>
        <v>4</v>
      </c>
      <c r="M29" s="76">
        <f>time^0</f>
        <v>1</v>
      </c>
      <c r="N29" s="76">
        <v>0</v>
      </c>
      <c r="O29" s="76">
        <v>0</v>
      </c>
      <c r="P29" s="76">
        <v>0</v>
      </c>
      <c r="Q29" s="77">
        <v>0</v>
      </c>
      <c r="S29" s="52" t="s">
        <v>249</v>
      </c>
      <c r="T29" s="74">
        <v>-1.3333333333333339</v>
      </c>
    </row>
    <row r="30" spans="2:25" ht="18" x14ac:dyDescent="0.25">
      <c r="B30" s="55" t="s">
        <v>248</v>
      </c>
      <c r="C30" s="74">
        <v>6</v>
      </c>
      <c r="D30" s="74">
        <v>4</v>
      </c>
      <c r="F30" s="74">
        <v>0</v>
      </c>
      <c r="G30" s="74">
        <v>0</v>
      </c>
      <c r="H30" s="74">
        <v>0</v>
      </c>
      <c r="I30" s="74">
        <v>0</v>
      </c>
      <c r="J30" s="78">
        <v>0</v>
      </c>
      <c r="K30" s="74">
        <v>0</v>
      </c>
      <c r="L30" s="74">
        <v>0</v>
      </c>
      <c r="M30" s="74">
        <v>0</v>
      </c>
      <c r="N30" s="74">
        <f>time^3</f>
        <v>64</v>
      </c>
      <c r="O30" s="74">
        <f>time^2</f>
        <v>16</v>
      </c>
      <c r="P30" s="74">
        <f>time^1</f>
        <v>4</v>
      </c>
      <c r="Q30" s="79">
        <f>time^0</f>
        <v>1</v>
      </c>
      <c r="S30" s="52" t="s">
        <v>250</v>
      </c>
      <c r="T30" s="74">
        <v>14.600000000000019</v>
      </c>
    </row>
    <row r="31" spans="2:25" ht="18" x14ac:dyDescent="0.25">
      <c r="B31" s="55" t="s">
        <v>251</v>
      </c>
      <c r="C31" s="74">
        <v>0</v>
      </c>
      <c r="D31" s="74">
        <v>4</v>
      </c>
      <c r="F31" s="74">
        <v>0</v>
      </c>
      <c r="G31" s="74">
        <v>0</v>
      </c>
      <c r="H31" s="74">
        <v>0</v>
      </c>
      <c r="I31" s="74">
        <v>0</v>
      </c>
      <c r="J31" s="78">
        <f>3*time^2</f>
        <v>48</v>
      </c>
      <c r="K31" s="74">
        <f>2*time</f>
        <v>8</v>
      </c>
      <c r="L31" s="74">
        <f>time^0</f>
        <v>1</v>
      </c>
      <c r="M31" s="74">
        <v>0</v>
      </c>
      <c r="N31" s="74">
        <f>-3*time^2</f>
        <v>-48</v>
      </c>
      <c r="O31" s="74">
        <f>-2*time</f>
        <v>-8</v>
      </c>
      <c r="P31" s="74">
        <f>-(time^0)</f>
        <v>-1</v>
      </c>
      <c r="Q31" s="79">
        <v>0</v>
      </c>
      <c r="S31" s="52" t="s">
        <v>208</v>
      </c>
      <c r="T31" s="74">
        <v>-48.86666666666676</v>
      </c>
    </row>
    <row r="32" spans="2:25" ht="18" x14ac:dyDescent="0.25">
      <c r="B32" s="55" t="s">
        <v>252</v>
      </c>
      <c r="C32" s="74">
        <v>0</v>
      </c>
      <c r="D32" s="74">
        <v>4</v>
      </c>
      <c r="F32" s="74">
        <v>0</v>
      </c>
      <c r="G32" s="74">
        <v>0</v>
      </c>
      <c r="H32" s="74">
        <v>0</v>
      </c>
      <c r="I32" s="74">
        <v>0</v>
      </c>
      <c r="J32" s="80">
        <f>2*3*time^1</f>
        <v>24</v>
      </c>
      <c r="K32" s="81">
        <f>2*time^0</f>
        <v>2</v>
      </c>
      <c r="L32" s="81">
        <v>0</v>
      </c>
      <c r="M32" s="81">
        <v>0</v>
      </c>
      <c r="N32" s="81">
        <f>-2*3*time^1</f>
        <v>-24</v>
      </c>
      <c r="O32" s="81">
        <f>-2*time^0</f>
        <v>-2</v>
      </c>
      <c r="P32" s="81">
        <v>0</v>
      </c>
      <c r="Q32" s="82">
        <v>0</v>
      </c>
      <c r="S32" s="52" t="s">
        <v>209</v>
      </c>
      <c r="T32" s="74">
        <v>53.200000000000088</v>
      </c>
    </row>
    <row r="33" spans="2:20" ht="18" x14ac:dyDescent="0.25">
      <c r="B33" s="55" t="s">
        <v>253</v>
      </c>
      <c r="C33" s="74">
        <v>1</v>
      </c>
      <c r="D33" s="74">
        <v>2</v>
      </c>
      <c r="F33" s="86">
        <f>time^3</f>
        <v>8</v>
      </c>
      <c r="G33" s="87">
        <f>time^2</f>
        <v>4</v>
      </c>
      <c r="H33" s="87">
        <f>time^1</f>
        <v>2</v>
      </c>
      <c r="I33" s="88">
        <f>time^0</f>
        <v>1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74">
        <v>0</v>
      </c>
      <c r="P33" s="74">
        <v>0</v>
      </c>
      <c r="Q33" s="74">
        <v>0</v>
      </c>
      <c r="S33" s="52" t="s">
        <v>254</v>
      </c>
      <c r="T33" s="74">
        <v>0.4666666666666659</v>
      </c>
    </row>
    <row r="34" spans="2:20" ht="18" x14ac:dyDescent="0.25">
      <c r="B34" s="55" t="s">
        <v>255</v>
      </c>
      <c r="C34" s="74">
        <v>9</v>
      </c>
      <c r="D34" s="74">
        <v>5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86">
        <f>time^3</f>
        <v>125</v>
      </c>
      <c r="O34" s="87">
        <f>time^2</f>
        <v>25</v>
      </c>
      <c r="P34" s="87">
        <f>time^1</f>
        <v>5</v>
      </c>
      <c r="Q34" s="88">
        <f>time^0</f>
        <v>1</v>
      </c>
      <c r="S34" s="52" t="s">
        <v>256</v>
      </c>
      <c r="T34" s="74">
        <v>-6.9999999999999929</v>
      </c>
    </row>
    <row r="35" spans="2:20" ht="18" x14ac:dyDescent="0.25">
      <c r="B35" s="55" t="s">
        <v>257</v>
      </c>
      <c r="C35" s="74">
        <v>0</v>
      </c>
      <c r="D35" s="74">
        <v>2</v>
      </c>
      <c r="F35" s="86">
        <f>2*3*time^1</f>
        <v>12</v>
      </c>
      <c r="G35" s="87">
        <f>2*time^0</f>
        <v>2</v>
      </c>
      <c r="H35" s="87">
        <v>0</v>
      </c>
      <c r="I35" s="88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74">
        <v>0</v>
      </c>
      <c r="P35" s="74">
        <v>0</v>
      </c>
      <c r="Q35" s="74">
        <v>0</v>
      </c>
      <c r="S35" s="52" t="s">
        <v>258</v>
      </c>
      <c r="T35" s="74">
        <v>37.533333333333303</v>
      </c>
    </row>
    <row r="36" spans="2:20" ht="18" x14ac:dyDescent="0.25">
      <c r="B36" s="55" t="s">
        <v>259</v>
      </c>
      <c r="C36" s="74">
        <v>0</v>
      </c>
      <c r="D36" s="74">
        <v>5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86">
        <f>2*3*time^1</f>
        <v>30</v>
      </c>
      <c r="O36" s="87">
        <f>2*time^0</f>
        <v>2</v>
      </c>
      <c r="P36" s="87">
        <v>0</v>
      </c>
      <c r="Q36" s="88">
        <v>0</v>
      </c>
      <c r="S36" s="52" t="s">
        <v>260</v>
      </c>
      <c r="T36" s="74">
        <v>-61.999999999999943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74"/>
  </cols>
  <sheetData>
    <row r="1" spans="1:29" x14ac:dyDescent="0.2">
      <c r="A1" s="74" t="s">
        <v>261</v>
      </c>
    </row>
    <row r="2" spans="1:29" s="73" customFormat="1" ht="26" x14ac:dyDescent="0.3"/>
    <row r="3" spans="1:29" ht="29" x14ac:dyDescent="0.3">
      <c r="C3" s="73" t="s">
        <v>210</v>
      </c>
    </row>
    <row r="4" spans="1:29" ht="26" x14ac:dyDescent="0.3">
      <c r="C4" s="73"/>
    </row>
    <row r="5" spans="1:29" ht="29" x14ac:dyDescent="0.3">
      <c r="C5" s="73" t="s">
        <v>211</v>
      </c>
    </row>
    <row r="6" spans="1:29" ht="26" x14ac:dyDescent="0.3">
      <c r="C6" s="73"/>
    </row>
    <row r="7" spans="1:29" ht="26" x14ac:dyDescent="0.3">
      <c r="C7" s="73" t="s">
        <v>212</v>
      </c>
      <c r="AA7" s="55" t="s">
        <v>262</v>
      </c>
      <c r="AB7" s="55" t="s">
        <v>188</v>
      </c>
      <c r="AC7" s="55"/>
    </row>
    <row r="8" spans="1:29" x14ac:dyDescent="0.2">
      <c r="AA8" s="74">
        <f>ROUNDDOWN(AB8,0)-1</f>
        <v>1</v>
      </c>
      <c r="AB8" s="74">
        <v>2</v>
      </c>
      <c r="AC8" s="89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74">
        <f t="shared" ref="AA9:AA37" si="1">ROUNDDOWN(AB9,0)-1</f>
        <v>1</v>
      </c>
      <c r="AB9" s="74">
        <v>2.1</v>
      </c>
      <c r="AC9" s="89">
        <f t="shared" ca="1" si="0"/>
        <v>1.9706000000000174</v>
      </c>
    </row>
    <row r="10" spans="1:29" x14ac:dyDescent="0.2">
      <c r="AA10" s="74">
        <f t="shared" si="1"/>
        <v>1</v>
      </c>
      <c r="AB10" s="74">
        <v>2.2000000000000002</v>
      </c>
      <c r="AC10" s="89">
        <f t="shared" ca="1" si="0"/>
        <v>2.9248000000000105</v>
      </c>
    </row>
    <row r="11" spans="1:29" x14ac:dyDescent="0.2">
      <c r="B11" s="55" t="s">
        <v>188</v>
      </c>
      <c r="C11" s="55" t="s">
        <v>189</v>
      </c>
      <c r="AA11" s="74">
        <f t="shared" si="1"/>
        <v>1</v>
      </c>
      <c r="AB11" s="74">
        <v>2.2999999999999998</v>
      </c>
      <c r="AC11" s="89">
        <f t="shared" ca="1" si="0"/>
        <v>3.8462000000000161</v>
      </c>
    </row>
    <row r="12" spans="1:29" x14ac:dyDescent="0.2">
      <c r="B12" s="74">
        <v>2</v>
      </c>
      <c r="C12" s="74">
        <v>1</v>
      </c>
      <c r="AA12" s="74">
        <f t="shared" si="1"/>
        <v>1</v>
      </c>
      <c r="AB12" s="74">
        <v>2.4</v>
      </c>
      <c r="AC12" s="89">
        <f t="shared" ca="1" si="0"/>
        <v>4.718400000000015</v>
      </c>
    </row>
    <row r="13" spans="1:29" x14ac:dyDescent="0.2">
      <c r="B13" s="74">
        <v>3</v>
      </c>
      <c r="C13" s="74">
        <v>8</v>
      </c>
      <c r="AA13" s="74">
        <f t="shared" si="1"/>
        <v>1</v>
      </c>
      <c r="AB13" s="74">
        <v>2.5</v>
      </c>
      <c r="AC13" s="89">
        <f t="shared" ca="1" si="0"/>
        <v>5.5250000000000181</v>
      </c>
    </row>
    <row r="14" spans="1:29" x14ac:dyDescent="0.2">
      <c r="B14" s="74">
        <v>4</v>
      </c>
      <c r="C14" s="74">
        <v>6</v>
      </c>
      <c r="AA14" s="74">
        <f t="shared" si="1"/>
        <v>1</v>
      </c>
      <c r="AB14" s="74">
        <v>2.6</v>
      </c>
      <c r="AC14" s="89">
        <f t="shared" ca="1" si="0"/>
        <v>6.2496000000000063</v>
      </c>
    </row>
    <row r="15" spans="1:29" x14ac:dyDescent="0.2">
      <c r="B15" s="74">
        <v>5</v>
      </c>
      <c r="C15" s="74">
        <v>9</v>
      </c>
      <c r="AA15" s="74">
        <f t="shared" si="1"/>
        <v>1</v>
      </c>
      <c r="AB15" s="74">
        <v>2.7</v>
      </c>
      <c r="AC15" s="89">
        <f t="shared" ca="1" si="0"/>
        <v>6.8758000000000177</v>
      </c>
    </row>
    <row r="16" spans="1:29" x14ac:dyDescent="0.2">
      <c r="AA16" s="74">
        <f t="shared" si="1"/>
        <v>1</v>
      </c>
      <c r="AB16" s="74">
        <v>2.8</v>
      </c>
      <c r="AC16" s="89">
        <f t="shared" ca="1" si="0"/>
        <v>7.3871999999999982</v>
      </c>
    </row>
    <row r="17" spans="2:29" x14ac:dyDescent="0.2">
      <c r="AA17" s="74">
        <f t="shared" si="1"/>
        <v>1</v>
      </c>
      <c r="AB17" s="74">
        <v>2.9</v>
      </c>
      <c r="AC17" s="89">
        <f t="shared" ca="1" si="0"/>
        <v>7.7674000000000145</v>
      </c>
    </row>
    <row r="18" spans="2:29" x14ac:dyDescent="0.2">
      <c r="AA18" s="74">
        <f t="shared" si="1"/>
        <v>2</v>
      </c>
      <c r="AB18" s="74">
        <v>3</v>
      </c>
      <c r="AC18" s="89">
        <f t="shared" ca="1" si="0"/>
        <v>8.0000000000001137</v>
      </c>
    </row>
    <row r="19" spans="2:29" x14ac:dyDescent="0.2">
      <c r="AA19" s="74">
        <f t="shared" si="1"/>
        <v>2</v>
      </c>
      <c r="AB19" s="74">
        <v>3.1</v>
      </c>
      <c r="AC19" s="89">
        <f t="shared" ca="1" si="0"/>
        <v>8.075999999999965</v>
      </c>
    </row>
    <row r="20" spans="2:29" x14ac:dyDescent="0.2">
      <c r="AA20" s="74">
        <f t="shared" si="1"/>
        <v>2</v>
      </c>
      <c r="AB20" s="74">
        <v>3.2</v>
      </c>
      <c r="AC20" s="89">
        <f t="shared" ca="1" si="0"/>
        <v>8.0160000000000196</v>
      </c>
    </row>
    <row r="21" spans="2:29" x14ac:dyDescent="0.2">
      <c r="AA21" s="74">
        <f t="shared" si="1"/>
        <v>2</v>
      </c>
      <c r="AB21" s="74">
        <v>3.3</v>
      </c>
      <c r="AC21" s="89">
        <f t="shared" ca="1" si="0"/>
        <v>7.84800000000007</v>
      </c>
    </row>
    <row r="22" spans="2:29" x14ac:dyDescent="0.2">
      <c r="AA22" s="74">
        <f t="shared" si="1"/>
        <v>2</v>
      </c>
      <c r="AB22" s="74">
        <v>3.4</v>
      </c>
      <c r="AC22" s="89">
        <f t="shared" ca="1" si="0"/>
        <v>7.5999999999999659</v>
      </c>
    </row>
    <row r="23" spans="2:29" x14ac:dyDescent="0.2">
      <c r="AA23" s="74">
        <f t="shared" si="1"/>
        <v>2</v>
      </c>
      <c r="AB23" s="74">
        <v>3.5</v>
      </c>
      <c r="AC23" s="89">
        <f t="shared" ca="1" si="0"/>
        <v>7.3000000000000682</v>
      </c>
    </row>
    <row r="24" spans="2:29" s="83" customFormat="1" ht="20" x14ac:dyDescent="0.25">
      <c r="B24" s="83" t="s">
        <v>213</v>
      </c>
      <c r="C24" s="83" t="s">
        <v>214</v>
      </c>
      <c r="D24" s="83" t="s">
        <v>196</v>
      </c>
      <c r="F24" s="84" t="s">
        <v>234</v>
      </c>
      <c r="G24" s="84" t="s">
        <v>235</v>
      </c>
      <c r="H24" s="84" t="s">
        <v>236</v>
      </c>
      <c r="I24" s="84" t="s">
        <v>237</v>
      </c>
      <c r="J24" s="84" t="s">
        <v>238</v>
      </c>
      <c r="K24" s="84" t="s">
        <v>239</v>
      </c>
      <c r="L24" s="84" t="s">
        <v>240</v>
      </c>
      <c r="M24" s="84" t="s">
        <v>241</v>
      </c>
      <c r="N24" s="84" t="s">
        <v>242</v>
      </c>
      <c r="O24" s="84" t="s">
        <v>243</v>
      </c>
      <c r="P24" s="84" t="s">
        <v>244</v>
      </c>
      <c r="Q24" s="84" t="s">
        <v>245</v>
      </c>
      <c r="R24" s="74"/>
      <c r="T24" s="74"/>
      <c r="U24" s="74"/>
      <c r="V24" s="85"/>
      <c r="W24" s="85"/>
      <c r="X24" s="85"/>
      <c r="Y24" s="85"/>
      <c r="AA24" s="74">
        <f t="shared" si="1"/>
        <v>2</v>
      </c>
      <c r="AB24" s="74">
        <v>3.6</v>
      </c>
      <c r="AC24" s="89">
        <f t="shared" ca="1" si="0"/>
        <v>6.9759999999999991</v>
      </c>
    </row>
    <row r="25" spans="2:29" ht="18" x14ac:dyDescent="0.25">
      <c r="B25" s="55" t="s">
        <v>231</v>
      </c>
      <c r="C25" s="74">
        <f>VLOOKUP(D25,$B$12:$C$15,2,0)</f>
        <v>8</v>
      </c>
      <c r="D25" s="74">
        <f>$B$13</f>
        <v>3</v>
      </c>
      <c r="F25" s="75">
        <f>time^3</f>
        <v>27</v>
      </c>
      <c r="G25" s="76">
        <f>time^2</f>
        <v>9</v>
      </c>
      <c r="H25" s="76">
        <f>time^1</f>
        <v>3</v>
      </c>
      <c r="I25" s="76">
        <f>time^0</f>
        <v>1</v>
      </c>
      <c r="J25" s="76">
        <v>0</v>
      </c>
      <c r="K25" s="76">
        <v>0</v>
      </c>
      <c r="L25" s="76">
        <v>0</v>
      </c>
      <c r="M25" s="77">
        <v>0</v>
      </c>
      <c r="N25" s="74">
        <v>0</v>
      </c>
      <c r="O25" s="74">
        <v>0</v>
      </c>
      <c r="P25" s="74">
        <v>0</v>
      </c>
      <c r="Q25" s="74">
        <v>0</v>
      </c>
      <c r="S25" s="52" t="s">
        <v>246</v>
      </c>
      <c r="T25" s="74">
        <f t="array" ref="T25:T36">MMULT(MINVERSE(F25:Q36),value)</f>
        <v>-2.7333333333333303</v>
      </c>
      <c r="AA25" s="74">
        <f t="shared" si="1"/>
        <v>2</v>
      </c>
      <c r="AB25" s="74">
        <v>3.7</v>
      </c>
      <c r="AC25" s="89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55" t="s">
        <v>231</v>
      </c>
      <c r="C26" s="74">
        <f>VLOOKUP(D26,$B$12:$C$15,2,0)</f>
        <v>8</v>
      </c>
      <c r="D26" s="74">
        <f>$B$13</f>
        <v>3</v>
      </c>
      <c r="F26" s="78">
        <v>0</v>
      </c>
      <c r="G26" s="74">
        <v>0</v>
      </c>
      <c r="H26" s="74">
        <v>0</v>
      </c>
      <c r="I26" s="74">
        <v>0</v>
      </c>
      <c r="J26" s="74">
        <f>time^3</f>
        <v>27</v>
      </c>
      <c r="K26" s="74">
        <f>time^2</f>
        <v>9</v>
      </c>
      <c r="L26" s="74">
        <f>time^1</f>
        <v>3</v>
      </c>
      <c r="M26" s="79">
        <f>time^0</f>
        <v>1</v>
      </c>
      <c r="N26" s="74">
        <v>0</v>
      </c>
      <c r="O26" s="74">
        <v>0</v>
      </c>
      <c r="P26" s="74">
        <v>0</v>
      </c>
      <c r="Q26" s="74">
        <v>0</v>
      </c>
      <c r="S26" s="52" t="s">
        <v>247</v>
      </c>
      <c r="T26" s="74">
        <v>16.39999999999997</v>
      </c>
      <c r="AA26" s="74">
        <f t="shared" si="1"/>
        <v>2</v>
      </c>
      <c r="AB26" s="74">
        <v>3.8</v>
      </c>
      <c r="AC26" s="89">
        <f t="shared" ca="1" si="2"/>
        <v>6.367999999999995</v>
      </c>
    </row>
    <row r="27" spans="2:29" ht="18" x14ac:dyDescent="0.25">
      <c r="B27" s="55" t="s">
        <v>232</v>
      </c>
      <c r="C27" s="74">
        <v>0</v>
      </c>
      <c r="D27" s="74">
        <f>$B$13</f>
        <v>3</v>
      </c>
      <c r="F27" s="78">
        <f>3*time^2</f>
        <v>27</v>
      </c>
      <c r="G27" s="74">
        <f>2*time</f>
        <v>6</v>
      </c>
      <c r="H27" s="74">
        <f>time^0</f>
        <v>1</v>
      </c>
      <c r="I27" s="74">
        <v>0</v>
      </c>
      <c r="J27" s="74">
        <f>-3*time^2</f>
        <v>-27</v>
      </c>
      <c r="K27" s="74">
        <f>-2*time</f>
        <v>-6</v>
      </c>
      <c r="L27" s="74">
        <f>-(time^0)</f>
        <v>-1</v>
      </c>
      <c r="M27" s="79">
        <v>0</v>
      </c>
      <c r="N27" s="74">
        <v>0</v>
      </c>
      <c r="O27" s="74">
        <v>0</v>
      </c>
      <c r="P27" s="74">
        <v>0</v>
      </c>
      <c r="Q27" s="74">
        <v>0</v>
      </c>
      <c r="S27" s="52" t="s">
        <v>204</v>
      </c>
      <c r="T27" s="74">
        <v>-23.066666666666581</v>
      </c>
      <c r="AA27" s="74">
        <f t="shared" si="1"/>
        <v>2</v>
      </c>
      <c r="AB27" s="74">
        <v>3.9</v>
      </c>
      <c r="AC27" s="89">
        <f t="shared" ca="1" si="2"/>
        <v>6.1399999999999864</v>
      </c>
    </row>
    <row r="28" spans="2:29" ht="18" x14ac:dyDescent="0.25">
      <c r="B28" s="55" t="s">
        <v>233</v>
      </c>
      <c r="C28" s="74">
        <v>0</v>
      </c>
      <c r="D28" s="74">
        <f>$B$13</f>
        <v>3</v>
      </c>
      <c r="F28" s="80">
        <f>2*3*time^1</f>
        <v>18</v>
      </c>
      <c r="G28" s="81">
        <f>2*time^0</f>
        <v>2</v>
      </c>
      <c r="H28" s="81">
        <v>0</v>
      </c>
      <c r="I28" s="81">
        <v>0</v>
      </c>
      <c r="J28" s="81">
        <f>-2*3*time^1</f>
        <v>-18</v>
      </c>
      <c r="K28" s="81">
        <f>-2*time^0</f>
        <v>-2</v>
      </c>
      <c r="L28" s="81">
        <v>0</v>
      </c>
      <c r="M28" s="82">
        <v>0</v>
      </c>
      <c r="N28" s="74">
        <v>0</v>
      </c>
      <c r="O28" s="74">
        <v>0</v>
      </c>
      <c r="P28" s="74">
        <v>0</v>
      </c>
      <c r="Q28" s="74">
        <v>0</v>
      </c>
      <c r="S28" s="52" t="s">
        <v>205</v>
      </c>
      <c r="T28" s="74">
        <v>3.3999999999999404</v>
      </c>
      <c r="AA28" s="74">
        <f t="shared" si="1"/>
        <v>3</v>
      </c>
      <c r="AB28" s="74">
        <v>4</v>
      </c>
      <c r="AC28" s="89">
        <f t="shared" ca="1" si="2"/>
        <v>5.9999999999999716</v>
      </c>
    </row>
    <row r="29" spans="2:29" ht="18" x14ac:dyDescent="0.25">
      <c r="B29" s="55" t="s">
        <v>248</v>
      </c>
      <c r="C29" s="74">
        <f>VLOOKUP(D29,$B$12:$C$15,2,0)</f>
        <v>6</v>
      </c>
      <c r="D29" s="74">
        <f t="array" ref="D29:D32">B14</f>
        <v>4</v>
      </c>
      <c r="F29" s="74">
        <v>0</v>
      </c>
      <c r="G29" s="74">
        <v>0</v>
      </c>
      <c r="H29" s="74">
        <v>0</v>
      </c>
      <c r="I29" s="74">
        <v>0</v>
      </c>
      <c r="J29" s="75">
        <f>time^3</f>
        <v>64</v>
      </c>
      <c r="K29" s="76">
        <f>time^2</f>
        <v>16</v>
      </c>
      <c r="L29" s="76">
        <f>time^1</f>
        <v>4</v>
      </c>
      <c r="M29" s="76">
        <f>time^0</f>
        <v>1</v>
      </c>
      <c r="N29" s="76">
        <v>0</v>
      </c>
      <c r="O29" s="76">
        <v>0</v>
      </c>
      <c r="P29" s="76">
        <v>0</v>
      </c>
      <c r="Q29" s="77">
        <v>0</v>
      </c>
      <c r="S29" s="52" t="s">
        <v>249</v>
      </c>
      <c r="T29" s="74">
        <v>4.6666666666666661</v>
      </c>
      <c r="AA29" s="74">
        <f t="shared" si="1"/>
        <v>3</v>
      </c>
      <c r="AB29" s="74">
        <v>4.0999999999999996</v>
      </c>
      <c r="AC29" s="89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55" t="s">
        <v>248</v>
      </c>
      <c r="C30" s="74">
        <f>VLOOKUP(D30,$B$12:$C$15,2,0)</f>
        <v>6</v>
      </c>
      <c r="D30" s="74">
        <v>4</v>
      </c>
      <c r="F30" s="74">
        <v>0</v>
      </c>
      <c r="G30" s="74">
        <v>0</v>
      </c>
      <c r="H30" s="74">
        <v>0</v>
      </c>
      <c r="I30" s="74">
        <v>0</v>
      </c>
      <c r="J30" s="78">
        <v>0</v>
      </c>
      <c r="K30" s="74">
        <v>0</v>
      </c>
      <c r="L30" s="74">
        <v>0</v>
      </c>
      <c r="M30" s="74">
        <v>0</v>
      </c>
      <c r="N30" s="74">
        <f>time^3</f>
        <v>64</v>
      </c>
      <c r="O30" s="74">
        <f>time^2</f>
        <v>16</v>
      </c>
      <c r="P30" s="74">
        <f>time^1</f>
        <v>4</v>
      </c>
      <c r="Q30" s="79">
        <f>time^0</f>
        <v>1</v>
      </c>
      <c r="S30" s="52" t="s">
        <v>250</v>
      </c>
      <c r="T30" s="74">
        <v>-50.2</v>
      </c>
      <c r="AA30" s="74">
        <f t="shared" si="1"/>
        <v>3</v>
      </c>
      <c r="AB30" s="74">
        <v>4.2</v>
      </c>
      <c r="AC30" s="89">
        <f t="shared" ca="1" si="3"/>
        <v>6.0431999999999277</v>
      </c>
    </row>
    <row r="31" spans="2:29" ht="18" x14ac:dyDescent="0.25">
      <c r="B31" s="55" t="s">
        <v>251</v>
      </c>
      <c r="C31" s="74">
        <v>0</v>
      </c>
      <c r="D31" s="74">
        <v>4</v>
      </c>
      <c r="F31" s="74">
        <v>0</v>
      </c>
      <c r="G31" s="74">
        <v>0</v>
      </c>
      <c r="H31" s="74">
        <v>0</v>
      </c>
      <c r="I31" s="74">
        <v>0</v>
      </c>
      <c r="J31" s="78">
        <f>3*time^2</f>
        <v>48</v>
      </c>
      <c r="K31" s="74">
        <f>2*time</f>
        <v>8</v>
      </c>
      <c r="L31" s="74">
        <f>time^0</f>
        <v>1</v>
      </c>
      <c r="M31" s="74">
        <v>0</v>
      </c>
      <c r="N31" s="74">
        <f>-3*time^2</f>
        <v>-48</v>
      </c>
      <c r="O31" s="74">
        <f>-2*time</f>
        <v>-8</v>
      </c>
      <c r="P31" s="74">
        <f>-(time^0)</f>
        <v>-1</v>
      </c>
      <c r="Q31" s="79">
        <v>0</v>
      </c>
      <c r="S31" s="52" t="s">
        <v>208</v>
      </c>
      <c r="T31" s="74">
        <v>176.73333333333338</v>
      </c>
      <c r="AA31" s="74">
        <f t="shared" si="1"/>
        <v>3</v>
      </c>
      <c r="AB31" s="74">
        <v>4.3</v>
      </c>
      <c r="AC31" s="89">
        <f t="shared" ca="1" si="3"/>
        <v>6.2098000000000013</v>
      </c>
    </row>
    <row r="32" spans="2:29" ht="18" x14ac:dyDescent="0.25">
      <c r="B32" s="55" t="s">
        <v>252</v>
      </c>
      <c r="C32" s="74">
        <v>0</v>
      </c>
      <c r="D32" s="74">
        <v>4</v>
      </c>
      <c r="F32" s="74">
        <v>0</v>
      </c>
      <c r="G32" s="74">
        <v>0</v>
      </c>
      <c r="H32" s="74">
        <v>0</v>
      </c>
      <c r="I32" s="74">
        <v>0</v>
      </c>
      <c r="J32" s="80">
        <f>2*3*time^1</f>
        <v>24</v>
      </c>
      <c r="K32" s="81">
        <f>2*time^0</f>
        <v>2</v>
      </c>
      <c r="L32" s="81">
        <v>0</v>
      </c>
      <c r="M32" s="81">
        <v>0</v>
      </c>
      <c r="N32" s="81">
        <f>-2*3*time^1</f>
        <v>-24</v>
      </c>
      <c r="O32" s="81">
        <f>-2*time^0</f>
        <v>-2</v>
      </c>
      <c r="P32" s="81">
        <v>0</v>
      </c>
      <c r="Q32" s="82">
        <v>0</v>
      </c>
      <c r="S32" s="52" t="s">
        <v>209</v>
      </c>
      <c r="T32" s="74">
        <v>-196.40000000000003</v>
      </c>
      <c r="AA32" s="74">
        <f t="shared" si="1"/>
        <v>3</v>
      </c>
      <c r="AB32" s="74">
        <v>4.4000000000000004</v>
      </c>
      <c r="AC32" s="89">
        <f t="shared" ca="1" si="3"/>
        <v>6.4575999999999851</v>
      </c>
    </row>
    <row r="33" spans="2:29" ht="18" x14ac:dyDescent="0.25">
      <c r="B33" s="55" t="s">
        <v>253</v>
      </c>
      <c r="C33" s="74">
        <v>1</v>
      </c>
      <c r="D33" s="74">
        <v>2</v>
      </c>
      <c r="F33" s="86">
        <f>time^3</f>
        <v>8</v>
      </c>
      <c r="G33" s="87">
        <f>time^2</f>
        <v>4</v>
      </c>
      <c r="H33" s="87">
        <f>time^1</f>
        <v>2</v>
      </c>
      <c r="I33" s="88">
        <f>time^0</f>
        <v>1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74">
        <v>0</v>
      </c>
      <c r="P33" s="74">
        <v>0</v>
      </c>
      <c r="Q33" s="74">
        <v>0</v>
      </c>
      <c r="S33" s="52" t="s">
        <v>254</v>
      </c>
      <c r="T33" s="74">
        <v>-1.9333333333333318</v>
      </c>
      <c r="AA33" s="74">
        <f t="shared" si="1"/>
        <v>3</v>
      </c>
      <c r="AB33" s="74">
        <v>4.5</v>
      </c>
      <c r="AC33" s="89">
        <f t="shared" ca="1" si="3"/>
        <v>6.774999999999892</v>
      </c>
    </row>
    <row r="34" spans="2:29" ht="18" x14ac:dyDescent="0.25">
      <c r="B34" s="55" t="s">
        <v>255</v>
      </c>
      <c r="C34" s="74">
        <v>9</v>
      </c>
      <c r="D34" s="74">
        <v>5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86">
        <f>time^3</f>
        <v>125</v>
      </c>
      <c r="O34" s="87">
        <f>time^2</f>
        <v>25</v>
      </c>
      <c r="P34" s="87">
        <f>time^1</f>
        <v>5</v>
      </c>
      <c r="Q34" s="88">
        <f>time^0</f>
        <v>1</v>
      </c>
      <c r="S34" s="52" t="s">
        <v>256</v>
      </c>
      <c r="T34" s="74">
        <v>28.999999999999961</v>
      </c>
      <c r="AA34" s="74">
        <f t="shared" si="1"/>
        <v>3</v>
      </c>
      <c r="AB34" s="74">
        <v>4.5999999999999996</v>
      </c>
      <c r="AC34" s="89">
        <f t="shared" ca="1" si="3"/>
        <v>7.1503999999999053</v>
      </c>
    </row>
    <row r="35" spans="2:29" ht="18" x14ac:dyDescent="0.25">
      <c r="B35" s="55" t="s">
        <v>257</v>
      </c>
      <c r="C35" s="74">
        <v>0</v>
      </c>
      <c r="D35" s="74">
        <v>2</v>
      </c>
      <c r="F35" s="86">
        <f>2*3*time^1</f>
        <v>12</v>
      </c>
      <c r="G35" s="87">
        <f>2*time^0</f>
        <v>2</v>
      </c>
      <c r="H35" s="87">
        <v>0</v>
      </c>
      <c r="I35" s="88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74">
        <v>0</v>
      </c>
      <c r="P35" s="74">
        <v>0</v>
      </c>
      <c r="Q35" s="74">
        <v>0</v>
      </c>
      <c r="S35" s="52" t="s">
        <v>258</v>
      </c>
      <c r="T35" s="74">
        <v>-140.06666666666649</v>
      </c>
      <c r="AA35" s="74">
        <f t="shared" si="1"/>
        <v>3</v>
      </c>
      <c r="AB35" s="74">
        <v>4.7</v>
      </c>
      <c r="AC35" s="89">
        <f t="shared" ca="1" si="3"/>
        <v>7.5721999999998673</v>
      </c>
    </row>
    <row r="36" spans="2:29" ht="18" x14ac:dyDescent="0.25">
      <c r="B36" s="55" t="s">
        <v>259</v>
      </c>
      <c r="C36" s="74">
        <v>0</v>
      </c>
      <c r="D36" s="74">
        <v>5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86">
        <f>2*3*time^1</f>
        <v>30</v>
      </c>
      <c r="O36" s="87">
        <f>2*time^0</f>
        <v>2</v>
      </c>
      <c r="P36" s="87">
        <v>0</v>
      </c>
      <c r="Q36" s="88">
        <v>0</v>
      </c>
      <c r="S36" s="52" t="s">
        <v>260</v>
      </c>
      <c r="T36" s="74">
        <v>225.9999999999998</v>
      </c>
      <c r="AA36" s="74">
        <f t="shared" si="1"/>
        <v>3</v>
      </c>
      <c r="AB36" s="74">
        <v>4.8</v>
      </c>
      <c r="AC36" s="89">
        <f t="shared" ca="1" si="3"/>
        <v>8.0287999999999045</v>
      </c>
    </row>
    <row r="37" spans="2:29" x14ac:dyDescent="0.2">
      <c r="AA37" s="74">
        <f t="shared" si="1"/>
        <v>3</v>
      </c>
      <c r="AB37" s="74">
        <v>4.9000000000000004</v>
      </c>
      <c r="AC37" s="89">
        <f t="shared" ca="1" si="3"/>
        <v>8.5085999999998592</v>
      </c>
    </row>
    <row r="38" spans="2:29" x14ac:dyDescent="0.2">
      <c r="AA38" s="74">
        <v>3</v>
      </c>
      <c r="AB38" s="74">
        <v>5</v>
      </c>
      <c r="AC38" s="89">
        <f t="shared" ca="1" si="3"/>
        <v>8.999999999999801</v>
      </c>
    </row>
    <row r="39" spans="2:29" s="55" customFormat="1" x14ac:dyDescent="0.2"/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261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210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211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212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188</v>
      </c>
      <c r="C11" s="55" t="s">
        <v>189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213</v>
      </c>
      <c r="C27" s="83" t="s">
        <v>214</v>
      </c>
      <c r="D27" s="83" t="s">
        <v>196</v>
      </c>
      <c r="F27" s="92" t="s">
        <v>263</v>
      </c>
      <c r="G27" s="92" t="s">
        <v>264</v>
      </c>
      <c r="H27" s="92" t="s">
        <v>265</v>
      </c>
      <c r="I27" s="92" t="s">
        <v>266</v>
      </c>
      <c r="J27" s="92" t="s">
        <v>267</v>
      </c>
      <c r="K27" s="92" t="s">
        <v>268</v>
      </c>
      <c r="L27" s="92" t="s">
        <v>269</v>
      </c>
      <c r="M27" s="92" t="s">
        <v>270</v>
      </c>
      <c r="N27" s="92" t="s">
        <v>271</v>
      </c>
      <c r="O27" s="92" t="s">
        <v>272</v>
      </c>
      <c r="P27" s="92" t="s">
        <v>273</v>
      </c>
      <c r="Q27" s="92" t="s">
        <v>274</v>
      </c>
      <c r="R27" s="92" t="s">
        <v>275</v>
      </c>
      <c r="S27" s="92" t="s">
        <v>276</v>
      </c>
      <c r="T27" s="92" t="s">
        <v>277</v>
      </c>
      <c r="U27" s="92" t="s">
        <v>278</v>
      </c>
      <c r="V27" s="92" t="s">
        <v>279</v>
      </c>
      <c r="W27" s="92" t="s">
        <v>280</v>
      </c>
      <c r="X27" s="92" t="s">
        <v>281</v>
      </c>
      <c r="Y27" s="92" t="s">
        <v>282</v>
      </c>
      <c r="Z27" s="92" t="s">
        <v>283</v>
      </c>
      <c r="AA27" s="92" t="s">
        <v>284</v>
      </c>
      <c r="AB27" s="92" t="s">
        <v>285</v>
      </c>
      <c r="AC27" s="92" t="s">
        <v>286</v>
      </c>
      <c r="AD27" s="92" t="s">
        <v>287</v>
      </c>
      <c r="AE27" s="92" t="s">
        <v>288</v>
      </c>
      <c r="AF27" s="92" t="s">
        <v>289</v>
      </c>
      <c r="AG27" s="92" t="s">
        <v>290</v>
      </c>
      <c r="AH27" s="92" t="s">
        <v>291</v>
      </c>
      <c r="AI27" s="92" t="s">
        <v>292</v>
      </c>
      <c r="AJ27" s="92" t="s">
        <v>293</v>
      </c>
      <c r="AK27" s="92" t="s">
        <v>294</v>
      </c>
      <c r="AL27" s="93"/>
      <c r="AM27" s="93"/>
      <c r="AN27" s="83" t="s">
        <v>295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f t="array" ref="AN28:AN59">MMULT(MINVERSE(dmat),value)</f>
        <v>2.2001428227434448E-4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0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1.9779985717725733E-2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-7.839151029209042E-17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-3.2307753313717503E-3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1.0352368840938287E-2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9.4276168767874532E-3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3.4507896136459714E-3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3.7802044632124329E-3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-3.1713509926566665E-2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9.3559374411797319E-2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-5.2637048743027472E-2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-8.3645602147852454E-4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9.8364344356520125E-3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-3.109045867485917E-2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7.2012784343629788E-2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-4.3438037729781614E-4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5.0115267054838229E-3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-1.1790827754186996E-2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4.6279943116066397E-2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1.67575423663407E-4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-4.0178103089348847E-3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3.3355857317907869E-2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-2.8964532004091593E-2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5.8029988667057242E-5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-1.7173561740115328E-3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1.7252678373443606E-2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8.6095521996589208E-3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296</v>
      </c>
      <c r="AN56" s="98">
        <v>-3.9239143333689845E-7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297</v>
      </c>
      <c r="AN57" s="98">
        <v>3.5315229000323055E-5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-2.7403565667492077E-4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6.7031932300053887E-2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3:43" x14ac:dyDescent="0.2">
      <c r="AO97" s="74"/>
      <c r="AP97" s="74"/>
      <c r="AQ97" s="74"/>
    </row>
    <row r="98" spans="3:43" x14ac:dyDescent="0.2">
      <c r="AO98" s="74"/>
      <c r="AP98" s="74"/>
      <c r="AQ98" s="74"/>
    </row>
    <row r="99" spans="3:43" s="55" customFormat="1" x14ac:dyDescent="0.2">
      <c r="C99" s="55" t="s">
        <v>262</v>
      </c>
      <c r="D99" s="55" t="s">
        <v>298</v>
      </c>
      <c r="E99" s="55" t="s">
        <v>299</v>
      </c>
      <c r="AO99" s="74"/>
      <c r="AP99" s="74"/>
      <c r="AQ99" s="74"/>
    </row>
    <row r="100" spans="3:43" x14ac:dyDescent="0.2">
      <c r="C100" s="74">
        <v>1</v>
      </c>
      <c r="D100" s="74">
        <v>0</v>
      </c>
      <c r="E100" s="114">
        <f t="shared" ref="E100:E163" ca="1" si="26">INDIRECT("a_" &amp; i) * t^3 + INDIRECT("b_" &amp; i) * t^2 + INDIRECT("c_" &amp; i) * t^1 + INDIRECT("d_" &amp; i)</f>
        <v>-7.839151029209042E-17</v>
      </c>
      <c r="AO100" s="74"/>
      <c r="AP100" s="74"/>
      <c r="AQ100" s="74"/>
    </row>
    <row r="101" spans="3:43" x14ac:dyDescent="0.2">
      <c r="C101" s="74">
        <v>1</v>
      </c>
      <c r="D101" s="74">
        <v>0.1</v>
      </c>
      <c r="E101" s="114">
        <f t="shared" ca="1" si="26"/>
        <v>1.9782185860547689E-3</v>
      </c>
      <c r="AO101" s="74"/>
      <c r="AP101" s="74"/>
      <c r="AQ101" s="74"/>
    </row>
    <row r="102" spans="3:43" x14ac:dyDescent="0.2">
      <c r="C102" s="74">
        <v>1</v>
      </c>
      <c r="D102" s="74">
        <v>0.2</v>
      </c>
      <c r="E102" s="114">
        <f t="shared" ca="1" si="26"/>
        <v>3.9577572578032632E-3</v>
      </c>
      <c r="AO102" s="74"/>
      <c r="AP102" s="74"/>
      <c r="AQ102" s="74"/>
    </row>
    <row r="103" spans="3:43" x14ac:dyDescent="0.2">
      <c r="C103" s="74">
        <v>1</v>
      </c>
      <c r="D103" s="74">
        <v>0.3</v>
      </c>
      <c r="E103" s="114">
        <f t="shared" ca="1" si="26"/>
        <v>5.9399361009390495E-3</v>
      </c>
      <c r="AO103" s="74"/>
      <c r="AP103" s="74"/>
      <c r="AQ103" s="74"/>
    </row>
    <row r="104" spans="3:43" x14ac:dyDescent="0.2">
      <c r="C104" s="74">
        <v>1</v>
      </c>
      <c r="D104" s="74">
        <v>0.4</v>
      </c>
      <c r="E104" s="114">
        <f t="shared" ca="1" si="26"/>
        <v>7.926075201155772E-3</v>
      </c>
      <c r="AO104" s="74"/>
      <c r="AP104" s="74"/>
      <c r="AQ104" s="74"/>
    </row>
    <row r="105" spans="3:43" x14ac:dyDescent="0.2">
      <c r="C105" s="74">
        <v>1</v>
      </c>
      <c r="D105" s="74">
        <v>0.5</v>
      </c>
      <c r="E105" s="114">
        <f t="shared" ca="1" si="26"/>
        <v>9.9174946441470818E-3</v>
      </c>
      <c r="AO105" s="74"/>
      <c r="AP105" s="74"/>
      <c r="AQ105" s="74"/>
    </row>
    <row r="106" spans="3:43" x14ac:dyDescent="0.2">
      <c r="C106" s="74">
        <v>1</v>
      </c>
      <c r="D106" s="74">
        <v>0.6</v>
      </c>
      <c r="E106" s="114">
        <f t="shared" ca="1" si="26"/>
        <v>1.191551451560662E-2</v>
      </c>
      <c r="AO106" s="74"/>
      <c r="AP106" s="74"/>
      <c r="AQ106" s="74"/>
    </row>
    <row r="107" spans="3:43" x14ac:dyDescent="0.2">
      <c r="C107" s="74">
        <v>1</v>
      </c>
      <c r="D107" s="74">
        <v>0.7</v>
      </c>
      <c r="E107" s="114">
        <f t="shared" ca="1" si="26"/>
        <v>1.3921454901228035E-2</v>
      </c>
      <c r="AO107" s="74"/>
      <c r="AP107" s="74"/>
      <c r="AQ107" s="74"/>
    </row>
    <row r="108" spans="3:43" x14ac:dyDescent="0.2">
      <c r="C108" s="74">
        <v>1</v>
      </c>
      <c r="D108" s="74">
        <v>0.8</v>
      </c>
      <c r="E108" s="114">
        <f t="shared" ca="1" si="26"/>
        <v>1.5936635886704971E-2</v>
      </c>
      <c r="AO108" s="74"/>
      <c r="AP108" s="74"/>
      <c r="AQ108" s="74"/>
    </row>
    <row r="109" spans="3:43" x14ac:dyDescent="0.2">
      <c r="C109" s="74">
        <v>1</v>
      </c>
      <c r="D109" s="74">
        <v>0.9</v>
      </c>
      <c r="E109" s="114">
        <f t="shared" ca="1" si="26"/>
        <v>1.7962377557731078E-2</v>
      </c>
      <c r="AO109" s="74"/>
      <c r="AP109" s="74"/>
      <c r="AQ109" s="74"/>
    </row>
    <row r="110" spans="3:43" x14ac:dyDescent="0.2">
      <c r="C110" s="74">
        <v>2</v>
      </c>
      <c r="D110" s="74">
        <v>1</v>
      </c>
      <c r="E110" s="114">
        <f t="shared" ca="1" si="26"/>
        <v>1.9999999999999959E-2</v>
      </c>
      <c r="F110" s="113"/>
      <c r="G110" s="115"/>
      <c r="AO110" s="74"/>
      <c r="AP110" s="74"/>
      <c r="AQ110" s="74"/>
    </row>
    <row r="111" spans="3:43" x14ac:dyDescent="0.2">
      <c r="C111" s="74">
        <v>2</v>
      </c>
      <c r="D111" s="74">
        <v>1.1000000000000001</v>
      </c>
      <c r="E111" s="114">
        <f t="shared" ca="1" si="26"/>
        <v>2.2047372509591698E-2</v>
      </c>
      <c r="AO111" s="74"/>
      <c r="AP111" s="74"/>
      <c r="AQ111" s="74"/>
    </row>
    <row r="112" spans="3:43" x14ac:dyDescent="0.2">
      <c r="C112" s="74">
        <v>2</v>
      </c>
      <c r="D112" s="74">
        <v>1.2</v>
      </c>
      <c r="E112" s="114">
        <f t="shared" ca="1" si="26"/>
        <v>2.4088561224131659E-2</v>
      </c>
      <c r="AO112" s="74"/>
      <c r="AP112" s="74"/>
      <c r="AQ112" s="74"/>
    </row>
    <row r="113" spans="3:6" s="74" customFormat="1" x14ac:dyDescent="0.2">
      <c r="C113" s="74">
        <v>2</v>
      </c>
      <c r="D113" s="74">
        <v>1.3</v>
      </c>
      <c r="E113" s="114">
        <f t="shared" ca="1" si="26"/>
        <v>2.6104181491631628E-2</v>
      </c>
    </row>
    <row r="114" spans="3:6" s="74" customFormat="1" x14ac:dyDescent="0.2">
      <c r="C114" s="74">
        <v>2</v>
      </c>
      <c r="D114" s="74">
        <v>1.4</v>
      </c>
      <c r="E114" s="114">
        <f t="shared" ca="1" si="26"/>
        <v>2.807484866010336E-2</v>
      </c>
    </row>
    <row r="115" spans="3:6" s="74" customFormat="1" x14ac:dyDescent="0.2">
      <c r="C115" s="74">
        <v>2</v>
      </c>
      <c r="D115" s="74">
        <v>1.5</v>
      </c>
      <c r="E115" s="114">
        <f t="shared" ca="1" si="26"/>
        <v>2.9981178077558637E-2</v>
      </c>
    </row>
    <row r="116" spans="3:6" s="74" customFormat="1" x14ac:dyDescent="0.2">
      <c r="C116" s="74">
        <v>2</v>
      </c>
      <c r="D116" s="74">
        <v>1.6</v>
      </c>
      <c r="E116" s="114">
        <f t="shared" ca="1" si="26"/>
        <v>3.1803785092009228E-2</v>
      </c>
    </row>
    <row r="117" spans="3:6" s="74" customFormat="1" x14ac:dyDescent="0.2">
      <c r="C117" s="74">
        <v>2</v>
      </c>
      <c r="D117" s="74">
        <v>1.7</v>
      </c>
      <c r="E117" s="114">
        <f t="shared" ca="1" si="26"/>
        <v>3.3523285051466879E-2</v>
      </c>
    </row>
    <row r="118" spans="3:6" s="74" customFormat="1" x14ac:dyDescent="0.2">
      <c r="C118" s="74">
        <v>2</v>
      </c>
      <c r="D118" s="74">
        <v>1.8</v>
      </c>
      <c r="E118" s="114">
        <f t="shared" ca="1" si="26"/>
        <v>3.5120293303943388E-2</v>
      </c>
    </row>
    <row r="119" spans="3:6" s="74" customFormat="1" x14ac:dyDescent="0.2">
      <c r="C119" s="74">
        <v>2</v>
      </c>
      <c r="D119" s="74">
        <v>1.9</v>
      </c>
      <c r="E119" s="114">
        <f t="shared" ca="1" si="26"/>
        <v>3.6575425197450516E-2</v>
      </c>
    </row>
    <row r="120" spans="3:6" s="74" customFormat="1" x14ac:dyDescent="0.2">
      <c r="C120" s="74">
        <v>3</v>
      </c>
      <c r="D120" s="74">
        <v>2</v>
      </c>
      <c r="E120" s="114">
        <f t="shared" ca="1" si="26"/>
        <v>3.7869296079999969E-2</v>
      </c>
      <c r="F120" s="113"/>
    </row>
    <row r="121" spans="3:6" s="74" customFormat="1" x14ac:dyDescent="0.2">
      <c r="C121" s="74">
        <v>3</v>
      </c>
      <c r="D121" s="74">
        <v>2.1</v>
      </c>
      <c r="E121" s="114">
        <f t="shared" ca="1" si="26"/>
        <v>3.8989532279398241E-2</v>
      </c>
    </row>
    <row r="122" spans="3:6" s="74" customFormat="1" x14ac:dyDescent="0.2">
      <c r="C122" s="74">
        <v>3</v>
      </c>
      <c r="D122" s="74">
        <v>2.2000000000000002</v>
      </c>
      <c r="E122" s="114">
        <f t="shared" ca="1" si="26"/>
        <v>3.9951804042629969E-2</v>
      </c>
    </row>
    <row r="123" spans="3:6" s="74" customFormat="1" x14ac:dyDescent="0.2">
      <c r="C123" s="74">
        <v>3</v>
      </c>
      <c r="D123" s="74">
        <v>2.2999999999999998</v>
      </c>
      <c r="E123" s="114">
        <f t="shared" ca="1" si="26"/>
        <v>4.0778792596474399E-2</v>
      </c>
    </row>
    <row r="124" spans="3:6" s="74" customFormat="1" x14ac:dyDescent="0.2">
      <c r="C124" s="74">
        <v>3</v>
      </c>
      <c r="D124" s="74">
        <v>2.4</v>
      </c>
      <c r="E124" s="114">
        <f t="shared" ca="1" si="26"/>
        <v>4.1493179167710774E-2</v>
      </c>
    </row>
    <row r="125" spans="3:6" s="74" customFormat="1" x14ac:dyDescent="0.2">
      <c r="C125" s="74">
        <v>3</v>
      </c>
      <c r="D125" s="74">
        <v>2.5</v>
      </c>
      <c r="E125" s="114">
        <f t="shared" ca="1" si="26"/>
        <v>4.2117644983118423E-2</v>
      </c>
    </row>
    <row r="126" spans="3:6" s="74" customFormat="1" x14ac:dyDescent="0.2">
      <c r="C126" s="74">
        <v>3</v>
      </c>
      <c r="D126" s="74">
        <v>2.6</v>
      </c>
      <c r="E126" s="114">
        <f t="shared" ca="1" si="26"/>
        <v>4.2674871269476632E-2</v>
      </c>
    </row>
    <row r="127" spans="3:6" s="74" customFormat="1" x14ac:dyDescent="0.2">
      <c r="C127" s="74">
        <v>3</v>
      </c>
      <c r="D127" s="74">
        <v>2.7</v>
      </c>
      <c r="E127" s="114">
        <f t="shared" ca="1" si="26"/>
        <v>4.3187539253564604E-2</v>
      </c>
    </row>
    <row r="128" spans="3:6" s="74" customFormat="1" x14ac:dyDescent="0.2">
      <c r="C128" s="74">
        <v>3</v>
      </c>
      <c r="D128" s="74">
        <v>2.8</v>
      </c>
      <c r="E128" s="114">
        <f t="shared" ca="1" si="26"/>
        <v>4.3678330162161737E-2</v>
      </c>
    </row>
    <row r="129" spans="3:5" s="74" customFormat="1" x14ac:dyDescent="0.2">
      <c r="C129" s="74">
        <v>3</v>
      </c>
      <c r="D129" s="74">
        <v>2.9</v>
      </c>
      <c r="E129" s="114">
        <f t="shared" ca="1" si="26"/>
        <v>4.4169925222047123E-2</v>
      </c>
    </row>
    <row r="130" spans="3:5" s="74" customFormat="1" x14ac:dyDescent="0.2">
      <c r="C130" s="74">
        <v>4</v>
      </c>
      <c r="D130" s="74">
        <v>3</v>
      </c>
      <c r="E130" s="114">
        <f t="shared" ca="1" si="26"/>
        <v>4.4685005660000235E-2</v>
      </c>
    </row>
    <row r="131" spans="3:5" s="74" customFormat="1" x14ac:dyDescent="0.2">
      <c r="C131" s="74">
        <v>4</v>
      </c>
      <c r="D131" s="74">
        <v>3.1</v>
      </c>
      <c r="E131" s="114">
        <f t="shared" ca="1" si="26"/>
        <v>4.5241636042315486E-2</v>
      </c>
    </row>
    <row r="132" spans="3:5" s="74" customFormat="1" x14ac:dyDescent="0.2">
      <c r="C132" s="74">
        <v>4</v>
      </c>
      <c r="D132" s="74">
        <v>3.2</v>
      </c>
      <c r="E132" s="114">
        <f t="shared" ca="1" si="26"/>
        <v>4.5839414293348757E-2</v>
      </c>
    </row>
    <row r="133" spans="3:5" s="74" customFormat="1" x14ac:dyDescent="0.2">
      <c r="C133" s="74">
        <v>4</v>
      </c>
      <c r="D133" s="74">
        <v>3.3</v>
      </c>
      <c r="E133" s="114">
        <f t="shared" ca="1" si="26"/>
        <v>4.6473321676971199E-2</v>
      </c>
    </row>
    <row r="134" spans="3:5" s="74" customFormat="1" x14ac:dyDescent="0.2">
      <c r="C134" s="74">
        <v>4</v>
      </c>
      <c r="D134" s="74">
        <v>3.4</v>
      </c>
      <c r="E134" s="114">
        <f t="shared" ca="1" si="26"/>
        <v>4.7138339457053938E-2</v>
      </c>
    </row>
    <row r="135" spans="3:5" s="74" customFormat="1" x14ac:dyDescent="0.2">
      <c r="C135" s="74">
        <v>4</v>
      </c>
      <c r="D135" s="74">
        <v>3.5</v>
      </c>
      <c r="E135" s="114">
        <f t="shared" ca="1" si="26"/>
        <v>4.7829448897468096E-2</v>
      </c>
    </row>
    <row r="136" spans="3:5" s="74" customFormat="1" x14ac:dyDescent="0.2">
      <c r="C136" s="74">
        <v>4</v>
      </c>
      <c r="D136" s="74">
        <v>3.6</v>
      </c>
      <c r="E136" s="114">
        <f t="shared" ca="1" si="26"/>
        <v>4.8541631262084828E-2</v>
      </c>
    </row>
    <row r="137" spans="3:5" s="74" customFormat="1" x14ac:dyDescent="0.2">
      <c r="C137" s="74">
        <v>4</v>
      </c>
      <c r="D137" s="74">
        <v>3.7</v>
      </c>
      <c r="E137" s="114">
        <f t="shared" ca="1" si="26"/>
        <v>4.9269867814775201E-2</v>
      </c>
    </row>
    <row r="138" spans="3:5" s="74" customFormat="1" x14ac:dyDescent="0.2">
      <c r="C138" s="74">
        <v>4</v>
      </c>
      <c r="D138" s="74">
        <v>3.8</v>
      </c>
      <c r="E138" s="114">
        <f t="shared" ca="1" si="26"/>
        <v>5.0009139819410409E-2</v>
      </c>
    </row>
    <row r="139" spans="3:5" s="74" customFormat="1" x14ac:dyDescent="0.2">
      <c r="C139" s="74">
        <v>4</v>
      </c>
      <c r="D139" s="74">
        <v>3.9</v>
      </c>
      <c r="E139" s="114">
        <f t="shared" ca="1" si="26"/>
        <v>5.0754428539861535E-2</v>
      </c>
    </row>
    <row r="140" spans="3:5" s="74" customFormat="1" x14ac:dyDescent="0.2">
      <c r="C140" s="74">
        <v>5</v>
      </c>
      <c r="D140" s="74">
        <v>4</v>
      </c>
      <c r="E140" s="114">
        <f t="shared" ca="1" si="26"/>
        <v>5.1500715239999349E-2</v>
      </c>
    </row>
    <row r="141" spans="3:5" s="74" customFormat="1" x14ac:dyDescent="0.2">
      <c r="C141" s="74">
        <v>5</v>
      </c>
      <c r="D141" s="74">
        <v>4.0999999999999996</v>
      </c>
      <c r="E141" s="114">
        <f t="shared" ca="1" si="26"/>
        <v>5.2243383259339998E-2</v>
      </c>
    </row>
    <row r="142" spans="3:5" s="74" customFormat="1" x14ac:dyDescent="0.2">
      <c r="C142" s="74">
        <v>5</v>
      </c>
      <c r="D142" s="74">
        <v>4.2</v>
      </c>
      <c r="E142" s="114">
        <f t="shared" ca="1" si="26"/>
        <v>5.2979424239975044E-2</v>
      </c>
    </row>
    <row r="143" spans="3:5" s="74" customFormat="1" x14ac:dyDescent="0.2">
      <c r="C143" s="74">
        <v>5</v>
      </c>
      <c r="D143" s="74">
        <v>4.3</v>
      </c>
      <c r="E143" s="114">
        <f t="shared" ca="1" si="26"/>
        <v>5.370623189964073E-2</v>
      </c>
    </row>
    <row r="144" spans="3:5" s="74" customFormat="1" x14ac:dyDescent="0.2">
      <c r="C144" s="74">
        <v>5</v>
      </c>
      <c r="D144" s="74">
        <v>4.4000000000000004</v>
      </c>
      <c r="E144" s="114">
        <f t="shared" ca="1" si="26"/>
        <v>5.4421199956073252E-2</v>
      </c>
    </row>
    <row r="145" spans="3:5" s="74" customFormat="1" x14ac:dyDescent="0.2">
      <c r="C145" s="74">
        <v>5</v>
      </c>
      <c r="D145" s="74">
        <v>4.5</v>
      </c>
      <c r="E145" s="114">
        <f t="shared" ca="1" si="26"/>
        <v>5.5121722127008832E-2</v>
      </c>
    </row>
    <row r="146" spans="3:5" s="74" customFormat="1" x14ac:dyDescent="0.2">
      <c r="C146" s="74">
        <v>5</v>
      </c>
      <c r="D146" s="74">
        <v>4.5999999999999996</v>
      </c>
      <c r="E146" s="114">
        <f t="shared" ca="1" si="26"/>
        <v>5.580519213018368E-2</v>
      </c>
    </row>
    <row r="147" spans="3:5" s="74" customFormat="1" x14ac:dyDescent="0.2">
      <c r="C147" s="74">
        <v>5</v>
      </c>
      <c r="D147" s="74">
        <v>4.7</v>
      </c>
      <c r="E147" s="114">
        <f t="shared" ca="1" si="26"/>
        <v>5.6469003683334011E-2</v>
      </c>
    </row>
    <row r="148" spans="3:5" s="74" customFormat="1" x14ac:dyDescent="0.2">
      <c r="C148" s="74">
        <v>5</v>
      </c>
      <c r="D148" s="74">
        <v>4.8</v>
      </c>
      <c r="E148" s="114">
        <f t="shared" ca="1" si="26"/>
        <v>5.7110550504196007E-2</v>
      </c>
    </row>
    <row r="149" spans="3:5" s="74" customFormat="1" x14ac:dyDescent="0.2">
      <c r="C149" s="74">
        <v>5</v>
      </c>
      <c r="D149" s="74">
        <v>4.9000000000000004</v>
      </c>
      <c r="E149" s="114">
        <f t="shared" ca="1" si="26"/>
        <v>5.7727226310505947E-2</v>
      </c>
    </row>
    <row r="150" spans="3:5" s="74" customFormat="1" x14ac:dyDescent="0.2">
      <c r="C150" s="74">
        <v>7</v>
      </c>
      <c r="D150" s="74">
        <v>5</v>
      </c>
      <c r="E150" s="114">
        <f t="shared" ca="1" si="26"/>
        <v>5.8316424820001503E-2</v>
      </c>
    </row>
    <row r="151" spans="3:5" s="74" customFormat="1" x14ac:dyDescent="0.2">
      <c r="C151" s="74">
        <v>7</v>
      </c>
      <c r="D151" s="74">
        <v>5.0999999999999996</v>
      </c>
      <c r="E151" s="114">
        <f t="shared" ca="1" si="26"/>
        <v>5.88761417062168E-2</v>
      </c>
    </row>
    <row r="152" spans="3:5" s="74" customFormat="1" x14ac:dyDescent="0.2">
      <c r="C152" s="74">
        <v>7</v>
      </c>
      <c r="D152" s="74">
        <v>5.2</v>
      </c>
      <c r="E152" s="114">
        <f t="shared" ca="1" si="26"/>
        <v>5.9406780465894385E-2</v>
      </c>
    </row>
    <row r="153" spans="3:5" s="74" customFormat="1" x14ac:dyDescent="0.2">
      <c r="C153" s="74">
        <v>7</v>
      </c>
      <c r="D153" s="74">
        <v>5.3</v>
      </c>
      <c r="E153" s="114">
        <f t="shared" ca="1" si="26"/>
        <v>5.9909346551576231E-2</v>
      </c>
    </row>
    <row r="154" spans="3:5" s="74" customFormat="1" x14ac:dyDescent="0.2">
      <c r="C154" s="74">
        <v>7</v>
      </c>
      <c r="D154" s="74">
        <v>5.4</v>
      </c>
      <c r="E154" s="114">
        <f t="shared" ca="1" si="26"/>
        <v>6.0384845415804397E-2</v>
      </c>
    </row>
    <row r="155" spans="3:5" s="74" customFormat="1" x14ac:dyDescent="0.2">
      <c r="C155" s="74">
        <v>7</v>
      </c>
      <c r="D155" s="74">
        <v>5.5</v>
      </c>
      <c r="E155" s="114">
        <f t="shared" ca="1" si="26"/>
        <v>6.0834282511120788E-2</v>
      </c>
    </row>
    <row r="156" spans="3:5" s="74" customFormat="1" x14ac:dyDescent="0.2">
      <c r="C156" s="74">
        <v>7</v>
      </c>
      <c r="D156" s="74">
        <v>5.6</v>
      </c>
      <c r="E156" s="114">
        <f t="shared" ca="1" si="26"/>
        <v>6.1258663290067378E-2</v>
      </c>
    </row>
    <row r="157" spans="3:5" s="74" customFormat="1" x14ac:dyDescent="0.2">
      <c r="C157" s="74">
        <v>7</v>
      </c>
      <c r="D157" s="74">
        <v>5.7</v>
      </c>
      <c r="E157" s="114">
        <f t="shared" ca="1" si="26"/>
        <v>6.1658993205186183E-2</v>
      </c>
    </row>
    <row r="158" spans="3:5" s="74" customFormat="1" x14ac:dyDescent="0.2">
      <c r="C158" s="74">
        <v>7</v>
      </c>
      <c r="D158" s="74">
        <v>5.8</v>
      </c>
      <c r="E158" s="114">
        <f t="shared" ca="1" si="26"/>
        <v>6.2036277709019177E-2</v>
      </c>
    </row>
    <row r="159" spans="3:5" s="74" customFormat="1" x14ac:dyDescent="0.2">
      <c r="C159" s="74">
        <v>7</v>
      </c>
      <c r="D159" s="74">
        <v>5.9</v>
      </c>
      <c r="E159" s="114">
        <f t="shared" ca="1" si="26"/>
        <v>6.2391522254108378E-2</v>
      </c>
    </row>
    <row r="160" spans="3:5" s="74" customFormat="1" x14ac:dyDescent="0.2">
      <c r="C160" s="74">
        <v>7</v>
      </c>
      <c r="D160" s="74">
        <v>6</v>
      </c>
      <c r="E160" s="114">
        <f t="shared" ca="1" si="26"/>
        <v>6.2725732292995676E-2</v>
      </c>
    </row>
    <row r="161" spans="2:5" s="74" customFormat="1" x14ac:dyDescent="0.2">
      <c r="C161" s="74">
        <v>7</v>
      </c>
      <c r="D161" s="74">
        <v>6.1</v>
      </c>
      <c r="E161" s="114">
        <f t="shared" ca="1" si="26"/>
        <v>6.3039913278223128E-2</v>
      </c>
    </row>
    <row r="162" spans="2:5" s="74" customFormat="1" x14ac:dyDescent="0.2">
      <c r="C162" s="74">
        <v>7</v>
      </c>
      <c r="D162" s="74">
        <v>6.2</v>
      </c>
      <c r="E162" s="114">
        <f t="shared" ca="1" si="26"/>
        <v>6.3335070662332696E-2</v>
      </c>
    </row>
    <row r="163" spans="2:5" s="74" customFormat="1" x14ac:dyDescent="0.2">
      <c r="C163" s="74">
        <v>7</v>
      </c>
      <c r="D163" s="74">
        <v>6.3</v>
      </c>
      <c r="E163" s="114">
        <f t="shared" ca="1" si="26"/>
        <v>6.361220989786634E-2</v>
      </c>
    </row>
    <row r="164" spans="2:5" s="74" customFormat="1" x14ac:dyDescent="0.2">
      <c r="C164" s="74">
        <v>7</v>
      </c>
      <c r="D164" s="74">
        <v>6.4</v>
      </c>
      <c r="E164" s="114">
        <f t="shared" ref="E164:E227" ca="1" si="27">INDIRECT("a_" &amp; i) * t^3 + INDIRECT("b_" &amp; i) * t^2 + INDIRECT("c_" &amp; i) * t^1 + INDIRECT("d_" &amp; i)</f>
        <v>6.3872336437366062E-2</v>
      </c>
    </row>
    <row r="165" spans="2:5" s="74" customFormat="1" x14ac:dyDescent="0.2">
      <c r="C165" s="74">
        <v>7</v>
      </c>
      <c r="D165" s="74">
        <v>6.5</v>
      </c>
      <c r="E165" s="114">
        <f t="shared" ca="1" si="27"/>
        <v>6.4116455733373809E-2</v>
      </c>
    </row>
    <row r="166" spans="2:5" s="74" customFormat="1" x14ac:dyDescent="0.2">
      <c r="C166" s="74">
        <v>7</v>
      </c>
      <c r="D166" s="74">
        <v>6.6</v>
      </c>
      <c r="E166" s="114">
        <f t="shared" ca="1" si="27"/>
        <v>6.4345573238431611E-2</v>
      </c>
    </row>
    <row r="167" spans="2:5" s="74" customFormat="1" x14ac:dyDescent="0.2">
      <c r="C167" s="74">
        <v>7</v>
      </c>
      <c r="D167" s="74">
        <v>6.7</v>
      </c>
      <c r="E167" s="114">
        <f t="shared" ca="1" si="27"/>
        <v>6.4560694405081456E-2</v>
      </c>
    </row>
    <row r="168" spans="2:5" s="74" customFormat="1" x14ac:dyDescent="0.2">
      <c r="C168" s="74">
        <v>7</v>
      </c>
      <c r="D168" s="74">
        <v>6.8</v>
      </c>
      <c r="E168" s="114">
        <f t="shared" ca="1" si="27"/>
        <v>6.4762824685865264E-2</v>
      </c>
    </row>
    <row r="169" spans="2:5" s="74" customFormat="1" x14ac:dyDescent="0.2">
      <c r="C169" s="74">
        <v>7</v>
      </c>
      <c r="D169" s="74">
        <v>6.9</v>
      </c>
      <c r="E169" s="114">
        <f t="shared" ca="1" si="27"/>
        <v>6.4952969533325008E-2</v>
      </c>
    </row>
    <row r="170" spans="2:5" s="74" customFormat="1" x14ac:dyDescent="0.2">
      <c r="B170" s="114"/>
      <c r="C170" s="74">
        <v>10</v>
      </c>
      <c r="D170" s="74">
        <v>7</v>
      </c>
      <c r="E170" s="114">
        <f t="shared" ca="1" si="27"/>
        <v>6.5132134399999694E-2</v>
      </c>
    </row>
    <row r="171" spans="2:5" s="74" customFormat="1" x14ac:dyDescent="0.2">
      <c r="C171" s="74">
        <v>10</v>
      </c>
      <c r="D171" s="74">
        <v>7.1</v>
      </c>
      <c r="E171" s="114">
        <f t="shared" ca="1" si="27"/>
        <v>6.5301215193002277E-2</v>
      </c>
    </row>
    <row r="172" spans="2:5" s="74" customFormat="1" x14ac:dyDescent="0.2">
      <c r="C172" s="74">
        <v>10</v>
      </c>
      <c r="D172" s="74">
        <v>7.2</v>
      </c>
      <c r="E172" s="114">
        <f t="shared" ca="1" si="27"/>
        <v>6.5460669637696811E-2</v>
      </c>
    </row>
    <row r="173" spans="2:5" s="74" customFormat="1" x14ac:dyDescent="0.2">
      <c r="C173" s="74">
        <v>10</v>
      </c>
      <c r="D173" s="74">
        <v>7.3</v>
      </c>
      <c r="E173" s="114">
        <f t="shared" ca="1" si="27"/>
        <v>6.5610845914015281E-2</v>
      </c>
    </row>
    <row r="174" spans="2:5" s="74" customFormat="1" x14ac:dyDescent="0.2">
      <c r="C174" s="74">
        <v>10</v>
      </c>
      <c r="D174" s="74">
        <v>7.4</v>
      </c>
      <c r="E174" s="114">
        <f t="shared" ca="1" si="27"/>
        <v>6.5752092201889684E-2</v>
      </c>
    </row>
    <row r="175" spans="2:5" s="74" customFormat="1" x14ac:dyDescent="0.2">
      <c r="C175" s="74">
        <v>10</v>
      </c>
      <c r="D175" s="74">
        <v>7.5</v>
      </c>
      <c r="E175" s="114">
        <f t="shared" ca="1" si="27"/>
        <v>6.5884756681252016E-2</v>
      </c>
    </row>
    <row r="176" spans="2:5" s="74" customFormat="1" x14ac:dyDescent="0.2">
      <c r="C176" s="74">
        <v>10</v>
      </c>
      <c r="D176" s="74">
        <v>7.6</v>
      </c>
      <c r="E176" s="114">
        <f t="shared" ca="1" si="27"/>
        <v>6.6009187532034302E-2</v>
      </c>
    </row>
    <row r="177" spans="3:5" s="74" customFormat="1" x14ac:dyDescent="0.2">
      <c r="C177" s="74">
        <v>10</v>
      </c>
      <c r="D177" s="74">
        <v>7.7</v>
      </c>
      <c r="E177" s="114">
        <f t="shared" ca="1" si="27"/>
        <v>6.6125732934168541E-2</v>
      </c>
    </row>
    <row r="178" spans="3:5" s="74" customFormat="1" x14ac:dyDescent="0.2">
      <c r="C178" s="74">
        <v>10</v>
      </c>
      <c r="D178" s="74">
        <v>7.8</v>
      </c>
      <c r="E178" s="114">
        <f t="shared" ca="1" si="27"/>
        <v>6.6234741067586742E-2</v>
      </c>
    </row>
    <row r="179" spans="3:5" s="74" customFormat="1" x14ac:dyDescent="0.2">
      <c r="C179" s="74">
        <v>10</v>
      </c>
      <c r="D179" s="74">
        <v>7.9</v>
      </c>
      <c r="E179" s="114">
        <f t="shared" ca="1" si="27"/>
        <v>6.6336560112220874E-2</v>
      </c>
    </row>
    <row r="180" spans="3:5" s="74" customFormat="1" x14ac:dyDescent="0.2">
      <c r="C180" s="74">
        <v>10</v>
      </c>
      <c r="D180" s="74">
        <v>8</v>
      </c>
      <c r="E180" s="114">
        <f t="shared" ca="1" si="27"/>
        <v>6.6431538248002978E-2</v>
      </c>
    </row>
    <row r="181" spans="3:5" s="74" customFormat="1" x14ac:dyDescent="0.2">
      <c r="C181" s="74">
        <v>10</v>
      </c>
      <c r="D181" s="74">
        <v>8.1</v>
      </c>
      <c r="E181" s="114">
        <f t="shared" ca="1" si="27"/>
        <v>6.6520023654865035E-2</v>
      </c>
    </row>
    <row r="182" spans="3:5" s="74" customFormat="1" x14ac:dyDescent="0.2">
      <c r="C182" s="74">
        <v>10</v>
      </c>
      <c r="D182" s="74">
        <v>8.1999999999999993</v>
      </c>
      <c r="E182" s="114">
        <f t="shared" ca="1" si="27"/>
        <v>6.6602364512739043E-2</v>
      </c>
    </row>
    <row r="183" spans="3:5" s="74" customFormat="1" x14ac:dyDescent="0.2">
      <c r="C183" s="74">
        <v>10</v>
      </c>
      <c r="D183" s="74">
        <v>8.3000000000000007</v>
      </c>
      <c r="E183" s="114">
        <f t="shared" ca="1" si="27"/>
        <v>6.6678909001557013E-2</v>
      </c>
    </row>
    <row r="184" spans="3:5" s="74" customFormat="1" x14ac:dyDescent="0.2">
      <c r="C184" s="74">
        <v>10</v>
      </c>
      <c r="D184" s="74">
        <v>8.4</v>
      </c>
      <c r="E184" s="114">
        <f t="shared" ca="1" si="27"/>
        <v>6.675000530125097E-2</v>
      </c>
    </row>
    <row r="185" spans="3:5" s="74" customFormat="1" x14ac:dyDescent="0.2">
      <c r="C185" s="74">
        <v>10</v>
      </c>
      <c r="D185" s="74">
        <v>8.5</v>
      </c>
      <c r="E185" s="114">
        <f t="shared" ca="1" si="27"/>
        <v>6.6816001591752883E-2</v>
      </c>
    </row>
    <row r="186" spans="3:5" s="74" customFormat="1" x14ac:dyDescent="0.2">
      <c r="C186" s="74">
        <v>10</v>
      </c>
      <c r="D186" s="74">
        <v>8.6</v>
      </c>
      <c r="E186" s="114">
        <f t="shared" ca="1" si="27"/>
        <v>6.6877246052994735E-2</v>
      </c>
    </row>
    <row r="187" spans="3:5" s="74" customFormat="1" x14ac:dyDescent="0.2">
      <c r="C187" s="74">
        <v>10</v>
      </c>
      <c r="D187" s="74">
        <v>8.6999999999999993</v>
      </c>
      <c r="E187" s="114">
        <f t="shared" ca="1" si="27"/>
        <v>6.6934086864908579E-2</v>
      </c>
    </row>
    <row r="188" spans="3:5" s="74" customFormat="1" x14ac:dyDescent="0.2">
      <c r="C188" s="74">
        <v>10</v>
      </c>
      <c r="D188" s="74">
        <v>8.8000000000000007</v>
      </c>
      <c r="E188" s="114">
        <f t="shared" ca="1" si="27"/>
        <v>6.6986872207426412E-2</v>
      </c>
    </row>
    <row r="189" spans="3:5" s="74" customFormat="1" x14ac:dyDescent="0.2">
      <c r="C189" s="74">
        <v>10</v>
      </c>
      <c r="D189" s="74">
        <v>8.9</v>
      </c>
      <c r="E189" s="114">
        <f t="shared" ca="1" si="27"/>
        <v>6.7035950260480176E-2</v>
      </c>
    </row>
    <row r="190" spans="3:5" s="74" customFormat="1" x14ac:dyDescent="0.2">
      <c r="C190" s="74">
        <v>10</v>
      </c>
      <c r="D190" s="74">
        <v>9</v>
      </c>
      <c r="E190" s="114">
        <f t="shared" ca="1" si="27"/>
        <v>6.7081669204001965E-2</v>
      </c>
    </row>
    <row r="191" spans="3:5" s="74" customFormat="1" x14ac:dyDescent="0.2">
      <c r="C191" s="74">
        <v>10</v>
      </c>
      <c r="D191" s="74">
        <v>9.1</v>
      </c>
      <c r="E191" s="114">
        <f t="shared" ca="1" si="27"/>
        <v>6.712437721792372E-2</v>
      </c>
    </row>
    <row r="192" spans="3:5" s="74" customFormat="1" x14ac:dyDescent="0.2">
      <c r="C192" s="74">
        <v>10</v>
      </c>
      <c r="D192" s="74">
        <v>9.1999999999999993</v>
      </c>
      <c r="E192" s="114">
        <f t="shared" ca="1" si="27"/>
        <v>6.7164422482177466E-2</v>
      </c>
    </row>
    <row r="193" spans="3:5" s="74" customFormat="1" x14ac:dyDescent="0.2">
      <c r="C193" s="74">
        <v>10</v>
      </c>
      <c r="D193" s="74">
        <v>9.3000000000000007</v>
      </c>
      <c r="E193" s="114">
        <f t="shared" ca="1" si="27"/>
        <v>6.7202153176695145E-2</v>
      </c>
    </row>
    <row r="194" spans="3:5" s="74" customFormat="1" x14ac:dyDescent="0.2">
      <c r="C194" s="74">
        <v>10</v>
      </c>
      <c r="D194" s="74">
        <v>9.4</v>
      </c>
      <c r="E194" s="114">
        <f t="shared" ca="1" si="27"/>
        <v>6.7237917481408851E-2</v>
      </c>
    </row>
    <row r="195" spans="3:5" s="74" customFormat="1" x14ac:dyDescent="0.2">
      <c r="C195" s="74">
        <v>10</v>
      </c>
      <c r="D195" s="74">
        <v>9.5</v>
      </c>
      <c r="E195" s="114">
        <f t="shared" ca="1" si="27"/>
        <v>6.727206357625054E-2</v>
      </c>
    </row>
    <row r="196" spans="3:5" s="74" customFormat="1" x14ac:dyDescent="0.2">
      <c r="C196" s="74">
        <v>10</v>
      </c>
      <c r="D196" s="74">
        <v>9.6</v>
      </c>
      <c r="E196" s="114">
        <f t="shared" ca="1" si="27"/>
        <v>6.7304939641152223E-2</v>
      </c>
    </row>
    <row r="197" spans="3:5" s="74" customFormat="1" x14ac:dyDescent="0.2">
      <c r="C197" s="74">
        <v>10</v>
      </c>
      <c r="D197" s="74">
        <v>9.6999999999999993</v>
      </c>
      <c r="E197" s="114">
        <f t="shared" ca="1" si="27"/>
        <v>6.733689385604591E-2</v>
      </c>
    </row>
    <row r="198" spans="3:5" s="74" customFormat="1" x14ac:dyDescent="0.2">
      <c r="C198" s="74">
        <v>10</v>
      </c>
      <c r="D198" s="74">
        <v>9.8000000000000007</v>
      </c>
      <c r="E198" s="114">
        <f t="shared" ca="1" si="27"/>
        <v>6.7368274400863584E-2</v>
      </c>
    </row>
    <row r="199" spans="3:5" s="74" customFormat="1" x14ac:dyDescent="0.2">
      <c r="C199" s="74">
        <v>10</v>
      </c>
      <c r="D199" s="74">
        <v>9.9</v>
      </c>
      <c r="E199" s="114">
        <f t="shared" ca="1" si="27"/>
        <v>6.7399429455537285E-2</v>
      </c>
    </row>
    <row r="200" spans="3:5" s="74" customFormat="1" x14ac:dyDescent="0.2">
      <c r="C200" s="74">
        <v>10</v>
      </c>
      <c r="D200" s="74">
        <v>10</v>
      </c>
      <c r="E200" s="114">
        <f t="shared" ca="1" si="27"/>
        <v>6.743070719999894E-2</v>
      </c>
    </row>
    <row r="201" spans="3:5" s="74" customFormat="1" x14ac:dyDescent="0.2">
      <c r="C201" s="74">
        <v>30</v>
      </c>
      <c r="D201" s="74">
        <v>10.1</v>
      </c>
      <c r="E201" s="114">
        <f t="shared" ca="1" si="27"/>
        <v>6.7462397391801696E-2</v>
      </c>
    </row>
    <row r="202" spans="3:5" s="74" customFormat="1" x14ac:dyDescent="0.2">
      <c r="C202" s="74">
        <v>30</v>
      </c>
      <c r="D202" s="74">
        <v>10.199999999999999</v>
      </c>
      <c r="E202" s="114">
        <f t="shared" ca="1" si="27"/>
        <v>6.7494556098974728E-2</v>
      </c>
    </row>
    <row r="203" spans="3:5" s="74" customFormat="1" x14ac:dyDescent="0.2">
      <c r="C203" s="74">
        <v>30</v>
      </c>
      <c r="D203" s="74">
        <v>10.3</v>
      </c>
      <c r="E203" s="114">
        <f t="shared" ca="1" si="27"/>
        <v>6.7527180967170544E-2</v>
      </c>
    </row>
    <row r="204" spans="3:5" s="74" customFormat="1" x14ac:dyDescent="0.2">
      <c r="C204" s="74">
        <v>30</v>
      </c>
      <c r="D204" s="74">
        <v>10.4</v>
      </c>
      <c r="E204" s="114">
        <f t="shared" ca="1" si="27"/>
        <v>6.756026964204058E-2</v>
      </c>
    </row>
    <row r="205" spans="3:5" s="74" customFormat="1" x14ac:dyDescent="0.2">
      <c r="C205" s="74">
        <v>30</v>
      </c>
      <c r="D205" s="74">
        <v>10.5</v>
      </c>
      <c r="E205" s="114">
        <f t="shared" ca="1" si="27"/>
        <v>6.7593819769236202E-2</v>
      </c>
    </row>
    <row r="206" spans="3:5" s="74" customFormat="1" x14ac:dyDescent="0.2">
      <c r="C206" s="74">
        <v>30</v>
      </c>
      <c r="D206" s="74">
        <v>10.6</v>
      </c>
      <c r="E206" s="114">
        <f t="shared" ca="1" si="27"/>
        <v>6.7627828994408848E-2</v>
      </c>
    </row>
    <row r="207" spans="3:5" s="74" customFormat="1" x14ac:dyDescent="0.2">
      <c r="C207" s="74">
        <v>30</v>
      </c>
      <c r="D207" s="74">
        <v>10.7</v>
      </c>
      <c r="E207" s="114">
        <f t="shared" ca="1" si="27"/>
        <v>6.7662294963209885E-2</v>
      </c>
    </row>
    <row r="208" spans="3:5" s="74" customFormat="1" x14ac:dyDescent="0.2">
      <c r="C208" s="74">
        <v>30</v>
      </c>
      <c r="D208" s="74">
        <v>10.8</v>
      </c>
      <c r="E208" s="114">
        <f t="shared" ca="1" si="27"/>
        <v>6.7697215321290735E-2</v>
      </c>
    </row>
    <row r="209" spans="3:5" s="74" customFormat="1" x14ac:dyDescent="0.2">
      <c r="C209" s="74">
        <v>30</v>
      </c>
      <c r="D209" s="74">
        <v>10.9</v>
      </c>
      <c r="E209" s="114">
        <f t="shared" ca="1" si="27"/>
        <v>6.773258771430278E-2</v>
      </c>
    </row>
    <row r="210" spans="3:5" s="74" customFormat="1" x14ac:dyDescent="0.2">
      <c r="C210" s="74">
        <v>30</v>
      </c>
      <c r="D210" s="74">
        <v>11</v>
      </c>
      <c r="E210" s="114">
        <f t="shared" ca="1" si="27"/>
        <v>6.776840978789743E-2</v>
      </c>
    </row>
    <row r="211" spans="3:5" s="74" customFormat="1" x14ac:dyDescent="0.2">
      <c r="C211" s="74">
        <v>30</v>
      </c>
      <c r="D211" s="74">
        <v>11.1</v>
      </c>
      <c r="E211" s="114">
        <f t="shared" ca="1" si="27"/>
        <v>6.7804679187726091E-2</v>
      </c>
    </row>
    <row r="212" spans="3:5" s="74" customFormat="1" x14ac:dyDescent="0.2">
      <c r="C212" s="74">
        <v>30</v>
      </c>
      <c r="D212" s="74">
        <v>11.2</v>
      </c>
      <c r="E212" s="114">
        <f t="shared" ca="1" si="27"/>
        <v>6.7841393559440161E-2</v>
      </c>
    </row>
    <row r="213" spans="3:5" s="74" customFormat="1" x14ac:dyDescent="0.2">
      <c r="C213" s="74">
        <v>30</v>
      </c>
      <c r="D213" s="74">
        <v>11.3</v>
      </c>
      <c r="E213" s="114">
        <f t="shared" ca="1" si="27"/>
        <v>6.7878550548691019E-2</v>
      </c>
    </row>
    <row r="214" spans="3:5" s="74" customFormat="1" x14ac:dyDescent="0.2">
      <c r="C214" s="74">
        <v>30</v>
      </c>
      <c r="D214" s="74">
        <v>11.4</v>
      </c>
      <c r="E214" s="114">
        <f t="shared" ca="1" si="27"/>
        <v>6.7916147801130089E-2</v>
      </c>
    </row>
    <row r="215" spans="3:5" s="74" customFormat="1" x14ac:dyDescent="0.2">
      <c r="C215" s="74">
        <v>30</v>
      </c>
      <c r="D215" s="74">
        <v>11.5</v>
      </c>
      <c r="E215" s="114">
        <f t="shared" ca="1" si="27"/>
        <v>6.7954182962408766E-2</v>
      </c>
    </row>
    <row r="216" spans="3:5" s="74" customFormat="1" x14ac:dyDescent="0.2">
      <c r="C216" s="74">
        <v>30</v>
      </c>
      <c r="D216" s="74">
        <v>11.6</v>
      </c>
      <c r="E216" s="114">
        <f t="shared" ca="1" si="27"/>
        <v>6.7992653678178444E-2</v>
      </c>
    </row>
    <row r="217" spans="3:5" s="74" customFormat="1" x14ac:dyDescent="0.2">
      <c r="C217" s="74">
        <v>30</v>
      </c>
      <c r="D217" s="74">
        <v>11.7</v>
      </c>
      <c r="E217" s="114">
        <f t="shared" ca="1" si="27"/>
        <v>6.8031557594090533E-2</v>
      </c>
    </row>
    <row r="218" spans="3:5" s="74" customFormat="1" x14ac:dyDescent="0.2">
      <c r="C218" s="74">
        <v>30</v>
      </c>
      <c r="D218" s="74">
        <v>11.8</v>
      </c>
      <c r="E218" s="114">
        <f t="shared" ca="1" si="27"/>
        <v>6.8070892355796414E-2</v>
      </c>
    </row>
    <row r="219" spans="3:5" s="74" customFormat="1" x14ac:dyDescent="0.2">
      <c r="C219" s="74">
        <v>30</v>
      </c>
      <c r="D219" s="74">
        <v>11.9</v>
      </c>
      <c r="E219" s="114">
        <f t="shared" ca="1" si="27"/>
        <v>6.811065560894751E-2</v>
      </c>
    </row>
    <row r="220" spans="3:5" s="74" customFormat="1" x14ac:dyDescent="0.2">
      <c r="C220" s="74">
        <v>30</v>
      </c>
      <c r="D220" s="74">
        <v>12</v>
      </c>
      <c r="E220" s="114">
        <f t="shared" ca="1" si="27"/>
        <v>6.8150844999195201E-2</v>
      </c>
    </row>
    <row r="221" spans="3:5" s="74" customFormat="1" x14ac:dyDescent="0.2">
      <c r="C221" s="74">
        <v>30</v>
      </c>
      <c r="D221" s="74">
        <v>12.1</v>
      </c>
      <c r="E221" s="114">
        <f t="shared" ca="1" si="27"/>
        <v>6.8191458172190897E-2</v>
      </c>
    </row>
    <row r="222" spans="3:5" s="74" customFormat="1" x14ac:dyDescent="0.2">
      <c r="C222" s="74">
        <v>30</v>
      </c>
      <c r="D222" s="74">
        <v>12.2</v>
      </c>
      <c r="E222" s="114">
        <f t="shared" ca="1" si="27"/>
        <v>6.8232492773585993E-2</v>
      </c>
    </row>
    <row r="223" spans="3:5" s="74" customFormat="1" x14ac:dyDescent="0.2">
      <c r="C223" s="74">
        <v>30</v>
      </c>
      <c r="D223" s="74">
        <v>12.3</v>
      </c>
      <c r="E223" s="114">
        <f t="shared" ca="1" si="27"/>
        <v>6.8273946449031897E-2</v>
      </c>
    </row>
    <row r="224" spans="3:5" s="74" customFormat="1" x14ac:dyDescent="0.2">
      <c r="C224" s="74">
        <v>30</v>
      </c>
      <c r="D224" s="74">
        <v>12.4</v>
      </c>
      <c r="E224" s="114">
        <f t="shared" ca="1" si="27"/>
        <v>6.8315816844180005E-2</v>
      </c>
    </row>
    <row r="225" spans="3:5" s="74" customFormat="1" x14ac:dyDescent="0.2">
      <c r="C225" s="74">
        <v>30</v>
      </c>
      <c r="D225" s="74">
        <v>12.5</v>
      </c>
      <c r="E225" s="114">
        <f t="shared" ca="1" si="27"/>
        <v>6.8358101604681726E-2</v>
      </c>
    </row>
    <row r="226" spans="3:5" s="74" customFormat="1" x14ac:dyDescent="0.2">
      <c r="C226" s="74">
        <v>30</v>
      </c>
      <c r="D226" s="74">
        <v>12.6</v>
      </c>
      <c r="E226" s="114">
        <f t="shared" ca="1" si="27"/>
        <v>6.840079837618844E-2</v>
      </c>
    </row>
    <row r="227" spans="3:5" s="74" customFormat="1" x14ac:dyDescent="0.2">
      <c r="C227" s="74">
        <v>30</v>
      </c>
      <c r="D227" s="74">
        <v>12.7</v>
      </c>
      <c r="E227" s="114">
        <f t="shared" ca="1" si="27"/>
        <v>6.8443904804351557E-2</v>
      </c>
    </row>
    <row r="228" spans="3:5" s="74" customFormat="1" x14ac:dyDescent="0.2">
      <c r="C228" s="74">
        <v>30</v>
      </c>
      <c r="D228" s="74">
        <v>12.8</v>
      </c>
      <c r="E228" s="114">
        <f t="shared" ref="E228:E291" ca="1" si="28">INDIRECT("a_" &amp; i) * t^3 + INDIRECT("b_" &amp; i) * t^2 + INDIRECT("c_" &amp; i) * t^1 + INDIRECT("d_" &amp; i)</f>
        <v>6.8487418534822486E-2</v>
      </c>
    </row>
    <row r="229" spans="3:5" s="74" customFormat="1" x14ac:dyDescent="0.2">
      <c r="C229" s="74">
        <v>30</v>
      </c>
      <c r="D229" s="74">
        <v>12.9</v>
      </c>
      <c r="E229" s="114">
        <f t="shared" ca="1" si="28"/>
        <v>6.8531337213252622E-2</v>
      </c>
    </row>
    <row r="230" spans="3:5" s="74" customFormat="1" x14ac:dyDescent="0.2">
      <c r="C230" s="74">
        <v>30</v>
      </c>
      <c r="D230" s="74">
        <v>13</v>
      </c>
      <c r="E230" s="114">
        <f t="shared" ca="1" si="28"/>
        <v>6.8575658485293345E-2</v>
      </c>
    </row>
    <row r="231" spans="3:5" s="74" customFormat="1" x14ac:dyDescent="0.2">
      <c r="C231" s="74">
        <v>30</v>
      </c>
      <c r="D231" s="74">
        <v>13.1</v>
      </c>
      <c r="E231" s="114">
        <f t="shared" ca="1" si="28"/>
        <v>6.8620379996596079E-2</v>
      </c>
    </row>
    <row r="232" spans="3:5" s="74" customFormat="1" x14ac:dyDescent="0.2">
      <c r="C232" s="74">
        <v>30</v>
      </c>
      <c r="D232" s="74">
        <v>13.2</v>
      </c>
      <c r="E232" s="114">
        <f t="shared" ca="1" si="28"/>
        <v>6.8665499392812218E-2</v>
      </c>
    </row>
    <row r="233" spans="3:5" s="74" customFormat="1" x14ac:dyDescent="0.2">
      <c r="C233" s="74">
        <v>30</v>
      </c>
      <c r="D233" s="74">
        <v>13.3</v>
      </c>
      <c r="E233" s="114">
        <f t="shared" ca="1" si="28"/>
        <v>6.8711014319593172E-2</v>
      </c>
    </row>
    <row r="234" spans="3:5" s="74" customFormat="1" x14ac:dyDescent="0.2">
      <c r="C234" s="74">
        <v>30</v>
      </c>
      <c r="D234" s="74">
        <v>13.4</v>
      </c>
      <c r="E234" s="114">
        <f t="shared" ca="1" si="28"/>
        <v>6.8756922422590308E-2</v>
      </c>
    </row>
    <row r="235" spans="3:5" s="74" customFormat="1" x14ac:dyDescent="0.2">
      <c r="C235" s="74">
        <v>30</v>
      </c>
      <c r="D235" s="74">
        <v>13.5</v>
      </c>
      <c r="E235" s="114">
        <f t="shared" ca="1" si="28"/>
        <v>6.8803221347455062E-2</v>
      </c>
    </row>
    <row r="236" spans="3:5" s="74" customFormat="1" x14ac:dyDescent="0.2">
      <c r="C236" s="74">
        <v>30</v>
      </c>
      <c r="D236" s="74">
        <v>13.6</v>
      </c>
      <c r="E236" s="114">
        <f t="shared" ca="1" si="28"/>
        <v>6.8849908739838817E-2</v>
      </c>
    </row>
    <row r="237" spans="3:5" s="74" customFormat="1" x14ac:dyDescent="0.2">
      <c r="C237" s="74">
        <v>30</v>
      </c>
      <c r="D237" s="74">
        <v>13.7</v>
      </c>
      <c r="E237" s="114">
        <f t="shared" ca="1" si="28"/>
        <v>6.8896982245392965E-2</v>
      </c>
    </row>
    <row r="238" spans="3:5" s="74" customFormat="1" x14ac:dyDescent="0.2">
      <c r="C238" s="74">
        <v>30</v>
      </c>
      <c r="D238" s="74">
        <v>13.8</v>
      </c>
      <c r="E238" s="114">
        <f t="shared" ca="1" si="28"/>
        <v>6.8944439509768932E-2</v>
      </c>
    </row>
    <row r="239" spans="3:5" s="74" customFormat="1" x14ac:dyDescent="0.2">
      <c r="C239" s="74">
        <v>30</v>
      </c>
      <c r="D239" s="74">
        <v>13.9</v>
      </c>
      <c r="E239" s="114">
        <f t="shared" ca="1" si="28"/>
        <v>6.8992278178618097E-2</v>
      </c>
    </row>
    <row r="240" spans="3:5" s="74" customFormat="1" x14ac:dyDescent="0.2">
      <c r="C240" s="74">
        <v>30</v>
      </c>
      <c r="D240" s="74">
        <v>14</v>
      </c>
      <c r="E240" s="114">
        <f t="shared" ca="1" si="28"/>
        <v>6.9040495897591869E-2</v>
      </c>
    </row>
    <row r="241" spans="3:5" s="74" customFormat="1" x14ac:dyDescent="0.2">
      <c r="C241" s="74">
        <v>30</v>
      </c>
      <c r="D241" s="74">
        <v>14.1</v>
      </c>
      <c r="E241" s="114">
        <f t="shared" ca="1" si="28"/>
        <v>6.9089090312341631E-2</v>
      </c>
    </row>
    <row r="242" spans="3:5" s="74" customFormat="1" x14ac:dyDescent="0.2">
      <c r="C242" s="74">
        <v>30</v>
      </c>
      <c r="D242" s="74">
        <v>14.2</v>
      </c>
      <c r="E242" s="114">
        <f t="shared" ca="1" si="28"/>
        <v>6.9138059068518817E-2</v>
      </c>
    </row>
    <row r="243" spans="3:5" s="74" customFormat="1" x14ac:dyDescent="0.2">
      <c r="C243" s="74">
        <v>30</v>
      </c>
      <c r="D243" s="74">
        <v>14.3</v>
      </c>
      <c r="E243" s="114">
        <f t="shared" ca="1" si="28"/>
        <v>6.9187399811774783E-2</v>
      </c>
    </row>
    <row r="244" spans="3:5" s="74" customFormat="1" x14ac:dyDescent="0.2">
      <c r="C244" s="74">
        <v>30</v>
      </c>
      <c r="D244" s="74">
        <v>14.4</v>
      </c>
      <c r="E244" s="114">
        <f t="shared" ca="1" si="28"/>
        <v>6.9237110187760964E-2</v>
      </c>
    </row>
    <row r="245" spans="3:5" s="74" customFormat="1" x14ac:dyDescent="0.2">
      <c r="C245" s="74">
        <v>30</v>
      </c>
      <c r="D245" s="74">
        <v>14.5</v>
      </c>
      <c r="E245" s="114">
        <f t="shared" ca="1" si="28"/>
        <v>6.9287187842128756E-2</v>
      </c>
    </row>
    <row r="246" spans="3:5" s="74" customFormat="1" x14ac:dyDescent="0.2">
      <c r="C246" s="74">
        <v>30</v>
      </c>
      <c r="D246" s="74">
        <v>14.6</v>
      </c>
      <c r="E246" s="114">
        <f t="shared" ca="1" si="28"/>
        <v>6.9337630420529539E-2</v>
      </c>
    </row>
    <row r="247" spans="3:5" s="74" customFormat="1" x14ac:dyDescent="0.2">
      <c r="C247" s="74">
        <v>30</v>
      </c>
      <c r="D247" s="74">
        <v>14.7</v>
      </c>
      <c r="E247" s="114">
        <f t="shared" ca="1" si="28"/>
        <v>6.9388435568614737E-2</v>
      </c>
    </row>
    <row r="248" spans="3:5" s="74" customFormat="1" x14ac:dyDescent="0.2">
      <c r="C248" s="74">
        <v>30</v>
      </c>
      <c r="D248" s="74">
        <v>14.8</v>
      </c>
      <c r="E248" s="114">
        <f t="shared" ca="1" si="28"/>
        <v>6.943960093203573E-2</v>
      </c>
    </row>
    <row r="249" spans="3:5" s="74" customFormat="1" x14ac:dyDescent="0.2">
      <c r="C249" s="74">
        <v>30</v>
      </c>
      <c r="D249" s="74">
        <v>14.9</v>
      </c>
      <c r="E249" s="114">
        <f t="shared" ca="1" si="28"/>
        <v>6.9491124156443929E-2</v>
      </c>
    </row>
    <row r="250" spans="3:5" s="74" customFormat="1" x14ac:dyDescent="0.2">
      <c r="C250" s="74">
        <v>30</v>
      </c>
      <c r="D250" s="74">
        <v>15</v>
      </c>
      <c r="E250" s="114">
        <f t="shared" ca="1" si="28"/>
        <v>6.9543002887490726E-2</v>
      </c>
    </row>
    <row r="251" spans="3:5" s="74" customFormat="1" x14ac:dyDescent="0.2">
      <c r="C251" s="74">
        <v>30</v>
      </c>
      <c r="D251" s="74">
        <v>15.1</v>
      </c>
      <c r="E251" s="114">
        <f t="shared" ca="1" si="28"/>
        <v>6.9595234770827533E-2</v>
      </c>
    </row>
    <row r="252" spans="3:5" s="74" customFormat="1" x14ac:dyDescent="0.2">
      <c r="C252" s="74">
        <v>30</v>
      </c>
      <c r="D252" s="74">
        <v>15.2</v>
      </c>
      <c r="E252" s="114">
        <f t="shared" ca="1" si="28"/>
        <v>6.9647817452105742E-2</v>
      </c>
    </row>
    <row r="253" spans="3:5" s="74" customFormat="1" x14ac:dyDescent="0.2">
      <c r="C253" s="74">
        <v>30</v>
      </c>
      <c r="D253" s="74">
        <v>15.3</v>
      </c>
      <c r="E253" s="114">
        <f t="shared" ca="1" si="28"/>
        <v>6.9700748576976751E-2</v>
      </c>
    </row>
    <row r="254" spans="3:5" s="74" customFormat="1" x14ac:dyDescent="0.2">
      <c r="C254" s="74">
        <v>30</v>
      </c>
      <c r="D254" s="74">
        <v>15.4</v>
      </c>
      <c r="E254" s="114">
        <f t="shared" ca="1" si="28"/>
        <v>6.9754025791091967E-2</v>
      </c>
    </row>
    <row r="255" spans="3:5" s="74" customFormat="1" x14ac:dyDescent="0.2">
      <c r="C255" s="74">
        <v>30</v>
      </c>
      <c r="D255" s="74">
        <v>15.5</v>
      </c>
      <c r="E255" s="114">
        <f t="shared" ca="1" si="28"/>
        <v>6.9807646740102786E-2</v>
      </c>
    </row>
    <row r="256" spans="3:5" s="74" customFormat="1" x14ac:dyDescent="0.2">
      <c r="C256" s="74">
        <v>30</v>
      </c>
      <c r="D256" s="74">
        <v>15.6</v>
      </c>
      <c r="E256" s="114">
        <f t="shared" ca="1" si="28"/>
        <v>6.9861609069660602E-2</v>
      </c>
    </row>
    <row r="257" spans="3:5" s="74" customFormat="1" x14ac:dyDescent="0.2">
      <c r="C257" s="74">
        <v>30</v>
      </c>
      <c r="D257" s="74">
        <v>15.7</v>
      </c>
      <c r="E257" s="114">
        <f t="shared" ca="1" si="28"/>
        <v>6.9915910425416838E-2</v>
      </c>
    </row>
    <row r="258" spans="3:5" s="74" customFormat="1" x14ac:dyDescent="0.2">
      <c r="C258" s="74">
        <v>30</v>
      </c>
      <c r="D258" s="74">
        <v>15.8</v>
      </c>
      <c r="E258" s="114">
        <f t="shared" ca="1" si="28"/>
        <v>6.9970548453022863E-2</v>
      </c>
    </row>
    <row r="259" spans="3:5" s="74" customFormat="1" x14ac:dyDescent="0.2">
      <c r="C259" s="74">
        <v>30</v>
      </c>
      <c r="D259" s="74">
        <v>15.9</v>
      </c>
      <c r="E259" s="114">
        <f t="shared" ca="1" si="28"/>
        <v>7.0025520798130084E-2</v>
      </c>
    </row>
    <row r="260" spans="3:5" s="74" customFormat="1" x14ac:dyDescent="0.2">
      <c r="C260" s="74">
        <v>30</v>
      </c>
      <c r="D260" s="74">
        <v>16</v>
      </c>
      <c r="E260" s="114">
        <f t="shared" ca="1" si="28"/>
        <v>7.0080825106389924E-2</v>
      </c>
    </row>
    <row r="261" spans="3:5" s="74" customFormat="1" x14ac:dyDescent="0.2">
      <c r="C261" s="74">
        <v>30</v>
      </c>
      <c r="D261" s="74">
        <v>16.100000000000001</v>
      </c>
      <c r="E261" s="114">
        <f t="shared" ca="1" si="28"/>
        <v>7.0136459023453751E-2</v>
      </c>
    </row>
    <row r="262" spans="3:5" s="74" customFormat="1" x14ac:dyDescent="0.2">
      <c r="C262" s="74">
        <v>30</v>
      </c>
      <c r="D262" s="74">
        <v>16.2</v>
      </c>
      <c r="E262" s="114">
        <f t="shared" ca="1" si="28"/>
        <v>7.0192420194973001E-2</v>
      </c>
    </row>
    <row r="263" spans="3:5" s="74" customFormat="1" x14ac:dyDescent="0.2">
      <c r="C263" s="74">
        <v>30</v>
      </c>
      <c r="D263" s="74">
        <v>16.3</v>
      </c>
      <c r="E263" s="114">
        <f t="shared" ca="1" si="28"/>
        <v>7.0248706266599042E-2</v>
      </c>
    </row>
    <row r="264" spans="3:5" s="74" customFormat="1" x14ac:dyDescent="0.2">
      <c r="C264" s="74">
        <v>30</v>
      </c>
      <c r="D264" s="74">
        <v>16.399999999999999</v>
      </c>
      <c r="E264" s="114">
        <f t="shared" ca="1" si="28"/>
        <v>7.0305314883983283E-2</v>
      </c>
    </row>
    <row r="265" spans="3:5" s="74" customFormat="1" x14ac:dyDescent="0.2">
      <c r="C265" s="74">
        <v>30</v>
      </c>
      <c r="D265" s="74">
        <v>16.5</v>
      </c>
      <c r="E265" s="114">
        <f t="shared" ca="1" si="28"/>
        <v>7.0362243692777132E-2</v>
      </c>
    </row>
    <row r="266" spans="3:5" s="74" customFormat="1" x14ac:dyDescent="0.2">
      <c r="C266" s="74">
        <v>30</v>
      </c>
      <c r="D266" s="74">
        <v>16.600000000000001</v>
      </c>
      <c r="E266" s="114">
        <f t="shared" ca="1" si="28"/>
        <v>7.0419490338631985E-2</v>
      </c>
    </row>
    <row r="267" spans="3:5" s="74" customFormat="1" x14ac:dyDescent="0.2">
      <c r="C267" s="74">
        <v>30</v>
      </c>
      <c r="D267" s="74">
        <v>16.7</v>
      </c>
      <c r="E267" s="114">
        <f t="shared" ca="1" si="28"/>
        <v>7.0477052467199236E-2</v>
      </c>
    </row>
    <row r="268" spans="3:5" s="74" customFormat="1" x14ac:dyDescent="0.2">
      <c r="C268" s="74">
        <v>30</v>
      </c>
      <c r="D268" s="74">
        <v>16.8</v>
      </c>
      <c r="E268" s="114">
        <f t="shared" ca="1" si="28"/>
        <v>7.0534927724130295E-2</v>
      </c>
    </row>
    <row r="269" spans="3:5" s="74" customFormat="1" x14ac:dyDescent="0.2">
      <c r="C269" s="74">
        <v>30</v>
      </c>
      <c r="D269" s="74">
        <v>16.899999999999999</v>
      </c>
      <c r="E269" s="114">
        <f t="shared" ca="1" si="28"/>
        <v>7.0593113755076556E-2</v>
      </c>
    </row>
    <row r="270" spans="3:5" s="74" customFormat="1" x14ac:dyDescent="0.2">
      <c r="C270" s="74">
        <v>30</v>
      </c>
      <c r="D270" s="74">
        <v>17</v>
      </c>
      <c r="E270" s="114">
        <f t="shared" ca="1" si="28"/>
        <v>7.0651608205689415E-2</v>
      </c>
    </row>
    <row r="271" spans="3:5" s="74" customFormat="1" x14ac:dyDescent="0.2">
      <c r="C271" s="74">
        <v>30</v>
      </c>
      <c r="D271" s="74">
        <v>17.100000000000001</v>
      </c>
      <c r="E271" s="114">
        <f t="shared" ca="1" si="28"/>
        <v>7.071040872162028E-2</v>
      </c>
    </row>
    <row r="272" spans="3:5" s="74" customFormat="1" x14ac:dyDescent="0.2">
      <c r="C272" s="74">
        <v>30</v>
      </c>
      <c r="D272" s="74">
        <v>17.2</v>
      </c>
      <c r="E272" s="114">
        <f t="shared" ca="1" si="28"/>
        <v>7.0769512948520547E-2</v>
      </c>
    </row>
    <row r="273" spans="3:5" s="74" customFormat="1" x14ac:dyDescent="0.2">
      <c r="C273" s="74">
        <v>30</v>
      </c>
      <c r="D273" s="74">
        <v>17.3</v>
      </c>
      <c r="E273" s="114">
        <f t="shared" ca="1" si="28"/>
        <v>7.0828918532041624E-2</v>
      </c>
    </row>
    <row r="274" spans="3:5" s="74" customFormat="1" x14ac:dyDescent="0.2">
      <c r="C274" s="74">
        <v>30</v>
      </c>
      <c r="D274" s="74">
        <v>17.399999999999999</v>
      </c>
      <c r="E274" s="114">
        <f t="shared" ca="1" si="28"/>
        <v>7.0888623117834892E-2</v>
      </c>
    </row>
    <row r="275" spans="3:5" s="74" customFormat="1" x14ac:dyDescent="0.2">
      <c r="C275" s="74">
        <v>30</v>
      </c>
      <c r="D275" s="74">
        <v>17.5</v>
      </c>
      <c r="E275" s="114">
        <f t="shared" ca="1" si="28"/>
        <v>7.0948624351551776E-2</v>
      </c>
    </row>
    <row r="276" spans="3:5" s="74" customFormat="1" x14ac:dyDescent="0.2">
      <c r="C276" s="74">
        <v>30</v>
      </c>
      <c r="D276" s="74">
        <v>17.600000000000001</v>
      </c>
      <c r="E276" s="114">
        <f t="shared" ca="1" si="28"/>
        <v>7.100891987884364E-2</v>
      </c>
    </row>
    <row r="277" spans="3:5" s="74" customFormat="1" x14ac:dyDescent="0.2">
      <c r="C277" s="74">
        <v>30</v>
      </c>
      <c r="D277" s="74">
        <v>17.7</v>
      </c>
      <c r="E277" s="114">
        <f t="shared" ca="1" si="28"/>
        <v>7.1069507345361924E-2</v>
      </c>
    </row>
    <row r="278" spans="3:5" s="74" customFormat="1" x14ac:dyDescent="0.2">
      <c r="C278" s="74">
        <v>30</v>
      </c>
      <c r="D278" s="74">
        <v>17.8</v>
      </c>
      <c r="E278" s="114">
        <f t="shared" ca="1" si="28"/>
        <v>7.113038439675802E-2</v>
      </c>
    </row>
    <row r="279" spans="3:5" s="74" customFormat="1" x14ac:dyDescent="0.2">
      <c r="C279" s="74">
        <v>30</v>
      </c>
      <c r="D279" s="74">
        <v>17.899999999999999</v>
      </c>
      <c r="E279" s="114">
        <f t="shared" ca="1" si="28"/>
        <v>7.1191548678683297E-2</v>
      </c>
    </row>
    <row r="280" spans="3:5" s="74" customFormat="1" x14ac:dyDescent="0.2">
      <c r="C280" s="74">
        <v>30</v>
      </c>
      <c r="D280" s="74">
        <v>18</v>
      </c>
      <c r="E280" s="114">
        <f t="shared" ca="1" si="28"/>
        <v>7.1252997836789192E-2</v>
      </c>
    </row>
    <row r="281" spans="3:5" s="74" customFormat="1" x14ac:dyDescent="0.2">
      <c r="C281" s="74">
        <v>30</v>
      </c>
      <c r="D281" s="74">
        <v>18.100000000000001</v>
      </c>
      <c r="E281" s="114">
        <f t="shared" ca="1" si="28"/>
        <v>7.1314729516727085E-2</v>
      </c>
    </row>
    <row r="282" spans="3:5" s="74" customFormat="1" x14ac:dyDescent="0.2">
      <c r="C282" s="74">
        <v>30</v>
      </c>
      <c r="D282" s="74">
        <v>18.2</v>
      </c>
      <c r="E282" s="114">
        <f t="shared" ca="1" si="28"/>
        <v>7.1376741364148372E-2</v>
      </c>
    </row>
    <row r="283" spans="3:5" s="74" customFormat="1" x14ac:dyDescent="0.2">
      <c r="C283" s="74">
        <v>30</v>
      </c>
      <c r="D283" s="74">
        <v>18.3</v>
      </c>
      <c r="E283" s="114">
        <f t="shared" ca="1" si="28"/>
        <v>7.1439031024704475E-2</v>
      </c>
    </row>
    <row r="284" spans="3:5" s="74" customFormat="1" x14ac:dyDescent="0.2">
      <c r="C284" s="74">
        <v>30</v>
      </c>
      <c r="D284" s="74">
        <v>18.399999999999999</v>
      </c>
      <c r="E284" s="114">
        <f t="shared" ca="1" si="28"/>
        <v>7.1501596144046775E-2</v>
      </c>
    </row>
    <row r="285" spans="3:5" s="74" customFormat="1" x14ac:dyDescent="0.2">
      <c r="C285" s="74">
        <v>30</v>
      </c>
      <c r="D285" s="74">
        <v>18.5</v>
      </c>
      <c r="E285" s="114">
        <f t="shared" ca="1" si="28"/>
        <v>7.1564434367826682E-2</v>
      </c>
    </row>
    <row r="286" spans="3:5" s="74" customFormat="1" x14ac:dyDescent="0.2">
      <c r="C286" s="74">
        <v>30</v>
      </c>
      <c r="D286" s="74">
        <v>18.600000000000001</v>
      </c>
      <c r="E286" s="114">
        <f t="shared" ca="1" si="28"/>
        <v>7.162754334169559E-2</v>
      </c>
    </row>
    <row r="287" spans="3:5" s="74" customFormat="1" x14ac:dyDescent="0.2">
      <c r="C287" s="74">
        <v>30</v>
      </c>
      <c r="D287" s="74">
        <v>18.7</v>
      </c>
      <c r="E287" s="114">
        <f t="shared" ca="1" si="28"/>
        <v>7.1690920711304895E-2</v>
      </c>
    </row>
    <row r="288" spans="3:5" s="74" customFormat="1" x14ac:dyDescent="0.2">
      <c r="C288" s="74">
        <v>30</v>
      </c>
      <c r="D288" s="74">
        <v>18.8</v>
      </c>
      <c r="E288" s="114">
        <f t="shared" ca="1" si="28"/>
        <v>7.1754564122306005E-2</v>
      </c>
    </row>
    <row r="289" spans="3:5" s="74" customFormat="1" x14ac:dyDescent="0.2">
      <c r="C289" s="74">
        <v>30</v>
      </c>
      <c r="D289" s="74">
        <v>18.899999999999999</v>
      </c>
      <c r="E289" s="114">
        <f t="shared" ca="1" si="28"/>
        <v>7.1818471220350316E-2</v>
      </c>
    </row>
    <row r="290" spans="3:5" s="74" customFormat="1" x14ac:dyDescent="0.2">
      <c r="C290" s="74">
        <v>30</v>
      </c>
      <c r="D290" s="74">
        <v>19</v>
      </c>
      <c r="E290" s="114">
        <f t="shared" ca="1" si="28"/>
        <v>7.1882639651089222E-2</v>
      </c>
    </row>
    <row r="291" spans="3:5" s="74" customFormat="1" x14ac:dyDescent="0.2">
      <c r="C291" s="74">
        <v>30</v>
      </c>
      <c r="D291" s="74">
        <v>19.100000000000001</v>
      </c>
      <c r="E291" s="114">
        <f t="shared" ca="1" si="28"/>
        <v>7.1947067060174147E-2</v>
      </c>
    </row>
    <row r="292" spans="3:5" s="74" customFormat="1" x14ac:dyDescent="0.2">
      <c r="C292" s="74">
        <v>30</v>
      </c>
      <c r="D292" s="74">
        <v>19.2</v>
      </c>
      <c r="E292" s="114">
        <f t="shared" ref="E292:E355" ca="1" si="29">INDIRECT("a_" &amp; i) * t^3 + INDIRECT("b_" &amp; i) * t^2 + INDIRECT("c_" &amp; i) * t^1 + INDIRECT("d_" &amp; i)</f>
        <v>7.2011751093256471E-2</v>
      </c>
    </row>
    <row r="293" spans="3:5" s="74" customFormat="1" x14ac:dyDescent="0.2">
      <c r="C293" s="74">
        <v>30</v>
      </c>
      <c r="D293" s="74">
        <v>19.3</v>
      </c>
      <c r="E293" s="114">
        <f t="shared" ca="1" si="29"/>
        <v>7.2076689395987589E-2</v>
      </c>
    </row>
    <row r="294" spans="3:5" s="74" customFormat="1" x14ac:dyDescent="0.2">
      <c r="C294" s="74">
        <v>30</v>
      </c>
      <c r="D294" s="74">
        <v>19.399999999999999</v>
      </c>
      <c r="E294" s="114">
        <f t="shared" ca="1" si="29"/>
        <v>7.2141879614018911E-2</v>
      </c>
    </row>
    <row r="295" spans="3:5" s="74" customFormat="1" x14ac:dyDescent="0.2">
      <c r="C295" s="74">
        <v>30</v>
      </c>
      <c r="D295" s="74">
        <v>19.5</v>
      </c>
      <c r="E295" s="114">
        <f t="shared" ca="1" si="29"/>
        <v>7.2207319393001845E-2</v>
      </c>
    </row>
    <row r="296" spans="3:5" s="74" customFormat="1" x14ac:dyDescent="0.2">
      <c r="C296" s="74">
        <v>30</v>
      </c>
      <c r="D296" s="74">
        <v>19.600000000000001</v>
      </c>
      <c r="E296" s="114">
        <f t="shared" ca="1" si="29"/>
        <v>7.2273006378587773E-2</v>
      </c>
    </row>
    <row r="297" spans="3:5" s="74" customFormat="1" x14ac:dyDescent="0.2">
      <c r="C297" s="74">
        <v>30</v>
      </c>
      <c r="D297" s="74">
        <v>19.7</v>
      </c>
      <c r="E297" s="114">
        <f t="shared" ca="1" si="29"/>
        <v>7.2338938216428103E-2</v>
      </c>
    </row>
    <row r="298" spans="3:5" s="74" customFormat="1" x14ac:dyDescent="0.2">
      <c r="C298" s="74">
        <v>30</v>
      </c>
      <c r="D298" s="74">
        <v>19.8</v>
      </c>
      <c r="E298" s="114">
        <f t="shared" ca="1" si="29"/>
        <v>7.2405112552174231E-2</v>
      </c>
    </row>
    <row r="299" spans="3:5" s="74" customFormat="1" x14ac:dyDescent="0.2">
      <c r="C299" s="74">
        <v>30</v>
      </c>
      <c r="D299" s="74">
        <v>19.899999999999999</v>
      </c>
      <c r="E299" s="114">
        <f t="shared" ca="1" si="29"/>
        <v>7.2471527031477564E-2</v>
      </c>
    </row>
    <row r="300" spans="3:5" s="74" customFormat="1" x14ac:dyDescent="0.2">
      <c r="C300" s="74">
        <v>30</v>
      </c>
      <c r="D300" s="74">
        <v>20</v>
      </c>
      <c r="E300" s="114">
        <f t="shared" ca="1" si="29"/>
        <v>7.25381792999895E-2</v>
      </c>
    </row>
    <row r="301" spans="3:5" s="74" customFormat="1" x14ac:dyDescent="0.2">
      <c r="C301" s="74">
        <v>30</v>
      </c>
      <c r="D301" s="74">
        <v>20.100000000000001</v>
      </c>
      <c r="E301" s="114">
        <f t="shared" ca="1" si="29"/>
        <v>7.2605067003361445E-2</v>
      </c>
    </row>
    <row r="302" spans="3:5" s="74" customFormat="1" x14ac:dyDescent="0.2">
      <c r="C302" s="74">
        <v>30</v>
      </c>
      <c r="D302" s="74">
        <v>20.2</v>
      </c>
      <c r="E302" s="114">
        <f t="shared" ca="1" si="29"/>
        <v>7.2672187787244782E-2</v>
      </c>
    </row>
    <row r="303" spans="3:5" s="74" customFormat="1" x14ac:dyDescent="0.2">
      <c r="C303" s="74">
        <v>30</v>
      </c>
      <c r="D303" s="74">
        <v>20.3</v>
      </c>
      <c r="E303" s="114">
        <f t="shared" ca="1" si="29"/>
        <v>7.2739539297290934E-2</v>
      </c>
    </row>
    <row r="304" spans="3:5" s="74" customFormat="1" x14ac:dyDescent="0.2">
      <c r="C304" s="74">
        <v>30</v>
      </c>
      <c r="D304" s="74">
        <v>20.399999999999999</v>
      </c>
      <c r="E304" s="114">
        <f t="shared" ca="1" si="29"/>
        <v>7.2807119179151281E-2</v>
      </c>
    </row>
    <row r="305" spans="3:5" s="74" customFormat="1" x14ac:dyDescent="0.2">
      <c r="C305" s="74">
        <v>30</v>
      </c>
      <c r="D305" s="74">
        <v>20.5</v>
      </c>
      <c r="E305" s="114">
        <f t="shared" ca="1" si="29"/>
        <v>7.2874925078477232E-2</v>
      </c>
    </row>
    <row r="306" spans="3:5" s="74" customFormat="1" x14ac:dyDescent="0.2">
      <c r="C306" s="74">
        <v>30</v>
      </c>
      <c r="D306" s="74">
        <v>20.6</v>
      </c>
      <c r="E306" s="114">
        <f t="shared" ca="1" si="29"/>
        <v>7.2942954640920182E-2</v>
      </c>
    </row>
    <row r="307" spans="3:5" s="74" customFormat="1" x14ac:dyDescent="0.2">
      <c r="C307" s="74">
        <v>30</v>
      </c>
      <c r="D307" s="74">
        <v>20.7</v>
      </c>
      <c r="E307" s="114">
        <f t="shared" ca="1" si="29"/>
        <v>7.3011205512131527E-2</v>
      </c>
    </row>
    <row r="308" spans="3:5" s="74" customFormat="1" x14ac:dyDescent="0.2">
      <c r="C308" s="74">
        <v>30</v>
      </c>
      <c r="D308" s="74">
        <v>20.8</v>
      </c>
      <c r="E308" s="114">
        <f t="shared" ca="1" si="29"/>
        <v>7.307967533776269E-2</v>
      </c>
    </row>
    <row r="309" spans="3:5" s="74" customFormat="1" x14ac:dyDescent="0.2">
      <c r="C309" s="74">
        <v>30</v>
      </c>
      <c r="D309" s="74">
        <v>20.9</v>
      </c>
      <c r="E309" s="114">
        <f t="shared" ca="1" si="29"/>
        <v>7.3148361763465036E-2</v>
      </c>
    </row>
    <row r="310" spans="3:5" s="74" customFormat="1" x14ac:dyDescent="0.2">
      <c r="C310" s="74">
        <v>30</v>
      </c>
      <c r="D310" s="74">
        <v>21</v>
      </c>
      <c r="E310" s="114">
        <f t="shared" ca="1" si="29"/>
        <v>7.3217262434890004E-2</v>
      </c>
    </row>
    <row r="311" spans="3:5" s="74" customFormat="1" x14ac:dyDescent="0.2">
      <c r="C311" s="74">
        <v>30</v>
      </c>
      <c r="D311" s="74">
        <v>21.1</v>
      </c>
      <c r="E311" s="114">
        <f t="shared" ca="1" si="29"/>
        <v>7.3286374997688961E-2</v>
      </c>
    </row>
    <row r="312" spans="3:5" s="74" customFormat="1" x14ac:dyDescent="0.2">
      <c r="C312" s="74">
        <v>30</v>
      </c>
      <c r="D312" s="74">
        <v>21.2</v>
      </c>
      <c r="E312" s="114">
        <f t="shared" ca="1" si="29"/>
        <v>7.3355697097513328E-2</v>
      </c>
    </row>
    <row r="313" spans="3:5" s="74" customFormat="1" x14ac:dyDescent="0.2">
      <c r="C313" s="74">
        <v>30</v>
      </c>
      <c r="D313" s="74">
        <v>21.3</v>
      </c>
      <c r="E313" s="114">
        <f t="shared" ca="1" si="29"/>
        <v>7.3425226380014488E-2</v>
      </c>
    </row>
    <row r="314" spans="3:5" s="74" customFormat="1" x14ac:dyDescent="0.2">
      <c r="C314" s="74">
        <v>30</v>
      </c>
      <c r="D314" s="74">
        <v>21.4</v>
      </c>
      <c r="E314" s="114">
        <f t="shared" ca="1" si="29"/>
        <v>7.349496049084385E-2</v>
      </c>
    </row>
    <row r="315" spans="3:5" s="74" customFormat="1" x14ac:dyDescent="0.2">
      <c r="C315" s="74">
        <v>30</v>
      </c>
      <c r="D315" s="74">
        <v>21.5</v>
      </c>
      <c r="E315" s="114">
        <f t="shared" ca="1" si="29"/>
        <v>7.3564897075652821E-2</v>
      </c>
    </row>
    <row r="316" spans="3:5" s="74" customFormat="1" x14ac:dyDescent="0.2">
      <c r="C316" s="74">
        <v>30</v>
      </c>
      <c r="D316" s="74">
        <v>21.6</v>
      </c>
      <c r="E316" s="114">
        <f t="shared" ca="1" si="29"/>
        <v>7.3635033780092798E-2</v>
      </c>
    </row>
    <row r="317" spans="3:5" s="74" customFormat="1" x14ac:dyDescent="0.2">
      <c r="C317" s="74">
        <v>30</v>
      </c>
      <c r="D317" s="74">
        <v>21.7</v>
      </c>
      <c r="E317" s="114">
        <f t="shared" ca="1" si="29"/>
        <v>7.3705368249815162E-2</v>
      </c>
    </row>
    <row r="318" spans="3:5" s="74" customFormat="1" x14ac:dyDescent="0.2">
      <c r="C318" s="74">
        <v>30</v>
      </c>
      <c r="D318" s="74">
        <v>21.8</v>
      </c>
      <c r="E318" s="114">
        <f t="shared" ca="1" si="29"/>
        <v>7.3775898130471335E-2</v>
      </c>
    </row>
    <row r="319" spans="3:5" s="74" customFormat="1" x14ac:dyDescent="0.2">
      <c r="C319" s="74">
        <v>30</v>
      </c>
      <c r="D319" s="74">
        <v>21.9</v>
      </c>
      <c r="E319" s="114">
        <f t="shared" ca="1" si="29"/>
        <v>7.3846621067712712E-2</v>
      </c>
    </row>
    <row r="320" spans="3:5" s="74" customFormat="1" x14ac:dyDescent="0.2">
      <c r="C320" s="74">
        <v>30</v>
      </c>
      <c r="D320" s="74">
        <v>22</v>
      </c>
      <c r="E320" s="114">
        <f t="shared" ca="1" si="29"/>
        <v>7.3917534707190688E-2</v>
      </c>
    </row>
    <row r="321" spans="3:5" s="74" customFormat="1" x14ac:dyDescent="0.2">
      <c r="C321" s="74">
        <v>30</v>
      </c>
      <c r="D321" s="74">
        <v>22.1</v>
      </c>
      <c r="E321" s="114">
        <f t="shared" ca="1" si="29"/>
        <v>7.3988636694556673E-2</v>
      </c>
    </row>
    <row r="322" spans="3:5" s="74" customFormat="1" x14ac:dyDescent="0.2">
      <c r="C322" s="74">
        <v>30</v>
      </c>
      <c r="D322" s="74">
        <v>22.2</v>
      </c>
      <c r="E322" s="114">
        <f t="shared" ca="1" si="29"/>
        <v>7.4059924675462047E-2</v>
      </c>
    </row>
    <row r="323" spans="3:5" s="74" customFormat="1" x14ac:dyDescent="0.2">
      <c r="C323" s="74">
        <v>30</v>
      </c>
      <c r="D323" s="74">
        <v>22.3</v>
      </c>
      <c r="E323" s="114">
        <f t="shared" ca="1" si="29"/>
        <v>7.4131396295558233E-2</v>
      </c>
    </row>
    <row r="324" spans="3:5" s="74" customFormat="1" x14ac:dyDescent="0.2">
      <c r="C324" s="74">
        <v>30</v>
      </c>
      <c r="D324" s="74">
        <v>22.4</v>
      </c>
      <c r="E324" s="114">
        <f t="shared" ca="1" si="29"/>
        <v>7.4203049200496626E-2</v>
      </c>
    </row>
    <row r="325" spans="3:5" s="74" customFormat="1" x14ac:dyDescent="0.2">
      <c r="C325" s="74">
        <v>30</v>
      </c>
      <c r="D325" s="74">
        <v>22.5</v>
      </c>
      <c r="E325" s="114">
        <f t="shared" ca="1" si="29"/>
        <v>7.4274881035928608E-2</v>
      </c>
    </row>
    <row r="326" spans="3:5" s="74" customFormat="1" x14ac:dyDescent="0.2">
      <c r="C326" s="74">
        <v>30</v>
      </c>
      <c r="D326" s="74">
        <v>22.6</v>
      </c>
      <c r="E326" s="114">
        <f t="shared" ca="1" si="29"/>
        <v>7.4346889447505601E-2</v>
      </c>
    </row>
    <row r="327" spans="3:5" s="74" customFormat="1" x14ac:dyDescent="0.2">
      <c r="C327" s="74">
        <v>30</v>
      </c>
      <c r="D327" s="74">
        <v>22.7</v>
      </c>
      <c r="E327" s="114">
        <f t="shared" ca="1" si="29"/>
        <v>7.4419072080878987E-2</v>
      </c>
    </row>
    <row r="328" spans="3:5" s="74" customFormat="1" x14ac:dyDescent="0.2">
      <c r="C328" s="74">
        <v>30</v>
      </c>
      <c r="D328" s="74">
        <v>22.8</v>
      </c>
      <c r="E328" s="114">
        <f t="shared" ca="1" si="29"/>
        <v>7.4491426581700174E-2</v>
      </c>
    </row>
    <row r="329" spans="3:5" s="74" customFormat="1" x14ac:dyDescent="0.2">
      <c r="C329" s="74">
        <v>30</v>
      </c>
      <c r="D329" s="74">
        <v>22.9</v>
      </c>
      <c r="E329" s="114">
        <f t="shared" ca="1" si="29"/>
        <v>7.4563950595620571E-2</v>
      </c>
    </row>
    <row r="330" spans="3:5" s="74" customFormat="1" x14ac:dyDescent="0.2">
      <c r="C330" s="74">
        <v>30</v>
      </c>
      <c r="D330" s="74">
        <v>23</v>
      </c>
      <c r="E330" s="114">
        <f t="shared" ca="1" si="29"/>
        <v>7.4636641768291559E-2</v>
      </c>
    </row>
    <row r="331" spans="3:5" s="74" customFormat="1" x14ac:dyDescent="0.2">
      <c r="C331" s="74">
        <v>30</v>
      </c>
      <c r="D331" s="74">
        <v>23.1</v>
      </c>
      <c r="E331" s="114">
        <f t="shared" ca="1" si="29"/>
        <v>7.4709497745364561E-2</v>
      </c>
    </row>
    <row r="332" spans="3:5" s="74" customFormat="1" x14ac:dyDescent="0.2">
      <c r="C332" s="74">
        <v>30</v>
      </c>
      <c r="D332" s="74">
        <v>23.2</v>
      </c>
      <c r="E332" s="114">
        <f t="shared" ca="1" si="29"/>
        <v>7.4782516172490959E-2</v>
      </c>
    </row>
    <row r="333" spans="3:5" s="74" customFormat="1" x14ac:dyDescent="0.2">
      <c r="C333" s="74">
        <v>30</v>
      </c>
      <c r="D333" s="74">
        <v>23.3</v>
      </c>
      <c r="E333" s="114">
        <f t="shared" ca="1" si="29"/>
        <v>7.4855694695322147E-2</v>
      </c>
    </row>
    <row r="334" spans="3:5" s="74" customFormat="1" x14ac:dyDescent="0.2">
      <c r="C334" s="74">
        <v>30</v>
      </c>
      <c r="D334" s="74">
        <v>23.4</v>
      </c>
      <c r="E334" s="114">
        <f t="shared" ca="1" si="29"/>
        <v>7.4929030959509549E-2</v>
      </c>
    </row>
    <row r="335" spans="3:5" s="74" customFormat="1" x14ac:dyDescent="0.2">
      <c r="C335" s="74">
        <v>30</v>
      </c>
      <c r="D335" s="74">
        <v>23.5</v>
      </c>
      <c r="E335" s="114">
        <f t="shared" ca="1" si="29"/>
        <v>7.5002522610704558E-2</v>
      </c>
    </row>
    <row r="336" spans="3:5" s="74" customFormat="1" x14ac:dyDescent="0.2">
      <c r="C336" s="74">
        <v>30</v>
      </c>
      <c r="D336" s="74">
        <v>23.6</v>
      </c>
      <c r="E336" s="114">
        <f t="shared" ca="1" si="29"/>
        <v>7.5076167294558557E-2</v>
      </c>
    </row>
    <row r="337" spans="3:5" s="74" customFormat="1" x14ac:dyDescent="0.2">
      <c r="C337" s="74">
        <v>30</v>
      </c>
      <c r="D337" s="74">
        <v>23.7</v>
      </c>
      <c r="E337" s="114">
        <f t="shared" ca="1" si="29"/>
        <v>7.5149962656722955E-2</v>
      </c>
    </row>
    <row r="338" spans="3:5" s="74" customFormat="1" x14ac:dyDescent="0.2">
      <c r="C338" s="74">
        <v>30</v>
      </c>
      <c r="D338" s="74">
        <v>23.8</v>
      </c>
      <c r="E338" s="114">
        <f t="shared" ca="1" si="29"/>
        <v>7.5223906342849173E-2</v>
      </c>
    </row>
    <row r="339" spans="3:5" s="74" customFormat="1" x14ac:dyDescent="0.2">
      <c r="C339" s="74">
        <v>30</v>
      </c>
      <c r="D339" s="74">
        <v>23.9</v>
      </c>
      <c r="E339" s="114">
        <f t="shared" ca="1" si="29"/>
        <v>7.5297995998588579E-2</v>
      </c>
    </row>
    <row r="340" spans="3:5" s="74" customFormat="1" x14ac:dyDescent="0.2">
      <c r="C340" s="74">
        <v>30</v>
      </c>
      <c r="D340" s="74">
        <v>24</v>
      </c>
      <c r="E340" s="114">
        <f t="shared" ca="1" si="29"/>
        <v>7.5372229269592583E-2</v>
      </c>
    </row>
    <row r="341" spans="3:5" s="74" customFormat="1" x14ac:dyDescent="0.2">
      <c r="C341" s="74">
        <v>30</v>
      </c>
      <c r="D341" s="74">
        <v>24.1</v>
      </c>
      <c r="E341" s="114">
        <f t="shared" ca="1" si="29"/>
        <v>7.5446603801512593E-2</v>
      </c>
    </row>
    <row r="342" spans="3:5" s="74" customFormat="1" x14ac:dyDescent="0.2">
      <c r="C342" s="74">
        <v>30</v>
      </c>
      <c r="D342" s="74">
        <v>24.2</v>
      </c>
      <c r="E342" s="114">
        <f t="shared" ca="1" si="29"/>
        <v>7.5521117240000005E-2</v>
      </c>
    </row>
    <row r="343" spans="3:5" s="74" customFormat="1" x14ac:dyDescent="0.2">
      <c r="C343" s="74">
        <v>30</v>
      </c>
      <c r="D343" s="74">
        <v>24.3</v>
      </c>
      <c r="E343" s="114">
        <f t="shared" ca="1" si="29"/>
        <v>7.5595767230706212E-2</v>
      </c>
    </row>
    <row r="344" spans="3:5" s="74" customFormat="1" x14ac:dyDescent="0.2">
      <c r="C344" s="74">
        <v>30</v>
      </c>
      <c r="D344" s="74">
        <v>24.4</v>
      </c>
      <c r="E344" s="114">
        <f t="shared" ca="1" si="29"/>
        <v>7.5670551419282625E-2</v>
      </c>
    </row>
    <row r="345" spans="3:5" s="74" customFormat="1" x14ac:dyDescent="0.2">
      <c r="C345" s="74">
        <v>30</v>
      </c>
      <c r="D345" s="74">
        <v>24.5</v>
      </c>
      <c r="E345" s="114">
        <f t="shared" ca="1" si="29"/>
        <v>7.5745467451380652E-2</v>
      </c>
    </row>
    <row r="346" spans="3:5" s="74" customFormat="1" x14ac:dyDescent="0.2">
      <c r="C346" s="74">
        <v>30</v>
      </c>
      <c r="D346" s="74">
        <v>24.6</v>
      </c>
      <c r="E346" s="114">
        <f t="shared" ca="1" si="29"/>
        <v>7.582051297265166E-2</v>
      </c>
    </row>
    <row r="347" spans="3:5" s="74" customFormat="1" x14ac:dyDescent="0.2">
      <c r="C347" s="74">
        <v>30</v>
      </c>
      <c r="D347" s="74">
        <v>24.7</v>
      </c>
      <c r="E347" s="114">
        <f t="shared" ca="1" si="29"/>
        <v>7.5895685628747073E-2</v>
      </c>
    </row>
    <row r="348" spans="3:5" s="74" customFormat="1" x14ac:dyDescent="0.2">
      <c r="C348" s="74">
        <v>30</v>
      </c>
      <c r="D348" s="74">
        <v>24.8</v>
      </c>
      <c r="E348" s="114">
        <f t="shared" ca="1" si="29"/>
        <v>7.5970983065318298E-2</v>
      </c>
    </row>
    <row r="349" spans="3:5" s="74" customFormat="1" x14ac:dyDescent="0.2">
      <c r="C349" s="74">
        <v>30</v>
      </c>
      <c r="D349" s="74">
        <v>24.9</v>
      </c>
      <c r="E349" s="114">
        <f t="shared" ca="1" si="29"/>
        <v>7.6046402928016718E-2</v>
      </c>
    </row>
    <row r="350" spans="3:5" s="74" customFormat="1" x14ac:dyDescent="0.2">
      <c r="C350" s="74">
        <v>30</v>
      </c>
      <c r="D350" s="74">
        <v>25</v>
      </c>
      <c r="E350" s="114">
        <f t="shared" ca="1" si="29"/>
        <v>7.6121942862493741E-2</v>
      </c>
    </row>
    <row r="351" spans="3:5" s="74" customFormat="1" x14ac:dyDescent="0.2">
      <c r="C351" s="74">
        <v>30</v>
      </c>
      <c r="D351" s="74">
        <v>25.1</v>
      </c>
      <c r="E351" s="114">
        <f t="shared" ca="1" si="29"/>
        <v>7.6197600514400762E-2</v>
      </c>
    </row>
    <row r="352" spans="3:5" s="74" customFormat="1" x14ac:dyDescent="0.2">
      <c r="C352" s="74">
        <v>30</v>
      </c>
      <c r="D352" s="74">
        <v>25.2</v>
      </c>
      <c r="E352" s="114">
        <f t="shared" ca="1" si="29"/>
        <v>7.6273373529389177E-2</v>
      </c>
    </row>
    <row r="353" spans="3:5" s="74" customFormat="1" x14ac:dyDescent="0.2">
      <c r="C353" s="74">
        <v>30</v>
      </c>
      <c r="D353" s="74">
        <v>25.3</v>
      </c>
      <c r="E353" s="114">
        <f t="shared" ca="1" si="29"/>
        <v>7.6349259553110407E-2</v>
      </c>
    </row>
    <row r="354" spans="3:5" s="74" customFormat="1" x14ac:dyDescent="0.2">
      <c r="C354" s="74">
        <v>30</v>
      </c>
      <c r="D354" s="74">
        <v>25.4</v>
      </c>
      <c r="E354" s="114">
        <f t="shared" ca="1" si="29"/>
        <v>7.6425256231215835E-2</v>
      </c>
    </row>
    <row r="355" spans="3:5" s="74" customFormat="1" x14ac:dyDescent="0.2">
      <c r="C355" s="74">
        <v>30</v>
      </c>
      <c r="D355" s="74">
        <v>25.5</v>
      </c>
      <c r="E355" s="114">
        <f t="shared" ca="1" si="29"/>
        <v>7.6501361209356855E-2</v>
      </c>
    </row>
    <row r="356" spans="3:5" s="74" customFormat="1" x14ac:dyDescent="0.2">
      <c r="C356" s="74">
        <v>30</v>
      </c>
      <c r="D356" s="74">
        <v>25.6</v>
      </c>
      <c r="E356" s="114">
        <f t="shared" ref="E356:E400" ca="1" si="30">INDIRECT("a_" &amp; i) * t^3 + INDIRECT("b_" &amp; i) * t^2 + INDIRECT("c_" &amp; i) * t^1 + INDIRECT("d_" &amp; i)</f>
        <v>7.657757213318489E-2</v>
      </c>
    </row>
    <row r="357" spans="3:5" s="74" customFormat="1" x14ac:dyDescent="0.2">
      <c r="C357" s="74">
        <v>30</v>
      </c>
      <c r="D357" s="74">
        <v>25.7</v>
      </c>
      <c r="E357" s="114">
        <f t="shared" ca="1" si="30"/>
        <v>7.6653886648351321E-2</v>
      </c>
    </row>
    <row r="358" spans="3:5" s="74" customFormat="1" x14ac:dyDescent="0.2">
      <c r="C358" s="74">
        <v>30</v>
      </c>
      <c r="D358" s="74">
        <v>25.8</v>
      </c>
      <c r="E358" s="114">
        <f t="shared" ca="1" si="30"/>
        <v>7.6730302400507544E-2</v>
      </c>
    </row>
    <row r="359" spans="3:5" s="74" customFormat="1" x14ac:dyDescent="0.2">
      <c r="C359" s="74">
        <v>30</v>
      </c>
      <c r="D359" s="74">
        <v>25.9</v>
      </c>
      <c r="E359" s="114">
        <f t="shared" ca="1" si="30"/>
        <v>7.6806817035304981E-2</v>
      </c>
    </row>
    <row r="360" spans="3:5" s="74" customFormat="1" x14ac:dyDescent="0.2">
      <c r="C360" s="74">
        <v>30</v>
      </c>
      <c r="D360" s="74">
        <v>26</v>
      </c>
      <c r="E360" s="114">
        <f t="shared" ca="1" si="30"/>
        <v>7.6883428198394999E-2</v>
      </c>
    </row>
    <row r="361" spans="3:5" s="74" customFormat="1" x14ac:dyDescent="0.2">
      <c r="C361" s="74">
        <v>30</v>
      </c>
      <c r="D361" s="74">
        <v>26.1</v>
      </c>
      <c r="E361" s="114">
        <f t="shared" ca="1" si="30"/>
        <v>7.6960133535429034E-2</v>
      </c>
    </row>
    <row r="362" spans="3:5" s="74" customFormat="1" x14ac:dyDescent="0.2">
      <c r="C362" s="74">
        <v>30</v>
      </c>
      <c r="D362" s="74">
        <v>26.2</v>
      </c>
      <c r="E362" s="114">
        <f t="shared" ca="1" si="30"/>
        <v>7.703693069205847E-2</v>
      </c>
    </row>
    <row r="363" spans="3:5" s="74" customFormat="1" x14ac:dyDescent="0.2">
      <c r="C363" s="74">
        <v>30</v>
      </c>
      <c r="D363" s="74">
        <v>26.3</v>
      </c>
      <c r="E363" s="114">
        <f t="shared" ca="1" si="30"/>
        <v>7.7113817313934713E-2</v>
      </c>
    </row>
    <row r="364" spans="3:5" s="74" customFormat="1" x14ac:dyDescent="0.2">
      <c r="C364" s="74">
        <v>30</v>
      </c>
      <c r="D364" s="74">
        <v>26.4</v>
      </c>
      <c r="E364" s="114">
        <f t="shared" ca="1" si="30"/>
        <v>7.7190791046709131E-2</v>
      </c>
    </row>
    <row r="365" spans="3:5" s="74" customFormat="1" x14ac:dyDescent="0.2">
      <c r="C365" s="74">
        <v>30</v>
      </c>
      <c r="D365" s="74">
        <v>26.5</v>
      </c>
      <c r="E365" s="114">
        <f t="shared" ca="1" si="30"/>
        <v>7.7267849536033176E-2</v>
      </c>
    </row>
    <row r="366" spans="3:5" s="74" customFormat="1" x14ac:dyDescent="0.2">
      <c r="C366" s="74">
        <v>30</v>
      </c>
      <c r="D366" s="74">
        <v>26.6</v>
      </c>
      <c r="E366" s="114">
        <f t="shared" ca="1" si="30"/>
        <v>7.7344990427558213E-2</v>
      </c>
    </row>
    <row r="367" spans="3:5" s="74" customFormat="1" x14ac:dyDescent="0.2">
      <c r="C367" s="74">
        <v>30</v>
      </c>
      <c r="D367" s="74">
        <v>26.7</v>
      </c>
      <c r="E367" s="114">
        <f t="shared" ca="1" si="30"/>
        <v>7.7422211366935639E-2</v>
      </c>
    </row>
    <row r="368" spans="3:5" s="74" customFormat="1" x14ac:dyDescent="0.2">
      <c r="C368" s="74">
        <v>30</v>
      </c>
      <c r="D368" s="74">
        <v>26.8</v>
      </c>
      <c r="E368" s="114">
        <f t="shared" ca="1" si="30"/>
        <v>7.749950999981689E-2</v>
      </c>
    </row>
    <row r="369" spans="3:5" s="74" customFormat="1" x14ac:dyDescent="0.2">
      <c r="C369" s="74">
        <v>30</v>
      </c>
      <c r="D369" s="74">
        <v>26.9</v>
      </c>
      <c r="E369" s="114">
        <f t="shared" ca="1" si="30"/>
        <v>7.7576883971853319E-2</v>
      </c>
    </row>
    <row r="370" spans="3:5" s="74" customFormat="1" x14ac:dyDescent="0.2">
      <c r="C370" s="74">
        <v>30</v>
      </c>
      <c r="D370" s="74">
        <v>27</v>
      </c>
      <c r="E370" s="114">
        <f t="shared" ca="1" si="30"/>
        <v>7.7654330928696363E-2</v>
      </c>
    </row>
    <row r="371" spans="3:5" s="74" customFormat="1" x14ac:dyDescent="0.2">
      <c r="C371" s="74">
        <v>30</v>
      </c>
      <c r="D371" s="74">
        <v>27.1</v>
      </c>
      <c r="E371" s="114">
        <f t="shared" ca="1" si="30"/>
        <v>7.7731848515997404E-2</v>
      </c>
    </row>
    <row r="372" spans="3:5" s="74" customFormat="1" x14ac:dyDescent="0.2">
      <c r="C372" s="74">
        <v>30</v>
      </c>
      <c r="D372" s="74">
        <v>27.2</v>
      </c>
      <c r="E372" s="114">
        <f t="shared" ca="1" si="30"/>
        <v>7.7809434379407835E-2</v>
      </c>
    </row>
    <row r="373" spans="3:5" s="74" customFormat="1" x14ac:dyDescent="0.2">
      <c r="C373" s="74">
        <v>30</v>
      </c>
      <c r="D373" s="74">
        <v>27.3</v>
      </c>
      <c r="E373" s="114">
        <f t="shared" ca="1" si="30"/>
        <v>7.7887086164579081E-2</v>
      </c>
    </row>
    <row r="374" spans="3:5" s="74" customFormat="1" x14ac:dyDescent="0.2">
      <c r="C374" s="74">
        <v>30</v>
      </c>
      <c r="D374" s="74">
        <v>27.4</v>
      </c>
      <c r="E374" s="114">
        <f t="shared" ca="1" si="30"/>
        <v>7.7964801517162521E-2</v>
      </c>
    </row>
    <row r="375" spans="3:5" s="74" customFormat="1" x14ac:dyDescent="0.2">
      <c r="C375" s="74">
        <v>30</v>
      </c>
      <c r="D375" s="74">
        <v>27.5</v>
      </c>
      <c r="E375" s="114">
        <f t="shared" ca="1" si="30"/>
        <v>7.8042578082809566E-2</v>
      </c>
    </row>
    <row r="376" spans="3:5" s="74" customFormat="1" x14ac:dyDescent="0.2">
      <c r="C376" s="74">
        <v>30</v>
      </c>
      <c r="D376" s="74">
        <v>27.6</v>
      </c>
      <c r="E376" s="114">
        <f t="shared" ca="1" si="30"/>
        <v>7.812041350717161E-2</v>
      </c>
    </row>
    <row r="377" spans="3:5" s="74" customFormat="1" x14ac:dyDescent="0.2">
      <c r="C377" s="74">
        <v>30</v>
      </c>
      <c r="D377" s="74">
        <v>27.7</v>
      </c>
      <c r="E377" s="114">
        <f t="shared" ca="1" si="30"/>
        <v>7.8198305435900048E-2</v>
      </c>
    </row>
    <row r="378" spans="3:5" s="74" customFormat="1" x14ac:dyDescent="0.2">
      <c r="C378" s="74">
        <v>30</v>
      </c>
      <c r="D378" s="74">
        <v>27.8</v>
      </c>
      <c r="E378" s="114">
        <f t="shared" ca="1" si="30"/>
        <v>7.8276251514646303E-2</v>
      </c>
    </row>
    <row r="379" spans="3:5" s="74" customFormat="1" x14ac:dyDescent="0.2">
      <c r="C379" s="74">
        <v>30</v>
      </c>
      <c r="D379" s="74">
        <v>27.9</v>
      </c>
      <c r="E379" s="114">
        <f t="shared" ca="1" si="30"/>
        <v>7.8354249389061742E-2</v>
      </c>
    </row>
    <row r="380" spans="3:5" s="74" customFormat="1" x14ac:dyDescent="0.2">
      <c r="C380" s="74">
        <v>30</v>
      </c>
      <c r="D380" s="74">
        <v>28</v>
      </c>
      <c r="E380" s="114">
        <f t="shared" ca="1" si="30"/>
        <v>7.8432296704797788E-2</v>
      </c>
    </row>
    <row r="381" spans="3:5" s="74" customFormat="1" x14ac:dyDescent="0.2">
      <c r="C381" s="74">
        <v>30</v>
      </c>
      <c r="D381" s="74">
        <v>28.1</v>
      </c>
      <c r="E381" s="114">
        <f t="shared" ca="1" si="30"/>
        <v>7.8510391107505836E-2</v>
      </c>
    </row>
    <row r="382" spans="3:5" s="74" customFormat="1" x14ac:dyDescent="0.2">
      <c r="C382" s="74">
        <v>30</v>
      </c>
      <c r="D382" s="74">
        <v>28.2</v>
      </c>
      <c r="E382" s="114">
        <f t="shared" ca="1" si="30"/>
        <v>7.8588530242837268E-2</v>
      </c>
    </row>
    <row r="383" spans="3:5" s="74" customFormat="1" x14ac:dyDescent="0.2">
      <c r="C383" s="74">
        <v>30</v>
      </c>
      <c r="D383" s="74">
        <v>28.3</v>
      </c>
      <c r="E383" s="114">
        <f t="shared" ca="1" si="30"/>
        <v>7.8666711756443519E-2</v>
      </c>
    </row>
    <row r="384" spans="3:5" s="74" customFormat="1" x14ac:dyDescent="0.2">
      <c r="C384" s="74">
        <v>30</v>
      </c>
      <c r="D384" s="74">
        <v>28.4</v>
      </c>
      <c r="E384" s="114">
        <f t="shared" ca="1" si="30"/>
        <v>7.8744933293975972E-2</v>
      </c>
    </row>
    <row r="385" spans="3:5" s="74" customFormat="1" x14ac:dyDescent="0.2">
      <c r="C385" s="74">
        <v>30</v>
      </c>
      <c r="D385" s="74">
        <v>28.5</v>
      </c>
      <c r="E385" s="114">
        <f t="shared" ca="1" si="30"/>
        <v>7.882319250108602E-2</v>
      </c>
    </row>
    <row r="386" spans="3:5" s="74" customFormat="1" x14ac:dyDescent="0.2">
      <c r="C386" s="74">
        <v>30</v>
      </c>
      <c r="D386" s="74">
        <v>28.6</v>
      </c>
      <c r="E386" s="114">
        <f t="shared" ca="1" si="30"/>
        <v>7.890148702342506E-2</v>
      </c>
    </row>
    <row r="387" spans="3:5" s="74" customFormat="1" x14ac:dyDescent="0.2">
      <c r="C387" s="74">
        <v>30</v>
      </c>
      <c r="D387" s="74">
        <v>28.7</v>
      </c>
      <c r="E387" s="114">
        <f t="shared" ca="1" si="30"/>
        <v>7.8979814506644513E-2</v>
      </c>
    </row>
    <row r="388" spans="3:5" s="74" customFormat="1" x14ac:dyDescent="0.2">
      <c r="C388" s="74">
        <v>30</v>
      </c>
      <c r="D388" s="74">
        <v>28.8</v>
      </c>
      <c r="E388" s="114">
        <f t="shared" ca="1" si="30"/>
        <v>7.9058172596395762E-2</v>
      </c>
    </row>
    <row r="389" spans="3:5" s="74" customFormat="1" x14ac:dyDescent="0.2">
      <c r="C389" s="74">
        <v>30</v>
      </c>
      <c r="D389" s="74">
        <v>28.9</v>
      </c>
      <c r="E389" s="114">
        <f t="shared" ca="1" si="30"/>
        <v>7.9136558938330215E-2</v>
      </c>
    </row>
    <row r="390" spans="3:5" s="74" customFormat="1" x14ac:dyDescent="0.2">
      <c r="C390" s="74">
        <v>30</v>
      </c>
      <c r="D390" s="74">
        <v>29</v>
      </c>
      <c r="E390" s="114">
        <f t="shared" ca="1" si="30"/>
        <v>7.9214971178099253E-2</v>
      </c>
    </row>
    <row r="391" spans="3:5" s="74" customFormat="1" x14ac:dyDescent="0.2">
      <c r="C391" s="74">
        <v>30</v>
      </c>
      <c r="D391" s="74">
        <v>29.1</v>
      </c>
      <c r="E391" s="114">
        <f t="shared" ca="1" si="30"/>
        <v>7.9293406961354312E-2</v>
      </c>
    </row>
    <row r="392" spans="3:5" s="74" customFormat="1" x14ac:dyDescent="0.2">
      <c r="C392" s="74">
        <v>30</v>
      </c>
      <c r="D392" s="74">
        <v>29.2</v>
      </c>
      <c r="E392" s="114">
        <f t="shared" ca="1" si="30"/>
        <v>7.9371863933746761E-2</v>
      </c>
    </row>
    <row r="393" spans="3:5" s="74" customFormat="1" x14ac:dyDescent="0.2">
      <c r="C393" s="74">
        <v>30</v>
      </c>
      <c r="D393" s="74">
        <v>29.3</v>
      </c>
      <c r="E393" s="114">
        <f t="shared" ca="1" si="30"/>
        <v>7.9450339740928008E-2</v>
      </c>
    </row>
    <row r="394" spans="3:5" s="74" customFormat="1" x14ac:dyDescent="0.2">
      <c r="C394" s="74">
        <v>30</v>
      </c>
      <c r="D394" s="74">
        <v>29.4</v>
      </c>
      <c r="E394" s="114">
        <f t="shared" ca="1" si="30"/>
        <v>7.9528832028549448E-2</v>
      </c>
    </row>
    <row r="395" spans="3:5" s="74" customFormat="1" x14ac:dyDescent="0.2">
      <c r="C395" s="74">
        <v>30</v>
      </c>
      <c r="D395" s="74">
        <v>29.5</v>
      </c>
      <c r="E395" s="114">
        <f t="shared" ca="1" si="30"/>
        <v>7.9607338442262504E-2</v>
      </c>
    </row>
    <row r="396" spans="3:5" s="74" customFormat="1" x14ac:dyDescent="0.2">
      <c r="C396" s="74">
        <v>30</v>
      </c>
      <c r="D396" s="74">
        <v>29.6</v>
      </c>
      <c r="E396" s="114">
        <f t="shared" ca="1" si="30"/>
        <v>7.9685856627718557E-2</v>
      </c>
    </row>
    <row r="397" spans="3:5" s="74" customFormat="1" x14ac:dyDescent="0.2">
      <c r="C397" s="74">
        <v>30</v>
      </c>
      <c r="D397" s="74">
        <v>29.7</v>
      </c>
      <c r="E397" s="114">
        <f t="shared" ca="1" si="30"/>
        <v>7.9764384230569002E-2</v>
      </c>
    </row>
    <row r="398" spans="3:5" s="74" customFormat="1" x14ac:dyDescent="0.2">
      <c r="C398" s="74">
        <v>30</v>
      </c>
      <c r="D398" s="74">
        <v>29.8</v>
      </c>
      <c r="E398" s="114">
        <f t="shared" ca="1" si="30"/>
        <v>7.9842918896465262E-2</v>
      </c>
    </row>
    <row r="399" spans="3:5" s="74" customFormat="1" x14ac:dyDescent="0.2">
      <c r="C399" s="74">
        <v>30</v>
      </c>
      <c r="D399" s="74">
        <v>29.9</v>
      </c>
      <c r="E399" s="114">
        <f t="shared" ca="1" si="30"/>
        <v>7.9921458271058704E-2</v>
      </c>
    </row>
    <row r="400" spans="3:5" s="74" customFormat="1" x14ac:dyDescent="0.2">
      <c r="C400" s="74">
        <v>30</v>
      </c>
      <c r="D400" s="74">
        <v>30</v>
      </c>
      <c r="E400" s="114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261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210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211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212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188</v>
      </c>
      <c r="C11" s="55" t="s">
        <v>189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213</v>
      </c>
      <c r="C27" s="83" t="s">
        <v>214</v>
      </c>
      <c r="D27" s="83" t="s">
        <v>196</v>
      </c>
      <c r="F27" s="116" t="s">
        <v>300</v>
      </c>
      <c r="G27" s="116" t="s">
        <v>301</v>
      </c>
      <c r="H27" s="116" t="s">
        <v>302</v>
      </c>
      <c r="I27" s="116" t="s">
        <v>303</v>
      </c>
      <c r="J27" s="116" t="s">
        <v>304</v>
      </c>
      <c r="K27" s="116" t="s">
        <v>305</v>
      </c>
      <c r="L27" s="116" t="s">
        <v>306</v>
      </c>
      <c r="M27" s="116" t="s">
        <v>307</v>
      </c>
      <c r="N27" s="116" t="s">
        <v>308</v>
      </c>
      <c r="O27" s="116" t="s">
        <v>309</v>
      </c>
      <c r="P27" s="116" t="s">
        <v>310</v>
      </c>
      <c r="Q27" s="116" t="s">
        <v>311</v>
      </c>
      <c r="R27" s="93" t="s">
        <v>312</v>
      </c>
      <c r="S27" s="93" t="s">
        <v>313</v>
      </c>
      <c r="T27" s="93" t="s">
        <v>314</v>
      </c>
      <c r="U27" s="93" t="s">
        <v>315</v>
      </c>
      <c r="V27" s="93" t="s">
        <v>316</v>
      </c>
      <c r="W27" s="93" t="s">
        <v>317</v>
      </c>
      <c r="X27" s="93" t="s">
        <v>318</v>
      </c>
      <c r="Y27" s="93" t="s">
        <v>319</v>
      </c>
      <c r="Z27" s="93" t="s">
        <v>320</v>
      </c>
      <c r="AA27" s="93" t="s">
        <v>321</v>
      </c>
      <c r="AB27" s="93" t="s">
        <v>322</v>
      </c>
      <c r="AC27" s="93" t="s">
        <v>323</v>
      </c>
      <c r="AD27" s="93" t="s">
        <v>324</v>
      </c>
      <c r="AE27" s="93" t="s">
        <v>325</v>
      </c>
      <c r="AF27" s="93" t="s">
        <v>326</v>
      </c>
      <c r="AG27" s="93" t="s">
        <v>327</v>
      </c>
      <c r="AH27" s="93" t="s">
        <v>296</v>
      </c>
      <c r="AI27" s="93" t="s">
        <v>297</v>
      </c>
      <c r="AJ27" s="93" t="s">
        <v>328</v>
      </c>
      <c r="AK27" s="93" t="s">
        <v>329</v>
      </c>
      <c r="AL27" s="93"/>
      <c r="AM27" s="93"/>
      <c r="AN27" s="83" t="s">
        <v>295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v>9.6395439749487923E-3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9.639543974948794E-3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9.639543974948794E-3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-5.8829694944846243E-7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1.4662962988413091E-3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3.4207889110325772E-3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4.3978701902765427E-3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4.8863695128720059E-3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-1.7292330749307625E-5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3.2034503132570909E-3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7.0131351611933549E-3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8.4369247906656685E-3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1.4423752219087113E-4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7.1197248347874668E-4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7.0669333881322235E-3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9.1035769107491293E-3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-8.0804278818218602E-5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7.7229660634714513E-4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7.7473991537732757E-3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9.4310527790700035E-3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-2.2903587693738856E-5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1.0495849504607615E-4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8.0218015822318585E-3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9.5163965662009836E-3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1.3465393692506859E-6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1.9858140555737929E-5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6.4625275952075291E-3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1.0060606144683308E-2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296</v>
      </c>
      <c r="AN56" s="98">
        <v>-1.9116253652858064E-5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297</v>
      </c>
      <c r="AN57" s="98">
        <v>5.6702039956590424E-4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2.5204782849777359E-3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1.0186858119883926E-2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2:43" x14ac:dyDescent="0.2">
      <c r="AO97" s="74"/>
      <c r="AP97" s="74"/>
      <c r="AQ97" s="74"/>
    </row>
    <row r="98" spans="2:43" x14ac:dyDescent="0.2">
      <c r="AO98" s="74"/>
      <c r="AP98" s="74"/>
      <c r="AQ98" s="74"/>
    </row>
    <row r="99" spans="2:43" s="55" customFormat="1" x14ac:dyDescent="0.2">
      <c r="B99" s="55" t="s">
        <v>330</v>
      </c>
      <c r="C99" s="55" t="s">
        <v>262</v>
      </c>
      <c r="D99" s="55" t="s">
        <v>298</v>
      </c>
      <c r="E99" s="55" t="s">
        <v>299</v>
      </c>
      <c r="AO99" s="74"/>
      <c r="AP99" s="74"/>
      <c r="AQ99" s="74"/>
    </row>
    <row r="100" spans="2:43" x14ac:dyDescent="0.2">
      <c r="C100" s="74">
        <v>1</v>
      </c>
      <c r="D100" s="74">
        <v>0</v>
      </c>
      <c r="E100" s="114">
        <f t="shared" ref="E100:E163" ca="1" si="26">INDIRECT("a_" &amp; i) * t^3 + INDIRECT("b_" &amp; i) * t^2 + INDIRECT("c_" &amp; i) * t^1 + INDIRECT("d_" &amp; i)</f>
        <v>-5.8829694944846243E-7</v>
      </c>
      <c r="F100" s="117">
        <v>0</v>
      </c>
      <c r="G100" s="117">
        <f ca="1">F100-E100</f>
        <v>5.8829694944846243E-7</v>
      </c>
      <c r="K100" s="74" t="s">
        <v>331</v>
      </c>
      <c r="L100" s="118"/>
      <c r="M100" s="74" t="s">
        <v>331</v>
      </c>
      <c r="O100" s="74" t="s">
        <v>331</v>
      </c>
      <c r="Q100" s="119"/>
      <c r="AO100" s="74"/>
      <c r="AP100" s="74"/>
      <c r="AQ100" s="74"/>
    </row>
    <row r="101" spans="2:43" x14ac:dyDescent="0.2">
      <c r="C101" s="74">
        <v>1</v>
      </c>
      <c r="D101" s="74">
        <v>0.1</v>
      </c>
      <c r="E101" s="114">
        <f t="shared" ca="1" si="26"/>
        <v>1.0694010842698678E-3</v>
      </c>
      <c r="F101" s="117" t="s">
        <v>332</v>
      </c>
      <c r="K101" s="74">
        <f ca="1">SUMSQ(G100,G110,G120,G130,G140,G150,G170,G200,G400)</f>
        <v>2.542865222957926E-4</v>
      </c>
      <c r="M101" s="74">
        <f ca="1">SUMSQ(I110,I120,I130,I140,I150,I170,I200)</f>
        <v>7.6599569541489115E-4</v>
      </c>
      <c r="O101" s="74">
        <f ca="1">K101+M101</f>
        <v>1.0202822177106836E-3</v>
      </c>
      <c r="AO101" s="74"/>
      <c r="AP101" s="74"/>
      <c r="AQ101" s="74"/>
    </row>
    <row r="102" spans="2:43" x14ac:dyDescent="0.2">
      <c r="C102" s="74">
        <v>1</v>
      </c>
      <c r="D102" s="74">
        <v>0.2</v>
      </c>
      <c r="E102" s="114">
        <f t="shared" ca="1" si="26"/>
        <v>2.3900186088378528E-3</v>
      </c>
      <c r="F102" s="117" t="s">
        <v>332</v>
      </c>
      <c r="AO102" s="74"/>
      <c r="AP102" s="74"/>
      <c r="AQ102" s="74"/>
    </row>
    <row r="103" spans="2:43" x14ac:dyDescent="0.2">
      <c r="C103" s="74">
        <v>1</v>
      </c>
      <c r="D103" s="74">
        <v>0.3</v>
      </c>
      <c r="E103" s="114">
        <f t="shared" ca="1" si="26"/>
        <v>4.0191015406041983E-3</v>
      </c>
      <c r="F103" s="117" t="s">
        <v>332</v>
      </c>
      <c r="AO103" s="74"/>
      <c r="AP103" s="74"/>
      <c r="AQ103" s="74"/>
    </row>
    <row r="104" spans="2:43" x14ac:dyDescent="0.2">
      <c r="C104" s="74">
        <v>1</v>
      </c>
      <c r="D104" s="74">
        <v>0.4</v>
      </c>
      <c r="E104" s="114">
        <f t="shared" ca="1" si="26"/>
        <v>6.0144871434185988E-3</v>
      </c>
      <c r="F104" s="117" t="s">
        <v>332</v>
      </c>
      <c r="AO104" s="74"/>
      <c r="AP104" s="74"/>
      <c r="AQ104" s="74"/>
    </row>
    <row r="105" spans="2:43" x14ac:dyDescent="0.2">
      <c r="C105" s="74">
        <v>1</v>
      </c>
      <c r="D105" s="74">
        <v>0.5</v>
      </c>
      <c r="E105" s="114">
        <f t="shared" ca="1" si="26"/>
        <v>8.434012681130745E-3</v>
      </c>
      <c r="F105" s="117" t="s">
        <v>332</v>
      </c>
      <c r="AO105" s="74"/>
      <c r="AP105" s="74"/>
      <c r="AQ105" s="74"/>
    </row>
    <row r="106" spans="2:43" x14ac:dyDescent="0.2">
      <c r="C106" s="74">
        <v>1</v>
      </c>
      <c r="D106" s="74">
        <v>0.6</v>
      </c>
      <c r="E106" s="114">
        <f t="shared" ca="1" si="26"/>
        <v>1.1335515417590333E-2</v>
      </c>
      <c r="F106" s="117" t="s">
        <v>332</v>
      </c>
      <c r="AO106" s="74"/>
      <c r="AP106" s="74"/>
      <c r="AQ106" s="74"/>
    </row>
    <row r="107" spans="2:43" x14ac:dyDescent="0.2">
      <c r="C107" s="74">
        <v>1</v>
      </c>
      <c r="D107" s="74">
        <v>0.7</v>
      </c>
      <c r="E107" s="114">
        <f t="shared" ca="1" si="26"/>
        <v>1.4776832616647051E-2</v>
      </c>
      <c r="F107" s="117" t="s">
        <v>332</v>
      </c>
      <c r="AO107" s="74"/>
      <c r="AP107" s="74"/>
      <c r="AQ107" s="74"/>
    </row>
    <row r="108" spans="2:43" x14ac:dyDescent="0.2">
      <c r="C108" s="74">
        <v>1</v>
      </c>
      <c r="D108" s="74">
        <v>0.8</v>
      </c>
      <c r="E108" s="114">
        <f t="shared" ca="1" si="26"/>
        <v>1.8815801542150602E-2</v>
      </c>
      <c r="F108" s="117" t="s">
        <v>332</v>
      </c>
      <c r="AO108" s="74"/>
      <c r="AP108" s="74"/>
      <c r="AQ108" s="74"/>
    </row>
    <row r="109" spans="2:43" x14ac:dyDescent="0.2">
      <c r="C109" s="74">
        <v>1</v>
      </c>
      <c r="D109" s="74">
        <v>0.9</v>
      </c>
      <c r="E109" s="114">
        <f t="shared" ca="1" si="26"/>
        <v>2.3510259457950662E-2</v>
      </c>
      <c r="F109" s="117" t="s">
        <v>332</v>
      </c>
      <c r="AO109" s="74"/>
      <c r="AP109" s="74"/>
      <c r="AQ109" s="74"/>
    </row>
    <row r="110" spans="2:43" x14ac:dyDescent="0.2">
      <c r="B110" s="74">
        <v>1</v>
      </c>
      <c r="C110" s="74">
        <v>2</v>
      </c>
      <c r="D110" s="74">
        <v>1</v>
      </c>
      <c r="E110" s="114">
        <f t="shared" ca="1" si="26"/>
        <v>1.4171324913022434E-2</v>
      </c>
      <c r="F110" s="117">
        <v>0.02</v>
      </c>
      <c r="G110" s="117">
        <f ca="1">F110-E110</f>
        <v>5.828675086977566E-3</v>
      </c>
      <c r="H110" s="117">
        <f ca="1">INDIRECT("a_" &amp; i_1) * t^3 + INDIRECT("b_" &amp; i_1) * t^2 + INDIRECT("c_" &amp; i_1) * t^1 + INDIRECT("d_" &amp; i_1)</f>
        <v>2.8918043627896933E-2</v>
      </c>
      <c r="I110" s="117">
        <f ca="1">H110-E110</f>
        <v>1.4746718714874499E-2</v>
      </c>
      <c r="K110" s="119"/>
      <c r="Q110" s="119"/>
      <c r="AO110" s="74"/>
      <c r="AP110" s="74"/>
      <c r="AQ110" s="74"/>
    </row>
    <row r="111" spans="2:43" x14ac:dyDescent="0.2">
      <c r="C111" s="74">
        <v>2</v>
      </c>
      <c r="D111" s="74">
        <v>1.1000000000000001</v>
      </c>
      <c r="E111" s="114">
        <f t="shared" ca="1" si="26"/>
        <v>1.5814821678283405E-2</v>
      </c>
      <c r="F111" s="117" t="s">
        <v>332</v>
      </c>
      <c r="AO111" s="74"/>
      <c r="AP111" s="74"/>
      <c r="AQ111" s="74"/>
    </row>
    <row r="112" spans="2:43" x14ac:dyDescent="0.2">
      <c r="C112" s="74">
        <v>2</v>
      </c>
      <c r="D112" s="74">
        <v>1.2</v>
      </c>
      <c r="E112" s="114">
        <f t="shared" ca="1" si="26"/>
        <v>1.7623509777488552E-2</v>
      </c>
      <c r="F112" s="117" t="s">
        <v>332</v>
      </c>
      <c r="AO112" s="74"/>
      <c r="AP112" s="74"/>
      <c r="AQ112" s="74"/>
    </row>
    <row r="113" spans="2:17" s="74" customFormat="1" x14ac:dyDescent="0.2">
      <c r="C113" s="74">
        <v>2</v>
      </c>
      <c r="D113" s="74">
        <v>1.3</v>
      </c>
      <c r="E113" s="114">
        <f t="shared" ca="1" si="26"/>
        <v>1.9606186988430925E-2</v>
      </c>
      <c r="F113" s="117" t="s">
        <v>332</v>
      </c>
    </row>
    <row r="114" spans="2:17" s="74" customFormat="1" x14ac:dyDescent="0.2">
      <c r="C114" s="74">
        <v>2</v>
      </c>
      <c r="D114" s="74">
        <v>1.4</v>
      </c>
      <c r="E114" s="114">
        <f t="shared" ca="1" si="26"/>
        <v>2.1771651088903568E-2</v>
      </c>
      <c r="F114" s="117" t="s">
        <v>332</v>
      </c>
    </row>
    <row r="115" spans="2:17" s="74" customFormat="1" x14ac:dyDescent="0.2">
      <c r="C115" s="74">
        <v>2</v>
      </c>
      <c r="D115" s="74">
        <v>1.5</v>
      </c>
      <c r="E115" s="114">
        <f t="shared" ca="1" si="26"/>
        <v>2.4128699856699538E-2</v>
      </c>
      <c r="F115" s="117" t="s">
        <v>332</v>
      </c>
    </row>
    <row r="116" spans="2:17" s="74" customFormat="1" x14ac:dyDescent="0.2">
      <c r="C116" s="74">
        <v>2</v>
      </c>
      <c r="D116" s="74">
        <v>1.6</v>
      </c>
      <c r="E116" s="114">
        <f t="shared" ca="1" si="26"/>
        <v>2.6686131069611881E-2</v>
      </c>
      <c r="F116" s="117" t="s">
        <v>332</v>
      </c>
    </row>
    <row r="117" spans="2:17" s="74" customFormat="1" x14ac:dyDescent="0.2">
      <c r="C117" s="74">
        <v>2</v>
      </c>
      <c r="D117" s="74">
        <v>1.7</v>
      </c>
      <c r="E117" s="114">
        <f t="shared" ca="1" si="26"/>
        <v>2.9452742505433626E-2</v>
      </c>
      <c r="F117" s="117" t="s">
        <v>332</v>
      </c>
    </row>
    <row r="118" spans="2:17" s="74" customFormat="1" x14ac:dyDescent="0.2">
      <c r="C118" s="74">
        <v>2</v>
      </c>
      <c r="D118" s="74">
        <v>1.8</v>
      </c>
      <c r="E118" s="114">
        <f t="shared" ca="1" si="26"/>
        <v>3.2437331941957845E-2</v>
      </c>
      <c r="F118" s="117" t="s">
        <v>332</v>
      </c>
    </row>
    <row r="119" spans="2:17" s="74" customFormat="1" x14ac:dyDescent="0.2">
      <c r="C119" s="74">
        <v>2</v>
      </c>
      <c r="D119" s="74">
        <v>1.9</v>
      </c>
      <c r="E119" s="114">
        <f t="shared" ca="1" si="26"/>
        <v>3.5648697156977577E-2</v>
      </c>
      <c r="F119" s="117" t="s">
        <v>332</v>
      </c>
    </row>
    <row r="120" spans="2:17" s="74" customFormat="1" x14ac:dyDescent="0.2">
      <c r="B120" s="74">
        <v>2</v>
      </c>
      <c r="C120" s="74">
        <v>3</v>
      </c>
      <c r="D120" s="74">
        <v>2</v>
      </c>
      <c r="E120" s="114">
        <f t="shared" ca="1" si="26"/>
        <v>3.5138657720086279E-2</v>
      </c>
      <c r="F120" s="117">
        <v>3.7869296080000003E-2</v>
      </c>
      <c r="G120" s="117">
        <f ca="1">F120-E120</f>
        <v>2.7306383599137243E-3</v>
      </c>
      <c r="H120" s="117">
        <f ca="1">INDIRECT("a_" &amp; i_1) * t^3 + INDIRECT("b_" &amp; i_1) * t^2 + INDIRECT("c_" &amp; i_1) * t^1 + INDIRECT("d_" &amp; i_1)</f>
        <v>3.9095635928285868E-2</v>
      </c>
      <c r="I120" s="117">
        <f ca="1">H120-E120</f>
        <v>3.9569782081995894E-3</v>
      </c>
      <c r="K120" s="119"/>
      <c r="Q120" s="119"/>
    </row>
    <row r="121" spans="2:17" s="74" customFormat="1" x14ac:dyDescent="0.2">
      <c r="C121" s="74">
        <v>3</v>
      </c>
      <c r="D121" s="74">
        <v>2.1</v>
      </c>
      <c r="E121" s="114">
        <f t="shared" ca="1" si="26"/>
        <v>3.7131580235566147E-2</v>
      </c>
      <c r="F121" s="117" t="s">
        <v>332</v>
      </c>
    </row>
    <row r="122" spans="2:17" s="74" customFormat="1" x14ac:dyDescent="0.2">
      <c r="C122" s="74">
        <v>3</v>
      </c>
      <c r="D122" s="74">
        <v>2.2000000000000002</v>
      </c>
      <c r="E122" s="114">
        <f t="shared" ca="1" si="26"/>
        <v>3.9186392923636744E-2</v>
      </c>
      <c r="F122" s="117" t="s">
        <v>332</v>
      </c>
    </row>
    <row r="123" spans="2:17" s="74" customFormat="1" x14ac:dyDescent="0.2">
      <c r="C123" s="74">
        <v>3</v>
      </c>
      <c r="D123" s="74">
        <v>2.2999999999999998</v>
      </c>
      <c r="E123" s="114">
        <f t="shared" ca="1" si="26"/>
        <v>4.1302992030313568E-2</v>
      </c>
      <c r="F123" s="117" t="s">
        <v>332</v>
      </c>
    </row>
    <row r="124" spans="2:17" s="74" customFormat="1" x14ac:dyDescent="0.2">
      <c r="C124" s="74">
        <v>3</v>
      </c>
      <c r="D124" s="74">
        <v>2.4</v>
      </c>
      <c r="E124" s="114">
        <f t="shared" ca="1" si="26"/>
        <v>4.3481273801612139E-2</v>
      </c>
      <c r="F124" s="117" t="s">
        <v>332</v>
      </c>
    </row>
    <row r="125" spans="2:17" s="74" customFormat="1" x14ac:dyDescent="0.2">
      <c r="C125" s="74">
        <v>3</v>
      </c>
      <c r="D125" s="74">
        <v>2.5</v>
      </c>
      <c r="E125" s="114">
        <f t="shared" ca="1" si="26"/>
        <v>4.5721134483547948E-2</v>
      </c>
      <c r="F125" s="117" t="s">
        <v>332</v>
      </c>
    </row>
    <row r="126" spans="2:17" s="74" customFormat="1" x14ac:dyDescent="0.2">
      <c r="C126" s="74">
        <v>3</v>
      </c>
      <c r="D126" s="74">
        <v>2.6</v>
      </c>
      <c r="E126" s="114">
        <f t="shared" ca="1" si="26"/>
        <v>4.8022470322136496E-2</v>
      </c>
      <c r="F126" s="117" t="s">
        <v>332</v>
      </c>
    </row>
    <row r="127" spans="2:17" s="74" customFormat="1" x14ac:dyDescent="0.2">
      <c r="C127" s="74">
        <v>3</v>
      </c>
      <c r="D127" s="74">
        <v>2.7</v>
      </c>
      <c r="E127" s="114">
        <f t="shared" ca="1" si="26"/>
        <v>5.0385177563393307E-2</v>
      </c>
      <c r="F127" s="117" t="s">
        <v>332</v>
      </c>
    </row>
    <row r="128" spans="2:17" s="74" customFormat="1" x14ac:dyDescent="0.2">
      <c r="C128" s="74">
        <v>3</v>
      </c>
      <c r="D128" s="74">
        <v>2.8</v>
      </c>
      <c r="E128" s="114">
        <f t="shared" ca="1" si="26"/>
        <v>5.2809152453333848E-2</v>
      </c>
      <c r="F128" s="117" t="s">
        <v>332</v>
      </c>
    </row>
    <row r="129" spans="2:17" s="74" customFormat="1" x14ac:dyDescent="0.2">
      <c r="C129" s="74">
        <v>3</v>
      </c>
      <c r="D129" s="74">
        <v>2.9</v>
      </c>
      <c r="E129" s="114">
        <f t="shared" ca="1" si="26"/>
        <v>5.5294291237973664E-2</v>
      </c>
      <c r="F129" s="117" t="s">
        <v>332</v>
      </c>
    </row>
    <row r="130" spans="2:17" s="74" customFormat="1" x14ac:dyDescent="0.2">
      <c r="B130" s="74">
        <v>3</v>
      </c>
      <c r="C130" s="74">
        <v>4</v>
      </c>
      <c r="D130" s="74">
        <v>3</v>
      </c>
      <c r="E130" s="114">
        <f t="shared" ca="1" si="26"/>
        <v>4.0606542525608039E-2</v>
      </c>
      <c r="F130" s="117">
        <v>4.4685005659999999E-2</v>
      </c>
      <c r="G130" s="117">
        <f ca="1">F130-E130</f>
        <v>4.0784631343919603E-3</v>
      </c>
      <c r="H130" s="117">
        <f ca="1">INDIRECT("a_" &amp; i_1) * t^3 + INDIRECT("b_" &amp; i_1) * t^2 + INDIRECT("c_" &amp; i_1) * t^1 + INDIRECT("d_" &amp; i_1)</f>
        <v>5.7840490163328248E-2</v>
      </c>
      <c r="I130" s="117">
        <f ca="1">H130-E130</f>
        <v>1.7233947637720209E-2</v>
      </c>
      <c r="K130" s="119"/>
      <c r="Q130" s="119"/>
    </row>
    <row r="131" spans="2:17" s="74" customFormat="1" x14ac:dyDescent="0.2">
      <c r="C131" s="74">
        <v>4</v>
      </c>
      <c r="D131" s="74">
        <v>3.1</v>
      </c>
      <c r="E131" s="114">
        <f t="shared" ca="1" si="26"/>
        <v>4.2150106003778026E-2</v>
      </c>
      <c r="F131" s="117" t="s">
        <v>332</v>
      </c>
    </row>
    <row r="132" spans="2:17" s="74" customFormat="1" x14ac:dyDescent="0.2">
      <c r="C132" s="74">
        <v>4</v>
      </c>
      <c r="D132" s="74">
        <v>3.2</v>
      </c>
      <c r="E132" s="114">
        <f t="shared" ca="1" si="26"/>
        <v>4.3734737110745082E-2</v>
      </c>
      <c r="F132" s="117" t="s">
        <v>332</v>
      </c>
    </row>
    <row r="133" spans="2:17" s="74" customFormat="1" x14ac:dyDescent="0.2">
      <c r="C133" s="74">
        <v>4</v>
      </c>
      <c r="D133" s="74">
        <v>3.3</v>
      </c>
      <c r="E133" s="114">
        <f t="shared" ca="1" si="26"/>
        <v>4.5361301271642354E-2</v>
      </c>
      <c r="F133" s="117" t="s">
        <v>332</v>
      </c>
    </row>
    <row r="134" spans="2:17" s="74" customFormat="1" x14ac:dyDescent="0.2">
      <c r="C134" s="74">
        <v>4</v>
      </c>
      <c r="D134" s="74">
        <v>3.4</v>
      </c>
      <c r="E134" s="114">
        <f t="shared" ca="1" si="26"/>
        <v>4.7030663911603002E-2</v>
      </c>
      <c r="F134" s="117" t="s">
        <v>332</v>
      </c>
    </row>
    <row r="135" spans="2:17" s="74" customFormat="1" x14ac:dyDescent="0.2">
      <c r="C135" s="74">
        <v>4</v>
      </c>
      <c r="D135" s="74">
        <v>3.5</v>
      </c>
      <c r="E135" s="114">
        <f t="shared" ca="1" si="26"/>
        <v>4.8743690455760158E-2</v>
      </c>
      <c r="F135" s="117" t="s">
        <v>332</v>
      </c>
    </row>
    <row r="136" spans="2:17" s="74" customFormat="1" x14ac:dyDescent="0.2">
      <c r="C136" s="74">
        <v>4</v>
      </c>
      <c r="D136" s="74">
        <v>3.6</v>
      </c>
      <c r="E136" s="114">
        <f t="shared" ca="1" si="26"/>
        <v>5.0501246329246977E-2</v>
      </c>
      <c r="F136" s="117" t="s">
        <v>332</v>
      </c>
    </row>
    <row r="137" spans="2:17" s="74" customFormat="1" x14ac:dyDescent="0.2">
      <c r="C137" s="74">
        <v>4</v>
      </c>
      <c r="D137" s="74">
        <v>3.7</v>
      </c>
      <c r="E137" s="114">
        <f t="shared" ca="1" si="26"/>
        <v>5.2304196957196597E-2</v>
      </c>
      <c r="F137" s="117" t="s">
        <v>332</v>
      </c>
    </row>
    <row r="138" spans="2:17" s="74" customFormat="1" x14ac:dyDescent="0.2">
      <c r="C138" s="74">
        <v>4</v>
      </c>
      <c r="D138" s="74">
        <v>3.8</v>
      </c>
      <c r="E138" s="114">
        <f t="shared" ca="1" si="26"/>
        <v>5.4153407764742159E-2</v>
      </c>
      <c r="F138" s="117" t="s">
        <v>332</v>
      </c>
    </row>
    <row r="139" spans="2:17" s="74" customFormat="1" x14ac:dyDescent="0.2">
      <c r="C139" s="74">
        <v>4</v>
      </c>
      <c r="D139" s="74">
        <v>3.9</v>
      </c>
      <c r="E139" s="114">
        <f t="shared" ca="1" si="26"/>
        <v>5.6049744177016823E-2</v>
      </c>
      <c r="F139" s="117" t="s">
        <v>332</v>
      </c>
    </row>
    <row r="140" spans="2:17" s="74" customFormat="1" x14ac:dyDescent="0.2">
      <c r="B140" s="74">
        <v>4</v>
      </c>
      <c r="C140" s="74">
        <v>5</v>
      </c>
      <c r="D140" s="74">
        <v>4</v>
      </c>
      <c r="E140" s="114">
        <f t="shared" ca="1" si="26"/>
        <v>4.7605921251351442E-2</v>
      </c>
      <c r="F140" s="117">
        <v>5.1500715240000002E-2</v>
      </c>
      <c r="G140" s="117">
        <f ca="1">F140-E140</f>
        <v>3.8947939886485594E-3</v>
      </c>
      <c r="H140" s="117">
        <f ca="1">INDIRECT("a_" &amp; i_1) * t^3 + INDIRECT("b_" &amp; i_1) * t^2 + INDIRECT("c_" &amp; i_1) * t^1 + INDIRECT("d_" &amp; i_1)</f>
        <v>5.7994071619153723E-2</v>
      </c>
      <c r="I140" s="117">
        <f ca="1">H140-E140</f>
        <v>1.038815036780228E-2</v>
      </c>
      <c r="K140" s="119"/>
      <c r="Q140" s="119"/>
    </row>
    <row r="141" spans="2:17" s="74" customFormat="1" x14ac:dyDescent="0.2">
      <c r="C141" s="74">
        <v>5</v>
      </c>
      <c r="D141" s="74">
        <v>4.0999999999999996</v>
      </c>
      <c r="E141" s="114">
        <f t="shared" ca="1" si="26"/>
        <v>4.8608583561805502E-2</v>
      </c>
      <c r="F141" s="117" t="s">
        <v>332</v>
      </c>
    </row>
    <row r="142" spans="2:17" s="74" customFormat="1" x14ac:dyDescent="0.2">
      <c r="C142" s="74">
        <v>5</v>
      </c>
      <c r="D142" s="74">
        <v>4.2</v>
      </c>
      <c r="E142" s="114">
        <f t="shared" ca="1" si="26"/>
        <v>4.9606813951797224E-2</v>
      </c>
      <c r="F142" s="117" t="s">
        <v>332</v>
      </c>
    </row>
    <row r="143" spans="2:17" s="74" customFormat="1" x14ac:dyDescent="0.2">
      <c r="C143" s="74">
        <v>5</v>
      </c>
      <c r="D143" s="74">
        <v>4.3</v>
      </c>
      <c r="E143" s="114">
        <f t="shared" ca="1" si="26"/>
        <v>5.0600127595653695E-2</v>
      </c>
      <c r="F143" s="117" t="s">
        <v>332</v>
      </c>
    </row>
    <row r="144" spans="2:17" s="74" customFormat="1" x14ac:dyDescent="0.2">
      <c r="C144" s="74">
        <v>5</v>
      </c>
      <c r="D144" s="74">
        <v>4.4000000000000004</v>
      </c>
      <c r="E144" s="114">
        <f t="shared" ca="1" si="26"/>
        <v>5.1588039667702014E-2</v>
      </c>
      <c r="F144" s="117" t="s">
        <v>332</v>
      </c>
    </row>
    <row r="145" spans="2:17" s="74" customFormat="1" x14ac:dyDescent="0.2">
      <c r="C145" s="74">
        <v>5</v>
      </c>
      <c r="D145" s="74">
        <v>4.5</v>
      </c>
      <c r="E145" s="114">
        <f t="shared" ca="1" si="26"/>
        <v>5.2570065342269261E-2</v>
      </c>
      <c r="F145" s="117" t="s">
        <v>332</v>
      </c>
    </row>
    <row r="146" spans="2:17" s="74" customFormat="1" x14ac:dyDescent="0.2">
      <c r="C146" s="74">
        <v>5</v>
      </c>
      <c r="D146" s="74">
        <v>4.5999999999999996</v>
      </c>
      <c r="E146" s="114">
        <f t="shared" ca="1" si="26"/>
        <v>5.3545719793682535E-2</v>
      </c>
      <c r="F146" s="117" t="s">
        <v>332</v>
      </c>
    </row>
    <row r="147" spans="2:17" s="74" customFormat="1" x14ac:dyDescent="0.2">
      <c r="C147" s="74">
        <v>5</v>
      </c>
      <c r="D147" s="74">
        <v>4.7</v>
      </c>
      <c r="E147" s="114">
        <f t="shared" ca="1" si="26"/>
        <v>5.451451819626893E-2</v>
      </c>
      <c r="F147" s="117" t="s">
        <v>332</v>
      </c>
    </row>
    <row r="148" spans="2:17" s="74" customFormat="1" x14ac:dyDescent="0.2">
      <c r="C148" s="74">
        <v>5</v>
      </c>
      <c r="D148" s="74">
        <v>4.8</v>
      </c>
      <c r="E148" s="114">
        <f t="shared" ca="1" si="26"/>
        <v>5.5475975724355524E-2</v>
      </c>
      <c r="F148" s="117" t="s">
        <v>332</v>
      </c>
    </row>
    <row r="149" spans="2:17" s="74" customFormat="1" x14ac:dyDescent="0.2">
      <c r="C149" s="74">
        <v>5</v>
      </c>
      <c r="D149" s="74">
        <v>4.9000000000000004</v>
      </c>
      <c r="E149" s="114">
        <f t="shared" ca="1" si="26"/>
        <v>5.642960755226941E-2</v>
      </c>
      <c r="F149" s="117" t="s">
        <v>332</v>
      </c>
    </row>
    <row r="150" spans="2:17" s="74" customFormat="1" x14ac:dyDescent="0.2">
      <c r="B150" s="74">
        <v>5</v>
      </c>
      <c r="C150" s="74">
        <v>7</v>
      </c>
      <c r="D150" s="74">
        <v>5</v>
      </c>
      <c r="E150" s="114">
        <f t="shared" ca="1" si="26"/>
        <v>4.938641839179482E-2</v>
      </c>
      <c r="F150" s="117">
        <v>5.8316424819999997E-2</v>
      </c>
      <c r="G150" s="117">
        <f ca="1">F150-E150</f>
        <v>8.9300064282051769E-3</v>
      </c>
      <c r="H150" s="117">
        <f ca="1">INDIRECT("a_" &amp; i_1) * t^3 + INDIRECT("b_" &amp; i_1) * t^2 + INDIRECT("c_" &amp; i_1) * t^1 + INDIRECT("d_" &amp; i_1)</f>
        <v>5.7374928854337683E-2</v>
      </c>
      <c r="I150" s="117">
        <f ca="1">H150-E150</f>
        <v>7.9885104625428624E-3</v>
      </c>
      <c r="K150" s="119"/>
      <c r="Q150" s="119"/>
    </row>
    <row r="151" spans="2:17" s="74" customFormat="1" x14ac:dyDescent="0.2">
      <c r="C151" s="74">
        <v>7</v>
      </c>
      <c r="D151" s="74">
        <v>5.0999999999999996</v>
      </c>
      <c r="E151" s="114">
        <f t="shared" ca="1" si="26"/>
        <v>5.0119371280569744E-2</v>
      </c>
      <c r="F151" s="117" t="s">
        <v>332</v>
      </c>
    </row>
    <row r="152" spans="2:17" s="74" customFormat="1" x14ac:dyDescent="0.2">
      <c r="C152" s="74">
        <v>7</v>
      </c>
      <c r="D152" s="74">
        <v>5.2</v>
      </c>
      <c r="E152" s="114">
        <f t="shared" ca="1" si="26"/>
        <v>5.0847414841411316E-2</v>
      </c>
      <c r="F152" s="117" t="s">
        <v>332</v>
      </c>
    </row>
    <row r="153" spans="2:17" s="74" customFormat="1" x14ac:dyDescent="0.2">
      <c r="C153" s="74">
        <v>7</v>
      </c>
      <c r="D153" s="74">
        <v>5.3</v>
      </c>
      <c r="E153" s="114">
        <f t="shared" ca="1" si="26"/>
        <v>5.1570411652793351E-2</v>
      </c>
      <c r="F153" s="117" t="s">
        <v>332</v>
      </c>
    </row>
    <row r="154" spans="2:17" s="74" customFormat="1" x14ac:dyDescent="0.2">
      <c r="C154" s="74">
        <v>7</v>
      </c>
      <c r="D154" s="74">
        <v>5.4</v>
      </c>
      <c r="E154" s="114">
        <f t="shared" ca="1" si="26"/>
        <v>5.228822429318971E-2</v>
      </c>
      <c r="F154" s="117" t="s">
        <v>332</v>
      </c>
    </row>
    <row r="155" spans="2:17" s="74" customFormat="1" x14ac:dyDescent="0.2">
      <c r="C155" s="74">
        <v>7</v>
      </c>
      <c r="D155" s="74">
        <v>5.5</v>
      </c>
      <c r="E155" s="114">
        <f t="shared" ca="1" si="26"/>
        <v>5.3000715341074207E-2</v>
      </c>
      <c r="F155" s="117" t="s">
        <v>332</v>
      </c>
    </row>
    <row r="156" spans="2:17" s="74" customFormat="1" x14ac:dyDescent="0.2">
      <c r="C156" s="74">
        <v>7</v>
      </c>
      <c r="D156" s="74">
        <v>5.6</v>
      </c>
      <c r="E156" s="114">
        <f t="shared" ca="1" si="26"/>
        <v>5.3707747374920699E-2</v>
      </c>
      <c r="F156" s="117" t="s">
        <v>332</v>
      </c>
    </row>
    <row r="157" spans="2:17" s="74" customFormat="1" x14ac:dyDescent="0.2">
      <c r="C157" s="74">
        <v>7</v>
      </c>
      <c r="D157" s="74">
        <v>5.7</v>
      </c>
      <c r="E157" s="114">
        <f t="shared" ca="1" si="26"/>
        <v>5.4409182973203012E-2</v>
      </c>
      <c r="F157" s="117" t="s">
        <v>332</v>
      </c>
    </row>
    <row r="158" spans="2:17" s="74" customFormat="1" x14ac:dyDescent="0.2">
      <c r="C158" s="74">
        <v>7</v>
      </c>
      <c r="D158" s="74">
        <v>5.8</v>
      </c>
      <c r="E158" s="114">
        <f t="shared" ca="1" si="26"/>
        <v>5.5104884714394987E-2</v>
      </c>
      <c r="F158" s="117" t="s">
        <v>332</v>
      </c>
    </row>
    <row r="159" spans="2:17" s="74" customFormat="1" x14ac:dyDescent="0.2">
      <c r="C159" s="74">
        <v>7</v>
      </c>
      <c r="D159" s="74">
        <v>5.9</v>
      </c>
      <c r="E159" s="114">
        <f t="shared" ca="1" si="26"/>
        <v>5.5794715176970468E-2</v>
      </c>
      <c r="F159" s="117" t="s">
        <v>332</v>
      </c>
    </row>
    <row r="160" spans="2:17" s="74" customFormat="1" x14ac:dyDescent="0.2">
      <c r="C160" s="74">
        <v>7</v>
      </c>
      <c r="D160" s="74">
        <v>6</v>
      </c>
      <c r="E160" s="114">
        <f t="shared" ca="1" si="26"/>
        <v>5.6478536939403287E-2</v>
      </c>
      <c r="F160" s="117" t="s">
        <v>332</v>
      </c>
    </row>
    <row r="161" spans="2:17" s="74" customFormat="1" x14ac:dyDescent="0.2">
      <c r="C161" s="74">
        <v>7</v>
      </c>
      <c r="D161" s="74">
        <v>6.1</v>
      </c>
      <c r="E161" s="114">
        <f t="shared" ca="1" si="26"/>
        <v>5.7156212580167273E-2</v>
      </c>
      <c r="F161" s="117" t="s">
        <v>332</v>
      </c>
    </row>
    <row r="162" spans="2:17" s="74" customFormat="1" x14ac:dyDescent="0.2">
      <c r="C162" s="74">
        <v>7</v>
      </c>
      <c r="D162" s="74">
        <v>6.2</v>
      </c>
      <c r="E162" s="114">
        <f t="shared" ca="1" si="26"/>
        <v>5.7827604677736288E-2</v>
      </c>
      <c r="F162" s="117" t="s">
        <v>332</v>
      </c>
    </row>
    <row r="163" spans="2:17" s="74" customFormat="1" x14ac:dyDescent="0.2">
      <c r="C163" s="74">
        <v>7</v>
      </c>
      <c r="D163" s="74">
        <v>6.3</v>
      </c>
      <c r="E163" s="114">
        <f t="shared" ca="1" si="26"/>
        <v>5.849257581058414E-2</v>
      </c>
      <c r="F163" s="117" t="s">
        <v>332</v>
      </c>
    </row>
    <row r="164" spans="2:17" s="74" customFormat="1" x14ac:dyDescent="0.2">
      <c r="C164" s="74">
        <v>7</v>
      </c>
      <c r="D164" s="74">
        <v>6.4</v>
      </c>
      <c r="E164" s="114">
        <f t="shared" ref="E164:E227" ca="1" si="27">INDIRECT("a_" &amp; i) * t^3 + INDIRECT("b_" &amp; i) * t^2 + INDIRECT("c_" &amp; i) * t^1 + INDIRECT("d_" &amp; i)</f>
        <v>5.9150988557184682E-2</v>
      </c>
      <c r="F164" s="117" t="s">
        <v>332</v>
      </c>
    </row>
    <row r="165" spans="2:17" s="74" customFormat="1" x14ac:dyDescent="0.2">
      <c r="C165" s="74">
        <v>7</v>
      </c>
      <c r="D165" s="74">
        <v>6.5</v>
      </c>
      <c r="E165" s="114">
        <f t="shared" ca="1" si="27"/>
        <v>5.980270549601175E-2</v>
      </c>
      <c r="F165" s="117" t="s">
        <v>332</v>
      </c>
    </row>
    <row r="166" spans="2:17" s="74" customFormat="1" x14ac:dyDescent="0.2">
      <c r="C166" s="74">
        <v>7</v>
      </c>
      <c r="D166" s="74">
        <v>6.6</v>
      </c>
      <c r="E166" s="114">
        <f t="shared" ca="1" si="27"/>
        <v>6.0447589205539179E-2</v>
      </c>
      <c r="F166" s="117" t="s">
        <v>332</v>
      </c>
    </row>
    <row r="167" spans="2:17" s="74" customFormat="1" x14ac:dyDescent="0.2">
      <c r="C167" s="74">
        <v>7</v>
      </c>
      <c r="D167" s="74">
        <v>6.7</v>
      </c>
      <c r="E167" s="114">
        <f t="shared" ca="1" si="27"/>
        <v>6.1085502264240817E-2</v>
      </c>
      <c r="F167" s="117" t="s">
        <v>332</v>
      </c>
    </row>
    <row r="168" spans="2:17" s="74" customFormat="1" x14ac:dyDescent="0.2">
      <c r="C168" s="74">
        <v>7</v>
      </c>
      <c r="D168" s="74">
        <v>6.8</v>
      </c>
      <c r="E168" s="114">
        <f t="shared" ca="1" si="27"/>
        <v>6.1716307250590491E-2</v>
      </c>
      <c r="F168" s="117" t="s">
        <v>332</v>
      </c>
    </row>
    <row r="169" spans="2:17" s="74" customFormat="1" x14ac:dyDescent="0.2">
      <c r="C169" s="74">
        <v>7</v>
      </c>
      <c r="D169" s="74">
        <v>6.9</v>
      </c>
      <c r="E169" s="114">
        <f t="shared" ca="1" si="27"/>
        <v>6.2339866743062043E-2</v>
      </c>
      <c r="F169" s="117" t="s">
        <v>332</v>
      </c>
    </row>
    <row r="170" spans="2:17" s="74" customFormat="1" x14ac:dyDescent="0.2">
      <c r="B170" s="74">
        <v>7</v>
      </c>
      <c r="C170" s="74">
        <v>10</v>
      </c>
      <c r="D170" s="74">
        <v>7</v>
      </c>
      <c r="E170" s="114">
        <f t="shared" ca="1" si="27"/>
        <v>5.6733211202020149E-2</v>
      </c>
      <c r="F170" s="117">
        <v>6.51321344E-2</v>
      </c>
      <c r="G170" s="117">
        <f ca="1">F170-E170</f>
        <v>8.3989231979798504E-3</v>
      </c>
      <c r="H170" s="117">
        <f ca="1">INDIRECT("a_" &amp; i_1) * t^3 + INDIRECT("b_" &amp; i_1) * t^2 + INDIRECT("c_" &amp; i_1) * t^1 + INDIRECT("d_" &amp; i_1)</f>
        <v>6.2956043320129301E-2</v>
      </c>
      <c r="I170" s="117">
        <f ca="1">H170-E170</f>
        <v>6.222832118109152E-3</v>
      </c>
      <c r="K170" s="119"/>
      <c r="Q170" s="119"/>
    </row>
    <row r="171" spans="2:17" s="74" customFormat="1" x14ac:dyDescent="0.2">
      <c r="C171" s="74">
        <v>10</v>
      </c>
      <c r="D171" s="74">
        <v>7.1</v>
      </c>
      <c r="E171" s="114">
        <f t="shared" ca="1" si="27"/>
        <v>5.7427542188259392E-2</v>
      </c>
      <c r="F171" s="117" t="s">
        <v>332</v>
      </c>
    </row>
    <row r="172" spans="2:17" s="74" customFormat="1" x14ac:dyDescent="0.2">
      <c r="C172" s="74">
        <v>10</v>
      </c>
      <c r="D172" s="74">
        <v>7.2</v>
      </c>
      <c r="E172" s="114">
        <f t="shared" ca="1" si="27"/>
        <v>5.8122843963081053E-2</v>
      </c>
      <c r="F172" s="117" t="s">
        <v>332</v>
      </c>
    </row>
    <row r="173" spans="2:17" s="74" customFormat="1" x14ac:dyDescent="0.2">
      <c r="C173" s="74">
        <v>10</v>
      </c>
      <c r="D173" s="74">
        <v>7.3</v>
      </c>
      <c r="E173" s="114">
        <f t="shared" ca="1" si="27"/>
        <v>5.8819124605721342E-2</v>
      </c>
      <c r="F173" s="117" t="s">
        <v>332</v>
      </c>
    </row>
    <row r="174" spans="2:17" s="74" customFormat="1" x14ac:dyDescent="0.2">
      <c r="C174" s="74">
        <v>10</v>
      </c>
      <c r="D174" s="74">
        <v>7.4</v>
      </c>
      <c r="E174" s="114">
        <f t="shared" ca="1" si="27"/>
        <v>5.9516392195416469E-2</v>
      </c>
      <c r="F174" s="117" t="s">
        <v>332</v>
      </c>
    </row>
    <row r="175" spans="2:17" s="74" customFormat="1" x14ac:dyDescent="0.2">
      <c r="C175" s="74">
        <v>10</v>
      </c>
      <c r="D175" s="74">
        <v>7.5</v>
      </c>
      <c r="E175" s="114">
        <f t="shared" ca="1" si="27"/>
        <v>6.0214654811402667E-2</v>
      </c>
      <c r="F175" s="117" t="s">
        <v>332</v>
      </c>
    </row>
    <row r="176" spans="2:17" s="74" customFormat="1" x14ac:dyDescent="0.2">
      <c r="C176" s="74">
        <v>10</v>
      </c>
      <c r="D176" s="74">
        <v>7.6</v>
      </c>
      <c r="E176" s="114">
        <f t="shared" ca="1" si="27"/>
        <v>6.0913920532916138E-2</v>
      </c>
      <c r="F176" s="117" t="s">
        <v>332</v>
      </c>
    </row>
    <row r="177" spans="3:6" s="74" customFormat="1" x14ac:dyDescent="0.2">
      <c r="C177" s="74">
        <v>10</v>
      </c>
      <c r="D177" s="74">
        <v>7.7</v>
      </c>
      <c r="E177" s="114">
        <f t="shared" ca="1" si="27"/>
        <v>6.1614197439193108E-2</v>
      </c>
      <c r="F177" s="117" t="s">
        <v>332</v>
      </c>
    </row>
    <row r="178" spans="3:6" s="74" customFormat="1" x14ac:dyDescent="0.2">
      <c r="C178" s="74">
        <v>10</v>
      </c>
      <c r="D178" s="74">
        <v>7.8</v>
      </c>
      <c r="E178" s="114">
        <f t="shared" ca="1" si="27"/>
        <v>6.231549360946978E-2</v>
      </c>
      <c r="F178" s="117" t="s">
        <v>332</v>
      </c>
    </row>
    <row r="179" spans="3:6" s="74" customFormat="1" x14ac:dyDescent="0.2">
      <c r="C179" s="74">
        <v>10</v>
      </c>
      <c r="D179" s="74">
        <v>7.9</v>
      </c>
      <c r="E179" s="114">
        <f t="shared" ca="1" si="27"/>
        <v>6.3017817122982378E-2</v>
      </c>
      <c r="F179" s="117" t="s">
        <v>332</v>
      </c>
    </row>
    <row r="180" spans="3:6" s="74" customFormat="1" x14ac:dyDescent="0.2">
      <c r="C180" s="74">
        <v>10</v>
      </c>
      <c r="D180" s="74">
        <v>8</v>
      </c>
      <c r="E180" s="114">
        <f t="shared" ca="1" si="27"/>
        <v>6.3721176058967127E-2</v>
      </c>
      <c r="F180" s="117" t="s">
        <v>332</v>
      </c>
    </row>
    <row r="181" spans="3:6" s="74" customFormat="1" x14ac:dyDescent="0.2">
      <c r="C181" s="74">
        <v>10</v>
      </c>
      <c r="D181" s="74">
        <v>8.1</v>
      </c>
      <c r="E181" s="114">
        <f t="shared" ca="1" si="27"/>
        <v>6.442557849666021E-2</v>
      </c>
      <c r="F181" s="117" t="s">
        <v>332</v>
      </c>
    </row>
    <row r="182" spans="3:6" s="74" customFormat="1" x14ac:dyDescent="0.2">
      <c r="C182" s="74">
        <v>10</v>
      </c>
      <c r="D182" s="74">
        <v>8.1999999999999993</v>
      </c>
      <c r="E182" s="114">
        <f t="shared" ca="1" si="27"/>
        <v>6.5131032515297879E-2</v>
      </c>
      <c r="F182" s="117" t="s">
        <v>332</v>
      </c>
    </row>
    <row r="183" spans="3:6" s="74" customFormat="1" x14ac:dyDescent="0.2">
      <c r="C183" s="74">
        <v>10</v>
      </c>
      <c r="D183" s="74">
        <v>8.3000000000000007</v>
      </c>
      <c r="E183" s="114">
        <f t="shared" ca="1" si="27"/>
        <v>6.5837546194116331E-2</v>
      </c>
      <c r="F183" s="117" t="s">
        <v>332</v>
      </c>
    </row>
    <row r="184" spans="3:6" s="74" customFormat="1" x14ac:dyDescent="0.2">
      <c r="C184" s="74">
        <v>10</v>
      </c>
      <c r="D184" s="74">
        <v>8.4</v>
      </c>
      <c r="E184" s="114">
        <f t="shared" ca="1" si="27"/>
        <v>6.654512761235179E-2</v>
      </c>
      <c r="F184" s="117" t="s">
        <v>332</v>
      </c>
    </row>
    <row r="185" spans="3:6" s="74" customFormat="1" x14ac:dyDescent="0.2">
      <c r="C185" s="74">
        <v>10</v>
      </c>
      <c r="D185" s="74">
        <v>8.5</v>
      </c>
      <c r="E185" s="114">
        <f t="shared" ca="1" si="27"/>
        <v>6.7253784849240453E-2</v>
      </c>
      <c r="F185" s="117" t="s">
        <v>332</v>
      </c>
    </row>
    <row r="186" spans="3:6" s="74" customFormat="1" x14ac:dyDescent="0.2">
      <c r="C186" s="74">
        <v>10</v>
      </c>
      <c r="D186" s="74">
        <v>8.6</v>
      </c>
      <c r="E186" s="114">
        <f t="shared" ca="1" si="27"/>
        <v>6.7963525984018558E-2</v>
      </c>
      <c r="F186" s="117" t="s">
        <v>332</v>
      </c>
    </row>
    <row r="187" spans="3:6" s="74" customFormat="1" x14ac:dyDescent="0.2">
      <c r="C187" s="74">
        <v>10</v>
      </c>
      <c r="D187" s="74">
        <v>8.6999999999999993</v>
      </c>
      <c r="E187" s="114">
        <f t="shared" ca="1" si="27"/>
        <v>6.8674359095922288E-2</v>
      </c>
      <c r="F187" s="117" t="s">
        <v>332</v>
      </c>
    </row>
    <row r="188" spans="3:6" s="74" customFormat="1" x14ac:dyDescent="0.2">
      <c r="C188" s="74">
        <v>10</v>
      </c>
      <c r="D188" s="74">
        <v>8.8000000000000007</v>
      </c>
      <c r="E188" s="114">
        <f t="shared" ca="1" si="27"/>
        <v>6.9386292264187924E-2</v>
      </c>
      <c r="F188" s="117" t="s">
        <v>332</v>
      </c>
    </row>
    <row r="189" spans="3:6" s="74" customFormat="1" x14ac:dyDescent="0.2">
      <c r="C189" s="74">
        <v>10</v>
      </c>
      <c r="D189" s="74">
        <v>8.9</v>
      </c>
      <c r="E189" s="114">
        <f t="shared" ca="1" si="27"/>
        <v>7.0099333568051606E-2</v>
      </c>
      <c r="F189" s="117" t="s">
        <v>332</v>
      </c>
    </row>
    <row r="190" spans="3:6" s="74" customFormat="1" x14ac:dyDescent="0.2">
      <c r="C190" s="74">
        <v>10</v>
      </c>
      <c r="D190" s="74">
        <v>9</v>
      </c>
      <c r="E190" s="114">
        <f t="shared" ca="1" si="27"/>
        <v>7.08134910867496E-2</v>
      </c>
      <c r="F190" s="117" t="s">
        <v>332</v>
      </c>
    </row>
    <row r="191" spans="3:6" s="74" customFormat="1" x14ac:dyDescent="0.2">
      <c r="C191" s="74">
        <v>10</v>
      </c>
      <c r="D191" s="74">
        <v>9.1</v>
      </c>
      <c r="E191" s="114">
        <f t="shared" ca="1" si="27"/>
        <v>7.1528772899518089E-2</v>
      </c>
      <c r="F191" s="117" t="s">
        <v>332</v>
      </c>
    </row>
    <row r="192" spans="3:6" s="74" customFormat="1" x14ac:dyDescent="0.2">
      <c r="C192" s="74">
        <v>10</v>
      </c>
      <c r="D192" s="74">
        <v>9.1999999999999993</v>
      </c>
      <c r="E192" s="114">
        <f t="shared" ca="1" si="27"/>
        <v>7.2245187085593313E-2</v>
      </c>
      <c r="F192" s="117" t="s">
        <v>332</v>
      </c>
    </row>
    <row r="193" spans="2:17" s="74" customFormat="1" x14ac:dyDescent="0.2">
      <c r="C193" s="74">
        <v>10</v>
      </c>
      <c r="D193" s="74">
        <v>9.3000000000000007</v>
      </c>
      <c r="E193" s="114">
        <f t="shared" ca="1" si="27"/>
        <v>7.296274172421148E-2</v>
      </c>
      <c r="F193" s="117" t="s">
        <v>332</v>
      </c>
    </row>
    <row r="194" spans="2:17" s="74" customFormat="1" x14ac:dyDescent="0.2">
      <c r="C194" s="74">
        <v>10</v>
      </c>
      <c r="D194" s="74">
        <v>9.4</v>
      </c>
      <c r="E194" s="114">
        <f t="shared" ca="1" si="27"/>
        <v>7.3681444894608802E-2</v>
      </c>
      <c r="F194" s="117" t="s">
        <v>332</v>
      </c>
    </row>
    <row r="195" spans="2:17" s="74" customFormat="1" x14ac:dyDescent="0.2">
      <c r="C195" s="74">
        <v>10</v>
      </c>
      <c r="D195" s="74">
        <v>9.5</v>
      </c>
      <c r="E195" s="114">
        <f t="shared" ca="1" si="27"/>
        <v>7.440130467602149E-2</v>
      </c>
      <c r="F195" s="117" t="s">
        <v>332</v>
      </c>
    </row>
    <row r="196" spans="2:17" s="74" customFormat="1" x14ac:dyDescent="0.2">
      <c r="C196" s="74">
        <v>10</v>
      </c>
      <c r="D196" s="74">
        <v>9.6</v>
      </c>
      <c r="E196" s="114">
        <f t="shared" ca="1" si="27"/>
        <v>7.5122329147685768E-2</v>
      </c>
      <c r="F196" s="117" t="s">
        <v>332</v>
      </c>
    </row>
    <row r="197" spans="2:17" s="74" customFormat="1" x14ac:dyDescent="0.2">
      <c r="C197" s="74">
        <v>10</v>
      </c>
      <c r="D197" s="74">
        <v>9.6999999999999993</v>
      </c>
      <c r="E197" s="114">
        <f t="shared" ca="1" si="27"/>
        <v>7.584452638883786E-2</v>
      </c>
      <c r="F197" s="117" t="s">
        <v>332</v>
      </c>
    </row>
    <row r="198" spans="2:17" s="74" customFormat="1" x14ac:dyDescent="0.2">
      <c r="C198" s="74">
        <v>10</v>
      </c>
      <c r="D198" s="74">
        <v>9.8000000000000007</v>
      </c>
      <c r="E198" s="114">
        <f t="shared" ca="1" si="27"/>
        <v>7.656790447871395E-2</v>
      </c>
      <c r="F198" s="117" t="s">
        <v>332</v>
      </c>
    </row>
    <row r="199" spans="2:17" s="74" customFormat="1" x14ac:dyDescent="0.2">
      <c r="C199" s="74">
        <v>10</v>
      </c>
      <c r="D199" s="74">
        <v>9.9</v>
      </c>
      <c r="E199" s="114">
        <f t="shared" ca="1" si="27"/>
        <v>7.7292471496550288E-2</v>
      </c>
      <c r="F199" s="117" t="s">
        <v>332</v>
      </c>
    </row>
    <row r="200" spans="2:17" s="74" customFormat="1" x14ac:dyDescent="0.2">
      <c r="B200" s="74">
        <v>10</v>
      </c>
      <c r="C200" s="74">
        <v>30</v>
      </c>
      <c r="D200" s="74">
        <v>10</v>
      </c>
      <c r="E200" s="114">
        <f t="shared" ca="1" si="27"/>
        <v>7.2977427273393639E-2</v>
      </c>
      <c r="F200" s="117">
        <v>6.7430707199999995E-2</v>
      </c>
      <c r="G200" s="117">
        <f ca="1">F200-E200</f>
        <v>-5.5467200733936434E-3</v>
      </c>
      <c r="H200" s="117">
        <f ca="1">INDIRECT("a_" &amp; i_1) * t^3 + INDIRECT("b_" &amp; i_1) * t^2 + INDIRECT("c_" &amp; i_1) * t^1 + INDIRECT("d_" &amp; i_1)</f>
        <v>7.8018235521583074E-2</v>
      </c>
      <c r="I200" s="117">
        <f ca="1">H200-E200</f>
        <v>5.0408082481894351E-3</v>
      </c>
      <c r="K200" s="119"/>
      <c r="Q200" s="119"/>
    </row>
    <row r="201" spans="2:17" s="74" customFormat="1" x14ac:dyDescent="0.2">
      <c r="C201" s="74">
        <v>30</v>
      </c>
      <c r="D201" s="74">
        <v>10.1</v>
      </c>
      <c r="E201" s="114">
        <f t="shared" ca="1" si="27"/>
        <v>7.3789944503083627E-2</v>
      </c>
      <c r="F201" s="117" t="s">
        <v>332</v>
      </c>
    </row>
    <row r="202" spans="2:17" s="74" customFormat="1" x14ac:dyDescent="0.2">
      <c r="C202" s="74">
        <v>30</v>
      </c>
      <c r="D202" s="74">
        <v>10.199999999999999</v>
      </c>
      <c r="E202" s="114">
        <f t="shared" ca="1" si="27"/>
        <v>7.4602217691051312E-2</v>
      </c>
      <c r="F202" s="117" t="s">
        <v>332</v>
      </c>
    </row>
    <row r="203" spans="2:17" s="74" customFormat="1" x14ac:dyDescent="0.2">
      <c r="C203" s="74">
        <v>30</v>
      </c>
      <c r="D203" s="74">
        <v>10.3</v>
      </c>
      <c r="E203" s="114">
        <f t="shared" ca="1" si="27"/>
        <v>7.5414132139774756E-2</v>
      </c>
      <c r="F203" s="117" t="s">
        <v>332</v>
      </c>
    </row>
    <row r="204" spans="2:17" s="74" customFormat="1" x14ac:dyDescent="0.2">
      <c r="C204" s="74">
        <v>30</v>
      </c>
      <c r="D204" s="74">
        <v>10.4</v>
      </c>
      <c r="E204" s="114">
        <f t="shared" ca="1" si="27"/>
        <v>7.6225573151732048E-2</v>
      </c>
      <c r="F204" s="117" t="s">
        <v>332</v>
      </c>
    </row>
    <row r="205" spans="2:17" s="74" customFormat="1" x14ac:dyDescent="0.2">
      <c r="C205" s="74">
        <v>30</v>
      </c>
      <c r="D205" s="74">
        <v>10.5</v>
      </c>
      <c r="E205" s="114">
        <f t="shared" ca="1" si="27"/>
        <v>7.7036426029401278E-2</v>
      </c>
      <c r="F205" s="117" t="s">
        <v>332</v>
      </c>
    </row>
    <row r="206" spans="2:17" s="74" customFormat="1" x14ac:dyDescent="0.2">
      <c r="C206" s="74">
        <v>30</v>
      </c>
      <c r="D206" s="74">
        <v>10.6</v>
      </c>
      <c r="E206" s="114">
        <f t="shared" ca="1" si="27"/>
        <v>7.7846576075260535E-2</v>
      </c>
      <c r="F206" s="117" t="s">
        <v>332</v>
      </c>
    </row>
    <row r="207" spans="2:17" s="74" customFormat="1" x14ac:dyDescent="0.2">
      <c r="C207" s="74">
        <v>30</v>
      </c>
      <c r="D207" s="74">
        <v>10.7</v>
      </c>
      <c r="E207" s="114">
        <f t="shared" ca="1" si="27"/>
        <v>7.8655908591787865E-2</v>
      </c>
      <c r="F207" s="117" t="s">
        <v>332</v>
      </c>
    </row>
    <row r="208" spans="2:17" s="74" customFormat="1" x14ac:dyDescent="0.2">
      <c r="C208" s="74">
        <v>30</v>
      </c>
      <c r="D208" s="74">
        <v>10.8</v>
      </c>
      <c r="E208" s="114">
        <f t="shared" ca="1" si="27"/>
        <v>7.9464308881461415E-2</v>
      </c>
      <c r="F208" s="117" t="s">
        <v>332</v>
      </c>
    </row>
    <row r="209" spans="3:6" s="74" customFormat="1" x14ac:dyDescent="0.2">
      <c r="C209" s="74">
        <v>30</v>
      </c>
      <c r="D209" s="74">
        <v>10.9</v>
      </c>
      <c r="E209" s="114">
        <f t="shared" ca="1" si="27"/>
        <v>8.0271662246759204E-2</v>
      </c>
      <c r="F209" s="117" t="s">
        <v>332</v>
      </c>
    </row>
    <row r="210" spans="3:6" s="74" customFormat="1" x14ac:dyDescent="0.2">
      <c r="C210" s="74">
        <v>30</v>
      </c>
      <c r="D210" s="74">
        <v>11</v>
      </c>
      <c r="E210" s="114">
        <f t="shared" ca="1" si="27"/>
        <v>8.1077853990159363E-2</v>
      </c>
      <c r="F210" s="117" t="s">
        <v>332</v>
      </c>
    </row>
    <row r="211" spans="3:6" s="74" customFormat="1" x14ac:dyDescent="0.2">
      <c r="C211" s="74">
        <v>30</v>
      </c>
      <c r="D211" s="74">
        <v>11.1</v>
      </c>
      <c r="E211" s="114">
        <f t="shared" ca="1" si="27"/>
        <v>8.1882769414139939E-2</v>
      </c>
      <c r="F211" s="117" t="s">
        <v>332</v>
      </c>
    </row>
    <row r="212" spans="3:6" s="74" customFormat="1" x14ac:dyDescent="0.2">
      <c r="C212" s="74">
        <v>30</v>
      </c>
      <c r="D212" s="74">
        <v>11.2</v>
      </c>
      <c r="E212" s="114">
        <f t="shared" ca="1" si="27"/>
        <v>8.2686293821179035E-2</v>
      </c>
      <c r="F212" s="117" t="s">
        <v>332</v>
      </c>
    </row>
    <row r="213" spans="3:6" s="74" customFormat="1" x14ac:dyDescent="0.2">
      <c r="C213" s="74">
        <v>30</v>
      </c>
      <c r="D213" s="74">
        <v>11.3</v>
      </c>
      <c r="E213" s="114">
        <f t="shared" ca="1" si="27"/>
        <v>8.3488312513754714E-2</v>
      </c>
      <c r="F213" s="117" t="s">
        <v>332</v>
      </c>
    </row>
    <row r="214" spans="3:6" s="74" customFormat="1" x14ac:dyDescent="0.2">
      <c r="C214" s="74">
        <v>30</v>
      </c>
      <c r="D214" s="74">
        <v>11.4</v>
      </c>
      <c r="E214" s="114">
        <f t="shared" ca="1" si="27"/>
        <v>8.4288710794345093E-2</v>
      </c>
      <c r="F214" s="117" t="s">
        <v>332</v>
      </c>
    </row>
    <row r="215" spans="3:6" s="74" customFormat="1" x14ac:dyDescent="0.2">
      <c r="C215" s="74">
        <v>30</v>
      </c>
      <c r="D215" s="74">
        <v>11.5</v>
      </c>
      <c r="E215" s="114">
        <f t="shared" ca="1" si="27"/>
        <v>8.5087373965428217E-2</v>
      </c>
      <c r="F215" s="117" t="s">
        <v>332</v>
      </c>
    </row>
    <row r="216" spans="3:6" s="74" customFormat="1" x14ac:dyDescent="0.2">
      <c r="C216" s="74">
        <v>30</v>
      </c>
      <c r="D216" s="74">
        <v>11.6</v>
      </c>
      <c r="E216" s="114">
        <f t="shared" ca="1" si="27"/>
        <v>8.5884187329482192E-2</v>
      </c>
      <c r="F216" s="117" t="s">
        <v>332</v>
      </c>
    </row>
    <row r="217" spans="3:6" s="74" customFormat="1" x14ac:dyDescent="0.2">
      <c r="C217" s="74">
        <v>30</v>
      </c>
      <c r="D217" s="74">
        <v>11.7</v>
      </c>
      <c r="E217" s="114">
        <f t="shared" ca="1" si="27"/>
        <v>8.6679036188985106E-2</v>
      </c>
      <c r="F217" s="117" t="s">
        <v>332</v>
      </c>
    </row>
    <row r="218" spans="3:6" s="74" customFormat="1" x14ac:dyDescent="0.2">
      <c r="C218" s="74">
        <v>30</v>
      </c>
      <c r="D218" s="74">
        <v>11.8</v>
      </c>
      <c r="E218" s="114">
        <f t="shared" ca="1" si="27"/>
        <v>8.7471805846415035E-2</v>
      </c>
      <c r="F218" s="117" t="s">
        <v>332</v>
      </c>
    </row>
    <row r="219" spans="3:6" s="74" customFormat="1" x14ac:dyDescent="0.2">
      <c r="C219" s="74">
        <v>30</v>
      </c>
      <c r="D219" s="74">
        <v>11.9</v>
      </c>
      <c r="E219" s="114">
        <f t="shared" ca="1" si="27"/>
        <v>8.826238160425004E-2</v>
      </c>
      <c r="F219" s="117" t="s">
        <v>332</v>
      </c>
    </row>
    <row r="220" spans="3:6" s="74" customFormat="1" x14ac:dyDescent="0.2">
      <c r="C220" s="74">
        <v>30</v>
      </c>
      <c r="D220" s="74">
        <v>12</v>
      </c>
      <c r="E220" s="114">
        <f t="shared" ca="1" si="27"/>
        <v>8.9050648764968238E-2</v>
      </c>
      <c r="F220" s="117" t="s">
        <v>332</v>
      </c>
    </row>
    <row r="221" spans="3:6" s="74" customFormat="1" x14ac:dyDescent="0.2">
      <c r="C221" s="74">
        <v>30</v>
      </c>
      <c r="D221" s="74">
        <v>12.1</v>
      </c>
      <c r="E221" s="114">
        <f t="shared" ca="1" si="27"/>
        <v>8.983649263104769E-2</v>
      </c>
      <c r="F221" s="117" t="s">
        <v>332</v>
      </c>
    </row>
    <row r="222" spans="3:6" s="74" customFormat="1" x14ac:dyDescent="0.2">
      <c r="C222" s="74">
        <v>30</v>
      </c>
      <c r="D222" s="74">
        <v>12.2</v>
      </c>
      <c r="E222" s="114">
        <f t="shared" ca="1" si="27"/>
        <v>9.0619798504966487E-2</v>
      </c>
      <c r="F222" s="117" t="s">
        <v>332</v>
      </c>
    </row>
    <row r="223" spans="3:6" s="74" customFormat="1" x14ac:dyDescent="0.2">
      <c r="C223" s="74">
        <v>30</v>
      </c>
      <c r="D223" s="74">
        <v>12.3</v>
      </c>
      <c r="E223" s="114">
        <f t="shared" ca="1" si="27"/>
        <v>9.1400451689202716E-2</v>
      </c>
      <c r="F223" s="117" t="s">
        <v>332</v>
      </c>
    </row>
    <row r="224" spans="3:6" s="74" customFormat="1" x14ac:dyDescent="0.2">
      <c r="C224" s="74">
        <v>30</v>
      </c>
      <c r="D224" s="74">
        <v>12.4</v>
      </c>
      <c r="E224" s="114">
        <f t="shared" ca="1" si="27"/>
        <v>9.2178337486234441E-2</v>
      </c>
      <c r="F224" s="117" t="s">
        <v>332</v>
      </c>
    </row>
    <row r="225" spans="3:6" s="74" customFormat="1" x14ac:dyDescent="0.2">
      <c r="C225" s="74">
        <v>30</v>
      </c>
      <c r="D225" s="74">
        <v>12.5</v>
      </c>
      <c r="E225" s="114">
        <f t="shared" ca="1" si="27"/>
        <v>9.2953341198539763E-2</v>
      </c>
      <c r="F225" s="117" t="s">
        <v>332</v>
      </c>
    </row>
    <row r="226" spans="3:6" s="74" customFormat="1" x14ac:dyDescent="0.2">
      <c r="C226" s="74">
        <v>30</v>
      </c>
      <c r="D226" s="74">
        <v>12.6</v>
      </c>
      <c r="E226" s="114">
        <f t="shared" ca="1" si="27"/>
        <v>9.3725348128596758E-2</v>
      </c>
      <c r="F226" s="117" t="s">
        <v>332</v>
      </c>
    </row>
    <row r="227" spans="3:6" s="74" customFormat="1" x14ac:dyDescent="0.2">
      <c r="C227" s="74">
        <v>30</v>
      </c>
      <c r="D227" s="74">
        <v>12.7</v>
      </c>
      <c r="E227" s="114">
        <f t="shared" ca="1" si="27"/>
        <v>9.4494243578883502E-2</v>
      </c>
      <c r="F227" s="117" t="s">
        <v>332</v>
      </c>
    </row>
    <row r="228" spans="3:6" s="74" customFormat="1" x14ac:dyDescent="0.2">
      <c r="C228" s="74">
        <v>30</v>
      </c>
      <c r="D228" s="74">
        <v>12.8</v>
      </c>
      <c r="E228" s="114">
        <f t="shared" ref="E228:E291" ca="1" si="28">INDIRECT("a_" &amp; i) * t^3 + INDIRECT("b_" &amp; i) * t^2 + INDIRECT("c_" &amp; i) * t^1 + INDIRECT("d_" &amp; i)</f>
        <v>9.5259912851878126E-2</v>
      </c>
      <c r="F228" s="117" t="s">
        <v>332</v>
      </c>
    </row>
    <row r="229" spans="3:6" s="74" customFormat="1" x14ac:dyDescent="0.2">
      <c r="C229" s="74">
        <v>30</v>
      </c>
      <c r="D229" s="74">
        <v>12.9</v>
      </c>
      <c r="E229" s="114">
        <f t="shared" ca="1" si="28"/>
        <v>9.6022241250058621E-2</v>
      </c>
      <c r="F229" s="117" t="s">
        <v>332</v>
      </c>
    </row>
    <row r="230" spans="3:6" s="74" customFormat="1" x14ac:dyDescent="0.2">
      <c r="C230" s="74">
        <v>30</v>
      </c>
      <c r="D230" s="74">
        <v>13</v>
      </c>
      <c r="E230" s="114">
        <f t="shared" ca="1" si="28"/>
        <v>9.6781114075903146E-2</v>
      </c>
      <c r="F230" s="117" t="s">
        <v>332</v>
      </c>
    </row>
    <row r="231" spans="3:6" s="74" customFormat="1" x14ac:dyDescent="0.2">
      <c r="C231" s="74">
        <v>30</v>
      </c>
      <c r="D231" s="74">
        <v>13.1</v>
      </c>
      <c r="E231" s="114">
        <f t="shared" ca="1" si="28"/>
        <v>9.753641663188975E-2</v>
      </c>
      <c r="F231" s="117" t="s">
        <v>332</v>
      </c>
    </row>
    <row r="232" spans="3:6" s="74" customFormat="1" x14ac:dyDescent="0.2">
      <c r="C232" s="74">
        <v>30</v>
      </c>
      <c r="D232" s="74">
        <v>13.2</v>
      </c>
      <c r="E232" s="114">
        <f t="shared" ca="1" si="28"/>
        <v>9.8288034220496534E-2</v>
      </c>
      <c r="F232" s="117" t="s">
        <v>332</v>
      </c>
    </row>
    <row r="233" spans="3:6" s="74" customFormat="1" x14ac:dyDescent="0.2">
      <c r="C233" s="74">
        <v>30</v>
      </c>
      <c r="D233" s="74">
        <v>13.3</v>
      </c>
      <c r="E233" s="114">
        <f t="shared" ca="1" si="28"/>
        <v>9.9035852144201575E-2</v>
      </c>
      <c r="F233" s="117" t="s">
        <v>332</v>
      </c>
    </row>
    <row r="234" spans="3:6" s="74" customFormat="1" x14ac:dyDescent="0.2">
      <c r="C234" s="74">
        <v>30</v>
      </c>
      <c r="D234" s="74">
        <v>13.4</v>
      </c>
      <c r="E234" s="114">
        <f t="shared" ca="1" si="28"/>
        <v>9.9779755705482948E-2</v>
      </c>
      <c r="F234" s="117" t="s">
        <v>332</v>
      </c>
    </row>
    <row r="235" spans="3:6" s="74" customFormat="1" x14ac:dyDescent="0.2">
      <c r="C235" s="74">
        <v>30</v>
      </c>
      <c r="D235" s="74">
        <v>13.5</v>
      </c>
      <c r="E235" s="114">
        <f t="shared" ca="1" si="28"/>
        <v>0.10051963020681876</v>
      </c>
      <c r="F235" s="117" t="s">
        <v>332</v>
      </c>
    </row>
    <row r="236" spans="3:6" s="74" customFormat="1" x14ac:dyDescent="0.2">
      <c r="C236" s="74">
        <v>30</v>
      </c>
      <c r="D236" s="74">
        <v>13.6</v>
      </c>
      <c r="E236" s="114">
        <f t="shared" ca="1" si="28"/>
        <v>0.10125536095068705</v>
      </c>
      <c r="F236" s="117" t="s">
        <v>332</v>
      </c>
    </row>
    <row r="237" spans="3:6" s="74" customFormat="1" x14ac:dyDescent="0.2">
      <c r="C237" s="74">
        <v>30</v>
      </c>
      <c r="D237" s="74">
        <v>13.7</v>
      </c>
      <c r="E237" s="114">
        <f t="shared" ca="1" si="28"/>
        <v>0.10198683323956592</v>
      </c>
      <c r="F237" s="117" t="s">
        <v>332</v>
      </c>
    </row>
    <row r="238" spans="3:6" s="74" customFormat="1" x14ac:dyDescent="0.2">
      <c r="C238" s="74">
        <v>30</v>
      </c>
      <c r="D238" s="74">
        <v>13.8</v>
      </c>
      <c r="E238" s="114">
        <f t="shared" ca="1" si="28"/>
        <v>0.1027139323759335</v>
      </c>
      <c r="F238" s="117" t="s">
        <v>332</v>
      </c>
    </row>
    <row r="239" spans="3:6" s="74" customFormat="1" x14ac:dyDescent="0.2">
      <c r="C239" s="74">
        <v>30</v>
      </c>
      <c r="D239" s="74">
        <v>13.9</v>
      </c>
      <c r="E239" s="114">
        <f t="shared" ca="1" si="28"/>
        <v>0.1034365436622678</v>
      </c>
      <c r="F239" s="117" t="s">
        <v>332</v>
      </c>
    </row>
    <row r="240" spans="3:6" s="74" customFormat="1" x14ac:dyDescent="0.2">
      <c r="C240" s="74">
        <v>30</v>
      </c>
      <c r="D240" s="74">
        <v>14</v>
      </c>
      <c r="E240" s="114">
        <f t="shared" ca="1" si="28"/>
        <v>0.10415455240104693</v>
      </c>
      <c r="F240" s="117" t="s">
        <v>332</v>
      </c>
    </row>
    <row r="241" spans="3:6" s="74" customFormat="1" x14ac:dyDescent="0.2">
      <c r="C241" s="74">
        <v>30</v>
      </c>
      <c r="D241" s="74">
        <v>14.1</v>
      </c>
      <c r="E241" s="114">
        <f t="shared" ca="1" si="28"/>
        <v>0.10486784389474899</v>
      </c>
      <c r="F241" s="117" t="s">
        <v>332</v>
      </c>
    </row>
    <row r="242" spans="3:6" s="74" customFormat="1" x14ac:dyDescent="0.2">
      <c r="C242" s="74">
        <v>30</v>
      </c>
      <c r="D242" s="74">
        <v>14.2</v>
      </c>
      <c r="E242" s="114">
        <f t="shared" ca="1" si="28"/>
        <v>0.10557630344585203</v>
      </c>
      <c r="F242" s="117" t="s">
        <v>332</v>
      </c>
    </row>
    <row r="243" spans="3:6" s="74" customFormat="1" x14ac:dyDescent="0.2">
      <c r="C243" s="74">
        <v>30</v>
      </c>
      <c r="D243" s="74">
        <v>14.3</v>
      </c>
      <c r="E243" s="114">
        <f t="shared" ca="1" si="28"/>
        <v>0.1062798163568342</v>
      </c>
      <c r="F243" s="117" t="s">
        <v>332</v>
      </c>
    </row>
    <row r="244" spans="3:6" s="74" customFormat="1" x14ac:dyDescent="0.2">
      <c r="C244" s="74">
        <v>30</v>
      </c>
      <c r="D244" s="74">
        <v>14.4</v>
      </c>
      <c r="E244" s="114">
        <f t="shared" ca="1" si="28"/>
        <v>0.1069782679301735</v>
      </c>
      <c r="F244" s="117" t="s">
        <v>332</v>
      </c>
    </row>
    <row r="245" spans="3:6" s="74" customFormat="1" x14ac:dyDescent="0.2">
      <c r="C245" s="74">
        <v>30</v>
      </c>
      <c r="D245" s="74">
        <v>14.5</v>
      </c>
      <c r="E245" s="114">
        <f t="shared" ca="1" si="28"/>
        <v>0.10767154346834806</v>
      </c>
      <c r="F245" s="117" t="s">
        <v>332</v>
      </c>
    </row>
    <row r="246" spans="3:6" s="74" customFormat="1" x14ac:dyDescent="0.2">
      <c r="C246" s="74">
        <v>30</v>
      </c>
      <c r="D246" s="74">
        <v>14.6</v>
      </c>
      <c r="E246" s="114">
        <f t="shared" ca="1" si="28"/>
        <v>0.10835952827383594</v>
      </c>
      <c r="F246" s="117" t="s">
        <v>332</v>
      </c>
    </row>
    <row r="247" spans="3:6" s="74" customFormat="1" x14ac:dyDescent="0.2">
      <c r="C247" s="74">
        <v>30</v>
      </c>
      <c r="D247" s="74">
        <v>14.7</v>
      </c>
      <c r="E247" s="114">
        <f t="shared" ca="1" si="28"/>
        <v>0.10904210764911523</v>
      </c>
      <c r="F247" s="117" t="s">
        <v>332</v>
      </c>
    </row>
    <row r="248" spans="3:6" s="74" customFormat="1" x14ac:dyDescent="0.2">
      <c r="C248" s="74">
        <v>30</v>
      </c>
      <c r="D248" s="74">
        <v>14.8</v>
      </c>
      <c r="E248" s="114">
        <f t="shared" ca="1" si="28"/>
        <v>0.10971916689666406</v>
      </c>
      <c r="F248" s="117" t="s">
        <v>332</v>
      </c>
    </row>
    <row r="249" spans="3:6" s="74" customFormat="1" x14ac:dyDescent="0.2">
      <c r="C249" s="74">
        <v>30</v>
      </c>
      <c r="D249" s="74">
        <v>14.9</v>
      </c>
      <c r="E249" s="114">
        <f t="shared" ca="1" si="28"/>
        <v>0.11039059131896042</v>
      </c>
      <c r="F249" s="117" t="s">
        <v>332</v>
      </c>
    </row>
    <row r="250" spans="3:6" s="74" customFormat="1" x14ac:dyDescent="0.2">
      <c r="C250" s="74">
        <v>30</v>
      </c>
      <c r="D250" s="74">
        <v>15</v>
      </c>
      <c r="E250" s="114">
        <f t="shared" ca="1" si="28"/>
        <v>0.11105626621848246</v>
      </c>
      <c r="F250" s="117" t="s">
        <v>332</v>
      </c>
    </row>
    <row r="251" spans="3:6" s="74" customFormat="1" x14ac:dyDescent="0.2">
      <c r="C251" s="74">
        <v>30</v>
      </c>
      <c r="D251" s="74">
        <v>15.1</v>
      </c>
      <c r="E251" s="114">
        <f t="shared" ca="1" si="28"/>
        <v>0.11171607689770825</v>
      </c>
      <c r="F251" s="117" t="s">
        <v>332</v>
      </c>
    </row>
    <row r="252" spans="3:6" s="74" customFormat="1" x14ac:dyDescent="0.2">
      <c r="C252" s="74">
        <v>30</v>
      </c>
      <c r="D252" s="74">
        <v>15.2</v>
      </c>
      <c r="E252" s="114">
        <f t="shared" ca="1" si="28"/>
        <v>0.11236990865911584</v>
      </c>
      <c r="F252" s="117" t="s">
        <v>332</v>
      </c>
    </row>
    <row r="253" spans="3:6" s="74" customFormat="1" x14ac:dyDescent="0.2">
      <c r="C253" s="74">
        <v>30</v>
      </c>
      <c r="D253" s="74">
        <v>15.3</v>
      </c>
      <c r="E253" s="114">
        <f t="shared" ca="1" si="28"/>
        <v>0.11301764680518339</v>
      </c>
      <c r="F253" s="117" t="s">
        <v>332</v>
      </c>
    </row>
    <row r="254" spans="3:6" s="74" customFormat="1" x14ac:dyDescent="0.2">
      <c r="C254" s="74">
        <v>30</v>
      </c>
      <c r="D254" s="74">
        <v>15.4</v>
      </c>
      <c r="E254" s="114">
        <f t="shared" ca="1" si="28"/>
        <v>0.11365917663838893</v>
      </c>
      <c r="F254" s="117" t="s">
        <v>332</v>
      </c>
    </row>
    <row r="255" spans="3:6" s="74" customFormat="1" x14ac:dyDescent="0.2">
      <c r="C255" s="74">
        <v>30</v>
      </c>
      <c r="D255" s="74">
        <v>15.5</v>
      </c>
      <c r="E255" s="114">
        <f t="shared" ca="1" si="28"/>
        <v>0.1142943834612105</v>
      </c>
      <c r="F255" s="117" t="s">
        <v>332</v>
      </c>
    </row>
    <row r="256" spans="3:6" s="74" customFormat="1" x14ac:dyDescent="0.2">
      <c r="C256" s="74">
        <v>30</v>
      </c>
      <c r="D256" s="74">
        <v>15.6</v>
      </c>
      <c r="E256" s="114">
        <f t="shared" ca="1" si="28"/>
        <v>0.11492315257612626</v>
      </c>
      <c r="F256" s="117" t="s">
        <v>332</v>
      </c>
    </row>
    <row r="257" spans="3:6" s="74" customFormat="1" x14ac:dyDescent="0.2">
      <c r="C257" s="74">
        <v>30</v>
      </c>
      <c r="D257" s="74">
        <v>15.7</v>
      </c>
      <c r="E257" s="114">
        <f t="shared" ca="1" si="28"/>
        <v>0.11554536928561428</v>
      </c>
      <c r="F257" s="117" t="s">
        <v>332</v>
      </c>
    </row>
    <row r="258" spans="3:6" s="74" customFormat="1" x14ac:dyDescent="0.2">
      <c r="C258" s="74">
        <v>30</v>
      </c>
      <c r="D258" s="74">
        <v>15.8</v>
      </c>
      <c r="E258" s="114">
        <f t="shared" ca="1" si="28"/>
        <v>0.1161609188921526</v>
      </c>
      <c r="F258" s="117" t="s">
        <v>332</v>
      </c>
    </row>
    <row r="259" spans="3:6" s="74" customFormat="1" x14ac:dyDescent="0.2">
      <c r="C259" s="74">
        <v>30</v>
      </c>
      <c r="D259" s="74">
        <v>15.9</v>
      </c>
      <c r="E259" s="114">
        <f t="shared" ca="1" si="28"/>
        <v>0.11676968669821933</v>
      </c>
      <c r="F259" s="117" t="s">
        <v>332</v>
      </c>
    </row>
    <row r="260" spans="3:6" s="74" customFormat="1" x14ac:dyDescent="0.2">
      <c r="C260" s="74">
        <v>30</v>
      </c>
      <c r="D260" s="74">
        <v>16</v>
      </c>
      <c r="E260" s="114">
        <f t="shared" ca="1" si="28"/>
        <v>0.11737155800629256</v>
      </c>
      <c r="F260" s="117" t="s">
        <v>332</v>
      </c>
    </row>
    <row r="261" spans="3:6" s="74" customFormat="1" x14ac:dyDescent="0.2">
      <c r="C261" s="74">
        <v>30</v>
      </c>
      <c r="D261" s="74">
        <v>16.100000000000001</v>
      </c>
      <c r="E261" s="114">
        <f t="shared" ca="1" si="28"/>
        <v>0.11796641811885036</v>
      </c>
      <c r="F261" s="117" t="s">
        <v>332</v>
      </c>
    </row>
    <row r="262" spans="3:6" s="74" customFormat="1" x14ac:dyDescent="0.2">
      <c r="C262" s="74">
        <v>30</v>
      </c>
      <c r="D262" s="74">
        <v>16.2</v>
      </c>
      <c r="E262" s="114">
        <f t="shared" ca="1" si="28"/>
        <v>0.11855415233837081</v>
      </c>
      <c r="F262" s="117" t="s">
        <v>332</v>
      </c>
    </row>
    <row r="263" spans="3:6" s="74" customFormat="1" x14ac:dyDescent="0.2">
      <c r="C263" s="74">
        <v>30</v>
      </c>
      <c r="D263" s="74">
        <v>16.3</v>
      </c>
      <c r="E263" s="114">
        <f t="shared" ca="1" si="28"/>
        <v>0.11913464596733202</v>
      </c>
      <c r="F263" s="117" t="s">
        <v>332</v>
      </c>
    </row>
    <row r="264" spans="3:6" s="74" customFormat="1" x14ac:dyDescent="0.2">
      <c r="C264" s="74">
        <v>30</v>
      </c>
      <c r="D264" s="74">
        <v>16.399999999999999</v>
      </c>
      <c r="E264" s="114">
        <f t="shared" ca="1" si="28"/>
        <v>0.11970778430821202</v>
      </c>
      <c r="F264" s="117" t="s">
        <v>332</v>
      </c>
    </row>
    <row r="265" spans="3:6" s="74" customFormat="1" x14ac:dyDescent="0.2">
      <c r="C265" s="74">
        <v>30</v>
      </c>
      <c r="D265" s="74">
        <v>16.5</v>
      </c>
      <c r="E265" s="114">
        <f t="shared" ca="1" si="28"/>
        <v>0.12027345266348898</v>
      </c>
      <c r="F265" s="117" t="s">
        <v>332</v>
      </c>
    </row>
    <row r="266" spans="3:6" s="74" customFormat="1" x14ac:dyDescent="0.2">
      <c r="C266" s="74">
        <v>30</v>
      </c>
      <c r="D266" s="74">
        <v>16.600000000000001</v>
      </c>
      <c r="E266" s="114">
        <f t="shared" ca="1" si="28"/>
        <v>0.12083153633564091</v>
      </c>
      <c r="F266" s="117" t="s">
        <v>332</v>
      </c>
    </row>
    <row r="267" spans="3:6" s="74" customFormat="1" x14ac:dyDescent="0.2">
      <c r="C267" s="74">
        <v>30</v>
      </c>
      <c r="D267" s="74">
        <v>16.7</v>
      </c>
      <c r="E267" s="114">
        <f t="shared" ca="1" si="28"/>
        <v>0.12138192062714587</v>
      </c>
      <c r="F267" s="117" t="s">
        <v>332</v>
      </c>
    </row>
    <row r="268" spans="3:6" s="74" customFormat="1" x14ac:dyDescent="0.2">
      <c r="C268" s="74">
        <v>30</v>
      </c>
      <c r="D268" s="74">
        <v>16.8</v>
      </c>
      <c r="E268" s="114">
        <f t="shared" ca="1" si="28"/>
        <v>0.12192449084048201</v>
      </c>
      <c r="F268" s="117" t="s">
        <v>332</v>
      </c>
    </row>
    <row r="269" spans="3:6" s="74" customFormat="1" x14ac:dyDescent="0.2">
      <c r="C269" s="74">
        <v>30</v>
      </c>
      <c r="D269" s="74">
        <v>16.899999999999999</v>
      </c>
      <c r="E269" s="114">
        <f t="shared" ca="1" si="28"/>
        <v>0.12245913227812737</v>
      </c>
      <c r="F269" s="117" t="s">
        <v>332</v>
      </c>
    </row>
    <row r="270" spans="3:6" s="74" customFormat="1" x14ac:dyDescent="0.2">
      <c r="C270" s="74">
        <v>30</v>
      </c>
      <c r="D270" s="74">
        <v>17</v>
      </c>
      <c r="E270" s="114">
        <f t="shared" ca="1" si="28"/>
        <v>0.1229857302425601</v>
      </c>
      <c r="F270" s="117" t="s">
        <v>332</v>
      </c>
    </row>
    <row r="271" spans="3:6" s="74" customFormat="1" x14ac:dyDescent="0.2">
      <c r="C271" s="74">
        <v>30</v>
      </c>
      <c r="D271" s="74">
        <v>17.100000000000001</v>
      </c>
      <c r="E271" s="114">
        <f t="shared" ca="1" si="28"/>
        <v>0.12350417003625819</v>
      </c>
      <c r="F271" s="117" t="s">
        <v>332</v>
      </c>
    </row>
    <row r="272" spans="3:6" s="74" customFormat="1" x14ac:dyDescent="0.2">
      <c r="C272" s="74">
        <v>30</v>
      </c>
      <c r="D272" s="74">
        <v>17.2</v>
      </c>
      <c r="E272" s="114">
        <f t="shared" ca="1" si="28"/>
        <v>0.12401433696169978</v>
      </c>
      <c r="F272" s="117" t="s">
        <v>332</v>
      </c>
    </row>
    <row r="273" spans="3:6" s="74" customFormat="1" x14ac:dyDescent="0.2">
      <c r="C273" s="74">
        <v>30</v>
      </c>
      <c r="D273" s="74">
        <v>17.3</v>
      </c>
      <c r="E273" s="114">
        <f t="shared" ca="1" si="28"/>
        <v>0.12451611632136295</v>
      </c>
      <c r="F273" s="117" t="s">
        <v>332</v>
      </c>
    </row>
    <row r="274" spans="3:6" s="74" customFormat="1" x14ac:dyDescent="0.2">
      <c r="C274" s="74">
        <v>30</v>
      </c>
      <c r="D274" s="74">
        <v>17.399999999999999</v>
      </c>
      <c r="E274" s="114">
        <f t="shared" ca="1" si="28"/>
        <v>0.12500939341772571</v>
      </c>
      <c r="F274" s="117" t="s">
        <v>332</v>
      </c>
    </row>
    <row r="275" spans="3:6" s="74" customFormat="1" x14ac:dyDescent="0.2">
      <c r="C275" s="74">
        <v>30</v>
      </c>
      <c r="D275" s="74">
        <v>17.5</v>
      </c>
      <c r="E275" s="114">
        <f t="shared" ca="1" si="28"/>
        <v>0.12549405355326629</v>
      </c>
      <c r="F275" s="117" t="s">
        <v>332</v>
      </c>
    </row>
    <row r="276" spans="3:6" s="74" customFormat="1" x14ac:dyDescent="0.2">
      <c r="C276" s="74">
        <v>30</v>
      </c>
      <c r="D276" s="74">
        <v>17.600000000000001</v>
      </c>
      <c r="E276" s="114">
        <f t="shared" ca="1" si="28"/>
        <v>0.12596998203046264</v>
      </c>
      <c r="F276" s="117" t="s">
        <v>332</v>
      </c>
    </row>
    <row r="277" spans="3:6" s="74" customFormat="1" x14ac:dyDescent="0.2">
      <c r="C277" s="74">
        <v>30</v>
      </c>
      <c r="D277" s="74">
        <v>17.7</v>
      </c>
      <c r="E277" s="114">
        <f t="shared" ca="1" si="28"/>
        <v>0.1264370641517929</v>
      </c>
      <c r="F277" s="117" t="s">
        <v>332</v>
      </c>
    </row>
    <row r="278" spans="3:6" s="74" customFormat="1" x14ac:dyDescent="0.2">
      <c r="C278" s="74">
        <v>30</v>
      </c>
      <c r="D278" s="74">
        <v>17.8</v>
      </c>
      <c r="E278" s="114">
        <f t="shared" ca="1" si="28"/>
        <v>0.12689518521973514</v>
      </c>
      <c r="F278" s="117" t="s">
        <v>332</v>
      </c>
    </row>
    <row r="279" spans="3:6" s="74" customFormat="1" x14ac:dyDescent="0.2">
      <c r="C279" s="74">
        <v>30</v>
      </c>
      <c r="D279" s="74">
        <v>17.899999999999999</v>
      </c>
      <c r="E279" s="114">
        <f t="shared" ca="1" si="28"/>
        <v>0.12734423053676747</v>
      </c>
      <c r="F279" s="117" t="s">
        <v>332</v>
      </c>
    </row>
    <row r="280" spans="3:6" s="74" customFormat="1" x14ac:dyDescent="0.2">
      <c r="C280" s="74">
        <v>30</v>
      </c>
      <c r="D280" s="74">
        <v>18</v>
      </c>
      <c r="E280" s="114">
        <f t="shared" ca="1" si="28"/>
        <v>0.12778408540536793</v>
      </c>
      <c r="F280" s="117" t="s">
        <v>332</v>
      </c>
    </row>
    <row r="281" spans="3:6" s="74" customFormat="1" x14ac:dyDescent="0.2">
      <c r="C281" s="74">
        <v>30</v>
      </c>
      <c r="D281" s="74">
        <v>18.100000000000001</v>
      </c>
      <c r="E281" s="114">
        <f t="shared" ca="1" si="28"/>
        <v>0.12821463512801462</v>
      </c>
      <c r="F281" s="117" t="s">
        <v>332</v>
      </c>
    </row>
    <row r="282" spans="3:6" s="74" customFormat="1" x14ac:dyDescent="0.2">
      <c r="C282" s="74">
        <v>30</v>
      </c>
      <c r="D282" s="74">
        <v>18.2</v>
      </c>
      <c r="E282" s="114">
        <f t="shared" ca="1" si="28"/>
        <v>0.1286357650071856</v>
      </c>
      <c r="F282" s="117" t="s">
        <v>332</v>
      </c>
    </row>
    <row r="283" spans="3:6" s="74" customFormat="1" x14ac:dyDescent="0.2">
      <c r="C283" s="74">
        <v>30</v>
      </c>
      <c r="D283" s="74">
        <v>18.3</v>
      </c>
      <c r="E283" s="114">
        <f t="shared" ca="1" si="28"/>
        <v>0.12904736034535902</v>
      </c>
      <c r="F283" s="117" t="s">
        <v>332</v>
      </c>
    </row>
    <row r="284" spans="3:6" s="74" customFormat="1" x14ac:dyDescent="0.2">
      <c r="C284" s="74">
        <v>30</v>
      </c>
      <c r="D284" s="74">
        <v>18.399999999999999</v>
      </c>
      <c r="E284" s="114">
        <f t="shared" ca="1" si="28"/>
        <v>0.12944930644501287</v>
      </c>
      <c r="F284" s="117" t="s">
        <v>332</v>
      </c>
    </row>
    <row r="285" spans="3:6" s="74" customFormat="1" x14ac:dyDescent="0.2">
      <c r="C285" s="74">
        <v>30</v>
      </c>
      <c r="D285" s="74">
        <v>18.5</v>
      </c>
      <c r="E285" s="114">
        <f t="shared" ca="1" si="28"/>
        <v>0.12984148860862532</v>
      </c>
      <c r="F285" s="117" t="s">
        <v>332</v>
      </c>
    </row>
    <row r="286" spans="3:6" s="74" customFormat="1" x14ac:dyDescent="0.2">
      <c r="C286" s="74">
        <v>30</v>
      </c>
      <c r="D286" s="74">
        <v>18.600000000000001</v>
      </c>
      <c r="E286" s="114">
        <f t="shared" ca="1" si="28"/>
        <v>0.13022379213867441</v>
      </c>
      <c r="F286" s="117" t="s">
        <v>332</v>
      </c>
    </row>
    <row r="287" spans="3:6" s="74" customFormat="1" x14ac:dyDescent="0.2">
      <c r="C287" s="74">
        <v>30</v>
      </c>
      <c r="D287" s="74">
        <v>18.7</v>
      </c>
      <c r="E287" s="114">
        <f t="shared" ca="1" si="28"/>
        <v>0.13059610233763824</v>
      </c>
      <c r="F287" s="117" t="s">
        <v>332</v>
      </c>
    </row>
    <row r="288" spans="3:6" s="74" customFormat="1" x14ac:dyDescent="0.2">
      <c r="C288" s="74">
        <v>30</v>
      </c>
      <c r="D288" s="74">
        <v>18.8</v>
      </c>
      <c r="E288" s="114">
        <f t="shared" ca="1" si="28"/>
        <v>0.13095830450799487</v>
      </c>
      <c r="F288" s="117" t="s">
        <v>332</v>
      </c>
    </row>
    <row r="289" spans="3:6" s="74" customFormat="1" x14ac:dyDescent="0.2">
      <c r="C289" s="74">
        <v>30</v>
      </c>
      <c r="D289" s="74">
        <v>18.899999999999999</v>
      </c>
      <c r="E289" s="114">
        <f t="shared" ca="1" si="28"/>
        <v>0.13131028395222236</v>
      </c>
      <c r="F289" s="117" t="s">
        <v>332</v>
      </c>
    </row>
    <row r="290" spans="3:6" s="74" customFormat="1" x14ac:dyDescent="0.2">
      <c r="C290" s="74">
        <v>30</v>
      </c>
      <c r="D290" s="74">
        <v>19</v>
      </c>
      <c r="E290" s="114">
        <f t="shared" ca="1" si="28"/>
        <v>0.13165192597279887</v>
      </c>
      <c r="F290" s="117" t="s">
        <v>332</v>
      </c>
    </row>
    <row r="291" spans="3:6" s="74" customFormat="1" x14ac:dyDescent="0.2">
      <c r="C291" s="74">
        <v>30</v>
      </c>
      <c r="D291" s="74">
        <v>19.100000000000001</v>
      </c>
      <c r="E291" s="114">
        <f t="shared" ca="1" si="28"/>
        <v>0.13198311587220243</v>
      </c>
      <c r="F291" s="117" t="s">
        <v>332</v>
      </c>
    </row>
    <row r="292" spans="3:6" s="74" customFormat="1" x14ac:dyDescent="0.2">
      <c r="C292" s="74">
        <v>30</v>
      </c>
      <c r="D292" s="74">
        <v>19.2</v>
      </c>
      <c r="E292" s="114">
        <f t="shared" ref="E292:E355" ca="1" si="29">INDIRECT("a_" &amp; i) * t^3 + INDIRECT("b_" &amp; i) * t^2 + INDIRECT("c_" &amp; i) * t^1 + INDIRECT("d_" &amp; i)</f>
        <v>0.13230373895291112</v>
      </c>
      <c r="F292" s="117" t="s">
        <v>332</v>
      </c>
    </row>
    <row r="293" spans="3:6" s="74" customFormat="1" x14ac:dyDescent="0.2">
      <c r="C293" s="74">
        <v>30</v>
      </c>
      <c r="D293" s="74">
        <v>19.3</v>
      </c>
      <c r="E293" s="114">
        <f t="shared" ca="1" si="29"/>
        <v>0.13261368051740305</v>
      </c>
      <c r="F293" s="117" t="s">
        <v>332</v>
      </c>
    </row>
    <row r="294" spans="3:6" s="74" customFormat="1" x14ac:dyDescent="0.2">
      <c r="C294" s="74">
        <v>30</v>
      </c>
      <c r="D294" s="74">
        <v>19.399999999999999</v>
      </c>
      <c r="E294" s="114">
        <f t="shared" ca="1" si="29"/>
        <v>0.13291282586815628</v>
      </c>
      <c r="F294" s="117" t="s">
        <v>332</v>
      </c>
    </row>
    <row r="295" spans="3:6" s="74" customFormat="1" x14ac:dyDescent="0.2">
      <c r="C295" s="74">
        <v>30</v>
      </c>
      <c r="D295" s="74">
        <v>19.5</v>
      </c>
      <c r="E295" s="114">
        <f t="shared" ca="1" si="29"/>
        <v>0.13320106030764892</v>
      </c>
      <c r="F295" s="117" t="s">
        <v>332</v>
      </c>
    </row>
    <row r="296" spans="3:6" s="74" customFormat="1" x14ac:dyDescent="0.2">
      <c r="C296" s="74">
        <v>30</v>
      </c>
      <c r="D296" s="74">
        <v>19.600000000000001</v>
      </c>
      <c r="E296" s="114">
        <f t="shared" ca="1" si="29"/>
        <v>0.13347826913835906</v>
      </c>
      <c r="F296" s="117" t="s">
        <v>332</v>
      </c>
    </row>
    <row r="297" spans="3:6" s="74" customFormat="1" x14ac:dyDescent="0.2">
      <c r="C297" s="74">
        <v>30</v>
      </c>
      <c r="D297" s="74">
        <v>19.7</v>
      </c>
      <c r="E297" s="114">
        <f t="shared" ca="1" si="29"/>
        <v>0.13374433766276467</v>
      </c>
      <c r="F297" s="117" t="s">
        <v>332</v>
      </c>
    </row>
    <row r="298" spans="3:6" s="74" customFormat="1" x14ac:dyDescent="0.2">
      <c r="C298" s="74">
        <v>30</v>
      </c>
      <c r="D298" s="74">
        <v>19.8</v>
      </c>
      <c r="E298" s="114">
        <f t="shared" ca="1" si="29"/>
        <v>0.13399915118334396</v>
      </c>
      <c r="F298" s="117" t="s">
        <v>332</v>
      </c>
    </row>
    <row r="299" spans="3:6" s="74" customFormat="1" x14ac:dyDescent="0.2">
      <c r="C299" s="74">
        <v>30</v>
      </c>
      <c r="D299" s="74">
        <v>19.899999999999999</v>
      </c>
      <c r="E299" s="114">
        <f t="shared" ca="1" si="29"/>
        <v>0.13424259500257499</v>
      </c>
      <c r="F299" s="117" t="s">
        <v>332</v>
      </c>
    </row>
    <row r="300" spans="3:6" s="74" customFormat="1" x14ac:dyDescent="0.2">
      <c r="C300" s="74">
        <v>30</v>
      </c>
      <c r="D300" s="74">
        <v>20</v>
      </c>
      <c r="E300" s="114">
        <f t="shared" ca="1" si="29"/>
        <v>0.13447455442293582</v>
      </c>
      <c r="F300" s="117" t="s">
        <v>332</v>
      </c>
    </row>
    <row r="301" spans="3:6" s="74" customFormat="1" x14ac:dyDescent="0.2">
      <c r="C301" s="74">
        <v>30</v>
      </c>
      <c r="D301" s="74">
        <v>20.100000000000001</v>
      </c>
      <c r="E301" s="114">
        <f t="shared" ca="1" si="29"/>
        <v>0.13469491474690454</v>
      </c>
      <c r="F301" s="117" t="s">
        <v>332</v>
      </c>
    </row>
    <row r="302" spans="3:6" s="74" customFormat="1" x14ac:dyDescent="0.2">
      <c r="C302" s="74">
        <v>30</v>
      </c>
      <c r="D302" s="74">
        <v>20.2</v>
      </c>
      <c r="E302" s="114">
        <f t="shared" ca="1" si="29"/>
        <v>0.13490356127695921</v>
      </c>
      <c r="F302" s="117" t="s">
        <v>332</v>
      </c>
    </row>
    <row r="303" spans="3:6" s="74" customFormat="1" x14ac:dyDescent="0.2">
      <c r="C303" s="74">
        <v>30</v>
      </c>
      <c r="D303" s="74">
        <v>20.3</v>
      </c>
      <c r="E303" s="114">
        <f t="shared" ca="1" si="29"/>
        <v>0.13510037931557795</v>
      </c>
      <c r="F303" s="117" t="s">
        <v>332</v>
      </c>
    </row>
    <row r="304" spans="3:6" s="74" customFormat="1" x14ac:dyDescent="0.2">
      <c r="C304" s="74">
        <v>30</v>
      </c>
      <c r="D304" s="74">
        <v>20.399999999999999</v>
      </c>
      <c r="E304" s="114">
        <f t="shared" ca="1" si="29"/>
        <v>0.13528525416523884</v>
      </c>
      <c r="F304" s="117" t="s">
        <v>332</v>
      </c>
    </row>
    <row r="305" spans="3:6" s="74" customFormat="1" x14ac:dyDescent="0.2">
      <c r="C305" s="74">
        <v>30</v>
      </c>
      <c r="D305" s="74">
        <v>20.5</v>
      </c>
      <c r="E305" s="114">
        <f t="shared" ca="1" si="29"/>
        <v>0.13545807112841995</v>
      </c>
      <c r="F305" s="117" t="s">
        <v>332</v>
      </c>
    </row>
    <row r="306" spans="3:6" s="74" customFormat="1" x14ac:dyDescent="0.2">
      <c r="C306" s="74">
        <v>30</v>
      </c>
      <c r="D306" s="74">
        <v>20.6</v>
      </c>
      <c r="E306" s="114">
        <f t="shared" ca="1" si="29"/>
        <v>0.13561871550759932</v>
      </c>
      <c r="F306" s="117" t="s">
        <v>332</v>
      </c>
    </row>
    <row r="307" spans="3:6" s="74" customFormat="1" x14ac:dyDescent="0.2">
      <c r="C307" s="74">
        <v>30</v>
      </c>
      <c r="D307" s="74">
        <v>20.7</v>
      </c>
      <c r="E307" s="114">
        <f t="shared" ca="1" si="29"/>
        <v>0.13576707260525511</v>
      </c>
      <c r="F307" s="117" t="s">
        <v>332</v>
      </c>
    </row>
    <row r="308" spans="3:6" s="74" customFormat="1" x14ac:dyDescent="0.2">
      <c r="C308" s="74">
        <v>30</v>
      </c>
      <c r="D308" s="74">
        <v>20.8</v>
      </c>
      <c r="E308" s="114">
        <f t="shared" ca="1" si="29"/>
        <v>0.13590302772386537</v>
      </c>
      <c r="F308" s="117" t="s">
        <v>332</v>
      </c>
    </row>
    <row r="309" spans="3:6" s="74" customFormat="1" x14ac:dyDescent="0.2">
      <c r="C309" s="74">
        <v>30</v>
      </c>
      <c r="D309" s="74">
        <v>20.9</v>
      </c>
      <c r="E309" s="114">
        <f t="shared" ca="1" si="29"/>
        <v>0.13602646616590822</v>
      </c>
      <c r="F309" s="117" t="s">
        <v>332</v>
      </c>
    </row>
    <row r="310" spans="3:6" s="74" customFormat="1" x14ac:dyDescent="0.2">
      <c r="C310" s="74">
        <v>30</v>
      </c>
      <c r="D310" s="74">
        <v>21</v>
      </c>
      <c r="E310" s="114">
        <f t="shared" ca="1" si="29"/>
        <v>0.13613727323386163</v>
      </c>
      <c r="F310" s="117" t="s">
        <v>332</v>
      </c>
    </row>
    <row r="311" spans="3:6" s="74" customFormat="1" x14ac:dyDescent="0.2">
      <c r="C311" s="74">
        <v>30</v>
      </c>
      <c r="D311" s="74">
        <v>21.1</v>
      </c>
      <c r="E311" s="114">
        <f t="shared" ca="1" si="29"/>
        <v>0.13623533423020381</v>
      </c>
      <c r="F311" s="117" t="s">
        <v>332</v>
      </c>
    </row>
    <row r="312" spans="3:6" s="74" customFormat="1" x14ac:dyDescent="0.2">
      <c r="C312" s="74">
        <v>30</v>
      </c>
      <c r="D312" s="74">
        <v>21.2</v>
      </c>
      <c r="E312" s="114">
        <f t="shared" ca="1" si="29"/>
        <v>0.13632053445741274</v>
      </c>
      <c r="F312" s="117" t="s">
        <v>332</v>
      </c>
    </row>
    <row r="313" spans="3:6" s="74" customFormat="1" x14ac:dyDescent="0.2">
      <c r="C313" s="74">
        <v>30</v>
      </c>
      <c r="D313" s="74">
        <v>21.3</v>
      </c>
      <c r="E313" s="114">
        <f t="shared" ca="1" si="29"/>
        <v>0.13639275921796654</v>
      </c>
      <c r="F313" s="117" t="s">
        <v>332</v>
      </c>
    </row>
    <row r="314" spans="3:6" s="74" customFormat="1" x14ac:dyDescent="0.2">
      <c r="C314" s="74">
        <v>30</v>
      </c>
      <c r="D314" s="74">
        <v>21.4</v>
      </c>
      <c r="E314" s="114">
        <f t="shared" ca="1" si="29"/>
        <v>0.13645189381434336</v>
      </c>
      <c r="F314" s="117" t="s">
        <v>332</v>
      </c>
    </row>
    <row r="315" spans="3:6" s="74" customFormat="1" x14ac:dyDescent="0.2">
      <c r="C315" s="74">
        <v>30</v>
      </c>
      <c r="D315" s="74">
        <v>21.5</v>
      </c>
      <c r="E315" s="114">
        <f t="shared" ca="1" si="29"/>
        <v>0.13649782354902121</v>
      </c>
      <c r="F315" s="117" t="s">
        <v>332</v>
      </c>
    </row>
    <row r="316" spans="3:6" s="74" customFormat="1" x14ac:dyDescent="0.2">
      <c r="C316" s="74">
        <v>30</v>
      </c>
      <c r="D316" s="74">
        <v>21.6</v>
      </c>
      <c r="E316" s="114">
        <f t="shared" ca="1" si="29"/>
        <v>0.13653043372447821</v>
      </c>
      <c r="F316" s="117" t="s">
        <v>332</v>
      </c>
    </row>
    <row r="317" spans="3:6" s="74" customFormat="1" x14ac:dyDescent="0.2">
      <c r="C317" s="74">
        <v>30</v>
      </c>
      <c r="D317" s="74">
        <v>21.7</v>
      </c>
      <c r="E317" s="114">
        <f t="shared" ca="1" si="29"/>
        <v>0.13654960964319238</v>
      </c>
      <c r="F317" s="117" t="s">
        <v>332</v>
      </c>
    </row>
    <row r="318" spans="3:6" s="74" customFormat="1" x14ac:dyDescent="0.2">
      <c r="C318" s="74">
        <v>30</v>
      </c>
      <c r="D318" s="74">
        <v>21.8</v>
      </c>
      <c r="E318" s="114">
        <f t="shared" ca="1" si="29"/>
        <v>0.13655523660764188</v>
      </c>
      <c r="F318" s="117" t="s">
        <v>332</v>
      </c>
    </row>
    <row r="319" spans="3:6" s="74" customFormat="1" x14ac:dyDescent="0.2">
      <c r="C319" s="74">
        <v>30</v>
      </c>
      <c r="D319" s="74">
        <v>21.9</v>
      </c>
      <c r="E319" s="114">
        <f t="shared" ca="1" si="29"/>
        <v>0.13654719992030476</v>
      </c>
      <c r="F319" s="117" t="s">
        <v>332</v>
      </c>
    </row>
    <row r="320" spans="3:6" s="74" customFormat="1" x14ac:dyDescent="0.2">
      <c r="C320" s="74">
        <v>30</v>
      </c>
      <c r="D320" s="74">
        <v>22</v>
      </c>
      <c r="E320" s="114">
        <f t="shared" ca="1" si="29"/>
        <v>0.13652538488365912</v>
      </c>
      <c r="F320" s="117" t="s">
        <v>332</v>
      </c>
    </row>
    <row r="321" spans="3:6" s="74" customFormat="1" x14ac:dyDescent="0.2">
      <c r="C321" s="74">
        <v>30</v>
      </c>
      <c r="D321" s="74">
        <v>22.1</v>
      </c>
      <c r="E321" s="114">
        <f t="shared" ca="1" si="29"/>
        <v>0.13648967680018298</v>
      </c>
      <c r="F321" s="117" t="s">
        <v>332</v>
      </c>
    </row>
    <row r="322" spans="3:6" s="74" customFormat="1" x14ac:dyDescent="0.2">
      <c r="C322" s="74">
        <v>30</v>
      </c>
      <c r="D322" s="74">
        <v>22.2</v>
      </c>
      <c r="E322" s="114">
        <f t="shared" ca="1" si="29"/>
        <v>0.13643996097235453</v>
      </c>
      <c r="F322" s="117" t="s">
        <v>332</v>
      </c>
    </row>
    <row r="323" spans="3:6" s="74" customFormat="1" x14ac:dyDescent="0.2">
      <c r="C323" s="74">
        <v>30</v>
      </c>
      <c r="D323" s="74">
        <v>22.3</v>
      </c>
      <c r="E323" s="114">
        <f t="shared" ca="1" si="29"/>
        <v>0.13637612270265173</v>
      </c>
      <c r="F323" s="117" t="s">
        <v>332</v>
      </c>
    </row>
    <row r="324" spans="3:6" s="74" customFormat="1" x14ac:dyDescent="0.2">
      <c r="C324" s="74">
        <v>30</v>
      </c>
      <c r="D324" s="74">
        <v>22.4</v>
      </c>
      <c r="E324" s="114">
        <f t="shared" ca="1" si="29"/>
        <v>0.13629804729355274</v>
      </c>
      <c r="F324" s="117" t="s">
        <v>332</v>
      </c>
    </row>
    <row r="325" spans="3:6" s="74" customFormat="1" x14ac:dyDescent="0.2">
      <c r="C325" s="74">
        <v>30</v>
      </c>
      <c r="D325" s="74">
        <v>22.5</v>
      </c>
      <c r="E325" s="114">
        <f t="shared" ca="1" si="29"/>
        <v>0.13620562004753564</v>
      </c>
      <c r="F325" s="117" t="s">
        <v>332</v>
      </c>
    </row>
    <row r="326" spans="3:6" s="74" customFormat="1" x14ac:dyDescent="0.2">
      <c r="C326" s="74">
        <v>30</v>
      </c>
      <c r="D326" s="74">
        <v>22.6</v>
      </c>
      <c r="E326" s="114">
        <f t="shared" ca="1" si="29"/>
        <v>0.1360987262670785</v>
      </c>
      <c r="F326" s="117" t="s">
        <v>332</v>
      </c>
    </row>
    <row r="327" spans="3:6" s="74" customFormat="1" x14ac:dyDescent="0.2">
      <c r="C327" s="74">
        <v>30</v>
      </c>
      <c r="D327" s="74">
        <v>22.7</v>
      </c>
      <c r="E327" s="114">
        <f t="shared" ca="1" si="29"/>
        <v>0.13597725125465934</v>
      </c>
      <c r="F327" s="117" t="s">
        <v>332</v>
      </c>
    </row>
    <row r="328" spans="3:6" s="74" customFormat="1" x14ac:dyDescent="0.2">
      <c r="C328" s="74">
        <v>30</v>
      </c>
      <c r="D328" s="74">
        <v>22.8</v>
      </c>
      <c r="E328" s="114">
        <f t="shared" ca="1" si="29"/>
        <v>0.13584108031275638</v>
      </c>
      <c r="F328" s="117" t="s">
        <v>332</v>
      </c>
    </row>
    <row r="329" spans="3:6" s="74" customFormat="1" x14ac:dyDescent="0.2">
      <c r="C329" s="74">
        <v>30</v>
      </c>
      <c r="D329" s="74">
        <v>22.9</v>
      </c>
      <c r="E329" s="114">
        <f t="shared" ca="1" si="29"/>
        <v>0.13569009874384766</v>
      </c>
      <c r="F329" s="117" t="s">
        <v>332</v>
      </c>
    </row>
    <row r="330" spans="3:6" s="74" customFormat="1" x14ac:dyDescent="0.2">
      <c r="C330" s="74">
        <v>30</v>
      </c>
      <c r="D330" s="74">
        <v>23</v>
      </c>
      <c r="E330" s="114">
        <f t="shared" ca="1" si="29"/>
        <v>0.13552419185041112</v>
      </c>
      <c r="F330" s="117" t="s">
        <v>332</v>
      </c>
    </row>
    <row r="331" spans="3:6" s="74" customFormat="1" x14ac:dyDescent="0.2">
      <c r="C331" s="74">
        <v>30</v>
      </c>
      <c r="D331" s="74">
        <v>23.1</v>
      </c>
      <c r="E331" s="114">
        <f t="shared" ca="1" si="29"/>
        <v>0.13534324493492503</v>
      </c>
      <c r="F331" s="117" t="s">
        <v>332</v>
      </c>
    </row>
    <row r="332" spans="3:6" s="74" customFormat="1" x14ac:dyDescent="0.2">
      <c r="C332" s="74">
        <v>30</v>
      </c>
      <c r="D332" s="74">
        <v>23.2</v>
      </c>
      <c r="E332" s="114">
        <f t="shared" ca="1" si="29"/>
        <v>0.13514714329986738</v>
      </c>
      <c r="F332" s="117" t="s">
        <v>332</v>
      </c>
    </row>
    <row r="333" spans="3:6" s="74" customFormat="1" x14ac:dyDescent="0.2">
      <c r="C333" s="74">
        <v>30</v>
      </c>
      <c r="D333" s="74">
        <v>23.3</v>
      </c>
      <c r="E333" s="114">
        <f t="shared" ca="1" si="29"/>
        <v>0.13493577224771625</v>
      </c>
      <c r="F333" s="117" t="s">
        <v>332</v>
      </c>
    </row>
    <row r="334" spans="3:6" s="74" customFormat="1" x14ac:dyDescent="0.2">
      <c r="C334" s="74">
        <v>30</v>
      </c>
      <c r="D334" s="74">
        <v>23.4</v>
      </c>
      <c r="E334" s="114">
        <f t="shared" ca="1" si="29"/>
        <v>0.13470901708094976</v>
      </c>
      <c r="F334" s="117" t="s">
        <v>332</v>
      </c>
    </row>
    <row r="335" spans="3:6" s="74" customFormat="1" x14ac:dyDescent="0.2">
      <c r="C335" s="74">
        <v>30</v>
      </c>
      <c r="D335" s="74">
        <v>23.5</v>
      </c>
      <c r="E335" s="114">
        <f t="shared" ca="1" si="29"/>
        <v>0.13446676310204603</v>
      </c>
      <c r="F335" s="117" t="s">
        <v>332</v>
      </c>
    </row>
    <row r="336" spans="3:6" s="74" customFormat="1" x14ac:dyDescent="0.2">
      <c r="C336" s="74">
        <v>30</v>
      </c>
      <c r="D336" s="74">
        <v>23.6</v>
      </c>
      <c r="E336" s="114">
        <f t="shared" ca="1" si="29"/>
        <v>0.13420889561348304</v>
      </c>
      <c r="F336" s="117" t="s">
        <v>332</v>
      </c>
    </row>
    <row r="337" spans="3:6" s="74" customFormat="1" x14ac:dyDescent="0.2">
      <c r="C337" s="74">
        <v>30</v>
      </c>
      <c r="D337" s="74">
        <v>23.7</v>
      </c>
      <c r="E337" s="114">
        <f t="shared" ca="1" si="29"/>
        <v>0.13393529991773884</v>
      </c>
      <c r="F337" s="117" t="s">
        <v>332</v>
      </c>
    </row>
    <row r="338" spans="3:6" s="74" customFormat="1" x14ac:dyDescent="0.2">
      <c r="C338" s="74">
        <v>30</v>
      </c>
      <c r="D338" s="74">
        <v>23.8</v>
      </c>
      <c r="E338" s="114">
        <f t="shared" ca="1" si="29"/>
        <v>0.1336458613172917</v>
      </c>
      <c r="F338" s="117" t="s">
        <v>332</v>
      </c>
    </row>
    <row r="339" spans="3:6" s="74" customFormat="1" x14ac:dyDescent="0.2">
      <c r="C339" s="74">
        <v>30</v>
      </c>
      <c r="D339" s="74">
        <v>23.9</v>
      </c>
      <c r="E339" s="114">
        <f t="shared" ca="1" si="29"/>
        <v>0.13334046511461956</v>
      </c>
      <c r="F339" s="117" t="s">
        <v>332</v>
      </c>
    </row>
    <row r="340" spans="3:6" s="74" customFormat="1" x14ac:dyDescent="0.2">
      <c r="C340" s="74">
        <v>30</v>
      </c>
      <c r="D340" s="74">
        <v>24</v>
      </c>
      <c r="E340" s="114">
        <f t="shared" ca="1" si="29"/>
        <v>0.13301899661220054</v>
      </c>
      <c r="F340" s="117" t="s">
        <v>332</v>
      </c>
    </row>
    <row r="341" spans="3:6" s="74" customFormat="1" x14ac:dyDescent="0.2">
      <c r="C341" s="74">
        <v>30</v>
      </c>
      <c r="D341" s="74">
        <v>24.1</v>
      </c>
      <c r="E341" s="114">
        <f t="shared" ca="1" si="29"/>
        <v>0.13268134111251273</v>
      </c>
      <c r="F341" s="117" t="s">
        <v>332</v>
      </c>
    </row>
    <row r="342" spans="3:6" s="74" customFormat="1" x14ac:dyDescent="0.2">
      <c r="C342" s="74">
        <v>30</v>
      </c>
      <c r="D342" s="74">
        <v>24.2</v>
      </c>
      <c r="E342" s="114">
        <f t="shared" ca="1" si="29"/>
        <v>0.1323273839180342</v>
      </c>
      <c r="F342" s="117" t="s">
        <v>332</v>
      </c>
    </row>
    <row r="343" spans="3:6" s="74" customFormat="1" x14ac:dyDescent="0.2">
      <c r="C343" s="74">
        <v>30</v>
      </c>
      <c r="D343" s="74">
        <v>24.3</v>
      </c>
      <c r="E343" s="114">
        <f t="shared" ca="1" si="29"/>
        <v>0.13195701033124307</v>
      </c>
      <c r="F343" s="117" t="s">
        <v>332</v>
      </c>
    </row>
    <row r="344" spans="3:6" s="74" customFormat="1" x14ac:dyDescent="0.2">
      <c r="C344" s="74">
        <v>30</v>
      </c>
      <c r="D344" s="74">
        <v>24.4</v>
      </c>
      <c r="E344" s="114">
        <f t="shared" ca="1" si="29"/>
        <v>0.13157010565461738</v>
      </c>
      <c r="F344" s="117" t="s">
        <v>332</v>
      </c>
    </row>
    <row r="345" spans="3:6" s="74" customFormat="1" x14ac:dyDescent="0.2">
      <c r="C345" s="74">
        <v>30</v>
      </c>
      <c r="D345" s="74">
        <v>24.5</v>
      </c>
      <c r="E345" s="114">
        <f t="shared" ca="1" si="29"/>
        <v>0.13116655519063519</v>
      </c>
      <c r="F345" s="117" t="s">
        <v>332</v>
      </c>
    </row>
    <row r="346" spans="3:6" s="74" customFormat="1" x14ac:dyDescent="0.2">
      <c r="C346" s="74">
        <v>30</v>
      </c>
      <c r="D346" s="74">
        <v>24.6</v>
      </c>
      <c r="E346" s="114">
        <f t="shared" ca="1" si="29"/>
        <v>0.13074624424177464</v>
      </c>
      <c r="F346" s="117" t="s">
        <v>332</v>
      </c>
    </row>
    <row r="347" spans="3:6" s="74" customFormat="1" x14ac:dyDescent="0.2">
      <c r="C347" s="74">
        <v>30</v>
      </c>
      <c r="D347" s="74">
        <v>24.7</v>
      </c>
      <c r="E347" s="114">
        <f t="shared" ca="1" si="29"/>
        <v>0.1303090581105138</v>
      </c>
      <c r="F347" s="117" t="s">
        <v>332</v>
      </c>
    </row>
    <row r="348" spans="3:6" s="74" customFormat="1" x14ac:dyDescent="0.2">
      <c r="C348" s="74">
        <v>30</v>
      </c>
      <c r="D348" s="74">
        <v>24.8</v>
      </c>
      <c r="E348" s="114">
        <f t="shared" ca="1" si="29"/>
        <v>0.12985488209933069</v>
      </c>
      <c r="F348" s="117" t="s">
        <v>332</v>
      </c>
    </row>
    <row r="349" spans="3:6" s="74" customFormat="1" x14ac:dyDescent="0.2">
      <c r="C349" s="74">
        <v>30</v>
      </c>
      <c r="D349" s="74">
        <v>24.9</v>
      </c>
      <c r="E349" s="114">
        <f t="shared" ca="1" si="29"/>
        <v>0.12938360151070347</v>
      </c>
      <c r="F349" s="117" t="s">
        <v>332</v>
      </c>
    </row>
    <row r="350" spans="3:6" s="74" customFormat="1" x14ac:dyDescent="0.2">
      <c r="C350" s="74">
        <v>30</v>
      </c>
      <c r="D350" s="74">
        <v>25</v>
      </c>
      <c r="E350" s="114">
        <f t="shared" ca="1" si="29"/>
        <v>0.12889510164711021</v>
      </c>
      <c r="F350" s="117" t="s">
        <v>332</v>
      </c>
    </row>
    <row r="351" spans="3:6" s="74" customFormat="1" x14ac:dyDescent="0.2">
      <c r="C351" s="74">
        <v>30</v>
      </c>
      <c r="D351" s="74">
        <v>25.1</v>
      </c>
      <c r="E351" s="114">
        <f t="shared" ca="1" si="29"/>
        <v>0.12838926781102897</v>
      </c>
      <c r="F351" s="117" t="s">
        <v>332</v>
      </c>
    </row>
    <row r="352" spans="3:6" s="74" customFormat="1" x14ac:dyDescent="0.2">
      <c r="C352" s="74">
        <v>30</v>
      </c>
      <c r="D352" s="74">
        <v>25.2</v>
      </c>
      <c r="E352" s="114">
        <f t="shared" ca="1" si="29"/>
        <v>0.12786598530493787</v>
      </c>
      <c r="F352" s="117" t="s">
        <v>332</v>
      </c>
    </row>
    <row r="353" spans="3:6" s="74" customFormat="1" x14ac:dyDescent="0.2">
      <c r="C353" s="74">
        <v>30</v>
      </c>
      <c r="D353" s="74">
        <v>25.3</v>
      </c>
      <c r="E353" s="114">
        <f t="shared" ca="1" si="29"/>
        <v>0.12732513943131493</v>
      </c>
      <c r="F353" s="117" t="s">
        <v>332</v>
      </c>
    </row>
    <row r="354" spans="3:6" s="74" customFormat="1" x14ac:dyDescent="0.2">
      <c r="C354" s="74">
        <v>30</v>
      </c>
      <c r="D354" s="74">
        <v>25.4</v>
      </c>
      <c r="E354" s="114">
        <f t="shared" ca="1" si="29"/>
        <v>0.12676661549263835</v>
      </c>
      <c r="F354" s="117" t="s">
        <v>332</v>
      </c>
    </row>
    <row r="355" spans="3:6" s="74" customFormat="1" x14ac:dyDescent="0.2">
      <c r="C355" s="74">
        <v>30</v>
      </c>
      <c r="D355" s="74">
        <v>25.5</v>
      </c>
      <c r="E355" s="114">
        <f t="shared" ca="1" si="29"/>
        <v>0.12619029879138602</v>
      </c>
      <c r="F355" s="117" t="s">
        <v>332</v>
      </c>
    </row>
    <row r="356" spans="3:6" s="74" customFormat="1" x14ac:dyDescent="0.2">
      <c r="C356" s="74">
        <v>30</v>
      </c>
      <c r="D356" s="74">
        <v>25.6</v>
      </c>
      <c r="E356" s="114">
        <f t="shared" ref="E356:E400" ca="1" si="30">INDIRECT("a_" &amp; i) * t^3 + INDIRECT("b_" &amp; i) * t^2 + INDIRECT("c_" &amp; i) * t^1 + INDIRECT("d_" &amp; i)</f>
        <v>0.12559607463003625</v>
      </c>
      <c r="F356" s="117" t="s">
        <v>332</v>
      </c>
    </row>
    <row r="357" spans="3:6" s="74" customFormat="1" x14ac:dyDescent="0.2">
      <c r="C357" s="74">
        <v>30</v>
      </c>
      <c r="D357" s="74">
        <v>25.7</v>
      </c>
      <c r="E357" s="114">
        <f t="shared" ca="1" si="30"/>
        <v>0.12498382831106689</v>
      </c>
      <c r="F357" s="117" t="s">
        <v>332</v>
      </c>
    </row>
    <row r="358" spans="3:6" s="74" customFormat="1" x14ac:dyDescent="0.2">
      <c r="C358" s="74">
        <v>30</v>
      </c>
      <c r="D358" s="74">
        <v>25.8</v>
      </c>
      <c r="E358" s="114">
        <f t="shared" ca="1" si="30"/>
        <v>0.12435344513695623</v>
      </c>
      <c r="F358" s="117" t="s">
        <v>332</v>
      </c>
    </row>
    <row r="359" spans="3:6" s="74" customFormat="1" x14ac:dyDescent="0.2">
      <c r="C359" s="74">
        <v>30</v>
      </c>
      <c r="D359" s="74">
        <v>25.9</v>
      </c>
      <c r="E359" s="114">
        <f t="shared" ca="1" si="30"/>
        <v>0.12370481041018219</v>
      </c>
      <c r="F359" s="117" t="s">
        <v>332</v>
      </c>
    </row>
    <row r="360" spans="3:6" s="74" customFormat="1" x14ac:dyDescent="0.2">
      <c r="C360" s="74">
        <v>30</v>
      </c>
      <c r="D360" s="74">
        <v>26</v>
      </c>
      <c r="E360" s="114">
        <f t="shared" ca="1" si="30"/>
        <v>0.12303780943322296</v>
      </c>
      <c r="F360" s="117" t="s">
        <v>332</v>
      </c>
    </row>
    <row r="361" spans="3:6" s="74" customFormat="1" x14ac:dyDescent="0.2">
      <c r="C361" s="74">
        <v>30</v>
      </c>
      <c r="D361" s="74">
        <v>26.1</v>
      </c>
      <c r="E361" s="114">
        <f t="shared" ca="1" si="30"/>
        <v>0.1223523275085566</v>
      </c>
      <c r="F361" s="117" t="s">
        <v>332</v>
      </c>
    </row>
    <row r="362" spans="3:6" s="74" customFormat="1" x14ac:dyDescent="0.2">
      <c r="C362" s="74">
        <v>30</v>
      </c>
      <c r="D362" s="74">
        <v>26.2</v>
      </c>
      <c r="E362" s="114">
        <f t="shared" ca="1" si="30"/>
        <v>0.12164824993866123</v>
      </c>
      <c r="F362" s="117" t="s">
        <v>332</v>
      </c>
    </row>
    <row r="363" spans="3:6" s="74" customFormat="1" x14ac:dyDescent="0.2">
      <c r="C363" s="74">
        <v>30</v>
      </c>
      <c r="D363" s="74">
        <v>26.3</v>
      </c>
      <c r="E363" s="114">
        <f t="shared" ca="1" si="30"/>
        <v>0.12092546202601487</v>
      </c>
      <c r="F363" s="117" t="s">
        <v>332</v>
      </c>
    </row>
    <row r="364" spans="3:6" s="74" customFormat="1" x14ac:dyDescent="0.2">
      <c r="C364" s="74">
        <v>30</v>
      </c>
      <c r="D364" s="74">
        <v>26.4</v>
      </c>
      <c r="E364" s="114">
        <f t="shared" ca="1" si="30"/>
        <v>0.12018384907309553</v>
      </c>
      <c r="F364" s="117" t="s">
        <v>332</v>
      </c>
    </row>
    <row r="365" spans="3:6" s="74" customFormat="1" x14ac:dyDescent="0.2">
      <c r="C365" s="74">
        <v>30</v>
      </c>
      <c r="D365" s="74">
        <v>26.5</v>
      </c>
      <c r="E365" s="114">
        <f t="shared" ca="1" si="30"/>
        <v>0.11942329638238143</v>
      </c>
      <c r="F365" s="117" t="s">
        <v>332</v>
      </c>
    </row>
    <row r="366" spans="3:6" s="74" customFormat="1" x14ac:dyDescent="0.2">
      <c r="C366" s="74">
        <v>30</v>
      </c>
      <c r="D366" s="74">
        <v>26.6</v>
      </c>
      <c r="E366" s="114">
        <f t="shared" ca="1" si="30"/>
        <v>0.11864368925635059</v>
      </c>
      <c r="F366" s="117" t="s">
        <v>332</v>
      </c>
    </row>
    <row r="367" spans="3:6" s="74" customFormat="1" x14ac:dyDescent="0.2">
      <c r="C367" s="74">
        <v>30</v>
      </c>
      <c r="D367" s="74">
        <v>26.7</v>
      </c>
      <c r="E367" s="114">
        <f t="shared" ca="1" si="30"/>
        <v>0.11784491299748114</v>
      </c>
      <c r="F367" s="117" t="s">
        <v>332</v>
      </c>
    </row>
    <row r="368" spans="3:6" s="74" customFormat="1" x14ac:dyDescent="0.2">
      <c r="C368" s="74">
        <v>30</v>
      </c>
      <c r="D368" s="74">
        <v>26.8</v>
      </c>
      <c r="E368" s="114">
        <f t="shared" ca="1" si="30"/>
        <v>0.11702685290825109</v>
      </c>
      <c r="F368" s="117" t="s">
        <v>332</v>
      </c>
    </row>
    <row r="369" spans="3:6" s="74" customFormat="1" x14ac:dyDescent="0.2">
      <c r="C369" s="74">
        <v>30</v>
      </c>
      <c r="D369" s="74">
        <v>26.9</v>
      </c>
      <c r="E369" s="114">
        <f t="shared" ca="1" si="30"/>
        <v>0.11618939429113861</v>
      </c>
      <c r="F369" s="117" t="s">
        <v>332</v>
      </c>
    </row>
    <row r="370" spans="3:6" s="74" customFormat="1" x14ac:dyDescent="0.2">
      <c r="C370" s="74">
        <v>30</v>
      </c>
      <c r="D370" s="74">
        <v>27</v>
      </c>
      <c r="E370" s="114">
        <f t="shared" ca="1" si="30"/>
        <v>0.11533242244862171</v>
      </c>
      <c r="F370" s="117" t="s">
        <v>332</v>
      </c>
    </row>
    <row r="371" spans="3:6" s="74" customFormat="1" x14ac:dyDescent="0.2">
      <c r="C371" s="74">
        <v>30</v>
      </c>
      <c r="D371" s="74">
        <v>27.1</v>
      </c>
      <c r="E371" s="114">
        <f t="shared" ca="1" si="30"/>
        <v>0.1144558226831785</v>
      </c>
      <c r="F371" s="117" t="s">
        <v>332</v>
      </c>
    </row>
    <row r="372" spans="3:6" s="74" customFormat="1" x14ac:dyDescent="0.2">
      <c r="C372" s="74">
        <v>30</v>
      </c>
      <c r="D372" s="74">
        <v>27.2</v>
      </c>
      <c r="E372" s="114">
        <f t="shared" ca="1" si="30"/>
        <v>0.1135594802972871</v>
      </c>
      <c r="F372" s="117" t="s">
        <v>332</v>
      </c>
    </row>
    <row r="373" spans="3:6" s="74" customFormat="1" x14ac:dyDescent="0.2">
      <c r="C373" s="74">
        <v>30</v>
      </c>
      <c r="D373" s="74">
        <v>27.3</v>
      </c>
      <c r="E373" s="114">
        <f t="shared" ca="1" si="30"/>
        <v>0.11264328059342549</v>
      </c>
      <c r="F373" s="117" t="s">
        <v>332</v>
      </c>
    </row>
    <row r="374" spans="3:6" s="74" customFormat="1" x14ac:dyDescent="0.2">
      <c r="C374" s="74">
        <v>30</v>
      </c>
      <c r="D374" s="74">
        <v>27.4</v>
      </c>
      <c r="E374" s="114">
        <f t="shared" ca="1" si="30"/>
        <v>0.11170710887407177</v>
      </c>
      <c r="F374" s="117" t="s">
        <v>332</v>
      </c>
    </row>
    <row r="375" spans="3:6" s="74" customFormat="1" x14ac:dyDescent="0.2">
      <c r="C375" s="74">
        <v>30</v>
      </c>
      <c r="D375" s="74">
        <v>27.5</v>
      </c>
      <c r="E375" s="114">
        <f t="shared" ca="1" si="30"/>
        <v>0.11075085044170419</v>
      </c>
      <c r="F375" s="117" t="s">
        <v>332</v>
      </c>
    </row>
    <row r="376" spans="3:6" s="74" customFormat="1" x14ac:dyDescent="0.2">
      <c r="C376" s="74">
        <v>30</v>
      </c>
      <c r="D376" s="74">
        <v>27.6</v>
      </c>
      <c r="E376" s="114">
        <f t="shared" ca="1" si="30"/>
        <v>0.10977439059880065</v>
      </c>
      <c r="F376" s="117" t="s">
        <v>332</v>
      </c>
    </row>
    <row r="377" spans="3:6" s="74" customFormat="1" x14ac:dyDescent="0.2">
      <c r="C377" s="74">
        <v>30</v>
      </c>
      <c r="D377" s="74">
        <v>27.7</v>
      </c>
      <c r="E377" s="114">
        <f t="shared" ca="1" si="30"/>
        <v>0.10877761464783935</v>
      </c>
      <c r="F377" s="117" t="s">
        <v>332</v>
      </c>
    </row>
    <row r="378" spans="3:6" s="74" customFormat="1" x14ac:dyDescent="0.2">
      <c r="C378" s="74">
        <v>30</v>
      </c>
      <c r="D378" s="74">
        <v>27.8</v>
      </c>
      <c r="E378" s="114">
        <f t="shared" ca="1" si="30"/>
        <v>0.10776040789129827</v>
      </c>
      <c r="F378" s="117" t="s">
        <v>332</v>
      </c>
    </row>
    <row r="379" spans="3:6" s="74" customFormat="1" x14ac:dyDescent="0.2">
      <c r="C379" s="74">
        <v>30</v>
      </c>
      <c r="D379" s="74">
        <v>27.9</v>
      </c>
      <c r="E379" s="114">
        <f t="shared" ca="1" si="30"/>
        <v>0.10672265563165549</v>
      </c>
      <c r="F379" s="117" t="s">
        <v>332</v>
      </c>
    </row>
    <row r="380" spans="3:6" s="74" customFormat="1" x14ac:dyDescent="0.2">
      <c r="C380" s="74">
        <v>30</v>
      </c>
      <c r="D380" s="74">
        <v>28</v>
      </c>
      <c r="E380" s="114">
        <f t="shared" ca="1" si="30"/>
        <v>0.10566424317138924</v>
      </c>
      <c r="F380" s="117" t="s">
        <v>332</v>
      </c>
    </row>
    <row r="381" spans="3:6" s="74" customFormat="1" x14ac:dyDescent="0.2">
      <c r="C381" s="74">
        <v>30</v>
      </c>
      <c r="D381" s="74">
        <v>28.1</v>
      </c>
      <c r="E381" s="114">
        <f t="shared" ca="1" si="30"/>
        <v>0.10458505581297743</v>
      </c>
      <c r="F381" s="117" t="s">
        <v>332</v>
      </c>
    </row>
    <row r="382" spans="3:6" s="74" customFormat="1" x14ac:dyDescent="0.2">
      <c r="C382" s="74">
        <v>30</v>
      </c>
      <c r="D382" s="74">
        <v>28.2</v>
      </c>
      <c r="E382" s="114">
        <f t="shared" ca="1" si="30"/>
        <v>0.10348497885889829</v>
      </c>
      <c r="F382" s="117" t="s">
        <v>332</v>
      </c>
    </row>
    <row r="383" spans="3:6" s="74" customFormat="1" x14ac:dyDescent="0.2">
      <c r="C383" s="74">
        <v>30</v>
      </c>
      <c r="D383" s="74">
        <v>28.3</v>
      </c>
      <c r="E383" s="114">
        <f t="shared" ca="1" si="30"/>
        <v>0.10236389761162977</v>
      </c>
      <c r="F383" s="117" t="s">
        <v>332</v>
      </c>
    </row>
    <row r="384" spans="3:6" s="74" customFormat="1" x14ac:dyDescent="0.2">
      <c r="C384" s="74">
        <v>30</v>
      </c>
      <c r="D384" s="74">
        <v>28.4</v>
      </c>
      <c r="E384" s="114">
        <f t="shared" ca="1" si="30"/>
        <v>0.10122169737365005</v>
      </c>
      <c r="F384" s="117" t="s">
        <v>332</v>
      </c>
    </row>
    <row r="385" spans="3:9" s="74" customFormat="1" x14ac:dyDescent="0.2">
      <c r="C385" s="74">
        <v>30</v>
      </c>
      <c r="D385" s="74">
        <v>28.5</v>
      </c>
      <c r="E385" s="114">
        <f t="shared" ca="1" si="30"/>
        <v>0.10005826344743721</v>
      </c>
      <c r="F385" s="117" t="s">
        <v>332</v>
      </c>
    </row>
    <row r="386" spans="3:9" s="74" customFormat="1" x14ac:dyDescent="0.2">
      <c r="C386" s="74">
        <v>30</v>
      </c>
      <c r="D386" s="74">
        <v>28.6</v>
      </c>
      <c r="E386" s="114">
        <f t="shared" ca="1" si="30"/>
        <v>9.8873481135469232E-2</v>
      </c>
      <c r="F386" s="117" t="s">
        <v>332</v>
      </c>
    </row>
    <row r="387" spans="3:9" s="74" customFormat="1" x14ac:dyDescent="0.2">
      <c r="C387" s="74">
        <v>30</v>
      </c>
      <c r="D387" s="74">
        <v>28.7</v>
      </c>
      <c r="E387" s="114">
        <f t="shared" ca="1" si="30"/>
        <v>9.7667235740224317E-2</v>
      </c>
      <c r="F387" s="117" t="s">
        <v>332</v>
      </c>
    </row>
    <row r="388" spans="3:9" s="74" customFormat="1" x14ac:dyDescent="0.2">
      <c r="C388" s="74">
        <v>30</v>
      </c>
      <c r="D388" s="74">
        <v>28.8</v>
      </c>
      <c r="E388" s="114">
        <f t="shared" ca="1" si="30"/>
        <v>9.6439412564180427E-2</v>
      </c>
      <c r="F388" s="117" t="s">
        <v>332</v>
      </c>
    </row>
    <row r="389" spans="3:9" s="74" customFormat="1" x14ac:dyDescent="0.2">
      <c r="C389" s="74">
        <v>30</v>
      </c>
      <c r="D389" s="74">
        <v>28.9</v>
      </c>
      <c r="E389" s="114">
        <f t="shared" ca="1" si="30"/>
        <v>9.5189896909815788E-2</v>
      </c>
      <c r="F389" s="117" t="s">
        <v>332</v>
      </c>
    </row>
    <row r="390" spans="3:9" s="74" customFormat="1" x14ac:dyDescent="0.2">
      <c r="C390" s="74">
        <v>30</v>
      </c>
      <c r="D390" s="74">
        <v>29</v>
      </c>
      <c r="E390" s="114">
        <f t="shared" ca="1" si="30"/>
        <v>9.391857407960845E-2</v>
      </c>
      <c r="F390" s="117" t="s">
        <v>332</v>
      </c>
    </row>
    <row r="391" spans="3:9" s="74" customFormat="1" x14ac:dyDescent="0.2">
      <c r="C391" s="74">
        <v>30</v>
      </c>
      <c r="D391" s="74">
        <v>29.1</v>
      </c>
      <c r="E391" s="114">
        <f t="shared" ca="1" si="30"/>
        <v>9.2625329376036375E-2</v>
      </c>
      <c r="F391" s="117" t="s">
        <v>332</v>
      </c>
    </row>
    <row r="392" spans="3:9" s="74" customFormat="1" x14ac:dyDescent="0.2">
      <c r="C392" s="74">
        <v>30</v>
      </c>
      <c r="D392" s="74">
        <v>29.2</v>
      </c>
      <c r="E392" s="114">
        <f t="shared" ca="1" si="30"/>
        <v>9.1310048101577709E-2</v>
      </c>
      <c r="F392" s="117" t="s">
        <v>332</v>
      </c>
    </row>
    <row r="393" spans="3:9" s="74" customFormat="1" x14ac:dyDescent="0.2">
      <c r="C393" s="74">
        <v>30</v>
      </c>
      <c r="D393" s="74">
        <v>29.3</v>
      </c>
      <c r="E393" s="114">
        <f t="shared" ca="1" si="30"/>
        <v>8.997261555871057E-2</v>
      </c>
      <c r="F393" s="117" t="s">
        <v>332</v>
      </c>
    </row>
    <row r="394" spans="3:9" s="74" customFormat="1" x14ac:dyDescent="0.2">
      <c r="C394" s="74">
        <v>30</v>
      </c>
      <c r="D394" s="74">
        <v>29.4</v>
      </c>
      <c r="E394" s="114">
        <f t="shared" ca="1" si="30"/>
        <v>8.8612917049913073E-2</v>
      </c>
      <c r="F394" s="117" t="s">
        <v>332</v>
      </c>
    </row>
    <row r="395" spans="3:9" s="74" customFormat="1" x14ac:dyDescent="0.2">
      <c r="C395" s="74">
        <v>30</v>
      </c>
      <c r="D395" s="74">
        <v>29.5</v>
      </c>
      <c r="E395" s="114">
        <f t="shared" ca="1" si="30"/>
        <v>8.7230837877663239E-2</v>
      </c>
      <c r="F395" s="117" t="s">
        <v>332</v>
      </c>
    </row>
    <row r="396" spans="3:9" s="74" customFormat="1" x14ac:dyDescent="0.2">
      <c r="C396" s="74">
        <v>30</v>
      </c>
      <c r="D396" s="74">
        <v>29.6</v>
      </c>
      <c r="E396" s="114">
        <f t="shared" ca="1" si="30"/>
        <v>8.5826263344439199E-2</v>
      </c>
      <c r="F396" s="117" t="s">
        <v>332</v>
      </c>
    </row>
    <row r="397" spans="3:9" s="74" customFormat="1" x14ac:dyDescent="0.2">
      <c r="C397" s="74">
        <v>30</v>
      </c>
      <c r="D397" s="74">
        <v>29.7</v>
      </c>
      <c r="E397" s="114">
        <f t="shared" ca="1" si="30"/>
        <v>8.4399078752718959E-2</v>
      </c>
      <c r="F397" s="117" t="s">
        <v>332</v>
      </c>
    </row>
    <row r="398" spans="3:9" s="74" customFormat="1" x14ac:dyDescent="0.2">
      <c r="C398" s="74">
        <v>30</v>
      </c>
      <c r="D398" s="74">
        <v>29.8</v>
      </c>
      <c r="E398" s="114">
        <f t="shared" ca="1" si="30"/>
        <v>8.2949169404980622E-2</v>
      </c>
      <c r="F398" s="117" t="s">
        <v>332</v>
      </c>
    </row>
    <row r="399" spans="3:9" s="74" customFormat="1" x14ac:dyDescent="0.2">
      <c r="C399" s="74">
        <v>30</v>
      </c>
      <c r="D399" s="74">
        <v>29.9</v>
      </c>
      <c r="E399" s="114">
        <f t="shared" ca="1" si="30"/>
        <v>8.1476420603702415E-2</v>
      </c>
      <c r="F399" s="117" t="s">
        <v>332</v>
      </c>
    </row>
    <row r="400" spans="3:9" s="74" customFormat="1" x14ac:dyDescent="0.2">
      <c r="C400" s="74">
        <v>30</v>
      </c>
      <c r="D400" s="74">
        <v>30</v>
      </c>
      <c r="E400" s="114">
        <f t="shared" ca="1" si="30"/>
        <v>7.9980717651362082E-2</v>
      </c>
      <c r="F400" s="117">
        <v>0.08</v>
      </c>
      <c r="G400" s="117">
        <f ca="1">F400-E400</f>
        <v>1.9282348637919555E-5</v>
      </c>
      <c r="H400" s="117"/>
      <c r="I400" s="117"/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74"/>
    <col min="4" max="4" width="22.33203125" style="74" bestFit="1" customWidth="1"/>
    <col min="5" max="5" width="10.83203125" style="74"/>
    <col min="6" max="38" width="3.83203125" style="74" customWidth="1"/>
    <col min="39" max="39" width="5.1640625" style="74" bestFit="1" customWidth="1"/>
    <col min="40" max="40" width="7" style="74" bestFit="1" customWidth="1"/>
    <col min="41" max="42" width="3.83203125" customWidth="1"/>
    <col min="44" max="16384" width="10.83203125" style="74"/>
  </cols>
  <sheetData>
    <row r="1" spans="1:43" x14ac:dyDescent="0.2">
      <c r="A1" s="74" t="s">
        <v>261</v>
      </c>
      <c r="AO1" s="74"/>
      <c r="AP1" s="74"/>
      <c r="AQ1" s="74"/>
    </row>
    <row r="2" spans="1:43" s="73" customFormat="1" ht="26" x14ac:dyDescent="0.3"/>
    <row r="3" spans="1:43" ht="29" x14ac:dyDescent="0.3">
      <c r="C3" s="73" t="s">
        <v>210</v>
      </c>
      <c r="AO3" s="74"/>
      <c r="AP3" s="74"/>
      <c r="AQ3" s="74"/>
    </row>
    <row r="4" spans="1:43" ht="26" x14ac:dyDescent="0.3">
      <c r="C4" s="73"/>
      <c r="AO4" s="74"/>
      <c r="AP4" s="74"/>
      <c r="AQ4" s="74"/>
    </row>
    <row r="5" spans="1:43" ht="29" x14ac:dyDescent="0.3">
      <c r="C5" s="73" t="s">
        <v>211</v>
      </c>
      <c r="AO5" s="74"/>
      <c r="AP5" s="74"/>
      <c r="AQ5" s="74"/>
    </row>
    <row r="6" spans="1:43" ht="26" x14ac:dyDescent="0.3">
      <c r="C6" s="73"/>
      <c r="AO6" s="74"/>
      <c r="AP6" s="74"/>
      <c r="AQ6" s="74"/>
    </row>
    <row r="7" spans="1:43" ht="26" x14ac:dyDescent="0.3">
      <c r="C7" s="73" t="s">
        <v>212</v>
      </c>
      <c r="AO7" s="74"/>
      <c r="AP7" s="74"/>
      <c r="AQ7" s="74"/>
    </row>
    <row r="8" spans="1:43" x14ac:dyDescent="0.2">
      <c r="AO8" s="74"/>
      <c r="AP8" s="74"/>
      <c r="AQ8" s="74"/>
    </row>
    <row r="9" spans="1:43" x14ac:dyDescent="0.2">
      <c r="AO9" s="74"/>
      <c r="AP9" s="74"/>
      <c r="AQ9" s="74"/>
    </row>
    <row r="10" spans="1:43" x14ac:dyDescent="0.2">
      <c r="AO10" s="74"/>
      <c r="AP10" s="74"/>
      <c r="AQ10" s="74"/>
    </row>
    <row r="11" spans="1:43" x14ac:dyDescent="0.2">
      <c r="B11" s="55" t="s">
        <v>188</v>
      </c>
      <c r="C11" s="55" t="s">
        <v>189</v>
      </c>
      <c r="AO11" s="74"/>
      <c r="AP11" s="74"/>
      <c r="AQ11" s="74"/>
    </row>
    <row r="12" spans="1:43" x14ac:dyDescent="0.2">
      <c r="B12" s="74">
        <v>0</v>
      </c>
      <c r="C12" s="90">
        <v>0</v>
      </c>
      <c r="D12" s="91"/>
      <c r="AO12" s="74"/>
      <c r="AP12" s="74"/>
      <c r="AQ12" s="74"/>
    </row>
    <row r="13" spans="1:43" x14ac:dyDescent="0.2">
      <c r="B13" s="74">
        <v>1</v>
      </c>
      <c r="C13" s="90">
        <v>0.02</v>
      </c>
      <c r="D13" s="91"/>
      <c r="AO13" s="74"/>
      <c r="AP13" s="74"/>
      <c r="AQ13" s="74"/>
    </row>
    <row r="14" spans="1:43" x14ac:dyDescent="0.2">
      <c r="B14" s="74">
        <v>2</v>
      </c>
      <c r="C14" s="90">
        <v>3.7869296080000003E-2</v>
      </c>
      <c r="D14" s="91"/>
      <c r="AO14" s="74"/>
      <c r="AP14" s="74"/>
      <c r="AQ14" s="74"/>
    </row>
    <row r="15" spans="1:43" x14ac:dyDescent="0.2">
      <c r="B15" s="74">
        <v>3</v>
      </c>
      <c r="C15" s="90">
        <v>4.4685005659999999E-2</v>
      </c>
      <c r="D15" s="91"/>
      <c r="AO15" s="74"/>
      <c r="AP15" s="74"/>
      <c r="AQ15" s="74"/>
    </row>
    <row r="16" spans="1:43" x14ac:dyDescent="0.2">
      <c r="B16" s="74">
        <v>4</v>
      </c>
      <c r="C16" s="90">
        <v>5.1500715240000002E-2</v>
      </c>
      <c r="D16" s="91"/>
      <c r="AO16" s="74"/>
      <c r="AP16" s="74"/>
      <c r="AQ16" s="74"/>
    </row>
    <row r="17" spans="2:43" x14ac:dyDescent="0.2">
      <c r="B17" s="74">
        <v>5</v>
      </c>
      <c r="C17" s="90">
        <v>5.8316424819999997E-2</v>
      </c>
      <c r="D17" s="91"/>
      <c r="AO17" s="74"/>
      <c r="AP17" s="74"/>
      <c r="AQ17" s="74"/>
    </row>
    <row r="18" spans="2:43" x14ac:dyDescent="0.2">
      <c r="B18" s="74">
        <v>7</v>
      </c>
      <c r="C18" s="90">
        <v>6.51321344E-2</v>
      </c>
      <c r="D18" s="91"/>
      <c r="AO18" s="74"/>
      <c r="AP18" s="74"/>
      <c r="AQ18" s="74"/>
    </row>
    <row r="19" spans="2:43" x14ac:dyDescent="0.2">
      <c r="B19" s="74">
        <v>10</v>
      </c>
      <c r="C19" s="90">
        <v>6.7430707199999995E-2</v>
      </c>
      <c r="D19" s="91"/>
      <c r="AO19" s="74"/>
      <c r="AP19" s="74"/>
      <c r="AQ19" s="74"/>
    </row>
    <row r="20" spans="2:43" x14ac:dyDescent="0.2">
      <c r="B20" s="74">
        <v>30</v>
      </c>
      <c r="C20" s="90">
        <v>0.08</v>
      </c>
      <c r="D20" s="91"/>
      <c r="AO20" s="74"/>
      <c r="AP20" s="74"/>
      <c r="AQ20" s="74"/>
    </row>
    <row r="21" spans="2:43" x14ac:dyDescent="0.2">
      <c r="AO21" s="74"/>
      <c r="AP21" s="74"/>
      <c r="AQ21" s="74"/>
    </row>
    <row r="22" spans="2:43" x14ac:dyDescent="0.2">
      <c r="AO22" s="74"/>
      <c r="AP22" s="74"/>
      <c r="AQ22" s="74"/>
    </row>
    <row r="23" spans="2:43" x14ac:dyDescent="0.2">
      <c r="AO23" s="74"/>
      <c r="AP23" s="74"/>
      <c r="AQ23" s="74"/>
    </row>
    <row r="24" spans="2:43" x14ac:dyDescent="0.2">
      <c r="AO24" s="74"/>
      <c r="AP24" s="74"/>
      <c r="AQ24" s="74"/>
    </row>
    <row r="25" spans="2:43" x14ac:dyDescent="0.2">
      <c r="AO25" s="74"/>
      <c r="AP25" s="74"/>
      <c r="AQ25" s="74"/>
    </row>
    <row r="26" spans="2:43" x14ac:dyDescent="0.2">
      <c r="AO26" s="74"/>
      <c r="AP26" s="74"/>
      <c r="AQ26" s="74"/>
    </row>
    <row r="27" spans="2:43" s="83" customFormat="1" x14ac:dyDescent="0.2">
      <c r="B27" s="83" t="s">
        <v>213</v>
      </c>
      <c r="C27" s="83" t="s">
        <v>214</v>
      </c>
      <c r="D27" s="83" t="s">
        <v>196</v>
      </c>
      <c r="F27" s="116" t="s">
        <v>300</v>
      </c>
      <c r="G27" s="116" t="s">
        <v>301</v>
      </c>
      <c r="H27" s="116" t="s">
        <v>302</v>
      </c>
      <c r="I27" s="116" t="s">
        <v>303</v>
      </c>
      <c r="J27" s="116" t="s">
        <v>304</v>
      </c>
      <c r="K27" s="116" t="s">
        <v>305</v>
      </c>
      <c r="L27" s="116" t="s">
        <v>306</v>
      </c>
      <c r="M27" s="116" t="s">
        <v>307</v>
      </c>
      <c r="N27" s="116" t="s">
        <v>308</v>
      </c>
      <c r="O27" s="116" t="s">
        <v>309</v>
      </c>
      <c r="P27" s="116" t="s">
        <v>310</v>
      </c>
      <c r="Q27" s="116" t="s">
        <v>311</v>
      </c>
      <c r="R27" s="93" t="s">
        <v>312</v>
      </c>
      <c r="S27" s="93" t="s">
        <v>313</v>
      </c>
      <c r="T27" s="93" t="s">
        <v>314</v>
      </c>
      <c r="U27" s="93" t="s">
        <v>315</v>
      </c>
      <c r="V27" s="93" t="s">
        <v>316</v>
      </c>
      <c r="W27" s="93" t="s">
        <v>317</v>
      </c>
      <c r="X27" s="93" t="s">
        <v>318</v>
      </c>
      <c r="Y27" s="93" t="s">
        <v>319</v>
      </c>
      <c r="Z27" s="93" t="s">
        <v>320</v>
      </c>
      <c r="AA27" s="93" t="s">
        <v>321</v>
      </c>
      <c r="AB27" s="93" t="s">
        <v>322</v>
      </c>
      <c r="AC27" s="93" t="s">
        <v>323</v>
      </c>
      <c r="AD27" s="93" t="s">
        <v>324</v>
      </c>
      <c r="AE27" s="93" t="s">
        <v>325</v>
      </c>
      <c r="AF27" s="93" t="s">
        <v>326</v>
      </c>
      <c r="AG27" s="93" t="s">
        <v>327</v>
      </c>
      <c r="AH27" s="93" t="s">
        <v>296</v>
      </c>
      <c r="AI27" s="93" t="s">
        <v>297</v>
      </c>
      <c r="AJ27" s="93" t="s">
        <v>328</v>
      </c>
      <c r="AK27" s="93" t="s">
        <v>329</v>
      </c>
      <c r="AL27" s="93"/>
      <c r="AM27" s="93"/>
      <c r="AN27" s="83" t="s">
        <v>295</v>
      </c>
      <c r="AO27" s="74"/>
      <c r="AP27" s="74"/>
      <c r="AQ27" s="74"/>
    </row>
    <row r="28" spans="2:43" x14ac:dyDescent="0.2">
      <c r="B28" s="55" t="str">
        <f>"y(" &amp; D28 &amp; ")"</f>
        <v>y(1)</v>
      </c>
      <c r="C28" s="74">
        <f>VLOOKUP(D28,$B$12:$C$20,2,0)</f>
        <v>0.02</v>
      </c>
      <c r="D28" s="74">
        <v>1</v>
      </c>
      <c r="F28" s="94">
        <f>time^3</f>
        <v>1</v>
      </c>
      <c r="G28" s="95">
        <f>time^2</f>
        <v>1</v>
      </c>
      <c r="H28" s="95">
        <f>time^1</f>
        <v>1</v>
      </c>
      <c r="I28" s="95">
        <f>time^0</f>
        <v>1</v>
      </c>
      <c r="J28" s="95">
        <v>0</v>
      </c>
      <c r="K28" s="95">
        <v>0</v>
      </c>
      <c r="L28" s="95">
        <v>0</v>
      </c>
      <c r="M28" s="96">
        <v>0</v>
      </c>
      <c r="N28" s="95"/>
      <c r="O28" s="95"/>
      <c r="P28" s="95"/>
      <c r="Q28" s="95"/>
      <c r="R28" s="95"/>
      <c r="S28" s="97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6"/>
      <c r="AM28" s="74" t="str">
        <f>"a_"&amp; time</f>
        <v>a_1</v>
      </c>
      <c r="AN28" s="98">
        <v>7.735444560806384E-5</v>
      </c>
      <c r="AO28" s="74"/>
      <c r="AP28" s="74"/>
      <c r="AQ28" s="74"/>
    </row>
    <row r="29" spans="2:43" x14ac:dyDescent="0.2">
      <c r="B29" s="55" t="str">
        <f t="shared" ref="B29:B37" si="0">"y(" &amp; D29 &amp; ")"</f>
        <v>y(1)</v>
      </c>
      <c r="C29" s="74">
        <f>VLOOKUP(D29,$B$12:$C$20,2,0)</f>
        <v>0.02</v>
      </c>
      <c r="D29" s="74">
        <v>1</v>
      </c>
      <c r="F29" s="99">
        <v>0</v>
      </c>
      <c r="G29" s="100">
        <v>0</v>
      </c>
      <c r="H29" s="100">
        <v>0</v>
      </c>
      <c r="I29" s="100">
        <v>0</v>
      </c>
      <c r="J29" s="100">
        <f>time^3</f>
        <v>1</v>
      </c>
      <c r="K29" s="100">
        <f>time^2</f>
        <v>1</v>
      </c>
      <c r="L29" s="100">
        <f>time^1</f>
        <v>1</v>
      </c>
      <c r="M29" s="101">
        <f>time^0</f>
        <v>1</v>
      </c>
      <c r="N29" s="100"/>
      <c r="O29" s="100"/>
      <c r="P29" s="100"/>
      <c r="Q29" s="100"/>
      <c r="R29" s="100"/>
      <c r="S29" s="92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1"/>
      <c r="AM29" s="74" t="str">
        <f>"b_"&amp; time</f>
        <v>b_1</v>
      </c>
      <c r="AN29" s="98">
        <v>8.2100044301208308E-5</v>
      </c>
      <c r="AO29" s="74"/>
      <c r="AP29" s="74"/>
      <c r="AQ29" s="74"/>
    </row>
    <row r="30" spans="2:43" x14ac:dyDescent="0.2">
      <c r="B30" s="55" t="str">
        <f>"y'(" &amp; D30 &amp; ")"</f>
        <v>y'(1)</v>
      </c>
      <c r="C30" s="74">
        <v>0</v>
      </c>
      <c r="D30" s="74">
        <v>1</v>
      </c>
      <c r="F30" s="99">
        <f>3*time^2</f>
        <v>3</v>
      </c>
      <c r="G30" s="100">
        <f>2*time</f>
        <v>2</v>
      </c>
      <c r="H30" s="100">
        <f>time^0</f>
        <v>1</v>
      </c>
      <c r="I30" s="100">
        <v>0</v>
      </c>
      <c r="J30" s="100">
        <f>-3*time^2</f>
        <v>-3</v>
      </c>
      <c r="K30" s="100">
        <f>-2*time</f>
        <v>-2</v>
      </c>
      <c r="L30" s="100">
        <f>-(time^0)</f>
        <v>-1</v>
      </c>
      <c r="M30" s="101">
        <v>0</v>
      </c>
      <c r="N30" s="100"/>
      <c r="O30" s="100"/>
      <c r="P30" s="100"/>
      <c r="Q30" s="100"/>
      <c r="R30" s="100"/>
      <c r="S30" s="92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1"/>
      <c r="AM30" s="74" t="str">
        <f>"c_"&amp; time</f>
        <v>c_1</v>
      </c>
      <c r="AN30" s="98">
        <v>8.6516527900132079E-5</v>
      </c>
      <c r="AO30" s="74"/>
      <c r="AP30" s="74"/>
      <c r="AQ30" s="74"/>
    </row>
    <row r="31" spans="2:43" x14ac:dyDescent="0.2">
      <c r="B31" s="55" t="str">
        <f>"y''(" &amp; D31 &amp; ")"</f>
        <v>y''(1)</v>
      </c>
      <c r="C31" s="74">
        <v>0</v>
      </c>
      <c r="D31" s="74">
        <v>1</v>
      </c>
      <c r="F31" s="102">
        <f>2*3*time^1</f>
        <v>6</v>
      </c>
      <c r="G31" s="103">
        <f>2*time^0</f>
        <v>2</v>
      </c>
      <c r="H31" s="103">
        <v>0</v>
      </c>
      <c r="I31" s="103">
        <v>0</v>
      </c>
      <c r="J31" s="103">
        <f>-2*3*time^1</f>
        <v>-6</v>
      </c>
      <c r="K31" s="103">
        <f>-2*time^0</f>
        <v>-2</v>
      </c>
      <c r="L31" s="103">
        <v>0</v>
      </c>
      <c r="M31" s="104">
        <v>0</v>
      </c>
      <c r="N31" s="100"/>
      <c r="O31" s="100"/>
      <c r="P31" s="100"/>
      <c r="Q31" s="100"/>
      <c r="R31" s="100"/>
      <c r="S31" s="92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M31" s="74" t="str">
        <f>"d_"&amp; time</f>
        <v>d_1</v>
      </c>
      <c r="AN31" s="98">
        <v>9.0339808310368851E-5</v>
      </c>
      <c r="AO31" s="74"/>
      <c r="AP31" s="74"/>
      <c r="AQ31" s="74"/>
    </row>
    <row r="32" spans="2:43" x14ac:dyDescent="0.2">
      <c r="B32" s="55" t="str">
        <f t="shared" ref="B32" si="1">"y(" &amp; D32 &amp; ")"</f>
        <v>y(2)</v>
      </c>
      <c r="C32" s="74">
        <f t="shared" ref="C32:C33" si="2">VLOOKUP(D32,$B$12:$C$20,2,0)</f>
        <v>3.7869296080000003E-2</v>
      </c>
      <c r="D32" s="74">
        <f>D28+1</f>
        <v>2</v>
      </c>
      <c r="F32" s="99"/>
      <c r="G32" s="100"/>
      <c r="H32" s="100"/>
      <c r="I32" s="100"/>
      <c r="J32" s="94">
        <f>time^3</f>
        <v>8</v>
      </c>
      <c r="K32" s="95">
        <f>time^2</f>
        <v>4</v>
      </c>
      <c r="L32" s="95">
        <f>time^1</f>
        <v>2</v>
      </c>
      <c r="M32" s="95">
        <f>time^0</f>
        <v>1</v>
      </c>
      <c r="N32" s="95">
        <v>0</v>
      </c>
      <c r="O32" s="95">
        <v>0</v>
      </c>
      <c r="P32" s="95">
        <v>0</v>
      </c>
      <c r="Q32" s="96">
        <v>0</v>
      </c>
      <c r="R32" s="100"/>
      <c r="S32" s="92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M32" s="74" t="str">
        <f>"a_"&amp; time</f>
        <v>a_2</v>
      </c>
      <c r="AN32" s="98">
        <v>7.6360414150203435E-4</v>
      </c>
      <c r="AO32" s="74"/>
      <c r="AP32" s="74"/>
      <c r="AQ32" s="74"/>
    </row>
    <row r="33" spans="2:43" x14ac:dyDescent="0.2">
      <c r="B33" s="55" t="str">
        <f t="shared" si="0"/>
        <v>y(2)</v>
      </c>
      <c r="C33" s="74">
        <f t="shared" si="2"/>
        <v>3.7869296080000003E-2</v>
      </c>
      <c r="D33" s="74">
        <f t="shared" ref="D33:D47" si="3">D29+1</f>
        <v>2</v>
      </c>
      <c r="F33" s="99"/>
      <c r="G33" s="100"/>
      <c r="H33" s="100"/>
      <c r="I33" s="100"/>
      <c r="J33" s="99">
        <v>0</v>
      </c>
      <c r="K33" s="100">
        <v>0</v>
      </c>
      <c r="L33" s="100">
        <v>0</v>
      </c>
      <c r="M33" s="100">
        <v>0</v>
      </c>
      <c r="N33" s="100">
        <f>time^3</f>
        <v>8</v>
      </c>
      <c r="O33" s="100">
        <f>time^2</f>
        <v>4</v>
      </c>
      <c r="P33" s="100">
        <f>time^1</f>
        <v>2</v>
      </c>
      <c r="Q33" s="101">
        <f>time^0</f>
        <v>1</v>
      </c>
      <c r="R33" s="100"/>
      <c r="S33" s="92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M33" s="74" t="str">
        <f>"b_"&amp; time</f>
        <v>b_2</v>
      </c>
      <c r="AN33" s="98">
        <v>5.6650685881859842E-4</v>
      </c>
      <c r="AO33" s="74"/>
      <c r="AP33" s="74"/>
      <c r="AQ33" s="74"/>
    </row>
    <row r="34" spans="2:43" x14ac:dyDescent="0.2">
      <c r="B34" s="55" t="str">
        <f t="shared" ref="B34" si="4">"y'(" &amp; D34 &amp; ")"</f>
        <v>y'(2)</v>
      </c>
      <c r="C34" s="74">
        <v>0</v>
      </c>
      <c r="D34" s="74">
        <f t="shared" si="3"/>
        <v>2</v>
      </c>
      <c r="F34" s="99"/>
      <c r="G34" s="100"/>
      <c r="H34" s="100"/>
      <c r="I34" s="100"/>
      <c r="J34" s="99">
        <f>3*time^2</f>
        <v>12</v>
      </c>
      <c r="K34" s="100">
        <f>2*time</f>
        <v>4</v>
      </c>
      <c r="L34" s="100">
        <f>time^0</f>
        <v>1</v>
      </c>
      <c r="M34" s="100">
        <v>0</v>
      </c>
      <c r="N34" s="100">
        <f>-3*time^2</f>
        <v>-12</v>
      </c>
      <c r="O34" s="100">
        <f>-2*time</f>
        <v>-4</v>
      </c>
      <c r="P34" s="100">
        <f>-(time^0)</f>
        <v>-1</v>
      </c>
      <c r="Q34" s="101">
        <v>0</v>
      </c>
      <c r="R34" s="100"/>
      <c r="S34" s="92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M34" s="74" t="str">
        <f>"c_"&amp; time</f>
        <v>c_2</v>
      </c>
      <c r="AN34" s="98">
        <v>4.7337228908141317E-4</v>
      </c>
      <c r="AO34" s="74"/>
      <c r="AP34" s="74"/>
      <c r="AQ34" s="74"/>
    </row>
    <row r="35" spans="2:43" x14ac:dyDescent="0.2">
      <c r="B35" s="55" t="str">
        <f t="shared" ref="B35" si="5">"y''(" &amp; D35 &amp; ")"</f>
        <v>y''(2)</v>
      </c>
      <c r="C35" s="74">
        <v>0</v>
      </c>
      <c r="D35" s="74">
        <f t="shared" si="3"/>
        <v>2</v>
      </c>
      <c r="F35" s="99"/>
      <c r="G35" s="100"/>
      <c r="H35" s="100"/>
      <c r="I35" s="100"/>
      <c r="J35" s="102">
        <f>2*3*time^1</f>
        <v>12</v>
      </c>
      <c r="K35" s="103">
        <f>2*time^0</f>
        <v>2</v>
      </c>
      <c r="L35" s="103">
        <v>0</v>
      </c>
      <c r="M35" s="103">
        <v>0</v>
      </c>
      <c r="N35" s="103">
        <f>-2*3*time^1</f>
        <v>-12</v>
      </c>
      <c r="O35" s="103">
        <f>-2*time^0</f>
        <v>-2</v>
      </c>
      <c r="P35" s="103">
        <v>0</v>
      </c>
      <c r="Q35" s="104">
        <v>0</v>
      </c>
      <c r="R35" s="100"/>
      <c r="S35" s="92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M35" s="74" t="str">
        <f>"d_"&amp; time</f>
        <v>d_2</v>
      </c>
      <c r="AN35" s="98">
        <v>4.286961065182151E-4</v>
      </c>
      <c r="AO35" s="74"/>
      <c r="AP35" s="74"/>
      <c r="AQ35" s="74"/>
    </row>
    <row r="36" spans="2:43" x14ac:dyDescent="0.2">
      <c r="B36" s="55" t="str">
        <f t="shared" ref="B36:B53" si="6">"y(" &amp; D36 &amp; ")"</f>
        <v>y(3)</v>
      </c>
      <c r="C36" s="74">
        <f t="shared" ref="C36:C37" si="7">VLOOKUP(D36,$B$12:$C$20,2,0)</f>
        <v>4.4685005659999999E-2</v>
      </c>
      <c r="D36" s="74">
        <f t="shared" si="3"/>
        <v>3</v>
      </c>
      <c r="F36" s="99"/>
      <c r="G36" s="100"/>
      <c r="H36" s="100"/>
      <c r="I36" s="100"/>
      <c r="J36" s="100"/>
      <c r="K36" s="100"/>
      <c r="L36" s="100"/>
      <c r="M36" s="100"/>
      <c r="N36" s="94">
        <f>time^3</f>
        <v>27</v>
      </c>
      <c r="O36" s="95">
        <f>time^2</f>
        <v>9</v>
      </c>
      <c r="P36" s="95">
        <f>time^1</f>
        <v>3</v>
      </c>
      <c r="Q36" s="95">
        <f>time^0</f>
        <v>1</v>
      </c>
      <c r="R36" s="95">
        <v>0</v>
      </c>
      <c r="S36" s="95">
        <v>0</v>
      </c>
      <c r="T36" s="95">
        <v>0</v>
      </c>
      <c r="U36" s="96">
        <v>0</v>
      </c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M36" s="74" t="str">
        <f>"a_"&amp; time</f>
        <v>a_3</v>
      </c>
      <c r="AN36" s="98">
        <v>4.3697091013100166E-4</v>
      </c>
      <c r="AO36" s="74"/>
      <c r="AP36" s="74"/>
      <c r="AQ36" s="74"/>
    </row>
    <row r="37" spans="2:43" x14ac:dyDescent="0.2">
      <c r="B37" s="55" t="str">
        <f t="shared" si="0"/>
        <v>y(3)</v>
      </c>
      <c r="C37" s="74">
        <f t="shared" si="7"/>
        <v>4.4685005659999999E-2</v>
      </c>
      <c r="D37" s="74">
        <f t="shared" si="3"/>
        <v>3</v>
      </c>
      <c r="E37" s="55"/>
      <c r="F37" s="105"/>
      <c r="G37" s="106"/>
      <c r="H37" s="106"/>
      <c r="I37" s="106"/>
      <c r="J37" s="106"/>
      <c r="K37" s="106"/>
      <c r="L37" s="106"/>
      <c r="M37" s="106"/>
      <c r="N37" s="99">
        <v>0</v>
      </c>
      <c r="O37" s="100">
        <v>0</v>
      </c>
      <c r="P37" s="100">
        <v>0</v>
      </c>
      <c r="Q37" s="100">
        <v>0</v>
      </c>
      <c r="R37" s="100">
        <f>time^3</f>
        <v>27</v>
      </c>
      <c r="S37" s="100">
        <f>time^2</f>
        <v>9</v>
      </c>
      <c r="T37" s="100">
        <f>time^1</f>
        <v>3</v>
      </c>
      <c r="U37" s="101">
        <f>time^0</f>
        <v>1</v>
      </c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1"/>
      <c r="AM37" s="74" t="str">
        <f>"b_"&amp; time</f>
        <v>b_3</v>
      </c>
      <c r="AN37" s="98">
        <v>1.0765825950435676E-3</v>
      </c>
      <c r="AO37" s="74"/>
      <c r="AP37" s="74"/>
      <c r="AQ37" s="74"/>
    </row>
    <row r="38" spans="2:43" x14ac:dyDescent="0.2">
      <c r="B38" s="55" t="str">
        <f t="shared" ref="B38" si="8">"y'(" &amp; D38 &amp; ")"</f>
        <v>y'(3)</v>
      </c>
      <c r="C38" s="74">
        <v>0</v>
      </c>
      <c r="D38" s="74">
        <f t="shared" si="3"/>
        <v>3</v>
      </c>
      <c r="F38" s="99"/>
      <c r="G38" s="107"/>
      <c r="H38" s="100"/>
      <c r="I38" s="100"/>
      <c r="J38" s="100"/>
      <c r="K38" s="100"/>
      <c r="L38" s="100"/>
      <c r="M38" s="100"/>
      <c r="N38" s="99">
        <f>3*time^2</f>
        <v>27</v>
      </c>
      <c r="O38" s="100">
        <f>2*time</f>
        <v>6</v>
      </c>
      <c r="P38" s="100">
        <f>time^0</f>
        <v>1</v>
      </c>
      <c r="Q38" s="100">
        <v>0</v>
      </c>
      <c r="R38" s="100">
        <f>-3*time^2</f>
        <v>-27</v>
      </c>
      <c r="S38" s="100">
        <f>-2*time</f>
        <v>-6</v>
      </c>
      <c r="T38" s="100">
        <f>-(time^0)</f>
        <v>-1</v>
      </c>
      <c r="U38" s="101">
        <v>0</v>
      </c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M38" s="74" t="str">
        <f>"c_"&amp; time</f>
        <v>c_3</v>
      </c>
      <c r="AN38" s="98">
        <v>8.2637205135232454E-4</v>
      </c>
      <c r="AO38" s="74"/>
      <c r="AP38" s="74"/>
      <c r="AQ38" s="74"/>
    </row>
    <row r="39" spans="2:43" x14ac:dyDescent="0.2">
      <c r="B39" s="55" t="str">
        <f t="shared" ref="B39" si="9">"y''(" &amp; D39 &amp; ")"</f>
        <v>y''(3)</v>
      </c>
      <c r="C39" s="74">
        <v>0</v>
      </c>
      <c r="D39" s="74">
        <f t="shared" si="3"/>
        <v>3</v>
      </c>
      <c r="F39" s="99"/>
      <c r="G39" s="107"/>
      <c r="H39" s="100"/>
      <c r="I39" s="100"/>
      <c r="J39" s="100"/>
      <c r="K39" s="100"/>
      <c r="L39" s="100"/>
      <c r="M39" s="100"/>
      <c r="N39" s="102">
        <f>2*3*time^1</f>
        <v>18</v>
      </c>
      <c r="O39" s="103">
        <f>2*time^0</f>
        <v>2</v>
      </c>
      <c r="P39" s="103">
        <v>0</v>
      </c>
      <c r="Q39" s="103">
        <v>0</v>
      </c>
      <c r="R39" s="103">
        <f>-2*3*time^1</f>
        <v>-18</v>
      </c>
      <c r="S39" s="103">
        <f>-2*time^0</f>
        <v>-2</v>
      </c>
      <c r="T39" s="103">
        <v>0</v>
      </c>
      <c r="U39" s="104">
        <v>0</v>
      </c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M39" s="74" t="str">
        <f>"d_"&amp; time</f>
        <v>d_3</v>
      </c>
      <c r="AN39" s="98">
        <v>5.1053899318857343E-4</v>
      </c>
      <c r="AO39" s="74"/>
      <c r="AP39" s="74"/>
      <c r="AQ39" s="74"/>
    </row>
    <row r="40" spans="2:43" x14ac:dyDescent="0.2">
      <c r="B40" s="55" t="str">
        <f t="shared" si="6"/>
        <v>y(4)</v>
      </c>
      <c r="C40" s="74">
        <f t="shared" ref="C40:C41" si="10">VLOOKUP(D40,$B$12:$C$20,2,0)</f>
        <v>5.1500715240000002E-2</v>
      </c>
      <c r="D40" s="74">
        <f t="shared" si="3"/>
        <v>4</v>
      </c>
      <c r="F40" s="99"/>
      <c r="G40" s="107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94">
        <f>time^3</f>
        <v>64</v>
      </c>
      <c r="S40" s="95">
        <f>time^2</f>
        <v>16</v>
      </c>
      <c r="T40" s="95">
        <f>time^1</f>
        <v>4</v>
      </c>
      <c r="U40" s="95">
        <f>time^0</f>
        <v>1</v>
      </c>
      <c r="V40" s="95">
        <v>0</v>
      </c>
      <c r="W40" s="95">
        <v>0</v>
      </c>
      <c r="X40" s="95">
        <v>0</v>
      </c>
      <c r="Y40" s="96">
        <v>0</v>
      </c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M40" s="74" t="str">
        <f>"a_"&amp; time</f>
        <v>a_4</v>
      </c>
      <c r="AN40" s="98">
        <v>1.2791698714492505E-4</v>
      </c>
      <c r="AO40" s="74"/>
      <c r="AP40" s="74"/>
      <c r="AQ40" s="74"/>
    </row>
    <row r="41" spans="2:43" x14ac:dyDescent="0.2">
      <c r="B41" s="55" t="str">
        <f t="shared" si="6"/>
        <v>y(4)</v>
      </c>
      <c r="C41" s="74">
        <f t="shared" si="10"/>
        <v>5.1500715240000002E-2</v>
      </c>
      <c r="D41" s="74">
        <f t="shared" si="3"/>
        <v>4</v>
      </c>
      <c r="F41" s="99"/>
      <c r="G41" s="107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99">
        <v>0</v>
      </c>
      <c r="S41" s="100">
        <v>0</v>
      </c>
      <c r="T41" s="100">
        <v>0</v>
      </c>
      <c r="U41" s="100">
        <v>0</v>
      </c>
      <c r="V41" s="100">
        <f>time^3</f>
        <v>64</v>
      </c>
      <c r="W41" s="100">
        <f>time^2</f>
        <v>16</v>
      </c>
      <c r="X41" s="100">
        <f>time^1</f>
        <v>4</v>
      </c>
      <c r="Y41" s="101">
        <f>time^0</f>
        <v>1</v>
      </c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M41" s="74" t="str">
        <f>"b_"&amp; time</f>
        <v>b_4</v>
      </c>
      <c r="AN41" s="98">
        <v>1.9089126300750416E-3</v>
      </c>
      <c r="AO41" s="74"/>
      <c r="AP41" s="74"/>
      <c r="AQ41" s="74"/>
    </row>
    <row r="42" spans="2:43" s="55" customFormat="1" x14ac:dyDescent="0.2">
      <c r="B42" s="55" t="str">
        <f t="shared" ref="B42:B54" si="11">"y'(" &amp; D42 &amp; ")"</f>
        <v>y'(4)</v>
      </c>
      <c r="C42" s="74">
        <v>0</v>
      </c>
      <c r="D42" s="74">
        <f t="shared" si="3"/>
        <v>4</v>
      </c>
      <c r="E42" s="74"/>
      <c r="F42" s="99"/>
      <c r="G42" s="107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99">
        <f>3*time^2</f>
        <v>48</v>
      </c>
      <c r="S42" s="100">
        <f>2*time</f>
        <v>8</v>
      </c>
      <c r="T42" s="100">
        <f>time^0</f>
        <v>1</v>
      </c>
      <c r="U42" s="100">
        <v>0</v>
      </c>
      <c r="V42" s="100">
        <f>-3*time^2</f>
        <v>-48</v>
      </c>
      <c r="W42" s="100">
        <f>-2*time</f>
        <v>-8</v>
      </c>
      <c r="X42" s="100">
        <f>-(time^0)</f>
        <v>-1</v>
      </c>
      <c r="Y42" s="101">
        <v>0</v>
      </c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8"/>
      <c r="AM42" s="74" t="str">
        <f>"c_"&amp; time</f>
        <v>c_4</v>
      </c>
      <c r="AN42" s="98">
        <v>1.0976767001326384E-3</v>
      </c>
    </row>
    <row r="43" spans="2:43" x14ac:dyDescent="0.2">
      <c r="B43" s="55" t="str">
        <f t="shared" ref="B43:B59" si="12">"y''(" &amp; D43 &amp; ")"</f>
        <v>y''(4)</v>
      </c>
      <c r="C43" s="74">
        <v>0</v>
      </c>
      <c r="D43" s="74">
        <f t="shared" si="3"/>
        <v>4</v>
      </c>
      <c r="F43" s="99"/>
      <c r="G43" s="107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2">
        <f>2*3*time^1</f>
        <v>24</v>
      </c>
      <c r="S43" s="103">
        <f>2*time^0</f>
        <v>2</v>
      </c>
      <c r="T43" s="103">
        <v>0</v>
      </c>
      <c r="U43" s="103">
        <v>0</v>
      </c>
      <c r="V43" s="103">
        <f>-2*3*time^1</f>
        <v>-24</v>
      </c>
      <c r="W43" s="103">
        <f>-2*time^0</f>
        <v>-2</v>
      </c>
      <c r="X43" s="103">
        <v>0</v>
      </c>
      <c r="Y43" s="104">
        <v>0</v>
      </c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1"/>
      <c r="AM43" s="74" t="str">
        <f>"d_"&amp; time</f>
        <v>d_4</v>
      </c>
      <c r="AN43" s="98">
        <v>4.8111707959180502E-4</v>
      </c>
      <c r="AO43" s="74"/>
      <c r="AP43" s="74"/>
      <c r="AQ43" s="74"/>
    </row>
    <row r="44" spans="2:43" x14ac:dyDescent="0.2">
      <c r="B44" s="55" t="str">
        <f t="shared" si="6"/>
        <v>y(5)</v>
      </c>
      <c r="C44" s="74">
        <f t="shared" ref="C44:C58" si="13">VLOOKUP(D44,$B$12:$C$20,2,0)</f>
        <v>5.8316424819999997E-2</v>
      </c>
      <c r="D44" s="74">
        <f t="shared" si="3"/>
        <v>5</v>
      </c>
      <c r="F44" s="99"/>
      <c r="G44" s="107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94">
        <f>time^3</f>
        <v>125</v>
      </c>
      <c r="W44" s="95">
        <f>time^2</f>
        <v>25</v>
      </c>
      <c r="X44" s="95">
        <f>time^1</f>
        <v>5</v>
      </c>
      <c r="Y44" s="95">
        <f>time^0</f>
        <v>1</v>
      </c>
      <c r="Z44" s="95">
        <v>0</v>
      </c>
      <c r="AA44" s="95">
        <v>0</v>
      </c>
      <c r="AB44" s="95">
        <v>0</v>
      </c>
      <c r="AC44" s="96">
        <v>0</v>
      </c>
      <c r="AD44" s="100"/>
      <c r="AE44" s="100"/>
      <c r="AF44" s="100"/>
      <c r="AG44" s="100"/>
      <c r="AH44" s="100"/>
      <c r="AI44" s="92"/>
      <c r="AJ44" s="100"/>
      <c r="AK44" s="101"/>
      <c r="AM44" s="74" t="str">
        <f>"a_"&amp; time</f>
        <v>a_5</v>
      </c>
      <c r="AN44" s="98">
        <v>-1.2139295817215997E-4</v>
      </c>
      <c r="AO44" s="74"/>
      <c r="AP44" s="74"/>
      <c r="AQ44" s="74"/>
    </row>
    <row r="45" spans="2:43" x14ac:dyDescent="0.2">
      <c r="B45" s="55" t="str">
        <f t="shared" si="6"/>
        <v>y(5)</v>
      </c>
      <c r="C45" s="74">
        <f t="shared" si="13"/>
        <v>5.8316424819999997E-2</v>
      </c>
      <c r="D45" s="74">
        <f t="shared" si="3"/>
        <v>5</v>
      </c>
      <c r="F45" s="99"/>
      <c r="G45" s="107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99">
        <v>0</v>
      </c>
      <c r="W45" s="100">
        <v>0</v>
      </c>
      <c r="X45" s="100">
        <v>0</v>
      </c>
      <c r="Y45" s="100">
        <v>0</v>
      </c>
      <c r="Z45" s="100">
        <f>time^3</f>
        <v>125</v>
      </c>
      <c r="AA45" s="100">
        <f>time^2</f>
        <v>25</v>
      </c>
      <c r="AB45" s="100">
        <f>time^1</f>
        <v>5</v>
      </c>
      <c r="AC45" s="101">
        <f>time^0</f>
        <v>1</v>
      </c>
      <c r="AD45" s="100"/>
      <c r="AE45" s="100"/>
      <c r="AF45" s="100"/>
      <c r="AG45" s="100"/>
      <c r="AH45" s="100"/>
      <c r="AI45" s="92"/>
      <c r="AJ45" s="100"/>
      <c r="AK45" s="101"/>
      <c r="AM45" s="74" t="str">
        <f>"b_"&amp; time</f>
        <v>b_5</v>
      </c>
      <c r="AN45" s="98">
        <v>2.8545103371257329E-3</v>
      </c>
      <c r="AO45" s="74"/>
      <c r="AP45" s="74"/>
      <c r="AQ45" s="74"/>
    </row>
    <row r="46" spans="2:43" x14ac:dyDescent="0.2">
      <c r="B46" s="55" t="str">
        <f t="shared" si="11"/>
        <v>y'(5)</v>
      </c>
      <c r="C46" s="74">
        <v>0</v>
      </c>
      <c r="D46" s="74">
        <f t="shared" si="3"/>
        <v>5</v>
      </c>
      <c r="F46" s="99"/>
      <c r="G46" s="107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99">
        <f>3*time^2</f>
        <v>75</v>
      </c>
      <c r="W46" s="100">
        <f>2*time</f>
        <v>10</v>
      </c>
      <c r="X46" s="100">
        <f>time^0</f>
        <v>1</v>
      </c>
      <c r="Y46" s="100">
        <v>0</v>
      </c>
      <c r="Z46" s="100">
        <f>-3*time^2</f>
        <v>-75</v>
      </c>
      <c r="AA46" s="100">
        <f>-2*time</f>
        <v>-10</v>
      </c>
      <c r="AB46" s="100">
        <f>-(time^0)</f>
        <v>-1</v>
      </c>
      <c r="AC46" s="101">
        <v>0</v>
      </c>
      <c r="AD46" s="100"/>
      <c r="AE46" s="100"/>
      <c r="AF46" s="100"/>
      <c r="AG46" s="100"/>
      <c r="AH46" s="100"/>
      <c r="AI46" s="92"/>
      <c r="AJ46" s="100"/>
      <c r="AK46" s="101"/>
      <c r="AM46" s="74" t="str">
        <f>"c_"&amp; time</f>
        <v>c_5</v>
      </c>
      <c r="AN46" s="98">
        <v>1.2726699077089218E-3</v>
      </c>
      <c r="AO46" s="74"/>
      <c r="AP46" s="74"/>
      <c r="AQ46" s="74"/>
    </row>
    <row r="47" spans="2:43" x14ac:dyDescent="0.2">
      <c r="B47" s="55" t="str">
        <f t="shared" si="12"/>
        <v>y''(5)</v>
      </c>
      <c r="C47" s="74">
        <v>0</v>
      </c>
      <c r="D47" s="74">
        <f t="shared" si="3"/>
        <v>5</v>
      </c>
      <c r="F47" s="99"/>
      <c r="G47" s="107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2">
        <f>2*3*time^1</f>
        <v>30</v>
      </c>
      <c r="W47" s="103">
        <f>2*time^0</f>
        <v>2</v>
      </c>
      <c r="X47" s="103">
        <v>0</v>
      </c>
      <c r="Y47" s="103">
        <v>0</v>
      </c>
      <c r="Z47" s="103">
        <f>-2*3*time^1</f>
        <v>-30</v>
      </c>
      <c r="AA47" s="103">
        <f>-2*time^0</f>
        <v>-2</v>
      </c>
      <c r="AB47" s="103">
        <v>0</v>
      </c>
      <c r="AC47" s="104">
        <v>0</v>
      </c>
      <c r="AD47" s="100"/>
      <c r="AE47" s="100"/>
      <c r="AF47" s="100"/>
      <c r="AG47" s="100"/>
      <c r="AH47" s="100"/>
      <c r="AI47" s="92"/>
      <c r="AJ47" s="100"/>
      <c r="AK47" s="101"/>
      <c r="AM47" s="74" t="str">
        <f>"d_"&amp; time</f>
        <v>d_5</v>
      </c>
      <c r="AN47" s="98">
        <v>4.2917446539963451E-4</v>
      </c>
      <c r="AO47" s="74"/>
      <c r="AP47" s="74"/>
      <c r="AQ47" s="74"/>
    </row>
    <row r="48" spans="2:43" x14ac:dyDescent="0.2">
      <c r="B48" s="55" t="str">
        <f t="shared" si="6"/>
        <v>y(7)</v>
      </c>
      <c r="C48" s="74">
        <f t="shared" ref="C48:C49" si="14">VLOOKUP(D48,$B$12:$C$20,2,0)</f>
        <v>6.51321344E-2</v>
      </c>
      <c r="D48" s="74">
        <v>7</v>
      </c>
      <c r="F48" s="99"/>
      <c r="G48" s="107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94">
        <f>time^3</f>
        <v>343</v>
      </c>
      <c r="AA48" s="95">
        <f>time^2</f>
        <v>49</v>
      </c>
      <c r="AB48" s="95">
        <f>time^1</f>
        <v>7</v>
      </c>
      <c r="AC48" s="95">
        <f>time^0</f>
        <v>1</v>
      </c>
      <c r="AD48" s="95">
        <v>0</v>
      </c>
      <c r="AE48" s="95">
        <v>0</v>
      </c>
      <c r="AF48" s="95">
        <v>0</v>
      </c>
      <c r="AG48" s="96">
        <v>0</v>
      </c>
      <c r="AH48" s="100"/>
      <c r="AI48" s="92"/>
      <c r="AJ48" s="100"/>
      <c r="AK48" s="101"/>
      <c r="AM48" s="74" t="str">
        <f>"a_"&amp; time</f>
        <v>a_7</v>
      </c>
      <c r="AN48" s="98">
        <v>-9.5572170044169735E-4</v>
      </c>
      <c r="AO48" s="74"/>
      <c r="AP48" s="74"/>
      <c r="AQ48" s="74"/>
    </row>
    <row r="49" spans="2:40" s="74" customFormat="1" x14ac:dyDescent="0.2">
      <c r="B49" s="55" t="str">
        <f t="shared" si="6"/>
        <v>y(7)</v>
      </c>
      <c r="C49" s="74">
        <f t="shared" si="14"/>
        <v>6.51321344E-2</v>
      </c>
      <c r="D49" s="74">
        <v>7</v>
      </c>
      <c r="F49" s="99"/>
      <c r="G49" s="107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99">
        <v>0</v>
      </c>
      <c r="AA49" s="100">
        <v>0</v>
      </c>
      <c r="AB49" s="100">
        <v>0</v>
      </c>
      <c r="AC49" s="100">
        <v>0</v>
      </c>
      <c r="AD49" s="100">
        <f>time^3</f>
        <v>343</v>
      </c>
      <c r="AE49" s="100">
        <f>time^2</f>
        <v>49</v>
      </c>
      <c r="AF49" s="100">
        <f>time^1</f>
        <v>7</v>
      </c>
      <c r="AG49" s="101">
        <f>time^0</f>
        <v>1</v>
      </c>
      <c r="AH49" s="100"/>
      <c r="AI49" s="92"/>
      <c r="AJ49" s="100"/>
      <c r="AK49" s="101"/>
      <c r="AM49" s="74" t="str">
        <f>"b_"&amp; time</f>
        <v>b_7</v>
      </c>
      <c r="AN49" s="98">
        <v>6.7757398148075888E-3</v>
      </c>
    </row>
    <row r="50" spans="2:40" s="74" customFormat="1" x14ac:dyDescent="0.2">
      <c r="B50" s="55" t="str">
        <f t="shared" si="11"/>
        <v>y'(7)</v>
      </c>
      <c r="C50" s="74">
        <v>0</v>
      </c>
      <c r="D50" s="74">
        <v>7</v>
      </c>
      <c r="F50" s="99"/>
      <c r="G50" s="107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99">
        <f>3*time^2</f>
        <v>147</v>
      </c>
      <c r="AA50" s="100">
        <f>2*time</f>
        <v>14</v>
      </c>
      <c r="AB50" s="100">
        <f>time^0</f>
        <v>1</v>
      </c>
      <c r="AC50" s="100">
        <v>0</v>
      </c>
      <c r="AD50" s="100">
        <f>-3*time^2</f>
        <v>-147</v>
      </c>
      <c r="AE50" s="100">
        <f>-2*time</f>
        <v>-14</v>
      </c>
      <c r="AF50" s="100">
        <f>-(time^0)</f>
        <v>-1</v>
      </c>
      <c r="AG50" s="101">
        <v>0</v>
      </c>
      <c r="AH50" s="100"/>
      <c r="AI50" s="92"/>
      <c r="AJ50" s="100"/>
      <c r="AK50" s="101"/>
      <c r="AM50" s="74" t="str">
        <f>"c_"&amp; time</f>
        <v>c_7</v>
      </c>
      <c r="AN50" s="98">
        <v>2.2717573425505089E-3</v>
      </c>
    </row>
    <row r="51" spans="2:40" s="74" customFormat="1" x14ac:dyDescent="0.2">
      <c r="B51" s="55" t="str">
        <f t="shared" si="12"/>
        <v>y''(7)</v>
      </c>
      <c r="C51" s="74">
        <v>0</v>
      </c>
      <c r="D51" s="74">
        <v>7</v>
      </c>
      <c r="F51" s="99"/>
      <c r="G51" s="107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2">
        <f>2*3*time^1</f>
        <v>42</v>
      </c>
      <c r="AA51" s="103">
        <f>2*time^0</f>
        <v>2</v>
      </c>
      <c r="AB51" s="103">
        <v>0</v>
      </c>
      <c r="AC51" s="103">
        <v>0</v>
      </c>
      <c r="AD51" s="103">
        <f>-2*3*time^1</f>
        <v>-42</v>
      </c>
      <c r="AE51" s="103">
        <f>-2*time^0</f>
        <v>-2</v>
      </c>
      <c r="AF51" s="103">
        <v>0</v>
      </c>
      <c r="AG51" s="104">
        <v>0</v>
      </c>
      <c r="AH51" s="100"/>
      <c r="AI51" s="92"/>
      <c r="AJ51" s="100"/>
      <c r="AK51" s="101"/>
      <c r="AM51" s="74" t="str">
        <f>"d_"&amp; time</f>
        <v>d_7</v>
      </c>
      <c r="AN51" s="98">
        <v>5.8357827845356626E-4</v>
      </c>
    </row>
    <row r="52" spans="2:40" s="74" customFormat="1" x14ac:dyDescent="0.2">
      <c r="B52" s="55" t="str">
        <f t="shared" si="6"/>
        <v>y(10)</v>
      </c>
      <c r="C52" s="74">
        <f t="shared" ref="C52:C53" si="15">VLOOKUP(D52,$B$12:$C$20,2,0)</f>
        <v>6.7430707199999995E-2</v>
      </c>
      <c r="D52" s="74">
        <v>10</v>
      </c>
      <c r="F52" s="99"/>
      <c r="G52" s="107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94">
        <f>time^3</f>
        <v>1000</v>
      </c>
      <c r="AE52" s="95">
        <f>time^2</f>
        <v>100</v>
      </c>
      <c r="AF52" s="95">
        <f>time^1</f>
        <v>10</v>
      </c>
      <c r="AG52" s="95">
        <f>time^0</f>
        <v>1</v>
      </c>
      <c r="AH52" s="95">
        <v>0</v>
      </c>
      <c r="AI52" s="95">
        <v>0</v>
      </c>
      <c r="AJ52" s="95">
        <v>0</v>
      </c>
      <c r="AK52" s="96">
        <v>0</v>
      </c>
      <c r="AM52" s="74" t="str">
        <f>"a_"&amp; time</f>
        <v>a_10</v>
      </c>
      <c r="AN52" s="98">
        <v>-5.2512154040262894E-5</v>
      </c>
    </row>
    <row r="53" spans="2:40" s="74" customFormat="1" x14ac:dyDescent="0.2">
      <c r="B53" s="55" t="str">
        <f t="shared" si="6"/>
        <v>y(10)</v>
      </c>
      <c r="C53" s="74">
        <f t="shared" si="15"/>
        <v>6.7430707199999995E-2</v>
      </c>
      <c r="D53" s="74">
        <v>10</v>
      </c>
      <c r="F53" s="99"/>
      <c r="G53" s="107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6"/>
      <c r="W53" s="106"/>
      <c r="X53" s="106"/>
      <c r="Y53" s="106"/>
      <c r="Z53" s="106"/>
      <c r="AA53" s="106"/>
      <c r="AB53" s="106"/>
      <c r="AC53" s="106"/>
      <c r="AD53" s="99">
        <v>0</v>
      </c>
      <c r="AE53" s="100">
        <v>0</v>
      </c>
      <c r="AF53" s="100">
        <v>0</v>
      </c>
      <c r="AG53" s="100">
        <v>0</v>
      </c>
      <c r="AH53" s="100">
        <f>time^3</f>
        <v>1000</v>
      </c>
      <c r="AI53" s="100">
        <f>time^2</f>
        <v>100</v>
      </c>
      <c r="AJ53" s="100">
        <f>time^1</f>
        <v>10</v>
      </c>
      <c r="AK53" s="101">
        <f>time^0</f>
        <v>1</v>
      </c>
      <c r="AM53" s="74" t="str">
        <f>"b_"&amp; time</f>
        <v>b_10</v>
      </c>
      <c r="AN53" s="98">
        <v>8.6247481724226335E-4</v>
      </c>
    </row>
    <row r="54" spans="2:40" s="74" customFormat="1" x14ac:dyDescent="0.2">
      <c r="B54" s="55" t="str">
        <f t="shared" si="11"/>
        <v>y'(10)</v>
      </c>
      <c r="C54" s="74">
        <v>0</v>
      </c>
      <c r="D54" s="74">
        <v>10</v>
      </c>
      <c r="F54" s="99"/>
      <c r="G54" s="107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7"/>
      <c r="X54" s="100"/>
      <c r="Y54" s="100"/>
      <c r="Z54" s="100"/>
      <c r="AA54" s="100"/>
      <c r="AB54" s="100"/>
      <c r="AC54" s="100"/>
      <c r="AD54" s="99">
        <f>3*time^2</f>
        <v>300</v>
      </c>
      <c r="AE54" s="100">
        <f>2*time</f>
        <v>20</v>
      </c>
      <c r="AF54" s="100">
        <f>time^0</f>
        <v>1</v>
      </c>
      <c r="AG54" s="100">
        <v>0</v>
      </c>
      <c r="AH54" s="100">
        <f>-3*time^2</f>
        <v>-300</v>
      </c>
      <c r="AI54" s="100">
        <f>-2*time</f>
        <v>-20</v>
      </c>
      <c r="AJ54" s="100">
        <f>-(time^0)</f>
        <v>-1</v>
      </c>
      <c r="AK54" s="101">
        <v>0</v>
      </c>
      <c r="AM54" s="74" t="str">
        <f>"c_"&amp; time</f>
        <v>c_10</v>
      </c>
      <c r="AN54" s="98">
        <v>-1.5848655310924964E-4</v>
      </c>
    </row>
    <row r="55" spans="2:40" s="74" customFormat="1" x14ac:dyDescent="0.2">
      <c r="B55" s="55" t="str">
        <f t="shared" si="12"/>
        <v>y''(10)</v>
      </c>
      <c r="C55" s="74">
        <v>0</v>
      </c>
      <c r="D55" s="74">
        <v>10</v>
      </c>
      <c r="F55" s="99"/>
      <c r="G55" s="107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7"/>
      <c r="X55" s="100"/>
      <c r="Y55" s="100"/>
      <c r="Z55" s="100"/>
      <c r="AA55" s="100"/>
      <c r="AB55" s="100"/>
      <c r="AC55" s="100"/>
      <c r="AD55" s="102">
        <f>2*3*time^1</f>
        <v>60</v>
      </c>
      <c r="AE55" s="103">
        <f>2*time^0</f>
        <v>2</v>
      </c>
      <c r="AF55" s="103">
        <v>0</v>
      </c>
      <c r="AG55" s="103">
        <v>0</v>
      </c>
      <c r="AH55" s="103">
        <f>-2*3*time^1</f>
        <v>-60</v>
      </c>
      <c r="AI55" s="103">
        <f>-2*time^0</f>
        <v>-2</v>
      </c>
      <c r="AJ55" s="103">
        <v>0</v>
      </c>
      <c r="AK55" s="104">
        <v>0</v>
      </c>
      <c r="AM55" s="74" t="str">
        <f>"d_"&amp; time</f>
        <v>d_10</v>
      </c>
      <c r="AN55" s="98">
        <v>-5.4854428804596831E-5</v>
      </c>
    </row>
    <row r="56" spans="2:40" s="74" customFormat="1" x14ac:dyDescent="0.2">
      <c r="B56" s="55" t="str">
        <f t="shared" ref="B56" si="16">"y(" &amp; D56 &amp; ")"</f>
        <v>y(0)</v>
      </c>
      <c r="C56" s="74">
        <f t="shared" si="13"/>
        <v>0</v>
      </c>
      <c r="D56" s="74">
        <v>0</v>
      </c>
      <c r="F56" s="109">
        <f>time^3</f>
        <v>0</v>
      </c>
      <c r="G56" s="110">
        <f>time^2</f>
        <v>0</v>
      </c>
      <c r="H56" s="110">
        <f>time^1</f>
        <v>0</v>
      </c>
      <c r="I56" s="111">
        <v>1</v>
      </c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7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M56" s="74" t="s">
        <v>296</v>
      </c>
      <c r="AN56" s="98">
        <v>-1.0687934822827866E-4</v>
      </c>
    </row>
    <row r="57" spans="2:40" s="74" customFormat="1" x14ac:dyDescent="0.2">
      <c r="B57" s="55" t="str">
        <f t="shared" si="12"/>
        <v>y''(0)</v>
      </c>
      <c r="C57" s="74">
        <v>0</v>
      </c>
      <c r="D57" s="74">
        <v>0</v>
      </c>
      <c r="F57" s="109">
        <f>2*3*time^1</f>
        <v>0</v>
      </c>
      <c r="G57" s="110">
        <f>2*1</f>
        <v>2</v>
      </c>
      <c r="H57" s="110">
        <v>0</v>
      </c>
      <c r="I57" s="111">
        <v>0</v>
      </c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7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92"/>
      <c r="AJ57" s="100"/>
      <c r="AK57" s="101"/>
      <c r="AM57" s="74" t="s">
        <v>297</v>
      </c>
      <c r="AN57" s="98">
        <v>4.2282350775342042E-3</v>
      </c>
    </row>
    <row r="58" spans="2:40" s="74" customFormat="1" x14ac:dyDescent="0.2">
      <c r="B58" s="55" t="str">
        <f t="shared" ref="B58" si="17">"y(" &amp; D58 &amp; ")"</f>
        <v>y(30)</v>
      </c>
      <c r="C58" s="74">
        <f t="shared" si="13"/>
        <v>0.08</v>
      </c>
      <c r="D58" s="74">
        <v>30</v>
      </c>
      <c r="F58" s="99"/>
      <c r="G58" s="107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7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9">
        <f>time^3</f>
        <v>27000</v>
      </c>
      <c r="AI58" s="110">
        <f>time^2</f>
        <v>900</v>
      </c>
      <c r="AJ58" s="110">
        <f>time^1</f>
        <v>30</v>
      </c>
      <c r="AK58" s="111">
        <f>time^0</f>
        <v>1</v>
      </c>
      <c r="AM58" s="74" t="str">
        <f>"c_"&amp; time</f>
        <v>c_30</v>
      </c>
      <c r="AN58" s="98">
        <v>-2.7892578867593925E-2</v>
      </c>
    </row>
    <row r="59" spans="2:40" s="74" customFormat="1" x14ac:dyDescent="0.2">
      <c r="B59" s="55" t="str">
        <f t="shared" si="12"/>
        <v>y''(30)</v>
      </c>
      <c r="C59" s="74">
        <v>0</v>
      </c>
      <c r="D59" s="74">
        <v>30</v>
      </c>
      <c r="F59" s="102"/>
      <c r="G59" s="112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12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9">
        <f>2*3*time^1</f>
        <v>180</v>
      </c>
      <c r="AI59" s="110">
        <f>2*time^0</f>
        <v>2</v>
      </c>
      <c r="AJ59" s="110">
        <v>0</v>
      </c>
      <c r="AK59" s="111">
        <v>0</v>
      </c>
      <c r="AM59" s="74" t="str">
        <f>"d_"&amp; time</f>
        <v>d_30</v>
      </c>
      <c r="AN59" s="98">
        <v>-3.7656018538891282E-3</v>
      </c>
    </row>
    <row r="60" spans="2:40" s="74" customFormat="1" x14ac:dyDescent="0.2">
      <c r="G60" s="113"/>
    </row>
    <row r="61" spans="2:40" s="74" customFormat="1" x14ac:dyDescent="0.2">
      <c r="G61" s="113"/>
    </row>
    <row r="62" spans="2:40" s="74" customFormat="1" x14ac:dyDescent="0.2">
      <c r="G62" s="113"/>
    </row>
    <row r="63" spans="2:40" s="74" customFormat="1" x14ac:dyDescent="0.2">
      <c r="G63" s="113"/>
    </row>
    <row r="64" spans="2:40" s="74" customFormat="1" x14ac:dyDescent="0.2">
      <c r="G64" s="113"/>
    </row>
    <row r="65" spans="6:37" s="74" customFormat="1" x14ac:dyDescent="0.2">
      <c r="F65" s="100">
        <f>IF(ISBLANK(F28),0,F28)</f>
        <v>1</v>
      </c>
      <c r="G65" s="100">
        <f t="shared" ref="G65:AK65" si="18">IF(ISBLANK(G28),0,G28)</f>
        <v>1</v>
      </c>
      <c r="H65" s="100">
        <f t="shared" si="18"/>
        <v>1</v>
      </c>
      <c r="I65" s="100">
        <f t="shared" si="18"/>
        <v>1</v>
      </c>
      <c r="J65" s="100">
        <f t="shared" si="18"/>
        <v>0</v>
      </c>
      <c r="K65" s="100">
        <f t="shared" si="18"/>
        <v>0</v>
      </c>
      <c r="L65" s="100">
        <f t="shared" si="18"/>
        <v>0</v>
      </c>
      <c r="M65" s="100">
        <f t="shared" si="18"/>
        <v>0</v>
      </c>
      <c r="N65" s="100">
        <f t="shared" si="18"/>
        <v>0</v>
      </c>
      <c r="O65" s="100">
        <f t="shared" si="18"/>
        <v>0</v>
      </c>
      <c r="P65" s="100">
        <f t="shared" si="18"/>
        <v>0</v>
      </c>
      <c r="Q65" s="100">
        <f t="shared" si="18"/>
        <v>0</v>
      </c>
      <c r="R65" s="100">
        <f t="shared" si="18"/>
        <v>0</v>
      </c>
      <c r="S65" s="100">
        <f t="shared" si="18"/>
        <v>0</v>
      </c>
      <c r="T65" s="100">
        <f t="shared" si="18"/>
        <v>0</v>
      </c>
      <c r="U65" s="100">
        <f t="shared" si="18"/>
        <v>0</v>
      </c>
      <c r="V65" s="100">
        <f t="shared" si="18"/>
        <v>0</v>
      </c>
      <c r="W65" s="100">
        <f t="shared" si="18"/>
        <v>0</v>
      </c>
      <c r="X65" s="100">
        <f t="shared" si="18"/>
        <v>0</v>
      </c>
      <c r="Y65" s="100">
        <f t="shared" si="18"/>
        <v>0</v>
      </c>
      <c r="Z65" s="100">
        <f t="shared" si="18"/>
        <v>0</v>
      </c>
      <c r="AA65" s="100">
        <f t="shared" si="18"/>
        <v>0</v>
      </c>
      <c r="AB65" s="100">
        <f t="shared" si="18"/>
        <v>0</v>
      </c>
      <c r="AC65" s="100">
        <f t="shared" si="18"/>
        <v>0</v>
      </c>
      <c r="AD65" s="100">
        <f t="shared" si="18"/>
        <v>0</v>
      </c>
      <c r="AE65" s="100">
        <f t="shared" si="18"/>
        <v>0</v>
      </c>
      <c r="AF65" s="100">
        <f t="shared" si="18"/>
        <v>0</v>
      </c>
      <c r="AG65" s="100">
        <f t="shared" si="18"/>
        <v>0</v>
      </c>
      <c r="AH65" s="100">
        <f t="shared" si="18"/>
        <v>0</v>
      </c>
      <c r="AI65" s="100">
        <f t="shared" si="18"/>
        <v>0</v>
      </c>
      <c r="AJ65" s="100">
        <f t="shared" si="18"/>
        <v>0</v>
      </c>
      <c r="AK65" s="100">
        <f t="shared" si="18"/>
        <v>0</v>
      </c>
    </row>
    <row r="66" spans="6:37" s="74" customFormat="1" x14ac:dyDescent="0.2">
      <c r="F66" s="100">
        <f t="shared" ref="F66:AK73" si="19">IF(ISBLANK(F29),0,F29)</f>
        <v>0</v>
      </c>
      <c r="G66" s="100">
        <f t="shared" si="19"/>
        <v>0</v>
      </c>
      <c r="H66" s="100">
        <f t="shared" si="19"/>
        <v>0</v>
      </c>
      <c r="I66" s="100">
        <f t="shared" si="19"/>
        <v>0</v>
      </c>
      <c r="J66" s="100">
        <f t="shared" si="19"/>
        <v>1</v>
      </c>
      <c r="K66" s="100">
        <f t="shared" si="19"/>
        <v>1</v>
      </c>
      <c r="L66" s="100">
        <f t="shared" si="19"/>
        <v>1</v>
      </c>
      <c r="M66" s="100">
        <f t="shared" si="19"/>
        <v>1</v>
      </c>
      <c r="N66" s="100">
        <f t="shared" si="19"/>
        <v>0</v>
      </c>
      <c r="O66" s="100">
        <f t="shared" si="19"/>
        <v>0</v>
      </c>
      <c r="P66" s="100">
        <f t="shared" si="19"/>
        <v>0</v>
      </c>
      <c r="Q66" s="100">
        <f t="shared" si="19"/>
        <v>0</v>
      </c>
      <c r="R66" s="100">
        <f t="shared" si="19"/>
        <v>0</v>
      </c>
      <c r="S66" s="100">
        <f t="shared" si="19"/>
        <v>0</v>
      </c>
      <c r="T66" s="100">
        <f t="shared" si="19"/>
        <v>0</v>
      </c>
      <c r="U66" s="100">
        <f t="shared" si="19"/>
        <v>0</v>
      </c>
      <c r="V66" s="100">
        <f t="shared" si="19"/>
        <v>0</v>
      </c>
      <c r="W66" s="100">
        <f t="shared" si="19"/>
        <v>0</v>
      </c>
      <c r="X66" s="100">
        <f t="shared" si="19"/>
        <v>0</v>
      </c>
      <c r="Y66" s="100">
        <f t="shared" si="19"/>
        <v>0</v>
      </c>
      <c r="Z66" s="100">
        <f t="shared" si="19"/>
        <v>0</v>
      </c>
      <c r="AA66" s="100">
        <f t="shared" si="19"/>
        <v>0</v>
      </c>
      <c r="AB66" s="100">
        <f t="shared" si="19"/>
        <v>0</v>
      </c>
      <c r="AC66" s="100">
        <f t="shared" si="19"/>
        <v>0</v>
      </c>
      <c r="AD66" s="100">
        <f t="shared" si="19"/>
        <v>0</v>
      </c>
      <c r="AE66" s="100">
        <f t="shared" si="19"/>
        <v>0</v>
      </c>
      <c r="AF66" s="100">
        <f t="shared" si="19"/>
        <v>0</v>
      </c>
      <c r="AG66" s="100">
        <f t="shared" si="19"/>
        <v>0</v>
      </c>
      <c r="AH66" s="100">
        <f t="shared" si="19"/>
        <v>0</v>
      </c>
      <c r="AI66" s="100">
        <f t="shared" si="19"/>
        <v>0</v>
      </c>
      <c r="AJ66" s="100">
        <f t="shared" si="19"/>
        <v>0</v>
      </c>
      <c r="AK66" s="100">
        <f t="shared" si="19"/>
        <v>0</v>
      </c>
    </row>
    <row r="67" spans="6:37" s="74" customFormat="1" x14ac:dyDescent="0.2">
      <c r="F67" s="100">
        <f t="shared" si="19"/>
        <v>3</v>
      </c>
      <c r="G67" s="100">
        <f t="shared" si="19"/>
        <v>2</v>
      </c>
      <c r="H67" s="100">
        <f t="shared" si="19"/>
        <v>1</v>
      </c>
      <c r="I67" s="100">
        <f t="shared" si="19"/>
        <v>0</v>
      </c>
      <c r="J67" s="100">
        <f t="shared" si="19"/>
        <v>-3</v>
      </c>
      <c r="K67" s="100">
        <f t="shared" si="19"/>
        <v>-2</v>
      </c>
      <c r="L67" s="100">
        <f t="shared" si="19"/>
        <v>-1</v>
      </c>
      <c r="M67" s="100">
        <f t="shared" si="19"/>
        <v>0</v>
      </c>
      <c r="N67" s="100">
        <f t="shared" si="19"/>
        <v>0</v>
      </c>
      <c r="O67" s="100">
        <f t="shared" si="19"/>
        <v>0</v>
      </c>
      <c r="P67" s="100">
        <f t="shared" si="19"/>
        <v>0</v>
      </c>
      <c r="Q67" s="100">
        <f t="shared" si="19"/>
        <v>0</v>
      </c>
      <c r="R67" s="100">
        <f t="shared" si="19"/>
        <v>0</v>
      </c>
      <c r="S67" s="100">
        <f t="shared" si="19"/>
        <v>0</v>
      </c>
      <c r="T67" s="100">
        <f t="shared" si="19"/>
        <v>0</v>
      </c>
      <c r="U67" s="100">
        <f t="shared" si="19"/>
        <v>0</v>
      </c>
      <c r="V67" s="100">
        <f t="shared" si="19"/>
        <v>0</v>
      </c>
      <c r="W67" s="100">
        <f t="shared" si="19"/>
        <v>0</v>
      </c>
      <c r="X67" s="100">
        <f t="shared" si="19"/>
        <v>0</v>
      </c>
      <c r="Y67" s="100">
        <f t="shared" si="19"/>
        <v>0</v>
      </c>
      <c r="Z67" s="100">
        <f t="shared" si="19"/>
        <v>0</v>
      </c>
      <c r="AA67" s="100">
        <f t="shared" si="19"/>
        <v>0</v>
      </c>
      <c r="AB67" s="100">
        <f t="shared" si="19"/>
        <v>0</v>
      </c>
      <c r="AC67" s="100">
        <f t="shared" si="19"/>
        <v>0</v>
      </c>
      <c r="AD67" s="100">
        <f t="shared" si="19"/>
        <v>0</v>
      </c>
      <c r="AE67" s="100">
        <f t="shared" si="19"/>
        <v>0</v>
      </c>
      <c r="AF67" s="100">
        <f t="shared" si="19"/>
        <v>0</v>
      </c>
      <c r="AG67" s="100">
        <f t="shared" si="19"/>
        <v>0</v>
      </c>
      <c r="AH67" s="100">
        <f t="shared" si="19"/>
        <v>0</v>
      </c>
      <c r="AI67" s="100">
        <f t="shared" si="19"/>
        <v>0</v>
      </c>
      <c r="AJ67" s="100">
        <f t="shared" si="19"/>
        <v>0</v>
      </c>
      <c r="AK67" s="100">
        <f t="shared" si="19"/>
        <v>0</v>
      </c>
    </row>
    <row r="68" spans="6:37" s="74" customFormat="1" x14ac:dyDescent="0.2">
      <c r="F68" s="100">
        <f t="shared" si="19"/>
        <v>6</v>
      </c>
      <c r="G68" s="100">
        <f t="shared" si="19"/>
        <v>2</v>
      </c>
      <c r="H68" s="100">
        <f t="shared" si="19"/>
        <v>0</v>
      </c>
      <c r="I68" s="100">
        <f t="shared" si="19"/>
        <v>0</v>
      </c>
      <c r="J68" s="100">
        <f t="shared" si="19"/>
        <v>-6</v>
      </c>
      <c r="K68" s="100">
        <f t="shared" si="19"/>
        <v>-2</v>
      </c>
      <c r="L68" s="100">
        <f t="shared" si="19"/>
        <v>0</v>
      </c>
      <c r="M68" s="100">
        <f t="shared" si="19"/>
        <v>0</v>
      </c>
      <c r="N68" s="100">
        <f t="shared" si="19"/>
        <v>0</v>
      </c>
      <c r="O68" s="100">
        <f t="shared" si="19"/>
        <v>0</v>
      </c>
      <c r="P68" s="100">
        <f t="shared" si="19"/>
        <v>0</v>
      </c>
      <c r="Q68" s="100">
        <f t="shared" si="19"/>
        <v>0</v>
      </c>
      <c r="R68" s="100">
        <f t="shared" si="19"/>
        <v>0</v>
      </c>
      <c r="S68" s="100">
        <f t="shared" si="19"/>
        <v>0</v>
      </c>
      <c r="T68" s="100">
        <f t="shared" si="19"/>
        <v>0</v>
      </c>
      <c r="U68" s="100">
        <f t="shared" si="19"/>
        <v>0</v>
      </c>
      <c r="V68" s="100">
        <f t="shared" si="19"/>
        <v>0</v>
      </c>
      <c r="W68" s="100">
        <f t="shared" si="19"/>
        <v>0</v>
      </c>
      <c r="X68" s="100">
        <f t="shared" si="19"/>
        <v>0</v>
      </c>
      <c r="Y68" s="100">
        <f t="shared" si="19"/>
        <v>0</v>
      </c>
      <c r="Z68" s="100">
        <f t="shared" si="19"/>
        <v>0</v>
      </c>
      <c r="AA68" s="100">
        <f t="shared" si="19"/>
        <v>0</v>
      </c>
      <c r="AB68" s="100">
        <f t="shared" si="19"/>
        <v>0</v>
      </c>
      <c r="AC68" s="100">
        <f t="shared" si="19"/>
        <v>0</v>
      </c>
      <c r="AD68" s="100">
        <f t="shared" si="19"/>
        <v>0</v>
      </c>
      <c r="AE68" s="100">
        <f t="shared" si="19"/>
        <v>0</v>
      </c>
      <c r="AF68" s="100">
        <f t="shared" si="19"/>
        <v>0</v>
      </c>
      <c r="AG68" s="100">
        <f t="shared" si="19"/>
        <v>0</v>
      </c>
      <c r="AH68" s="100">
        <f t="shared" si="19"/>
        <v>0</v>
      </c>
      <c r="AI68" s="100">
        <f t="shared" si="19"/>
        <v>0</v>
      </c>
      <c r="AJ68" s="100">
        <f t="shared" si="19"/>
        <v>0</v>
      </c>
      <c r="AK68" s="100">
        <f t="shared" si="19"/>
        <v>0</v>
      </c>
    </row>
    <row r="69" spans="6:37" s="74" customFormat="1" x14ac:dyDescent="0.2">
      <c r="F69" s="100">
        <f t="shared" si="19"/>
        <v>0</v>
      </c>
      <c r="G69" s="100">
        <f t="shared" si="19"/>
        <v>0</v>
      </c>
      <c r="H69" s="100">
        <f t="shared" si="19"/>
        <v>0</v>
      </c>
      <c r="I69" s="100">
        <f t="shared" si="19"/>
        <v>0</v>
      </c>
      <c r="J69" s="100">
        <f t="shared" si="19"/>
        <v>8</v>
      </c>
      <c r="K69" s="100">
        <f t="shared" si="19"/>
        <v>4</v>
      </c>
      <c r="L69" s="100">
        <f t="shared" si="19"/>
        <v>2</v>
      </c>
      <c r="M69" s="100">
        <f t="shared" si="19"/>
        <v>1</v>
      </c>
      <c r="N69" s="100">
        <f t="shared" si="19"/>
        <v>0</v>
      </c>
      <c r="O69" s="100">
        <f t="shared" si="19"/>
        <v>0</v>
      </c>
      <c r="P69" s="100">
        <f t="shared" si="19"/>
        <v>0</v>
      </c>
      <c r="Q69" s="100">
        <f t="shared" si="19"/>
        <v>0</v>
      </c>
      <c r="R69" s="100">
        <f t="shared" si="19"/>
        <v>0</v>
      </c>
      <c r="S69" s="100">
        <f t="shared" si="19"/>
        <v>0</v>
      </c>
      <c r="T69" s="100">
        <f t="shared" si="19"/>
        <v>0</v>
      </c>
      <c r="U69" s="100">
        <f t="shared" si="19"/>
        <v>0</v>
      </c>
      <c r="V69" s="100">
        <f t="shared" si="19"/>
        <v>0</v>
      </c>
      <c r="W69" s="100">
        <f t="shared" si="19"/>
        <v>0</v>
      </c>
      <c r="X69" s="100">
        <f t="shared" si="19"/>
        <v>0</v>
      </c>
      <c r="Y69" s="100">
        <f t="shared" si="19"/>
        <v>0</v>
      </c>
      <c r="Z69" s="100">
        <f t="shared" si="19"/>
        <v>0</v>
      </c>
      <c r="AA69" s="100">
        <f t="shared" si="19"/>
        <v>0</v>
      </c>
      <c r="AB69" s="100">
        <f t="shared" si="19"/>
        <v>0</v>
      </c>
      <c r="AC69" s="100">
        <f t="shared" si="19"/>
        <v>0</v>
      </c>
      <c r="AD69" s="100">
        <f t="shared" si="19"/>
        <v>0</v>
      </c>
      <c r="AE69" s="100">
        <f t="shared" si="19"/>
        <v>0</v>
      </c>
      <c r="AF69" s="100">
        <f t="shared" si="19"/>
        <v>0</v>
      </c>
      <c r="AG69" s="100">
        <f t="shared" si="19"/>
        <v>0</v>
      </c>
      <c r="AH69" s="100">
        <f t="shared" si="19"/>
        <v>0</v>
      </c>
      <c r="AI69" s="100">
        <f t="shared" si="19"/>
        <v>0</v>
      </c>
      <c r="AJ69" s="100">
        <f t="shared" si="19"/>
        <v>0</v>
      </c>
      <c r="AK69" s="100">
        <f t="shared" si="19"/>
        <v>0</v>
      </c>
    </row>
    <row r="70" spans="6:37" s="74" customFormat="1" x14ac:dyDescent="0.2">
      <c r="F70" s="100">
        <f t="shared" si="19"/>
        <v>0</v>
      </c>
      <c r="G70" s="100">
        <f t="shared" si="19"/>
        <v>0</v>
      </c>
      <c r="H70" s="100">
        <f t="shared" si="19"/>
        <v>0</v>
      </c>
      <c r="I70" s="100">
        <f t="shared" si="19"/>
        <v>0</v>
      </c>
      <c r="J70" s="100">
        <f t="shared" si="19"/>
        <v>0</v>
      </c>
      <c r="K70" s="100">
        <f t="shared" si="19"/>
        <v>0</v>
      </c>
      <c r="L70" s="100">
        <f t="shared" si="19"/>
        <v>0</v>
      </c>
      <c r="M70" s="100">
        <f t="shared" si="19"/>
        <v>0</v>
      </c>
      <c r="N70" s="100">
        <f t="shared" si="19"/>
        <v>8</v>
      </c>
      <c r="O70" s="100">
        <f t="shared" si="19"/>
        <v>4</v>
      </c>
      <c r="P70" s="100">
        <f t="shared" si="19"/>
        <v>2</v>
      </c>
      <c r="Q70" s="100">
        <f t="shared" si="19"/>
        <v>1</v>
      </c>
      <c r="R70" s="100">
        <f t="shared" si="19"/>
        <v>0</v>
      </c>
      <c r="S70" s="100">
        <f t="shared" si="19"/>
        <v>0</v>
      </c>
      <c r="T70" s="100">
        <f t="shared" si="19"/>
        <v>0</v>
      </c>
      <c r="U70" s="100">
        <f t="shared" si="19"/>
        <v>0</v>
      </c>
      <c r="V70" s="100">
        <f t="shared" si="19"/>
        <v>0</v>
      </c>
      <c r="W70" s="100">
        <f t="shared" si="19"/>
        <v>0</v>
      </c>
      <c r="X70" s="100">
        <f t="shared" si="19"/>
        <v>0</v>
      </c>
      <c r="Y70" s="100">
        <f t="shared" si="19"/>
        <v>0</v>
      </c>
      <c r="Z70" s="100">
        <f t="shared" si="19"/>
        <v>0</v>
      </c>
      <c r="AA70" s="100">
        <f t="shared" si="19"/>
        <v>0</v>
      </c>
      <c r="AB70" s="100">
        <f t="shared" si="19"/>
        <v>0</v>
      </c>
      <c r="AC70" s="100">
        <f t="shared" si="19"/>
        <v>0</v>
      </c>
      <c r="AD70" s="100">
        <f t="shared" si="19"/>
        <v>0</v>
      </c>
      <c r="AE70" s="100">
        <f t="shared" si="19"/>
        <v>0</v>
      </c>
      <c r="AF70" s="100">
        <f t="shared" si="19"/>
        <v>0</v>
      </c>
      <c r="AG70" s="100">
        <f t="shared" si="19"/>
        <v>0</v>
      </c>
      <c r="AH70" s="100">
        <f t="shared" si="19"/>
        <v>0</v>
      </c>
      <c r="AI70" s="100">
        <f t="shared" si="19"/>
        <v>0</v>
      </c>
      <c r="AJ70" s="100">
        <f t="shared" si="19"/>
        <v>0</v>
      </c>
      <c r="AK70" s="100">
        <f t="shared" si="19"/>
        <v>0</v>
      </c>
    </row>
    <row r="71" spans="6:37" s="74" customFormat="1" x14ac:dyDescent="0.2">
      <c r="F71" s="100">
        <f t="shared" si="19"/>
        <v>0</v>
      </c>
      <c r="G71" s="100">
        <f t="shared" si="19"/>
        <v>0</v>
      </c>
      <c r="H71" s="100">
        <f t="shared" si="19"/>
        <v>0</v>
      </c>
      <c r="I71" s="100">
        <f t="shared" si="19"/>
        <v>0</v>
      </c>
      <c r="J71" s="100">
        <f t="shared" si="19"/>
        <v>12</v>
      </c>
      <c r="K71" s="100">
        <f t="shared" si="19"/>
        <v>4</v>
      </c>
      <c r="L71" s="100">
        <f t="shared" si="19"/>
        <v>1</v>
      </c>
      <c r="M71" s="100">
        <f t="shared" si="19"/>
        <v>0</v>
      </c>
      <c r="N71" s="100">
        <f t="shared" si="19"/>
        <v>-12</v>
      </c>
      <c r="O71" s="100">
        <f t="shared" si="19"/>
        <v>-4</v>
      </c>
      <c r="P71" s="100">
        <f t="shared" si="19"/>
        <v>-1</v>
      </c>
      <c r="Q71" s="100">
        <f t="shared" si="19"/>
        <v>0</v>
      </c>
      <c r="R71" s="100">
        <f t="shared" si="19"/>
        <v>0</v>
      </c>
      <c r="S71" s="100">
        <f t="shared" si="19"/>
        <v>0</v>
      </c>
      <c r="T71" s="100">
        <f t="shared" si="19"/>
        <v>0</v>
      </c>
      <c r="U71" s="100">
        <f t="shared" si="19"/>
        <v>0</v>
      </c>
      <c r="V71" s="100">
        <f t="shared" si="19"/>
        <v>0</v>
      </c>
      <c r="W71" s="100">
        <f t="shared" si="19"/>
        <v>0</v>
      </c>
      <c r="X71" s="100">
        <f t="shared" si="19"/>
        <v>0</v>
      </c>
      <c r="Y71" s="100">
        <f t="shared" si="19"/>
        <v>0</v>
      </c>
      <c r="Z71" s="100">
        <f t="shared" si="19"/>
        <v>0</v>
      </c>
      <c r="AA71" s="100">
        <f t="shared" si="19"/>
        <v>0</v>
      </c>
      <c r="AB71" s="100">
        <f t="shared" si="19"/>
        <v>0</v>
      </c>
      <c r="AC71" s="100">
        <f t="shared" si="19"/>
        <v>0</v>
      </c>
      <c r="AD71" s="100">
        <f t="shared" si="19"/>
        <v>0</v>
      </c>
      <c r="AE71" s="100">
        <f t="shared" si="19"/>
        <v>0</v>
      </c>
      <c r="AF71" s="100">
        <f t="shared" si="19"/>
        <v>0</v>
      </c>
      <c r="AG71" s="100">
        <f t="shared" si="19"/>
        <v>0</v>
      </c>
      <c r="AH71" s="100">
        <f t="shared" si="19"/>
        <v>0</v>
      </c>
      <c r="AI71" s="100">
        <f t="shared" si="19"/>
        <v>0</v>
      </c>
      <c r="AJ71" s="100">
        <f t="shared" si="19"/>
        <v>0</v>
      </c>
      <c r="AK71" s="100">
        <f t="shared" si="19"/>
        <v>0</v>
      </c>
    </row>
    <row r="72" spans="6:37" s="74" customFormat="1" x14ac:dyDescent="0.2">
      <c r="F72" s="100">
        <f t="shared" si="19"/>
        <v>0</v>
      </c>
      <c r="G72" s="100">
        <f t="shared" si="19"/>
        <v>0</v>
      </c>
      <c r="H72" s="100">
        <f t="shared" si="19"/>
        <v>0</v>
      </c>
      <c r="I72" s="100">
        <f t="shared" si="19"/>
        <v>0</v>
      </c>
      <c r="J72" s="100">
        <f t="shared" si="19"/>
        <v>12</v>
      </c>
      <c r="K72" s="100">
        <f t="shared" si="19"/>
        <v>2</v>
      </c>
      <c r="L72" s="100">
        <f t="shared" si="19"/>
        <v>0</v>
      </c>
      <c r="M72" s="100">
        <f t="shared" si="19"/>
        <v>0</v>
      </c>
      <c r="N72" s="100">
        <f t="shared" si="19"/>
        <v>-12</v>
      </c>
      <c r="O72" s="100">
        <f t="shared" si="19"/>
        <v>-2</v>
      </c>
      <c r="P72" s="100">
        <f t="shared" si="19"/>
        <v>0</v>
      </c>
      <c r="Q72" s="100">
        <f t="shared" si="19"/>
        <v>0</v>
      </c>
      <c r="R72" s="100">
        <f t="shared" si="19"/>
        <v>0</v>
      </c>
      <c r="S72" s="100">
        <f t="shared" si="19"/>
        <v>0</v>
      </c>
      <c r="T72" s="100">
        <f t="shared" si="19"/>
        <v>0</v>
      </c>
      <c r="U72" s="100">
        <f t="shared" si="19"/>
        <v>0</v>
      </c>
      <c r="V72" s="100">
        <f t="shared" si="19"/>
        <v>0</v>
      </c>
      <c r="W72" s="100">
        <f t="shared" si="19"/>
        <v>0</v>
      </c>
      <c r="X72" s="100">
        <f t="shared" si="19"/>
        <v>0</v>
      </c>
      <c r="Y72" s="100">
        <f t="shared" si="19"/>
        <v>0</v>
      </c>
      <c r="Z72" s="100">
        <f t="shared" si="19"/>
        <v>0</v>
      </c>
      <c r="AA72" s="100">
        <f t="shared" si="19"/>
        <v>0</v>
      </c>
      <c r="AB72" s="100">
        <f t="shared" si="19"/>
        <v>0</v>
      </c>
      <c r="AC72" s="100">
        <f t="shared" si="19"/>
        <v>0</v>
      </c>
      <c r="AD72" s="100">
        <f t="shared" si="19"/>
        <v>0</v>
      </c>
      <c r="AE72" s="100">
        <f t="shared" si="19"/>
        <v>0</v>
      </c>
      <c r="AF72" s="100">
        <f t="shared" si="19"/>
        <v>0</v>
      </c>
      <c r="AG72" s="100">
        <f t="shared" si="19"/>
        <v>0</v>
      </c>
      <c r="AH72" s="100">
        <f t="shared" si="19"/>
        <v>0</v>
      </c>
      <c r="AI72" s="100">
        <f t="shared" si="19"/>
        <v>0</v>
      </c>
      <c r="AJ72" s="100">
        <f t="shared" si="19"/>
        <v>0</v>
      </c>
      <c r="AK72" s="100">
        <f t="shared" si="19"/>
        <v>0</v>
      </c>
    </row>
    <row r="73" spans="6:37" s="74" customFormat="1" x14ac:dyDescent="0.2">
      <c r="F73" s="100">
        <f t="shared" si="19"/>
        <v>0</v>
      </c>
      <c r="G73" s="100">
        <f t="shared" si="19"/>
        <v>0</v>
      </c>
      <c r="H73" s="100">
        <f t="shared" si="19"/>
        <v>0</v>
      </c>
      <c r="I73" s="100">
        <f t="shared" si="19"/>
        <v>0</v>
      </c>
      <c r="J73" s="100">
        <f t="shared" si="19"/>
        <v>0</v>
      </c>
      <c r="K73" s="100">
        <f t="shared" si="19"/>
        <v>0</v>
      </c>
      <c r="L73" s="100">
        <f t="shared" si="19"/>
        <v>0</v>
      </c>
      <c r="M73" s="100">
        <f t="shared" si="19"/>
        <v>0</v>
      </c>
      <c r="N73" s="100">
        <f t="shared" si="19"/>
        <v>27</v>
      </c>
      <c r="O73" s="100">
        <f t="shared" si="19"/>
        <v>9</v>
      </c>
      <c r="P73" s="100">
        <f t="shared" si="19"/>
        <v>3</v>
      </c>
      <c r="Q73" s="100">
        <f t="shared" si="19"/>
        <v>1</v>
      </c>
      <c r="R73" s="100">
        <f t="shared" si="19"/>
        <v>0</v>
      </c>
      <c r="S73" s="100">
        <f t="shared" si="19"/>
        <v>0</v>
      </c>
      <c r="T73" s="100">
        <f t="shared" si="19"/>
        <v>0</v>
      </c>
      <c r="U73" s="100">
        <f t="shared" si="19"/>
        <v>0</v>
      </c>
      <c r="V73" s="100">
        <f t="shared" si="19"/>
        <v>0</v>
      </c>
      <c r="W73" s="100">
        <f t="shared" si="19"/>
        <v>0</v>
      </c>
      <c r="X73" s="100">
        <f t="shared" si="19"/>
        <v>0</v>
      </c>
      <c r="Y73" s="100">
        <f t="shared" si="19"/>
        <v>0</v>
      </c>
      <c r="Z73" s="100">
        <f t="shared" si="19"/>
        <v>0</v>
      </c>
      <c r="AA73" s="100">
        <f t="shared" si="19"/>
        <v>0</v>
      </c>
      <c r="AB73" s="100">
        <f t="shared" si="19"/>
        <v>0</v>
      </c>
      <c r="AC73" s="100">
        <f t="shared" si="19"/>
        <v>0</v>
      </c>
      <c r="AD73" s="100">
        <f t="shared" si="19"/>
        <v>0</v>
      </c>
      <c r="AE73" s="100">
        <f t="shared" si="19"/>
        <v>0</v>
      </c>
      <c r="AF73" s="100">
        <f t="shared" si="19"/>
        <v>0</v>
      </c>
      <c r="AG73" s="100">
        <f t="shared" si="19"/>
        <v>0</v>
      </c>
      <c r="AH73" s="100">
        <f t="shared" si="19"/>
        <v>0</v>
      </c>
      <c r="AI73" s="100">
        <f t="shared" si="19"/>
        <v>0</v>
      </c>
      <c r="AJ73" s="100">
        <f t="shared" si="19"/>
        <v>0</v>
      </c>
      <c r="AK73" s="100">
        <f t="shared" ref="AK73" si="20">IF(ISBLANK(AK36),0,AK36)</f>
        <v>0</v>
      </c>
    </row>
    <row r="74" spans="6:37" s="74" customFormat="1" x14ac:dyDescent="0.2">
      <c r="F74" s="100">
        <f t="shared" ref="F74:AK81" si="21">IF(ISBLANK(F37),0,F37)</f>
        <v>0</v>
      </c>
      <c r="G74" s="100">
        <f t="shared" si="21"/>
        <v>0</v>
      </c>
      <c r="H74" s="100">
        <f t="shared" si="21"/>
        <v>0</v>
      </c>
      <c r="I74" s="100">
        <f t="shared" si="21"/>
        <v>0</v>
      </c>
      <c r="J74" s="100">
        <f t="shared" si="21"/>
        <v>0</v>
      </c>
      <c r="K74" s="100">
        <f t="shared" si="21"/>
        <v>0</v>
      </c>
      <c r="L74" s="100">
        <f t="shared" si="21"/>
        <v>0</v>
      </c>
      <c r="M74" s="100">
        <f t="shared" si="21"/>
        <v>0</v>
      </c>
      <c r="N74" s="100">
        <f t="shared" si="21"/>
        <v>0</v>
      </c>
      <c r="O74" s="100">
        <f t="shared" si="21"/>
        <v>0</v>
      </c>
      <c r="P74" s="100">
        <f t="shared" si="21"/>
        <v>0</v>
      </c>
      <c r="Q74" s="100">
        <f t="shared" si="21"/>
        <v>0</v>
      </c>
      <c r="R74" s="100">
        <f t="shared" si="21"/>
        <v>27</v>
      </c>
      <c r="S74" s="100">
        <f t="shared" si="21"/>
        <v>9</v>
      </c>
      <c r="T74" s="100">
        <f t="shared" si="21"/>
        <v>3</v>
      </c>
      <c r="U74" s="100">
        <f t="shared" si="21"/>
        <v>1</v>
      </c>
      <c r="V74" s="100">
        <f t="shared" si="21"/>
        <v>0</v>
      </c>
      <c r="W74" s="100">
        <f t="shared" si="21"/>
        <v>0</v>
      </c>
      <c r="X74" s="100">
        <f t="shared" si="21"/>
        <v>0</v>
      </c>
      <c r="Y74" s="100">
        <f t="shared" si="21"/>
        <v>0</v>
      </c>
      <c r="Z74" s="100">
        <f t="shared" si="21"/>
        <v>0</v>
      </c>
      <c r="AA74" s="100">
        <f t="shared" si="21"/>
        <v>0</v>
      </c>
      <c r="AB74" s="100">
        <f t="shared" si="21"/>
        <v>0</v>
      </c>
      <c r="AC74" s="100">
        <f t="shared" si="21"/>
        <v>0</v>
      </c>
      <c r="AD74" s="100">
        <f t="shared" si="21"/>
        <v>0</v>
      </c>
      <c r="AE74" s="100">
        <f t="shared" si="21"/>
        <v>0</v>
      </c>
      <c r="AF74" s="100">
        <f t="shared" si="21"/>
        <v>0</v>
      </c>
      <c r="AG74" s="100">
        <f t="shared" si="21"/>
        <v>0</v>
      </c>
      <c r="AH74" s="100">
        <f t="shared" si="21"/>
        <v>0</v>
      </c>
      <c r="AI74" s="100">
        <f t="shared" si="21"/>
        <v>0</v>
      </c>
      <c r="AJ74" s="100">
        <f t="shared" si="21"/>
        <v>0</v>
      </c>
      <c r="AK74" s="100">
        <f t="shared" si="21"/>
        <v>0</v>
      </c>
    </row>
    <row r="75" spans="6:37" s="74" customFormat="1" x14ac:dyDescent="0.2">
      <c r="F75" s="100">
        <f t="shared" si="21"/>
        <v>0</v>
      </c>
      <c r="G75" s="100">
        <f t="shared" si="21"/>
        <v>0</v>
      </c>
      <c r="H75" s="100">
        <f t="shared" si="21"/>
        <v>0</v>
      </c>
      <c r="I75" s="100">
        <f t="shared" si="21"/>
        <v>0</v>
      </c>
      <c r="J75" s="100">
        <f t="shared" si="21"/>
        <v>0</v>
      </c>
      <c r="K75" s="100">
        <f t="shared" si="21"/>
        <v>0</v>
      </c>
      <c r="L75" s="100">
        <f t="shared" si="21"/>
        <v>0</v>
      </c>
      <c r="M75" s="100">
        <f t="shared" si="21"/>
        <v>0</v>
      </c>
      <c r="N75" s="100">
        <f t="shared" si="21"/>
        <v>27</v>
      </c>
      <c r="O75" s="100">
        <f t="shared" si="21"/>
        <v>6</v>
      </c>
      <c r="P75" s="100">
        <f t="shared" si="21"/>
        <v>1</v>
      </c>
      <c r="Q75" s="100">
        <f t="shared" si="21"/>
        <v>0</v>
      </c>
      <c r="R75" s="100">
        <f t="shared" si="21"/>
        <v>-27</v>
      </c>
      <c r="S75" s="100">
        <f t="shared" si="21"/>
        <v>-6</v>
      </c>
      <c r="T75" s="100">
        <f t="shared" si="21"/>
        <v>-1</v>
      </c>
      <c r="U75" s="100">
        <f t="shared" si="21"/>
        <v>0</v>
      </c>
      <c r="V75" s="100">
        <f t="shared" si="21"/>
        <v>0</v>
      </c>
      <c r="W75" s="100">
        <f t="shared" si="21"/>
        <v>0</v>
      </c>
      <c r="X75" s="100">
        <f t="shared" si="21"/>
        <v>0</v>
      </c>
      <c r="Y75" s="100">
        <f t="shared" si="21"/>
        <v>0</v>
      </c>
      <c r="Z75" s="100">
        <f t="shared" si="21"/>
        <v>0</v>
      </c>
      <c r="AA75" s="100">
        <f t="shared" si="21"/>
        <v>0</v>
      </c>
      <c r="AB75" s="100">
        <f t="shared" si="21"/>
        <v>0</v>
      </c>
      <c r="AC75" s="100">
        <f t="shared" si="21"/>
        <v>0</v>
      </c>
      <c r="AD75" s="100">
        <f t="shared" si="21"/>
        <v>0</v>
      </c>
      <c r="AE75" s="100">
        <f t="shared" si="21"/>
        <v>0</v>
      </c>
      <c r="AF75" s="100">
        <f t="shared" si="21"/>
        <v>0</v>
      </c>
      <c r="AG75" s="100">
        <f t="shared" si="21"/>
        <v>0</v>
      </c>
      <c r="AH75" s="100">
        <f t="shared" si="21"/>
        <v>0</v>
      </c>
      <c r="AI75" s="100">
        <f t="shared" si="21"/>
        <v>0</v>
      </c>
      <c r="AJ75" s="100">
        <f t="shared" si="21"/>
        <v>0</v>
      </c>
      <c r="AK75" s="100">
        <f t="shared" si="21"/>
        <v>0</v>
      </c>
    </row>
    <row r="76" spans="6:37" s="74" customFormat="1" x14ac:dyDescent="0.2">
      <c r="F76" s="100">
        <f t="shared" si="21"/>
        <v>0</v>
      </c>
      <c r="G76" s="100">
        <f t="shared" si="21"/>
        <v>0</v>
      </c>
      <c r="H76" s="100">
        <f t="shared" si="21"/>
        <v>0</v>
      </c>
      <c r="I76" s="100">
        <f t="shared" si="21"/>
        <v>0</v>
      </c>
      <c r="J76" s="100">
        <f t="shared" si="21"/>
        <v>0</v>
      </c>
      <c r="K76" s="100">
        <f t="shared" si="21"/>
        <v>0</v>
      </c>
      <c r="L76" s="100">
        <f t="shared" si="21"/>
        <v>0</v>
      </c>
      <c r="M76" s="100">
        <f t="shared" si="21"/>
        <v>0</v>
      </c>
      <c r="N76" s="100">
        <f t="shared" si="21"/>
        <v>18</v>
      </c>
      <c r="O76" s="100">
        <f t="shared" si="21"/>
        <v>2</v>
      </c>
      <c r="P76" s="100">
        <f t="shared" si="21"/>
        <v>0</v>
      </c>
      <c r="Q76" s="100">
        <f t="shared" si="21"/>
        <v>0</v>
      </c>
      <c r="R76" s="100">
        <f t="shared" si="21"/>
        <v>-18</v>
      </c>
      <c r="S76" s="100">
        <f t="shared" si="21"/>
        <v>-2</v>
      </c>
      <c r="T76" s="100">
        <f t="shared" si="21"/>
        <v>0</v>
      </c>
      <c r="U76" s="100">
        <f t="shared" si="21"/>
        <v>0</v>
      </c>
      <c r="V76" s="100">
        <f t="shared" si="21"/>
        <v>0</v>
      </c>
      <c r="W76" s="100">
        <f t="shared" si="21"/>
        <v>0</v>
      </c>
      <c r="X76" s="100">
        <f t="shared" si="21"/>
        <v>0</v>
      </c>
      <c r="Y76" s="100">
        <f t="shared" si="21"/>
        <v>0</v>
      </c>
      <c r="Z76" s="100">
        <f t="shared" si="21"/>
        <v>0</v>
      </c>
      <c r="AA76" s="100">
        <f t="shared" si="21"/>
        <v>0</v>
      </c>
      <c r="AB76" s="100">
        <f t="shared" si="21"/>
        <v>0</v>
      </c>
      <c r="AC76" s="100">
        <f t="shared" si="21"/>
        <v>0</v>
      </c>
      <c r="AD76" s="100">
        <f t="shared" si="21"/>
        <v>0</v>
      </c>
      <c r="AE76" s="100">
        <f t="shared" si="21"/>
        <v>0</v>
      </c>
      <c r="AF76" s="100">
        <f t="shared" si="21"/>
        <v>0</v>
      </c>
      <c r="AG76" s="100">
        <f t="shared" si="21"/>
        <v>0</v>
      </c>
      <c r="AH76" s="100">
        <f t="shared" si="21"/>
        <v>0</v>
      </c>
      <c r="AI76" s="100">
        <f t="shared" si="21"/>
        <v>0</v>
      </c>
      <c r="AJ76" s="100">
        <f t="shared" si="21"/>
        <v>0</v>
      </c>
      <c r="AK76" s="100">
        <f t="shared" si="21"/>
        <v>0</v>
      </c>
    </row>
    <row r="77" spans="6:37" s="74" customFormat="1" x14ac:dyDescent="0.2">
      <c r="F77" s="100">
        <f t="shared" si="21"/>
        <v>0</v>
      </c>
      <c r="G77" s="100">
        <f t="shared" si="21"/>
        <v>0</v>
      </c>
      <c r="H77" s="100">
        <f t="shared" si="21"/>
        <v>0</v>
      </c>
      <c r="I77" s="100">
        <f t="shared" si="21"/>
        <v>0</v>
      </c>
      <c r="J77" s="100">
        <f t="shared" si="21"/>
        <v>0</v>
      </c>
      <c r="K77" s="100">
        <f t="shared" si="21"/>
        <v>0</v>
      </c>
      <c r="L77" s="100">
        <f t="shared" si="21"/>
        <v>0</v>
      </c>
      <c r="M77" s="100">
        <f t="shared" si="21"/>
        <v>0</v>
      </c>
      <c r="N77" s="100">
        <f t="shared" si="21"/>
        <v>0</v>
      </c>
      <c r="O77" s="100">
        <f t="shared" si="21"/>
        <v>0</v>
      </c>
      <c r="P77" s="100">
        <f t="shared" si="21"/>
        <v>0</v>
      </c>
      <c r="Q77" s="100">
        <f t="shared" si="21"/>
        <v>0</v>
      </c>
      <c r="R77" s="100">
        <f t="shared" si="21"/>
        <v>64</v>
      </c>
      <c r="S77" s="100">
        <f t="shared" si="21"/>
        <v>16</v>
      </c>
      <c r="T77" s="100">
        <f t="shared" si="21"/>
        <v>4</v>
      </c>
      <c r="U77" s="100">
        <f t="shared" si="21"/>
        <v>1</v>
      </c>
      <c r="V77" s="100">
        <f t="shared" si="21"/>
        <v>0</v>
      </c>
      <c r="W77" s="100">
        <f t="shared" si="21"/>
        <v>0</v>
      </c>
      <c r="X77" s="100">
        <f t="shared" si="21"/>
        <v>0</v>
      </c>
      <c r="Y77" s="100">
        <f t="shared" si="21"/>
        <v>0</v>
      </c>
      <c r="Z77" s="100">
        <f t="shared" si="21"/>
        <v>0</v>
      </c>
      <c r="AA77" s="100">
        <f t="shared" si="21"/>
        <v>0</v>
      </c>
      <c r="AB77" s="100">
        <f t="shared" si="21"/>
        <v>0</v>
      </c>
      <c r="AC77" s="100">
        <f t="shared" si="21"/>
        <v>0</v>
      </c>
      <c r="AD77" s="100">
        <f t="shared" si="21"/>
        <v>0</v>
      </c>
      <c r="AE77" s="100">
        <f t="shared" si="21"/>
        <v>0</v>
      </c>
      <c r="AF77" s="100">
        <f t="shared" si="21"/>
        <v>0</v>
      </c>
      <c r="AG77" s="100">
        <f t="shared" si="21"/>
        <v>0</v>
      </c>
      <c r="AH77" s="100">
        <f t="shared" si="21"/>
        <v>0</v>
      </c>
      <c r="AI77" s="100">
        <f t="shared" si="21"/>
        <v>0</v>
      </c>
      <c r="AJ77" s="100">
        <f t="shared" si="21"/>
        <v>0</v>
      </c>
      <c r="AK77" s="100">
        <f t="shared" si="21"/>
        <v>0</v>
      </c>
    </row>
    <row r="78" spans="6:37" s="74" customFormat="1" x14ac:dyDescent="0.2">
      <c r="F78" s="100">
        <f t="shared" si="21"/>
        <v>0</v>
      </c>
      <c r="G78" s="100">
        <f t="shared" si="21"/>
        <v>0</v>
      </c>
      <c r="H78" s="100">
        <f t="shared" si="21"/>
        <v>0</v>
      </c>
      <c r="I78" s="100">
        <f t="shared" si="21"/>
        <v>0</v>
      </c>
      <c r="J78" s="100">
        <f t="shared" si="21"/>
        <v>0</v>
      </c>
      <c r="K78" s="100">
        <f t="shared" si="21"/>
        <v>0</v>
      </c>
      <c r="L78" s="100">
        <f t="shared" si="21"/>
        <v>0</v>
      </c>
      <c r="M78" s="100">
        <f t="shared" si="21"/>
        <v>0</v>
      </c>
      <c r="N78" s="100">
        <f t="shared" si="21"/>
        <v>0</v>
      </c>
      <c r="O78" s="100">
        <f t="shared" si="21"/>
        <v>0</v>
      </c>
      <c r="P78" s="100">
        <f t="shared" si="21"/>
        <v>0</v>
      </c>
      <c r="Q78" s="100">
        <f t="shared" si="21"/>
        <v>0</v>
      </c>
      <c r="R78" s="100">
        <f t="shared" si="21"/>
        <v>0</v>
      </c>
      <c r="S78" s="100">
        <f t="shared" si="21"/>
        <v>0</v>
      </c>
      <c r="T78" s="100">
        <f t="shared" si="21"/>
        <v>0</v>
      </c>
      <c r="U78" s="100">
        <f t="shared" si="21"/>
        <v>0</v>
      </c>
      <c r="V78" s="100">
        <f t="shared" si="21"/>
        <v>64</v>
      </c>
      <c r="W78" s="100">
        <f t="shared" si="21"/>
        <v>16</v>
      </c>
      <c r="X78" s="100">
        <f t="shared" si="21"/>
        <v>4</v>
      </c>
      <c r="Y78" s="100">
        <f t="shared" si="21"/>
        <v>1</v>
      </c>
      <c r="Z78" s="100">
        <f t="shared" si="21"/>
        <v>0</v>
      </c>
      <c r="AA78" s="100">
        <f t="shared" si="21"/>
        <v>0</v>
      </c>
      <c r="AB78" s="100">
        <f t="shared" si="21"/>
        <v>0</v>
      </c>
      <c r="AC78" s="100">
        <f t="shared" si="21"/>
        <v>0</v>
      </c>
      <c r="AD78" s="100">
        <f t="shared" si="21"/>
        <v>0</v>
      </c>
      <c r="AE78" s="100">
        <f t="shared" si="21"/>
        <v>0</v>
      </c>
      <c r="AF78" s="100">
        <f t="shared" si="21"/>
        <v>0</v>
      </c>
      <c r="AG78" s="100">
        <f t="shared" si="21"/>
        <v>0</v>
      </c>
      <c r="AH78" s="100">
        <f t="shared" si="21"/>
        <v>0</v>
      </c>
      <c r="AI78" s="100">
        <f t="shared" si="21"/>
        <v>0</v>
      </c>
      <c r="AJ78" s="100">
        <f t="shared" si="21"/>
        <v>0</v>
      </c>
      <c r="AK78" s="100">
        <f t="shared" si="21"/>
        <v>0</v>
      </c>
    </row>
    <row r="79" spans="6:37" s="74" customFormat="1" x14ac:dyDescent="0.2">
      <c r="F79" s="100">
        <f t="shared" si="21"/>
        <v>0</v>
      </c>
      <c r="G79" s="100">
        <f t="shared" si="21"/>
        <v>0</v>
      </c>
      <c r="H79" s="100">
        <f t="shared" si="21"/>
        <v>0</v>
      </c>
      <c r="I79" s="100">
        <f t="shared" si="21"/>
        <v>0</v>
      </c>
      <c r="J79" s="100">
        <f t="shared" si="21"/>
        <v>0</v>
      </c>
      <c r="K79" s="100">
        <f t="shared" si="21"/>
        <v>0</v>
      </c>
      <c r="L79" s="100">
        <f t="shared" si="21"/>
        <v>0</v>
      </c>
      <c r="M79" s="100">
        <f t="shared" si="21"/>
        <v>0</v>
      </c>
      <c r="N79" s="100">
        <f t="shared" si="21"/>
        <v>0</v>
      </c>
      <c r="O79" s="100">
        <f t="shared" si="21"/>
        <v>0</v>
      </c>
      <c r="P79" s="100">
        <f t="shared" si="21"/>
        <v>0</v>
      </c>
      <c r="Q79" s="100">
        <f t="shared" si="21"/>
        <v>0</v>
      </c>
      <c r="R79" s="100">
        <f t="shared" si="21"/>
        <v>48</v>
      </c>
      <c r="S79" s="100">
        <f t="shared" si="21"/>
        <v>8</v>
      </c>
      <c r="T79" s="100">
        <f t="shared" si="21"/>
        <v>1</v>
      </c>
      <c r="U79" s="100">
        <f t="shared" si="21"/>
        <v>0</v>
      </c>
      <c r="V79" s="100">
        <f t="shared" si="21"/>
        <v>-48</v>
      </c>
      <c r="W79" s="100">
        <f t="shared" si="21"/>
        <v>-8</v>
      </c>
      <c r="X79" s="100">
        <f t="shared" si="21"/>
        <v>-1</v>
      </c>
      <c r="Y79" s="100">
        <f t="shared" si="21"/>
        <v>0</v>
      </c>
      <c r="Z79" s="100">
        <f t="shared" si="21"/>
        <v>0</v>
      </c>
      <c r="AA79" s="100">
        <f t="shared" si="21"/>
        <v>0</v>
      </c>
      <c r="AB79" s="100">
        <f t="shared" si="21"/>
        <v>0</v>
      </c>
      <c r="AC79" s="100">
        <f t="shared" si="21"/>
        <v>0</v>
      </c>
      <c r="AD79" s="100">
        <f t="shared" si="21"/>
        <v>0</v>
      </c>
      <c r="AE79" s="100">
        <f t="shared" si="21"/>
        <v>0</v>
      </c>
      <c r="AF79" s="100">
        <f t="shared" si="21"/>
        <v>0</v>
      </c>
      <c r="AG79" s="100">
        <f t="shared" si="21"/>
        <v>0</v>
      </c>
      <c r="AH79" s="100">
        <f t="shared" si="21"/>
        <v>0</v>
      </c>
      <c r="AI79" s="100">
        <f t="shared" si="21"/>
        <v>0</v>
      </c>
      <c r="AJ79" s="100">
        <f t="shared" si="21"/>
        <v>0</v>
      </c>
      <c r="AK79" s="100">
        <f t="shared" si="21"/>
        <v>0</v>
      </c>
    </row>
    <row r="80" spans="6:37" s="74" customFormat="1" x14ac:dyDescent="0.2">
      <c r="F80" s="100">
        <f t="shared" si="21"/>
        <v>0</v>
      </c>
      <c r="G80" s="100">
        <f t="shared" si="21"/>
        <v>0</v>
      </c>
      <c r="H80" s="100">
        <f t="shared" si="21"/>
        <v>0</v>
      </c>
      <c r="I80" s="100">
        <f t="shared" si="21"/>
        <v>0</v>
      </c>
      <c r="J80" s="100">
        <f t="shared" si="21"/>
        <v>0</v>
      </c>
      <c r="K80" s="100">
        <f t="shared" si="21"/>
        <v>0</v>
      </c>
      <c r="L80" s="100">
        <f t="shared" si="21"/>
        <v>0</v>
      </c>
      <c r="M80" s="100">
        <f t="shared" si="21"/>
        <v>0</v>
      </c>
      <c r="N80" s="100">
        <f t="shared" si="21"/>
        <v>0</v>
      </c>
      <c r="O80" s="100">
        <f t="shared" si="21"/>
        <v>0</v>
      </c>
      <c r="P80" s="100">
        <f t="shared" si="21"/>
        <v>0</v>
      </c>
      <c r="Q80" s="100">
        <f t="shared" si="21"/>
        <v>0</v>
      </c>
      <c r="R80" s="100">
        <f t="shared" si="21"/>
        <v>24</v>
      </c>
      <c r="S80" s="100">
        <f t="shared" si="21"/>
        <v>2</v>
      </c>
      <c r="T80" s="100">
        <f t="shared" si="21"/>
        <v>0</v>
      </c>
      <c r="U80" s="100">
        <f t="shared" si="21"/>
        <v>0</v>
      </c>
      <c r="V80" s="100">
        <f t="shared" si="21"/>
        <v>-24</v>
      </c>
      <c r="W80" s="100">
        <f t="shared" si="21"/>
        <v>-2</v>
      </c>
      <c r="X80" s="100">
        <f t="shared" si="21"/>
        <v>0</v>
      </c>
      <c r="Y80" s="100">
        <f t="shared" si="21"/>
        <v>0</v>
      </c>
      <c r="Z80" s="100">
        <f t="shared" si="21"/>
        <v>0</v>
      </c>
      <c r="AA80" s="100">
        <f t="shared" si="21"/>
        <v>0</v>
      </c>
      <c r="AB80" s="100">
        <f t="shared" si="21"/>
        <v>0</v>
      </c>
      <c r="AC80" s="100">
        <f t="shared" si="21"/>
        <v>0</v>
      </c>
      <c r="AD80" s="100">
        <f t="shared" si="21"/>
        <v>0</v>
      </c>
      <c r="AE80" s="100">
        <f t="shared" si="21"/>
        <v>0</v>
      </c>
      <c r="AF80" s="100">
        <f t="shared" si="21"/>
        <v>0</v>
      </c>
      <c r="AG80" s="100">
        <f t="shared" si="21"/>
        <v>0</v>
      </c>
      <c r="AH80" s="100">
        <f t="shared" si="21"/>
        <v>0</v>
      </c>
      <c r="AI80" s="100">
        <f t="shared" si="21"/>
        <v>0</v>
      </c>
      <c r="AJ80" s="100">
        <f t="shared" si="21"/>
        <v>0</v>
      </c>
      <c r="AK80" s="100">
        <f t="shared" si="21"/>
        <v>0</v>
      </c>
    </row>
    <row r="81" spans="6:37" s="74" customFormat="1" x14ac:dyDescent="0.2">
      <c r="F81" s="100">
        <f t="shared" si="21"/>
        <v>0</v>
      </c>
      <c r="G81" s="100">
        <f t="shared" si="21"/>
        <v>0</v>
      </c>
      <c r="H81" s="100">
        <f t="shared" si="21"/>
        <v>0</v>
      </c>
      <c r="I81" s="100">
        <f t="shared" si="21"/>
        <v>0</v>
      </c>
      <c r="J81" s="100">
        <f t="shared" si="21"/>
        <v>0</v>
      </c>
      <c r="K81" s="100">
        <f t="shared" si="21"/>
        <v>0</v>
      </c>
      <c r="L81" s="100">
        <f t="shared" si="21"/>
        <v>0</v>
      </c>
      <c r="M81" s="100">
        <f t="shared" si="21"/>
        <v>0</v>
      </c>
      <c r="N81" s="100">
        <f t="shared" si="21"/>
        <v>0</v>
      </c>
      <c r="O81" s="100">
        <f t="shared" si="21"/>
        <v>0</v>
      </c>
      <c r="P81" s="100">
        <f t="shared" si="21"/>
        <v>0</v>
      </c>
      <c r="Q81" s="100">
        <f t="shared" si="21"/>
        <v>0</v>
      </c>
      <c r="R81" s="100">
        <f t="shared" si="21"/>
        <v>0</v>
      </c>
      <c r="S81" s="100">
        <f t="shared" si="21"/>
        <v>0</v>
      </c>
      <c r="T81" s="100">
        <f t="shared" si="21"/>
        <v>0</v>
      </c>
      <c r="U81" s="100">
        <f t="shared" si="21"/>
        <v>0</v>
      </c>
      <c r="V81" s="100">
        <f t="shared" si="21"/>
        <v>125</v>
      </c>
      <c r="W81" s="100">
        <f t="shared" si="21"/>
        <v>25</v>
      </c>
      <c r="X81" s="100">
        <f t="shared" si="21"/>
        <v>5</v>
      </c>
      <c r="Y81" s="100">
        <f t="shared" si="21"/>
        <v>1</v>
      </c>
      <c r="Z81" s="100">
        <f t="shared" si="21"/>
        <v>0</v>
      </c>
      <c r="AA81" s="100">
        <f t="shared" si="21"/>
        <v>0</v>
      </c>
      <c r="AB81" s="100">
        <f t="shared" si="21"/>
        <v>0</v>
      </c>
      <c r="AC81" s="100">
        <f t="shared" si="21"/>
        <v>0</v>
      </c>
      <c r="AD81" s="100">
        <f t="shared" si="21"/>
        <v>0</v>
      </c>
      <c r="AE81" s="100">
        <f t="shared" si="21"/>
        <v>0</v>
      </c>
      <c r="AF81" s="100">
        <f t="shared" si="21"/>
        <v>0</v>
      </c>
      <c r="AG81" s="100">
        <f t="shared" si="21"/>
        <v>0</v>
      </c>
      <c r="AH81" s="100">
        <f t="shared" si="21"/>
        <v>0</v>
      </c>
      <c r="AI81" s="100">
        <f t="shared" si="21"/>
        <v>0</v>
      </c>
      <c r="AJ81" s="100">
        <f t="shared" si="21"/>
        <v>0</v>
      </c>
      <c r="AK81" s="100">
        <f t="shared" ref="AK81" si="22">IF(ISBLANK(AK44),0,AK44)</f>
        <v>0</v>
      </c>
    </row>
    <row r="82" spans="6:37" s="74" customFormat="1" x14ac:dyDescent="0.2">
      <c r="F82" s="100">
        <f t="shared" ref="F82:AK89" si="23">IF(ISBLANK(F45),0,F45)</f>
        <v>0</v>
      </c>
      <c r="G82" s="100">
        <f t="shared" si="23"/>
        <v>0</v>
      </c>
      <c r="H82" s="100">
        <f t="shared" si="23"/>
        <v>0</v>
      </c>
      <c r="I82" s="100">
        <f t="shared" si="23"/>
        <v>0</v>
      </c>
      <c r="J82" s="100">
        <f t="shared" si="23"/>
        <v>0</v>
      </c>
      <c r="K82" s="100">
        <f t="shared" si="23"/>
        <v>0</v>
      </c>
      <c r="L82" s="100">
        <f t="shared" si="23"/>
        <v>0</v>
      </c>
      <c r="M82" s="100">
        <f t="shared" si="23"/>
        <v>0</v>
      </c>
      <c r="N82" s="100">
        <f t="shared" si="23"/>
        <v>0</v>
      </c>
      <c r="O82" s="100">
        <f t="shared" si="23"/>
        <v>0</v>
      </c>
      <c r="P82" s="100">
        <f t="shared" si="23"/>
        <v>0</v>
      </c>
      <c r="Q82" s="100">
        <f t="shared" si="23"/>
        <v>0</v>
      </c>
      <c r="R82" s="100">
        <f t="shared" si="23"/>
        <v>0</v>
      </c>
      <c r="S82" s="100">
        <f t="shared" si="23"/>
        <v>0</v>
      </c>
      <c r="T82" s="100">
        <f t="shared" si="23"/>
        <v>0</v>
      </c>
      <c r="U82" s="100">
        <f t="shared" si="23"/>
        <v>0</v>
      </c>
      <c r="V82" s="100">
        <f t="shared" si="23"/>
        <v>0</v>
      </c>
      <c r="W82" s="100">
        <f t="shared" si="23"/>
        <v>0</v>
      </c>
      <c r="X82" s="100">
        <f t="shared" si="23"/>
        <v>0</v>
      </c>
      <c r="Y82" s="100">
        <f t="shared" si="23"/>
        <v>0</v>
      </c>
      <c r="Z82" s="100">
        <f t="shared" si="23"/>
        <v>125</v>
      </c>
      <c r="AA82" s="100">
        <f t="shared" si="23"/>
        <v>25</v>
      </c>
      <c r="AB82" s="100">
        <f t="shared" si="23"/>
        <v>5</v>
      </c>
      <c r="AC82" s="100">
        <f t="shared" si="23"/>
        <v>1</v>
      </c>
      <c r="AD82" s="100">
        <f t="shared" si="23"/>
        <v>0</v>
      </c>
      <c r="AE82" s="100">
        <f t="shared" si="23"/>
        <v>0</v>
      </c>
      <c r="AF82" s="100">
        <f t="shared" si="23"/>
        <v>0</v>
      </c>
      <c r="AG82" s="100">
        <f t="shared" si="23"/>
        <v>0</v>
      </c>
      <c r="AH82" s="100">
        <f t="shared" si="23"/>
        <v>0</v>
      </c>
      <c r="AI82" s="100">
        <f t="shared" si="23"/>
        <v>0</v>
      </c>
      <c r="AJ82" s="100">
        <f t="shared" si="23"/>
        <v>0</v>
      </c>
      <c r="AK82" s="100">
        <f t="shared" si="23"/>
        <v>0</v>
      </c>
    </row>
    <row r="83" spans="6:37" s="74" customFormat="1" x14ac:dyDescent="0.2">
      <c r="F83" s="100">
        <f t="shared" si="23"/>
        <v>0</v>
      </c>
      <c r="G83" s="100">
        <f t="shared" si="23"/>
        <v>0</v>
      </c>
      <c r="H83" s="100">
        <f t="shared" si="23"/>
        <v>0</v>
      </c>
      <c r="I83" s="100">
        <f t="shared" si="23"/>
        <v>0</v>
      </c>
      <c r="J83" s="100">
        <f t="shared" si="23"/>
        <v>0</v>
      </c>
      <c r="K83" s="100">
        <f t="shared" si="23"/>
        <v>0</v>
      </c>
      <c r="L83" s="100">
        <f t="shared" si="23"/>
        <v>0</v>
      </c>
      <c r="M83" s="100">
        <f t="shared" si="23"/>
        <v>0</v>
      </c>
      <c r="N83" s="100">
        <f t="shared" si="23"/>
        <v>0</v>
      </c>
      <c r="O83" s="100">
        <f t="shared" si="23"/>
        <v>0</v>
      </c>
      <c r="P83" s="100">
        <f t="shared" si="23"/>
        <v>0</v>
      </c>
      <c r="Q83" s="100">
        <f t="shared" si="23"/>
        <v>0</v>
      </c>
      <c r="R83" s="100">
        <f t="shared" si="23"/>
        <v>0</v>
      </c>
      <c r="S83" s="100">
        <f t="shared" si="23"/>
        <v>0</v>
      </c>
      <c r="T83" s="100">
        <f t="shared" si="23"/>
        <v>0</v>
      </c>
      <c r="U83" s="100">
        <f t="shared" si="23"/>
        <v>0</v>
      </c>
      <c r="V83" s="100">
        <f t="shared" si="23"/>
        <v>75</v>
      </c>
      <c r="W83" s="100">
        <f t="shared" si="23"/>
        <v>10</v>
      </c>
      <c r="X83" s="100">
        <f t="shared" si="23"/>
        <v>1</v>
      </c>
      <c r="Y83" s="100">
        <f t="shared" si="23"/>
        <v>0</v>
      </c>
      <c r="Z83" s="100">
        <f t="shared" si="23"/>
        <v>-75</v>
      </c>
      <c r="AA83" s="100">
        <f t="shared" si="23"/>
        <v>-10</v>
      </c>
      <c r="AB83" s="100">
        <f t="shared" si="23"/>
        <v>-1</v>
      </c>
      <c r="AC83" s="100">
        <f t="shared" si="23"/>
        <v>0</v>
      </c>
      <c r="AD83" s="100">
        <f t="shared" si="23"/>
        <v>0</v>
      </c>
      <c r="AE83" s="100">
        <f t="shared" si="23"/>
        <v>0</v>
      </c>
      <c r="AF83" s="100">
        <f t="shared" si="23"/>
        <v>0</v>
      </c>
      <c r="AG83" s="100">
        <f t="shared" si="23"/>
        <v>0</v>
      </c>
      <c r="AH83" s="100">
        <f t="shared" si="23"/>
        <v>0</v>
      </c>
      <c r="AI83" s="100">
        <f t="shared" si="23"/>
        <v>0</v>
      </c>
      <c r="AJ83" s="100">
        <f t="shared" si="23"/>
        <v>0</v>
      </c>
      <c r="AK83" s="100">
        <f t="shared" si="23"/>
        <v>0</v>
      </c>
    </row>
    <row r="84" spans="6:37" s="74" customFormat="1" x14ac:dyDescent="0.2">
      <c r="F84" s="100">
        <f t="shared" si="23"/>
        <v>0</v>
      </c>
      <c r="G84" s="100">
        <f t="shared" si="23"/>
        <v>0</v>
      </c>
      <c r="H84" s="100">
        <f t="shared" si="23"/>
        <v>0</v>
      </c>
      <c r="I84" s="100">
        <f t="shared" si="23"/>
        <v>0</v>
      </c>
      <c r="J84" s="100">
        <f t="shared" si="23"/>
        <v>0</v>
      </c>
      <c r="K84" s="100">
        <f t="shared" si="23"/>
        <v>0</v>
      </c>
      <c r="L84" s="100">
        <f t="shared" si="23"/>
        <v>0</v>
      </c>
      <c r="M84" s="100">
        <f t="shared" si="23"/>
        <v>0</v>
      </c>
      <c r="N84" s="100">
        <f t="shared" si="23"/>
        <v>0</v>
      </c>
      <c r="O84" s="100">
        <f t="shared" si="23"/>
        <v>0</v>
      </c>
      <c r="P84" s="100">
        <f t="shared" si="23"/>
        <v>0</v>
      </c>
      <c r="Q84" s="100">
        <f t="shared" si="23"/>
        <v>0</v>
      </c>
      <c r="R84" s="100">
        <f t="shared" si="23"/>
        <v>0</v>
      </c>
      <c r="S84" s="100">
        <f t="shared" si="23"/>
        <v>0</v>
      </c>
      <c r="T84" s="100">
        <f t="shared" si="23"/>
        <v>0</v>
      </c>
      <c r="U84" s="100">
        <f t="shared" si="23"/>
        <v>0</v>
      </c>
      <c r="V84" s="100">
        <f t="shared" si="23"/>
        <v>30</v>
      </c>
      <c r="W84" s="100">
        <f t="shared" si="23"/>
        <v>2</v>
      </c>
      <c r="X84" s="100">
        <f t="shared" si="23"/>
        <v>0</v>
      </c>
      <c r="Y84" s="100">
        <f t="shared" si="23"/>
        <v>0</v>
      </c>
      <c r="Z84" s="100">
        <f t="shared" si="23"/>
        <v>-30</v>
      </c>
      <c r="AA84" s="100">
        <f t="shared" si="23"/>
        <v>-2</v>
      </c>
      <c r="AB84" s="100">
        <f t="shared" si="23"/>
        <v>0</v>
      </c>
      <c r="AC84" s="100">
        <f t="shared" si="23"/>
        <v>0</v>
      </c>
      <c r="AD84" s="100">
        <f t="shared" si="23"/>
        <v>0</v>
      </c>
      <c r="AE84" s="100">
        <f t="shared" si="23"/>
        <v>0</v>
      </c>
      <c r="AF84" s="100">
        <f t="shared" si="23"/>
        <v>0</v>
      </c>
      <c r="AG84" s="100">
        <f t="shared" si="23"/>
        <v>0</v>
      </c>
      <c r="AH84" s="100">
        <f t="shared" si="23"/>
        <v>0</v>
      </c>
      <c r="AI84" s="100">
        <f t="shared" si="23"/>
        <v>0</v>
      </c>
      <c r="AJ84" s="100">
        <f t="shared" si="23"/>
        <v>0</v>
      </c>
      <c r="AK84" s="100">
        <f t="shared" si="23"/>
        <v>0</v>
      </c>
    </row>
    <row r="85" spans="6:37" s="74" customFormat="1" x14ac:dyDescent="0.2">
      <c r="F85" s="100">
        <f t="shared" si="23"/>
        <v>0</v>
      </c>
      <c r="G85" s="100">
        <f t="shared" si="23"/>
        <v>0</v>
      </c>
      <c r="H85" s="100">
        <f t="shared" si="23"/>
        <v>0</v>
      </c>
      <c r="I85" s="100">
        <f t="shared" si="23"/>
        <v>0</v>
      </c>
      <c r="J85" s="100">
        <f t="shared" si="23"/>
        <v>0</v>
      </c>
      <c r="K85" s="100">
        <f t="shared" si="23"/>
        <v>0</v>
      </c>
      <c r="L85" s="100">
        <f t="shared" si="23"/>
        <v>0</v>
      </c>
      <c r="M85" s="100">
        <f t="shared" si="23"/>
        <v>0</v>
      </c>
      <c r="N85" s="100">
        <f t="shared" si="23"/>
        <v>0</v>
      </c>
      <c r="O85" s="100">
        <f t="shared" si="23"/>
        <v>0</v>
      </c>
      <c r="P85" s="100">
        <f t="shared" si="23"/>
        <v>0</v>
      </c>
      <c r="Q85" s="100">
        <f t="shared" si="23"/>
        <v>0</v>
      </c>
      <c r="R85" s="100">
        <f t="shared" si="23"/>
        <v>0</v>
      </c>
      <c r="S85" s="100">
        <f t="shared" si="23"/>
        <v>0</v>
      </c>
      <c r="T85" s="100">
        <f t="shared" si="23"/>
        <v>0</v>
      </c>
      <c r="U85" s="100">
        <f t="shared" si="23"/>
        <v>0</v>
      </c>
      <c r="V85" s="100">
        <f t="shared" si="23"/>
        <v>0</v>
      </c>
      <c r="W85" s="100">
        <f t="shared" si="23"/>
        <v>0</v>
      </c>
      <c r="X85" s="100">
        <f t="shared" si="23"/>
        <v>0</v>
      </c>
      <c r="Y85" s="100">
        <f t="shared" si="23"/>
        <v>0</v>
      </c>
      <c r="Z85" s="100">
        <f t="shared" si="23"/>
        <v>343</v>
      </c>
      <c r="AA85" s="100">
        <f t="shared" si="23"/>
        <v>49</v>
      </c>
      <c r="AB85" s="100">
        <f t="shared" si="23"/>
        <v>7</v>
      </c>
      <c r="AC85" s="100">
        <f t="shared" si="23"/>
        <v>1</v>
      </c>
      <c r="AD85" s="100">
        <f t="shared" si="23"/>
        <v>0</v>
      </c>
      <c r="AE85" s="100">
        <f t="shared" si="23"/>
        <v>0</v>
      </c>
      <c r="AF85" s="100">
        <f t="shared" si="23"/>
        <v>0</v>
      </c>
      <c r="AG85" s="100">
        <f t="shared" si="23"/>
        <v>0</v>
      </c>
      <c r="AH85" s="100">
        <f t="shared" si="23"/>
        <v>0</v>
      </c>
      <c r="AI85" s="100">
        <f t="shared" si="23"/>
        <v>0</v>
      </c>
      <c r="AJ85" s="100">
        <f t="shared" si="23"/>
        <v>0</v>
      </c>
      <c r="AK85" s="100">
        <f t="shared" si="23"/>
        <v>0</v>
      </c>
    </row>
    <row r="86" spans="6:37" s="74" customFormat="1" x14ac:dyDescent="0.2">
      <c r="F86" s="100">
        <f t="shared" si="23"/>
        <v>0</v>
      </c>
      <c r="G86" s="100">
        <f t="shared" si="23"/>
        <v>0</v>
      </c>
      <c r="H86" s="100">
        <f t="shared" si="23"/>
        <v>0</v>
      </c>
      <c r="I86" s="100">
        <f t="shared" si="23"/>
        <v>0</v>
      </c>
      <c r="J86" s="100">
        <f t="shared" si="23"/>
        <v>0</v>
      </c>
      <c r="K86" s="100">
        <f t="shared" si="23"/>
        <v>0</v>
      </c>
      <c r="L86" s="100">
        <f t="shared" si="23"/>
        <v>0</v>
      </c>
      <c r="M86" s="100">
        <f t="shared" si="23"/>
        <v>0</v>
      </c>
      <c r="N86" s="100">
        <f t="shared" si="23"/>
        <v>0</v>
      </c>
      <c r="O86" s="100">
        <f t="shared" si="23"/>
        <v>0</v>
      </c>
      <c r="P86" s="100">
        <f t="shared" si="23"/>
        <v>0</v>
      </c>
      <c r="Q86" s="100">
        <f t="shared" si="23"/>
        <v>0</v>
      </c>
      <c r="R86" s="100">
        <f t="shared" si="23"/>
        <v>0</v>
      </c>
      <c r="S86" s="100">
        <f t="shared" si="23"/>
        <v>0</v>
      </c>
      <c r="T86" s="100">
        <f t="shared" si="23"/>
        <v>0</v>
      </c>
      <c r="U86" s="100">
        <f t="shared" si="23"/>
        <v>0</v>
      </c>
      <c r="V86" s="100">
        <f t="shared" si="23"/>
        <v>0</v>
      </c>
      <c r="W86" s="100">
        <f t="shared" si="23"/>
        <v>0</v>
      </c>
      <c r="X86" s="100">
        <f t="shared" si="23"/>
        <v>0</v>
      </c>
      <c r="Y86" s="100">
        <f t="shared" si="23"/>
        <v>0</v>
      </c>
      <c r="Z86" s="100">
        <f t="shared" si="23"/>
        <v>0</v>
      </c>
      <c r="AA86" s="100">
        <f t="shared" si="23"/>
        <v>0</v>
      </c>
      <c r="AB86" s="100">
        <f t="shared" si="23"/>
        <v>0</v>
      </c>
      <c r="AC86" s="100">
        <f t="shared" si="23"/>
        <v>0</v>
      </c>
      <c r="AD86" s="100">
        <f t="shared" si="23"/>
        <v>343</v>
      </c>
      <c r="AE86" s="100">
        <f t="shared" si="23"/>
        <v>49</v>
      </c>
      <c r="AF86" s="100">
        <f t="shared" si="23"/>
        <v>7</v>
      </c>
      <c r="AG86" s="100">
        <f t="shared" si="23"/>
        <v>1</v>
      </c>
      <c r="AH86" s="100">
        <f t="shared" si="23"/>
        <v>0</v>
      </c>
      <c r="AI86" s="100">
        <f t="shared" si="23"/>
        <v>0</v>
      </c>
      <c r="AJ86" s="100">
        <f t="shared" si="23"/>
        <v>0</v>
      </c>
      <c r="AK86" s="100">
        <f t="shared" si="23"/>
        <v>0</v>
      </c>
    </row>
    <row r="87" spans="6:37" s="74" customFormat="1" x14ac:dyDescent="0.2">
      <c r="F87" s="100">
        <f t="shared" si="23"/>
        <v>0</v>
      </c>
      <c r="G87" s="100">
        <f t="shared" si="23"/>
        <v>0</v>
      </c>
      <c r="H87" s="100">
        <f t="shared" si="23"/>
        <v>0</v>
      </c>
      <c r="I87" s="100">
        <f t="shared" si="23"/>
        <v>0</v>
      </c>
      <c r="J87" s="100">
        <f t="shared" si="23"/>
        <v>0</v>
      </c>
      <c r="K87" s="100">
        <f t="shared" si="23"/>
        <v>0</v>
      </c>
      <c r="L87" s="100">
        <f t="shared" si="23"/>
        <v>0</v>
      </c>
      <c r="M87" s="100">
        <f t="shared" si="23"/>
        <v>0</v>
      </c>
      <c r="N87" s="100">
        <f t="shared" si="23"/>
        <v>0</v>
      </c>
      <c r="O87" s="100">
        <f t="shared" si="23"/>
        <v>0</v>
      </c>
      <c r="P87" s="100">
        <f t="shared" si="23"/>
        <v>0</v>
      </c>
      <c r="Q87" s="100">
        <f t="shared" si="23"/>
        <v>0</v>
      </c>
      <c r="R87" s="100">
        <f t="shared" si="23"/>
        <v>0</v>
      </c>
      <c r="S87" s="100">
        <f t="shared" si="23"/>
        <v>0</v>
      </c>
      <c r="T87" s="100">
        <f t="shared" si="23"/>
        <v>0</v>
      </c>
      <c r="U87" s="100">
        <f t="shared" si="23"/>
        <v>0</v>
      </c>
      <c r="V87" s="100">
        <f t="shared" si="23"/>
        <v>0</v>
      </c>
      <c r="W87" s="100">
        <f t="shared" si="23"/>
        <v>0</v>
      </c>
      <c r="X87" s="100">
        <f t="shared" si="23"/>
        <v>0</v>
      </c>
      <c r="Y87" s="100">
        <f t="shared" si="23"/>
        <v>0</v>
      </c>
      <c r="Z87" s="100">
        <f t="shared" si="23"/>
        <v>147</v>
      </c>
      <c r="AA87" s="100">
        <f t="shared" si="23"/>
        <v>14</v>
      </c>
      <c r="AB87" s="100">
        <f t="shared" si="23"/>
        <v>1</v>
      </c>
      <c r="AC87" s="100">
        <f t="shared" si="23"/>
        <v>0</v>
      </c>
      <c r="AD87" s="100">
        <f t="shared" si="23"/>
        <v>-147</v>
      </c>
      <c r="AE87" s="100">
        <f t="shared" si="23"/>
        <v>-14</v>
      </c>
      <c r="AF87" s="100">
        <f t="shared" si="23"/>
        <v>-1</v>
      </c>
      <c r="AG87" s="100">
        <f t="shared" si="23"/>
        <v>0</v>
      </c>
      <c r="AH87" s="100">
        <f t="shared" si="23"/>
        <v>0</v>
      </c>
      <c r="AI87" s="100">
        <f t="shared" si="23"/>
        <v>0</v>
      </c>
      <c r="AJ87" s="100">
        <f t="shared" si="23"/>
        <v>0</v>
      </c>
      <c r="AK87" s="100">
        <f t="shared" si="23"/>
        <v>0</v>
      </c>
    </row>
    <row r="88" spans="6:37" s="74" customFormat="1" x14ac:dyDescent="0.2">
      <c r="F88" s="100">
        <f t="shared" si="23"/>
        <v>0</v>
      </c>
      <c r="G88" s="100">
        <f t="shared" si="23"/>
        <v>0</v>
      </c>
      <c r="H88" s="100">
        <f t="shared" si="23"/>
        <v>0</v>
      </c>
      <c r="I88" s="100">
        <f t="shared" si="23"/>
        <v>0</v>
      </c>
      <c r="J88" s="100">
        <f t="shared" si="23"/>
        <v>0</v>
      </c>
      <c r="K88" s="100">
        <f t="shared" si="23"/>
        <v>0</v>
      </c>
      <c r="L88" s="100">
        <f t="shared" si="23"/>
        <v>0</v>
      </c>
      <c r="M88" s="100">
        <f t="shared" si="23"/>
        <v>0</v>
      </c>
      <c r="N88" s="100">
        <f t="shared" si="23"/>
        <v>0</v>
      </c>
      <c r="O88" s="100">
        <f t="shared" si="23"/>
        <v>0</v>
      </c>
      <c r="P88" s="100">
        <f t="shared" si="23"/>
        <v>0</v>
      </c>
      <c r="Q88" s="100">
        <f t="shared" si="23"/>
        <v>0</v>
      </c>
      <c r="R88" s="100">
        <f t="shared" si="23"/>
        <v>0</v>
      </c>
      <c r="S88" s="100">
        <f t="shared" si="23"/>
        <v>0</v>
      </c>
      <c r="T88" s="100">
        <f t="shared" si="23"/>
        <v>0</v>
      </c>
      <c r="U88" s="100">
        <f t="shared" si="23"/>
        <v>0</v>
      </c>
      <c r="V88" s="100">
        <f t="shared" si="23"/>
        <v>0</v>
      </c>
      <c r="W88" s="100">
        <f t="shared" si="23"/>
        <v>0</v>
      </c>
      <c r="X88" s="100">
        <f t="shared" si="23"/>
        <v>0</v>
      </c>
      <c r="Y88" s="100">
        <f t="shared" si="23"/>
        <v>0</v>
      </c>
      <c r="Z88" s="100">
        <f t="shared" si="23"/>
        <v>42</v>
      </c>
      <c r="AA88" s="100">
        <f t="shared" si="23"/>
        <v>2</v>
      </c>
      <c r="AB88" s="100">
        <f t="shared" si="23"/>
        <v>0</v>
      </c>
      <c r="AC88" s="100">
        <f t="shared" si="23"/>
        <v>0</v>
      </c>
      <c r="AD88" s="100">
        <f t="shared" si="23"/>
        <v>-42</v>
      </c>
      <c r="AE88" s="100">
        <f t="shared" si="23"/>
        <v>-2</v>
      </c>
      <c r="AF88" s="100">
        <f t="shared" si="23"/>
        <v>0</v>
      </c>
      <c r="AG88" s="100">
        <f t="shared" si="23"/>
        <v>0</v>
      </c>
      <c r="AH88" s="100">
        <f t="shared" si="23"/>
        <v>0</v>
      </c>
      <c r="AI88" s="100">
        <f t="shared" si="23"/>
        <v>0</v>
      </c>
      <c r="AJ88" s="100">
        <f t="shared" si="23"/>
        <v>0</v>
      </c>
      <c r="AK88" s="100">
        <f t="shared" si="23"/>
        <v>0</v>
      </c>
    </row>
    <row r="89" spans="6:37" s="74" customFormat="1" x14ac:dyDescent="0.2">
      <c r="F89" s="100">
        <f t="shared" si="23"/>
        <v>0</v>
      </c>
      <c r="G89" s="100">
        <f t="shared" si="23"/>
        <v>0</v>
      </c>
      <c r="H89" s="100">
        <f t="shared" si="23"/>
        <v>0</v>
      </c>
      <c r="I89" s="100">
        <f t="shared" si="23"/>
        <v>0</v>
      </c>
      <c r="J89" s="100">
        <f t="shared" si="23"/>
        <v>0</v>
      </c>
      <c r="K89" s="100">
        <f t="shared" si="23"/>
        <v>0</v>
      </c>
      <c r="L89" s="100">
        <f t="shared" si="23"/>
        <v>0</v>
      </c>
      <c r="M89" s="100">
        <f t="shared" si="23"/>
        <v>0</v>
      </c>
      <c r="N89" s="100">
        <f t="shared" si="23"/>
        <v>0</v>
      </c>
      <c r="O89" s="100">
        <f t="shared" si="23"/>
        <v>0</v>
      </c>
      <c r="P89" s="100">
        <f t="shared" si="23"/>
        <v>0</v>
      </c>
      <c r="Q89" s="100">
        <f t="shared" si="23"/>
        <v>0</v>
      </c>
      <c r="R89" s="100">
        <f t="shared" si="23"/>
        <v>0</v>
      </c>
      <c r="S89" s="100">
        <f t="shared" si="23"/>
        <v>0</v>
      </c>
      <c r="T89" s="100">
        <f t="shared" si="23"/>
        <v>0</v>
      </c>
      <c r="U89" s="100">
        <f t="shared" si="23"/>
        <v>0</v>
      </c>
      <c r="V89" s="100">
        <f t="shared" si="23"/>
        <v>0</v>
      </c>
      <c r="W89" s="100">
        <f t="shared" si="23"/>
        <v>0</v>
      </c>
      <c r="X89" s="100">
        <f t="shared" si="23"/>
        <v>0</v>
      </c>
      <c r="Y89" s="100">
        <f t="shared" si="23"/>
        <v>0</v>
      </c>
      <c r="Z89" s="100">
        <f t="shared" si="23"/>
        <v>0</v>
      </c>
      <c r="AA89" s="100">
        <f t="shared" si="23"/>
        <v>0</v>
      </c>
      <c r="AB89" s="100">
        <f t="shared" si="23"/>
        <v>0</v>
      </c>
      <c r="AC89" s="100">
        <f t="shared" si="23"/>
        <v>0</v>
      </c>
      <c r="AD89" s="100">
        <f t="shared" si="23"/>
        <v>1000</v>
      </c>
      <c r="AE89" s="100">
        <f t="shared" si="23"/>
        <v>100</v>
      </c>
      <c r="AF89" s="100">
        <f t="shared" si="23"/>
        <v>10</v>
      </c>
      <c r="AG89" s="100">
        <f t="shared" si="23"/>
        <v>1</v>
      </c>
      <c r="AH89" s="100">
        <f t="shared" si="23"/>
        <v>0</v>
      </c>
      <c r="AI89" s="100">
        <f t="shared" si="23"/>
        <v>0</v>
      </c>
      <c r="AJ89" s="100">
        <f t="shared" si="23"/>
        <v>0</v>
      </c>
      <c r="AK89" s="100">
        <f t="shared" ref="AK89" si="24">IF(ISBLANK(AK52),0,AK52)</f>
        <v>0</v>
      </c>
    </row>
    <row r="90" spans="6:37" s="74" customFormat="1" x14ac:dyDescent="0.2">
      <c r="F90" s="100">
        <f t="shared" ref="F90:AK96" si="25">IF(ISBLANK(F53),0,F53)</f>
        <v>0</v>
      </c>
      <c r="G90" s="100">
        <f t="shared" si="25"/>
        <v>0</v>
      </c>
      <c r="H90" s="100">
        <f t="shared" si="25"/>
        <v>0</v>
      </c>
      <c r="I90" s="100">
        <f t="shared" si="25"/>
        <v>0</v>
      </c>
      <c r="J90" s="100">
        <f t="shared" si="25"/>
        <v>0</v>
      </c>
      <c r="K90" s="100">
        <f t="shared" si="25"/>
        <v>0</v>
      </c>
      <c r="L90" s="100">
        <f t="shared" si="25"/>
        <v>0</v>
      </c>
      <c r="M90" s="100">
        <f t="shared" si="25"/>
        <v>0</v>
      </c>
      <c r="N90" s="100">
        <f t="shared" si="25"/>
        <v>0</v>
      </c>
      <c r="O90" s="100">
        <f t="shared" si="25"/>
        <v>0</v>
      </c>
      <c r="P90" s="100">
        <f t="shared" si="25"/>
        <v>0</v>
      </c>
      <c r="Q90" s="100">
        <f t="shared" si="25"/>
        <v>0</v>
      </c>
      <c r="R90" s="100">
        <f t="shared" si="25"/>
        <v>0</v>
      </c>
      <c r="S90" s="100">
        <f t="shared" si="25"/>
        <v>0</v>
      </c>
      <c r="T90" s="100">
        <f t="shared" si="25"/>
        <v>0</v>
      </c>
      <c r="U90" s="100">
        <f t="shared" si="25"/>
        <v>0</v>
      </c>
      <c r="V90" s="100">
        <f t="shared" si="25"/>
        <v>0</v>
      </c>
      <c r="W90" s="100">
        <f t="shared" si="25"/>
        <v>0</v>
      </c>
      <c r="X90" s="100">
        <f t="shared" si="25"/>
        <v>0</v>
      </c>
      <c r="Y90" s="100">
        <f t="shared" si="25"/>
        <v>0</v>
      </c>
      <c r="Z90" s="100">
        <f t="shared" si="25"/>
        <v>0</v>
      </c>
      <c r="AA90" s="100">
        <f t="shared" si="25"/>
        <v>0</v>
      </c>
      <c r="AB90" s="100">
        <f t="shared" si="25"/>
        <v>0</v>
      </c>
      <c r="AC90" s="100">
        <f t="shared" si="25"/>
        <v>0</v>
      </c>
      <c r="AD90" s="100">
        <f t="shared" si="25"/>
        <v>0</v>
      </c>
      <c r="AE90" s="100">
        <f t="shared" si="25"/>
        <v>0</v>
      </c>
      <c r="AF90" s="100">
        <f t="shared" si="25"/>
        <v>0</v>
      </c>
      <c r="AG90" s="100">
        <f t="shared" si="25"/>
        <v>0</v>
      </c>
      <c r="AH90" s="100">
        <f t="shared" si="25"/>
        <v>1000</v>
      </c>
      <c r="AI90" s="100">
        <f t="shared" si="25"/>
        <v>100</v>
      </c>
      <c r="AJ90" s="100">
        <f t="shared" si="25"/>
        <v>10</v>
      </c>
      <c r="AK90" s="100">
        <f t="shared" si="25"/>
        <v>1</v>
      </c>
    </row>
    <row r="91" spans="6:37" s="74" customFormat="1" x14ac:dyDescent="0.2">
      <c r="F91" s="100">
        <f t="shared" si="25"/>
        <v>0</v>
      </c>
      <c r="G91" s="100">
        <f t="shared" si="25"/>
        <v>0</v>
      </c>
      <c r="H91" s="100">
        <f t="shared" si="25"/>
        <v>0</v>
      </c>
      <c r="I91" s="100">
        <f t="shared" si="25"/>
        <v>0</v>
      </c>
      <c r="J91" s="100">
        <f t="shared" si="25"/>
        <v>0</v>
      </c>
      <c r="K91" s="100">
        <f t="shared" si="25"/>
        <v>0</v>
      </c>
      <c r="L91" s="100">
        <f t="shared" si="25"/>
        <v>0</v>
      </c>
      <c r="M91" s="100">
        <f t="shared" si="25"/>
        <v>0</v>
      </c>
      <c r="N91" s="100">
        <f t="shared" si="25"/>
        <v>0</v>
      </c>
      <c r="O91" s="100">
        <f t="shared" si="25"/>
        <v>0</v>
      </c>
      <c r="P91" s="100">
        <f t="shared" si="25"/>
        <v>0</v>
      </c>
      <c r="Q91" s="100">
        <f t="shared" si="25"/>
        <v>0</v>
      </c>
      <c r="R91" s="100">
        <f t="shared" si="25"/>
        <v>0</v>
      </c>
      <c r="S91" s="100">
        <f t="shared" si="25"/>
        <v>0</v>
      </c>
      <c r="T91" s="100">
        <f t="shared" si="25"/>
        <v>0</v>
      </c>
      <c r="U91" s="100">
        <f t="shared" si="25"/>
        <v>0</v>
      </c>
      <c r="V91" s="100">
        <f t="shared" si="25"/>
        <v>0</v>
      </c>
      <c r="W91" s="100">
        <f t="shared" si="25"/>
        <v>0</v>
      </c>
      <c r="X91" s="100">
        <f t="shared" si="25"/>
        <v>0</v>
      </c>
      <c r="Y91" s="100">
        <f t="shared" si="25"/>
        <v>0</v>
      </c>
      <c r="Z91" s="100">
        <f t="shared" si="25"/>
        <v>0</v>
      </c>
      <c r="AA91" s="100">
        <f t="shared" si="25"/>
        <v>0</v>
      </c>
      <c r="AB91" s="100">
        <f t="shared" si="25"/>
        <v>0</v>
      </c>
      <c r="AC91" s="100">
        <f t="shared" si="25"/>
        <v>0</v>
      </c>
      <c r="AD91" s="100">
        <f t="shared" si="25"/>
        <v>300</v>
      </c>
      <c r="AE91" s="100">
        <f t="shared" si="25"/>
        <v>20</v>
      </c>
      <c r="AF91" s="100">
        <f t="shared" si="25"/>
        <v>1</v>
      </c>
      <c r="AG91" s="100">
        <f t="shared" si="25"/>
        <v>0</v>
      </c>
      <c r="AH91" s="100">
        <f t="shared" si="25"/>
        <v>-300</v>
      </c>
      <c r="AI91" s="100">
        <f t="shared" si="25"/>
        <v>-20</v>
      </c>
      <c r="AJ91" s="100">
        <f t="shared" si="25"/>
        <v>-1</v>
      </c>
      <c r="AK91" s="100">
        <f t="shared" si="25"/>
        <v>0</v>
      </c>
    </row>
    <row r="92" spans="6:37" s="74" customFormat="1" x14ac:dyDescent="0.2">
      <c r="F92" s="100">
        <f t="shared" si="25"/>
        <v>0</v>
      </c>
      <c r="G92" s="100">
        <f t="shared" si="25"/>
        <v>0</v>
      </c>
      <c r="H92" s="100">
        <f t="shared" si="25"/>
        <v>0</v>
      </c>
      <c r="I92" s="100">
        <f t="shared" si="25"/>
        <v>0</v>
      </c>
      <c r="J92" s="100">
        <f t="shared" si="25"/>
        <v>0</v>
      </c>
      <c r="K92" s="100">
        <f t="shared" si="25"/>
        <v>0</v>
      </c>
      <c r="L92" s="100">
        <f t="shared" si="25"/>
        <v>0</v>
      </c>
      <c r="M92" s="100">
        <f t="shared" si="25"/>
        <v>0</v>
      </c>
      <c r="N92" s="100">
        <f t="shared" si="25"/>
        <v>0</v>
      </c>
      <c r="O92" s="100">
        <f t="shared" si="25"/>
        <v>0</v>
      </c>
      <c r="P92" s="100">
        <f t="shared" si="25"/>
        <v>0</v>
      </c>
      <c r="Q92" s="100">
        <f t="shared" si="25"/>
        <v>0</v>
      </c>
      <c r="R92" s="100">
        <f t="shared" si="25"/>
        <v>0</v>
      </c>
      <c r="S92" s="100">
        <f t="shared" si="25"/>
        <v>0</v>
      </c>
      <c r="T92" s="100">
        <f t="shared" si="25"/>
        <v>0</v>
      </c>
      <c r="U92" s="100">
        <f t="shared" si="25"/>
        <v>0</v>
      </c>
      <c r="V92" s="100">
        <f t="shared" si="25"/>
        <v>0</v>
      </c>
      <c r="W92" s="100">
        <f t="shared" si="25"/>
        <v>0</v>
      </c>
      <c r="X92" s="100">
        <f t="shared" si="25"/>
        <v>0</v>
      </c>
      <c r="Y92" s="100">
        <f t="shared" si="25"/>
        <v>0</v>
      </c>
      <c r="Z92" s="100">
        <f t="shared" si="25"/>
        <v>0</v>
      </c>
      <c r="AA92" s="100">
        <f t="shared" si="25"/>
        <v>0</v>
      </c>
      <c r="AB92" s="100">
        <f t="shared" si="25"/>
        <v>0</v>
      </c>
      <c r="AC92" s="100">
        <f t="shared" si="25"/>
        <v>0</v>
      </c>
      <c r="AD92" s="100">
        <f t="shared" si="25"/>
        <v>60</v>
      </c>
      <c r="AE92" s="100">
        <f t="shared" si="25"/>
        <v>2</v>
      </c>
      <c r="AF92" s="100">
        <f t="shared" si="25"/>
        <v>0</v>
      </c>
      <c r="AG92" s="100">
        <f t="shared" si="25"/>
        <v>0</v>
      </c>
      <c r="AH92" s="100">
        <f t="shared" si="25"/>
        <v>-60</v>
      </c>
      <c r="AI92" s="100">
        <f t="shared" si="25"/>
        <v>-2</v>
      </c>
      <c r="AJ92" s="100">
        <f t="shared" si="25"/>
        <v>0</v>
      </c>
      <c r="AK92" s="100">
        <f t="shared" si="25"/>
        <v>0</v>
      </c>
    </row>
    <row r="93" spans="6:37" s="74" customFormat="1" x14ac:dyDescent="0.2">
      <c r="F93" s="100">
        <f t="shared" si="25"/>
        <v>0</v>
      </c>
      <c r="G93" s="100">
        <f t="shared" si="25"/>
        <v>0</v>
      </c>
      <c r="H93" s="100">
        <f t="shared" si="25"/>
        <v>0</v>
      </c>
      <c r="I93" s="100">
        <f t="shared" si="25"/>
        <v>1</v>
      </c>
      <c r="J93" s="100">
        <f t="shared" si="25"/>
        <v>0</v>
      </c>
      <c r="K93" s="100">
        <f t="shared" si="25"/>
        <v>0</v>
      </c>
      <c r="L93" s="100">
        <f t="shared" si="25"/>
        <v>0</v>
      </c>
      <c r="M93" s="100">
        <f t="shared" si="25"/>
        <v>0</v>
      </c>
      <c r="N93" s="100">
        <f t="shared" si="25"/>
        <v>0</v>
      </c>
      <c r="O93" s="100">
        <f t="shared" si="25"/>
        <v>0</v>
      </c>
      <c r="P93" s="100">
        <f t="shared" si="25"/>
        <v>0</v>
      </c>
      <c r="Q93" s="100">
        <f t="shared" si="25"/>
        <v>0</v>
      </c>
      <c r="R93" s="100">
        <f t="shared" si="25"/>
        <v>0</v>
      </c>
      <c r="S93" s="100">
        <f t="shared" si="25"/>
        <v>0</v>
      </c>
      <c r="T93" s="100">
        <f t="shared" si="25"/>
        <v>0</v>
      </c>
      <c r="U93" s="100">
        <f t="shared" si="25"/>
        <v>0</v>
      </c>
      <c r="V93" s="100">
        <f t="shared" si="25"/>
        <v>0</v>
      </c>
      <c r="W93" s="100">
        <f t="shared" si="25"/>
        <v>0</v>
      </c>
      <c r="X93" s="100">
        <f t="shared" si="25"/>
        <v>0</v>
      </c>
      <c r="Y93" s="100">
        <f t="shared" si="25"/>
        <v>0</v>
      </c>
      <c r="Z93" s="100">
        <f t="shared" si="25"/>
        <v>0</v>
      </c>
      <c r="AA93" s="100">
        <f t="shared" si="25"/>
        <v>0</v>
      </c>
      <c r="AB93" s="100">
        <f t="shared" si="25"/>
        <v>0</v>
      </c>
      <c r="AC93" s="100">
        <f t="shared" si="25"/>
        <v>0</v>
      </c>
      <c r="AD93" s="100">
        <f t="shared" si="25"/>
        <v>0</v>
      </c>
      <c r="AE93" s="100">
        <f t="shared" si="25"/>
        <v>0</v>
      </c>
      <c r="AF93" s="100">
        <f t="shared" si="25"/>
        <v>0</v>
      </c>
      <c r="AG93" s="100">
        <f t="shared" si="25"/>
        <v>0</v>
      </c>
      <c r="AH93" s="100">
        <f t="shared" si="25"/>
        <v>0</v>
      </c>
      <c r="AI93" s="100">
        <f t="shared" si="25"/>
        <v>0</v>
      </c>
      <c r="AJ93" s="100">
        <f t="shared" si="25"/>
        <v>0</v>
      </c>
      <c r="AK93" s="100">
        <f t="shared" si="25"/>
        <v>0</v>
      </c>
    </row>
    <row r="94" spans="6:37" s="74" customFormat="1" x14ac:dyDescent="0.2">
      <c r="F94" s="100">
        <f t="shared" si="25"/>
        <v>0</v>
      </c>
      <c r="G94" s="100">
        <f t="shared" si="25"/>
        <v>2</v>
      </c>
      <c r="H94" s="100">
        <f t="shared" si="25"/>
        <v>0</v>
      </c>
      <c r="I94" s="100">
        <f t="shared" si="25"/>
        <v>0</v>
      </c>
      <c r="J94" s="100">
        <f t="shared" si="25"/>
        <v>0</v>
      </c>
      <c r="K94" s="100">
        <f t="shared" si="25"/>
        <v>0</v>
      </c>
      <c r="L94" s="100">
        <f t="shared" si="25"/>
        <v>0</v>
      </c>
      <c r="M94" s="100">
        <f t="shared" si="25"/>
        <v>0</v>
      </c>
      <c r="N94" s="100">
        <f t="shared" si="25"/>
        <v>0</v>
      </c>
      <c r="O94" s="100">
        <f t="shared" si="25"/>
        <v>0</v>
      </c>
      <c r="P94" s="100">
        <f t="shared" si="25"/>
        <v>0</v>
      </c>
      <c r="Q94" s="100">
        <f t="shared" si="25"/>
        <v>0</v>
      </c>
      <c r="R94" s="100">
        <f t="shared" si="25"/>
        <v>0</v>
      </c>
      <c r="S94" s="100">
        <f t="shared" si="25"/>
        <v>0</v>
      </c>
      <c r="T94" s="100">
        <f t="shared" si="25"/>
        <v>0</v>
      </c>
      <c r="U94" s="100">
        <f t="shared" si="25"/>
        <v>0</v>
      </c>
      <c r="V94" s="100">
        <f t="shared" si="25"/>
        <v>0</v>
      </c>
      <c r="W94" s="100">
        <f t="shared" si="25"/>
        <v>0</v>
      </c>
      <c r="X94" s="100">
        <f t="shared" si="25"/>
        <v>0</v>
      </c>
      <c r="Y94" s="100">
        <f t="shared" si="25"/>
        <v>0</v>
      </c>
      <c r="Z94" s="100">
        <f t="shared" si="25"/>
        <v>0</v>
      </c>
      <c r="AA94" s="100">
        <f t="shared" si="25"/>
        <v>0</v>
      </c>
      <c r="AB94" s="100">
        <f t="shared" si="25"/>
        <v>0</v>
      </c>
      <c r="AC94" s="100">
        <f t="shared" si="25"/>
        <v>0</v>
      </c>
      <c r="AD94" s="100">
        <f t="shared" si="25"/>
        <v>0</v>
      </c>
      <c r="AE94" s="100">
        <f t="shared" si="25"/>
        <v>0</v>
      </c>
      <c r="AF94" s="100">
        <f t="shared" si="25"/>
        <v>0</v>
      </c>
      <c r="AG94" s="100">
        <f t="shared" si="25"/>
        <v>0</v>
      </c>
      <c r="AH94" s="100">
        <f t="shared" si="25"/>
        <v>0</v>
      </c>
      <c r="AI94" s="100">
        <f t="shared" si="25"/>
        <v>0</v>
      </c>
      <c r="AJ94" s="100">
        <f t="shared" si="25"/>
        <v>0</v>
      </c>
      <c r="AK94" s="100">
        <f t="shared" si="25"/>
        <v>0</v>
      </c>
    </row>
    <row r="95" spans="6:37" s="74" customFormat="1" x14ac:dyDescent="0.2">
      <c r="F95" s="100">
        <f t="shared" si="25"/>
        <v>0</v>
      </c>
      <c r="G95" s="100">
        <f t="shared" si="25"/>
        <v>0</v>
      </c>
      <c r="H95" s="100">
        <f t="shared" si="25"/>
        <v>0</v>
      </c>
      <c r="I95" s="100">
        <f t="shared" si="25"/>
        <v>0</v>
      </c>
      <c r="J95" s="100">
        <f t="shared" si="25"/>
        <v>0</v>
      </c>
      <c r="K95" s="100">
        <f t="shared" si="25"/>
        <v>0</v>
      </c>
      <c r="L95" s="100">
        <f t="shared" si="25"/>
        <v>0</v>
      </c>
      <c r="M95" s="100">
        <f t="shared" si="25"/>
        <v>0</v>
      </c>
      <c r="N95" s="100">
        <f t="shared" si="25"/>
        <v>0</v>
      </c>
      <c r="O95" s="100">
        <f t="shared" si="25"/>
        <v>0</v>
      </c>
      <c r="P95" s="100">
        <f t="shared" si="25"/>
        <v>0</v>
      </c>
      <c r="Q95" s="100">
        <f t="shared" si="25"/>
        <v>0</v>
      </c>
      <c r="R95" s="100">
        <f t="shared" si="25"/>
        <v>0</v>
      </c>
      <c r="S95" s="100">
        <f t="shared" si="25"/>
        <v>0</v>
      </c>
      <c r="T95" s="100">
        <f t="shared" si="25"/>
        <v>0</v>
      </c>
      <c r="U95" s="100">
        <f t="shared" si="25"/>
        <v>0</v>
      </c>
      <c r="V95" s="100">
        <f t="shared" si="25"/>
        <v>0</v>
      </c>
      <c r="W95" s="100">
        <f t="shared" si="25"/>
        <v>0</v>
      </c>
      <c r="X95" s="100">
        <f t="shared" si="25"/>
        <v>0</v>
      </c>
      <c r="Y95" s="100">
        <f t="shared" si="25"/>
        <v>0</v>
      </c>
      <c r="Z95" s="100">
        <f t="shared" si="25"/>
        <v>0</v>
      </c>
      <c r="AA95" s="100">
        <f t="shared" si="25"/>
        <v>0</v>
      </c>
      <c r="AB95" s="100">
        <f t="shared" si="25"/>
        <v>0</v>
      </c>
      <c r="AC95" s="100">
        <f t="shared" si="25"/>
        <v>0</v>
      </c>
      <c r="AD95" s="100">
        <f t="shared" si="25"/>
        <v>0</v>
      </c>
      <c r="AE95" s="100">
        <f t="shared" si="25"/>
        <v>0</v>
      </c>
      <c r="AF95" s="100">
        <f t="shared" si="25"/>
        <v>0</v>
      </c>
      <c r="AG95" s="100">
        <f t="shared" si="25"/>
        <v>0</v>
      </c>
      <c r="AH95" s="100">
        <f t="shared" si="25"/>
        <v>27000</v>
      </c>
      <c r="AI95" s="100">
        <f t="shared" si="25"/>
        <v>900</v>
      </c>
      <c r="AJ95" s="100">
        <f t="shared" si="25"/>
        <v>30</v>
      </c>
      <c r="AK95" s="100">
        <f t="shared" si="25"/>
        <v>1</v>
      </c>
    </row>
    <row r="96" spans="6:37" s="74" customFormat="1" x14ac:dyDescent="0.2">
      <c r="F96" s="100">
        <f t="shared" si="25"/>
        <v>0</v>
      </c>
      <c r="G96" s="100">
        <f t="shared" si="25"/>
        <v>0</v>
      </c>
      <c r="H96" s="100">
        <f t="shared" si="25"/>
        <v>0</v>
      </c>
      <c r="I96" s="100">
        <f t="shared" si="25"/>
        <v>0</v>
      </c>
      <c r="J96" s="100">
        <f t="shared" si="25"/>
        <v>0</v>
      </c>
      <c r="K96" s="100">
        <f t="shared" si="25"/>
        <v>0</v>
      </c>
      <c r="L96" s="100">
        <f t="shared" si="25"/>
        <v>0</v>
      </c>
      <c r="M96" s="100">
        <f t="shared" si="25"/>
        <v>0</v>
      </c>
      <c r="N96" s="100">
        <f t="shared" si="25"/>
        <v>0</v>
      </c>
      <c r="O96" s="100">
        <f t="shared" si="25"/>
        <v>0</v>
      </c>
      <c r="P96" s="100">
        <f t="shared" si="25"/>
        <v>0</v>
      </c>
      <c r="Q96" s="100">
        <f t="shared" si="25"/>
        <v>0</v>
      </c>
      <c r="R96" s="100">
        <f t="shared" si="25"/>
        <v>0</v>
      </c>
      <c r="S96" s="100">
        <f t="shared" si="25"/>
        <v>0</v>
      </c>
      <c r="T96" s="100">
        <f t="shared" si="25"/>
        <v>0</v>
      </c>
      <c r="U96" s="100">
        <f t="shared" si="25"/>
        <v>0</v>
      </c>
      <c r="V96" s="100">
        <f t="shared" si="25"/>
        <v>0</v>
      </c>
      <c r="W96" s="100">
        <f t="shared" si="25"/>
        <v>0</v>
      </c>
      <c r="X96" s="100">
        <f t="shared" si="25"/>
        <v>0</v>
      </c>
      <c r="Y96" s="100">
        <f t="shared" si="25"/>
        <v>0</v>
      </c>
      <c r="Z96" s="100">
        <f t="shared" si="25"/>
        <v>0</v>
      </c>
      <c r="AA96" s="100">
        <f t="shared" si="25"/>
        <v>0</v>
      </c>
      <c r="AB96" s="100">
        <f t="shared" si="25"/>
        <v>0</v>
      </c>
      <c r="AC96" s="100">
        <f t="shared" si="25"/>
        <v>0</v>
      </c>
      <c r="AD96" s="100">
        <f t="shared" si="25"/>
        <v>0</v>
      </c>
      <c r="AE96" s="100">
        <f t="shared" si="25"/>
        <v>0</v>
      </c>
      <c r="AF96" s="100">
        <f t="shared" si="25"/>
        <v>0</v>
      </c>
      <c r="AG96" s="100">
        <f t="shared" si="25"/>
        <v>0</v>
      </c>
      <c r="AH96" s="100">
        <f t="shared" si="25"/>
        <v>180</v>
      </c>
      <c r="AI96" s="100">
        <f t="shared" si="25"/>
        <v>2</v>
      </c>
      <c r="AJ96" s="100">
        <f t="shared" si="25"/>
        <v>0</v>
      </c>
      <c r="AK96" s="100">
        <f t="shared" si="25"/>
        <v>0</v>
      </c>
    </row>
    <row r="97" spans="2:43" x14ac:dyDescent="0.2">
      <c r="AO97" s="74"/>
      <c r="AP97" s="74"/>
      <c r="AQ97" s="74"/>
    </row>
    <row r="98" spans="2:43" x14ac:dyDescent="0.2">
      <c r="AO98" s="74"/>
      <c r="AP98" s="74"/>
      <c r="AQ98" s="74"/>
    </row>
    <row r="99" spans="2:43" s="55" customFormat="1" x14ac:dyDescent="0.2">
      <c r="B99" s="55" t="s">
        <v>330</v>
      </c>
      <c r="C99" s="55" t="s">
        <v>262</v>
      </c>
      <c r="D99" s="55" t="s">
        <v>298</v>
      </c>
      <c r="E99" s="55" t="s">
        <v>299</v>
      </c>
      <c r="R99" s="55" t="s">
        <v>299</v>
      </c>
      <c r="S99" s="55" t="s">
        <v>333</v>
      </c>
      <c r="T99" s="55" t="s">
        <v>334</v>
      </c>
      <c r="AO99" s="74"/>
      <c r="AP99" s="74"/>
      <c r="AQ99" s="74"/>
    </row>
    <row r="100" spans="2:43" x14ac:dyDescent="0.2">
      <c r="C100" s="74">
        <v>1</v>
      </c>
      <c r="D100" s="74">
        <v>0</v>
      </c>
      <c r="E100" s="114">
        <f t="shared" ref="E100" ca="1" si="26">INDIRECT("a_" &amp; i) * t^3 + INDIRECT("b_" &amp; i) * t^2 + INDIRECT("c_" &amp; i) * t^1 + INDIRECT("d_" &amp; i)</f>
        <v>9.0339808310368851E-5</v>
      </c>
      <c r="F100" s="117">
        <v>0</v>
      </c>
      <c r="G100" s="117">
        <f ca="1">F100-E100</f>
        <v>-9.0339808310368851E-5</v>
      </c>
      <c r="K100" s="74" t="s">
        <v>331</v>
      </c>
      <c r="L100" s="118"/>
      <c r="M100" s="74" t="s">
        <v>331</v>
      </c>
      <c r="O100" s="74" t="s">
        <v>331</v>
      </c>
      <c r="Q100" s="119"/>
      <c r="R100" s="120">
        <f t="array" aca="1" ref="R100" ca="1">E100:E400</f>
        <v>9.0339808310368851E-5</v>
      </c>
      <c r="X100" s="74" t="s">
        <v>331</v>
      </c>
      <c r="Y100" s="55"/>
      <c r="AA100" s="74" t="s">
        <v>335</v>
      </c>
      <c r="AD100" s="74" t="s">
        <v>336</v>
      </c>
      <c r="AF100" s="74" t="s">
        <v>337</v>
      </c>
      <c r="AO100" s="74"/>
      <c r="AP100" s="74"/>
      <c r="AQ100" s="74"/>
    </row>
    <row r="101" spans="2:43" x14ac:dyDescent="0.2">
      <c r="C101" s="74">
        <v>1</v>
      </c>
      <c r="D101" s="74">
        <v>0.1</v>
      </c>
      <c r="E101" s="114">
        <f t="shared" ref="E101" ca="1" si="27">INDIRECT("a_" &amp; i) * t^3 + INDIRECT("b_" &amp; i) * t^2 + INDIRECT("c_" &amp; i) * t^1 + INDIRECT("d_" &amp; i)</f>
        <v>9.9889815989002203E-5</v>
      </c>
      <c r="F101" s="117" t="s">
        <v>332</v>
      </c>
      <c r="K101" s="74">
        <f ca="1">SUMSQ(G100,G110,G120,G130,G140,G150,G170,G200,G400)</f>
        <v>4.520196461019599E-3</v>
      </c>
      <c r="M101" s="74">
        <f ca="1">SUMSQ(I110,I120,I130,I140,I150,I170,I200)</f>
        <v>1.2012971387661331E-5</v>
      </c>
      <c r="O101" s="74">
        <f ca="1">K101+M101</f>
        <v>4.5322094324072608E-3</v>
      </c>
      <c r="R101" s="120">
        <f t="array" aca="1" ref="R101" ca="1">E101:E401</f>
        <v>9.9889815989002203E-5</v>
      </c>
      <c r="S101" s="121">
        <f ca="1">(R101-R100)/(D101-D100)</f>
        <v>9.5500076786333521E-5</v>
      </c>
      <c r="X101" s="74">
        <f ca="1">SUMSQ(T110:T111,T120:T121,T130:T131,T140:T141,T150:T151,T170:T171,T200:T201)</f>
        <v>0.20987925571887722</v>
      </c>
      <c r="Y101" s="55"/>
      <c r="AA101" s="122">
        <f ca="1">X101</f>
        <v>0.20987925571887722</v>
      </c>
      <c r="AB101" s="100"/>
      <c r="AC101" s="100"/>
      <c r="AD101" s="100">
        <v>1</v>
      </c>
      <c r="AE101" s="100"/>
      <c r="AF101" s="122">
        <f ca="1">O101+AD101*X101</f>
        <v>0.21441146515128448</v>
      </c>
      <c r="AO101" s="74"/>
      <c r="AP101" s="74"/>
      <c r="AQ101" s="74"/>
    </row>
    <row r="102" spans="2:43" x14ac:dyDescent="0.2">
      <c r="C102" s="74">
        <v>1</v>
      </c>
      <c r="D102" s="74">
        <v>0.2</v>
      </c>
      <c r="E102" s="114">
        <f t="shared" ref="E102" ca="1" si="28">INDIRECT("a_" &amp; i) * t^3 + INDIRECT("b_" &amp; i) * t^2 + INDIRECT("c_" &amp; i) * t^1 + INDIRECT("d_" &amp; i)</f>
        <v>1.1154595122730811E-4</v>
      </c>
      <c r="F102" s="117" t="s">
        <v>332</v>
      </c>
      <c r="R102" s="120">
        <f t="array" aca="1" ref="R102" ca="1">E102:E402</f>
        <v>1.1154595122730811E-4</v>
      </c>
      <c r="S102" s="121">
        <f t="shared" ref="S102:S165" ca="1" si="29">(R102-R101)/(D102-D101)</f>
        <v>1.1656135238305904E-4</v>
      </c>
      <c r="T102" s="121">
        <f ca="1">(S102-S101)/(D102-D101)</f>
        <v>2.1061275596725515E-4</v>
      </c>
      <c r="AO102" s="74"/>
      <c r="AP102" s="74"/>
      <c r="AQ102" s="74"/>
    </row>
    <row r="103" spans="2:43" x14ac:dyDescent="0.2">
      <c r="C103" s="74">
        <v>1</v>
      </c>
      <c r="D103" s="74">
        <v>0.3</v>
      </c>
      <c r="E103" s="114">
        <f t="shared" ref="E103" ca="1" si="30">INDIRECT("a_" &amp; i) * t^3 + INDIRECT("b_" &amp; i) * t^2 + INDIRECT("c_" &amp; i) * t^1 + INDIRECT("d_" &amp; i)</f>
        <v>1.2577234069893495E-4</v>
      </c>
      <c r="F103" s="117" t="s">
        <v>332</v>
      </c>
      <c r="O103" s="74">
        <f ca="1">LOG10(O101)</f>
        <v>-2.3436900296918575</v>
      </c>
      <c r="R103" s="120">
        <f t="array" aca="1" ref="R103" ca="1">E103:E403</f>
        <v>1.2577234069893495E-4</v>
      </c>
      <c r="S103" s="121">
        <f t="shared" ca="1" si="29"/>
        <v>1.422638947162685E-4</v>
      </c>
      <c r="T103" s="121">
        <f t="shared" ref="T103:T166" ca="1" si="31">(S103-S102)/(D103-D102)</f>
        <v>2.5702542333209467E-4</v>
      </c>
      <c r="AO103" s="74"/>
      <c r="AP103" s="74"/>
      <c r="AQ103" s="74"/>
    </row>
    <row r="104" spans="2:43" x14ac:dyDescent="0.2">
      <c r="C104" s="74">
        <v>1</v>
      </c>
      <c r="D104" s="74">
        <v>0.4</v>
      </c>
      <c r="E104" s="114">
        <f t="shared" ref="E104" ca="1" si="32">INDIRECT("a_" &amp; i) * t^3 + INDIRECT("b_" &amp; i) * t^2 + INDIRECT("c_" &amp; i) * t^1 + INDIRECT("d_" &amp; i)</f>
        <v>1.4303311107753111E-4</v>
      </c>
      <c r="F104" s="117" t="s">
        <v>332</v>
      </c>
      <c r="R104" s="120">
        <f t="array" aca="1" ref="R104" ca="1">E104:E404</f>
        <v>1.4303311107753111E-4</v>
      </c>
      <c r="S104" s="121">
        <f t="shared" ca="1" si="29"/>
        <v>1.726077037859615E-4</v>
      </c>
      <c r="T104" s="121">
        <f t="shared" ca="1" si="31"/>
        <v>3.034380906969299E-4</v>
      </c>
      <c r="AO104" s="74"/>
      <c r="AP104" s="74"/>
      <c r="AQ104" s="74"/>
    </row>
    <row r="105" spans="2:43" x14ac:dyDescent="0.2">
      <c r="C105" s="74">
        <v>1</v>
      </c>
      <c r="D105" s="74">
        <v>0.5</v>
      </c>
      <c r="E105" s="114">
        <f t="shared" ref="E105" ca="1" si="33">INDIRECT("a_" &amp; i) * t^3 + INDIRECT("b_" &amp; i) * t^2 + INDIRECT("c_" &amp; i) * t^1 + INDIRECT("d_" &amp; i)</f>
        <v>1.6379238903674494E-4</v>
      </c>
      <c r="F105" s="117" t="s">
        <v>332</v>
      </c>
      <c r="R105" s="120">
        <f t="array" aca="1" ref="R105" ca="1">E105:E405</f>
        <v>1.6379238903674494E-4</v>
      </c>
      <c r="S105" s="121">
        <f t="shared" ca="1" si="29"/>
        <v>2.0759277959213834E-4</v>
      </c>
      <c r="T105" s="121">
        <f t="shared" ca="1" si="31"/>
        <v>3.4985075806176843E-4</v>
      </c>
      <c r="AO105" s="74"/>
      <c r="AP105" s="74"/>
      <c r="AQ105" s="74"/>
    </row>
    <row r="106" spans="2:43" x14ac:dyDescent="0.2">
      <c r="C106" s="74">
        <v>1</v>
      </c>
      <c r="D106" s="74">
        <v>0.6</v>
      </c>
      <c r="E106" s="114">
        <f t="shared" ref="E106" ca="1" si="34">INDIRECT("a_" &amp; i) * t^3 + INDIRECT("b_" &amp; i) * t^2 + INDIRECT("c_" &amp; i) * t^1 + INDIRECT("d_" &amp; i)</f>
        <v>1.8851430125022488E-4</v>
      </c>
      <c r="F106" s="117" t="s">
        <v>332</v>
      </c>
      <c r="R106" s="120">
        <f t="array" aca="1" ref="R106" ca="1">E106:E406</f>
        <v>1.8851430125022488E-4</v>
      </c>
      <c r="S106" s="121">
        <f t="shared" ca="1" si="29"/>
        <v>2.4721912213479953E-4</v>
      </c>
      <c r="T106" s="121">
        <f t="shared" ca="1" si="31"/>
        <v>3.9626342542661201E-4</v>
      </c>
      <c r="AO106" s="74"/>
      <c r="AP106" s="74"/>
      <c r="AQ106" s="74"/>
    </row>
    <row r="107" spans="2:43" x14ac:dyDescent="0.2">
      <c r="C107" s="74">
        <v>1</v>
      </c>
      <c r="D107" s="74">
        <v>0.7</v>
      </c>
      <c r="E107" s="114">
        <f t="shared" ref="E107" ca="1" si="35">INDIRECT("a_" &amp; i) * t^3 + INDIRECT("b_" &amp; i) * t^2 + INDIRECT("c_" &amp; i) * t^1 + INDIRECT("d_" &amp; i)</f>
        <v>2.1766297439161926E-4</v>
      </c>
      <c r="F107" s="117" t="s">
        <v>332</v>
      </c>
      <c r="R107" s="120">
        <f t="array" aca="1" ref="R107" ca="1">E107:E407</f>
        <v>2.1766297439161926E-4</v>
      </c>
      <c r="S107" s="121">
        <f t="shared" ca="1" si="29"/>
        <v>2.9148673141394382E-4</v>
      </c>
      <c r="T107" s="121">
        <f t="shared" ca="1" si="31"/>
        <v>4.4267609279144307E-4</v>
      </c>
      <c r="AO107" s="74"/>
      <c r="AP107" s="74"/>
      <c r="AQ107" s="74"/>
    </row>
    <row r="108" spans="2:43" x14ac:dyDescent="0.2">
      <c r="C108" s="74">
        <v>1</v>
      </c>
      <c r="D108" s="74">
        <v>0.8</v>
      </c>
      <c r="E108" s="114">
        <f t="shared" ref="E108" ca="1" si="36">INDIRECT("a_" &amp; i) * t^3 + INDIRECT("b_" &amp; i) * t^2 + INDIRECT("c_" &amp; i) * t^1 + INDIRECT("d_" &amp; i)</f>
        <v>2.5170253513457654E-4</v>
      </c>
      <c r="F108" s="117" t="s">
        <v>332</v>
      </c>
      <c r="R108" s="120">
        <f t="array" aca="1" ref="R108" ca="1">E108:E408</f>
        <v>2.5170253513457654E-4</v>
      </c>
      <c r="S108" s="121">
        <f t="shared" ca="1" si="29"/>
        <v>3.4039560742957247E-4</v>
      </c>
      <c r="T108" s="121">
        <f t="shared" ca="1" si="31"/>
        <v>4.8908876015628605E-4</v>
      </c>
      <c r="AO108" s="74"/>
      <c r="AP108" s="74"/>
      <c r="AQ108" s="74"/>
    </row>
    <row r="109" spans="2:43" x14ac:dyDescent="0.2">
      <c r="C109" s="74">
        <v>1</v>
      </c>
      <c r="D109" s="74">
        <v>0.9</v>
      </c>
      <c r="E109" s="114">
        <f t="shared" ref="E109" ca="1" si="37">INDIRECT("a_" &amp; i) * t^3 + INDIRECT("b_" &amp; i) * t^2 + INDIRECT("c_" &amp; i) * t^1 + INDIRECT("d_" &amp; i)</f>
        <v>2.9109711015274503E-4</v>
      </c>
      <c r="F109" s="117" t="s">
        <v>332</v>
      </c>
      <c r="R109" s="120">
        <f t="array" aca="1" ref="R109" ca="1">E109:E409</f>
        <v>2.9109711015274503E-4</v>
      </c>
      <c r="S109" s="121">
        <f t="shared" ca="1" si="29"/>
        <v>3.9394575018168504E-4</v>
      </c>
      <c r="T109" s="121">
        <f t="shared" ca="1" si="31"/>
        <v>5.3550142752112578E-4</v>
      </c>
      <c r="AO109" s="74"/>
      <c r="AP109" s="74"/>
      <c r="AQ109" s="74"/>
    </row>
    <row r="110" spans="2:43" x14ac:dyDescent="0.2">
      <c r="B110" s="74">
        <v>1</v>
      </c>
      <c r="C110" s="74">
        <v>2</v>
      </c>
      <c r="D110" s="74">
        <v>1</v>
      </c>
      <c r="E110" s="114">
        <f t="shared" ref="E110" ca="1" si="38">INDIRECT("a_" &amp; i) * t^3 + INDIRECT("b_" &amp; i) * t^2 + INDIRECT("c_" &amp; i) * t^1 + INDIRECT("d_" &amp; i)</f>
        <v>2.2321793959202609E-3</v>
      </c>
      <c r="F110" s="117">
        <v>0.02</v>
      </c>
      <c r="G110" s="117">
        <f ca="1">F110-E110</f>
        <v>1.7767820604079741E-2</v>
      </c>
      <c r="H110" s="117">
        <f ca="1">INDIRECT("a_" &amp; i_1) * t^3 + INDIRECT("b_" &amp; i_1) * t^2 + INDIRECT("c_" &amp; i_1) * t^1 + INDIRECT("d_" &amp; i_1)</f>
        <v>3.363108261197731E-4</v>
      </c>
      <c r="I110" s="117">
        <f ca="1">H110-E110</f>
        <v>-1.8958685698004878E-3</v>
      </c>
      <c r="K110" s="119"/>
      <c r="Q110" s="119"/>
      <c r="R110" s="120">
        <f t="array" aca="1" ref="R110" ca="1">E110:E410</f>
        <v>2.2321793959202609E-3</v>
      </c>
      <c r="S110" s="121">
        <f t="shared" ca="1" si="29"/>
        <v>1.9410822857675161E-2</v>
      </c>
      <c r="T110" s="121">
        <f t="shared" ca="1" si="31"/>
        <v>0.19016877107493482</v>
      </c>
      <c r="AO110" s="74"/>
      <c r="AP110" s="74"/>
      <c r="AQ110" s="74"/>
    </row>
    <row r="111" spans="2:43" x14ac:dyDescent="0.2">
      <c r="C111" s="74">
        <v>2</v>
      </c>
      <c r="D111" s="74">
        <v>1.1000000000000001</v>
      </c>
      <c r="E111" s="114">
        <f t="shared" ref="E111" ca="1" si="39">INDIRECT("a_" &amp; i) * t^3 + INDIRECT("b_" &amp; i) * t^2 + INDIRECT("c_" &amp; i) * t^1 + INDIRECT("d_" &amp; i)</f>
        <v>2.6512360360174815E-3</v>
      </c>
      <c r="F111" s="117" t="s">
        <v>332</v>
      </c>
      <c r="R111" s="120">
        <f t="array" aca="1" ref="R111" ca="1">E111:E411</f>
        <v>2.6512360360174815E-3</v>
      </c>
      <c r="S111" s="121">
        <f t="shared" ca="1" si="29"/>
        <v>4.1905664009722022E-3</v>
      </c>
      <c r="T111" s="121">
        <f t="shared" ca="1" si="31"/>
        <v>-0.15220256456702944</v>
      </c>
      <c r="AO111" s="74"/>
      <c r="AP111" s="74"/>
      <c r="AQ111" s="74"/>
    </row>
    <row r="112" spans="2:43" x14ac:dyDescent="0.2">
      <c r="C112" s="74">
        <v>2</v>
      </c>
      <c r="D112" s="74">
        <v>1.2</v>
      </c>
      <c r="E112" s="114">
        <f t="shared" ref="E112" ca="1" si="40">INDIRECT("a_" &amp; i) * t^3 + INDIRECT("b_" &amp; i) * t^2 + INDIRECT("c_" &amp; i) * t^1 + INDIRECT("d_" &amp; i)</f>
        <v>3.1320206866302081E-3</v>
      </c>
      <c r="F112" s="117" t="s">
        <v>332</v>
      </c>
      <c r="R112" s="120">
        <f t="array" aca="1" ref="R112" ca="1">E112:E412</f>
        <v>3.1320206866302081E-3</v>
      </c>
      <c r="S112" s="121">
        <f t="shared" ca="1" si="29"/>
        <v>4.8078465061272722E-3</v>
      </c>
      <c r="T112" s="121">
        <f t="shared" ca="1" si="31"/>
        <v>6.1728010515507076E-3</v>
      </c>
      <c r="AO112" s="74"/>
      <c r="AP112" s="74"/>
      <c r="AQ112" s="74"/>
    </row>
    <row r="113" spans="2:20" s="74" customFormat="1" x14ac:dyDescent="0.2">
      <c r="C113" s="74">
        <v>2</v>
      </c>
      <c r="D113" s="74">
        <v>1.3</v>
      </c>
      <c r="E113" s="114">
        <f t="shared" ref="E113" ca="1" si="41">INDIRECT("a_" &amp; i) * t^3 + INDIRECT("b_" &amp; i) * t^2 + INDIRECT("c_" &amp; i) * t^1 + INDIRECT("d_" &amp; i)</f>
        <v>3.6791149726074532E-3</v>
      </c>
      <c r="F113" s="117" t="s">
        <v>332</v>
      </c>
      <c r="R113" s="120">
        <f t="array" aca="1" ref="R113" ca="1">E113:E413</f>
        <v>3.6791149726074532E-3</v>
      </c>
      <c r="S113" s="121">
        <f t="shared" ca="1" si="29"/>
        <v>5.4709428597724454E-3</v>
      </c>
      <c r="T113" s="121">
        <f t="shared" ca="1" si="31"/>
        <v>6.6309635364517261E-3</v>
      </c>
    </row>
    <row r="114" spans="2:20" s="74" customFormat="1" x14ac:dyDescent="0.2">
      <c r="C114" s="74">
        <v>2</v>
      </c>
      <c r="D114" s="74">
        <v>1.4</v>
      </c>
      <c r="E114" s="114">
        <f t="shared" ref="E114" ca="1" si="42">INDIRECT("a_" &amp; i) * t^3 + INDIRECT("b_" &amp; i) * t^2 + INDIRECT("c_" &amp; i) * t^1 + INDIRECT("d_" &amp; i)</f>
        <v>4.2971005187982282E-3</v>
      </c>
      <c r="F114" s="117" t="s">
        <v>332</v>
      </c>
      <c r="R114" s="120">
        <f t="array" aca="1" ref="R114" ca="1">E114:E414</f>
        <v>4.2971005187982282E-3</v>
      </c>
      <c r="S114" s="121">
        <f t="shared" ca="1" si="29"/>
        <v>6.1798554619077583E-3</v>
      </c>
      <c r="T114" s="121">
        <f t="shared" ca="1" si="31"/>
        <v>7.0891260213531383E-3</v>
      </c>
    </row>
    <row r="115" spans="2:20" s="74" customFormat="1" x14ac:dyDescent="0.2">
      <c r="C115" s="74">
        <v>2</v>
      </c>
      <c r="D115" s="74">
        <v>1.5</v>
      </c>
      <c r="E115" s="114">
        <f t="shared" ref="E115" ca="1" si="43">INDIRECT("a_" &amp; i) * t^3 + INDIRECT("b_" &amp; i) * t^2 + INDIRECT("c_" &amp; i) * t^1 + INDIRECT("d_" &amp; i)</f>
        <v>4.9905589500515478E-3</v>
      </c>
      <c r="F115" s="117" t="s">
        <v>332</v>
      </c>
      <c r="R115" s="120">
        <f t="array" aca="1" ref="R115" ca="1">E115:E415</f>
        <v>4.9905589500515478E-3</v>
      </c>
      <c r="S115" s="121">
        <f t="shared" ca="1" si="29"/>
        <v>6.93458431253319E-3</v>
      </c>
      <c r="T115" s="121">
        <f t="shared" ca="1" si="31"/>
        <v>7.5472885062543103E-3</v>
      </c>
    </row>
    <row r="116" spans="2:20" s="74" customFormat="1" x14ac:dyDescent="0.2">
      <c r="C116" s="74">
        <v>2</v>
      </c>
      <c r="D116" s="74">
        <v>1.6</v>
      </c>
      <c r="E116" s="114">
        <f t="shared" ref="E116" ca="1" si="44">INDIRECT("a_" &amp; i) * t^3 + INDIRECT("b_" &amp; i) * t^2 + INDIRECT("c_" &amp; i) * t^1 + INDIRECT("d_" &amp; i)</f>
        <v>5.7640718912164218E-3</v>
      </c>
      <c r="F116" s="117" t="s">
        <v>332</v>
      </c>
      <c r="R116" s="120">
        <f t="array" aca="1" ref="R116" ca="1">E116:E416</f>
        <v>5.7640718912164218E-3</v>
      </c>
      <c r="S116" s="121">
        <f t="shared" ca="1" si="29"/>
        <v>7.7351294116487328E-3</v>
      </c>
      <c r="T116" s="121">
        <f t="shared" ca="1" si="31"/>
        <v>8.0054509911554207E-3</v>
      </c>
    </row>
    <row r="117" spans="2:20" s="74" customFormat="1" x14ac:dyDescent="0.2">
      <c r="C117" s="74">
        <v>2</v>
      </c>
      <c r="D117" s="74">
        <v>1.7</v>
      </c>
      <c r="E117" s="114">
        <f t="shared" ref="E117" ca="1" si="45">INDIRECT("a_" &amp; i) * t^3 + INDIRECT("b_" &amp; i) * t^2 + INDIRECT("c_" &amp; i) * t^1 + INDIRECT("d_" &amp; i)</f>
        <v>6.6222209671418604E-3</v>
      </c>
      <c r="F117" s="117" t="s">
        <v>332</v>
      </c>
      <c r="R117" s="120">
        <f t="array" aca="1" ref="R117" ca="1">E117:E417</f>
        <v>6.6222209671418604E-3</v>
      </c>
      <c r="S117" s="121">
        <f t="shared" ca="1" si="29"/>
        <v>8.5814907592543978E-3</v>
      </c>
      <c r="T117" s="121">
        <f t="shared" ca="1" si="31"/>
        <v>8.4636134760566629E-3</v>
      </c>
    </row>
    <row r="118" spans="2:20" s="74" customFormat="1" x14ac:dyDescent="0.2">
      <c r="C118" s="74">
        <v>2</v>
      </c>
      <c r="D118" s="74">
        <v>1.8</v>
      </c>
      <c r="E118" s="114">
        <f t="shared" ref="E118" ca="1" si="46">INDIRECT("a_" &amp; i) * t^3 + INDIRECT("b_" &amp; i) * t^2 + INDIRECT("c_" &amp; i) * t^1 + INDIRECT("d_" &amp; i)</f>
        <v>7.5695878026768824E-3</v>
      </c>
      <c r="F118" s="117" t="s">
        <v>332</v>
      </c>
      <c r="R118" s="120">
        <f t="array" aca="1" ref="R118" ca="1">E118:E418</f>
        <v>7.5695878026768824E-3</v>
      </c>
      <c r="S118" s="121">
        <f t="shared" ca="1" si="29"/>
        <v>9.4736683553502121E-3</v>
      </c>
      <c r="T118" s="121">
        <f t="shared" ca="1" si="31"/>
        <v>8.9217759609581341E-3</v>
      </c>
    </row>
    <row r="119" spans="2:20" s="74" customFormat="1" x14ac:dyDescent="0.2">
      <c r="C119" s="74">
        <v>2</v>
      </c>
      <c r="D119" s="74">
        <v>1.9</v>
      </c>
      <c r="E119" s="114">
        <f t="shared" ref="E119" ca="1" si="47">INDIRECT("a_" &amp; i) * t^3 + INDIRECT("b_" &amp; i) * t^2 + INDIRECT("c_" &amp; i) * t^1 + INDIRECT("d_" &amp; i)</f>
        <v>8.6107540226704939E-3</v>
      </c>
      <c r="F119" s="117" t="s">
        <v>332</v>
      </c>
      <c r="R119" s="120">
        <f t="array" aca="1" ref="R119" ca="1">E119:E419</f>
        <v>8.6107540226704939E-3</v>
      </c>
      <c r="S119" s="121">
        <f t="shared" ca="1" si="29"/>
        <v>1.0411662199936129E-2</v>
      </c>
      <c r="T119" s="121">
        <f t="shared" ca="1" si="31"/>
        <v>9.3799384458591786E-3</v>
      </c>
    </row>
    <row r="120" spans="2:20" s="74" customFormat="1" x14ac:dyDescent="0.2">
      <c r="B120" s="74">
        <v>2</v>
      </c>
      <c r="C120" s="74">
        <v>3</v>
      </c>
      <c r="D120" s="74">
        <v>2</v>
      </c>
      <c r="E120" s="114">
        <f t="shared" ref="E120" ca="1" si="48">INDIRECT("a_" &amp; i) * t^3 + INDIRECT("b_" &amp; i) * t^2 + INDIRECT("c_" &amp; i) * t^1 + INDIRECT("d_" &amp; i)</f>
        <v>9.9653807571155051E-3</v>
      </c>
      <c r="F120" s="117">
        <v>3.7869296080000003E-2</v>
      </c>
      <c r="G120" s="117">
        <f ca="1">F120-E120</f>
        <v>2.7903915322884498E-2</v>
      </c>
      <c r="H120" s="117">
        <f ca="1">INDIRECT("a_" &amp; i_1) * t^3 + INDIRECT("b_" &amp; i_1) * t^2 + INDIRECT("c_" &amp; i_1) * t^1 + INDIRECT("d_" &amp; i_1)</f>
        <v>9.7503012519717103E-3</v>
      </c>
      <c r="I120" s="117">
        <f ca="1">H120-E120</f>
        <v>-2.1507950514379481E-4</v>
      </c>
      <c r="K120" s="119"/>
      <c r="Q120" s="119"/>
      <c r="R120" s="120">
        <f t="array" aca="1" ref="R120" ca="1">E120:E420</f>
        <v>9.9653807571155051E-3</v>
      </c>
      <c r="S120" s="121">
        <f t="shared" ca="1" si="29"/>
        <v>1.3546267344450099E-2</v>
      </c>
      <c r="T120" s="121">
        <f t="shared" ca="1" si="31"/>
        <v>3.1346051445139675E-2</v>
      </c>
    </row>
    <row r="121" spans="2:20" s="74" customFormat="1" x14ac:dyDescent="0.2">
      <c r="C121" s="74">
        <v>3</v>
      </c>
      <c r="D121" s="74">
        <v>2.1</v>
      </c>
      <c r="E121" s="114">
        <f t="shared" ref="E121" ca="1" si="49">INDIRECT("a_" &amp; i) * t^3 + INDIRECT("b_" &amp; i) * t^2 + INDIRECT("c_" &amp; i) * t^1 + INDIRECT("d_" &amp; i)</f>
        <v>1.1040437143893793E-2</v>
      </c>
      <c r="F121" s="117" t="s">
        <v>332</v>
      </c>
      <c r="R121" s="120">
        <f t="array" aca="1" ref="R121" ca="1">E121:E421</f>
        <v>1.1040437143893793E-2</v>
      </c>
      <c r="S121" s="121">
        <f t="shared" ca="1" si="29"/>
        <v>1.0750563867782868E-2</v>
      </c>
      <c r="T121" s="121">
        <f t="shared" ca="1" si="31"/>
        <v>-2.7957034766672294E-2</v>
      </c>
    </row>
    <row r="122" spans="2:20" s="74" customFormat="1" x14ac:dyDescent="0.2">
      <c r="C122" s="74">
        <v>3</v>
      </c>
      <c r="D122" s="74">
        <v>2.2000000000000002</v>
      </c>
      <c r="E122" s="114">
        <f t="shared" ref="E122" ca="1" si="50">INDIRECT("a_" &amp; i) * t^3 + INDIRECT("b_" &amp; i) * t^2 + INDIRECT("c_" &amp; i) * t^1 + INDIRECT("d_" &amp; i)</f>
        <v>1.2192083517249463E-2</v>
      </c>
      <c r="F122" s="117" t="s">
        <v>332</v>
      </c>
      <c r="R122" s="120">
        <f t="array" aca="1" ref="R122" ca="1">E122:E422</f>
        <v>1.2192083517249463E-2</v>
      </c>
      <c r="S122" s="121">
        <f t="shared" ca="1" si="29"/>
        <v>1.1516463733556692E-2</v>
      </c>
      <c r="T122" s="121">
        <f t="shared" ca="1" si="31"/>
        <v>7.6589986577382391E-3</v>
      </c>
    </row>
    <row r="123" spans="2:20" s="74" customFormat="1" x14ac:dyDescent="0.2">
      <c r="C123" s="74">
        <v>3</v>
      </c>
      <c r="D123" s="74">
        <v>2.2999999999999998</v>
      </c>
      <c r="E123" s="114">
        <f t="shared" ref="E123" ca="1" si="51">INDIRECT("a_" &amp; i) * t^3 + INDIRECT("b_" &amp; i) * t^2 + INDIRECT("c_" &amp; i) * t^1 + INDIRECT("d_" &amp; i)</f>
        <v>1.3422941702643286E-2</v>
      </c>
      <c r="F123" s="117" t="s">
        <v>332</v>
      </c>
      <c r="R123" s="120">
        <f t="array" aca="1" ref="R123" ca="1">E123:E423</f>
        <v>1.3422941702643286E-2</v>
      </c>
      <c r="S123" s="121">
        <f t="shared" ca="1" si="29"/>
        <v>1.2308581853938275E-2</v>
      </c>
      <c r="T123" s="121">
        <f t="shared" ca="1" si="31"/>
        <v>7.9211812038158559E-3</v>
      </c>
    </row>
    <row r="124" spans="2:20" s="74" customFormat="1" x14ac:dyDescent="0.2">
      <c r="C124" s="74">
        <v>3</v>
      </c>
      <c r="D124" s="74">
        <v>2.4</v>
      </c>
      <c r="E124" s="114">
        <f t="shared" ref="E124" ca="1" si="52">INDIRECT("a_" &amp; i) * t^3 + INDIRECT("b_" &amp; i) * t^2 + INDIRECT("c_" &amp; i) * t^1 + INDIRECT("d_" &amp; i)</f>
        <v>1.4735633525536068E-2</v>
      </c>
      <c r="F124" s="117" t="s">
        <v>332</v>
      </c>
      <c r="R124" s="120">
        <f t="array" aca="1" ref="R124" ca="1">E124:E424</f>
        <v>1.4735633525536068E-2</v>
      </c>
      <c r="S124" s="121">
        <f t="shared" ca="1" si="29"/>
        <v>1.31269182289278E-2</v>
      </c>
      <c r="T124" s="121">
        <f t="shared" ca="1" si="31"/>
        <v>8.1833637498952422E-3</v>
      </c>
    </row>
    <row r="125" spans="2:20" s="74" customFormat="1" x14ac:dyDescent="0.2">
      <c r="C125" s="74">
        <v>3</v>
      </c>
      <c r="D125" s="74">
        <v>2.5</v>
      </c>
      <c r="E125" s="114">
        <f t="shared" ref="E125" ca="1" si="53">INDIRECT("a_" &amp; i) * t^3 + INDIRECT("b_" &amp; i) * t^2 + INDIRECT("c_" &amp; i) * t^1 + INDIRECT("d_" &amp; i)</f>
        <v>1.6132780811388584E-2</v>
      </c>
      <c r="F125" s="117" t="s">
        <v>332</v>
      </c>
      <c r="R125" s="120">
        <f t="array" aca="1" ref="R125" ca="1">E125:E425</f>
        <v>1.6132780811388584E-2</v>
      </c>
      <c r="S125" s="121">
        <f t="shared" ca="1" si="29"/>
        <v>1.3971472858525154E-2</v>
      </c>
      <c r="T125" s="121">
        <f t="shared" ca="1" si="31"/>
        <v>8.4455462959735356E-3</v>
      </c>
    </row>
    <row r="126" spans="2:20" s="74" customFormat="1" x14ac:dyDescent="0.2">
      <c r="C126" s="74">
        <v>3</v>
      </c>
      <c r="D126" s="74">
        <v>2.6</v>
      </c>
      <c r="E126" s="114">
        <f t="shared" ref="E126" ca="1" si="54">INDIRECT("a_" &amp; i) * t^3 + INDIRECT("b_" &amp; i) * t^2 + INDIRECT("c_" &amp; i) * t^1 + INDIRECT("d_" &amp; i)</f>
        <v>1.7617005385661622E-2</v>
      </c>
      <c r="F126" s="117" t="s">
        <v>332</v>
      </c>
      <c r="R126" s="120">
        <f t="array" aca="1" ref="R126" ca="1">E126:E426</f>
        <v>1.7617005385661622E-2</v>
      </c>
      <c r="S126" s="121">
        <f t="shared" ca="1" si="29"/>
        <v>1.4842245742730367E-2</v>
      </c>
      <c r="T126" s="121">
        <f t="shared" ca="1" si="31"/>
        <v>8.7077288420521239E-3</v>
      </c>
    </row>
    <row r="127" spans="2:20" s="74" customFormat="1" x14ac:dyDescent="0.2">
      <c r="C127" s="74">
        <v>3</v>
      </c>
      <c r="D127" s="74">
        <v>2.7</v>
      </c>
      <c r="E127" s="114">
        <f t="shared" ref="E127" ca="1" si="55">INDIRECT("a_" &amp; i) * t^3 + INDIRECT("b_" &amp; i) * t^2 + INDIRECT("c_" &amp; i) * t^1 + INDIRECT("d_" &amp; i)</f>
        <v>1.9190929073815966E-2</v>
      </c>
      <c r="F127" s="117" t="s">
        <v>332</v>
      </c>
      <c r="R127" s="120">
        <f t="array" aca="1" ref="R127" ca="1">E127:E427</f>
        <v>1.9190929073815966E-2</v>
      </c>
      <c r="S127" s="121">
        <f t="shared" ca="1" si="29"/>
        <v>1.5739236881543425E-2</v>
      </c>
      <c r="T127" s="121">
        <f t="shared" ca="1" si="31"/>
        <v>8.9699113881305716E-3</v>
      </c>
    </row>
    <row r="128" spans="2:20" s="74" customFormat="1" x14ac:dyDescent="0.2">
      <c r="C128" s="74">
        <v>3</v>
      </c>
      <c r="D128" s="74">
        <v>2.8</v>
      </c>
      <c r="E128" s="114">
        <f t="shared" ref="E128" ca="1" si="56">INDIRECT("a_" &amp; i) * t^3 + INDIRECT("b_" &amp; i) * t^2 + INDIRECT("c_" &amp; i) * t^1 + INDIRECT("d_" &amp; i)</f>
        <v>2.0857173701312397E-2</v>
      </c>
      <c r="F128" s="117" t="s">
        <v>332</v>
      </c>
      <c r="R128" s="120">
        <f t="array" aca="1" ref="R128" ca="1">E128:E428</f>
        <v>2.0857173701312397E-2</v>
      </c>
      <c r="S128" s="121">
        <f t="shared" ca="1" si="29"/>
        <v>1.6662446274964365E-2</v>
      </c>
      <c r="T128" s="121">
        <f t="shared" ca="1" si="31"/>
        <v>9.2320939342094271E-3</v>
      </c>
    </row>
    <row r="129" spans="2:20" s="74" customFormat="1" x14ac:dyDescent="0.2">
      <c r="C129" s="74">
        <v>3</v>
      </c>
      <c r="D129" s="74">
        <v>2.9</v>
      </c>
      <c r="E129" s="114">
        <f t="shared" ref="E129" ca="1" si="57">INDIRECT("a_" &amp; i) * t^3 + INDIRECT("b_" &amp; i) * t^2 + INDIRECT("c_" &amp; i) * t^1 + INDIRECT("d_" &amp; i)</f>
        <v>2.2618361093611716E-2</v>
      </c>
      <c r="F129" s="117" t="s">
        <v>332</v>
      </c>
      <c r="R129" s="120">
        <f t="array" aca="1" ref="R129" ca="1">E129:E429</f>
        <v>2.2618361093611716E-2</v>
      </c>
      <c r="S129" s="121">
        <f t="shared" ca="1" si="29"/>
        <v>1.7611873922993172E-2</v>
      </c>
      <c r="T129" s="121">
        <f t="shared" ca="1" si="31"/>
        <v>9.4942764802880605E-3</v>
      </c>
    </row>
    <row r="130" spans="2:20" s="74" customFormat="1" x14ac:dyDescent="0.2">
      <c r="B130" s="74">
        <v>3</v>
      </c>
      <c r="C130" s="74">
        <v>4</v>
      </c>
      <c r="D130" s="74">
        <v>3</v>
      </c>
      <c r="E130" s="114">
        <f t="shared" ref="E130" ca="1" si="58">INDIRECT("a_" &amp; i) * t^3 + INDIRECT("b_" &amp; i) * t^2 + INDIRECT("c_" &amp; i) * t^1 + INDIRECT("d_" &amp; i)</f>
        <v>2.4408119503578071E-2</v>
      </c>
      <c r="F130" s="117">
        <v>4.4685005659999999E-2</v>
      </c>
      <c r="G130" s="117">
        <f ca="1">F130-E130</f>
        <v>2.0276886156421928E-2</v>
      </c>
      <c r="H130" s="117">
        <f ca="1">INDIRECT("a_" &amp; i_1) * t^3 + INDIRECT("b_" &amp; i_1) * t^2 + INDIRECT("c_" &amp; i_1) * t^1 + INDIRECT("d_" &amp; i_1)</f>
        <v>2.4477113076174704E-2</v>
      </c>
      <c r="I130" s="117">
        <f ca="1">H130-E130</f>
        <v>6.8993572596633135E-5</v>
      </c>
      <c r="K130" s="119"/>
      <c r="Q130" s="119"/>
      <c r="R130" s="120">
        <f t="array" aca="1" ref="R130" ca="1">E130:E430</f>
        <v>2.4408119503578071E-2</v>
      </c>
      <c r="S130" s="121">
        <f t="shared" ca="1" si="29"/>
        <v>1.7897584099663532E-2</v>
      </c>
      <c r="T130" s="121">
        <f t="shared" ca="1" si="31"/>
        <v>2.8571017667036016E-3</v>
      </c>
    </row>
    <row r="131" spans="2:20" s="74" customFormat="1" x14ac:dyDescent="0.2">
      <c r="C131" s="74">
        <v>4</v>
      </c>
      <c r="D131" s="74">
        <v>3.1</v>
      </c>
      <c r="E131" s="114">
        <f t="shared" ref="E131" ca="1" si="59">INDIRECT("a_" &amp; i) * t^3 + INDIRECT("b_" &amp; i) * t^2 + INDIRECT("c_" &amp; i) * t^1 + INDIRECT("d_" &amp; i)</f>
        <v>2.60393401890586E-2</v>
      </c>
      <c r="F131" s="117" t="s">
        <v>332</v>
      </c>
      <c r="R131" s="120">
        <f t="array" aca="1" ref="R131" ca="1">E131:E431</f>
        <v>2.60393401890586E-2</v>
      </c>
      <c r="S131" s="121">
        <f t="shared" ca="1" si="29"/>
        <v>1.6312206854805278E-2</v>
      </c>
      <c r="T131" s="121">
        <f t="shared" ca="1" si="31"/>
        <v>-1.5853772448582527E-2</v>
      </c>
    </row>
    <row r="132" spans="2:20" s="74" customFormat="1" x14ac:dyDescent="0.2">
      <c r="C132" s="74">
        <v>4</v>
      </c>
      <c r="D132" s="74">
        <v>3.2</v>
      </c>
      <c r="E132" s="114">
        <f t="shared" ref="E132" ca="1" si="60">INDIRECT("a_" &amp; i) * t^3 + INDIRECT("b_" &amp; i) * t^2 + INDIRECT("c_" &amp; i) * t^1 + INDIRECT("d_" &amp; i)</f>
        <v>2.7732531686749582E-2</v>
      </c>
      <c r="F132" s="117" t="s">
        <v>332</v>
      </c>
      <c r="R132" s="120">
        <f t="array" aca="1" ref="R132" ca="1">E132:E432</f>
        <v>2.7732531686749582E-2</v>
      </c>
      <c r="S132" s="121">
        <f t="shared" ca="1" si="29"/>
        <v>1.6931914976909809E-2</v>
      </c>
      <c r="T132" s="121">
        <f t="shared" ca="1" si="31"/>
        <v>6.1970812210453089E-3</v>
      </c>
    </row>
    <row r="133" spans="2:20" s="74" customFormat="1" x14ac:dyDescent="0.2">
      <c r="C133" s="74">
        <v>4</v>
      </c>
      <c r="D133" s="74">
        <v>3.3</v>
      </c>
      <c r="E133" s="114">
        <f t="shared" ref="E133" ca="1" si="61">INDIRECT("a_" &amp; i) * t^3 + INDIRECT("b_" &amp; i) * t^2 + INDIRECT("c_" &amp; i) * t^1 + INDIRECT("d_" &amp; i)</f>
        <v>2.9488461498573884E-2</v>
      </c>
      <c r="F133" s="117" t="s">
        <v>332</v>
      </c>
      <c r="R133" s="120">
        <f t="array" aca="1" ref="R133" ca="1">E133:E433</f>
        <v>2.9488461498573884E-2</v>
      </c>
      <c r="S133" s="121">
        <f t="shared" ca="1" si="29"/>
        <v>1.7559298118243083E-2</v>
      </c>
      <c r="T133" s="121">
        <f t="shared" ca="1" si="31"/>
        <v>6.2738314133327592E-3</v>
      </c>
    </row>
    <row r="134" spans="2:20" s="74" customFormat="1" x14ac:dyDescent="0.2">
      <c r="C134" s="74">
        <v>4</v>
      </c>
      <c r="D134" s="74">
        <v>3.4</v>
      </c>
      <c r="E134" s="114">
        <f t="shared" ref="E134" ca="1" si="62">INDIRECT("a_" &amp; i) * t^3 + INDIRECT("b_" &amp; i) * t^2 + INDIRECT("c_" &amp; i) * t^1 + INDIRECT("d_" &amp; i)</f>
        <v>3.130789712645439E-2</v>
      </c>
      <c r="F134" s="117" t="s">
        <v>332</v>
      </c>
      <c r="R134" s="120">
        <f t="array" aca="1" ref="R134" ca="1">E134:E434</f>
        <v>3.130789712645439E-2</v>
      </c>
      <c r="S134" s="121">
        <f t="shared" ca="1" si="29"/>
        <v>1.819435627880504E-2</v>
      </c>
      <c r="T134" s="121">
        <f t="shared" ca="1" si="31"/>
        <v>6.3505816056195633E-3</v>
      </c>
    </row>
    <row r="135" spans="2:20" s="74" customFormat="1" x14ac:dyDescent="0.2">
      <c r="C135" s="74">
        <v>4</v>
      </c>
      <c r="D135" s="74">
        <v>3.5</v>
      </c>
      <c r="E135" s="114">
        <f t="shared" ref="E135" ca="1" si="63">INDIRECT("a_" &amp; i) * t^3 + INDIRECT("b_" &amp; i) * t^2 + INDIRECT("c_" &amp; i) * t^1 + INDIRECT("d_" &amp; i)</f>
        <v>3.3191606072313959E-2</v>
      </c>
      <c r="F135" s="117" t="s">
        <v>332</v>
      </c>
      <c r="R135" s="120">
        <f t="array" aca="1" ref="R135" ca="1">E135:E435</f>
        <v>3.3191606072313959E-2</v>
      </c>
      <c r="S135" s="121">
        <f t="shared" ca="1" si="29"/>
        <v>1.8837089458595673E-2</v>
      </c>
      <c r="T135" s="121">
        <f t="shared" ca="1" si="31"/>
        <v>6.4273317979063266E-3</v>
      </c>
    </row>
    <row r="136" spans="2:20" s="74" customFormat="1" x14ac:dyDescent="0.2">
      <c r="C136" s="74">
        <v>4</v>
      </c>
      <c r="D136" s="74">
        <v>3.6</v>
      </c>
      <c r="E136" s="114">
        <f t="shared" ref="E136" ca="1" si="64">INDIRECT("a_" &amp; i) * t^3 + INDIRECT("b_" &amp; i) * t^2 + INDIRECT("c_" &amp; i) * t^1 + INDIRECT("d_" &amp; i)</f>
        <v>3.5140355838075468E-2</v>
      </c>
      <c r="F136" s="117" t="s">
        <v>332</v>
      </c>
      <c r="R136" s="120">
        <f t="array" aca="1" ref="R136" ca="1">E136:E436</f>
        <v>3.5140355838075468E-2</v>
      </c>
      <c r="S136" s="121">
        <f t="shared" ca="1" si="29"/>
        <v>1.9487497657615076E-2</v>
      </c>
      <c r="T136" s="121">
        <f t="shared" ca="1" si="31"/>
        <v>6.5040819901940267E-3</v>
      </c>
    </row>
    <row r="137" spans="2:20" s="74" customFormat="1" x14ac:dyDescent="0.2">
      <c r="C137" s="74">
        <v>4</v>
      </c>
      <c r="D137" s="74">
        <v>3.7</v>
      </c>
      <c r="E137" s="114">
        <f t="shared" ref="E137" ca="1" si="65">INDIRECT("a_" &amp; i) * t^3 + INDIRECT("b_" &amp; i) * t^2 + INDIRECT("c_" &amp; i) * t^1 + INDIRECT("d_" &amp; i)</f>
        <v>3.7154913925661781E-2</v>
      </c>
      <c r="F137" s="117" t="s">
        <v>332</v>
      </c>
      <c r="R137" s="120">
        <f t="array" aca="1" ref="R137" ca="1">E137:E437</f>
        <v>3.7154913925661781E-2</v>
      </c>
      <c r="S137" s="121">
        <f t="shared" ca="1" si="29"/>
        <v>2.0145580875863111E-2</v>
      </c>
      <c r="T137" s="121">
        <f t="shared" ca="1" si="31"/>
        <v>6.580832182480339E-3</v>
      </c>
    </row>
    <row r="138" spans="2:20" s="74" customFormat="1" x14ac:dyDescent="0.2">
      <c r="C138" s="74">
        <v>4</v>
      </c>
      <c r="D138" s="74">
        <v>3.8</v>
      </c>
      <c r="E138" s="114">
        <f t="shared" ref="E138" ca="1" si="66">INDIRECT("a_" &amp; i) * t^3 + INDIRECT("b_" &amp; i) * t^2 + INDIRECT("c_" &amp; i) * t^1 + INDIRECT("d_" &amp; i)</f>
        <v>3.923604783699576E-2</v>
      </c>
      <c r="F138" s="117" t="s">
        <v>332</v>
      </c>
      <c r="R138" s="120">
        <f t="array" aca="1" ref="R138" ca="1">E138:E438</f>
        <v>3.923604783699576E-2</v>
      </c>
      <c r="S138" s="121">
        <f t="shared" ca="1" si="29"/>
        <v>2.0811339113339867E-2</v>
      </c>
      <c r="T138" s="121">
        <f t="shared" ca="1" si="31"/>
        <v>6.6575823747675828E-3</v>
      </c>
    </row>
    <row r="139" spans="2:20" s="74" customFormat="1" x14ac:dyDescent="0.2">
      <c r="C139" s="74">
        <v>4</v>
      </c>
      <c r="D139" s="74">
        <v>3.9</v>
      </c>
      <c r="E139" s="114">
        <f t="shared" ref="E139" ca="1" si="67">INDIRECT("a_" &amp; i) * t^3 + INDIRECT("b_" &amp; i) * t^2 + INDIRECT("c_" &amp; i) * t^1 + INDIRECT("d_" &amp; i)</f>
        <v>4.1384525074000283E-2</v>
      </c>
      <c r="F139" s="117" t="s">
        <v>332</v>
      </c>
      <c r="R139" s="120">
        <f t="array" aca="1" ref="R139" ca="1">E139:E439</f>
        <v>4.1384525074000283E-2</v>
      </c>
      <c r="S139" s="121">
        <f t="shared" ca="1" si="29"/>
        <v>2.1484772370045209E-2</v>
      </c>
      <c r="T139" s="121">
        <f t="shared" ca="1" si="31"/>
        <v>6.7343325670534146E-3</v>
      </c>
    </row>
    <row r="140" spans="2:20" s="74" customFormat="1" x14ac:dyDescent="0.2">
      <c r="B140" s="74">
        <v>4</v>
      </c>
      <c r="C140" s="74">
        <v>5</v>
      </c>
      <c r="D140" s="74">
        <v>4</v>
      </c>
      <c r="E140" s="114">
        <f t="shared" ref="E140" ca="1" si="68">INDIRECT("a_" &amp; i) * t^3 + INDIRECT("b_" &amp; i) * t^2 + INDIRECT("c_" &amp; i) * t^1 + INDIRECT("d_" &amp; i)</f>
        <v>4.3422870167228809E-2</v>
      </c>
      <c r="F140" s="117">
        <v>5.1500715240000002E-2</v>
      </c>
      <c r="G140" s="117">
        <f ca="1">F140-E140</f>
        <v>8.077845072771192E-3</v>
      </c>
      <c r="H140" s="117">
        <f ca="1">INDIRECT("a_" &amp; i_1) * t^3 + INDIRECT("b_" &amp; i_1) * t^2 + INDIRECT("c_" &amp; i_1) * t^1 + INDIRECT("d_" &amp; i_1)</f>
        <v>4.3601113138598227E-2</v>
      </c>
      <c r="I140" s="117">
        <f ca="1">H140-E140</f>
        <v>1.7824297136941752E-4</v>
      </c>
      <c r="K140" s="119"/>
      <c r="Q140" s="119"/>
      <c r="R140" s="120">
        <f t="array" aca="1" ref="R140" ca="1">E140:E440</f>
        <v>4.3422870167228809E-2</v>
      </c>
      <c r="S140" s="121">
        <f t="shared" ca="1" si="29"/>
        <v>2.0383450932285243E-2</v>
      </c>
      <c r="T140" s="121">
        <f t="shared" ca="1" si="31"/>
        <v>-1.101321437759965E-2</v>
      </c>
    </row>
    <row r="141" spans="2:20" s="74" customFormat="1" x14ac:dyDescent="0.2">
      <c r="C141" s="74">
        <v>5</v>
      </c>
      <c r="D141" s="74">
        <v>4.0999999999999996</v>
      </c>
      <c r="E141" s="114">
        <f t="shared" ref="E141" ca="1" si="69">INDIRECT("a_" &amp; i) * t^3 + INDIRECT("b_" &amp; i) * t^2 + INDIRECT("c_" &amp; i) * t^1 + INDIRECT("d_" &amp; i)</f>
        <v>4.5264915783906345E-2</v>
      </c>
      <c r="F141" s="117" t="s">
        <v>332</v>
      </c>
      <c r="R141" s="120">
        <f t="array" aca="1" ref="R141" ca="1">E141:E441</f>
        <v>4.5264915783906345E-2</v>
      </c>
      <c r="S141" s="121">
        <f t="shared" ca="1" si="29"/>
        <v>1.8420456166775425E-2</v>
      </c>
      <c r="T141" s="121">
        <f t="shared" ca="1" si="31"/>
        <v>-1.9629947655098248E-2</v>
      </c>
    </row>
    <row r="142" spans="2:20" s="74" customFormat="1" x14ac:dyDescent="0.2">
      <c r="C142" s="74">
        <v>5</v>
      </c>
      <c r="D142" s="74">
        <v>4.2</v>
      </c>
      <c r="E142" s="114">
        <f t="shared" ref="E142" ca="1" si="70">INDIRECT("a_" &amp; i) * t^3 + INDIRECT("b_" &amp; i) * t^2 + INDIRECT("c_" &amp; i) * t^1 + INDIRECT("d_" &amp; i)</f>
        <v>4.7134188939616045E-2</v>
      </c>
      <c r="F142" s="117" t="s">
        <v>332</v>
      </c>
      <c r="R142" s="120">
        <f t="array" aca="1" ref="R142" ca="1">E142:E442</f>
        <v>4.7134188939616045E-2</v>
      </c>
      <c r="S142" s="121">
        <f t="shared" ca="1" si="29"/>
        <v>1.8692731557096897E-2</v>
      </c>
      <c r="T142" s="121">
        <f t="shared" ca="1" si="31"/>
        <v>2.7227539032147054E-3</v>
      </c>
    </row>
    <row r="143" spans="2:20" s="74" customFormat="1" x14ac:dyDescent="0.2">
      <c r="C143" s="74">
        <v>5</v>
      </c>
      <c r="D143" s="74">
        <v>4.3</v>
      </c>
      <c r="E143" s="114">
        <f t="shared" ref="E143" ca="1" si="71">INDIRECT("a_" &amp; i) * t^3 + INDIRECT("b_" &amp; i) * t^2 + INDIRECT("c_" &amp; i) * t^1 + INDIRECT("d_" &amp; i)</f>
        <v>4.9029961276608872E-2</v>
      </c>
      <c r="F143" s="117" t="s">
        <v>332</v>
      </c>
      <c r="R143" s="120">
        <f t="array" aca="1" ref="R143" ca="1">E143:E443</f>
        <v>4.9029961276608872E-2</v>
      </c>
      <c r="S143" s="121">
        <f t="shared" ca="1" si="29"/>
        <v>1.895772336992833E-2</v>
      </c>
      <c r="T143" s="121">
        <f t="shared" ca="1" si="31"/>
        <v>2.649918128314342E-3</v>
      </c>
    </row>
    <row r="144" spans="2:20" s="74" customFormat="1" x14ac:dyDescent="0.2">
      <c r="C144" s="74">
        <v>5</v>
      </c>
      <c r="D144" s="74">
        <v>4.4000000000000004</v>
      </c>
      <c r="E144" s="114">
        <f t="shared" ref="E144" ca="1" si="72">INDIRECT("a_" &amp; i) * t^3 + INDIRECT("b_" &amp; i) * t^2 + INDIRECT("c_" &amp; i) * t^1 + INDIRECT("d_" &amp; i)</f>
        <v>5.0951504437135808E-2</v>
      </c>
      <c r="F144" s="117" t="s">
        <v>332</v>
      </c>
      <c r="R144" s="120">
        <f t="array" aca="1" ref="R144" ca="1">E144:E444</f>
        <v>5.0951504437135808E-2</v>
      </c>
      <c r="S144" s="121">
        <f t="shared" ca="1" si="29"/>
        <v>1.9215431605269263E-2</v>
      </c>
      <c r="T144" s="121">
        <f t="shared" ca="1" si="31"/>
        <v>2.5770823534093171E-3</v>
      </c>
    </row>
    <row r="145" spans="2:20" s="74" customFormat="1" x14ac:dyDescent="0.2">
      <c r="C145" s="74">
        <v>5</v>
      </c>
      <c r="D145" s="74">
        <v>4.5</v>
      </c>
      <c r="E145" s="114">
        <f t="shared" ref="E145" ca="1" si="73">INDIRECT("a_" &amp; i) * t^3 + INDIRECT("b_" &amp; i) * t^2 + INDIRECT("c_" &amp; i) * t^1 + INDIRECT("d_" &amp; i)</f>
        <v>5.289809006344779E-2</v>
      </c>
      <c r="F145" s="117" t="s">
        <v>332</v>
      </c>
      <c r="R145" s="120">
        <f t="array" aca="1" ref="R145" ca="1">E145:E445</f>
        <v>5.289809006344779E-2</v>
      </c>
      <c r="S145" s="121">
        <f t="shared" ca="1" si="29"/>
        <v>1.9465856263119891E-2</v>
      </c>
      <c r="T145" s="121">
        <f t="shared" ca="1" si="31"/>
        <v>2.5042465785062814E-3</v>
      </c>
    </row>
    <row r="146" spans="2:20" s="74" customFormat="1" x14ac:dyDescent="0.2">
      <c r="C146" s="74">
        <v>5</v>
      </c>
      <c r="D146" s="74">
        <v>4.5999999999999996</v>
      </c>
      <c r="E146" s="114">
        <f t="shared" ref="E146" ca="1" si="74">INDIRECT("a_" &amp; i) * t^3 + INDIRECT("b_" &amp; i) * t^2 + INDIRECT("c_" &amp; i) * t^1 + INDIRECT("d_" &amp; i)</f>
        <v>5.4868989797795815E-2</v>
      </c>
      <c r="F146" s="117" t="s">
        <v>332</v>
      </c>
      <c r="R146" s="120">
        <f t="array" aca="1" ref="R146" ca="1">E146:E446</f>
        <v>5.4868989797795815E-2</v>
      </c>
      <c r="S146" s="121">
        <f t="shared" ca="1" si="29"/>
        <v>1.970899734348032E-2</v>
      </c>
      <c r="T146" s="121">
        <f t="shared" ca="1" si="31"/>
        <v>2.4314108036042979E-3</v>
      </c>
    </row>
    <row r="147" spans="2:20" s="74" customFormat="1" x14ac:dyDescent="0.2">
      <c r="C147" s="74">
        <v>5</v>
      </c>
      <c r="D147" s="74">
        <v>4.7</v>
      </c>
      <c r="E147" s="114">
        <f t="shared" ref="E147" ca="1" si="75">INDIRECT("a_" &amp; i) * t^3 + INDIRECT("b_" &amp; i) * t^2 + INDIRECT("c_" &amp; i) * t^1 + INDIRECT("d_" &amp; i)</f>
        <v>5.6863475282430853E-2</v>
      </c>
      <c r="F147" s="117" t="s">
        <v>332</v>
      </c>
      <c r="R147" s="120">
        <f t="array" aca="1" ref="R147" ca="1">E147:E447</f>
        <v>5.6863475282430853E-2</v>
      </c>
      <c r="S147" s="121">
        <f t="shared" ca="1" si="29"/>
        <v>1.9944854846350269E-2</v>
      </c>
      <c r="T147" s="121">
        <f t="shared" ca="1" si="31"/>
        <v>2.3585750286994832E-3</v>
      </c>
    </row>
    <row r="148" spans="2:20" s="74" customFormat="1" x14ac:dyDescent="0.2">
      <c r="C148" s="74">
        <v>5</v>
      </c>
      <c r="D148" s="74">
        <v>4.8</v>
      </c>
      <c r="E148" s="114">
        <f t="shared" ref="E148" ca="1" si="76">INDIRECT("a_" &amp; i) * t^3 + INDIRECT("b_" &amp; i) * t^2 + INDIRECT("c_" &amp; i) * t^1 + INDIRECT("d_" &amp; i)</f>
        <v>5.8880818159603825E-2</v>
      </c>
      <c r="F148" s="117" t="s">
        <v>332</v>
      </c>
      <c r="R148" s="120">
        <f t="array" aca="1" ref="R148" ca="1">E148:E448</f>
        <v>5.8880818159603825E-2</v>
      </c>
      <c r="S148" s="121">
        <f t="shared" ca="1" si="29"/>
        <v>2.0173428771729788E-2</v>
      </c>
      <c r="T148" s="121">
        <f t="shared" ca="1" si="31"/>
        <v>2.2857392537951964E-3</v>
      </c>
    </row>
    <row r="149" spans="2:20" s="74" customFormat="1" x14ac:dyDescent="0.2">
      <c r="C149" s="74">
        <v>5</v>
      </c>
      <c r="D149" s="74">
        <v>4.9000000000000004</v>
      </c>
      <c r="E149" s="114">
        <f t="shared" ref="E149" ca="1" si="77">INDIRECT("a_" &amp; i) * t^3 + INDIRECT("b_" &amp; i) * t^2 + INDIRECT("c_" &amp; i) * t^1 + INDIRECT("d_" &amp; i)</f>
        <v>6.0920290071565762E-2</v>
      </c>
      <c r="F149" s="117" t="s">
        <v>332</v>
      </c>
      <c r="R149" s="120">
        <f t="array" aca="1" ref="R149" ca="1">E149:E449</f>
        <v>6.0920290071565762E-2</v>
      </c>
      <c r="S149" s="121">
        <f t="shared" ca="1" si="29"/>
        <v>2.0394719119619268E-2</v>
      </c>
      <c r="T149" s="121">
        <f t="shared" ca="1" si="31"/>
        <v>2.2129034788947893E-3</v>
      </c>
    </row>
    <row r="150" spans="2:20" s="74" customFormat="1" x14ac:dyDescent="0.2">
      <c r="B150" s="74">
        <v>5</v>
      </c>
      <c r="C150" s="74">
        <v>7</v>
      </c>
      <c r="D150" s="74">
        <v>5</v>
      </c>
      <c r="E150" s="114">
        <f t="shared" ref="E150" ca="1" si="78">INDIRECT("a_" &amp; i) * t^3 + INDIRECT("b_" &amp; i) * t^2 + INDIRECT("c_" &amp; i) * t^1 + INDIRECT("d_" &amp; i)</f>
        <v>6.1870647806183662E-2</v>
      </c>
      <c r="F150" s="117">
        <v>5.8316424819999997E-2</v>
      </c>
      <c r="G150" s="117">
        <f ca="1">F150-E150</f>
        <v>-3.5542229861836652E-3</v>
      </c>
      <c r="H150" s="117">
        <f ca="1">INDIRECT("a_" &amp; i_1) * t^3 + INDIRECT("b_" &amp; i_1) * t^2 + INDIRECT("c_" &amp; i_1) * t^1 + INDIRECT("d_" &amp; i_1)</f>
        <v>6.298116266056758E-2</v>
      </c>
      <c r="I150" s="117">
        <f ca="1">H150-E150</f>
        <v>1.1105148543839177E-3</v>
      </c>
      <c r="K150" s="119"/>
      <c r="Q150" s="119"/>
      <c r="R150" s="120">
        <f t="array" aca="1" ref="R150" ca="1">E150:E450</f>
        <v>6.1870647806183662E-2</v>
      </c>
      <c r="S150" s="121">
        <f t="shared" ca="1" si="29"/>
        <v>9.5035773461790343E-3</v>
      </c>
      <c r="T150" s="121">
        <f t="shared" ca="1" si="31"/>
        <v>-0.10891141773440273</v>
      </c>
    </row>
    <row r="151" spans="2:20" s="74" customFormat="1" x14ac:dyDescent="0.2">
      <c r="C151" s="74">
        <v>7</v>
      </c>
      <c r="D151" s="74">
        <v>5.0999999999999996</v>
      </c>
      <c r="E151" s="114">
        <f t="shared" ref="E151" ca="1" si="79">INDIRECT("a_" &amp; i) * t^3 + INDIRECT("b_" &amp; i) * t^2 + INDIRECT("c_" &amp; i) * t^1 + INDIRECT("d_" &amp; i)</f>
        <v>6.162909402331495E-2</v>
      </c>
      <c r="F151" s="117" t="s">
        <v>332</v>
      </c>
      <c r="R151" s="120">
        <f t="array" aca="1" ref="R151" ca="1">E151:E451</f>
        <v>6.162909402331495E-2</v>
      </c>
      <c r="S151" s="121">
        <f t="shared" ca="1" si="29"/>
        <v>-2.4155378286871369E-3</v>
      </c>
      <c r="T151" s="121">
        <f t="shared" ca="1" si="31"/>
        <v>-0.11919115174866214</v>
      </c>
    </row>
    <row r="152" spans="2:20" s="74" customFormat="1" x14ac:dyDescent="0.2">
      <c r="C152" s="74">
        <v>7</v>
      </c>
      <c r="D152" s="74">
        <v>5.2</v>
      </c>
      <c r="E152" s="114">
        <f t="shared" ref="E152" ca="1" si="80">INDIRECT("a_" &amp; i) * t^3 + INDIRECT("b_" &amp; i) * t^2 + INDIRECT("c_" &amp; i) * t^1 + INDIRECT("d_" &amp; i)</f>
        <v>6.1230604196407218E-2</v>
      </c>
      <c r="F152" s="117" t="s">
        <v>332</v>
      </c>
      <c r="R152" s="120">
        <f t="array" aca="1" ref="R152" ca="1">E152:E452</f>
        <v>6.1230604196407218E-2</v>
      </c>
      <c r="S152" s="121">
        <f t="shared" ca="1" si="29"/>
        <v>-3.9848982690772958E-3</v>
      </c>
      <c r="T152" s="121">
        <f t="shared" ca="1" si="31"/>
        <v>-1.5693604403901506E-2</v>
      </c>
    </row>
    <row r="153" spans="2:20" s="74" customFormat="1" x14ac:dyDescent="0.2">
      <c r="C153" s="74">
        <v>7</v>
      </c>
      <c r="D153" s="74">
        <v>5.3</v>
      </c>
      <c r="E153" s="114">
        <f t="shared" ref="E153" ca="1" si="81">INDIRECT("a_" &amp; i) * t^3 + INDIRECT("b_" &amp; i) * t^2 + INDIRECT("c_" &amp; i) * t^1 + INDIRECT("d_" &amp; i)</f>
        <v>6.066944399525788E-2</v>
      </c>
      <c r="F153" s="117" t="s">
        <v>332</v>
      </c>
      <c r="R153" s="120">
        <f t="array" aca="1" ref="R153" ca="1">E153:E453</f>
        <v>6.066944399525788E-2</v>
      </c>
      <c r="S153" s="121">
        <f t="shared" ca="1" si="29"/>
        <v>-5.6116020114934028E-3</v>
      </c>
      <c r="T153" s="121">
        <f t="shared" ca="1" si="31"/>
        <v>-1.6267037424161128E-2</v>
      </c>
    </row>
    <row r="154" spans="2:20" s="74" customFormat="1" x14ac:dyDescent="0.2">
      <c r="C154" s="74">
        <v>7</v>
      </c>
      <c r="D154" s="74">
        <v>5.4</v>
      </c>
      <c r="E154" s="114">
        <f t="shared" ref="E154" ca="1" si="82">INDIRECT("a_" &amp; i) * t^3 + INDIRECT("b_" &amp; i) * t^2 + INDIRECT("c_" &amp; i) * t^1 + INDIRECT("d_" &amp; i)</f>
        <v>5.9939879089664187E-2</v>
      </c>
      <c r="F154" s="117" t="s">
        <v>332</v>
      </c>
      <c r="R154" s="120">
        <f t="array" aca="1" ref="R154" ca="1">E154:E454</f>
        <v>5.9939879089664187E-2</v>
      </c>
      <c r="S154" s="121">
        <f t="shared" ca="1" si="29"/>
        <v>-7.295649055936884E-3</v>
      </c>
      <c r="T154" s="121">
        <f t="shared" ca="1" si="31"/>
        <v>-1.6840470444434721E-2</v>
      </c>
    </row>
    <row r="155" spans="2:20" s="74" customFormat="1" x14ac:dyDescent="0.2">
      <c r="C155" s="74">
        <v>7</v>
      </c>
      <c r="D155" s="74">
        <v>5.5</v>
      </c>
      <c r="E155" s="114">
        <f t="shared" ref="E155" ca="1" si="83">INDIRECT("a_" &amp; i) * t^3 + INDIRECT("b_" &amp; i) * t^2 + INDIRECT("c_" &amp; i) * t^1 + INDIRECT("d_" &amp; i)</f>
        <v>5.9036175149423553E-2</v>
      </c>
      <c r="F155" s="117" t="s">
        <v>332</v>
      </c>
      <c r="R155" s="120">
        <f t="array" aca="1" ref="R155" ca="1">E155:E455</f>
        <v>5.9036175149423553E-2</v>
      </c>
      <c r="S155" s="121">
        <f t="shared" ca="1" si="29"/>
        <v>-9.037039402406374E-3</v>
      </c>
      <c r="T155" s="121">
        <f t="shared" ca="1" si="31"/>
        <v>-1.7413903464694961E-2</v>
      </c>
    </row>
    <row r="156" spans="2:20" s="74" customFormat="1" x14ac:dyDescent="0.2">
      <c r="C156" s="74">
        <v>7</v>
      </c>
      <c r="D156" s="74">
        <v>5.6</v>
      </c>
      <c r="E156" s="114">
        <f t="shared" ref="E156" ca="1" si="84">INDIRECT("a_" &amp; i) * t^3 + INDIRECT("b_" &amp; i) * t^2 + INDIRECT("c_" &amp; i) * t^1 + INDIRECT("d_" &amp; i)</f>
        <v>5.7952597844333278E-2</v>
      </c>
      <c r="F156" s="117" t="s">
        <v>332</v>
      </c>
      <c r="R156" s="120">
        <f t="array" aca="1" ref="R156" ca="1">E156:E456</f>
        <v>5.7952597844333278E-2</v>
      </c>
      <c r="S156" s="121">
        <f t="shared" ca="1" si="29"/>
        <v>-1.0835773050902785E-2</v>
      </c>
      <c r="T156" s="121">
        <f t="shared" ca="1" si="31"/>
        <v>-1.7987336484964176E-2</v>
      </c>
    </row>
    <row r="157" spans="2:20" s="74" customFormat="1" x14ac:dyDescent="0.2">
      <c r="C157" s="74">
        <v>7</v>
      </c>
      <c r="D157" s="74">
        <v>5.7</v>
      </c>
      <c r="E157" s="114">
        <f t="shared" ref="E157" ca="1" si="85">INDIRECT("a_" &amp; i) * t^3 + INDIRECT("b_" &amp; i) * t^2 + INDIRECT("c_" &amp; i) * t^1 + INDIRECT("d_" &amp; i)</f>
        <v>5.6683412844190782E-2</v>
      </c>
      <c r="F157" s="117" t="s">
        <v>332</v>
      </c>
      <c r="R157" s="120">
        <f t="array" aca="1" ref="R157" ca="1">E157:E457</f>
        <v>5.6683412844190782E-2</v>
      </c>
      <c r="S157" s="121">
        <f t="shared" ca="1" si="29"/>
        <v>-1.2691850001424894E-2</v>
      </c>
      <c r="T157" s="121">
        <f t="shared" ca="1" si="31"/>
        <v>-1.8560769505220988E-2</v>
      </c>
    </row>
    <row r="158" spans="2:20" s="74" customFormat="1" x14ac:dyDescent="0.2">
      <c r="C158" s="74">
        <v>7</v>
      </c>
      <c r="D158" s="74">
        <v>5.8</v>
      </c>
      <c r="E158" s="114">
        <f t="shared" ref="E158" ca="1" si="86">INDIRECT("a_" &amp; i) * t^3 + INDIRECT("b_" &amp; i) * t^2 + INDIRECT("c_" &amp; i) * t^1 + INDIRECT("d_" &amp; i)</f>
        <v>5.5222885818793366E-2</v>
      </c>
      <c r="F158" s="117" t="s">
        <v>332</v>
      </c>
      <c r="R158" s="120">
        <f t="array" aca="1" ref="R158" ca="1">E158:E458</f>
        <v>5.5222885818793366E-2</v>
      </c>
      <c r="S158" s="121">
        <f t="shared" ca="1" si="29"/>
        <v>-1.4605270253974217E-2</v>
      </c>
      <c r="T158" s="121">
        <f t="shared" ca="1" si="31"/>
        <v>-1.9134202525493294E-2</v>
      </c>
    </row>
    <row r="159" spans="2:20" s="74" customFormat="1" x14ac:dyDescent="0.2">
      <c r="C159" s="74">
        <v>7</v>
      </c>
      <c r="D159" s="74">
        <v>5.9</v>
      </c>
      <c r="E159" s="114">
        <f t="shared" ref="E159" ca="1" si="87">INDIRECT("a_" &amp; i) * t^3 + INDIRECT("b_" &amp; i) * t^2 + INDIRECT("c_" &amp; i) * t^1 + INDIRECT("d_" &amp; i)</f>
        <v>5.3565282437938386E-2</v>
      </c>
      <c r="F159" s="117" t="s">
        <v>332</v>
      </c>
      <c r="R159" s="120">
        <f t="array" aca="1" ref="R159" ca="1">E159:E459</f>
        <v>5.3565282437938386E-2</v>
      </c>
      <c r="S159" s="121">
        <f t="shared" ca="1" si="29"/>
        <v>-1.6576033808549714E-2</v>
      </c>
      <c r="T159" s="121">
        <f t="shared" ca="1" si="31"/>
        <v>-1.9707635545754866E-2</v>
      </c>
    </row>
    <row r="160" spans="2:20" s="74" customFormat="1" x14ac:dyDescent="0.2">
      <c r="C160" s="74">
        <v>7</v>
      </c>
      <c r="D160" s="74">
        <v>6</v>
      </c>
      <c r="E160" s="114">
        <f t="shared" ref="E160" ca="1" si="88">INDIRECT("a_" &amp; i) * t^3 + INDIRECT("b_" &amp; i) * t^2 + INDIRECT("c_" &amp; i) * t^1 + INDIRECT("d_" &amp; i)</f>
        <v>5.1704868371423178E-2</v>
      </c>
      <c r="F160" s="117" t="s">
        <v>332</v>
      </c>
      <c r="R160" s="120">
        <f t="array" aca="1" ref="R160" ca="1">E160:E460</f>
        <v>5.1704868371423178E-2</v>
      </c>
      <c r="S160" s="121">
        <f t="shared" ca="1" si="29"/>
        <v>-1.8604140665152143E-2</v>
      </c>
      <c r="T160" s="121">
        <f t="shared" ca="1" si="31"/>
        <v>-2.0281068566024369E-2</v>
      </c>
    </row>
    <row r="161" spans="2:20" s="74" customFormat="1" x14ac:dyDescent="0.2">
      <c r="C161" s="74">
        <v>7</v>
      </c>
      <c r="D161" s="74">
        <v>6.1</v>
      </c>
      <c r="E161" s="114">
        <f t="shared" ref="E161" ca="1" si="89">INDIRECT("a_" &amp; i) * t^3 + INDIRECT("b_" &amp; i) * t^2 + INDIRECT("c_" &amp; i) * t^1 + INDIRECT("d_" &amp; i)</f>
        <v>4.9635909289045183E-2</v>
      </c>
      <c r="F161" s="117" t="s">
        <v>332</v>
      </c>
      <c r="R161" s="120">
        <f t="array" aca="1" ref="R161" ca="1">E161:E461</f>
        <v>4.9635909289045183E-2</v>
      </c>
      <c r="S161" s="121">
        <f t="shared" ca="1" si="29"/>
        <v>-2.0689590823780028E-2</v>
      </c>
      <c r="T161" s="121">
        <f t="shared" ca="1" si="31"/>
        <v>-2.0854501586278915E-2</v>
      </c>
    </row>
    <row r="162" spans="2:20" s="74" customFormat="1" x14ac:dyDescent="0.2">
      <c r="C162" s="74">
        <v>7</v>
      </c>
      <c r="D162" s="74">
        <v>6.2</v>
      </c>
      <c r="E162" s="114">
        <f t="shared" ref="E162" ca="1" si="90">INDIRECT("a_" &amp; i) * t^3 + INDIRECT("b_" &amp; i) * t^2 + INDIRECT("c_" &amp; i) * t^1 + INDIRECT("d_" &amp; i)</f>
        <v>4.7352670860601589E-2</v>
      </c>
      <c r="F162" s="117" t="s">
        <v>332</v>
      </c>
      <c r="R162" s="120">
        <f t="array" aca="1" ref="R162" ca="1">E162:E462</f>
        <v>4.7352670860601589E-2</v>
      </c>
      <c r="S162" s="121">
        <f t="shared" ca="1" si="29"/>
        <v>-2.2832384284435809E-2</v>
      </c>
      <c r="T162" s="121">
        <f t="shared" ca="1" si="31"/>
        <v>-2.1427934606557699E-2</v>
      </c>
    </row>
    <row r="163" spans="2:20" s="74" customFormat="1" x14ac:dyDescent="0.2">
      <c r="C163" s="74">
        <v>7</v>
      </c>
      <c r="D163" s="74">
        <v>6.3</v>
      </c>
      <c r="E163" s="114">
        <f t="shared" ref="E163" ca="1" si="91">INDIRECT("a_" &amp; i) * t^3 + INDIRECT("b_" &amp; i) * t^2 + INDIRECT("c_" &amp; i) * t^1 + INDIRECT("d_" &amp; i)</f>
        <v>4.4849418755889901E-2</v>
      </c>
      <c r="F163" s="117" t="s">
        <v>332</v>
      </c>
      <c r="R163" s="120">
        <f t="array" aca="1" ref="R163" ca="1">E163:E463</f>
        <v>4.4849418755889901E-2</v>
      </c>
      <c r="S163" s="121">
        <f t="shared" ca="1" si="29"/>
        <v>-2.5032521047116972E-2</v>
      </c>
      <c r="T163" s="121">
        <f t="shared" ca="1" si="31"/>
        <v>-2.2001367626811711E-2</v>
      </c>
    </row>
    <row r="164" spans="2:20" s="74" customFormat="1" x14ac:dyDescent="0.2">
      <c r="C164" s="74">
        <v>7</v>
      </c>
      <c r="D164" s="74">
        <v>6.4</v>
      </c>
      <c r="E164" s="114">
        <f t="shared" ref="E164" ca="1" si="92">INDIRECT("a_" &amp; i) * t^3 + INDIRECT("b_" &amp; i) * t^2 + INDIRECT("c_" &amp; i) * t^1 + INDIRECT("d_" &amp; i)</f>
        <v>4.2120418644707364E-2</v>
      </c>
      <c r="F164" s="117" t="s">
        <v>332</v>
      </c>
      <c r="R164" s="120">
        <f t="array" aca="1" ref="R164" ca="1">E164:E464</f>
        <v>4.2120418644707364E-2</v>
      </c>
      <c r="S164" s="121">
        <f t="shared" ca="1" si="29"/>
        <v>-2.7290001111825231E-2</v>
      </c>
      <c r="T164" s="121">
        <f t="shared" ca="1" si="31"/>
        <v>-2.2574800647082467E-2</v>
      </c>
    </row>
    <row r="165" spans="2:20" s="74" customFormat="1" x14ac:dyDescent="0.2">
      <c r="C165" s="74">
        <v>7</v>
      </c>
      <c r="D165" s="74">
        <v>6.5</v>
      </c>
      <c r="E165" s="114">
        <f t="shared" ref="E165" ca="1" si="93">INDIRECT("a_" &amp; i) * t^3 + INDIRECT("b_" &amp; i) * t^2 + INDIRECT("c_" &amp; i) * t^1 + INDIRECT("d_" &amp; i)</f>
        <v>3.9159936196851382E-2</v>
      </c>
      <c r="F165" s="117" t="s">
        <v>332</v>
      </c>
      <c r="R165" s="120">
        <f t="array" aca="1" ref="R165" ca="1">E165:E465</f>
        <v>3.9159936196851382E-2</v>
      </c>
      <c r="S165" s="121">
        <f t="shared" ca="1" si="29"/>
        <v>-2.9604824478559923E-2</v>
      </c>
      <c r="T165" s="121">
        <f t="shared" ca="1" si="31"/>
        <v>-2.3148233667347001E-2</v>
      </c>
    </row>
    <row r="166" spans="2:20" s="74" customFormat="1" x14ac:dyDescent="0.2">
      <c r="C166" s="74">
        <v>7</v>
      </c>
      <c r="D166" s="74">
        <v>6.6</v>
      </c>
      <c r="E166" s="114">
        <f t="shared" ref="E166" ca="1" si="94">INDIRECT("a_" &amp; i) * t^3 + INDIRECT("b_" &amp; i) * t^2 + INDIRECT("c_" &amp; i) * t^1 + INDIRECT("d_" &amp; i)</f>
        <v>3.596223708211925E-2</v>
      </c>
      <c r="F166" s="117" t="s">
        <v>332</v>
      </c>
      <c r="R166" s="120">
        <f t="array" aca="1" ref="R166" ca="1">E166:E466</f>
        <v>3.596223708211925E-2</v>
      </c>
      <c r="S166" s="121">
        <f t="shared" ref="S166:S229" ca="1" si="95">(R166-R165)/(D166-D165)</f>
        <v>-3.1976991147321429E-2</v>
      </c>
      <c r="T166" s="121">
        <f t="shared" ca="1" si="31"/>
        <v>-2.3721666687615148E-2</v>
      </c>
    </row>
    <row r="167" spans="2:20" s="74" customFormat="1" x14ac:dyDescent="0.2">
      <c r="C167" s="74">
        <v>7</v>
      </c>
      <c r="D167" s="74">
        <v>6.7</v>
      </c>
      <c r="E167" s="114">
        <f t="shared" ref="E167" ca="1" si="96">INDIRECT("a_" &amp; i) * t^3 + INDIRECT("b_" &amp; i) * t^2 + INDIRECT("c_" &amp; i) * t^1 + INDIRECT("d_" &amp; i)</f>
        <v>3.2521586970308408E-2</v>
      </c>
      <c r="F167" s="117" t="s">
        <v>332</v>
      </c>
      <c r="R167" s="120">
        <f t="array" aca="1" ref="R167" ca="1">E167:E467</f>
        <v>3.2521586970308408E-2</v>
      </c>
      <c r="S167" s="121">
        <f t="shared" ca="1" si="95"/>
        <v>-3.4406501118108238E-2</v>
      </c>
      <c r="T167" s="121">
        <f t="shared" ref="T167:T230" ca="1" si="97">(S167-S166)/(D167-D166)</f>
        <v>-2.4295099707867956E-2</v>
      </c>
    </row>
    <row r="168" spans="2:20" s="74" customFormat="1" x14ac:dyDescent="0.2">
      <c r="C168" s="74">
        <v>7</v>
      </c>
      <c r="D168" s="74">
        <v>6.8</v>
      </c>
      <c r="E168" s="114">
        <f t="shared" ref="E168" ca="1" si="98">INDIRECT("a_" &amp; i) * t^3 + INDIRECT("b_" &amp; i) * t^2 + INDIRECT("c_" &amp; i) * t^1 + INDIRECT("d_" &amp; i)</f>
        <v>2.8832251531216165E-2</v>
      </c>
      <c r="F168" s="117" t="s">
        <v>332</v>
      </c>
      <c r="R168" s="120">
        <f t="array" aca="1" ref="R168" ca="1">E168:E468</f>
        <v>2.8832251531216165E-2</v>
      </c>
      <c r="S168" s="121">
        <f t="shared" ca="1" si="95"/>
        <v>-3.6893354390922568E-2</v>
      </c>
      <c r="T168" s="121">
        <f t="shared" ca="1" si="97"/>
        <v>-2.4868532728143395E-2</v>
      </c>
    </row>
    <row r="169" spans="2:20" s="74" customFormat="1" x14ac:dyDescent="0.2">
      <c r="C169" s="74">
        <v>7</v>
      </c>
      <c r="D169" s="74">
        <v>6.9</v>
      </c>
      <c r="E169" s="114">
        <f t="shared" ref="E169" ca="1" si="99">INDIRECT("a_" &amp; i) * t^3 + INDIRECT("b_" &amp; i) * t^2 + INDIRECT("c_" &amp; i) * t^1 + INDIRECT("d_" &amp; i)</f>
        <v>2.4888496434639796E-2</v>
      </c>
      <c r="F169" s="117" t="s">
        <v>332</v>
      </c>
      <c r="R169" s="120">
        <f t="array" aca="1" ref="R169" ca="1">E169:E469</f>
        <v>2.4888496434639796E-2</v>
      </c>
      <c r="S169" s="121">
        <f t="shared" ca="1" si="95"/>
        <v>-3.9437550965763478E-2</v>
      </c>
      <c r="T169" s="121">
        <f t="shared" ca="1" si="97"/>
        <v>-2.544196574840896E-2</v>
      </c>
    </row>
    <row r="170" spans="2:20" s="74" customFormat="1" x14ac:dyDescent="0.2">
      <c r="B170" s="74">
        <v>7</v>
      </c>
      <c r="C170" s="74">
        <v>10</v>
      </c>
      <c r="D170" s="74">
        <v>7</v>
      </c>
      <c r="E170" s="114">
        <f t="shared" ref="E170" ca="1" si="100">INDIRECT("a_" &amp; i) * t^3 + INDIRECT("b_" &amp; i) * t^2 + INDIRECT("c_" &amp; i) * t^1 + INDIRECT("d_" &amp; i)</f>
        <v>2.3085336908491388E-2</v>
      </c>
      <c r="F170" s="117">
        <v>6.51321344E-2</v>
      </c>
      <c r="G170" s="117">
        <f ca="1">F170-E170</f>
        <v>4.2046797491508608E-2</v>
      </c>
      <c r="H170" s="117">
        <f ca="1">INDIRECT("a_" &amp; i_1) * t^3 + INDIRECT("b_" &amp; i_1) * t^2 + INDIRECT("c_" &amp; i_1) * t^1 + INDIRECT("d_" &amp; i_1)</f>
        <v>2.0684587350376787E-2</v>
      </c>
      <c r="I170" s="117">
        <f ca="1">H170-E170</f>
        <v>-2.4007495581146003E-3</v>
      </c>
      <c r="K170" s="119"/>
      <c r="Q170" s="119"/>
      <c r="R170" s="120">
        <f t="array" aca="1" ref="R170" ca="1">E170:E470</f>
        <v>2.3085336908491388E-2</v>
      </c>
      <c r="S170" s="121">
        <f t="shared" ca="1" si="95"/>
        <v>-1.8031595261484144E-2</v>
      </c>
      <c r="T170" s="121">
        <f t="shared" ca="1" si="97"/>
        <v>0.21405955704279409</v>
      </c>
    </row>
    <row r="171" spans="2:20" s="74" customFormat="1" x14ac:dyDescent="0.2">
      <c r="C171" s="74">
        <v>10</v>
      </c>
      <c r="D171" s="74">
        <v>7.1</v>
      </c>
      <c r="E171" s="114">
        <f t="shared" ref="E171" ca="1" si="101">INDIRECT("a_" &amp; i) * t^3 + INDIRECT("b_" &amp; i) * t^2 + INDIRECT("c_" &amp; i) * t^1 + INDIRECT("d_" &amp; i)</f>
        <v>2.3502569016597696E-2</v>
      </c>
      <c r="F171" s="117" t="s">
        <v>332</v>
      </c>
      <c r="R171" s="120">
        <f t="array" aca="1" ref="R171" ca="1">E171:E471</f>
        <v>2.3502569016597696E-2</v>
      </c>
      <c r="S171" s="121">
        <f t="shared" ca="1" si="95"/>
        <v>4.1723210810631012E-3</v>
      </c>
      <c r="T171" s="121">
        <f t="shared" ca="1" si="97"/>
        <v>0.22203916342547322</v>
      </c>
    </row>
    <row r="172" spans="2:20" s="74" customFormat="1" x14ac:dyDescent="0.2">
      <c r="C172" s="74">
        <v>10</v>
      </c>
      <c r="D172" s="74">
        <v>7.2</v>
      </c>
      <c r="E172" s="114">
        <f t="shared" ref="E172" ca="1" si="102">INDIRECT("a_" &amp; i) * t^3 + INDIRECT("b_" &amp; i) * t^2 + INDIRECT("c_" &amp; i) * t^1 + INDIRECT("d_" &amp; i)</f>
        <v>2.3914680443427698E-2</v>
      </c>
      <c r="F172" s="117" t="s">
        <v>332</v>
      </c>
      <c r="R172" s="120">
        <f t="array" aca="1" ref="R172" ca="1">E172:E472</f>
        <v>2.3914680443427698E-2</v>
      </c>
      <c r="S172" s="121">
        <f t="shared" ca="1" si="95"/>
        <v>4.1211142682999946E-3</v>
      </c>
      <c r="T172" s="121">
        <f t="shared" ca="1" si="97"/>
        <v>-5.1206812763106367E-4</v>
      </c>
    </row>
    <row r="173" spans="2:20" s="74" customFormat="1" x14ac:dyDescent="0.2">
      <c r="C173" s="74">
        <v>10</v>
      </c>
      <c r="D173" s="74">
        <v>7.3</v>
      </c>
      <c r="E173" s="114">
        <f t="shared" ref="E173" ca="1" si="103">INDIRECT("a_" &amp; i) * t^3 + INDIRECT("b_" &amp; i) * t^2 + INDIRECT("c_" &amp; i) * t^1 + INDIRECT("d_" &amp; i)</f>
        <v>2.4321356116057149E-2</v>
      </c>
      <c r="F173" s="117" t="s">
        <v>332</v>
      </c>
      <c r="R173" s="120">
        <f t="array" aca="1" ref="R173" ca="1">E173:E473</f>
        <v>2.4321356116057149E-2</v>
      </c>
      <c r="S173" s="121">
        <f t="shared" ca="1" si="95"/>
        <v>4.0667567262945232E-3</v>
      </c>
      <c r="T173" s="121">
        <f t="shared" ca="1" si="97"/>
        <v>-5.4357542005471619E-4</v>
      </c>
    </row>
    <row r="174" spans="2:20" s="74" customFormat="1" x14ac:dyDescent="0.2">
      <c r="C174" s="74">
        <v>10</v>
      </c>
      <c r="D174" s="74">
        <v>7.4</v>
      </c>
      <c r="E174" s="114">
        <f t="shared" ref="E174" ca="1" si="104">INDIRECT("a_" &amp; i) * t^3 + INDIRECT("b_" &amp; i) * t^2 + INDIRECT("c_" &amp; i) * t^1 + INDIRECT("d_" &amp; i)</f>
        <v>2.4722280961561809E-2</v>
      </c>
      <c r="F174" s="117" t="s">
        <v>332</v>
      </c>
      <c r="R174" s="120">
        <f t="array" aca="1" ref="R174" ca="1">E174:E474</f>
        <v>2.4722280961561809E-2</v>
      </c>
      <c r="S174" s="121">
        <f t="shared" ca="1" si="95"/>
        <v>4.0092484550465759E-3</v>
      </c>
      <c r="T174" s="121">
        <f t="shared" ca="1" si="97"/>
        <v>-5.7508271247946928E-4</v>
      </c>
    </row>
    <row r="175" spans="2:20" s="74" customFormat="1" x14ac:dyDescent="0.2">
      <c r="C175" s="74">
        <v>10</v>
      </c>
      <c r="D175" s="74">
        <v>7.5</v>
      </c>
      <c r="E175" s="114">
        <f t="shared" ref="E175" ca="1" si="105">INDIRECT("a_" &amp; i) * t^3 + INDIRECT("b_" &amp; i) * t^2 + INDIRECT("c_" &amp; i) * t^1 + INDIRECT("d_" &amp; i)</f>
        <v>2.5117139907017437E-2</v>
      </c>
      <c r="F175" s="117" t="s">
        <v>332</v>
      </c>
      <c r="R175" s="120">
        <f t="array" aca="1" ref="R175" ca="1">E175:E475</f>
        <v>2.5117139907017437E-2</v>
      </c>
      <c r="S175" s="121">
        <f t="shared" ca="1" si="95"/>
        <v>3.9485894545562977E-3</v>
      </c>
      <c r="T175" s="121">
        <f t="shared" ca="1" si="97"/>
        <v>-6.0659000490278408E-4</v>
      </c>
    </row>
    <row r="176" spans="2:20" s="74" customFormat="1" x14ac:dyDescent="0.2">
      <c r="C176" s="74">
        <v>10</v>
      </c>
      <c r="D176" s="74">
        <v>7.6</v>
      </c>
      <c r="E176" s="114">
        <f t="shared" ref="E176" ca="1" si="106">INDIRECT("a_" &amp; i) * t^3 + INDIRECT("b_" &amp; i) * t^2 + INDIRECT("c_" &amp; i) * t^1 + INDIRECT("d_" &amp; i)</f>
        <v>2.5505617879499797E-2</v>
      </c>
      <c r="F176" s="117" t="s">
        <v>332</v>
      </c>
      <c r="R176" s="120">
        <f t="array" aca="1" ref="R176" ca="1">E176:E476</f>
        <v>2.5505617879499797E-2</v>
      </c>
      <c r="S176" s="121">
        <f t="shared" ca="1" si="95"/>
        <v>3.8847797248236157E-3</v>
      </c>
      <c r="T176" s="121">
        <f t="shared" ca="1" si="97"/>
        <v>-6.3809729732682236E-4</v>
      </c>
    </row>
    <row r="177" spans="3:20" s="74" customFormat="1" x14ac:dyDescent="0.2">
      <c r="C177" s="74">
        <v>10</v>
      </c>
      <c r="D177" s="74">
        <v>7.7</v>
      </c>
      <c r="E177" s="114">
        <f t="shared" ref="E177" ca="1" si="107">INDIRECT("a_" &amp; i) * t^3 + INDIRECT("b_" &amp; i) * t^2 + INDIRECT("c_" &amp; i) * t^1 + INDIRECT("d_" &amp; i)</f>
        <v>2.5887399806084638E-2</v>
      </c>
      <c r="F177" s="117" t="s">
        <v>332</v>
      </c>
      <c r="R177" s="120">
        <f t="array" aca="1" ref="R177" ca="1">E177:E477</f>
        <v>2.5887399806084638E-2</v>
      </c>
      <c r="S177" s="121">
        <f t="shared" ca="1" si="95"/>
        <v>3.8178192658483924E-3</v>
      </c>
      <c r="T177" s="121">
        <f t="shared" ca="1" si="97"/>
        <v>-6.6960458975222944E-4</v>
      </c>
    </row>
    <row r="178" spans="3:20" s="74" customFormat="1" x14ac:dyDescent="0.2">
      <c r="C178" s="74">
        <v>10</v>
      </c>
      <c r="D178" s="74">
        <v>7.8</v>
      </c>
      <c r="E178" s="114">
        <f t="shared" ref="E178" ca="1" si="108">INDIRECT("a_" &amp; i) * t^3 + INDIRECT("b_" &amp; i) * t^2 + INDIRECT("c_" &amp; i) * t^1 + INDIRECT("d_" &amp; i)</f>
        <v>2.6262170613847721E-2</v>
      </c>
      <c r="F178" s="117" t="s">
        <v>332</v>
      </c>
      <c r="R178" s="120">
        <f t="array" aca="1" ref="R178" ca="1">E178:E478</f>
        <v>2.6262170613847721E-2</v>
      </c>
      <c r="S178" s="121">
        <f t="shared" ca="1" si="95"/>
        <v>3.7477080776308343E-3</v>
      </c>
      <c r="T178" s="121">
        <f t="shared" ca="1" si="97"/>
        <v>-7.0111188217558413E-4</v>
      </c>
    </row>
    <row r="179" spans="3:20" s="74" customFormat="1" x14ac:dyDescent="0.2">
      <c r="C179" s="74">
        <v>10</v>
      </c>
      <c r="D179" s="74">
        <v>7.9</v>
      </c>
      <c r="E179" s="114">
        <f t="shared" ref="E179" ca="1" si="109">INDIRECT("a_" &amp; i) * t^3 + INDIRECT("b_" &amp; i) * t^2 + INDIRECT("c_" &amp; i) * t^1 + INDIRECT("d_" &amp; i)</f>
        <v>2.6629615229864814E-2</v>
      </c>
      <c r="F179" s="117" t="s">
        <v>332</v>
      </c>
      <c r="R179" s="120">
        <f t="array" aca="1" ref="R179" ca="1">E179:E479</f>
        <v>2.6629615229864814E-2</v>
      </c>
      <c r="S179" s="121">
        <f t="shared" ca="1" si="95"/>
        <v>3.6744461601709104E-3</v>
      </c>
      <c r="T179" s="121">
        <f t="shared" ca="1" si="97"/>
        <v>-7.3261917459923427E-4</v>
      </c>
    </row>
    <row r="180" spans="3:20" s="74" customFormat="1" x14ac:dyDescent="0.2">
      <c r="C180" s="74">
        <v>10</v>
      </c>
      <c r="D180" s="74">
        <v>8</v>
      </c>
      <c r="E180" s="114">
        <f t="shared" ref="E180" ca="1" si="110">INDIRECT("a_" &amp; i) * t^3 + INDIRECT("b_" &amp; i) * t^2 + INDIRECT("c_" &amp; i) * t^1 + INDIRECT("d_" &amp; i)</f>
        <v>2.698941858121166E-2</v>
      </c>
      <c r="F180" s="117" t="s">
        <v>332</v>
      </c>
      <c r="R180" s="120">
        <f t="array" aca="1" ref="R180" ca="1">E180:E480</f>
        <v>2.698941858121166E-2</v>
      </c>
      <c r="S180" s="121">
        <f t="shared" ca="1" si="95"/>
        <v>3.5980335134684753E-3</v>
      </c>
      <c r="T180" s="121">
        <f t="shared" ca="1" si="97"/>
        <v>-7.6412646702435458E-4</v>
      </c>
    </row>
    <row r="181" spans="3:20" s="74" customFormat="1" x14ac:dyDescent="0.2">
      <c r="C181" s="74">
        <v>10</v>
      </c>
      <c r="D181" s="74">
        <v>8.1</v>
      </c>
      <c r="E181" s="114">
        <f t="shared" ref="E181" ca="1" si="111">INDIRECT("a_" &amp; i) * t^3 + INDIRECT("b_" &amp; i) * t^2 + INDIRECT("c_" &amp; i) * t^1 + INDIRECT("d_" &amp; i)</f>
        <v>2.7341265594964033E-2</v>
      </c>
      <c r="F181" s="117" t="s">
        <v>332</v>
      </c>
      <c r="R181" s="120">
        <f t="array" aca="1" ref="R181" ca="1">E181:E481</f>
        <v>2.7341265594964033E-2</v>
      </c>
      <c r="S181" s="121">
        <f t="shared" ca="1" si="95"/>
        <v>3.5184701375237438E-3</v>
      </c>
      <c r="T181" s="121">
        <f t="shared" ca="1" si="97"/>
        <v>-7.9563375944731733E-4</v>
      </c>
    </row>
    <row r="182" spans="3:20" s="74" customFormat="1" x14ac:dyDescent="0.2">
      <c r="C182" s="74">
        <v>10</v>
      </c>
      <c r="D182" s="74">
        <v>8.1999999999999993</v>
      </c>
      <c r="E182" s="114">
        <f t="shared" ref="E182" ca="1" si="112">INDIRECT("a_" &amp; i) * t^3 + INDIRECT("b_" &amp; i) * t^2 + INDIRECT("c_" &amp; i) * t^1 + INDIRECT("d_" &amp; i)</f>
        <v>2.7684841198197672E-2</v>
      </c>
      <c r="F182" s="117" t="s">
        <v>332</v>
      </c>
      <c r="R182" s="120">
        <f t="array" aca="1" ref="R182" ca="1">E182:E482</f>
        <v>2.7684841198197672E-2</v>
      </c>
      <c r="S182" s="121">
        <f t="shared" ca="1" si="95"/>
        <v>3.4357560323364008E-3</v>
      </c>
      <c r="T182" s="121">
        <f t="shared" ca="1" si="97"/>
        <v>-8.2714105187343295E-4</v>
      </c>
    </row>
    <row r="183" spans="3:20" s="74" customFormat="1" x14ac:dyDescent="0.2">
      <c r="C183" s="74">
        <v>10</v>
      </c>
      <c r="D183" s="74">
        <v>8.3000000000000007</v>
      </c>
      <c r="E183" s="114">
        <f t="shared" ref="E183" ca="1" si="113">INDIRECT("a_" &amp; i) * t^3 + INDIRECT("b_" &amp; i) * t^2 + INDIRECT("c_" &amp; i) * t^1 + INDIRECT("d_" &amp; i)</f>
        <v>2.8019830317988357E-2</v>
      </c>
      <c r="F183" s="117" t="s">
        <v>332</v>
      </c>
      <c r="R183" s="120">
        <f t="array" aca="1" ref="R183" ca="1">E183:E483</f>
        <v>2.8019830317988357E-2</v>
      </c>
      <c r="S183" s="121">
        <f t="shared" ca="1" si="95"/>
        <v>3.3498911979068036E-3</v>
      </c>
      <c r="T183" s="121">
        <f t="shared" ca="1" si="97"/>
        <v>-8.5864834429595974E-4</v>
      </c>
    </row>
    <row r="184" spans="3:20" s="74" customFormat="1" x14ac:dyDescent="0.2">
      <c r="C184" s="74">
        <v>10</v>
      </c>
      <c r="D184" s="74">
        <v>8.4</v>
      </c>
      <c r="E184" s="114">
        <f t="shared" ref="E184" ca="1" si="114">INDIRECT("a_" &amp; i) * t^3 + INDIRECT("b_" &amp; i) * t^2 + INDIRECT("c_" &amp; i) * t^1 + INDIRECT("d_" &amp; i)</f>
        <v>2.8345917881411827E-2</v>
      </c>
      <c r="F184" s="117" t="s">
        <v>332</v>
      </c>
      <c r="R184" s="120">
        <f t="array" aca="1" ref="R184" ca="1">E184:E484</f>
        <v>2.8345917881411827E-2</v>
      </c>
      <c r="S184" s="121">
        <f t="shared" ca="1" si="95"/>
        <v>3.2608756342347145E-3</v>
      </c>
      <c r="T184" s="121">
        <f t="shared" ca="1" si="97"/>
        <v>-8.9015563672089368E-4</v>
      </c>
    </row>
    <row r="185" spans="3:20" s="74" customFormat="1" x14ac:dyDescent="0.2">
      <c r="C185" s="74">
        <v>10</v>
      </c>
      <c r="D185" s="74">
        <v>8.5</v>
      </c>
      <c r="E185" s="114">
        <f t="shared" ref="E185" ca="1" si="115">INDIRECT("a_" &amp; i) * t^3 + INDIRECT("b_" &amp; i) * t^2 + INDIRECT("c_" &amp; i) * t^1 + INDIRECT("d_" &amp; i)</f>
        <v>2.8662788815543856E-2</v>
      </c>
      <c r="F185" s="117" t="s">
        <v>332</v>
      </c>
      <c r="R185" s="120">
        <f t="array" aca="1" ref="R185" ca="1">E185:E485</f>
        <v>2.8662788815543856E-2</v>
      </c>
      <c r="S185" s="121">
        <f t="shared" ca="1" si="95"/>
        <v>3.1687093413203015E-3</v>
      </c>
      <c r="T185" s="121">
        <f t="shared" ca="1" si="97"/>
        <v>-9.2166292914413399E-4</v>
      </c>
    </row>
    <row r="186" spans="3:20" s="74" customFormat="1" x14ac:dyDescent="0.2">
      <c r="C186" s="74">
        <v>10</v>
      </c>
      <c r="D186" s="74">
        <v>8.6</v>
      </c>
      <c r="E186" s="114">
        <f t="shared" ref="E186" ca="1" si="116">INDIRECT("a_" &amp; i) * t^3 + INDIRECT("b_" &amp; i) * t^2 + INDIRECT("c_" &amp; i) * t^1 + INDIRECT("d_" &amp; i)</f>
        <v>2.89701280474602E-2</v>
      </c>
      <c r="F186" s="117" t="s">
        <v>332</v>
      </c>
      <c r="R186" s="120">
        <f t="array" aca="1" ref="R186" ca="1">E186:E486</f>
        <v>2.89701280474602E-2</v>
      </c>
      <c r="S186" s="121">
        <f t="shared" ca="1" si="95"/>
        <v>3.0733923191634508E-3</v>
      </c>
      <c r="T186" s="121">
        <f t="shared" ca="1" si="97"/>
        <v>-9.5317022156851054E-4</v>
      </c>
    </row>
    <row r="187" spans="3:20" s="74" customFormat="1" x14ac:dyDescent="0.2">
      <c r="C187" s="74">
        <v>10</v>
      </c>
      <c r="D187" s="74">
        <v>8.6999999999999993</v>
      </c>
      <c r="E187" s="114">
        <f t="shared" ref="E187" ca="1" si="117">INDIRECT("a_" &amp; i) * t^3 + INDIRECT("b_" &amp; i) * t^2 + INDIRECT("c_" &amp; i) * t^1 + INDIRECT("d_" &amp; i)</f>
        <v>2.9267620504236602E-2</v>
      </c>
      <c r="F187" s="117" t="s">
        <v>332</v>
      </c>
      <c r="R187" s="120">
        <f t="array" aca="1" ref="R187" ca="1">E187:E487</f>
        <v>2.9267620504236602E-2</v>
      </c>
      <c r="S187" s="121">
        <f t="shared" ca="1" si="95"/>
        <v>2.9749245677640236E-3</v>
      </c>
      <c r="T187" s="121">
        <f t="shared" ca="1" si="97"/>
        <v>-9.8467751399427487E-4</v>
      </c>
    </row>
    <row r="188" spans="3:20" s="74" customFormat="1" x14ac:dyDescent="0.2">
      <c r="C188" s="74">
        <v>10</v>
      </c>
      <c r="D188" s="74">
        <v>8.8000000000000007</v>
      </c>
      <c r="E188" s="114">
        <f t="shared" ref="E188" ca="1" si="118">INDIRECT("a_" &amp; i) * t^3 + INDIRECT("b_" &amp; i) * t^2 + INDIRECT("c_" &amp; i) * t^1 + INDIRECT("d_" &amp; i)</f>
        <v>2.9554951112948841E-2</v>
      </c>
      <c r="F188" s="117" t="s">
        <v>332</v>
      </c>
      <c r="R188" s="120">
        <f t="array" aca="1" ref="R188" ca="1">E188:E488</f>
        <v>2.9554951112948841E-2</v>
      </c>
      <c r="S188" s="121">
        <f t="shared" ca="1" si="95"/>
        <v>2.873306087122351E-3</v>
      </c>
      <c r="T188" s="121">
        <f t="shared" ca="1" si="97"/>
        <v>-1.0161848064167121E-3</v>
      </c>
    </row>
    <row r="189" spans="3:20" s="74" customFormat="1" x14ac:dyDescent="0.2">
      <c r="C189" s="74">
        <v>10</v>
      </c>
      <c r="D189" s="74">
        <v>8.9</v>
      </c>
      <c r="E189" s="114">
        <f t="shared" ref="E189" ca="1" si="119">INDIRECT("a_" &amp; i) * t^3 + INDIRECT("b_" &amp; i) * t^2 + INDIRECT("c_" &amp; i) * t^1 + INDIRECT("d_" &amp; i)</f>
        <v>2.9831804800672674E-2</v>
      </c>
      <c r="F189" s="117" t="s">
        <v>332</v>
      </c>
      <c r="R189" s="120">
        <f t="array" aca="1" ref="R189" ca="1">E189:E489</f>
        <v>2.9831804800672674E-2</v>
      </c>
      <c r="S189" s="121">
        <f t="shared" ca="1" si="95"/>
        <v>2.7685368772383426E-3</v>
      </c>
      <c r="T189" s="121">
        <f t="shared" ca="1" si="97"/>
        <v>-1.0476920988400876E-3</v>
      </c>
    </row>
    <row r="190" spans="3:20" s="74" customFormat="1" x14ac:dyDescent="0.2">
      <c r="C190" s="74">
        <v>10</v>
      </c>
      <c r="D190" s="74">
        <v>9</v>
      </c>
      <c r="E190" s="114">
        <f t="shared" ref="E190" ca="1" si="120">INDIRECT("a_" &amp; i) * t^3 + INDIRECT("b_" &amp; i) * t^2 + INDIRECT("c_" &amp; i) * t^1 + INDIRECT("d_" &amp; i)</f>
        <v>3.009786649448384E-2</v>
      </c>
      <c r="F190" s="117" t="s">
        <v>332</v>
      </c>
      <c r="R190" s="120">
        <f t="array" aca="1" ref="R190" ca="1">E190:E490</f>
        <v>3.009786649448384E-2</v>
      </c>
      <c r="S190" s="121">
        <f t="shared" ca="1" si="95"/>
        <v>2.6606169381116719E-3</v>
      </c>
      <c r="T190" s="121">
        <f t="shared" ca="1" si="97"/>
        <v>-1.0791993912667107E-3</v>
      </c>
    </row>
    <row r="191" spans="3:20" s="74" customFormat="1" x14ac:dyDescent="0.2">
      <c r="C191" s="74">
        <v>10</v>
      </c>
      <c r="D191" s="74">
        <v>9.1</v>
      </c>
      <c r="E191" s="114">
        <f t="shared" ref="E191" ca="1" si="121">INDIRECT("a_" &amp; i) * t^3 + INDIRECT("b_" &amp; i) * t^2 + INDIRECT("c_" &amp; i) * t^1 + INDIRECT("d_" &amp; i)</f>
        <v>3.035282112145811E-2</v>
      </c>
      <c r="F191" s="117" t="s">
        <v>332</v>
      </c>
      <c r="R191" s="120">
        <f t="array" aca="1" ref="R191" ca="1">E191:E491</f>
        <v>3.035282112145811E-2</v>
      </c>
      <c r="S191" s="121">
        <f t="shared" ca="1" si="95"/>
        <v>2.5495462697427023E-3</v>
      </c>
      <c r="T191" s="121">
        <f t="shared" ca="1" si="97"/>
        <v>-1.1107066836896994E-3</v>
      </c>
    </row>
    <row r="192" spans="3:20" s="74" customFormat="1" x14ac:dyDescent="0.2">
      <c r="C192" s="74">
        <v>10</v>
      </c>
      <c r="D192" s="74">
        <v>9.1999999999999993</v>
      </c>
      <c r="E192" s="114">
        <f t="shared" ref="E192" ca="1" si="122">INDIRECT("a_" &amp; i) * t^3 + INDIRECT("b_" &amp; i) * t^2 + INDIRECT("c_" &amp; i) * t^1 + INDIRECT("d_" &amp; i)</f>
        <v>3.0596353608671242E-2</v>
      </c>
      <c r="F192" s="117" t="s">
        <v>332</v>
      </c>
      <c r="R192" s="120">
        <f t="array" aca="1" ref="R192" ca="1">E192:E492</f>
        <v>3.0596353608671242E-2</v>
      </c>
      <c r="S192" s="121">
        <f t="shared" ca="1" si="95"/>
        <v>2.4353248721313298E-3</v>
      </c>
      <c r="T192" s="121">
        <f t="shared" ca="1" si="97"/>
        <v>-1.1422139761137291E-3</v>
      </c>
    </row>
    <row r="193" spans="2:20" s="74" customFormat="1" x14ac:dyDescent="0.2">
      <c r="C193" s="74">
        <v>10</v>
      </c>
      <c r="D193" s="74">
        <v>9.3000000000000007</v>
      </c>
      <c r="E193" s="114">
        <f t="shared" ref="E193" ca="1" si="123">INDIRECT("a_" &amp; i) * t^3 + INDIRECT("b_" &amp; i) * t^2 + INDIRECT("c_" &amp; i) * t^1 + INDIRECT("d_" &amp; i)</f>
        <v>3.0828148883198993E-2</v>
      </c>
      <c r="F193" s="117" t="s">
        <v>332</v>
      </c>
      <c r="R193" s="120">
        <f t="array" aca="1" ref="R193" ca="1">E193:E493</f>
        <v>3.0828148883198993E-2</v>
      </c>
      <c r="S193" s="121">
        <f t="shared" ca="1" si="95"/>
        <v>2.3179527452774785E-3</v>
      </c>
      <c r="T193" s="121">
        <f t="shared" ca="1" si="97"/>
        <v>-1.1737212685384967E-3</v>
      </c>
    </row>
    <row r="194" spans="2:20" s="74" customFormat="1" x14ac:dyDescent="0.2">
      <c r="C194" s="74">
        <v>10</v>
      </c>
      <c r="D194" s="74">
        <v>9.4</v>
      </c>
      <c r="E194" s="114">
        <f t="shared" ref="E194" ca="1" si="124">INDIRECT("a_" &amp; i) * t^3 + INDIRECT("b_" &amp; i) * t^2 + INDIRECT("c_" &amp; i) * t^1 + INDIRECT("d_" &amp; i)</f>
        <v>3.104789187211713E-2</v>
      </c>
      <c r="F194" s="117" t="s">
        <v>332</v>
      </c>
      <c r="R194" s="120">
        <f t="array" aca="1" ref="R194" ca="1">E194:E494</f>
        <v>3.104789187211713E-2</v>
      </c>
      <c r="S194" s="121">
        <f t="shared" ca="1" si="95"/>
        <v>2.197429889181376E-3</v>
      </c>
      <c r="T194" s="121">
        <f t="shared" ca="1" si="97"/>
        <v>-1.2052285609610294E-3</v>
      </c>
    </row>
    <row r="195" spans="2:20" s="74" customFormat="1" x14ac:dyDescent="0.2">
      <c r="C195" s="74">
        <v>10</v>
      </c>
      <c r="D195" s="74">
        <v>9.5</v>
      </c>
      <c r="E195" s="114">
        <f t="shared" ref="E195" ca="1" si="125">INDIRECT("a_" &amp; i) * t^3 + INDIRECT("b_" &amp; i) * t^2 + INDIRECT("c_" &amp; i) * t^1 + INDIRECT("d_" &amp; i)</f>
        <v>3.1255267502501405E-2</v>
      </c>
      <c r="F195" s="117" t="s">
        <v>332</v>
      </c>
      <c r="R195" s="120">
        <f t="array" aca="1" ref="R195" ca="1">E195:E495</f>
        <v>3.1255267502501405E-2</v>
      </c>
      <c r="S195" s="121">
        <f t="shared" ca="1" si="95"/>
        <v>2.0737563038427599E-3</v>
      </c>
      <c r="T195" s="121">
        <f t="shared" ca="1" si="97"/>
        <v>-1.2367358533861648E-3</v>
      </c>
    </row>
    <row r="196" spans="2:20" s="74" customFormat="1" x14ac:dyDescent="0.2">
      <c r="C196" s="74">
        <v>10</v>
      </c>
      <c r="D196" s="74">
        <v>9.6</v>
      </c>
      <c r="E196" s="114">
        <f t="shared" ref="E196" ca="1" si="126">INDIRECT("a_" &amp; i) * t^3 + INDIRECT("b_" &amp; i) * t^2 + INDIRECT("c_" &amp; i) * t^1 + INDIRECT("d_" &amp; i)</f>
        <v>3.1449960701427568E-2</v>
      </c>
      <c r="F196" s="117" t="s">
        <v>332</v>
      </c>
      <c r="R196" s="120">
        <f t="array" aca="1" ref="R196" ca="1">E196:E496</f>
        <v>3.1449960701427568E-2</v>
      </c>
      <c r="S196" s="121">
        <f t="shared" ca="1" si="95"/>
        <v>1.9469319892616369E-3</v>
      </c>
      <c r="T196" s="121">
        <f t="shared" ca="1" si="97"/>
        <v>-1.2682431458112353E-3</v>
      </c>
    </row>
    <row r="197" spans="2:20" s="74" customFormat="1" x14ac:dyDescent="0.2">
      <c r="C197" s="74">
        <v>10</v>
      </c>
      <c r="D197" s="74">
        <v>9.6999999999999993</v>
      </c>
      <c r="E197" s="114">
        <f t="shared" ref="E197" ca="1" si="127">INDIRECT("a_" &amp; i) * t^3 + INDIRECT("b_" &amp; i) * t^2 + INDIRECT("c_" &amp; i) * t^1 + INDIRECT("d_" &amp; i)</f>
        <v>3.1631656395971389E-2</v>
      </c>
      <c r="F197" s="117" t="s">
        <v>332</v>
      </c>
      <c r="R197" s="120">
        <f t="array" aca="1" ref="R197" ca="1">E197:E497</f>
        <v>3.1631656395971389E-2</v>
      </c>
      <c r="S197" s="121">
        <f t="shared" ca="1" si="95"/>
        <v>1.8169569454382149E-3</v>
      </c>
      <c r="T197" s="121">
        <f t="shared" ca="1" si="97"/>
        <v>-1.299750438234224E-3</v>
      </c>
    </row>
    <row r="198" spans="2:20" s="74" customFormat="1" x14ac:dyDescent="0.2">
      <c r="C198" s="74">
        <v>10</v>
      </c>
      <c r="D198" s="74">
        <v>9.8000000000000007</v>
      </c>
      <c r="E198" s="114">
        <f t="shared" ref="E198" ca="1" si="128">INDIRECT("a_" &amp; i) * t^3 + INDIRECT("b_" &amp; i) * t^2 + INDIRECT("c_" &amp; i) * t^1 + INDIRECT("d_" &amp; i)</f>
        <v>3.1800039513208617E-2</v>
      </c>
      <c r="F198" s="117" t="s">
        <v>332</v>
      </c>
      <c r="R198" s="120">
        <f t="array" aca="1" ref="R198" ca="1">E198:E498</f>
        <v>3.1800039513208617E-2</v>
      </c>
      <c r="S198" s="121">
        <f t="shared" ca="1" si="95"/>
        <v>1.683831172372256E-3</v>
      </c>
      <c r="T198" s="121">
        <f t="shared" ca="1" si="97"/>
        <v>-1.3312577306595701E-3</v>
      </c>
    </row>
    <row r="199" spans="2:20" s="74" customFormat="1" x14ac:dyDescent="0.2">
      <c r="C199" s="74">
        <v>10</v>
      </c>
      <c r="D199" s="74">
        <v>9.9</v>
      </c>
      <c r="E199" s="114">
        <f t="shared" ref="E199" ca="1" si="129">INDIRECT("a_" &amp; i) * t^3 + INDIRECT("b_" &amp; i) * t^2 + INDIRECT("c_" &amp; i) * t^1 + INDIRECT("d_" &amp; i)</f>
        <v>3.1954794980215015E-2</v>
      </c>
      <c r="F199" s="117" t="s">
        <v>332</v>
      </c>
      <c r="R199" s="120">
        <f t="array" aca="1" ref="R199" ca="1">E199:E499</f>
        <v>3.1954794980215015E-2</v>
      </c>
      <c r="S199" s="121">
        <f t="shared" ca="1" si="95"/>
        <v>1.5475546700639885E-3</v>
      </c>
      <c r="T199" s="121">
        <f t="shared" ca="1" si="97"/>
        <v>-1.36276502308268E-3</v>
      </c>
    </row>
    <row r="200" spans="2:20" s="74" customFormat="1" x14ac:dyDescent="0.2">
      <c r="B200" s="74">
        <v>10</v>
      </c>
      <c r="C200" s="74">
        <v>30</v>
      </c>
      <c r="D200" s="74">
        <v>10</v>
      </c>
      <c r="E200" s="114">
        <f t="shared" ref="E200" ca="1" si="130">INDIRECT("a_" &amp; i) * t^3 + INDIRECT("b_" &amp; i) * t^2 + INDIRECT("c_" &amp; i) * t^1 + INDIRECT("d_" &amp; i)</f>
        <v>3.3252768995313382E-2</v>
      </c>
      <c r="F200" s="117">
        <v>6.7430707199999995E-2</v>
      </c>
      <c r="G200" s="117">
        <f ca="1">F200-E200</f>
        <v>3.4177938204686613E-2</v>
      </c>
      <c r="H200" s="117">
        <f ca="1">INDIRECT("a_" &amp; i_1) * t^3 + INDIRECT("b_" &amp; i_1) * t^2 + INDIRECT("c_" &amp; i_1) * t^1 + INDIRECT("d_" &amp; i_1)</f>
        <v>3.2095607724066347E-2</v>
      </c>
      <c r="I200" s="117">
        <f ca="1">H200-E200</f>
        <v>-1.1571612712470355E-3</v>
      </c>
      <c r="K200" s="119"/>
      <c r="Q200" s="119"/>
      <c r="R200" s="120">
        <f t="array" aca="1" ref="R200" ca="1">E200:E500</f>
        <v>3.3252768995313382E-2</v>
      </c>
      <c r="S200" s="121">
        <f t="shared" ca="1" si="95"/>
        <v>1.297974015098372E-2</v>
      </c>
      <c r="T200" s="121">
        <f t="shared" ca="1" si="97"/>
        <v>0.11432185480919772</v>
      </c>
    </row>
    <row r="201" spans="2:20" s="74" customFormat="1" x14ac:dyDescent="0.2">
      <c r="C201" s="74">
        <v>30</v>
      </c>
      <c r="D201" s="74">
        <v>10.1</v>
      </c>
      <c r="E201" s="114">
        <f t="shared" ref="E201" ca="1" si="131">INDIRECT("a_" &amp; i) * t^3 + INDIRECT("b_" &amp; i) * t^2 + INDIRECT("c_" &amp; i) * t^1 + INDIRECT("d_" &amp; i)</f>
        <v>3.5723712483732635E-2</v>
      </c>
      <c r="F201" s="117" t="s">
        <v>332</v>
      </c>
      <c r="R201" s="120">
        <f t="array" aca="1" ref="R201" ca="1">E201:E501</f>
        <v>3.5723712483732635E-2</v>
      </c>
      <c r="S201" s="121">
        <f t="shared" ca="1" si="95"/>
        <v>2.4709434884192614E-2</v>
      </c>
      <c r="T201" s="121">
        <f t="shared" ca="1" si="97"/>
        <v>0.11729694733208935</v>
      </c>
    </row>
    <row r="202" spans="2:20" s="74" customFormat="1" x14ac:dyDescent="0.2">
      <c r="C202" s="74">
        <v>30</v>
      </c>
      <c r="D202" s="74">
        <v>10.199999999999999</v>
      </c>
      <c r="E202" s="114">
        <f t="shared" ref="E202" ca="1" si="132">INDIRECT("a_" &amp; i) * t^3 + INDIRECT("b_" &amp; i) * t^2 + INDIRECT("c_" &amp; i) * t^1 + INDIRECT("d_" &amp; i)</f>
        <v>3.8214451788676336E-2</v>
      </c>
      <c r="F202" s="117" t="s">
        <v>332</v>
      </c>
      <c r="R202" s="120">
        <f t="array" aca="1" ref="R202" ca="1">E202:E502</f>
        <v>3.8214451788676336E-2</v>
      </c>
      <c r="S202" s="121">
        <f t="shared" ca="1" si="95"/>
        <v>2.49073930494371E-2</v>
      </c>
      <c r="T202" s="121">
        <f t="shared" ca="1" si="97"/>
        <v>1.9795816524448701E-3</v>
      </c>
    </row>
    <row r="203" spans="2:20" s="74" customFormat="1" x14ac:dyDescent="0.2">
      <c r="C203" s="74">
        <v>30</v>
      </c>
      <c r="D203" s="74">
        <v>10.3</v>
      </c>
      <c r="E203" s="114">
        <f t="shared" ref="E203" ca="1" si="133">INDIRECT("a_" &amp; i) * t^3 + INDIRECT("b_" &amp; i) * t^2 + INDIRECT("c_" &amp; i) * t^1 + INDIRECT("d_" &amp; i)</f>
        <v>4.0724345634054922E-2</v>
      </c>
      <c r="F203" s="117" t="s">
        <v>332</v>
      </c>
      <c r="R203" s="120">
        <f t="array" aca="1" ref="R203" ca="1">E203:E503</f>
        <v>4.0724345634054922E-2</v>
      </c>
      <c r="S203" s="121">
        <f t="shared" ca="1" si="95"/>
        <v>2.50989384537855E-2</v>
      </c>
      <c r="T203" s="121">
        <f t="shared" ca="1" si="97"/>
        <v>1.9154540434839708E-3</v>
      </c>
    </row>
    <row r="204" spans="2:20" s="74" customFormat="1" x14ac:dyDescent="0.2">
      <c r="C204" s="74">
        <v>30</v>
      </c>
      <c r="D204" s="74">
        <v>10.4</v>
      </c>
      <c r="E204" s="114">
        <f t="shared" ref="E204" ca="1" si="134">INDIRECT("a_" &amp; i) * t^3 + INDIRECT("b_" &amp; i) * t^2 + INDIRECT("c_" &amp; i) * t^1 + INDIRECT("d_" &amp; i)</f>
        <v>4.3252752743779162E-2</v>
      </c>
      <c r="F204" s="117" t="s">
        <v>332</v>
      </c>
      <c r="R204" s="120">
        <f t="array" aca="1" ref="R204" ca="1">E204:E504</f>
        <v>4.3252752743779162E-2</v>
      </c>
      <c r="S204" s="121">
        <f t="shared" ca="1" si="95"/>
        <v>2.528407109724249E-2</v>
      </c>
      <c r="T204" s="121">
        <f t="shared" ca="1" si="97"/>
        <v>1.8513264345699078E-3</v>
      </c>
    </row>
    <row r="205" spans="2:20" s="74" customFormat="1" x14ac:dyDescent="0.2">
      <c r="C205" s="74">
        <v>30</v>
      </c>
      <c r="D205" s="74">
        <v>10.5</v>
      </c>
      <c r="E205" s="114">
        <f t="shared" ref="E205" ca="1" si="135">INDIRECT("a_" &amp; i) * t^3 + INDIRECT("b_" &amp; i) * t^2 + INDIRECT("c_" &amp; i) * t^1 + INDIRECT("d_" &amp; i)</f>
        <v>4.5799031841759603E-2</v>
      </c>
      <c r="F205" s="117" t="s">
        <v>332</v>
      </c>
      <c r="R205" s="120">
        <f t="array" aca="1" ref="R205" ca="1">E205:E505</f>
        <v>4.5799031841759603E-2</v>
      </c>
      <c r="S205" s="121">
        <f t="shared" ca="1" si="95"/>
        <v>2.5462790979804507E-2</v>
      </c>
      <c r="T205" s="121">
        <f t="shared" ca="1" si="97"/>
        <v>1.7871988256201795E-3</v>
      </c>
    </row>
    <row r="206" spans="2:20" s="74" customFormat="1" x14ac:dyDescent="0.2">
      <c r="C206" s="74">
        <v>30</v>
      </c>
      <c r="D206" s="74">
        <v>10.6</v>
      </c>
      <c r="E206" s="114">
        <f t="shared" ref="E206" ca="1" si="136">INDIRECT("a_" &amp; i) * t^3 + INDIRECT("b_" &amp; i) * t^2 + INDIRECT("c_" &amp; i) * t^1 + INDIRECT("d_" &amp; i)</f>
        <v>4.8362541651906961E-2</v>
      </c>
      <c r="F206" s="117" t="s">
        <v>332</v>
      </c>
      <c r="R206" s="120">
        <f t="array" aca="1" ref="R206" ca="1">E206:E506</f>
        <v>4.8362541651906961E-2</v>
      </c>
      <c r="S206" s="121">
        <f t="shared" ca="1" si="95"/>
        <v>2.5635098101473665E-2</v>
      </c>
      <c r="T206" s="121">
        <f t="shared" ca="1" si="97"/>
        <v>1.7230712166915801E-3</v>
      </c>
    </row>
    <row r="207" spans="2:20" s="74" customFormat="1" x14ac:dyDescent="0.2">
      <c r="C207" s="74">
        <v>30</v>
      </c>
      <c r="D207" s="74">
        <v>10.7</v>
      </c>
      <c r="E207" s="114">
        <f t="shared" ref="E207" ca="1" si="137">INDIRECT("a_" &amp; i) * t^3 + INDIRECT("b_" &amp; i) * t^2 + INDIRECT("c_" &amp; i) * t^1 + INDIRECT("d_" &amp; i)</f>
        <v>5.0942640898131726E-2</v>
      </c>
      <c r="F207" s="117" t="s">
        <v>332</v>
      </c>
      <c r="R207" s="120">
        <f t="array" aca="1" ref="R207" ca="1">E207:E507</f>
        <v>5.0942640898131726E-2</v>
      </c>
      <c r="S207" s="121">
        <f t="shared" ca="1" si="95"/>
        <v>2.5800992462247742E-2</v>
      </c>
      <c r="T207" s="121">
        <f t="shared" ca="1" si="97"/>
        <v>1.6589436077407763E-3</v>
      </c>
    </row>
    <row r="208" spans="2:20" s="74" customFormat="1" x14ac:dyDescent="0.2">
      <c r="C208" s="74">
        <v>30</v>
      </c>
      <c r="D208" s="74">
        <v>10.8</v>
      </c>
      <c r="E208" s="114">
        <f t="shared" ref="E208" ca="1" si="138">INDIRECT("a_" &amp; i) * t^3 + INDIRECT("b_" &amp; i) * t^2 + INDIRECT("c_" &amp; i) * t^1 + INDIRECT("d_" &amp; i)</f>
        <v>5.3538688304344724E-2</v>
      </c>
      <c r="F208" s="117" t="s">
        <v>332</v>
      </c>
      <c r="R208" s="120">
        <f t="array" aca="1" ref="R208" ca="1">E208:E508</f>
        <v>5.3538688304344724E-2</v>
      </c>
      <c r="S208" s="121">
        <f t="shared" ca="1" si="95"/>
        <v>2.5960474062129611E-2</v>
      </c>
      <c r="T208" s="121">
        <f t="shared" ca="1" si="97"/>
        <v>1.5948159988186711E-3</v>
      </c>
    </row>
    <row r="209" spans="3:20" s="74" customFormat="1" x14ac:dyDescent="0.2">
      <c r="C209" s="74">
        <v>30</v>
      </c>
      <c r="D209" s="74">
        <v>10.9</v>
      </c>
      <c r="E209" s="114">
        <f t="shared" ref="E209" ca="1" si="139">INDIRECT("a_" &amp; i) * t^3 + INDIRECT("b_" &amp; i) * t^2 + INDIRECT("c_" &amp; i) * t^1 + INDIRECT("d_" &amp; i)</f>
        <v>5.6150042594456447E-2</v>
      </c>
      <c r="F209" s="117" t="s">
        <v>332</v>
      </c>
      <c r="R209" s="120">
        <f t="array" aca="1" ref="R209" ca="1">E209:E509</f>
        <v>5.6150042594456447E-2</v>
      </c>
      <c r="S209" s="121">
        <f t="shared" ca="1" si="95"/>
        <v>2.611354290111732E-2</v>
      </c>
      <c r="T209" s="121">
        <f t="shared" ca="1" si="97"/>
        <v>1.5306883898770897E-3</v>
      </c>
    </row>
    <row r="210" spans="3:20" s="74" customFormat="1" x14ac:dyDescent="0.2">
      <c r="C210" s="74">
        <v>30</v>
      </c>
      <c r="D210" s="74">
        <v>11</v>
      </c>
      <c r="E210" s="114">
        <f t="shared" ref="E210" ca="1" si="140">INDIRECT("a_" &amp; i) * t^3 + INDIRECT("b_" &amp; i) * t^2 + INDIRECT("c_" &amp; i) * t^1 + INDIRECT("d_" &amp; i)</f>
        <v>5.8776062492377441E-2</v>
      </c>
      <c r="F210" s="117" t="s">
        <v>332</v>
      </c>
      <c r="R210" s="120">
        <f t="array" aca="1" ref="R210" ca="1">E210:E510</f>
        <v>5.8776062492377441E-2</v>
      </c>
      <c r="S210" s="121">
        <f t="shared" ca="1" si="95"/>
        <v>2.6260198979210041E-2</v>
      </c>
      <c r="T210" s="121">
        <f t="shared" ca="1" si="97"/>
        <v>1.4665607809272226E-3</v>
      </c>
    </row>
    <row r="211" spans="3:20" s="74" customFormat="1" x14ac:dyDescent="0.2">
      <c r="C211" s="74">
        <v>30</v>
      </c>
      <c r="D211" s="74">
        <v>11.1</v>
      </c>
      <c r="E211" s="114">
        <f t="shared" ref="E211" ca="1" si="141">INDIRECT("a_" &amp; i) * t^3 + INDIRECT("b_" &amp; i) * t^2 + INDIRECT("c_" &amp; i) * t^1 + INDIRECT("d_" &amp; i)</f>
        <v>6.1416106722018589E-2</v>
      </c>
      <c r="F211" s="117" t="s">
        <v>332</v>
      </c>
      <c r="R211" s="120">
        <f t="array" aca="1" ref="R211" ca="1">E211:E511</f>
        <v>6.1416106722018589E-2</v>
      </c>
      <c r="S211" s="121">
        <f t="shared" ca="1" si="95"/>
        <v>2.6400442296411569E-2</v>
      </c>
      <c r="T211" s="121">
        <f t="shared" ca="1" si="97"/>
        <v>1.4024331720152766E-3</v>
      </c>
    </row>
    <row r="212" spans="3:20" s="74" customFormat="1" x14ac:dyDescent="0.2">
      <c r="C212" s="74">
        <v>30</v>
      </c>
      <c r="D212" s="74">
        <v>11.2</v>
      </c>
      <c r="E212" s="114">
        <f t="shared" ref="E212" ca="1" si="142">INDIRECT("a_" &amp; i) * t^3 + INDIRECT("b_" &amp; i) * t^2 + INDIRECT("c_" &amp; i) * t^1 + INDIRECT("d_" &amp; i)</f>
        <v>6.4069534007290374E-2</v>
      </c>
      <c r="F212" s="117" t="s">
        <v>332</v>
      </c>
      <c r="R212" s="120">
        <f t="array" aca="1" ref="R212" ca="1">E212:E512</f>
        <v>6.4069534007290374E-2</v>
      </c>
      <c r="S212" s="121">
        <f t="shared" ca="1" si="95"/>
        <v>2.6534272852717946E-2</v>
      </c>
      <c r="T212" s="121">
        <f t="shared" ca="1" si="97"/>
        <v>1.3383055630637789E-3</v>
      </c>
    </row>
    <row r="213" spans="3:20" s="74" customFormat="1" x14ac:dyDescent="0.2">
      <c r="C213" s="74">
        <v>30</v>
      </c>
      <c r="D213" s="74">
        <v>11.3</v>
      </c>
      <c r="E213" s="114">
        <f t="shared" ref="E213" ca="1" si="143">INDIRECT("a_" &amp; i) * t^3 + INDIRECT("b_" &amp; i) * t^2 + INDIRECT("c_" &amp; i) * t^1 + INDIRECT("d_" &amp; i)</f>
        <v>6.6735703072103414E-2</v>
      </c>
      <c r="F213" s="117" t="s">
        <v>332</v>
      </c>
      <c r="R213" s="120">
        <f t="array" aca="1" ref="R213" ca="1">E213:E513</f>
        <v>6.6735703072103414E-2</v>
      </c>
      <c r="S213" s="121">
        <f t="shared" ca="1" si="95"/>
        <v>2.666169064813002E-2</v>
      </c>
      <c r="T213" s="121">
        <f t="shared" ca="1" si="97"/>
        <v>1.2741779541207239E-3</v>
      </c>
    </row>
    <row r="214" spans="3:20" s="74" customFormat="1" x14ac:dyDescent="0.2">
      <c r="C214" s="74">
        <v>30</v>
      </c>
      <c r="D214" s="74">
        <v>11.4</v>
      </c>
      <c r="E214" s="114">
        <f t="shared" ref="E214" ca="1" si="144">INDIRECT("a_" &amp; i) * t^3 + INDIRECT("b_" &amp; i) * t^2 + INDIRECT("c_" &amp; i) * t^1 + INDIRECT("d_" &amp; i)</f>
        <v>6.9413972640368415E-2</v>
      </c>
      <c r="F214" s="117" t="s">
        <v>332</v>
      </c>
      <c r="R214" s="120">
        <f t="array" aca="1" ref="R214" ca="1">E214:E514</f>
        <v>6.9413972640368415E-2</v>
      </c>
      <c r="S214" s="121">
        <f t="shared" ca="1" si="95"/>
        <v>2.6782695682650109E-2</v>
      </c>
      <c r="T214" s="121">
        <f t="shared" ca="1" si="97"/>
        <v>1.2100503452008903E-3</v>
      </c>
    </row>
    <row r="215" spans="3:20" s="74" customFormat="1" x14ac:dyDescent="0.2">
      <c r="C215" s="74">
        <v>30</v>
      </c>
      <c r="D215" s="74">
        <v>11.5</v>
      </c>
      <c r="E215" s="114">
        <f t="shared" ref="E215" ca="1" si="145">INDIRECT("a_" &amp; i) * t^3 + INDIRECT("b_" &amp; i) * t^2 + INDIRECT("c_" &amp; i) * t^1 + INDIRECT("d_" &amp; i)</f>
        <v>7.2103701435995926E-2</v>
      </c>
      <c r="F215" s="117" t="s">
        <v>332</v>
      </c>
      <c r="R215" s="120">
        <f t="array" aca="1" ref="R215" ca="1">E215:E515</f>
        <v>7.2103701435995926E-2</v>
      </c>
      <c r="S215" s="121">
        <f t="shared" ca="1" si="95"/>
        <v>2.6897287956275204E-2</v>
      </c>
      <c r="T215" s="121">
        <f t="shared" ca="1" si="97"/>
        <v>1.1459227362509538E-3</v>
      </c>
    </row>
    <row r="216" spans="3:20" s="74" customFormat="1" x14ac:dyDescent="0.2">
      <c r="C216" s="74">
        <v>30</v>
      </c>
      <c r="D216" s="74">
        <v>11.6</v>
      </c>
      <c r="E216" s="114">
        <f t="shared" ref="E216" ca="1" si="146">INDIRECT("a_" &amp; i) * t^3 + INDIRECT("b_" &amp; i) * t^2 + INDIRECT("c_" &amp; i) * t^1 + INDIRECT("d_" &amp; i)</f>
        <v>7.480424818289666E-2</v>
      </c>
      <c r="F216" s="117" t="s">
        <v>332</v>
      </c>
      <c r="R216" s="120">
        <f t="array" aca="1" ref="R216" ca="1">E216:E516</f>
        <v>7.480424818289666E-2</v>
      </c>
      <c r="S216" s="121">
        <f t="shared" ca="1" si="95"/>
        <v>2.7005467469007435E-2</v>
      </c>
      <c r="T216" s="121">
        <f t="shared" ca="1" si="97"/>
        <v>1.0817951273223198E-3</v>
      </c>
    </row>
    <row r="217" spans="3:20" s="74" customFormat="1" x14ac:dyDescent="0.2">
      <c r="C217" s="74">
        <v>30</v>
      </c>
      <c r="D217" s="74">
        <v>11.7</v>
      </c>
      <c r="E217" s="114">
        <f t="shared" ref="E217" ca="1" si="147">INDIRECT("a_" &amp; i) * t^3 + INDIRECT("b_" &amp; i) * t^2 + INDIRECT("c_" &amp; i) * t^1 + INDIRECT("d_" &amp; i)</f>
        <v>7.7514971604981109E-2</v>
      </c>
      <c r="F217" s="117" t="s">
        <v>332</v>
      </c>
      <c r="R217" s="120">
        <f t="array" aca="1" ref="R217" ca="1">E217:E517</f>
        <v>7.7514971604981109E-2</v>
      </c>
      <c r="S217" s="121">
        <f t="shared" ca="1" si="95"/>
        <v>2.7107234220844587E-2</v>
      </c>
      <c r="T217" s="121">
        <f t="shared" ca="1" si="97"/>
        <v>1.0176675183715159E-3</v>
      </c>
    </row>
    <row r="218" spans="3:20" s="74" customFormat="1" x14ac:dyDescent="0.2">
      <c r="C218" s="74">
        <v>30</v>
      </c>
      <c r="D218" s="74">
        <v>11.8</v>
      </c>
      <c r="E218" s="114">
        <f t="shared" ref="E218" ca="1" si="148">INDIRECT("a_" &amp; i) * t^3 + INDIRECT("b_" &amp; i) * t^2 + INDIRECT("c_" &amp; i) * t^1 + INDIRECT("d_" &amp; i)</f>
        <v>8.0235230426160042E-2</v>
      </c>
      <c r="F218" s="117" t="s">
        <v>332</v>
      </c>
      <c r="R218" s="120">
        <f t="array" aca="1" ref="R218" ca="1">E218:E518</f>
        <v>8.0235230426160042E-2</v>
      </c>
      <c r="S218" s="121">
        <f t="shared" ca="1" si="95"/>
        <v>2.7202588211788951E-2</v>
      </c>
      <c r="T218" s="121">
        <f t="shared" ca="1" si="97"/>
        <v>9.5353990944362815E-4</v>
      </c>
    </row>
    <row r="219" spans="3:20" s="74" customFormat="1" x14ac:dyDescent="0.2">
      <c r="C219" s="74">
        <v>30</v>
      </c>
      <c r="D219" s="74">
        <v>11.9</v>
      </c>
      <c r="E219" s="114">
        <f t="shared" ref="E219" ca="1" si="149">INDIRECT("a_" &amp; i) * t^3 + INDIRECT("b_" &amp; i) * t^2 + INDIRECT("c_" &amp; i) * t^1 + INDIRECT("d_" &amp; i)</f>
        <v>8.2964383370344064E-2</v>
      </c>
      <c r="F219" s="117" t="s">
        <v>332</v>
      </c>
      <c r="R219" s="120">
        <f t="array" aca="1" ref="R219" ca="1">E219:E519</f>
        <v>8.2964383370344064E-2</v>
      </c>
      <c r="S219" s="121">
        <f t="shared" ca="1" si="95"/>
        <v>2.7291529441840309E-2</v>
      </c>
      <c r="T219" s="121">
        <f t="shared" ca="1" si="97"/>
        <v>8.8941230051358853E-4</v>
      </c>
    </row>
    <row r="220" spans="3:20" s="74" customFormat="1" x14ac:dyDescent="0.2">
      <c r="C220" s="74">
        <v>30</v>
      </c>
      <c r="D220" s="74">
        <v>12</v>
      </c>
      <c r="E220" s="114">
        <f t="shared" ref="E220" ca="1" si="150">INDIRECT("a_" &amp; i) * t^3 + INDIRECT("b_" &amp; i) * t^2 + INDIRECT("c_" &amp; i) * t^1 + INDIRECT("d_" &amp; i)</f>
        <v>8.570178916144372E-2</v>
      </c>
      <c r="F220" s="117" t="s">
        <v>332</v>
      </c>
      <c r="R220" s="120">
        <f t="array" aca="1" ref="R220" ca="1">E220:E520</f>
        <v>8.570178916144372E-2</v>
      </c>
      <c r="S220" s="121">
        <f t="shared" ca="1" si="95"/>
        <v>2.737405791099666E-2</v>
      </c>
      <c r="T220" s="121">
        <f t="shared" ca="1" si="97"/>
        <v>8.2528469156351329E-4</v>
      </c>
    </row>
    <row r="221" spans="3:20" s="74" customFormat="1" x14ac:dyDescent="0.2">
      <c r="C221" s="74">
        <v>30</v>
      </c>
      <c r="D221" s="74">
        <v>12.1</v>
      </c>
      <c r="E221" s="114">
        <f t="shared" ref="E221" ca="1" si="151">INDIRECT("a_" &amp; i) * t^3 + INDIRECT("b_" &amp; i) * t^2 + INDIRECT("c_" &amp; i) * t^1 + INDIRECT("d_" &amp; i)</f>
        <v>8.844680652336967E-2</v>
      </c>
      <c r="F221" s="117" t="s">
        <v>332</v>
      </c>
      <c r="R221" s="120">
        <f t="array" aca="1" ref="R221" ca="1">E221:E521</f>
        <v>8.844680652336967E-2</v>
      </c>
      <c r="S221" s="121">
        <f t="shared" ca="1" si="95"/>
        <v>2.7450173619259596E-2</v>
      </c>
      <c r="T221" s="121">
        <f t="shared" ca="1" si="97"/>
        <v>7.6115708262936281E-4</v>
      </c>
    </row>
    <row r="222" spans="3:20" s="74" customFormat="1" x14ac:dyDescent="0.2">
      <c r="C222" s="74">
        <v>30</v>
      </c>
      <c r="D222" s="74">
        <v>12.2</v>
      </c>
      <c r="E222" s="114">
        <f t="shared" ref="E222" ca="1" si="152">INDIRECT("a_" &amp; i) * t^3 + INDIRECT("b_" &amp; i) * t^2 + INDIRECT("c_" &amp; i) * t^1 + INDIRECT("d_" &amp; i)</f>
        <v>9.1198794180032572E-2</v>
      </c>
      <c r="F222" s="117" t="s">
        <v>332</v>
      </c>
      <c r="R222" s="120">
        <f t="array" aca="1" ref="R222" ca="1">E222:E522</f>
        <v>9.1198794180032572E-2</v>
      </c>
      <c r="S222" s="121">
        <f t="shared" ca="1" si="95"/>
        <v>2.7519876566629117E-2</v>
      </c>
      <c r="T222" s="121">
        <f t="shared" ca="1" si="97"/>
        <v>6.9702947369521234E-4</v>
      </c>
    </row>
    <row r="223" spans="3:20" s="74" customFormat="1" x14ac:dyDescent="0.2">
      <c r="C223" s="74">
        <v>30</v>
      </c>
      <c r="D223" s="74">
        <v>12.3</v>
      </c>
      <c r="E223" s="114">
        <f t="shared" ref="E223" ca="1" si="153">INDIRECT("a_" &amp; i) * t^3 + INDIRECT("b_" &amp; i) * t^2 + INDIRECT("c_" &amp; i) * t^1 + INDIRECT("d_" &amp; i)</f>
        <v>9.3957110855343251E-2</v>
      </c>
      <c r="F223" s="117" t="s">
        <v>332</v>
      </c>
      <c r="R223" s="120">
        <f t="array" aca="1" ref="R223" ca="1">E223:E523</f>
        <v>9.3957110855343251E-2</v>
      </c>
      <c r="S223" s="121">
        <f t="shared" ca="1" si="95"/>
        <v>2.7583166753106399E-2</v>
      </c>
      <c r="T223" s="121">
        <f t="shared" ca="1" si="97"/>
        <v>6.3290186477281201E-4</v>
      </c>
    </row>
    <row r="224" spans="3:20" s="74" customFormat="1" x14ac:dyDescent="0.2">
      <c r="C224" s="74">
        <v>30</v>
      </c>
      <c r="D224" s="74">
        <v>12.4</v>
      </c>
      <c r="E224" s="114">
        <f t="shared" ref="E224" ca="1" si="154">INDIRECT("a_" &amp; i) * t^3 + INDIRECT("b_" &amp; i) * t^2 + INDIRECT("c_" &amp; i) * t^1 + INDIRECT("d_" &amp; i)</f>
        <v>9.6721115273211866E-2</v>
      </c>
      <c r="F224" s="117" t="s">
        <v>332</v>
      </c>
      <c r="R224" s="120">
        <f t="array" aca="1" ref="R224" ca="1">E224:E524</f>
        <v>9.6721115273211866E-2</v>
      </c>
      <c r="S224" s="121">
        <f t="shared" ca="1" si="95"/>
        <v>2.7640044178686249E-2</v>
      </c>
      <c r="T224" s="121">
        <f t="shared" ca="1" si="97"/>
        <v>5.6877425579849661E-4</v>
      </c>
    </row>
    <row r="225" spans="3:20" s="74" customFormat="1" x14ac:dyDescent="0.2">
      <c r="C225" s="74">
        <v>30</v>
      </c>
      <c r="D225" s="74">
        <v>12.5</v>
      </c>
      <c r="E225" s="114">
        <f t="shared" ref="E225" ca="1" si="155">INDIRECT("a_" &amp; i) * t^3 + INDIRECT("b_" &amp; i) * t^2 + INDIRECT("c_" &amp; i) * t^1 + INDIRECT("d_" &amp; i)</f>
        <v>9.9490166157549353E-2</v>
      </c>
      <c r="F225" s="117" t="s">
        <v>332</v>
      </c>
      <c r="R225" s="120">
        <f t="array" aca="1" ref="R225" ca="1">E225:E525</f>
        <v>9.9490166157549353E-2</v>
      </c>
      <c r="S225" s="121">
        <f t="shared" ca="1" si="95"/>
        <v>2.769050884337497E-2</v>
      </c>
      <c r="T225" s="121">
        <f t="shared" ca="1" si="97"/>
        <v>5.0464664688720979E-4</v>
      </c>
    </row>
    <row r="226" spans="3:20" s="74" customFormat="1" x14ac:dyDescent="0.2">
      <c r="C226" s="74">
        <v>30</v>
      </c>
      <c r="D226" s="74">
        <v>12.6</v>
      </c>
      <c r="E226" s="114">
        <f t="shared" ref="E226" ca="1" si="156">INDIRECT("a_" &amp; i) * t^3 + INDIRECT("b_" &amp; i) * t^2 + INDIRECT("c_" &amp; i) * t^1 + INDIRECT("d_" &amp; i)</f>
        <v>0.10226362223226654</v>
      </c>
      <c r="F226" s="117" t="s">
        <v>332</v>
      </c>
      <c r="R226" s="120">
        <f t="array" aca="1" ref="R226" ca="1">E226:E526</f>
        <v>0.10226362223226654</v>
      </c>
      <c r="S226" s="121">
        <f t="shared" ca="1" si="95"/>
        <v>2.7734560747171941E-2</v>
      </c>
      <c r="T226" s="121">
        <f t="shared" ca="1" si="97"/>
        <v>4.4051903796971261E-4</v>
      </c>
    </row>
    <row r="227" spans="3:20" s="74" customFormat="1" x14ac:dyDescent="0.2">
      <c r="C227" s="74">
        <v>30</v>
      </c>
      <c r="D227" s="74">
        <v>12.7</v>
      </c>
      <c r="E227" s="114">
        <f t="shared" ref="E227" ca="1" si="157">INDIRECT("a_" &amp; i) * t^3 + INDIRECT("b_" &amp; i) * t^2 + INDIRECT("c_" &amp; i) * t^1 + INDIRECT("d_" &amp; i)</f>
        <v>0.10504084222127374</v>
      </c>
      <c r="F227" s="117" t="s">
        <v>332</v>
      </c>
      <c r="R227" s="120">
        <f t="array" aca="1" ref="R227" ca="1">E227:E527</f>
        <v>0.10504084222127374</v>
      </c>
      <c r="S227" s="121">
        <f t="shared" ca="1" si="95"/>
        <v>2.7772199890072166E-2</v>
      </c>
      <c r="T227" s="121">
        <f t="shared" ca="1" si="97"/>
        <v>3.7639142900225544E-4</v>
      </c>
    </row>
    <row r="228" spans="3:20" s="74" customFormat="1" x14ac:dyDescent="0.2">
      <c r="C228" s="74">
        <v>30</v>
      </c>
      <c r="D228" s="74">
        <v>12.8</v>
      </c>
      <c r="E228" s="114">
        <f t="shared" ref="E228" ca="1" si="158">INDIRECT("a_" &amp; i) * t^3 + INDIRECT("b_" &amp; i) * t^2 + INDIRECT("c_" &amp; i) * t^1 + INDIRECT("d_" &amp; i)</f>
        <v>0.10782118484848158</v>
      </c>
      <c r="F228" s="117" t="s">
        <v>332</v>
      </c>
      <c r="R228" s="120">
        <f t="array" aca="1" ref="R228" ca="1">E228:E528</f>
        <v>0.10782118484848158</v>
      </c>
      <c r="S228" s="121">
        <f t="shared" ca="1" si="95"/>
        <v>2.7803426272077929E-2</v>
      </c>
      <c r="T228" s="121">
        <f t="shared" ca="1" si="97"/>
        <v>3.1226382005762165E-4</v>
      </c>
    </row>
    <row r="229" spans="3:20" s="74" customFormat="1" x14ac:dyDescent="0.2">
      <c r="C229" s="74">
        <v>30</v>
      </c>
      <c r="D229" s="74">
        <v>12.9</v>
      </c>
      <c r="E229" s="114">
        <f t="shared" ref="E229" ca="1" si="159">INDIRECT("a_" &amp; i) * t^3 + INDIRECT("b_" &amp; i) * t^2 + INDIRECT("c_" &amp; i) * t^1 + INDIRECT("d_" &amp; i)</f>
        <v>0.11060400883780086</v>
      </c>
      <c r="F229" s="117" t="s">
        <v>332</v>
      </c>
      <c r="R229" s="120">
        <f t="array" aca="1" ref="R229" ca="1">E229:E529</f>
        <v>0.11060400883780086</v>
      </c>
      <c r="S229" s="121">
        <f t="shared" ca="1" si="95"/>
        <v>2.7828239893192927E-2</v>
      </c>
      <c r="T229" s="121">
        <f t="shared" ca="1" si="97"/>
        <v>2.4813621114998328E-4</v>
      </c>
    </row>
    <row r="230" spans="3:20" s="74" customFormat="1" x14ac:dyDescent="0.2">
      <c r="C230" s="74">
        <v>30</v>
      </c>
      <c r="D230" s="74">
        <v>13</v>
      </c>
      <c r="E230" s="114">
        <f t="shared" ref="E230" ca="1" si="160">INDIRECT("a_" &amp; i) * t^3 + INDIRECT("b_" &amp; i) * t^2 + INDIRECT("c_" &amp; i) * t^1 + INDIRECT("d_" &amp; i)</f>
        <v>0.11338867291314214</v>
      </c>
      <c r="F230" s="117" t="s">
        <v>332</v>
      </c>
      <c r="R230" s="120">
        <f t="array" aca="1" ref="R230" ca="1">E230:E530</f>
        <v>0.11338867291314214</v>
      </c>
      <c r="S230" s="121">
        <f t="shared" ref="S230:S293" ca="1" si="161">(R230-R229)/(D230-D229)</f>
        <v>2.7846640753412911E-2</v>
      </c>
      <c r="T230" s="121">
        <f t="shared" ca="1" si="97"/>
        <v>1.8400860219983865E-4</v>
      </c>
    </row>
    <row r="231" spans="3:20" s="74" customFormat="1" x14ac:dyDescent="0.2">
      <c r="C231" s="74">
        <v>30</v>
      </c>
      <c r="D231" s="74">
        <v>13.1</v>
      </c>
      <c r="E231" s="114">
        <f t="shared" ref="E231" ca="1" si="162">INDIRECT("a_" &amp; i) * t^3 + INDIRECT("b_" &amp; i) * t^2 + INDIRECT("c_" &amp; i) * t^1 + INDIRECT("d_" &amp; i)</f>
        <v>0.11617453579841602</v>
      </c>
      <c r="F231" s="117" t="s">
        <v>332</v>
      </c>
      <c r="R231" s="120">
        <f t="array" aca="1" ref="R231" ca="1">E231:E531</f>
        <v>0.11617453579841602</v>
      </c>
      <c r="S231" s="121">
        <f t="shared" ca="1" si="161"/>
        <v>2.7858628852738921E-2</v>
      </c>
      <c r="T231" s="121">
        <f t="shared" ref="T231:T294" ca="1" si="163">(S231-S230)/(D231-D230)</f>
        <v>1.1988099326010235E-4</v>
      </c>
    </row>
    <row r="232" spans="3:20" s="74" customFormat="1" x14ac:dyDescent="0.2">
      <c r="C232" s="74">
        <v>30</v>
      </c>
      <c r="D232" s="74">
        <v>13.2</v>
      </c>
      <c r="E232" s="114">
        <f t="shared" ref="E232" ca="1" si="164">INDIRECT("a_" &amp; i) * t^3 + INDIRECT("b_" &amp; i) * t^2 + INDIRECT("c_" &amp; i) * t^1 + INDIRECT("d_" &amp; i)</f>
        <v>0.11896095621753316</v>
      </c>
      <c r="F232" s="117" t="s">
        <v>332</v>
      </c>
      <c r="R232" s="120">
        <f t="array" aca="1" ref="R232" ca="1">E232:E532</f>
        <v>0.11896095621753316</v>
      </c>
      <c r="S232" s="121">
        <f t="shared" ca="1" si="161"/>
        <v>2.7864204191171516E-2</v>
      </c>
      <c r="T232" s="121">
        <f t="shared" ca="1" si="163"/>
        <v>5.5753384325951868E-5</v>
      </c>
    </row>
    <row r="233" spans="3:20" s="74" customFormat="1" x14ac:dyDescent="0.2">
      <c r="C233" s="74">
        <v>30</v>
      </c>
      <c r="D233" s="74">
        <v>13.3</v>
      </c>
      <c r="E233" s="114">
        <f t="shared" ref="E233" ca="1" si="165">INDIRECT("a_" &amp; i) * t^3 + INDIRECT("b_" &amp; i) * t^2 + INDIRECT("c_" &amp; i) * t^1 + INDIRECT("d_" &amp; i)</f>
        <v>0.12174729289440428</v>
      </c>
      <c r="F233" s="117" t="s">
        <v>332</v>
      </c>
      <c r="R233" s="120">
        <f t="array" aca="1" ref="R233" ca="1">E233:E533</f>
        <v>0.12174729289440428</v>
      </c>
      <c r="S233" s="121">
        <f t="shared" ca="1" si="161"/>
        <v>2.7863366768710755E-2</v>
      </c>
      <c r="T233" s="121">
        <f t="shared" ca="1" si="163"/>
        <v>-8.3742246076086637E-6</v>
      </c>
    </row>
    <row r="234" spans="3:20" s="74" customFormat="1" x14ac:dyDescent="0.2">
      <c r="C234" s="74">
        <v>30</v>
      </c>
      <c r="D234" s="74">
        <v>13.4</v>
      </c>
      <c r="E234" s="114">
        <f t="shared" ref="E234" ca="1" si="166">INDIRECT("a_" &amp; i) * t^3 + INDIRECT("b_" &amp; i) * t^2 + INDIRECT("c_" &amp; i) * t^1 + INDIRECT("d_" &amp; i)</f>
        <v>0.12453290455293969</v>
      </c>
      <c r="F234" s="117" t="s">
        <v>332</v>
      </c>
      <c r="R234" s="120">
        <f t="array" aca="1" ref="R234" ca="1">E234:E534</f>
        <v>0.12453290455293969</v>
      </c>
      <c r="S234" s="121">
        <f t="shared" ca="1" si="161"/>
        <v>2.7856116585354241E-2</v>
      </c>
      <c r="T234" s="121">
        <f t="shared" ca="1" si="163"/>
        <v>-7.2501833565143372E-5</v>
      </c>
    </row>
    <row r="235" spans="3:20" s="74" customFormat="1" x14ac:dyDescent="0.2">
      <c r="C235" s="74">
        <v>30</v>
      </c>
      <c r="D235" s="74">
        <v>13.5</v>
      </c>
      <c r="E235" s="114">
        <f t="shared" ref="E235" ca="1" si="167">INDIRECT("a_" &amp; i) * t^3 + INDIRECT("b_" &amp; i) * t^2 + INDIRECT("c_" &amp; i) * t^1 + INDIRECT("d_" &amp; i)</f>
        <v>0.12731714991705045</v>
      </c>
      <c r="F235" s="117" t="s">
        <v>332</v>
      </c>
      <c r="R235" s="120">
        <f t="array" aca="1" ref="R235" ca="1">E235:E535</f>
        <v>0.12731714991705045</v>
      </c>
      <c r="S235" s="121">
        <f t="shared" ca="1" si="161"/>
        <v>2.7842453641107701E-2</v>
      </c>
      <c r="T235" s="121">
        <f t="shared" ca="1" si="163"/>
        <v>-1.3662944246539737E-4</v>
      </c>
    </row>
    <row r="236" spans="3:20" s="74" customFormat="1" x14ac:dyDescent="0.2">
      <c r="C236" s="74">
        <v>30</v>
      </c>
      <c r="D236" s="74">
        <v>13.6</v>
      </c>
      <c r="E236" s="114">
        <f t="shared" ref="E236" ca="1" si="168">INDIRECT("a_" &amp; i) * t^3 + INDIRECT("b_" &amp; i) * t^2 + INDIRECT("c_" &amp; i) * t^1 + INDIRECT("d_" &amp; i)</f>
        <v>0.13009938771064694</v>
      </c>
      <c r="F236" s="117" t="s">
        <v>332</v>
      </c>
      <c r="R236" s="120">
        <f t="array" aca="1" ref="R236" ca="1">E236:E536</f>
        <v>0.13009938771064694</v>
      </c>
      <c r="S236" s="121">
        <f t="shared" ca="1" si="161"/>
        <v>2.7822377935964968E-2</v>
      </c>
      <c r="T236" s="121">
        <f t="shared" ca="1" si="163"/>
        <v>-2.0075705142733811E-4</v>
      </c>
    </row>
    <row r="237" spans="3:20" s="74" customFormat="1" x14ac:dyDescent="0.2">
      <c r="C237" s="74">
        <v>30</v>
      </c>
      <c r="D237" s="74">
        <v>13.7</v>
      </c>
      <c r="E237" s="114">
        <f t="shared" ref="E237" ca="1" si="169">INDIRECT("a_" &amp; i) * t^3 + INDIRECT("b_" &amp; i) * t^2 + INDIRECT("c_" &amp; i) * t^1 + INDIRECT("d_" &amp; i)</f>
        <v>0.13287897665763981</v>
      </c>
      <c r="F237" s="117" t="s">
        <v>332</v>
      </c>
      <c r="R237" s="120">
        <f t="array" aca="1" ref="R237" ca="1">E237:E537</f>
        <v>0.13287897665763981</v>
      </c>
      <c r="S237" s="121">
        <f t="shared" ca="1" si="161"/>
        <v>2.7795889469928822E-2</v>
      </c>
      <c r="T237" s="121">
        <f t="shared" ca="1" si="163"/>
        <v>-2.6488466036145389E-4</v>
      </c>
    </row>
    <row r="238" spans="3:20" s="74" customFormat="1" x14ac:dyDescent="0.2">
      <c r="C238" s="74">
        <v>30</v>
      </c>
      <c r="D238" s="74">
        <v>13.8</v>
      </c>
      <c r="E238" s="114">
        <f t="shared" ref="E238" ca="1" si="170">INDIRECT("a_" &amp; i) * t^3 + INDIRECT("b_" &amp; i) * t^2 + INDIRECT("c_" &amp; i) * t^1 + INDIRECT("d_" &amp; i)</f>
        <v>0.1356552754819399</v>
      </c>
      <c r="F238" s="117" t="s">
        <v>332</v>
      </c>
      <c r="R238" s="120">
        <f t="array" aca="1" ref="R238" ca="1">E238:E538</f>
        <v>0.1356552754819399</v>
      </c>
      <c r="S238" s="121">
        <f t="shared" ca="1" si="161"/>
        <v>2.7762988243000435E-2</v>
      </c>
      <c r="T238" s="121">
        <f t="shared" ca="1" si="163"/>
        <v>-3.2901226928387184E-4</v>
      </c>
    </row>
    <row r="239" spans="3:20" s="74" customFormat="1" x14ac:dyDescent="0.2">
      <c r="C239" s="74">
        <v>30</v>
      </c>
      <c r="D239" s="74">
        <v>13.9</v>
      </c>
      <c r="E239" s="114">
        <f t="shared" ref="E239" ca="1" si="171">INDIRECT("a_" &amp; i) * t^3 + INDIRECT("b_" &amp; i) * t^2 + INDIRECT("c_" &amp; i) * t^1 + INDIRECT("d_" &amp; i)</f>
        <v>0.13842764290745746</v>
      </c>
      <c r="F239" s="117" t="s">
        <v>332</v>
      </c>
      <c r="R239" s="120">
        <f t="array" aca="1" ref="R239" ca="1">E239:E539</f>
        <v>0.13842764290745746</v>
      </c>
      <c r="S239" s="121">
        <f t="shared" ca="1" si="161"/>
        <v>2.7723674255175731E-2</v>
      </c>
      <c r="T239" s="121">
        <f t="shared" ca="1" si="163"/>
        <v>-3.9313987824703275E-4</v>
      </c>
    </row>
    <row r="240" spans="3:20" s="74" customFormat="1" x14ac:dyDescent="0.2">
      <c r="C240" s="74">
        <v>30</v>
      </c>
      <c r="D240" s="74">
        <v>14</v>
      </c>
      <c r="E240" s="114">
        <f t="shared" ref="E240" ca="1" si="172">INDIRECT("a_" &amp; i) * t^3 + INDIRECT("b_" &amp; i) * t^2 + INDIRECT("c_" &amp; i) * t^1 + INDIRECT("d_" &amp; i)</f>
        <v>0.14119543765810333</v>
      </c>
      <c r="F240" s="117" t="s">
        <v>332</v>
      </c>
      <c r="R240" s="120">
        <f t="array" aca="1" ref="R240" ca="1">E240:E540</f>
        <v>0.14119543765810333</v>
      </c>
      <c r="S240" s="121">
        <f t="shared" ca="1" si="161"/>
        <v>2.7677947506458786E-2</v>
      </c>
      <c r="T240" s="121">
        <f t="shared" ca="1" si="163"/>
        <v>-4.5726748716945649E-4</v>
      </c>
    </row>
    <row r="241" spans="3:20" s="74" customFormat="1" x14ac:dyDescent="0.2">
      <c r="C241" s="74">
        <v>30</v>
      </c>
      <c r="D241" s="74">
        <v>14.1</v>
      </c>
      <c r="E241" s="114">
        <f t="shared" ref="E241" ca="1" si="173">INDIRECT("a_" &amp; i) * t^3 + INDIRECT("b_" &amp; i) * t^2 + INDIRECT("c_" &amp; i) * t^1 + INDIRECT("d_" &amp; i)</f>
        <v>0.14395801845778811</v>
      </c>
      <c r="F241" s="117" t="s">
        <v>332</v>
      </c>
      <c r="R241" s="120">
        <f t="array" aca="1" ref="R241" ca="1">E241:E541</f>
        <v>0.14395801845778811</v>
      </c>
      <c r="S241" s="121">
        <f t="shared" ca="1" si="161"/>
        <v>2.762580799684787E-2</v>
      </c>
      <c r="T241" s="121">
        <f t="shared" ca="1" si="163"/>
        <v>-5.2139509610915809E-4</v>
      </c>
    </row>
    <row r="242" spans="3:20" s="74" customFormat="1" x14ac:dyDescent="0.2">
      <c r="C242" s="74">
        <v>30</v>
      </c>
      <c r="D242" s="74">
        <v>14.2</v>
      </c>
      <c r="E242" s="114">
        <f t="shared" ref="E242" ca="1" si="174">INDIRECT("a_" &amp; i) * t^3 + INDIRECT("b_" &amp; i) * t^2 + INDIRECT("c_" &amp; i) * t^1 + INDIRECT("d_" &amp; i)</f>
        <v>0.14671474403042245</v>
      </c>
      <c r="F242" s="117" t="s">
        <v>332</v>
      </c>
      <c r="R242" s="120">
        <f t="array" aca="1" ref="R242" ca="1">E242:E542</f>
        <v>0.14671474403042245</v>
      </c>
      <c r="S242" s="121">
        <f t="shared" ca="1" si="161"/>
        <v>2.756725572634354E-2</v>
      </c>
      <c r="T242" s="121">
        <f t="shared" ca="1" si="163"/>
        <v>-5.8552270504330856E-4</v>
      </c>
    </row>
    <row r="243" spans="3:20" s="74" customFormat="1" x14ac:dyDescent="0.2">
      <c r="C243" s="74">
        <v>30</v>
      </c>
      <c r="D243" s="74">
        <v>14.3</v>
      </c>
      <c r="E243" s="114">
        <f t="shared" ref="E243" ca="1" si="175">INDIRECT("a_" &amp; i) * t^3 + INDIRECT("b_" &amp; i) * t^2 + INDIRECT("c_" &amp; i) * t^1 + INDIRECT("d_" &amp; i)</f>
        <v>0.14946497309991708</v>
      </c>
      <c r="F243" s="117" t="s">
        <v>332</v>
      </c>
      <c r="R243" s="120">
        <f t="array" aca="1" ref="R243" ca="1">E243:E543</f>
        <v>0.14946497309991708</v>
      </c>
      <c r="S243" s="121">
        <f t="shared" ca="1" si="161"/>
        <v>2.750229069494586E-2</v>
      </c>
      <c r="T243" s="121">
        <f t="shared" ca="1" si="163"/>
        <v>-6.4965031397678835E-4</v>
      </c>
    </row>
    <row r="244" spans="3:20" s="74" customFormat="1" x14ac:dyDescent="0.2">
      <c r="C244" s="74">
        <v>30</v>
      </c>
      <c r="D244" s="74">
        <v>14.4</v>
      </c>
      <c r="E244" s="114">
        <f t="shared" ref="E244" ca="1" si="176">INDIRECT("a_" &amp; i) * t^3 + INDIRECT("b_" &amp; i) * t^2 + INDIRECT("c_" &amp; i) * t^1 + INDIRECT("d_" &amp; i)</f>
        <v>0.15220806439018253</v>
      </c>
      <c r="F244" s="117" t="s">
        <v>332</v>
      </c>
      <c r="R244" s="120">
        <f t="array" aca="1" ref="R244" ca="1">E244:E544</f>
        <v>0.15220806439018253</v>
      </c>
      <c r="S244" s="121">
        <f t="shared" ca="1" si="161"/>
        <v>2.7430912902654633E-2</v>
      </c>
      <c r="T244" s="121">
        <f t="shared" ca="1" si="163"/>
        <v>-7.1377792291226871E-4</v>
      </c>
    </row>
    <row r="245" spans="3:20" s="74" customFormat="1" x14ac:dyDescent="0.2">
      <c r="C245" s="74">
        <v>30</v>
      </c>
      <c r="D245" s="74">
        <v>14.5</v>
      </c>
      <c r="E245" s="114">
        <f t="shared" ref="E245" ca="1" si="177">INDIRECT("a_" &amp; i) * t^3 + INDIRECT("b_" &amp; i) * t^2 + INDIRECT("c_" &amp; i) * t^1 + INDIRECT("d_" &amp; i)</f>
        <v>0.1549433766251293</v>
      </c>
      <c r="F245" s="117" t="s">
        <v>332</v>
      </c>
      <c r="R245" s="120">
        <f t="array" aca="1" ref="R245" ca="1">E245:E545</f>
        <v>0.1549433766251293</v>
      </c>
      <c r="S245" s="121">
        <f t="shared" ca="1" si="161"/>
        <v>2.7353122349467837E-2</v>
      </c>
      <c r="T245" s="121">
        <f t="shared" ca="1" si="163"/>
        <v>-7.7790553186796445E-4</v>
      </c>
    </row>
    <row r="246" spans="3:20" s="74" customFormat="1" x14ac:dyDescent="0.2">
      <c r="C246" s="74">
        <v>30</v>
      </c>
      <c r="D246" s="74">
        <v>14.6</v>
      </c>
      <c r="E246" s="114">
        <f t="shared" ref="E246" ca="1" si="178">INDIRECT("a_" &amp; i) * t^3 + INDIRECT("b_" &amp; i) * t^2 + INDIRECT("c_" &amp; i) * t^1 + INDIRECT("d_" &amp; i)</f>
        <v>0.15767026852866839</v>
      </c>
      <c r="F246" s="117" t="s">
        <v>332</v>
      </c>
      <c r="R246" s="120">
        <f t="array" aca="1" ref="R246" ca="1">E246:E546</f>
        <v>0.15767026852866839</v>
      </c>
      <c r="S246" s="121">
        <f t="shared" ca="1" si="161"/>
        <v>2.7268919035390957E-2</v>
      </c>
      <c r="T246" s="121">
        <f t="shared" ca="1" si="163"/>
        <v>-8.4203314076880835E-4</v>
      </c>
    </row>
    <row r="247" spans="3:20" s="74" customFormat="1" x14ac:dyDescent="0.2">
      <c r="C247" s="74">
        <v>30</v>
      </c>
      <c r="D247" s="74">
        <v>14.7</v>
      </c>
      <c r="E247" s="114">
        <f t="shared" ref="E247" ca="1" si="179">INDIRECT("a_" &amp; i) * t^3 + INDIRECT("b_" &amp; i) * t^2 + INDIRECT("c_" &amp; i) * t^1 + INDIRECT("d_" &amp; i)</f>
        <v>0.16038809882470989</v>
      </c>
      <c r="F247" s="117" t="s">
        <v>332</v>
      </c>
      <c r="R247" s="120">
        <f t="array" aca="1" ref="R247" ca="1">E247:E547</f>
        <v>0.16038809882470989</v>
      </c>
      <c r="S247" s="121">
        <f t="shared" ca="1" si="161"/>
        <v>2.717830296041511E-2</v>
      </c>
      <c r="T247" s="121">
        <f t="shared" ca="1" si="163"/>
        <v>-9.0616074975846997E-4</v>
      </c>
    </row>
    <row r="248" spans="3:20" s="74" customFormat="1" x14ac:dyDescent="0.2">
      <c r="C248" s="74">
        <v>30</v>
      </c>
      <c r="D248" s="74">
        <v>14.8</v>
      </c>
      <c r="E248" s="114">
        <f t="shared" ref="E248" ca="1" si="180">INDIRECT("a_" &amp; i) * t^3 + INDIRECT("b_" &amp; i) * t^2 + INDIRECT("c_" &amp; i) * t^1 + INDIRECT("d_" &amp; i)</f>
        <v>0.16309622623716497</v>
      </c>
      <c r="F248" s="117" t="s">
        <v>332</v>
      </c>
      <c r="R248" s="120">
        <f t="array" aca="1" ref="R248" ca="1">E248:E548</f>
        <v>0.16309622623716497</v>
      </c>
      <c r="S248" s="121">
        <f t="shared" ca="1" si="161"/>
        <v>2.7081274124550362E-2</v>
      </c>
      <c r="T248" s="121">
        <f t="shared" ca="1" si="163"/>
        <v>-9.7028835864746571E-4</v>
      </c>
    </row>
    <row r="249" spans="3:20" s="74" customFormat="1" x14ac:dyDescent="0.2">
      <c r="C249" s="74">
        <v>30</v>
      </c>
      <c r="D249" s="74">
        <v>14.9</v>
      </c>
      <c r="E249" s="114">
        <f t="shared" ref="E249" ca="1" si="181">INDIRECT("a_" &amp; i) * t^3 + INDIRECT("b_" &amp; i) * t^2 + INDIRECT("c_" &amp; i) * t^1 + INDIRECT("d_" &amp; i)</f>
        <v>0.16579400948994405</v>
      </c>
      <c r="F249" s="117" t="s">
        <v>332</v>
      </c>
      <c r="R249" s="120">
        <f t="array" aca="1" ref="R249" ca="1">E249:E549</f>
        <v>0.16579400948994405</v>
      </c>
      <c r="S249" s="121">
        <f t="shared" ca="1" si="161"/>
        <v>2.6977832527790943E-2</v>
      </c>
      <c r="T249" s="121">
        <f t="shared" ca="1" si="163"/>
        <v>-1.0344159675941928E-3</v>
      </c>
    </row>
    <row r="250" spans="3:20" s="74" customFormat="1" x14ac:dyDescent="0.2">
      <c r="C250" s="74">
        <v>30</v>
      </c>
      <c r="D250" s="74">
        <v>15</v>
      </c>
      <c r="E250" s="114">
        <f t="shared" ref="E250" ca="1" si="182">INDIRECT("a_" &amp; i) * t^3 + INDIRECT("b_" &amp; i) * t^2 + INDIRECT("c_" &amp; i) * t^1 + INDIRECT("d_" &amp; i)</f>
        <v>0.16848080730695741</v>
      </c>
      <c r="F250" s="117" t="s">
        <v>332</v>
      </c>
      <c r="R250" s="120">
        <f t="array" aca="1" ref="R250" ca="1">E250:E550</f>
        <v>0.16848080730695741</v>
      </c>
      <c r="S250" s="121">
        <f t="shared" ca="1" si="161"/>
        <v>2.6867978170133741E-2</v>
      </c>
      <c r="T250" s="121">
        <f t="shared" ca="1" si="163"/>
        <v>-1.0985435765720236E-3</v>
      </c>
    </row>
    <row r="251" spans="3:20" s="74" customFormat="1" x14ac:dyDescent="0.2">
      <c r="C251" s="74">
        <v>30</v>
      </c>
      <c r="D251" s="74">
        <v>15.1</v>
      </c>
      <c r="E251" s="114">
        <f t="shared" ref="E251" ca="1" si="183">INDIRECT("a_" &amp; i) * t^3 + INDIRECT("b_" &amp; i) * t^2 + INDIRECT("c_" &amp; i) * t^1 + INDIRECT("d_" &amp; i)</f>
        <v>0.17115597841211627</v>
      </c>
      <c r="F251" s="117" t="s">
        <v>332</v>
      </c>
      <c r="R251" s="120">
        <f t="array" aca="1" ref="R251" ca="1">E251:E551</f>
        <v>0.17115597841211627</v>
      </c>
      <c r="S251" s="121">
        <f t="shared" ca="1" si="161"/>
        <v>2.6751711051588672E-2</v>
      </c>
      <c r="T251" s="121">
        <f t="shared" ca="1" si="163"/>
        <v>-1.1626711854506977E-3</v>
      </c>
    </row>
    <row r="252" spans="3:20" s="74" customFormat="1" x14ac:dyDescent="0.2">
      <c r="C252" s="74">
        <v>30</v>
      </c>
      <c r="D252" s="74">
        <v>15.2</v>
      </c>
      <c r="E252" s="114">
        <f t="shared" ref="E252" ca="1" si="184">INDIRECT("a_" &amp; i) * t^3 + INDIRECT("b_" &amp; i) * t^2 + INDIRECT("c_" &amp; i) * t^1 + INDIRECT("d_" &amp; i)</f>
        <v>0.17381888152933095</v>
      </c>
      <c r="F252" s="117" t="s">
        <v>332</v>
      </c>
      <c r="R252" s="120">
        <f t="array" aca="1" ref="R252" ca="1">E252:E552</f>
        <v>0.17381888152933095</v>
      </c>
      <c r="S252" s="121">
        <f t="shared" ca="1" si="161"/>
        <v>2.662903117214686E-2</v>
      </c>
      <c r="T252" s="121">
        <f t="shared" ca="1" si="163"/>
        <v>-1.2267987944181201E-3</v>
      </c>
    </row>
    <row r="253" spans="3:20" s="74" customFormat="1" x14ac:dyDescent="0.2">
      <c r="C253" s="74">
        <v>30</v>
      </c>
      <c r="D253" s="74">
        <v>15.3</v>
      </c>
      <c r="E253" s="114">
        <f t="shared" ref="E253" ca="1" si="185">INDIRECT("a_" &amp; i) * t^3 + INDIRECT("b_" &amp; i) * t^2 + INDIRECT("c_" &amp; i) * t^1 + INDIRECT("d_" &amp; i)</f>
        <v>0.17646887538251216</v>
      </c>
      <c r="F253" s="117" t="s">
        <v>332</v>
      </c>
      <c r="R253" s="120">
        <f t="array" aca="1" ref="R253" ca="1">E253:E553</f>
        <v>0.17646887538251216</v>
      </c>
      <c r="S253" s="121">
        <f t="shared" ca="1" si="161"/>
        <v>2.6499938531811717E-2</v>
      </c>
      <c r="T253" s="121">
        <f t="shared" ca="1" si="163"/>
        <v>-1.290926403351415E-3</v>
      </c>
    </row>
    <row r="254" spans="3:20" s="74" customFormat="1" x14ac:dyDescent="0.2">
      <c r="C254" s="74">
        <v>30</v>
      </c>
      <c r="D254" s="74">
        <v>15.4</v>
      </c>
      <c r="E254" s="114">
        <f t="shared" ref="E254" ca="1" si="186">INDIRECT("a_" &amp; i) * t^3 + INDIRECT("b_" &amp; i) * t^2 + INDIRECT("c_" &amp; i) * t^1 + INDIRECT("d_" &amp; i)</f>
        <v>0.17910531869557028</v>
      </c>
      <c r="F254" s="117" t="s">
        <v>332</v>
      </c>
      <c r="R254" s="120">
        <f t="array" aca="1" ref="R254" ca="1">E254:E554</f>
        <v>0.17910531869557028</v>
      </c>
      <c r="S254" s="121">
        <f t="shared" ca="1" si="161"/>
        <v>2.6364433130581327E-2</v>
      </c>
      <c r="T254" s="121">
        <f t="shared" ca="1" si="163"/>
        <v>-1.3550540123039071E-3</v>
      </c>
    </row>
    <row r="255" spans="3:20" s="74" customFormat="1" x14ac:dyDescent="0.2">
      <c r="C255" s="74">
        <v>30</v>
      </c>
      <c r="D255" s="74">
        <v>15.5</v>
      </c>
      <c r="E255" s="114">
        <f t="shared" ref="E255" ca="1" si="187">INDIRECT("a_" &amp; i) * t^3 + INDIRECT("b_" &amp; i) * t^2 + INDIRECT("c_" &amp; i) * t^1 + INDIRECT("d_" &amp; i)</f>
        <v>0.18172757019241637</v>
      </c>
      <c r="F255" s="117" t="s">
        <v>332</v>
      </c>
      <c r="R255" s="120">
        <f t="array" aca="1" ref="R255" ca="1">E255:E555</f>
        <v>0.18172757019241637</v>
      </c>
      <c r="S255" s="121">
        <f t="shared" ca="1" si="161"/>
        <v>2.6222514968460935E-2</v>
      </c>
      <c r="T255" s="121">
        <f t="shared" ca="1" si="163"/>
        <v>-1.4191816212039182E-3</v>
      </c>
    </row>
    <row r="256" spans="3:20" s="74" customFormat="1" x14ac:dyDescent="0.2">
      <c r="C256" s="74">
        <v>30</v>
      </c>
      <c r="D256" s="74">
        <v>15.6</v>
      </c>
      <c r="E256" s="114">
        <f t="shared" ref="E256" ca="1" si="188">INDIRECT("a_" &amp; i) * t^3 + INDIRECT("b_" &amp; i) * t^2 + INDIRECT("c_" &amp; i) * t^1 + INDIRECT("d_" &amp; i)</f>
        <v>0.18433498859696068</v>
      </c>
      <c r="F256" s="117" t="s">
        <v>332</v>
      </c>
      <c r="R256" s="120">
        <f t="array" aca="1" ref="R256" ca="1">E256:E556</f>
        <v>0.18433498859696068</v>
      </c>
      <c r="S256" s="121">
        <f t="shared" ca="1" si="161"/>
        <v>2.6074184045443243E-2</v>
      </c>
      <c r="T256" s="121">
        <f t="shared" ca="1" si="163"/>
        <v>-1.4833092301769265E-3</v>
      </c>
    </row>
    <row r="257" spans="3:20" s="74" customFormat="1" x14ac:dyDescent="0.2">
      <c r="C257" s="74">
        <v>30</v>
      </c>
      <c r="D257" s="74">
        <v>15.7</v>
      </c>
      <c r="E257" s="114">
        <f t="shared" ref="E257" ca="1" si="189">INDIRECT("a_" &amp; i) * t^3 + INDIRECT("b_" &amp; i) * t^2 + INDIRECT("c_" &amp; i) * t^1 + INDIRECT("d_" &amp; i)</f>
        <v>0.18692693263311422</v>
      </c>
      <c r="F257" s="117" t="s">
        <v>332</v>
      </c>
      <c r="R257" s="120">
        <f t="array" aca="1" ref="R257" ca="1">E257:E557</f>
        <v>0.18692693263311422</v>
      </c>
      <c r="S257" s="121">
        <f t="shared" ca="1" si="161"/>
        <v>2.5919440361535467E-2</v>
      </c>
      <c r="T257" s="121">
        <f t="shared" ca="1" si="163"/>
        <v>-1.5474368390777703E-3</v>
      </c>
    </row>
    <row r="258" spans="3:20" s="74" customFormat="1" x14ac:dyDescent="0.2">
      <c r="C258" s="74">
        <v>30</v>
      </c>
      <c r="D258" s="74">
        <v>15.8</v>
      </c>
      <c r="E258" s="114">
        <f t="shared" ref="E258" ca="1" si="190">INDIRECT("a_" &amp; i) * t^3 + INDIRECT("b_" &amp; i) * t^2 + INDIRECT("c_" &amp; i) * t^1 + INDIRECT("d_" &amp; i)</f>
        <v>0.18950276102478725</v>
      </c>
      <c r="F258" s="117" t="s">
        <v>332</v>
      </c>
      <c r="R258" s="120">
        <f t="array" aca="1" ref="R258" ca="1">E258:E558</f>
        <v>0.18950276102478725</v>
      </c>
      <c r="S258" s="121">
        <f t="shared" ca="1" si="161"/>
        <v>2.5758283916729928E-2</v>
      </c>
      <c r="T258" s="121">
        <f t="shared" ca="1" si="163"/>
        <v>-1.6115644480553643E-3</v>
      </c>
    </row>
    <row r="259" spans="3:20" s="74" customFormat="1" x14ac:dyDescent="0.2">
      <c r="C259" s="74">
        <v>30</v>
      </c>
      <c r="D259" s="74">
        <v>15.9</v>
      </c>
      <c r="E259" s="114">
        <f t="shared" ref="E259" ca="1" si="191">INDIRECT("a_" &amp; i) * t^3 + INDIRECT("b_" &amp; i) * t^2 + INDIRECT("c_" &amp; i) * t^1 + INDIRECT("d_" &amp; i)</f>
        <v>0.19206183249589076</v>
      </c>
      <c r="F259" s="117" t="s">
        <v>332</v>
      </c>
      <c r="R259" s="120">
        <f t="array" aca="1" ref="R259" ca="1">E259:E559</f>
        <v>0.19206183249589076</v>
      </c>
      <c r="S259" s="121">
        <f t="shared" ca="1" si="161"/>
        <v>2.5590714711035224E-2</v>
      </c>
      <c r="T259" s="121">
        <f t="shared" ca="1" si="163"/>
        <v>-1.6756920569470427E-3</v>
      </c>
    </row>
    <row r="260" spans="3:20" s="74" customFormat="1" x14ac:dyDescent="0.2">
      <c r="C260" s="74">
        <v>30</v>
      </c>
      <c r="D260" s="74">
        <v>16</v>
      </c>
      <c r="E260" s="114">
        <f t="shared" ref="E260" ca="1" si="192">INDIRECT("a_" &amp; i) * t^3 + INDIRECT("b_" &amp; i) * t^2 + INDIRECT("c_" &amp; i) * t^1 + INDIRECT("d_" &amp; i)</f>
        <v>0.19460350577033492</v>
      </c>
      <c r="F260" s="117" t="s">
        <v>332</v>
      </c>
      <c r="R260" s="120">
        <f t="array" aca="1" ref="R260" ca="1">E260:E560</f>
        <v>0.19460350577033492</v>
      </c>
      <c r="S260" s="121">
        <f t="shared" ca="1" si="161"/>
        <v>2.5416732744441652E-2</v>
      </c>
      <c r="T260" s="121">
        <f t="shared" ca="1" si="163"/>
        <v>-1.7398196659357331E-3</v>
      </c>
    </row>
    <row r="261" spans="3:20" s="74" customFormat="1" x14ac:dyDescent="0.2">
      <c r="C261" s="74">
        <v>30</v>
      </c>
      <c r="D261" s="74">
        <v>16.100000000000001</v>
      </c>
      <c r="E261" s="114">
        <f t="shared" ref="E261" ca="1" si="193">INDIRECT("a_" &amp; i) * t^3 + INDIRECT("b_" &amp; i) * t^2 + INDIRECT("c_" &amp; i) * t^1 + INDIRECT("d_" &amp; i)</f>
        <v>0.19712713957203076</v>
      </c>
      <c r="F261" s="117" t="s">
        <v>332</v>
      </c>
      <c r="R261" s="120">
        <f t="array" aca="1" ref="R261" ca="1">E261:E561</f>
        <v>0.19712713957203076</v>
      </c>
      <c r="S261" s="121">
        <f t="shared" ca="1" si="161"/>
        <v>2.5236338016958102E-2</v>
      </c>
      <c r="T261" s="121">
        <f t="shared" ca="1" si="163"/>
        <v>-1.8039472748354692E-3</v>
      </c>
    </row>
    <row r="262" spans="3:20" s="74" customFormat="1" x14ac:dyDescent="0.2">
      <c r="C262" s="74">
        <v>30</v>
      </c>
      <c r="D262" s="74">
        <v>16.2</v>
      </c>
      <c r="E262" s="114">
        <f t="shared" ref="E262" ca="1" si="194">INDIRECT("a_" &amp; i) * t^3 + INDIRECT("b_" &amp; i) * t^2 + INDIRECT("c_" &amp; i) * t^1 + INDIRECT("d_" &amp; i)</f>
        <v>0.19963209262488879</v>
      </c>
      <c r="F262" s="117" t="s">
        <v>332</v>
      </c>
      <c r="R262" s="120">
        <f t="array" aca="1" ref="R262" ca="1">E262:E562</f>
        <v>0.19963209262488879</v>
      </c>
      <c r="S262" s="121">
        <f t="shared" ca="1" si="161"/>
        <v>2.5049530528580811E-2</v>
      </c>
      <c r="T262" s="121">
        <f t="shared" ca="1" si="163"/>
        <v>-1.8680748837729463E-3</v>
      </c>
    </row>
    <row r="263" spans="3:20" s="74" customFormat="1" x14ac:dyDescent="0.2">
      <c r="C263" s="74">
        <v>30</v>
      </c>
      <c r="D263" s="74">
        <v>16.3</v>
      </c>
      <c r="E263" s="114">
        <f t="shared" ref="E263" ca="1" si="195">INDIRECT("a_" &amp; i) * t^3 + INDIRECT("b_" &amp; i) * t^2 + INDIRECT("c_" &amp; i) * t^1 + INDIRECT("d_" &amp; i)</f>
        <v>0.20211772365281933</v>
      </c>
      <c r="F263" s="117" t="s">
        <v>332</v>
      </c>
      <c r="R263" s="120">
        <f t="array" aca="1" ref="R263" ca="1">E263:E563</f>
        <v>0.20211772365281933</v>
      </c>
      <c r="S263" s="121">
        <f t="shared" ca="1" si="161"/>
        <v>2.4856310279304995E-2</v>
      </c>
      <c r="T263" s="121">
        <f t="shared" ca="1" si="163"/>
        <v>-1.932202492758134E-3</v>
      </c>
    </row>
    <row r="264" spans="3:20" s="74" customFormat="1" x14ac:dyDescent="0.2">
      <c r="C264" s="74">
        <v>30</v>
      </c>
      <c r="D264" s="74">
        <v>16.399999999999999</v>
      </c>
      <c r="E264" s="114">
        <f t="shared" ref="E264" ca="1" si="196">INDIRECT("a_" &amp; i) * t^3 + INDIRECT("b_" &amp; i) * t^2 + INDIRECT("c_" &amp; i) * t^1 + INDIRECT("d_" &amp; i)</f>
        <v>0.2045833913797338</v>
      </c>
      <c r="F264" s="117" t="s">
        <v>332</v>
      </c>
      <c r="R264" s="120">
        <f t="array" aca="1" ref="R264" ca="1">E264:E564</f>
        <v>0.2045833913797338</v>
      </c>
      <c r="S264" s="121">
        <f t="shared" ca="1" si="161"/>
        <v>2.4656677269145302E-2</v>
      </c>
      <c r="T264" s="121">
        <f t="shared" ca="1" si="163"/>
        <v>-1.9963301015969792E-3</v>
      </c>
    </row>
    <row r="265" spans="3:20" s="74" customFormat="1" x14ac:dyDescent="0.2">
      <c r="C265" s="74">
        <v>30</v>
      </c>
      <c r="D265" s="74">
        <v>16.5</v>
      </c>
      <c r="E265" s="114">
        <f t="shared" ref="E265" ca="1" si="197">INDIRECT("a_" &amp; i) * t^3 + INDIRECT("b_" &amp; i) * t^2 + INDIRECT("c_" &amp; i) * t^1 + INDIRECT("d_" &amp; i)</f>
        <v>0.20702845452954199</v>
      </c>
      <c r="F265" s="117" t="s">
        <v>332</v>
      </c>
      <c r="R265" s="120">
        <f t="array" aca="1" ref="R265" ca="1">E265:E565</f>
        <v>0.20702845452954199</v>
      </c>
      <c r="S265" s="121">
        <f t="shared" ca="1" si="161"/>
        <v>2.4450631498081563E-2</v>
      </c>
      <c r="T265" s="121">
        <f t="shared" ca="1" si="163"/>
        <v>-2.0604577106373614E-3</v>
      </c>
    </row>
    <row r="266" spans="3:20" s="74" customFormat="1" x14ac:dyDescent="0.2">
      <c r="C266" s="74">
        <v>30</v>
      </c>
      <c r="D266" s="74">
        <v>16.600000000000001</v>
      </c>
      <c r="E266" s="114">
        <f t="shared" ref="E266" ca="1" si="198">INDIRECT("a_" &amp; i) * t^3 + INDIRECT("b_" &amp; i) * t^2 + INDIRECT("c_" &amp; i) * t^1 + INDIRECT("d_" &amp; i)</f>
        <v>0.209452271826155</v>
      </c>
      <c r="F266" s="117" t="s">
        <v>332</v>
      </c>
      <c r="R266" s="120">
        <f t="array" aca="1" ref="R266" ca="1">E266:E566</f>
        <v>0.209452271826155</v>
      </c>
      <c r="S266" s="121">
        <f t="shared" ca="1" si="161"/>
        <v>2.4238172966129724E-2</v>
      </c>
      <c r="T266" s="121">
        <f t="shared" ca="1" si="163"/>
        <v>-2.1245853195183588E-3</v>
      </c>
    </row>
    <row r="267" spans="3:20" s="74" customFormat="1" x14ac:dyDescent="0.2">
      <c r="C267" s="74">
        <v>30</v>
      </c>
      <c r="D267" s="74">
        <v>16.7</v>
      </c>
      <c r="E267" s="114">
        <f t="shared" ref="E267" ca="1" si="199">INDIRECT("a_" &amp; i) * t^3 + INDIRECT("b_" &amp; i) * t^2 + INDIRECT("c_" &amp; i) * t^1 + INDIRECT("d_" &amp; i)</f>
        <v>0.2118542019934832</v>
      </c>
      <c r="F267" s="117" t="s">
        <v>332</v>
      </c>
      <c r="R267" s="120">
        <f t="array" aca="1" ref="R267" ca="1">E267:E567</f>
        <v>0.2118542019934832</v>
      </c>
      <c r="S267" s="121">
        <f t="shared" ca="1" si="161"/>
        <v>2.4019301673282548E-2</v>
      </c>
      <c r="T267" s="121">
        <f t="shared" ca="1" si="163"/>
        <v>-2.188712928471807E-3</v>
      </c>
    </row>
    <row r="268" spans="3:20" s="74" customFormat="1" x14ac:dyDescent="0.2">
      <c r="C268" s="74">
        <v>30</v>
      </c>
      <c r="D268" s="74">
        <v>16.8</v>
      </c>
      <c r="E268" s="114">
        <f t="shared" ref="E268" ca="1" si="200">INDIRECT("a_" &amp; i) * t^3 + INDIRECT("b_" &amp; i) * t^2 + INDIRECT("c_" &amp; i) * t^1 + INDIRECT("d_" &amp; i)</f>
        <v>0.21423360375543726</v>
      </c>
      <c r="F268" s="117" t="s">
        <v>332</v>
      </c>
      <c r="R268" s="120">
        <f t="array" aca="1" ref="R268" ca="1">E268:E568</f>
        <v>0.21423360375543726</v>
      </c>
      <c r="S268" s="121">
        <f t="shared" ca="1" si="161"/>
        <v>2.379401761954025E-2</v>
      </c>
      <c r="T268" s="121">
        <f t="shared" ca="1" si="163"/>
        <v>-2.252840537422948E-3</v>
      </c>
    </row>
    <row r="269" spans="3:20" s="74" customFormat="1" x14ac:dyDescent="0.2">
      <c r="C269" s="74">
        <v>30</v>
      </c>
      <c r="D269" s="74">
        <v>16.899999999999999</v>
      </c>
      <c r="E269" s="114">
        <f t="shared" ref="E269" ca="1" si="201">INDIRECT("a_" &amp; i) * t^3 + INDIRECT("b_" &amp; i) * t^2 + INDIRECT("c_" &amp; i) * t^1 + INDIRECT("d_" &amp; i)</f>
        <v>0.216589835835928</v>
      </c>
      <c r="F269" s="117" t="s">
        <v>332</v>
      </c>
      <c r="R269" s="120">
        <f t="array" aca="1" ref="R269" ca="1">E269:E569</f>
        <v>0.216589835835928</v>
      </c>
      <c r="S269" s="121">
        <f t="shared" ca="1" si="161"/>
        <v>2.3562320804907892E-2</v>
      </c>
      <c r="T269" s="121">
        <f t="shared" ca="1" si="163"/>
        <v>-2.3169681463236303E-3</v>
      </c>
    </row>
    <row r="270" spans="3:20" s="74" customFormat="1" x14ac:dyDescent="0.2">
      <c r="C270" s="74">
        <v>30</v>
      </c>
      <c r="D270" s="74">
        <v>17</v>
      </c>
      <c r="E270" s="114">
        <f t="shared" ref="E270" ca="1" si="202">INDIRECT("a_" &amp; i) * t^3 + INDIRECT("b_" &amp; i) * t^2 + INDIRECT("c_" &amp; i) * t^1 + INDIRECT("d_" &amp; i)</f>
        <v>0.21892225695886619</v>
      </c>
      <c r="F270" s="117" t="s">
        <v>332</v>
      </c>
      <c r="R270" s="120">
        <f t="array" aca="1" ref="R270" ca="1">E270:E570</f>
        <v>0.21892225695886619</v>
      </c>
      <c r="S270" s="121">
        <f t="shared" ca="1" si="161"/>
        <v>2.3324211229381553E-2</v>
      </c>
      <c r="T270" s="121">
        <f t="shared" ca="1" si="163"/>
        <v>-2.3810957552633525E-3</v>
      </c>
    </row>
    <row r="271" spans="3:20" s="74" customFormat="1" x14ac:dyDescent="0.2">
      <c r="C271" s="74">
        <v>30</v>
      </c>
      <c r="D271" s="74">
        <v>17.100000000000001</v>
      </c>
      <c r="E271" s="114">
        <f t="shared" ref="E271" ca="1" si="203">INDIRECT("a_" &amp; i) * t^3 + INDIRECT("b_" &amp; i) * t^2 + INDIRECT("c_" &amp; i) * t^1 + INDIRECT("d_" &amp; i)</f>
        <v>0.22123022584816182</v>
      </c>
      <c r="F271" s="117" t="s">
        <v>332</v>
      </c>
      <c r="R271" s="120">
        <f t="array" aca="1" ref="R271" ca="1">E271:E571</f>
        <v>0.22123022584816182</v>
      </c>
      <c r="S271" s="121">
        <f t="shared" ca="1" si="161"/>
        <v>2.3079688892955978E-2</v>
      </c>
      <c r="T271" s="121">
        <f t="shared" ca="1" si="163"/>
        <v>-2.4452233642557192E-3</v>
      </c>
    </row>
    <row r="272" spans="3:20" s="74" customFormat="1" x14ac:dyDescent="0.2">
      <c r="C272" s="74">
        <v>30</v>
      </c>
      <c r="D272" s="74">
        <v>17.2</v>
      </c>
      <c r="E272" s="114">
        <f t="shared" ref="E272" ca="1" si="204">INDIRECT("a_" &amp; i) * t^3 + INDIRECT("b_" &amp; i) * t^2 + INDIRECT("c_" &amp; i) * t^1 + INDIRECT("d_" &amp; i)</f>
        <v>0.22351310122772633</v>
      </c>
      <c r="F272" s="117" t="s">
        <v>332</v>
      </c>
      <c r="R272" s="120">
        <f t="array" aca="1" ref="R272" ca="1">E272:E572</f>
        <v>0.22351310122772633</v>
      </c>
      <c r="S272" s="121">
        <f t="shared" ca="1" si="161"/>
        <v>2.2828753795645571E-2</v>
      </c>
      <c r="T272" s="121">
        <f t="shared" ca="1" si="163"/>
        <v>-2.5093509731041234E-3</v>
      </c>
    </row>
    <row r="273" spans="3:20" s="74" customFormat="1" x14ac:dyDescent="0.2">
      <c r="C273" s="74">
        <v>30</v>
      </c>
      <c r="D273" s="74">
        <v>17.3</v>
      </c>
      <c r="E273" s="114">
        <f t="shared" ref="E273" ca="1" si="205">INDIRECT("a_" &amp; i) * t^3 + INDIRECT("b_" &amp; i) * t^2 + INDIRECT("c_" &amp; i) * t^1 + INDIRECT("d_" &amp; i)</f>
        <v>0.2257702418214696</v>
      </c>
      <c r="F273" s="117" t="s">
        <v>332</v>
      </c>
      <c r="R273" s="120">
        <f t="array" aca="1" ref="R273" ca="1">E273:E573</f>
        <v>0.2257702418214696</v>
      </c>
      <c r="S273" s="121">
        <f t="shared" ca="1" si="161"/>
        <v>2.2571405937432357E-2</v>
      </c>
      <c r="T273" s="121">
        <f t="shared" ca="1" si="163"/>
        <v>-2.5734785821321018E-3</v>
      </c>
    </row>
    <row r="274" spans="3:20" s="74" customFormat="1" x14ac:dyDescent="0.2">
      <c r="C274" s="74">
        <v>30</v>
      </c>
      <c r="D274" s="74">
        <v>17.399999999999999</v>
      </c>
      <c r="E274" s="114">
        <f t="shared" ref="E274" ca="1" si="206">INDIRECT("a_" &amp; i) * t^3 + INDIRECT("b_" &amp; i) * t^2 + INDIRECT("c_" &amp; i) * t^1 + INDIRECT("d_" &amp; i)</f>
        <v>0.22800100635330273</v>
      </c>
      <c r="F274" s="117" t="s">
        <v>332</v>
      </c>
      <c r="R274" s="120">
        <f t="array" aca="1" ref="R274" ca="1">E274:E574</f>
        <v>0.22800100635330273</v>
      </c>
      <c r="S274" s="121">
        <f t="shared" ca="1" si="161"/>
        <v>2.2307645318331768E-2</v>
      </c>
      <c r="T274" s="121">
        <f t="shared" ca="1" si="163"/>
        <v>-2.6376061910059418E-3</v>
      </c>
    </row>
    <row r="275" spans="3:20" s="74" customFormat="1" x14ac:dyDescent="0.2">
      <c r="C275" s="74">
        <v>30</v>
      </c>
      <c r="D275" s="74">
        <v>17.5</v>
      </c>
      <c r="E275" s="114">
        <f t="shared" ref="E275" ca="1" si="207">INDIRECT("a_" &amp; i) * t^3 + INDIRECT("b_" &amp; i) * t^2 + INDIRECT("c_" &amp; i) * t^1 + INDIRECT("d_" &amp; i)</f>
        <v>0.23020475354713638</v>
      </c>
      <c r="F275" s="117" t="s">
        <v>332</v>
      </c>
      <c r="R275" s="120">
        <f t="array" aca="1" ref="R275" ca="1">E275:E575</f>
        <v>0.23020475354713638</v>
      </c>
      <c r="S275" s="121">
        <f t="shared" ca="1" si="161"/>
        <v>2.2037471938336183E-2</v>
      </c>
      <c r="T275" s="121">
        <f t="shared" ca="1" si="163"/>
        <v>-2.7017337999558177E-3</v>
      </c>
    </row>
    <row r="276" spans="3:20" s="74" customFormat="1" x14ac:dyDescent="0.2">
      <c r="C276" s="74">
        <v>30</v>
      </c>
      <c r="D276" s="74">
        <v>17.600000000000001</v>
      </c>
      <c r="E276" s="114">
        <f t="shared" ref="E276" ca="1" si="208">INDIRECT("a_" &amp; i) * t^3 + INDIRECT("b_" &amp; i) * t^2 + INDIRECT("c_" &amp; i) * t^1 + INDIRECT("d_" &amp; i)</f>
        <v>0.23238084212688065</v>
      </c>
      <c r="F276" s="117" t="s">
        <v>332</v>
      </c>
      <c r="R276" s="120">
        <f t="array" aca="1" ref="R276" ca="1">E276:E576</f>
        <v>0.23238084212688065</v>
      </c>
      <c r="S276" s="121">
        <f t="shared" ca="1" si="161"/>
        <v>2.1760885797442422E-2</v>
      </c>
      <c r="T276" s="121">
        <f t="shared" ca="1" si="163"/>
        <v>-2.7658614089375679E-3</v>
      </c>
    </row>
    <row r="277" spans="3:20" s="74" customFormat="1" x14ac:dyDescent="0.2">
      <c r="C277" s="74">
        <v>30</v>
      </c>
      <c r="D277" s="74">
        <v>17.7</v>
      </c>
      <c r="E277" s="114">
        <f t="shared" ref="E277" ca="1" si="209">INDIRECT("a_" &amp; i) * t^3 + INDIRECT("b_" &amp; i) * t^2 + INDIRECT("c_" &amp; i) * t^1 + INDIRECT("d_" &amp; i)</f>
        <v>0.23452863081644687</v>
      </c>
      <c r="F277" s="117" t="s">
        <v>332</v>
      </c>
      <c r="R277" s="120">
        <f t="array" aca="1" ref="R277" ca="1">E277:E577</f>
        <v>0.23452863081644687</v>
      </c>
      <c r="S277" s="121">
        <f t="shared" ca="1" si="161"/>
        <v>2.1477886895662671E-2</v>
      </c>
      <c r="T277" s="121">
        <f t="shared" ca="1" si="163"/>
        <v>-2.8299890177975718E-3</v>
      </c>
    </row>
    <row r="278" spans="3:20" s="74" customFormat="1" x14ac:dyDescent="0.2">
      <c r="C278" s="74">
        <v>30</v>
      </c>
      <c r="D278" s="74">
        <v>17.8</v>
      </c>
      <c r="E278" s="114">
        <f t="shared" ref="E278" ca="1" si="210">INDIRECT("a_" &amp; i) * t^3 + INDIRECT("b_" &amp; i) * t^2 + INDIRECT("c_" &amp; i) * t^1 + INDIRECT("d_" &amp; i)</f>
        <v>0.23664747833974537</v>
      </c>
      <c r="F278" s="117" t="s">
        <v>332</v>
      </c>
      <c r="R278" s="120">
        <f t="array" aca="1" ref="R278" ca="1">E278:E578</f>
        <v>0.23664747833974537</v>
      </c>
      <c r="S278" s="121">
        <f t="shared" ca="1" si="161"/>
        <v>2.1188475232984647E-2</v>
      </c>
      <c r="T278" s="121">
        <f t="shared" ca="1" si="163"/>
        <v>-2.8941166267801928E-3</v>
      </c>
    </row>
    <row r="279" spans="3:20" s="74" customFormat="1" x14ac:dyDescent="0.2">
      <c r="C279" s="74">
        <v>30</v>
      </c>
      <c r="D279" s="74">
        <v>17.899999999999999</v>
      </c>
      <c r="E279" s="114">
        <f t="shared" ref="E279" ca="1" si="211">INDIRECT("a_" &amp; i) * t^3 + INDIRECT("b_" &amp; i) * t^2 + INDIRECT("c_" &amp; i) * t^1 + INDIRECT("d_" &amp; i)</f>
        <v>0.23873674342068646</v>
      </c>
      <c r="F279" s="117" t="s">
        <v>332</v>
      </c>
      <c r="R279" s="120">
        <f t="array" aca="1" ref="R279" ca="1">E279:E579</f>
        <v>0.23873674342068646</v>
      </c>
      <c r="S279" s="121">
        <f t="shared" ca="1" si="161"/>
        <v>2.0892650809411384E-2</v>
      </c>
      <c r="T279" s="121">
        <f t="shared" ca="1" si="163"/>
        <v>-2.9582442357326964E-3</v>
      </c>
    </row>
    <row r="280" spans="3:20" s="74" customFormat="1" x14ac:dyDescent="0.2">
      <c r="C280" s="74">
        <v>30</v>
      </c>
      <c r="D280" s="74">
        <v>18</v>
      </c>
      <c r="E280" s="114">
        <f t="shared" ref="E280" ca="1" si="212">INDIRECT("a_" &amp; i) * t^3 + INDIRECT("b_" &amp; i) * t^2 + INDIRECT("c_" &amp; i) * t^1 + INDIRECT("d_" &amp; i)</f>
        <v>0.24079578478318125</v>
      </c>
      <c r="F280" s="117" t="s">
        <v>332</v>
      </c>
      <c r="R280" s="120">
        <f t="array" aca="1" ref="R280" ca="1">E280:E580</f>
        <v>0.24079578478318125</v>
      </c>
      <c r="S280" s="121">
        <f t="shared" ca="1" si="161"/>
        <v>2.0590413624947665E-2</v>
      </c>
      <c r="T280" s="121">
        <f t="shared" ca="1" si="163"/>
        <v>-3.0223718446371465E-3</v>
      </c>
    </row>
    <row r="281" spans="3:20" s="74" customFormat="1" x14ac:dyDescent="0.2">
      <c r="C281" s="74">
        <v>30</v>
      </c>
      <c r="D281" s="74">
        <v>18.100000000000001</v>
      </c>
      <c r="E281" s="114">
        <f t="shared" ref="E281" ca="1" si="213">INDIRECT("a_" &amp; i) * t^3 + INDIRECT("b_" &amp; i) * t^2 + INDIRECT("c_" &amp; i) * t^1 + INDIRECT("d_" &amp; i)</f>
        <v>0.24282396115114019</v>
      </c>
      <c r="F281" s="117" t="s">
        <v>332</v>
      </c>
      <c r="R281" s="120">
        <f t="array" aca="1" ref="R281" ca="1">E281:E581</f>
        <v>0.24282396115114019</v>
      </c>
      <c r="S281" s="121">
        <f t="shared" ca="1" si="161"/>
        <v>2.0281763679589049E-2</v>
      </c>
      <c r="T281" s="121">
        <f t="shared" ca="1" si="163"/>
        <v>-3.0864994535861104E-3</v>
      </c>
    </row>
    <row r="282" spans="3:20" s="74" customFormat="1" x14ac:dyDescent="0.2">
      <c r="C282" s="74">
        <v>30</v>
      </c>
      <c r="D282" s="74">
        <v>18.2</v>
      </c>
      <c r="E282" s="114">
        <f t="shared" ref="E282" ca="1" si="214">INDIRECT("a_" &amp; i) * t^3 + INDIRECT("b_" &amp; i) * t^2 + INDIRECT("c_" &amp; i) * t^1 + INDIRECT("d_" &amp; i)</f>
        <v>0.2448206312484737</v>
      </c>
      <c r="F282" s="117" t="s">
        <v>332</v>
      </c>
      <c r="R282" s="120">
        <f t="array" aca="1" ref="R282" ca="1">E282:E582</f>
        <v>0.2448206312484737</v>
      </c>
      <c r="S282" s="121">
        <f t="shared" ca="1" si="161"/>
        <v>1.996670097333551E-2</v>
      </c>
      <c r="T282" s="121">
        <f t="shared" ca="1" si="163"/>
        <v>-3.1506270625354638E-3</v>
      </c>
    </row>
    <row r="283" spans="3:20" s="74" customFormat="1" x14ac:dyDescent="0.2">
      <c r="C283" s="74">
        <v>30</v>
      </c>
      <c r="D283" s="74">
        <v>18.3</v>
      </c>
      <c r="E283" s="114">
        <f t="shared" ref="E283" ca="1" si="215">INDIRECT("a_" &amp; i) * t^3 + INDIRECT("b_" &amp; i) * t^2 + INDIRECT("c_" &amp; i) * t^1 + INDIRECT("d_" &amp; i)</f>
        <v>0.24678515379909299</v>
      </c>
      <c r="F283" s="117" t="s">
        <v>332</v>
      </c>
      <c r="R283" s="120">
        <f t="array" aca="1" ref="R283" ca="1">E283:E583</f>
        <v>0.24678515379909299</v>
      </c>
      <c r="S283" s="121">
        <f t="shared" ca="1" si="161"/>
        <v>1.9645225506192687E-2</v>
      </c>
      <c r="T283" s="121">
        <f t="shared" ca="1" si="163"/>
        <v>-3.2147546714281802E-3</v>
      </c>
    </row>
    <row r="284" spans="3:20" s="74" customFormat="1" x14ac:dyDescent="0.2">
      <c r="C284" s="74">
        <v>30</v>
      </c>
      <c r="D284" s="74">
        <v>18.399999999999999</v>
      </c>
      <c r="E284" s="114">
        <f t="shared" ref="E284" ca="1" si="216">INDIRECT("a_" &amp; i) * t^3 + INDIRECT("b_" &amp; i) * t^2 + INDIRECT("c_" &amp; i) * t^1 + INDIRECT("d_" &amp; i)</f>
        <v>0.24871688752690807</v>
      </c>
      <c r="F284" s="117" t="s">
        <v>332</v>
      </c>
      <c r="R284" s="120">
        <f t="array" aca="1" ref="R284" ca="1">E284:E584</f>
        <v>0.24871688752690807</v>
      </c>
      <c r="S284" s="121">
        <f t="shared" ca="1" si="161"/>
        <v>1.9317337278151183E-2</v>
      </c>
      <c r="T284" s="121">
        <f t="shared" ca="1" si="163"/>
        <v>-3.278882280415112E-3</v>
      </c>
    </row>
    <row r="285" spans="3:20" s="74" customFormat="1" x14ac:dyDescent="0.2">
      <c r="C285" s="74">
        <v>30</v>
      </c>
      <c r="D285" s="74">
        <v>18.5</v>
      </c>
      <c r="E285" s="114">
        <f t="shared" ref="E285" ca="1" si="217">INDIRECT("a_" &amp; i) * t^3 + INDIRECT("b_" &amp; i) * t^2 + INDIRECT("c_" &amp; i) * t^1 + INDIRECT("d_" &amp; i)</f>
        <v>0.25061519115582981</v>
      </c>
      <c r="F285" s="117" t="s">
        <v>332</v>
      </c>
      <c r="R285" s="120">
        <f t="array" aca="1" ref="R285" ca="1">E285:E585</f>
        <v>0.25061519115582981</v>
      </c>
      <c r="S285" s="121">
        <f t="shared" ca="1" si="161"/>
        <v>1.898303628921711E-2</v>
      </c>
      <c r="T285" s="121">
        <f t="shared" ca="1" si="163"/>
        <v>-3.3430098893406793E-3</v>
      </c>
    </row>
    <row r="286" spans="3:20" s="74" customFormat="1" x14ac:dyDescent="0.2">
      <c r="C286" s="74">
        <v>30</v>
      </c>
      <c r="D286" s="74">
        <v>18.600000000000001</v>
      </c>
      <c r="E286" s="114">
        <f t="shared" ref="E286" ca="1" si="218">INDIRECT("a_" &amp; i) * t^3 + INDIRECT("b_" &amp; i) * t^2 + INDIRECT("c_" &amp; i) * t^1 + INDIRECT("d_" &amp; i)</f>
        <v>0.25247942340976887</v>
      </c>
      <c r="F286" s="117" t="s">
        <v>332</v>
      </c>
      <c r="R286" s="120">
        <f t="array" aca="1" ref="R286" ca="1">E286:E586</f>
        <v>0.25247942340976887</v>
      </c>
      <c r="S286" s="121">
        <f t="shared" ca="1" si="161"/>
        <v>1.8642322539390313E-2</v>
      </c>
      <c r="T286" s="121">
        <f t="shared" ca="1" si="163"/>
        <v>-3.4071374982679245E-3</v>
      </c>
    </row>
    <row r="287" spans="3:20" s="74" customFormat="1" x14ac:dyDescent="0.2">
      <c r="C287" s="74">
        <v>30</v>
      </c>
      <c r="D287" s="74">
        <v>18.7</v>
      </c>
      <c r="E287" s="114">
        <f t="shared" ref="E287" ca="1" si="219">INDIRECT("a_" &amp; i) * t^3 + INDIRECT("b_" &amp; i) * t^2 + INDIRECT("c_" &amp; i) * t^1 + INDIRECT("d_" &amp; i)</f>
        <v>0.2543089430126359</v>
      </c>
      <c r="F287" s="117" t="s">
        <v>332</v>
      </c>
      <c r="R287" s="120">
        <f t="array" aca="1" ref="R287" ca="1">E287:E587</f>
        <v>0.2543089430126359</v>
      </c>
      <c r="S287" s="121">
        <f t="shared" ca="1" si="161"/>
        <v>1.8295196028670746E-2</v>
      </c>
      <c r="T287" s="121">
        <f t="shared" ca="1" si="163"/>
        <v>-3.4712651071957443E-3</v>
      </c>
    </row>
    <row r="288" spans="3:20" s="74" customFormat="1" x14ac:dyDescent="0.2">
      <c r="C288" s="74">
        <v>30</v>
      </c>
      <c r="D288" s="74">
        <v>18.8</v>
      </c>
      <c r="E288" s="114">
        <f t="shared" ref="E288" ca="1" si="220">INDIRECT("a_" &amp; i) * t^3 + INDIRECT("b_" &amp; i) * t^2 + INDIRECT("c_" &amp; i) * t^1 + INDIRECT("d_" &amp; i)</f>
        <v>0.25610310868834146</v>
      </c>
      <c r="F288" s="117" t="s">
        <v>332</v>
      </c>
      <c r="R288" s="120">
        <f t="array" aca="1" ref="R288" ca="1">E288:E588</f>
        <v>0.25610310868834146</v>
      </c>
      <c r="S288" s="121">
        <f t="shared" ca="1" si="161"/>
        <v>1.794165675705536E-2</v>
      </c>
      <c r="T288" s="121">
        <f t="shared" ca="1" si="163"/>
        <v>-3.5353927161538134E-3</v>
      </c>
    </row>
    <row r="289" spans="3:20" s="74" customFormat="1" x14ac:dyDescent="0.2">
      <c r="C289" s="74">
        <v>30</v>
      </c>
      <c r="D289" s="74">
        <v>18.899999999999999</v>
      </c>
      <c r="E289" s="114">
        <f t="shared" ref="E289" ca="1" si="221">INDIRECT("a_" &amp; i) * t^3 + INDIRECT("b_" &amp; i) * t^2 + INDIRECT("c_" &amp; i) * t^1 + INDIRECT("d_" &amp; i)</f>
        <v>0.25786127916079588</v>
      </c>
      <c r="F289" s="117" t="s">
        <v>332</v>
      </c>
      <c r="R289" s="120">
        <f t="array" aca="1" ref="R289" ca="1">E289:E589</f>
        <v>0.25786127916079588</v>
      </c>
      <c r="S289" s="121">
        <f t="shared" ca="1" si="161"/>
        <v>1.7581704724544497E-2</v>
      </c>
      <c r="T289" s="121">
        <f t="shared" ca="1" si="163"/>
        <v>-3.5995203251086992E-3</v>
      </c>
    </row>
    <row r="290" spans="3:20" s="74" customFormat="1" x14ac:dyDescent="0.2">
      <c r="C290" s="74">
        <v>30</v>
      </c>
      <c r="D290" s="74">
        <v>19</v>
      </c>
      <c r="E290" s="114">
        <f t="shared" ref="E290" ca="1" si="222">INDIRECT("a_" &amp; i) * t^3 + INDIRECT("b_" &amp; i) * t^2 + INDIRECT("c_" &amp; i) * t^1 + INDIRECT("d_" &amp; i)</f>
        <v>0.25958281315391069</v>
      </c>
      <c r="F290" s="117" t="s">
        <v>332</v>
      </c>
      <c r="R290" s="120">
        <f t="array" aca="1" ref="R290" ca="1">E290:E590</f>
        <v>0.25958281315391069</v>
      </c>
      <c r="S290" s="121">
        <f t="shared" ca="1" si="161"/>
        <v>1.7215339931147853E-2</v>
      </c>
      <c r="T290" s="121">
        <f t="shared" ca="1" si="163"/>
        <v>-3.6636479339663929E-3</v>
      </c>
    </row>
    <row r="291" spans="3:20" s="74" customFormat="1" x14ac:dyDescent="0.2">
      <c r="C291" s="74">
        <v>30</v>
      </c>
      <c r="D291" s="74">
        <v>19.100000000000001</v>
      </c>
      <c r="E291" s="114">
        <f t="shared" ref="E291" ca="1" si="223">INDIRECT("a_" &amp; i) * t^3 + INDIRECT("b_" &amp; i) * t^2 + INDIRECT("c_" &amp; i) * t^1 + INDIRECT("d_" &amp; i)</f>
        <v>0.26126706939159566</v>
      </c>
      <c r="F291" s="117" t="s">
        <v>332</v>
      </c>
      <c r="R291" s="120">
        <f t="array" aca="1" ref="R291" ca="1">E291:E591</f>
        <v>0.26126706939159566</v>
      </c>
      <c r="S291" s="121">
        <f t="shared" ca="1" si="161"/>
        <v>1.684256237684954E-2</v>
      </c>
      <c r="T291" s="121">
        <f t="shared" ca="1" si="163"/>
        <v>-3.7277755429830804E-3</v>
      </c>
    </row>
    <row r="292" spans="3:20" s="74" customFormat="1" x14ac:dyDescent="0.2">
      <c r="C292" s="74">
        <v>30</v>
      </c>
      <c r="D292" s="74">
        <v>19.2</v>
      </c>
      <c r="E292" s="114">
        <f t="shared" ref="E292" ca="1" si="224">INDIRECT("a_" &amp; i) * t^3 + INDIRECT("b_" &amp; i) * t^2 + INDIRECT("c_" &amp; i) * t^1 + INDIRECT("d_" &amp; i)</f>
        <v>0.26291340659776169</v>
      </c>
      <c r="F292" s="117" t="s">
        <v>332</v>
      </c>
      <c r="R292" s="120">
        <f t="array" aca="1" ref="R292" ca="1">E292:E592</f>
        <v>0.26291340659776169</v>
      </c>
      <c r="S292" s="121">
        <f t="shared" ca="1" si="161"/>
        <v>1.6463372061660615E-2</v>
      </c>
      <c r="T292" s="121">
        <f t="shared" ca="1" si="163"/>
        <v>-3.7919031518893311E-3</v>
      </c>
    </row>
    <row r="293" spans="3:20" s="74" customFormat="1" x14ac:dyDescent="0.2">
      <c r="C293" s="74">
        <v>30</v>
      </c>
      <c r="D293" s="74">
        <v>19.3</v>
      </c>
      <c r="E293" s="114">
        <f t="shared" ref="E293" ca="1" si="225">INDIRECT("a_" &amp; i) * t^3 + INDIRECT("b_" &amp; i) * t^2 + INDIRECT("c_" &amp; i) * t^1 + INDIRECT("d_" &amp; i)</f>
        <v>0.26452118349631953</v>
      </c>
      <c r="F293" s="117" t="s">
        <v>332</v>
      </c>
      <c r="R293" s="120">
        <f t="array" aca="1" ref="R293" ca="1">E293:E593</f>
        <v>0.26452118349631953</v>
      </c>
      <c r="S293" s="121">
        <f t="shared" ca="1" si="161"/>
        <v>1.6077768985578215E-2</v>
      </c>
      <c r="T293" s="121">
        <f t="shared" ca="1" si="163"/>
        <v>-3.8560307608239358E-3</v>
      </c>
    </row>
    <row r="294" spans="3:20" s="74" customFormat="1" x14ac:dyDescent="0.2">
      <c r="C294" s="74">
        <v>30</v>
      </c>
      <c r="D294" s="74">
        <v>19.399999999999999</v>
      </c>
      <c r="E294" s="114">
        <f t="shared" ref="E294" ca="1" si="226">INDIRECT("a_" &amp; i) * t^3 + INDIRECT("b_" &amp; i) * t^2 + INDIRECT("c_" &amp; i) * t^1 + INDIRECT("d_" &amp; i)</f>
        <v>0.26608975881117974</v>
      </c>
      <c r="F294" s="117" t="s">
        <v>332</v>
      </c>
      <c r="R294" s="120">
        <f t="array" aca="1" ref="R294" ca="1">E294:E594</f>
        <v>0.26608975881117974</v>
      </c>
      <c r="S294" s="121">
        <f t="shared" ref="S294:S357" ca="1" si="227">(R294-R293)/(D294-D293)</f>
        <v>1.5685753148602433E-2</v>
      </c>
      <c r="T294" s="121">
        <f t="shared" ca="1" si="163"/>
        <v>-3.9201583697579118E-3</v>
      </c>
    </row>
    <row r="295" spans="3:20" s="74" customFormat="1" x14ac:dyDescent="0.2">
      <c r="C295" s="74">
        <v>30</v>
      </c>
      <c r="D295" s="74">
        <v>19.5</v>
      </c>
      <c r="E295" s="114">
        <f t="shared" ref="E295" ca="1" si="228">INDIRECT("a_" &amp; i) * t^3 + INDIRECT("b_" &amp; i) * t^2 + INDIRECT("c_" &amp; i) * t^1 + INDIRECT("d_" &amp; i)</f>
        <v>0.26761849126625264</v>
      </c>
      <c r="F295" s="117" t="s">
        <v>332</v>
      </c>
      <c r="R295" s="120">
        <f t="array" aca="1" ref="R295" ca="1">E295:E595</f>
        <v>0.26761849126625264</v>
      </c>
      <c r="S295" s="121">
        <f t="shared" ca="1" si="227"/>
        <v>1.5287324550728792E-2</v>
      </c>
      <c r="T295" s="121">
        <f t="shared" ref="T295:T358" ca="1" si="229">(S295-S294)/(D295-D294)</f>
        <v>-3.9842859787363486E-3</v>
      </c>
    </row>
    <row r="296" spans="3:20" s="74" customFormat="1" x14ac:dyDescent="0.2">
      <c r="C296" s="74">
        <v>30</v>
      </c>
      <c r="D296" s="74">
        <v>19.600000000000001</v>
      </c>
      <c r="E296" s="114">
        <f t="shared" ref="E296" ca="1" si="230">INDIRECT("a_" &amp; i) * t^3 + INDIRECT("b_" &amp; i) * t^2 + INDIRECT("c_" &amp; i) * t^1 + INDIRECT("d_" &amp; i)</f>
        <v>0.26910673958544956</v>
      </c>
      <c r="F296" s="117" t="s">
        <v>332</v>
      </c>
      <c r="R296" s="120">
        <f t="array" aca="1" ref="R296" ca="1">E296:E596</f>
        <v>0.26910673958544956</v>
      </c>
      <c r="S296" s="121">
        <f t="shared" ca="1" si="227"/>
        <v>1.4882483191968953E-2</v>
      </c>
      <c r="T296" s="121">
        <f t="shared" ca="1" si="229"/>
        <v>-4.0484135875983335E-3</v>
      </c>
    </row>
    <row r="297" spans="3:20" s="74" customFormat="1" x14ac:dyDescent="0.2">
      <c r="C297" s="74">
        <v>30</v>
      </c>
      <c r="D297" s="74">
        <v>19.7</v>
      </c>
      <c r="E297" s="114">
        <f t="shared" ref="E297" ca="1" si="231">INDIRECT("a_" &amp; i) * t^3 + INDIRECT("b_" &amp; i) * t^2 + INDIRECT("c_" &amp; i) * t^1 + INDIRECT("d_" &amp; i)</f>
        <v>0.27055386249268026</v>
      </c>
      <c r="F297" s="117" t="s">
        <v>332</v>
      </c>
      <c r="R297" s="120">
        <f t="array" aca="1" ref="R297" ca="1">E297:E597</f>
        <v>0.27055386249268026</v>
      </c>
      <c r="S297" s="121">
        <f t="shared" ca="1" si="227"/>
        <v>1.4471229072307332E-2</v>
      </c>
      <c r="T297" s="121">
        <f t="shared" ca="1" si="229"/>
        <v>-4.1125411966162944E-3</v>
      </c>
    </row>
    <row r="298" spans="3:20" s="74" customFormat="1" x14ac:dyDescent="0.2">
      <c r="C298" s="74">
        <v>30</v>
      </c>
      <c r="D298" s="74">
        <v>19.8</v>
      </c>
      <c r="E298" s="114">
        <f t="shared" ref="E298" ca="1" si="232">INDIRECT("a_" &amp; i) * t^3 + INDIRECT("b_" &amp; i) * t^2 + INDIRECT("c_" &amp; i) * t^1 + INDIRECT("d_" &amp; i)</f>
        <v>0.27195921871185619</v>
      </c>
      <c r="F298" s="117" t="s">
        <v>332</v>
      </c>
      <c r="R298" s="120">
        <f t="array" aca="1" ref="R298" ca="1">E298:E598</f>
        <v>0.27195921871185619</v>
      </c>
      <c r="S298" s="121">
        <f t="shared" ca="1" si="227"/>
        <v>1.405356219175904E-2</v>
      </c>
      <c r="T298" s="121">
        <f t="shared" ca="1" si="229"/>
        <v>-4.1766688054828693E-3</v>
      </c>
    </row>
    <row r="299" spans="3:20" s="74" customFormat="1" x14ac:dyDescent="0.2">
      <c r="C299" s="74">
        <v>30</v>
      </c>
      <c r="D299" s="74">
        <v>19.899999999999999</v>
      </c>
      <c r="E299" s="114">
        <f t="shared" ref="E299" ca="1" si="233">INDIRECT("a_" &amp; i) * t^3 + INDIRECT("b_" &amp; i) * t^2 + INDIRECT("c_" &amp; i) * t^1 + INDIRECT("d_" &amp; i)</f>
        <v>0.27332216696688733</v>
      </c>
      <c r="F299" s="117" t="s">
        <v>332</v>
      </c>
      <c r="R299" s="120">
        <f t="array" aca="1" ref="R299" ca="1">E299:E599</f>
        <v>0.27332216696688733</v>
      </c>
      <c r="S299" s="121">
        <f t="shared" ca="1" si="227"/>
        <v>1.3629482550311668E-2</v>
      </c>
      <c r="T299" s="121">
        <f t="shared" ca="1" si="229"/>
        <v>-4.2407964144738075E-3</v>
      </c>
    </row>
    <row r="300" spans="3:20" s="74" customFormat="1" x14ac:dyDescent="0.2">
      <c r="C300" s="74">
        <v>30</v>
      </c>
      <c r="D300" s="74">
        <v>20</v>
      </c>
      <c r="E300" s="114">
        <f t="shared" ref="E300" ca="1" si="234">INDIRECT("a_" &amp; i) * t^3 + INDIRECT("b_" &amp; i) * t^2 + INDIRECT("c_" &amp; i) * t^1 + INDIRECT("d_" &amp; i)</f>
        <v>0.27464206598168478</v>
      </c>
      <c r="F300" s="117" t="s">
        <v>332</v>
      </c>
      <c r="R300" s="120">
        <f t="array" aca="1" ref="R300" ca="1">E300:E600</f>
        <v>0.27464206598168478</v>
      </c>
      <c r="S300" s="121">
        <f t="shared" ca="1" si="227"/>
        <v>1.3198990147974356E-2</v>
      </c>
      <c r="T300" s="121">
        <f t="shared" ca="1" si="229"/>
        <v>-4.3049240233730595E-3</v>
      </c>
    </row>
    <row r="301" spans="3:20" s="74" customFormat="1" x14ac:dyDescent="0.2">
      <c r="C301" s="74">
        <v>30</v>
      </c>
      <c r="D301" s="74">
        <v>20.100000000000001</v>
      </c>
      <c r="E301" s="114">
        <f t="shared" ref="E301" ca="1" si="235">INDIRECT("a_" &amp; i) * t^3 + INDIRECT("b_" &amp; i) * t^2 + INDIRECT("c_" &amp; i) * t^1 + INDIRECT("d_" &amp; i)</f>
        <v>0.27591827448015899</v>
      </c>
      <c r="F301" s="117" t="s">
        <v>332</v>
      </c>
      <c r="R301" s="120">
        <f t="array" aca="1" ref="R301" ca="1">E301:E601</f>
        <v>0.27591827448015899</v>
      </c>
      <c r="S301" s="121">
        <f t="shared" ca="1" si="227"/>
        <v>1.276208498474189E-2</v>
      </c>
      <c r="T301" s="121">
        <f t="shared" ca="1" si="229"/>
        <v>-4.3690516323245908E-3</v>
      </c>
    </row>
    <row r="302" spans="3:20" s="74" customFormat="1" x14ac:dyDescent="0.2">
      <c r="C302" s="74">
        <v>30</v>
      </c>
      <c r="D302" s="74">
        <v>20.2</v>
      </c>
      <c r="E302" s="114">
        <f t="shared" ref="E302" ca="1" si="236">INDIRECT("a_" &amp; i) * t^3 + INDIRECT("b_" &amp; i) * t^2 + INDIRECT("c_" &amp; i) * t^1 + INDIRECT("d_" &amp; i)</f>
        <v>0.27715015118622038</v>
      </c>
      <c r="F302" s="117" t="s">
        <v>332</v>
      </c>
      <c r="R302" s="120">
        <f t="array" aca="1" ref="R302" ca="1">E302:E602</f>
        <v>0.27715015118622038</v>
      </c>
      <c r="S302" s="121">
        <f t="shared" ca="1" si="227"/>
        <v>1.2318767060614228E-2</v>
      </c>
      <c r="T302" s="121">
        <f t="shared" ca="1" si="229"/>
        <v>-4.4331792412767137E-3</v>
      </c>
    </row>
    <row r="303" spans="3:20" s="74" customFormat="1" x14ac:dyDescent="0.2">
      <c r="C303" s="74">
        <v>30</v>
      </c>
      <c r="D303" s="74">
        <v>20.3</v>
      </c>
      <c r="E303" s="114">
        <f t="shared" ref="E303" ca="1" si="237">INDIRECT("a_" &amp; i) * t^3 + INDIRECT("b_" &amp; i) * t^2 + INDIRECT("c_" &amp; i) * t^1 + INDIRECT("d_" &amp; i)</f>
        <v>0.27833705482377996</v>
      </c>
      <c r="F303" s="117" t="s">
        <v>332</v>
      </c>
      <c r="R303" s="120">
        <f t="array" aca="1" ref="R303" ca="1">E303:E603</f>
        <v>0.27833705482377996</v>
      </c>
      <c r="S303" s="121">
        <f t="shared" ca="1" si="227"/>
        <v>1.1869036375595608E-2</v>
      </c>
      <c r="T303" s="121">
        <f t="shared" ca="1" si="229"/>
        <v>-4.4973068501861415E-3</v>
      </c>
    </row>
    <row r="304" spans="3:20" s="74" customFormat="1" x14ac:dyDescent="0.2">
      <c r="C304" s="74">
        <v>30</v>
      </c>
      <c r="D304" s="74">
        <v>20.399999999999999</v>
      </c>
      <c r="E304" s="114">
        <f t="shared" ref="E304" ca="1" si="238">INDIRECT("a_" &amp; i) * t^3 + INDIRECT("b_" &amp; i) * t^2 + INDIRECT("c_" &amp; i) * t^1 + INDIRECT("d_" &amp; i)</f>
        <v>0.27947834411674827</v>
      </c>
      <c r="F304" s="117" t="s">
        <v>332</v>
      </c>
      <c r="R304" s="120">
        <f t="array" aca="1" ref="R304" ca="1">E304:E604</f>
        <v>0.27947834411674827</v>
      </c>
      <c r="S304" s="121">
        <f t="shared" ca="1" si="227"/>
        <v>1.1412892929683303E-2</v>
      </c>
      <c r="T304" s="121">
        <f t="shared" ca="1" si="229"/>
        <v>-4.5614344591231419E-3</v>
      </c>
    </row>
    <row r="305" spans="3:20" s="74" customFormat="1" x14ac:dyDescent="0.2">
      <c r="C305" s="74">
        <v>30</v>
      </c>
      <c r="D305" s="74">
        <v>20.5</v>
      </c>
      <c r="E305" s="114">
        <f t="shared" ref="E305" ca="1" si="239">INDIRECT("a_" &amp; i) * t^3 + INDIRECT("b_" &amp; i) * t^2 + INDIRECT("c_" &amp; i) * t^1 + INDIRECT("d_" &amp; i)</f>
        <v>0.28057337778903552</v>
      </c>
      <c r="F305" s="117" t="s">
        <v>332</v>
      </c>
      <c r="R305" s="120">
        <f t="array" aca="1" ref="R305" ca="1">E305:E605</f>
        <v>0.28057337778903552</v>
      </c>
      <c r="S305" s="121">
        <f t="shared" ca="1" si="227"/>
        <v>1.0950336722872333E-2</v>
      </c>
      <c r="T305" s="121">
        <f t="shared" ca="1" si="229"/>
        <v>-4.6255620681096392E-3</v>
      </c>
    </row>
    <row r="306" spans="3:20" s="74" customFormat="1" x14ac:dyDescent="0.2">
      <c r="C306" s="74">
        <v>30</v>
      </c>
      <c r="D306" s="74">
        <v>20.6</v>
      </c>
      <c r="E306" s="114">
        <f t="shared" ref="E306" ca="1" si="240">INDIRECT("a_" &amp; i) * t^3 + INDIRECT("b_" &amp; i) * t^2 + INDIRECT("c_" &amp; i) * t^1 + INDIRECT("d_" &amp; i)</f>
        <v>0.28162151456455281</v>
      </c>
      <c r="F306" s="117" t="s">
        <v>332</v>
      </c>
      <c r="R306" s="120">
        <f t="array" aca="1" ref="R306" ca="1">E306:E606</f>
        <v>0.28162151456455281</v>
      </c>
      <c r="S306" s="121">
        <f t="shared" ca="1" si="227"/>
        <v>1.0481367755172794E-2</v>
      </c>
      <c r="T306" s="121">
        <f t="shared" ca="1" si="229"/>
        <v>-4.6896896769953204E-3</v>
      </c>
    </row>
    <row r="307" spans="3:20" s="74" customFormat="1" x14ac:dyDescent="0.2">
      <c r="C307" s="74">
        <v>30</v>
      </c>
      <c r="D307" s="74">
        <v>20.7</v>
      </c>
      <c r="E307" s="114">
        <f t="shared" ref="E307" ca="1" si="241">INDIRECT("a_" &amp; i) * t^3 + INDIRECT("b_" &amp; i) * t^2 + INDIRECT("c_" &amp; i) * t^1 + INDIRECT("d_" &amp; i)</f>
        <v>0.2826221131672107</v>
      </c>
      <c r="F307" s="117" t="s">
        <v>332</v>
      </c>
      <c r="R307" s="120">
        <f t="array" aca="1" ref="R307" ca="1">E307:E607</f>
        <v>0.2826221131672107</v>
      </c>
      <c r="S307" s="121">
        <f t="shared" ca="1" si="227"/>
        <v>1.0005986026579086E-2</v>
      </c>
      <c r="T307" s="121">
        <f t="shared" ca="1" si="229"/>
        <v>-4.753817285937185E-3</v>
      </c>
    </row>
    <row r="308" spans="3:20" s="74" customFormat="1" x14ac:dyDescent="0.2">
      <c r="C308" s="74">
        <v>30</v>
      </c>
      <c r="D308" s="74">
        <v>20.8</v>
      </c>
      <c r="E308" s="114">
        <f t="shared" ref="E308" ca="1" si="242">INDIRECT("a_" &amp; i) * t^3 + INDIRECT("b_" &amp; i) * t^2 + INDIRECT("c_" &amp; i) * t^1 + INDIRECT("d_" &amp; i)</f>
        <v>0.28357453232091973</v>
      </c>
      <c r="F308" s="117" t="s">
        <v>332</v>
      </c>
      <c r="R308" s="120">
        <f t="array" aca="1" ref="R308" ca="1">E308:E608</f>
        <v>0.28357453232091973</v>
      </c>
      <c r="S308" s="121">
        <f t="shared" ca="1" si="227"/>
        <v>9.524191537090141E-3</v>
      </c>
      <c r="T308" s="121">
        <f t="shared" ca="1" si="229"/>
        <v>-4.8179448948893798E-3</v>
      </c>
    </row>
    <row r="309" spans="3:20" s="74" customFormat="1" x14ac:dyDescent="0.2">
      <c r="C309" s="74">
        <v>30</v>
      </c>
      <c r="D309" s="74">
        <v>20.9</v>
      </c>
      <c r="E309" s="114">
        <f t="shared" ref="E309" ca="1" si="243">INDIRECT("a_" &amp; i) * t^3 + INDIRECT("b_" &amp; i) * t^2 + INDIRECT("c_" &amp; i) * t^1 + INDIRECT("d_" &amp; i)</f>
        <v>0.28447813074959066</v>
      </c>
      <c r="F309" s="117" t="s">
        <v>332</v>
      </c>
      <c r="R309" s="120">
        <f t="array" aca="1" ref="R309" ca="1">E309:E609</f>
        <v>0.28447813074959066</v>
      </c>
      <c r="S309" s="121">
        <f t="shared" ca="1" si="227"/>
        <v>9.0359842867095679E-3</v>
      </c>
      <c r="T309" s="121">
        <f t="shared" ca="1" si="229"/>
        <v>-4.882072503805835E-3</v>
      </c>
    </row>
    <row r="310" spans="3:20" s="74" customFormat="1" x14ac:dyDescent="0.2">
      <c r="C310" s="74">
        <v>30</v>
      </c>
      <c r="D310" s="74">
        <v>21</v>
      </c>
      <c r="E310" s="114">
        <f t="shared" ref="E310" ca="1" si="244">INDIRECT("a_" &amp; i) * t^3 + INDIRECT("b_" &amp; i) * t^2 + INDIRECT("c_" &amp; i) * t^1 + INDIRECT("d_" &amp; i)</f>
        <v>0.28533226717713395</v>
      </c>
      <c r="F310" s="117" t="s">
        <v>332</v>
      </c>
      <c r="R310" s="120">
        <f t="array" aca="1" ref="R310" ca="1">E310:E610</f>
        <v>0.28533226717713395</v>
      </c>
      <c r="S310" s="121">
        <f t="shared" ca="1" si="227"/>
        <v>8.5413642754327175E-3</v>
      </c>
      <c r="T310" s="121">
        <f t="shared" ca="1" si="229"/>
        <v>-4.9462001127684339E-3</v>
      </c>
    </row>
    <row r="311" spans="3:20" s="74" customFormat="1" x14ac:dyDescent="0.2">
      <c r="C311" s="74">
        <v>30</v>
      </c>
      <c r="D311" s="74">
        <v>21.1</v>
      </c>
      <c r="E311" s="114">
        <f t="shared" ref="E311" ca="1" si="245">INDIRECT("a_" &amp; i) * t^3 + INDIRECT("b_" &amp; i) * t^2 + INDIRECT("c_" &amp; i) * t^1 + INDIRECT("d_" &amp; i)</f>
        <v>0.28613630032746035</v>
      </c>
      <c r="F311" s="117" t="s">
        <v>332</v>
      </c>
      <c r="R311" s="120">
        <f t="array" aca="1" ref="R311" ca="1">E311:E611</f>
        <v>0.28613630032746035</v>
      </c>
      <c r="S311" s="121">
        <f t="shared" ca="1" si="227"/>
        <v>8.0403315032638832E-3</v>
      </c>
      <c r="T311" s="121">
        <f t="shared" ca="1" si="229"/>
        <v>-5.0103277216882718E-3</v>
      </c>
    </row>
    <row r="312" spans="3:20" s="74" customFormat="1" x14ac:dyDescent="0.2">
      <c r="C312" s="74">
        <v>30</v>
      </c>
      <c r="D312" s="74">
        <v>21.2</v>
      </c>
      <c r="E312" s="114">
        <f t="shared" ref="E312" ca="1" si="246">INDIRECT("a_" &amp; i) * t^3 + INDIRECT("b_" &amp; i) * t^2 + INDIRECT("c_" &amp; i) * t^1 + INDIRECT("d_" &amp; i)</f>
        <v>0.2868895889244803</v>
      </c>
      <c r="F312" s="117" t="s">
        <v>332</v>
      </c>
      <c r="R312" s="120">
        <f t="array" aca="1" ref="R312" ca="1">E312:E612</f>
        <v>0.2868895889244803</v>
      </c>
      <c r="S312" s="121">
        <f t="shared" ca="1" si="227"/>
        <v>7.5328859701996815E-3</v>
      </c>
      <c r="T312" s="121">
        <f t="shared" ca="1" si="229"/>
        <v>-5.0744553306421259E-3</v>
      </c>
    </row>
    <row r="313" spans="3:20" s="74" customFormat="1" x14ac:dyDescent="0.2">
      <c r="C313" s="74">
        <v>30</v>
      </c>
      <c r="D313" s="74">
        <v>21.3</v>
      </c>
      <c r="E313" s="114">
        <f t="shared" ref="E313" ca="1" si="247">INDIRECT("a_" &amp; i) * t^3 + INDIRECT("b_" &amp; i) * t^2 + INDIRECT("c_" &amp; i) * t^1 + INDIRECT("d_" &amp; i)</f>
        <v>0.28759149169210457</v>
      </c>
      <c r="F313" s="117" t="s">
        <v>332</v>
      </c>
      <c r="R313" s="120">
        <f t="array" aca="1" ref="R313" ca="1">E313:E613</f>
        <v>0.28759149169210457</v>
      </c>
      <c r="S313" s="121">
        <f t="shared" ca="1" si="227"/>
        <v>7.0190276762426397E-3</v>
      </c>
      <c r="T313" s="121">
        <f t="shared" ca="1" si="229"/>
        <v>-5.1385829395703443E-3</v>
      </c>
    </row>
    <row r="314" spans="3:20" s="74" customFormat="1" x14ac:dyDescent="0.2">
      <c r="C314" s="74">
        <v>30</v>
      </c>
      <c r="D314" s="74">
        <v>21.4</v>
      </c>
      <c r="E314" s="114">
        <f t="shared" ref="E314" ca="1" si="248">INDIRECT("a_" &amp; i) * t^3 + INDIRECT("b_" &amp; i) * t^2 + INDIRECT("c_" &amp; i) * t^1 + INDIRECT("d_" &amp; i)</f>
        <v>0.28824136735424361</v>
      </c>
      <c r="F314" s="117" t="s">
        <v>332</v>
      </c>
      <c r="R314" s="120">
        <f t="array" aca="1" ref="R314" ca="1">E314:E614</f>
        <v>0.28824136735424361</v>
      </c>
      <c r="S314" s="121">
        <f t="shared" ca="1" si="227"/>
        <v>6.4987566213904613E-3</v>
      </c>
      <c r="T314" s="121">
        <f t="shared" ca="1" si="229"/>
        <v>-5.2027105485218956E-3</v>
      </c>
    </row>
    <row r="315" spans="3:20" s="74" customFormat="1" x14ac:dyDescent="0.2">
      <c r="C315" s="74">
        <v>30</v>
      </c>
      <c r="D315" s="74">
        <v>21.5</v>
      </c>
      <c r="E315" s="114">
        <f t="shared" ref="E315" ca="1" si="249">INDIRECT("a_" &amp; i) * t^3 + INDIRECT("b_" &amp; i) * t^2 + INDIRECT("c_" &amp; i) * t^1 + INDIRECT("d_" &amp; i)</f>
        <v>0.2888385746348085</v>
      </c>
      <c r="F315" s="117" t="s">
        <v>332</v>
      </c>
      <c r="R315" s="120">
        <f t="array" aca="1" ref="R315" ca="1">E315:E615</f>
        <v>0.2888385746348085</v>
      </c>
      <c r="S315" s="121">
        <f t="shared" ca="1" si="227"/>
        <v>5.9720728056488464E-3</v>
      </c>
      <c r="T315" s="121">
        <f t="shared" ca="1" si="229"/>
        <v>-5.2668381574160743E-3</v>
      </c>
    </row>
    <row r="316" spans="3:20" s="74" customFormat="1" x14ac:dyDescent="0.2">
      <c r="C316" s="74">
        <v>30</v>
      </c>
      <c r="D316" s="74">
        <v>21.6</v>
      </c>
      <c r="E316" s="114">
        <f t="shared" ref="E316" ca="1" si="250">INDIRECT("a_" &amp; i) * t^3 + INDIRECT("b_" &amp; i) * t^2 + INDIRECT("c_" &amp; i) * t^1 + INDIRECT("d_" &amp; i)</f>
        <v>0.28938247225770958</v>
      </c>
      <c r="F316" s="117" t="s">
        <v>332</v>
      </c>
      <c r="R316" s="120">
        <f t="array" aca="1" ref="R316" ca="1">E316:E616</f>
        <v>0.28938247225770958</v>
      </c>
      <c r="S316" s="121">
        <f t="shared" ca="1" si="227"/>
        <v>5.4389762290107174E-3</v>
      </c>
      <c r="T316" s="121">
        <f t="shared" ca="1" si="229"/>
        <v>-5.3309657663812146E-3</v>
      </c>
    </row>
    <row r="317" spans="3:20" s="74" customFormat="1" x14ac:dyDescent="0.2">
      <c r="C317" s="74">
        <v>30</v>
      </c>
      <c r="D317" s="74">
        <v>21.7</v>
      </c>
      <c r="E317" s="114">
        <f t="shared" ref="E317" ca="1" si="251">INDIRECT("a_" &amp; i) * t^3 + INDIRECT("b_" &amp; i) * t^2 + INDIRECT("c_" &amp; i) * t^1 + INDIRECT("d_" &amp; i)</f>
        <v>0.28987241894685739</v>
      </c>
      <c r="F317" s="117" t="s">
        <v>332</v>
      </c>
      <c r="R317" s="120">
        <f t="array" aca="1" ref="R317" ca="1">E317:E617</f>
        <v>0.28987241894685739</v>
      </c>
      <c r="S317" s="121">
        <f t="shared" ca="1" si="227"/>
        <v>4.8994668914782366E-3</v>
      </c>
      <c r="T317" s="121">
        <f t="shared" ca="1" si="229"/>
        <v>-5.3950933753249232E-3</v>
      </c>
    </row>
    <row r="318" spans="3:20" s="74" customFormat="1" x14ac:dyDescent="0.2">
      <c r="C318" s="74">
        <v>30</v>
      </c>
      <c r="D318" s="74">
        <v>21.8</v>
      </c>
      <c r="E318" s="114">
        <f t="shared" ref="E318" ca="1" si="252">INDIRECT("a_" &amp; i) * t^3 + INDIRECT("b_" &amp; i) * t^2 + INDIRECT("c_" &amp; i) * t^1 + INDIRECT("d_" &amp; i)</f>
        <v>0.29030777342616282</v>
      </c>
      <c r="F318" s="117" t="s">
        <v>332</v>
      </c>
      <c r="R318" s="120">
        <f t="array" aca="1" ref="R318" ca="1">E318:E618</f>
        <v>0.29030777342616282</v>
      </c>
      <c r="S318" s="121">
        <f t="shared" ca="1" si="227"/>
        <v>4.3535447930542143E-3</v>
      </c>
      <c r="T318" s="121">
        <f t="shared" ca="1" si="229"/>
        <v>-5.4592209842401459E-3</v>
      </c>
    </row>
    <row r="319" spans="3:20" s="74" customFormat="1" x14ac:dyDescent="0.2">
      <c r="C319" s="74">
        <v>30</v>
      </c>
      <c r="D319" s="74">
        <v>21.9</v>
      </c>
      <c r="E319" s="114">
        <f t="shared" ref="E319" ca="1" si="253">INDIRECT("a_" &amp; i) * t^3 + INDIRECT("b_" &amp; i) * t^2 + INDIRECT("c_" &amp; i) * t^1 + INDIRECT("d_" &amp; i)</f>
        <v>0.29068789441953619</v>
      </c>
      <c r="F319" s="117" t="s">
        <v>332</v>
      </c>
      <c r="R319" s="120">
        <f t="array" aca="1" ref="R319" ca="1">E319:E619</f>
        <v>0.29068789441953619</v>
      </c>
      <c r="S319" s="121">
        <f t="shared" ca="1" si="227"/>
        <v>3.8012099337337546E-3</v>
      </c>
      <c r="T319" s="121">
        <f t="shared" ca="1" si="229"/>
        <v>-5.5233485932047145E-3</v>
      </c>
    </row>
    <row r="320" spans="3:20" s="74" customFormat="1" x14ac:dyDescent="0.2">
      <c r="C320" s="74">
        <v>30</v>
      </c>
      <c r="D320" s="74">
        <v>22</v>
      </c>
      <c r="E320" s="114">
        <f t="shared" ref="E320" ca="1" si="254">INDIRECT("a_" &amp; i) * t^3 + INDIRECT("b_" &amp; i) * t^2 + INDIRECT("c_" &amp; i) * t^1 + INDIRECT("d_" &amp; i)</f>
        <v>0.29101214065088793</v>
      </c>
      <c r="F320" s="117" t="s">
        <v>332</v>
      </c>
      <c r="R320" s="120">
        <f t="array" aca="1" ref="R320" ca="1">E320:E620</f>
        <v>0.29101214065088793</v>
      </c>
      <c r="S320" s="121">
        <f t="shared" ca="1" si="227"/>
        <v>3.2424623135173898E-3</v>
      </c>
      <c r="T320" s="121">
        <f t="shared" ca="1" si="229"/>
        <v>-5.5874762021635689E-3</v>
      </c>
    </row>
    <row r="321" spans="3:20" s="74" customFormat="1" x14ac:dyDescent="0.2">
      <c r="C321" s="74">
        <v>30</v>
      </c>
      <c r="D321" s="74">
        <v>22.1</v>
      </c>
      <c r="E321" s="114">
        <f t="shared" ref="E321" ca="1" si="255">INDIRECT("a_" &amp; i) * t^3 + INDIRECT("b_" &amp; i) * t^2 + INDIRECT("c_" &amp; i) * t^1 + INDIRECT("d_" &amp; i)</f>
        <v>0.29127987084412982</v>
      </c>
      <c r="F321" s="117" t="s">
        <v>332</v>
      </c>
      <c r="R321" s="120">
        <f t="array" aca="1" ref="R321" ca="1">E321:E621</f>
        <v>0.29127987084412982</v>
      </c>
      <c r="S321" s="121">
        <f t="shared" ca="1" si="227"/>
        <v>2.677301932418847E-3</v>
      </c>
      <c r="T321" s="121">
        <f t="shared" ca="1" si="229"/>
        <v>-5.6516038109853473E-3</v>
      </c>
    </row>
    <row r="322" spans="3:20" s="74" customFormat="1" x14ac:dyDescent="0.2">
      <c r="C322" s="74">
        <v>30</v>
      </c>
      <c r="D322" s="74">
        <v>22.2</v>
      </c>
      <c r="E322" s="114">
        <f t="shared" ref="E322" ca="1" si="256">INDIRECT("a_" &amp; i) * t^3 + INDIRECT("b_" &amp; i) * t^2 + INDIRECT("c_" &amp; i) * t^1 + INDIRECT("d_" &amp; i)</f>
        <v>0.29149044372317107</v>
      </c>
      <c r="F322" s="117" t="s">
        <v>332</v>
      </c>
      <c r="R322" s="120">
        <f t="array" aca="1" ref="R322" ca="1">E322:E622</f>
        <v>0.29149044372317107</v>
      </c>
      <c r="S322" s="121">
        <f t="shared" ca="1" si="227"/>
        <v>2.1057287904125317E-3</v>
      </c>
      <c r="T322" s="121">
        <f t="shared" ca="1" si="229"/>
        <v>-5.715731420063274E-3</v>
      </c>
    </row>
    <row r="323" spans="3:20" s="74" customFormat="1" x14ac:dyDescent="0.2">
      <c r="C323" s="74">
        <v>30</v>
      </c>
      <c r="D323" s="74">
        <v>22.3</v>
      </c>
      <c r="E323" s="114">
        <f t="shared" ref="E323" ca="1" si="257">INDIRECT("a_" &amp; i) * t^3 + INDIRECT("b_" &amp; i) * t^2 + INDIRECT("c_" &amp; i) * t^1 + INDIRECT("d_" &amp; i)</f>
        <v>0.29164321801192344</v>
      </c>
      <c r="F323" s="117" t="s">
        <v>332</v>
      </c>
      <c r="R323" s="120">
        <f t="array" aca="1" ref="R323" ca="1">E323:E623</f>
        <v>0.29164321801192344</v>
      </c>
      <c r="S323" s="121">
        <f t="shared" ca="1" si="227"/>
        <v>1.5277428875237536E-3</v>
      </c>
      <c r="T323" s="121">
        <f t="shared" ca="1" si="229"/>
        <v>-5.7798590288876987E-3</v>
      </c>
    </row>
    <row r="324" spans="3:20" s="74" customFormat="1" x14ac:dyDescent="0.2">
      <c r="C324" s="74">
        <v>30</v>
      </c>
      <c r="D324" s="74">
        <v>22.4</v>
      </c>
      <c r="E324" s="114">
        <f t="shared" ref="E324" ca="1" si="258">INDIRECT("a_" &amp; i) * t^3 + INDIRECT("b_" &amp; i) * t^2 + INDIRECT("c_" &amp; i) * t^1 + INDIRECT("d_" &amp; i)</f>
        <v>0.29173755243429672</v>
      </c>
      <c r="F324" s="117" t="s">
        <v>332</v>
      </c>
      <c r="R324" s="120">
        <f t="array" aca="1" ref="R324" ca="1">E324:E624</f>
        <v>0.29173755243429672</v>
      </c>
      <c r="S324" s="121">
        <f t="shared" ca="1" si="227"/>
        <v>9.4334422373278722E-4</v>
      </c>
      <c r="T324" s="121">
        <f t="shared" ca="1" si="229"/>
        <v>-5.8439866379097882E-3</v>
      </c>
    </row>
    <row r="325" spans="3:20" s="74" customFormat="1" x14ac:dyDescent="0.2">
      <c r="C325" s="74">
        <v>30</v>
      </c>
      <c r="D325" s="74">
        <v>22.5</v>
      </c>
      <c r="E325" s="114">
        <f t="shared" ref="E325" ca="1" si="259">INDIRECT("a_" &amp; i) * t^3 + INDIRECT("b_" &amp; i) * t^2 + INDIRECT("c_" &amp; i) * t^1 + INDIRECT("d_" &amp; i)</f>
        <v>0.291772805714202</v>
      </c>
      <c r="F325" s="117" t="s">
        <v>332</v>
      </c>
      <c r="R325" s="120">
        <f t="array" aca="1" ref="R325" ca="1">E325:E625</f>
        <v>0.291772805714202</v>
      </c>
      <c r="S325" s="121">
        <f t="shared" ca="1" si="227"/>
        <v>3.5253279905277991E-4</v>
      </c>
      <c r="T325" s="121">
        <f t="shared" ca="1" si="229"/>
        <v>-5.9081142467999892E-3</v>
      </c>
    </row>
    <row r="326" spans="3:20" s="74" customFormat="1" x14ac:dyDescent="0.2">
      <c r="C326" s="74">
        <v>30</v>
      </c>
      <c r="D326" s="74">
        <v>22.6</v>
      </c>
      <c r="E326" s="114">
        <f t="shared" ref="E326" ca="1" si="260">INDIRECT("a_" &amp; i) * t^3 + INDIRECT("b_" &amp; i) * t^2 + INDIRECT("c_" &amp; i) * t^1 + INDIRECT("d_" &amp; i)</f>
        <v>0.29174833657554938</v>
      </c>
      <c r="F326" s="117" t="s">
        <v>332</v>
      </c>
      <c r="R326" s="120">
        <f t="array" aca="1" ref="R326" ca="1">E326:E626</f>
        <v>0.29174833657554938</v>
      </c>
      <c r="S326" s="121">
        <f t="shared" ca="1" si="227"/>
        <v>-2.4469138652616004E-4</v>
      </c>
      <c r="T326" s="121">
        <f t="shared" ca="1" si="229"/>
        <v>-5.9722418557893149E-3</v>
      </c>
    </row>
    <row r="327" spans="3:20" s="74" customFormat="1" x14ac:dyDescent="0.2">
      <c r="C327" s="74">
        <v>30</v>
      </c>
      <c r="D327" s="74">
        <v>22.7</v>
      </c>
      <c r="E327" s="114">
        <f t="shared" ref="E327" ca="1" si="261">INDIRECT("a_" &amp; i) * t^3 + INDIRECT("b_" &amp; i) * t^2 + INDIRECT("c_" &amp; i) * t^1 + INDIRECT("d_" &amp; i)</f>
        <v>0.29166350374225031</v>
      </c>
      <c r="F327" s="117" t="s">
        <v>332</v>
      </c>
      <c r="R327" s="120">
        <f t="array" aca="1" ref="R327" ca="1">E327:E627</f>
        <v>0.29166350374225031</v>
      </c>
      <c r="S327" s="121">
        <f t="shared" ca="1" si="227"/>
        <v>-8.4832833299077349E-4</v>
      </c>
      <c r="T327" s="121">
        <f t="shared" ca="1" si="229"/>
        <v>-6.0363694646462631E-3</v>
      </c>
    </row>
    <row r="328" spans="3:20" s="74" customFormat="1" x14ac:dyDescent="0.2">
      <c r="C328" s="74">
        <v>30</v>
      </c>
      <c r="D328" s="74">
        <v>22.8</v>
      </c>
      <c r="E328" s="114">
        <f t="shared" ref="E328" ca="1" si="262">INDIRECT("a_" &amp; i) * t^3 + INDIRECT("b_" &amp; i) * t^2 + INDIRECT("c_" &amp; i) * t^1 + INDIRECT("d_" &amp; i)</f>
        <v>0.29151766593821499</v>
      </c>
      <c r="F328" s="117" t="s">
        <v>332</v>
      </c>
      <c r="R328" s="120">
        <f t="array" aca="1" ref="R328" ca="1">E328:E628</f>
        <v>0.29151766593821499</v>
      </c>
      <c r="S328" s="121">
        <f t="shared" ca="1" si="227"/>
        <v>-1.4583780403531824E-3</v>
      </c>
      <c r="T328" s="121">
        <f t="shared" ca="1" si="229"/>
        <v>-6.1004970736240017E-3</v>
      </c>
    </row>
    <row r="329" spans="3:20" s="74" customFormat="1" x14ac:dyDescent="0.2">
      <c r="C329" s="74">
        <v>30</v>
      </c>
      <c r="D329" s="74">
        <v>22.9</v>
      </c>
      <c r="E329" s="114">
        <f t="shared" ref="E329" ca="1" si="263">INDIRECT("a_" &amp; i) * t^3 + INDIRECT("b_" &amp; i) * t^2 + INDIRECT("c_" &amp; i) * t^1 + INDIRECT("d_" &amp; i)</f>
        <v>0.2913101818873543</v>
      </c>
      <c r="F329" s="117" t="s">
        <v>332</v>
      </c>
      <c r="R329" s="120">
        <f t="array" aca="1" ref="R329" ca="1">E329:E629</f>
        <v>0.2913101818873543</v>
      </c>
      <c r="S329" s="121">
        <f t="shared" ca="1" si="227"/>
        <v>-2.0748405086068898E-3</v>
      </c>
      <c r="T329" s="121">
        <f t="shared" ca="1" si="229"/>
        <v>-6.1646246825372061E-3</v>
      </c>
    </row>
    <row r="330" spans="3:20" s="74" customFormat="1" x14ac:dyDescent="0.2">
      <c r="C330" s="74">
        <v>30</v>
      </c>
      <c r="D330" s="74">
        <v>23</v>
      </c>
      <c r="E330" s="114">
        <f t="shared" ref="E330" ca="1" si="264">INDIRECT("a_" &amp; i) * t^3 + INDIRECT("b_" &amp; i) * t^2 + INDIRECT("c_" &amp; i) * t^1 + INDIRECT("d_" &amp; i)</f>
        <v>0.29104041031357802</v>
      </c>
      <c r="F330" s="117" t="s">
        <v>332</v>
      </c>
      <c r="R330" s="120">
        <f t="array" aca="1" ref="R330" ca="1">E330:E630</f>
        <v>0.29104041031357802</v>
      </c>
      <c r="S330" s="121">
        <f t="shared" ca="1" si="227"/>
        <v>-2.6977157377627466E-3</v>
      </c>
      <c r="T330" s="121">
        <f t="shared" ca="1" si="229"/>
        <v>-6.2287522915584793E-3</v>
      </c>
    </row>
    <row r="331" spans="3:20" s="74" customFormat="1" x14ac:dyDescent="0.2">
      <c r="C331" s="74">
        <v>30</v>
      </c>
      <c r="D331" s="74">
        <v>23.1</v>
      </c>
      <c r="E331" s="114">
        <f t="shared" ref="E331" ca="1" si="265">INDIRECT("a_" &amp; i) * t^3 + INDIRECT("b_" &amp; i) * t^2 + INDIRECT("c_" &amp; i) * t^1 + INDIRECT("d_" &amp; i)</f>
        <v>0.29070770994079803</v>
      </c>
      <c r="F331" s="117" t="s">
        <v>332</v>
      </c>
      <c r="R331" s="120">
        <f t="array" aca="1" ref="R331" ca="1">E331:E631</f>
        <v>0.29070770994079803</v>
      </c>
      <c r="S331" s="121">
        <f t="shared" ca="1" si="227"/>
        <v>-3.3270037277998792E-3</v>
      </c>
      <c r="T331" s="121">
        <f t="shared" ca="1" si="229"/>
        <v>-6.2928799003712371E-3</v>
      </c>
    </row>
    <row r="332" spans="3:20" s="74" customFormat="1" x14ac:dyDescent="0.2">
      <c r="C332" s="74">
        <v>30</v>
      </c>
      <c r="D332" s="74">
        <v>23.2</v>
      </c>
      <c r="E332" s="114">
        <f t="shared" ref="E332" ca="1" si="266">INDIRECT("a_" &amp; i) * t^3 + INDIRECT("b_" &amp; i) * t^2 + INDIRECT("c_" &amp; i) * t^1 + INDIRECT("d_" &amp; i)</f>
        <v>0.29031143949292398</v>
      </c>
      <c r="F332" s="117" t="s">
        <v>332</v>
      </c>
      <c r="R332" s="120">
        <f t="array" aca="1" ref="R332" ca="1">E332:E632</f>
        <v>0.29031143949292398</v>
      </c>
      <c r="S332" s="121">
        <f t="shared" ca="1" si="227"/>
        <v>-3.9627044787405594E-3</v>
      </c>
      <c r="T332" s="121">
        <f t="shared" ca="1" si="229"/>
        <v>-6.3570075094069372E-3</v>
      </c>
    </row>
    <row r="333" spans="3:20" s="74" customFormat="1" x14ac:dyDescent="0.2">
      <c r="C333" s="74">
        <v>30</v>
      </c>
      <c r="D333" s="74">
        <v>23.3</v>
      </c>
      <c r="E333" s="114">
        <f t="shared" ref="E333" ca="1" si="267">INDIRECT("a_" &amp; i) * t^3 + INDIRECT("b_" &amp; i) * t^2 + INDIRECT("c_" &amp; i) * t^1 + INDIRECT("d_" &amp; i)</f>
        <v>0.28985095769386676</v>
      </c>
      <c r="F333" s="117" t="s">
        <v>332</v>
      </c>
      <c r="R333" s="120">
        <f t="array" aca="1" ref="R333" ca="1">E333:E633</f>
        <v>0.28985095769386676</v>
      </c>
      <c r="S333" s="121">
        <f t="shared" ca="1" si="227"/>
        <v>-4.6048179905721536E-3</v>
      </c>
      <c r="T333" s="121">
        <f t="shared" ca="1" si="229"/>
        <v>-6.4211351183158507E-3</v>
      </c>
    </row>
    <row r="334" spans="3:20" s="74" customFormat="1" x14ac:dyDescent="0.2">
      <c r="C334" s="74">
        <v>30</v>
      </c>
      <c r="D334" s="74">
        <v>23.4</v>
      </c>
      <c r="E334" s="114">
        <f t="shared" ref="E334" ca="1" si="268">INDIRECT("a_" &amp; i) * t^3 + INDIRECT("b_" &amp; i) * t^2 + INDIRECT("c_" &amp; i) * t^1 + INDIRECT("d_" &amp; i)</f>
        <v>0.28932562326753747</v>
      </c>
      <c r="F334" s="117" t="s">
        <v>332</v>
      </c>
      <c r="R334" s="120">
        <f t="array" aca="1" ref="R334" ca="1">E334:E634</f>
        <v>0.28932562326753747</v>
      </c>
      <c r="S334" s="121">
        <f t="shared" ca="1" si="227"/>
        <v>-5.253344263293048E-3</v>
      </c>
      <c r="T334" s="121">
        <f t="shared" ca="1" si="229"/>
        <v>-6.4852627272090823E-3</v>
      </c>
    </row>
    <row r="335" spans="3:20" s="74" customFormat="1" x14ac:dyDescent="0.2">
      <c r="C335" s="74">
        <v>30</v>
      </c>
      <c r="D335" s="74">
        <v>23.5</v>
      </c>
      <c r="E335" s="114">
        <f t="shared" ref="E335" ca="1" si="269">INDIRECT("a_" &amp; i) * t^3 + INDIRECT("b_" &amp; i) * t^2 + INDIRECT("c_" &amp; i) * t^1 + INDIRECT("d_" &amp; i)</f>
        <v>0.28873479493784587</v>
      </c>
      <c r="F335" s="117" t="s">
        <v>332</v>
      </c>
      <c r="R335" s="120">
        <f t="array" aca="1" ref="R335" ca="1">E335:E635</f>
        <v>0.28873479493784587</v>
      </c>
      <c r="S335" s="121">
        <f t="shared" ca="1" si="227"/>
        <v>-5.9082832969158663E-3</v>
      </c>
      <c r="T335" s="121">
        <f t="shared" ca="1" si="229"/>
        <v>-6.5493903362280901E-3</v>
      </c>
    </row>
    <row r="336" spans="3:20" s="74" customFormat="1" x14ac:dyDescent="0.2">
      <c r="C336" s="74">
        <v>30</v>
      </c>
      <c r="D336" s="74">
        <v>23.6</v>
      </c>
      <c r="E336" s="114">
        <f t="shared" ref="E336" ca="1" si="270">INDIRECT("a_" &amp; i) * t^3 + INDIRECT("b_" &amp; i) * t^2 + INDIRECT("c_" &amp; i) * t^1 + INDIRECT("d_" &amp; i)</f>
        <v>0.28807783142870363</v>
      </c>
      <c r="F336" s="117" t="s">
        <v>332</v>
      </c>
      <c r="R336" s="120">
        <f t="array" aca="1" ref="R336" ca="1">E336:E636</f>
        <v>0.28807783142870363</v>
      </c>
      <c r="S336" s="121">
        <f t="shared" ca="1" si="227"/>
        <v>-6.5696350914222941E-3</v>
      </c>
      <c r="T336" s="121">
        <f t="shared" ca="1" si="229"/>
        <v>-6.6135179450641842E-3</v>
      </c>
    </row>
    <row r="337" spans="3:20" s="74" customFormat="1" x14ac:dyDescent="0.2">
      <c r="C337" s="74">
        <v>30</v>
      </c>
      <c r="D337" s="74">
        <v>23.7</v>
      </c>
      <c r="E337" s="114">
        <f t="shared" ref="E337" ca="1" si="271">INDIRECT("a_" &amp; i) * t^3 + INDIRECT("b_" &amp; i) * t^2 + INDIRECT("c_" &amp; i) * t^1 + INDIRECT("d_" &amp; i)</f>
        <v>0.28735409146402041</v>
      </c>
      <c r="F337" s="117" t="s">
        <v>332</v>
      </c>
      <c r="R337" s="120">
        <f t="array" aca="1" ref="R337" ca="1">E337:E637</f>
        <v>0.28735409146402041</v>
      </c>
      <c r="S337" s="121">
        <f t="shared" ca="1" si="227"/>
        <v>-7.2373996468323865E-3</v>
      </c>
      <c r="T337" s="121">
        <f t="shared" ca="1" si="229"/>
        <v>-6.6776455541010665E-3</v>
      </c>
    </row>
    <row r="338" spans="3:20" s="74" customFormat="1" x14ac:dyDescent="0.2">
      <c r="C338" s="74">
        <v>30</v>
      </c>
      <c r="D338" s="74">
        <v>23.8</v>
      </c>
      <c r="E338" s="114">
        <f t="shared" ref="E338" ca="1" si="272">INDIRECT("a_" &amp; i) * t^3 + INDIRECT("b_" &amp; i) * t^2 + INDIRECT("c_" &amp; i) * t^1 + INDIRECT("d_" &amp; i)</f>
        <v>0.28656293376770775</v>
      </c>
      <c r="F338" s="117" t="s">
        <v>332</v>
      </c>
      <c r="R338" s="120">
        <f t="array" aca="1" ref="R338" ca="1">E338:E638</f>
        <v>0.28656293376770775</v>
      </c>
      <c r="S338" s="121">
        <f t="shared" ca="1" si="227"/>
        <v>-7.911576963126497E-3</v>
      </c>
      <c r="T338" s="121">
        <f t="shared" ca="1" si="229"/>
        <v>-6.7417731629410092E-3</v>
      </c>
    </row>
    <row r="339" spans="3:20" s="74" customFormat="1" x14ac:dyDescent="0.2">
      <c r="C339" s="74">
        <v>30</v>
      </c>
      <c r="D339" s="74">
        <v>23.9</v>
      </c>
      <c r="E339" s="114">
        <f t="shared" ref="E339" ca="1" si="273">INDIRECT("a_" &amp; i) * t^3 + INDIRECT("b_" &amp; i) * t^2 + INDIRECT("c_" &amp; i) * t^1 + INDIRECT("d_" &amp; i)</f>
        <v>0.28570371706367498</v>
      </c>
      <c r="F339" s="117" t="s">
        <v>332</v>
      </c>
      <c r="R339" s="120">
        <f t="array" aca="1" ref="R339" ca="1">E339:E639</f>
        <v>0.28570371706367498</v>
      </c>
      <c r="S339" s="121">
        <f t="shared" ca="1" si="227"/>
        <v>-8.5921670403279089E-3</v>
      </c>
      <c r="T339" s="121">
        <f t="shared" ca="1" si="229"/>
        <v>-6.8059007720142643E-3</v>
      </c>
    </row>
    <row r="340" spans="3:20" s="74" customFormat="1" x14ac:dyDescent="0.2">
      <c r="C340" s="74">
        <v>30</v>
      </c>
      <c r="D340" s="74">
        <v>24</v>
      </c>
      <c r="E340" s="114">
        <f t="shared" ref="E340" ca="1" si="274">INDIRECT("a_" &amp; i) * t^3 + INDIRECT("b_" &amp; i) * t^2 + INDIRECT("c_" &amp; i) * t^1 + INDIRECT("d_" &amp; i)</f>
        <v>0.28477580007583431</v>
      </c>
      <c r="F340" s="117" t="s">
        <v>332</v>
      </c>
      <c r="R340" s="120">
        <f t="array" aca="1" ref="R340" ca="1">E340:E640</f>
        <v>0.28477580007583431</v>
      </c>
      <c r="S340" s="121">
        <f t="shared" ca="1" si="227"/>
        <v>-9.2791698784065804E-3</v>
      </c>
      <c r="T340" s="121">
        <f t="shared" ca="1" si="229"/>
        <v>-6.8700283807866169E-3</v>
      </c>
    </row>
    <row r="341" spans="3:20" s="74" customFormat="1" x14ac:dyDescent="0.2">
      <c r="C341" s="74">
        <v>30</v>
      </c>
      <c r="D341" s="74">
        <v>24.1</v>
      </c>
      <c r="E341" s="114">
        <f t="shared" ref="E341" ca="1" si="275">INDIRECT("a_" &amp; i) * t^3 + INDIRECT("b_" &amp; i) * t^2 + INDIRECT("c_" &amp; i) * t^1 + INDIRECT("d_" &amp; i)</f>
        <v>0.28377854152809495</v>
      </c>
      <c r="F341" s="117" t="s">
        <v>332</v>
      </c>
      <c r="R341" s="120">
        <f t="array" aca="1" ref="R341" ca="1">E341:E641</f>
        <v>0.28377854152809495</v>
      </c>
      <c r="S341" s="121">
        <f t="shared" ca="1" si="227"/>
        <v>-9.9725854773934051E-3</v>
      </c>
      <c r="T341" s="121">
        <f t="shared" ca="1" si="229"/>
        <v>-6.9341559898681484E-3</v>
      </c>
    </row>
    <row r="342" spans="3:20" s="74" customFormat="1" x14ac:dyDescent="0.2">
      <c r="C342" s="74">
        <v>30</v>
      </c>
      <c r="D342" s="74">
        <v>24.2</v>
      </c>
      <c r="E342" s="114">
        <f t="shared" ref="E342" ca="1" si="276">INDIRECT("a_" &amp; i) * t^3 + INDIRECT("b_" &amp; i) * t^2 + INDIRECT("c_" &amp; i) * t^1 + INDIRECT("d_" &amp; i)</f>
        <v>0.28271130014436879</v>
      </c>
      <c r="F342" s="117" t="s">
        <v>332</v>
      </c>
      <c r="R342" s="120">
        <f t="array" aca="1" ref="R342" ca="1">E342:E642</f>
        <v>0.28271130014436879</v>
      </c>
      <c r="S342" s="121">
        <f t="shared" ca="1" si="227"/>
        <v>-1.0672413837261812E-2</v>
      </c>
      <c r="T342" s="121">
        <f t="shared" ca="1" si="229"/>
        <v>-6.9982835986842212E-3</v>
      </c>
    </row>
    <row r="343" spans="3:20" s="74" customFormat="1" x14ac:dyDescent="0.2">
      <c r="C343" s="74">
        <v>30</v>
      </c>
      <c r="D343" s="74">
        <v>24.3</v>
      </c>
      <c r="E343" s="114">
        <f t="shared" ref="E343" ca="1" si="277">INDIRECT("a_" &amp; i) * t^3 + INDIRECT("b_" &amp; i) * t^2 + INDIRECT("c_" &amp; i) * t^1 + INDIRECT("d_" &amp; i)</f>
        <v>0.2815734346485656</v>
      </c>
      <c r="F343" s="117" t="s">
        <v>332</v>
      </c>
      <c r="R343" s="120">
        <f t="array" aca="1" ref="R343" ca="1">E343:E643</f>
        <v>0.2815734346485656</v>
      </c>
      <c r="S343" s="121">
        <f t="shared" ca="1" si="227"/>
        <v>-1.1378654958031758E-2</v>
      </c>
      <c r="T343" s="121">
        <f t="shared" ca="1" si="229"/>
        <v>-7.0624112076993588E-3</v>
      </c>
    </row>
    <row r="344" spans="3:20" s="74" customFormat="1" x14ac:dyDescent="0.2">
      <c r="C344" s="74">
        <v>30</v>
      </c>
      <c r="D344" s="74">
        <v>24.4</v>
      </c>
      <c r="E344" s="114">
        <f t="shared" ref="E344" ca="1" si="278">INDIRECT("a_" &amp; i) * t^3 + INDIRECT("b_" &amp; i) * t^2 + INDIRECT("c_" &amp; i) * t^1 + INDIRECT("d_" &amp; i)</f>
        <v>0.28036430376459626</v>
      </c>
      <c r="F344" s="117" t="s">
        <v>332</v>
      </c>
      <c r="R344" s="120">
        <f t="array" aca="1" ref="R344" ca="1">E344:E644</f>
        <v>0.28036430376459626</v>
      </c>
      <c r="S344" s="121">
        <f t="shared" ca="1" si="227"/>
        <v>-1.2091308839693707E-2</v>
      </c>
      <c r="T344" s="121">
        <f t="shared" ca="1" si="229"/>
        <v>-7.1265388166196408E-3</v>
      </c>
    </row>
    <row r="345" spans="3:20" s="74" customFormat="1" x14ac:dyDescent="0.2">
      <c r="C345" s="74">
        <v>30</v>
      </c>
      <c r="D345" s="74">
        <v>24.5</v>
      </c>
      <c r="E345" s="114">
        <f t="shared" ref="E345" ca="1" si="279">INDIRECT("a_" &amp; i) * t^3 + INDIRECT("b_" &amp; i) * t^2 + INDIRECT("c_" &amp; i) * t^1 + INDIRECT("d_" &amp; i)</f>
        <v>0.27908326621637142</v>
      </c>
      <c r="F345" s="117" t="s">
        <v>332</v>
      </c>
      <c r="R345" s="120">
        <f t="array" aca="1" ref="R345" ca="1">E345:E645</f>
        <v>0.27908326621637142</v>
      </c>
      <c r="S345" s="121">
        <f t="shared" ca="1" si="227"/>
        <v>-1.2810375482248211E-2</v>
      </c>
      <c r="T345" s="121">
        <f t="shared" ca="1" si="229"/>
        <v>-7.1906664255449327E-3</v>
      </c>
    </row>
    <row r="346" spans="3:20" s="74" customFormat="1" x14ac:dyDescent="0.2">
      <c r="C346" s="74">
        <v>30</v>
      </c>
      <c r="D346" s="74">
        <v>24.6</v>
      </c>
      <c r="E346" s="114">
        <f t="shared" ref="E346" ca="1" si="280">INDIRECT("a_" &amp; i) * t^3 + INDIRECT("b_" &amp; i) * t^2 + INDIRECT("c_" &amp; i) * t^1 + INDIRECT("d_" &amp; i)</f>
        <v>0.27772968072780185</v>
      </c>
      <c r="F346" s="117" t="s">
        <v>332</v>
      </c>
      <c r="R346" s="120">
        <f t="array" aca="1" ref="R346" ca="1">E346:E646</f>
        <v>0.27772968072780185</v>
      </c>
      <c r="S346" s="121">
        <f t="shared" ca="1" si="227"/>
        <v>-1.3535854885695449E-2</v>
      </c>
      <c r="T346" s="121">
        <f t="shared" ca="1" si="229"/>
        <v>-7.254794034472282E-3</v>
      </c>
    </row>
    <row r="347" spans="3:20" s="74" customFormat="1" x14ac:dyDescent="0.2">
      <c r="C347" s="74">
        <v>30</v>
      </c>
      <c r="D347" s="74">
        <v>24.7</v>
      </c>
      <c r="E347" s="114">
        <f t="shared" ref="E347" ca="1" si="281">INDIRECT("a_" &amp; i) * t^3 + INDIRECT("b_" &amp; i) * t^2 + INDIRECT("c_" &amp; i) * t^1 + INDIRECT("d_" &amp; i)</f>
        <v>0.27630290602279733</v>
      </c>
      <c r="F347" s="117" t="s">
        <v>332</v>
      </c>
      <c r="R347" s="120">
        <f t="array" aca="1" ref="R347" ca="1">E347:E647</f>
        <v>0.27630290602279733</v>
      </c>
      <c r="S347" s="121">
        <f t="shared" ca="1" si="227"/>
        <v>-1.4267747050045491E-2</v>
      </c>
      <c r="T347" s="121">
        <f t="shared" ca="1" si="229"/>
        <v>-7.3189216435005748E-3</v>
      </c>
    </row>
    <row r="348" spans="3:20" s="74" customFormat="1" x14ac:dyDescent="0.2">
      <c r="C348" s="74">
        <v>30</v>
      </c>
      <c r="D348" s="74">
        <v>24.8</v>
      </c>
      <c r="E348" s="114">
        <f t="shared" ref="E348" ca="1" si="282">INDIRECT("a_" &amp; i) * t^3 + INDIRECT("b_" &amp; i) * t^2 + INDIRECT("c_" &amp; i) * t^1 + INDIRECT("d_" &amp; i)</f>
        <v>0.27480230082527007</v>
      </c>
      <c r="F348" s="117" t="s">
        <v>332</v>
      </c>
      <c r="R348" s="120">
        <f t="array" aca="1" ref="R348" ca="1">E348:E648</f>
        <v>0.27480230082527007</v>
      </c>
      <c r="S348" s="121">
        <f t="shared" ca="1" si="227"/>
        <v>-1.5006051975272392E-2</v>
      </c>
      <c r="T348" s="121">
        <f t="shared" ca="1" si="229"/>
        <v>-7.383049252268902E-3</v>
      </c>
    </row>
    <row r="349" spans="3:20" s="74" customFormat="1" x14ac:dyDescent="0.2">
      <c r="C349" s="74">
        <v>30</v>
      </c>
      <c r="D349" s="74">
        <v>24.9</v>
      </c>
      <c r="E349" s="114">
        <f t="shared" ref="E349" ca="1" si="283">INDIRECT("a_" &amp; i) * t^3 + INDIRECT("b_" &amp; i) * t^2 + INDIRECT("c_" &amp; i) * t^1 + INDIRECT("d_" &amp; i)</f>
        <v>0.27322722385912951</v>
      </c>
      <c r="F349" s="117" t="s">
        <v>332</v>
      </c>
      <c r="R349" s="120">
        <f t="array" aca="1" ref="R349" ca="1">E349:E649</f>
        <v>0.27322722385912951</v>
      </c>
      <c r="S349" s="121">
        <f t="shared" ca="1" si="227"/>
        <v>-1.5750769661405987E-2</v>
      </c>
      <c r="T349" s="121">
        <f t="shared" ca="1" si="229"/>
        <v>-7.447176861336109E-3</v>
      </c>
    </row>
    <row r="350" spans="3:20" s="74" customFormat="1" x14ac:dyDescent="0.2">
      <c r="C350" s="74">
        <v>30</v>
      </c>
      <c r="D350" s="74">
        <v>25</v>
      </c>
      <c r="E350" s="114">
        <f t="shared" ref="E350" ca="1" si="284">INDIRECT("a_" &amp; i) * t^3 + INDIRECT("b_" &amp; i) * t^2 + INDIRECT("c_" &amp; i) * t^1 + INDIRECT("d_" &amp; i)</f>
        <v>0.27157703384828608</v>
      </c>
      <c r="F350" s="117" t="s">
        <v>332</v>
      </c>
      <c r="R350" s="120">
        <f t="array" aca="1" ref="R350" ca="1">E350:E650</f>
        <v>0.27157703384828608</v>
      </c>
      <c r="S350" s="121">
        <f t="shared" ca="1" si="227"/>
        <v>-1.6501900108434095E-2</v>
      </c>
      <c r="T350" s="121">
        <f t="shared" ca="1" si="229"/>
        <v>-7.5113044702809747E-3</v>
      </c>
    </row>
    <row r="351" spans="3:20" s="74" customFormat="1" x14ac:dyDescent="0.2">
      <c r="C351" s="74">
        <v>30</v>
      </c>
      <c r="D351" s="74">
        <v>25.1</v>
      </c>
      <c r="E351" s="114">
        <f t="shared" ref="E351" ca="1" si="285">INDIRECT("a_" &amp; i) * t^3 + INDIRECT("b_" &amp; i) * t^2 + INDIRECT("c_" &amp; i) * t^1 + INDIRECT("d_" &amp; i)</f>
        <v>0.26985108951665143</v>
      </c>
      <c r="F351" s="117" t="s">
        <v>332</v>
      </c>
      <c r="R351" s="120">
        <f t="array" aca="1" ref="R351" ca="1">E351:E651</f>
        <v>0.26985108951665143</v>
      </c>
      <c r="S351" s="121">
        <f t="shared" ca="1" si="227"/>
        <v>-1.7259443316346188E-2</v>
      </c>
      <c r="T351" s="121">
        <f t="shared" ca="1" si="229"/>
        <v>-7.5754320791208245E-3</v>
      </c>
    </row>
    <row r="352" spans="3:20" s="74" customFormat="1" x14ac:dyDescent="0.2">
      <c r="C352" s="74">
        <v>30</v>
      </c>
      <c r="D352" s="74">
        <v>25.2</v>
      </c>
      <c r="E352" s="114">
        <f t="shared" ref="E352" ca="1" si="286">INDIRECT("a_" &amp; i) * t^3 + INDIRECT("b_" &amp; i) * t^2 + INDIRECT("c_" &amp; i) * t^1 + INDIRECT("d_" &amp; i)</f>
        <v>0.2680487495881359</v>
      </c>
      <c r="F352" s="117" t="s">
        <v>332</v>
      </c>
      <c r="R352" s="120">
        <f t="array" aca="1" ref="R352" ca="1">E352:E652</f>
        <v>0.2680487495881359</v>
      </c>
      <c r="S352" s="121">
        <f t="shared" ca="1" si="227"/>
        <v>-1.8023399285155669E-2</v>
      </c>
      <c r="T352" s="121">
        <f t="shared" ca="1" si="229"/>
        <v>-7.6395596880949705E-3</v>
      </c>
    </row>
    <row r="353" spans="3:20" s="74" customFormat="1" x14ac:dyDescent="0.2">
      <c r="C353" s="74">
        <v>30</v>
      </c>
      <c r="D353" s="74">
        <v>25.3</v>
      </c>
      <c r="E353" s="114">
        <f t="shared" ref="E353" ca="1" si="287">INDIRECT("a_" &amp; i) * t^3 + INDIRECT("b_" &amp; i) * t^2 + INDIRECT("c_" &amp; i) * t^1 + INDIRECT("d_" &amp; i)</f>
        <v>0.26616937278664948</v>
      </c>
      <c r="F353" s="117" t="s">
        <v>332</v>
      </c>
      <c r="R353" s="120">
        <f t="array" aca="1" ref="R353" ca="1">E353:E653</f>
        <v>0.26616937278664948</v>
      </c>
      <c r="S353" s="121">
        <f t="shared" ca="1" si="227"/>
        <v>-1.8793768014863942E-2</v>
      </c>
      <c r="T353" s="121">
        <f t="shared" ca="1" si="229"/>
        <v>-7.7036872970826249E-3</v>
      </c>
    </row>
    <row r="354" spans="3:20" s="74" customFormat="1" x14ac:dyDescent="0.2">
      <c r="C354" s="74">
        <v>30</v>
      </c>
      <c r="D354" s="74">
        <v>25.4</v>
      </c>
      <c r="E354" s="114">
        <f t="shared" ref="E354" ca="1" si="288">INDIRECT("a_" &amp; i) * t^3 + INDIRECT("b_" &amp; i) * t^2 + INDIRECT("c_" &amp; i) * t^1 + INDIRECT("d_" &amp; i)</f>
        <v>0.26421231783610372</v>
      </c>
      <c r="F354" s="117" t="s">
        <v>332</v>
      </c>
      <c r="R354" s="120">
        <f t="array" aca="1" ref="R354" ca="1">E354:E654</f>
        <v>0.26421231783610372</v>
      </c>
      <c r="S354" s="121">
        <f t="shared" ca="1" si="227"/>
        <v>-1.9570549505458085E-2</v>
      </c>
      <c r="T354" s="121">
        <f t="shared" ca="1" si="229"/>
        <v>-7.7678149059415896E-3</v>
      </c>
    </row>
    <row r="355" spans="3:20" s="74" customFormat="1" x14ac:dyDescent="0.2">
      <c r="C355" s="74">
        <v>30</v>
      </c>
      <c r="D355" s="74">
        <v>25.5</v>
      </c>
      <c r="E355" s="114">
        <f t="shared" ref="E355" ca="1" si="289">INDIRECT("a_" &amp; i) * t^3 + INDIRECT("b_" &amp; i) * t^2 + INDIRECT("c_" &amp; i) * t^1 + INDIRECT("d_" &amp; i)</f>
        <v>0.26217694346040793</v>
      </c>
      <c r="F355" s="117" t="s">
        <v>332</v>
      </c>
      <c r="R355" s="120">
        <f t="array" aca="1" ref="R355" ca="1">E355:E655</f>
        <v>0.26217694346040793</v>
      </c>
      <c r="S355" s="121">
        <f t="shared" ca="1" si="227"/>
        <v>-2.0353743756957577E-2</v>
      </c>
      <c r="T355" s="121">
        <f t="shared" ca="1" si="229"/>
        <v>-7.8319425149948121E-3</v>
      </c>
    </row>
    <row r="356" spans="3:20" s="74" customFormat="1" x14ac:dyDescent="0.2">
      <c r="C356" s="74">
        <v>30</v>
      </c>
      <c r="D356" s="74">
        <v>25.6</v>
      </c>
      <c r="E356" s="114">
        <f t="shared" ref="E356" ca="1" si="290">INDIRECT("a_" &amp; i) * t^3 + INDIRECT("b_" &amp; i) * t^2 + INDIRECT("c_" &amp; i) * t^1 + INDIRECT("d_" &amp; i)</f>
        <v>0.260062608383474</v>
      </c>
      <c r="F356" s="117" t="s">
        <v>332</v>
      </c>
      <c r="R356" s="120">
        <f t="array" aca="1" ref="R356" ca="1">E356:E656</f>
        <v>0.260062608383474</v>
      </c>
      <c r="S356" s="121">
        <f t="shared" ca="1" si="227"/>
        <v>-2.1143350769338962E-2</v>
      </c>
      <c r="T356" s="121">
        <f t="shared" ca="1" si="229"/>
        <v>-7.8960701238137403E-3</v>
      </c>
    </row>
    <row r="357" spans="3:20" s="74" customFormat="1" x14ac:dyDescent="0.2">
      <c r="C357" s="74">
        <v>30</v>
      </c>
      <c r="D357" s="74">
        <v>25.7</v>
      </c>
      <c r="E357" s="114">
        <f t="shared" ref="E357" ca="1" si="291">INDIRECT("a_" &amp; i) * t^3 + INDIRECT("b_" &amp; i) * t^2 + INDIRECT("c_" &amp; i) * t^1 + INDIRECT("d_" &amp; i)</f>
        <v>0.25786867132921204</v>
      </c>
      <c r="F357" s="117" t="s">
        <v>332</v>
      </c>
      <c r="R357" s="120">
        <f t="array" aca="1" ref="R357" ca="1">E357:E657</f>
        <v>0.25786867132921204</v>
      </c>
      <c r="S357" s="121">
        <f t="shared" ca="1" si="227"/>
        <v>-2.1939370542620098E-2</v>
      </c>
      <c r="T357" s="121">
        <f t="shared" ca="1" si="229"/>
        <v>-7.9601977328115255E-3</v>
      </c>
    </row>
    <row r="358" spans="3:20" s="74" customFormat="1" x14ac:dyDescent="0.2">
      <c r="C358" s="74">
        <v>30</v>
      </c>
      <c r="D358" s="74">
        <v>25.8</v>
      </c>
      <c r="E358" s="114">
        <f t="shared" ref="E358" ca="1" si="292">INDIRECT("a_" &amp; i) * t^3 + INDIRECT("b_" &amp; i) * t^2 + INDIRECT("c_" &amp; i) * t^1 + INDIRECT("d_" &amp; i)</f>
        <v>0.25559449102153314</v>
      </c>
      <c r="F358" s="117" t="s">
        <v>332</v>
      </c>
      <c r="R358" s="120">
        <f t="array" aca="1" ref="R358" ca="1">E358:E658</f>
        <v>0.25559449102153314</v>
      </c>
      <c r="S358" s="121">
        <f t="shared" ref="S358:S400" ca="1" si="293">(R358-R357)/(D358-D357)</f>
        <v>-2.2741803076788646E-2</v>
      </c>
      <c r="T358" s="121">
        <f t="shared" ca="1" si="229"/>
        <v>-8.0243253416853698E-3</v>
      </c>
    </row>
    <row r="359" spans="3:20" s="74" customFormat="1" x14ac:dyDescent="0.2">
      <c r="C359" s="74">
        <v>30</v>
      </c>
      <c r="D359" s="74">
        <v>25.9</v>
      </c>
      <c r="E359" s="114">
        <f t="shared" ref="E359" ca="1" si="294">INDIRECT("a_" &amp; i) * t^3 + INDIRECT("b_" &amp; i) * t^2 + INDIRECT("c_" &amp; i) * t^1 + INDIRECT("d_" &amp; i)</f>
        <v>0.25323942618434708</v>
      </c>
      <c r="F359" s="117" t="s">
        <v>332</v>
      </c>
      <c r="R359" s="120">
        <f t="array" aca="1" ref="R359" ca="1">E359:E659</f>
        <v>0.25323942618434708</v>
      </c>
      <c r="S359" s="121">
        <f t="shared" ca="1" si="293"/>
        <v>-2.3550648371861108E-2</v>
      </c>
      <c r="T359" s="121">
        <f t="shared" ref="T359:T400" ca="1" si="295">(S359-S358)/(D359-D358)</f>
        <v>-8.0884529507247917E-3</v>
      </c>
    </row>
    <row r="360" spans="3:20" s="74" customFormat="1" x14ac:dyDescent="0.2">
      <c r="C360" s="74">
        <v>30</v>
      </c>
      <c r="D360" s="74">
        <v>26</v>
      </c>
      <c r="E360" s="114">
        <f t="shared" ref="E360" ca="1" si="296">INDIRECT("a_" &amp; i) * t^3 + INDIRECT("b_" &amp; i) * t^2 + INDIRECT("c_" &amp; i) * t^1 + INDIRECT("d_" &amp; i)</f>
        <v>0.25080283554156518</v>
      </c>
      <c r="F360" s="117" t="s">
        <v>332</v>
      </c>
      <c r="R360" s="120">
        <f t="array" aca="1" ref="R360" ca="1">E360:E660</f>
        <v>0.25080283554156518</v>
      </c>
      <c r="S360" s="121">
        <f t="shared" ca="1" si="293"/>
        <v>-2.4365906427818648E-2</v>
      </c>
      <c r="T360" s="121">
        <f t="shared" ca="1" si="295"/>
        <v>-8.1525805595752832E-3</v>
      </c>
    </row>
    <row r="361" spans="3:20" s="74" customFormat="1" x14ac:dyDescent="0.2">
      <c r="C361" s="74">
        <v>30</v>
      </c>
      <c r="D361" s="74">
        <v>26.1</v>
      </c>
      <c r="E361" s="114">
        <f t="shared" ref="E361" ca="1" si="297">INDIRECT("a_" &amp; i) * t^3 + INDIRECT("b_" &amp; i) * t^2 + INDIRECT("c_" &amp; i) * t^1 + INDIRECT("d_" &amp; i)</f>
        <v>0.24828407781709777</v>
      </c>
      <c r="F361" s="117" t="s">
        <v>332</v>
      </c>
      <c r="R361" s="120">
        <f t="array" aca="1" ref="R361" ca="1">E361:E661</f>
        <v>0.24828407781709777</v>
      </c>
      <c r="S361" s="121">
        <f t="shared" ca="1" si="293"/>
        <v>-2.5187577244673773E-2</v>
      </c>
      <c r="T361" s="121">
        <f t="shared" ca="1" si="295"/>
        <v>-8.2167081685511362E-3</v>
      </c>
    </row>
    <row r="362" spans="3:20" s="74" customFormat="1" x14ac:dyDescent="0.2">
      <c r="C362" s="74">
        <v>30</v>
      </c>
      <c r="D362" s="74">
        <v>26.2</v>
      </c>
      <c r="E362" s="114">
        <f t="shared" ref="E362" ca="1" si="298">INDIRECT("a_" &amp; i) * t^3 + INDIRECT("b_" &amp; i) * t^2 + INDIRECT("c_" &amp; i) * t^1 + INDIRECT("d_" &amp; i)</f>
        <v>0.24568251173485561</v>
      </c>
      <c r="F362" s="117" t="s">
        <v>332</v>
      </c>
      <c r="R362" s="120">
        <f t="array" aca="1" ref="R362" ca="1">E362:E662</f>
        <v>0.24568251173485561</v>
      </c>
      <c r="S362" s="121">
        <f t="shared" ca="1" si="293"/>
        <v>-2.6015660822422126E-2</v>
      </c>
      <c r="T362" s="121">
        <f t="shared" ca="1" si="295"/>
        <v>-8.2808357774837062E-3</v>
      </c>
    </row>
    <row r="363" spans="3:20" s="74" customFormat="1" x14ac:dyDescent="0.2">
      <c r="C363" s="74">
        <v>30</v>
      </c>
      <c r="D363" s="74">
        <v>26.3</v>
      </c>
      <c r="E363" s="114">
        <f t="shared" ref="E363" ca="1" si="299">INDIRECT("a_" &amp; i) * t^3 + INDIRECT("b_" &amp; i) * t^2 + INDIRECT("c_" &amp; i) * t^1 + INDIRECT("d_" &amp; i)</f>
        <v>0.24299749601874959</v>
      </c>
      <c r="F363" s="117" t="s">
        <v>332</v>
      </c>
      <c r="R363" s="120">
        <f t="array" aca="1" ref="R363" ca="1">E363:E663</f>
        <v>0.24299749601874959</v>
      </c>
      <c r="S363" s="121">
        <f t="shared" ca="1" si="293"/>
        <v>-2.6850157161059825E-2</v>
      </c>
      <c r="T363" s="121">
        <f t="shared" ca="1" si="295"/>
        <v>-8.3449633863768649E-3</v>
      </c>
    </row>
    <row r="364" spans="3:20" s="74" customFormat="1" x14ac:dyDescent="0.2">
      <c r="C364" s="74">
        <v>30</v>
      </c>
      <c r="D364" s="74">
        <v>26.4</v>
      </c>
      <c r="E364" s="114">
        <f t="shared" ref="E364" ca="1" si="300">INDIRECT("a_" &amp; i) * t^3 + INDIRECT("b_" &amp; i) * t^2 + INDIRECT("c_" &amp; i) * t^1 + INDIRECT("d_" &amp; i)</f>
        <v>0.24022838939268926</v>
      </c>
      <c r="F364" s="117" t="s">
        <v>332</v>
      </c>
      <c r="R364" s="120">
        <f t="array" aca="1" ref="R364" ca="1">E364:E664</f>
        <v>0.24022838939268926</v>
      </c>
      <c r="S364" s="121">
        <f t="shared" ca="1" si="293"/>
        <v>-2.7691066260603948E-2</v>
      </c>
      <c r="T364" s="121">
        <f t="shared" ca="1" si="295"/>
        <v>-8.4090909954414161E-3</v>
      </c>
    </row>
    <row r="365" spans="3:20" s="74" customFormat="1" x14ac:dyDescent="0.2">
      <c r="C365" s="74">
        <v>30</v>
      </c>
      <c r="D365" s="74">
        <v>26.5</v>
      </c>
      <c r="E365" s="114">
        <f t="shared" ref="E365" ca="1" si="301">INDIRECT("a_" &amp; i) * t^3 + INDIRECT("b_" &amp; i) * t^2 + INDIRECT("c_" &amp; i) * t^1 + INDIRECT("d_" &amp; i)</f>
        <v>0.2373745505805866</v>
      </c>
      <c r="F365" s="117" t="s">
        <v>332</v>
      </c>
      <c r="R365" s="120">
        <f t="array" aca="1" ref="R365" ca="1">E365:E665</f>
        <v>0.2373745505805866</v>
      </c>
      <c r="S365" s="121">
        <f t="shared" ca="1" si="293"/>
        <v>-2.8538388121026197E-2</v>
      </c>
      <c r="T365" s="121">
        <f t="shared" ca="1" si="295"/>
        <v>-8.4732186042223694E-3</v>
      </c>
    </row>
    <row r="366" spans="3:20" s="74" customFormat="1" x14ac:dyDescent="0.2">
      <c r="C366" s="74">
        <v>30</v>
      </c>
      <c r="D366" s="74">
        <v>26.6</v>
      </c>
      <c r="E366" s="114">
        <f t="shared" ref="E366" ca="1" si="302">INDIRECT("a_" &amp; i) * t^3 + INDIRECT("b_" &amp; i) * t^2 + INDIRECT("c_" &amp; i) * t^1 + INDIRECT("d_" &amp; i)</f>
        <v>0.23443533830635171</v>
      </c>
      <c r="F366" s="117" t="s">
        <v>332</v>
      </c>
      <c r="R366" s="120">
        <f t="array" aca="1" ref="R366" ca="1">E366:E666</f>
        <v>0.23443533830635171</v>
      </c>
      <c r="S366" s="121">
        <f t="shared" ca="1" si="293"/>
        <v>-2.9392122742348398E-2</v>
      </c>
      <c r="T366" s="121">
        <f t="shared" ca="1" si="295"/>
        <v>-8.5373462132218823E-3</v>
      </c>
    </row>
    <row r="367" spans="3:20" s="74" customFormat="1" x14ac:dyDescent="0.2">
      <c r="C367" s="74">
        <v>30</v>
      </c>
      <c r="D367" s="74">
        <v>26.7</v>
      </c>
      <c r="E367" s="114">
        <f t="shared" ref="E367" ca="1" si="303">INDIRECT("a_" &amp; i) * t^3 + INDIRECT("b_" &amp; i) * t^2 + INDIRECT("c_" &amp; i) * t^1 + INDIRECT("d_" &amp; i)</f>
        <v>0.23141011129389449</v>
      </c>
      <c r="F367" s="117" t="s">
        <v>332</v>
      </c>
      <c r="R367" s="120">
        <f t="array" aca="1" ref="R367" ca="1">E367:E667</f>
        <v>0.23141011129389449</v>
      </c>
      <c r="S367" s="121">
        <f t="shared" ca="1" si="293"/>
        <v>-3.0252270124572857E-2</v>
      </c>
      <c r="T367" s="121">
        <f t="shared" ca="1" si="295"/>
        <v>-8.6014738222447741E-3</v>
      </c>
    </row>
    <row r="368" spans="3:20" s="74" customFormat="1" x14ac:dyDescent="0.2">
      <c r="C368" s="74">
        <v>30</v>
      </c>
      <c r="D368" s="74">
        <v>26.8</v>
      </c>
      <c r="E368" s="114">
        <f t="shared" ref="E368" ca="1" si="304">INDIRECT("a_" &amp; i) * t^3 + INDIRECT("b_" &amp; i) * t^2 + INDIRECT("c_" &amp; i) * t^1 + INDIRECT("d_" &amp; i)</f>
        <v>0.2282982282671267</v>
      </c>
      <c r="F368" s="117" t="s">
        <v>332</v>
      </c>
      <c r="R368" s="120">
        <f t="array" aca="1" ref="R368" ca="1">E368:E668</f>
        <v>0.2282982282671267</v>
      </c>
      <c r="S368" s="121">
        <f t="shared" ca="1" si="293"/>
        <v>-3.1118830267677481E-2</v>
      </c>
      <c r="T368" s="121">
        <f t="shared" ca="1" si="295"/>
        <v>-8.6656014310461191E-3</v>
      </c>
    </row>
    <row r="369" spans="3:20" s="74" customFormat="1" x14ac:dyDescent="0.2">
      <c r="C369" s="74">
        <v>30</v>
      </c>
      <c r="D369" s="74">
        <v>26.9</v>
      </c>
      <c r="E369" s="114">
        <f t="shared" ref="E369" ca="1" si="305">INDIRECT("a_" &amp; i) * t^3 + INDIRECT("b_" &amp; i) * t^2 + INDIRECT("c_" &amp; i) * t^1 + INDIRECT("d_" &amp; i)</f>
        <v>0.225099047949959</v>
      </c>
      <c r="F369" s="117" t="s">
        <v>332</v>
      </c>
      <c r="R369" s="120">
        <f t="array" aca="1" ref="R369" ca="1">E369:E669</f>
        <v>0.225099047949959</v>
      </c>
      <c r="S369" s="121">
        <f t="shared" ca="1" si="293"/>
        <v>-3.1991803171677727E-2</v>
      </c>
      <c r="T369" s="121">
        <f t="shared" ca="1" si="295"/>
        <v>-8.7297290400026439E-3</v>
      </c>
    </row>
    <row r="370" spans="3:20" s="74" customFormat="1" x14ac:dyDescent="0.2">
      <c r="C370" s="74">
        <v>30</v>
      </c>
      <c r="D370" s="74">
        <v>27</v>
      </c>
      <c r="E370" s="114">
        <f t="shared" ref="E370" ca="1" si="306">INDIRECT("a_" &amp; i) * t^3 + INDIRECT("b_" &amp; i) * t^2 + INDIRECT("c_" &amp; i) * t^1 + INDIRECT("d_" &amp; i)</f>
        <v>0.22181192906630071</v>
      </c>
      <c r="F370" s="117" t="s">
        <v>332</v>
      </c>
      <c r="R370" s="120">
        <f t="array" aca="1" ref="R370" ca="1">E370:E670</f>
        <v>0.22181192906630071</v>
      </c>
      <c r="S370" s="121">
        <f t="shared" ca="1" si="293"/>
        <v>-3.2871188836582445E-2</v>
      </c>
      <c r="T370" s="121">
        <f t="shared" ca="1" si="295"/>
        <v>-8.7938566490470549E-3</v>
      </c>
    </row>
    <row r="371" spans="3:20" s="74" customFormat="1" x14ac:dyDescent="0.2">
      <c r="C371" s="74">
        <v>30</v>
      </c>
      <c r="D371" s="74">
        <v>27.1</v>
      </c>
      <c r="E371" s="114">
        <f t="shared" ref="E371" ca="1" si="307">INDIRECT("a_" &amp; i) * t^3 + INDIRECT("b_" &amp; i) * t^2 + INDIRECT("c_" &amp; i) * t^1 + INDIRECT("d_" &amp; i)</f>
        <v>0.21843623034006415</v>
      </c>
      <c r="F371" s="117" t="s">
        <v>332</v>
      </c>
      <c r="R371" s="120">
        <f t="array" aca="1" ref="R371" ca="1">E371:E671</f>
        <v>0.21843623034006415</v>
      </c>
      <c r="S371" s="121">
        <f t="shared" ca="1" si="293"/>
        <v>-3.3756987262365055E-2</v>
      </c>
      <c r="T371" s="121">
        <f t="shared" ca="1" si="295"/>
        <v>-8.8579842578259804E-3</v>
      </c>
    </row>
    <row r="372" spans="3:20" s="74" customFormat="1" x14ac:dyDescent="0.2">
      <c r="C372" s="74">
        <v>30</v>
      </c>
      <c r="D372" s="74">
        <v>27.2</v>
      </c>
      <c r="E372" s="114">
        <f t="shared" ref="E372" ca="1" si="308">INDIRECT("a_" &amp; i) * t^3 + INDIRECT("b_" &amp; i) * t^2 + INDIRECT("c_" &amp; i) * t^1 + INDIRECT("d_" &amp; i)</f>
        <v>0.21497131049515855</v>
      </c>
      <c r="F372" s="117" t="s">
        <v>332</v>
      </c>
      <c r="R372" s="120">
        <f t="array" aca="1" ref="R372" ca="1">E372:E672</f>
        <v>0.21497131049515855</v>
      </c>
      <c r="S372" s="121">
        <f t="shared" ca="1" si="293"/>
        <v>-3.4649198449056742E-2</v>
      </c>
      <c r="T372" s="121">
        <f t="shared" ca="1" si="295"/>
        <v>-8.9221118669170589E-3</v>
      </c>
    </row>
    <row r="373" spans="3:20" s="74" customFormat="1" x14ac:dyDescent="0.2">
      <c r="C373" s="74">
        <v>30</v>
      </c>
      <c r="D373" s="74">
        <v>27.3</v>
      </c>
      <c r="E373" s="114">
        <f t="shared" ref="E373" ca="1" si="309">INDIRECT("a_" &amp; i) * t^3 + INDIRECT("b_" &amp; i) * t^2 + INDIRECT("c_" &amp; i) * t^1 + INDIRECT("d_" &amp; i)</f>
        <v>0.21141652825549545</v>
      </c>
      <c r="F373" s="117" t="s">
        <v>332</v>
      </c>
      <c r="R373" s="120">
        <f t="array" aca="1" ref="R373" ca="1">E373:E673</f>
        <v>0.21141652825549545</v>
      </c>
      <c r="S373" s="121">
        <f t="shared" ca="1" si="293"/>
        <v>-3.5547822396630506E-2</v>
      </c>
      <c r="T373" s="121">
        <f t="shared" ca="1" si="295"/>
        <v>-8.9862394757375084E-3</v>
      </c>
    </row>
    <row r="374" spans="3:20" s="74" customFormat="1" x14ac:dyDescent="0.2">
      <c r="C374" s="74">
        <v>30</v>
      </c>
      <c r="D374" s="74">
        <v>27.4</v>
      </c>
      <c r="E374" s="114">
        <f t="shared" ref="E374" ca="1" si="310">INDIRECT("a_" &amp; i) * t^3 + INDIRECT("b_" &amp; i) * t^2 + INDIRECT("c_" &amp; i) * t^1 + INDIRECT("d_" &amp; i)</f>
        <v>0.20777124234498417</v>
      </c>
      <c r="F374" s="117" t="s">
        <v>332</v>
      </c>
      <c r="R374" s="120">
        <f t="array" aca="1" ref="R374" ca="1">E374:E674</f>
        <v>0.20777124234498417</v>
      </c>
      <c r="S374" s="121">
        <f t="shared" ca="1" si="293"/>
        <v>-3.6452859105113533E-2</v>
      </c>
      <c r="T374" s="121">
        <f t="shared" ca="1" si="295"/>
        <v>-9.050367084830464E-3</v>
      </c>
    </row>
    <row r="375" spans="3:20" s="74" customFormat="1" x14ac:dyDescent="0.2">
      <c r="C375" s="74">
        <v>30</v>
      </c>
      <c r="D375" s="74">
        <v>27.5</v>
      </c>
      <c r="E375" s="114">
        <f t="shared" ref="E375" ca="1" si="311">INDIRECT("a_" &amp; i) * t^3 + INDIRECT("b_" &amp; i) * t^2 + INDIRECT("c_" &amp; i) * t^1 + INDIRECT("d_" &amp; i)</f>
        <v>0.20403481148753716</v>
      </c>
      <c r="F375" s="117" t="s">
        <v>332</v>
      </c>
      <c r="R375" s="120">
        <f t="array" aca="1" ref="R375" ca="1">E375:E675</f>
        <v>0.20403481148753716</v>
      </c>
      <c r="S375" s="121">
        <f t="shared" ca="1" si="293"/>
        <v>-3.7364308574469617E-2</v>
      </c>
      <c r="T375" s="121">
        <f t="shared" ca="1" si="295"/>
        <v>-9.1144946935607044E-3</v>
      </c>
    </row>
    <row r="376" spans="3:20" s="74" customFormat="1" x14ac:dyDescent="0.2">
      <c r="C376" s="74">
        <v>30</v>
      </c>
      <c r="D376" s="74">
        <v>27.6</v>
      </c>
      <c r="E376" s="114">
        <f t="shared" ref="E376" ca="1" si="312">INDIRECT("a_" &amp; i) * t^3 + INDIRECT("b_" &amp; i) * t^2 + INDIRECT("c_" &amp; i) * t^1 + INDIRECT("d_" &amp; i)</f>
        <v>0.20020659440706406</v>
      </c>
      <c r="F376" s="117" t="s">
        <v>332</v>
      </c>
      <c r="R376" s="120">
        <f t="array" aca="1" ref="R376" ca="1">E376:E676</f>
        <v>0.20020659440706406</v>
      </c>
      <c r="S376" s="121">
        <f t="shared" ca="1" si="293"/>
        <v>-3.8282170804730412E-2</v>
      </c>
      <c r="T376" s="121">
        <f t="shared" ca="1" si="295"/>
        <v>-9.1786223026078199E-3</v>
      </c>
    </row>
    <row r="377" spans="3:20" s="74" customFormat="1" x14ac:dyDescent="0.2">
      <c r="C377" s="74">
        <v>30</v>
      </c>
      <c r="D377" s="74">
        <v>27.7</v>
      </c>
      <c r="E377" s="114">
        <f t="shared" ref="E377" ca="1" si="313">INDIRECT("a_" &amp; i) * t^3 + INDIRECT("b_" &amp; i) * t^2 + INDIRECT("c_" &amp; i) * t^1 + INDIRECT("d_" &amp; i)</f>
        <v>0.19628594982747577</v>
      </c>
      <c r="F377" s="117" t="s">
        <v>332</v>
      </c>
      <c r="R377" s="120">
        <f t="array" aca="1" ref="R377" ca="1">E377:E677</f>
        <v>0.19628594982747577</v>
      </c>
      <c r="S377" s="121">
        <f t="shared" ca="1" si="293"/>
        <v>-3.9206445795883782E-2</v>
      </c>
      <c r="T377" s="121">
        <f t="shared" ca="1" si="295"/>
        <v>-9.2427499115339019E-3</v>
      </c>
    </row>
    <row r="378" spans="3:20" s="74" customFormat="1" x14ac:dyDescent="0.2">
      <c r="C378" s="74">
        <v>30</v>
      </c>
      <c r="D378" s="74">
        <v>27.8</v>
      </c>
      <c r="E378" s="114">
        <f t="shared" ref="E378" ca="1" si="314">INDIRECT("a_" &amp; i) * t^3 + INDIRECT("b_" &amp; i) * t^2 + INDIRECT("c_" &amp; i) * t^1 + INDIRECT("d_" &amp; i)</f>
        <v>0.19227223647268227</v>
      </c>
      <c r="F378" s="117" t="s">
        <v>332</v>
      </c>
      <c r="R378" s="120">
        <f t="array" aca="1" ref="R378" ca="1">E378:E678</f>
        <v>0.19227223647268227</v>
      </c>
      <c r="S378" s="121">
        <f t="shared" ca="1" si="293"/>
        <v>-4.0137133547934453E-2</v>
      </c>
      <c r="T378" s="121">
        <f t="shared" ca="1" si="295"/>
        <v>-9.3068775205065804E-3</v>
      </c>
    </row>
    <row r="379" spans="3:20" s="74" customFormat="1" x14ac:dyDescent="0.2">
      <c r="C379" s="74">
        <v>30</v>
      </c>
      <c r="D379" s="74">
        <v>27.9</v>
      </c>
      <c r="E379" s="114">
        <f t="shared" ref="E379" ca="1" si="315">INDIRECT("a_" &amp; i) * t^3 + INDIRECT("b_" &amp; i) * t^2 + INDIRECT("c_" &amp; i) * t^1 + INDIRECT("d_" &amp; i)</f>
        <v>0.18816481306659455</v>
      </c>
      <c r="F379" s="117" t="s">
        <v>332</v>
      </c>
      <c r="R379" s="120">
        <f t="array" aca="1" ref="R379" ca="1">E379:E679</f>
        <v>0.18816481306659455</v>
      </c>
      <c r="S379" s="121">
        <f t="shared" ca="1" si="293"/>
        <v>-4.1074234060878054E-2</v>
      </c>
      <c r="T379" s="121">
        <f t="shared" ca="1" si="295"/>
        <v>-9.3710051294362048E-3</v>
      </c>
    </row>
    <row r="380" spans="3:20" s="74" customFormat="1" x14ac:dyDescent="0.2">
      <c r="C380" s="74">
        <v>30</v>
      </c>
      <c r="D380" s="74">
        <v>28</v>
      </c>
      <c r="E380" s="114">
        <f t="shared" ref="E380" ca="1" si="316">INDIRECT("a_" &amp; i) * t^3 + INDIRECT("b_" &amp; i) * t^2 + INDIRECT("c_" &amp; i) * t^1 + INDIRECT("d_" &amp; i)</f>
        <v>0.18396303833312416</v>
      </c>
      <c r="F380" s="117" t="s">
        <v>332</v>
      </c>
      <c r="R380" s="120">
        <f t="array" aca="1" ref="R380" ca="1">E380:E680</f>
        <v>0.18396303833312416</v>
      </c>
      <c r="S380" s="121">
        <f t="shared" ca="1" si="293"/>
        <v>-4.2017747334703273E-2</v>
      </c>
      <c r="T380" s="121">
        <f t="shared" ca="1" si="295"/>
        <v>-9.4351327382520608E-3</v>
      </c>
    </row>
    <row r="381" spans="3:20" s="74" customFormat="1" x14ac:dyDescent="0.2">
      <c r="C381" s="74">
        <v>30</v>
      </c>
      <c r="D381" s="74">
        <v>28.1</v>
      </c>
      <c r="E381" s="114">
        <f t="shared" ref="E381" ca="1" si="317">INDIRECT("a_" &amp; i) * t^3 + INDIRECT("b_" &amp; i) * t^2 + INDIRECT("c_" &amp; i) * t^1 + INDIRECT("d_" &amp; i)</f>
        <v>0.17966627099618032</v>
      </c>
      <c r="F381" s="117" t="s">
        <v>332</v>
      </c>
      <c r="R381" s="120">
        <f t="array" aca="1" ref="R381" ca="1">E381:E681</f>
        <v>0.17966627099618032</v>
      </c>
      <c r="S381" s="121">
        <f t="shared" ca="1" si="293"/>
        <v>-4.2967673369437798E-2</v>
      </c>
      <c r="T381" s="121">
        <f t="shared" ca="1" si="295"/>
        <v>-9.49926034734511E-3</v>
      </c>
    </row>
    <row r="382" spans="3:20" s="74" customFormat="1" x14ac:dyDescent="0.2">
      <c r="C382" s="74">
        <v>30</v>
      </c>
      <c r="D382" s="74">
        <v>28.2</v>
      </c>
      <c r="E382" s="114">
        <f t="shared" ref="E382" ca="1" si="318">INDIRECT("a_" &amp; i) * t^3 + INDIRECT("b_" &amp; i) * t^2 + INDIRECT("c_" &amp; i) * t^1 + INDIRECT("d_" &amp; i)</f>
        <v>0.17527386977967446</v>
      </c>
      <c r="F382" s="117" t="s">
        <v>332</v>
      </c>
      <c r="R382" s="120">
        <f t="array" aca="1" ref="R382" ca="1">E382:E682</f>
        <v>0.17527386977967446</v>
      </c>
      <c r="S382" s="121">
        <f t="shared" ca="1" si="293"/>
        <v>-4.3924012165059527E-2</v>
      </c>
      <c r="T382" s="121">
        <f t="shared" ca="1" si="295"/>
        <v>-9.5633879562174971E-3</v>
      </c>
    </row>
    <row r="383" spans="3:20" s="74" customFormat="1" x14ac:dyDescent="0.2">
      <c r="C383" s="74">
        <v>30</v>
      </c>
      <c r="D383" s="74">
        <v>28.3</v>
      </c>
      <c r="E383" s="114">
        <f t="shared" ref="E383" ca="1" si="319">INDIRECT("a_" &amp; i) * t^3 + INDIRECT("b_" &amp; i) * t^2 + INDIRECT("c_" &amp; i) * t^1 + INDIRECT("d_" &amp; i)</f>
        <v>0.1707851934075168</v>
      </c>
      <c r="F383" s="117" t="s">
        <v>332</v>
      </c>
      <c r="R383" s="120">
        <f t="array" aca="1" ref="R383" ca="1">E383:E683</f>
        <v>0.1707851934075168</v>
      </c>
      <c r="S383" s="121">
        <f t="shared" ca="1" si="293"/>
        <v>-4.488676372157599E-2</v>
      </c>
      <c r="T383" s="121">
        <f t="shared" ca="1" si="295"/>
        <v>-9.6275155651644895E-3</v>
      </c>
    </row>
    <row r="384" spans="3:20" s="74" customFormat="1" x14ac:dyDescent="0.2">
      <c r="C384" s="74">
        <v>30</v>
      </c>
      <c r="D384" s="74">
        <v>28.4</v>
      </c>
      <c r="E384" s="114">
        <f t="shared" ref="E384" ca="1" si="320">INDIRECT("a_" &amp; i) * t^3 + INDIRECT("b_" &amp; i) * t^2 + INDIRECT("c_" &amp; i) * t^1 + INDIRECT("d_" &amp; i)</f>
        <v>0.16619960060361888</v>
      </c>
      <c r="F384" s="117" t="s">
        <v>332</v>
      </c>
      <c r="R384" s="120">
        <f t="array" aca="1" ref="R384" ca="1">E384:E684</f>
        <v>0.16619960060361888</v>
      </c>
      <c r="S384" s="121">
        <f t="shared" ca="1" si="293"/>
        <v>-4.5855928038980177E-2</v>
      </c>
      <c r="T384" s="121">
        <f t="shared" ca="1" si="295"/>
        <v>-9.6916431740420843E-3</v>
      </c>
    </row>
    <row r="385" spans="3:20" s="74" customFormat="1" x14ac:dyDescent="0.2">
      <c r="C385" s="74">
        <v>30</v>
      </c>
      <c r="D385" s="74">
        <v>28.5</v>
      </c>
      <c r="E385" s="114">
        <f t="shared" ref="E385" ca="1" si="321">INDIRECT("a_" &amp; i) * t^3 + INDIRECT("b_" &amp; i) * t^2 + INDIRECT("c_" &amp; i) * t^1 + INDIRECT("d_" &amp; i)</f>
        <v>0.16151645009189047</v>
      </c>
      <c r="F385" s="117" t="s">
        <v>332</v>
      </c>
      <c r="R385" s="120">
        <f t="array" aca="1" ref="R385" ca="1">E385:E685</f>
        <v>0.16151645009189047</v>
      </c>
      <c r="S385" s="121">
        <f t="shared" ca="1" si="293"/>
        <v>-4.6831505117283401E-2</v>
      </c>
      <c r="T385" s="121">
        <f t="shared" ca="1" si="295"/>
        <v>-9.7557707830320944E-3</v>
      </c>
    </row>
    <row r="386" spans="3:20" s="74" customFormat="1" x14ac:dyDescent="0.2">
      <c r="C386" s="74">
        <v>30</v>
      </c>
      <c r="D386" s="74">
        <v>28.6</v>
      </c>
      <c r="E386" s="114">
        <f t="shared" ref="E386" ca="1" si="322">INDIRECT("a_" &amp; i) * t^3 + INDIRECT("b_" &amp; i) * t^2 + INDIRECT("c_" &amp; i) * t^1 + INDIRECT("d_" &amp; i)</f>
        <v>0.15673510059624168</v>
      </c>
      <c r="F386" s="117" t="s">
        <v>332</v>
      </c>
      <c r="R386" s="120">
        <f t="array" aca="1" ref="R386" ca="1">E386:E686</f>
        <v>0.15673510059624168</v>
      </c>
      <c r="S386" s="121">
        <f t="shared" ca="1" si="293"/>
        <v>-4.7813494956487221E-2</v>
      </c>
      <c r="T386" s="121">
        <f t="shared" ca="1" si="295"/>
        <v>-9.8198983920380623E-3</v>
      </c>
    </row>
    <row r="387" spans="3:20" s="74" customFormat="1" x14ac:dyDescent="0.2">
      <c r="C387" s="74">
        <v>30</v>
      </c>
      <c r="D387" s="74">
        <v>28.7</v>
      </c>
      <c r="E387" s="114">
        <f t="shared" ref="E387" ca="1" si="323">INDIRECT("a_" &amp; i) * t^3 + INDIRECT("b_" &amp; i) * t^2 + INDIRECT("c_" &amp; i) * t^1 + INDIRECT("d_" &amp; i)</f>
        <v>0.15185491084058439</v>
      </c>
      <c r="F387" s="117" t="s">
        <v>332</v>
      </c>
      <c r="R387" s="120">
        <f t="array" aca="1" ref="R387" ca="1">E387:E687</f>
        <v>0.15185491084058439</v>
      </c>
      <c r="S387" s="121">
        <f t="shared" ca="1" si="293"/>
        <v>-4.8801897556573978E-2</v>
      </c>
      <c r="T387" s="121">
        <f t="shared" ca="1" si="295"/>
        <v>-9.8840260008677839E-3</v>
      </c>
    </row>
    <row r="388" spans="3:20" s="74" customFormat="1" x14ac:dyDescent="0.2">
      <c r="C388" s="74">
        <v>30</v>
      </c>
      <c r="D388" s="74">
        <v>28.8</v>
      </c>
      <c r="E388" s="114">
        <f t="shared" ref="E388" ca="1" si="324">INDIRECT("a_" &amp; i) * t^3 + INDIRECT("b_" &amp; i) * t^2 + INDIRECT("c_" &amp; i) * t^1 + INDIRECT("d_" &amp; i)</f>
        <v>0.14687523954882881</v>
      </c>
      <c r="F388" s="117" t="s">
        <v>332</v>
      </c>
      <c r="R388" s="120">
        <f t="array" aca="1" ref="R388" ca="1">E388:E688</f>
        <v>0.14687523954882881</v>
      </c>
      <c r="S388" s="121">
        <f t="shared" ca="1" si="293"/>
        <v>-4.9796712917555122E-2</v>
      </c>
      <c r="T388" s="121">
        <f t="shared" ca="1" si="295"/>
        <v>-9.9481536098112982E-3</v>
      </c>
    </row>
    <row r="389" spans="3:20" s="74" customFormat="1" x14ac:dyDescent="0.2">
      <c r="C389" s="74">
        <v>30</v>
      </c>
      <c r="D389" s="74">
        <v>28.9</v>
      </c>
      <c r="E389" s="114">
        <f t="shared" ref="E389" ca="1" si="325">INDIRECT("a_" &amp; i) * t^3 + INDIRECT("b_" &amp; i) * t^2 + INDIRECT("c_" &amp; i) * t^1 + INDIRECT("d_" &amp; i)</f>
        <v>0.14179544544488515</v>
      </c>
      <c r="F389" s="117" t="s">
        <v>332</v>
      </c>
      <c r="R389" s="120">
        <f t="array" aca="1" ref="R389" ca="1">E389:E689</f>
        <v>0.14179544544488515</v>
      </c>
      <c r="S389" s="121">
        <f t="shared" ca="1" si="293"/>
        <v>-5.0797941039437661E-2</v>
      </c>
      <c r="T389" s="121">
        <f t="shared" ca="1" si="295"/>
        <v>-1.00122812188256E-2</v>
      </c>
    </row>
    <row r="390" spans="3:20" s="74" customFormat="1" x14ac:dyDescent="0.2">
      <c r="C390" s="74">
        <v>30</v>
      </c>
      <c r="D390" s="74">
        <v>29</v>
      </c>
      <c r="E390" s="114">
        <f t="shared" ref="E390" ca="1" si="326">INDIRECT("a_" &amp; i) * t^3 + INDIRECT("b_" &amp; i) * t^2 + INDIRECT("c_" &amp; i) * t^1 + INDIRECT("d_" &amp; i)</f>
        <v>0.13661488725266452</v>
      </c>
      <c r="F390" s="117" t="s">
        <v>332</v>
      </c>
      <c r="R390" s="120">
        <f t="array" aca="1" ref="R390" ca="1">E390:E690</f>
        <v>0.13661488725266452</v>
      </c>
      <c r="S390" s="121">
        <f t="shared" ca="1" si="293"/>
        <v>-5.1805581922205565E-2</v>
      </c>
      <c r="T390" s="121">
        <f t="shared" ca="1" si="295"/>
        <v>-1.0076408827678901E-2</v>
      </c>
    </row>
    <row r="391" spans="3:20" s="74" customFormat="1" x14ac:dyDescent="0.2">
      <c r="C391" s="74">
        <v>30</v>
      </c>
      <c r="D391" s="74">
        <v>29.1</v>
      </c>
      <c r="E391" s="114">
        <f t="shared" ref="E391" ca="1" si="327">INDIRECT("a_" &amp; i) * t^3 + INDIRECT("b_" &amp; i) * t^2 + INDIRECT("c_" &amp; i) * t^1 + INDIRECT("d_" &amp; i)</f>
        <v>0.13133292369607746</v>
      </c>
      <c r="F391" s="117" t="s">
        <v>332</v>
      </c>
      <c r="R391" s="120">
        <f t="array" aca="1" ref="R391" ca="1">E391:E691</f>
        <v>0.13133292369607746</v>
      </c>
      <c r="S391" s="121">
        <f t="shared" ca="1" si="293"/>
        <v>-5.2819635565869799E-2</v>
      </c>
      <c r="T391" s="121">
        <f t="shared" ca="1" si="295"/>
        <v>-1.0140536436642195E-2</v>
      </c>
    </row>
    <row r="392" spans="3:20" s="74" customFormat="1" x14ac:dyDescent="0.2">
      <c r="C392" s="74">
        <v>30</v>
      </c>
      <c r="D392" s="74">
        <v>29.2</v>
      </c>
      <c r="E392" s="114">
        <f t="shared" ref="E392" ca="1" si="328">INDIRECT("a_" &amp; i) * t^3 + INDIRECT("b_" &amp; i) * t^2 + INDIRECT("c_" &amp; i) * t^1 + INDIRECT("d_" &amp; i)</f>
        <v>0.12594891349903453</v>
      </c>
      <c r="F392" s="117" t="s">
        <v>332</v>
      </c>
      <c r="R392" s="120">
        <f t="array" aca="1" ref="R392" ca="1">E392:E692</f>
        <v>0.12594891349903453</v>
      </c>
      <c r="S392" s="121">
        <f t="shared" ca="1" si="293"/>
        <v>-5.3840101970430466E-2</v>
      </c>
      <c r="T392" s="121">
        <f t="shared" ca="1" si="295"/>
        <v>-1.020466404560689E-2</v>
      </c>
    </row>
    <row r="393" spans="3:20" s="74" customFormat="1" x14ac:dyDescent="0.2">
      <c r="C393" s="74">
        <v>30</v>
      </c>
      <c r="D393" s="74">
        <v>29.3</v>
      </c>
      <c r="E393" s="114">
        <f t="shared" ref="E393" ca="1" si="329">INDIRECT("a_" &amp; i) * t^3 + INDIRECT("b_" &amp; i) * t^2 + INDIRECT("c_" &amp; i) * t^1 + INDIRECT("d_" &amp; i)</f>
        <v>0.12046221538544594</v>
      </c>
      <c r="F393" s="117" t="s">
        <v>332</v>
      </c>
      <c r="R393" s="120">
        <f t="array" aca="1" ref="R393" ca="1">E393:E693</f>
        <v>0.12046221538544594</v>
      </c>
      <c r="S393" s="121">
        <f t="shared" ca="1" si="293"/>
        <v>-5.4866981135885173E-2</v>
      </c>
      <c r="T393" s="121">
        <f t="shared" ca="1" si="295"/>
        <v>-1.0268791654546923E-2</v>
      </c>
    </row>
    <row r="394" spans="3:20" s="74" customFormat="1" x14ac:dyDescent="0.2">
      <c r="C394" s="74">
        <v>30</v>
      </c>
      <c r="D394" s="74">
        <v>29.4</v>
      </c>
      <c r="E394" s="114">
        <f t="shared" ref="E394" ca="1" si="330">INDIRECT("a_" &amp; i) * t^3 + INDIRECT("b_" &amp; i) * t^2 + INDIRECT("c_" &amp; i) * t^1 + INDIRECT("d_" &amp; i)</f>
        <v>0.11487218807922278</v>
      </c>
      <c r="F394" s="117" t="s">
        <v>332</v>
      </c>
      <c r="R394" s="120">
        <f t="array" aca="1" ref="R394" ca="1">E394:E694</f>
        <v>0.11487218807922278</v>
      </c>
      <c r="S394" s="121">
        <f t="shared" ca="1" si="293"/>
        <v>-5.5900273062232747E-2</v>
      </c>
      <c r="T394" s="121">
        <f t="shared" ca="1" si="295"/>
        <v>-1.0332919263475958E-2</v>
      </c>
    </row>
    <row r="395" spans="3:20" s="74" customFormat="1" x14ac:dyDescent="0.2">
      <c r="C395" s="74">
        <v>30</v>
      </c>
      <c r="D395" s="74">
        <v>29.5</v>
      </c>
      <c r="E395" s="114">
        <f t="shared" ref="E395" ca="1" si="331">INDIRECT("a_" &amp; i) * t^3 + INDIRECT("b_" &amp; i) * t^2 + INDIRECT("c_" &amp; i) * t^1 + INDIRECT("d_" &amp; i)</f>
        <v>0.10917819030427617</v>
      </c>
      <c r="F395" s="117" t="s">
        <v>332</v>
      </c>
      <c r="R395" s="120">
        <f t="array" aca="1" ref="R395" ca="1">E395:E695</f>
        <v>0.10917819030427617</v>
      </c>
      <c r="S395" s="121">
        <f t="shared" ca="1" si="293"/>
        <v>-5.6939977749465319E-2</v>
      </c>
      <c r="T395" s="121">
        <f t="shared" ca="1" si="295"/>
        <v>-1.0397046872325571E-2</v>
      </c>
    </row>
    <row r="396" spans="3:20" s="74" customFormat="1" x14ac:dyDescent="0.2">
      <c r="C396" s="74">
        <v>30</v>
      </c>
      <c r="D396" s="74">
        <v>29.6</v>
      </c>
      <c r="E396" s="114">
        <f t="shared" ref="E396" ca="1" si="332">INDIRECT("a_" &amp; i) * t^3 + INDIRECT("b_" &amp; i) * t^2 + INDIRECT("c_" &amp; i) * t^1 + INDIRECT("d_" &amp; i)</f>
        <v>0.10337958078451531</v>
      </c>
      <c r="F396" s="117" t="s">
        <v>332</v>
      </c>
      <c r="R396" s="120">
        <f t="array" aca="1" ref="R396" ca="1">E396:E696</f>
        <v>0.10337958078451531</v>
      </c>
      <c r="S396" s="121">
        <f t="shared" ca="1" si="293"/>
        <v>-5.798609519760773E-2</v>
      </c>
      <c r="T396" s="121">
        <f t="shared" ca="1" si="295"/>
        <v>-1.0461174481423963E-2</v>
      </c>
    </row>
    <row r="397" spans="3:20" s="74" customFormat="1" x14ac:dyDescent="0.2">
      <c r="C397" s="74">
        <v>30</v>
      </c>
      <c r="D397" s="74">
        <v>29.7</v>
      </c>
      <c r="E397" s="114">
        <f t="shared" ref="E397" ca="1" si="333">INDIRECT("a_" &amp; i) * t^3 + INDIRECT("b_" &amp; i) * t^2 + INDIRECT("c_" &amp; i) * t^1 + INDIRECT("d_" &amp; i)</f>
        <v>9.7475718243852538E-2</v>
      </c>
      <c r="F397" s="117" t="s">
        <v>332</v>
      </c>
      <c r="R397" s="120">
        <f t="array" aca="1" ref="R397" ca="1">E397:E697</f>
        <v>9.7475718243852538E-2</v>
      </c>
      <c r="S397" s="121">
        <f t="shared" ca="1" si="293"/>
        <v>-5.9038625406628999E-2</v>
      </c>
      <c r="T397" s="121">
        <f t="shared" ca="1" si="295"/>
        <v>-1.0525302090212909E-2</v>
      </c>
    </row>
    <row r="398" spans="3:20" s="74" customFormat="1" x14ac:dyDescent="0.2">
      <c r="C398" s="74">
        <v>30</v>
      </c>
      <c r="D398" s="74">
        <v>29.8</v>
      </c>
      <c r="E398" s="114">
        <f t="shared" ref="E398" ca="1" si="334">INDIRECT("a_" &amp; i) * t^3 + INDIRECT("b_" &amp; i) * t^2 + INDIRECT("c_" &amp; i) * t^1 + INDIRECT("d_" &amp; i)</f>
        <v>9.1465961406197616E-2</v>
      </c>
      <c r="F398" s="117" t="s">
        <v>332</v>
      </c>
      <c r="R398" s="120">
        <f t="array" aca="1" ref="R398" ca="1">E398:E698</f>
        <v>9.1465961406197616E-2</v>
      </c>
      <c r="S398" s="121">
        <f t="shared" ca="1" si="293"/>
        <v>-6.0097568376548373E-2</v>
      </c>
      <c r="T398" s="121">
        <f t="shared" ca="1" si="295"/>
        <v>-1.0589429699193591E-2</v>
      </c>
    </row>
    <row r="399" spans="3:20" s="74" customFormat="1" x14ac:dyDescent="0.2">
      <c r="C399" s="74">
        <v>30</v>
      </c>
      <c r="D399" s="74">
        <v>29.9</v>
      </c>
      <c r="E399" s="114">
        <f t="shared" ref="E399" ca="1" si="335">INDIRECT("a_" &amp; i) * t^3 + INDIRECT("b_" &amp; i) * t^2 + INDIRECT("c_" &amp; i) * t^1 + INDIRECT("d_" &amp; i)</f>
        <v>8.5349668995460759E-2</v>
      </c>
      <c r="F399" s="117" t="s">
        <v>332</v>
      </c>
      <c r="R399" s="120">
        <f t="array" aca="1" ref="R399" ca="1">E399:E699</f>
        <v>8.5349668995460759E-2</v>
      </c>
      <c r="S399" s="121">
        <f t="shared" ca="1" si="293"/>
        <v>-6.116292410736987E-2</v>
      </c>
      <c r="T399" s="121">
        <f t="shared" ca="1" si="295"/>
        <v>-1.0653557308215203E-2</v>
      </c>
    </row>
    <row r="400" spans="3:20" s="74" customFormat="1" x14ac:dyDescent="0.2">
      <c r="C400" s="74">
        <v>30</v>
      </c>
      <c r="D400" s="74">
        <v>30</v>
      </c>
      <c r="E400" s="114">
        <f t="shared" ref="E400" ca="1" si="336">INDIRECT("a_" &amp; i) * t^3 + INDIRECT("b_" &amp; i) * t^2 + INDIRECT("c_" &amp; i) * t^1 + INDIRECT("d_" &amp; i)</f>
        <v>7.9126199735553071E-2</v>
      </c>
      <c r="F400" s="117">
        <v>0.08</v>
      </c>
      <c r="G400" s="123">
        <f ca="1">F400-E400</f>
        <v>8.738002644469306E-4</v>
      </c>
      <c r="H400" s="117"/>
      <c r="I400" s="117"/>
      <c r="R400" s="120">
        <f t="array" aca="1" ref="R400" ca="1">E400:E700</f>
        <v>7.9126199735553071E-2</v>
      </c>
      <c r="S400" s="121">
        <f t="shared" ca="1" si="293"/>
        <v>-6.2234692599075998E-2</v>
      </c>
      <c r="T400" s="121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3:B6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164</v>
      </c>
    </row>
    <row r="4" spans="2:2" x14ac:dyDescent="0.3">
      <c r="B4" s="1" t="s">
        <v>356</v>
      </c>
    </row>
    <row r="6" spans="2:2" x14ac:dyDescent="0.3">
      <c r="B6" s="1" t="s">
        <v>357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78</v>
      </c>
      <c r="C2" s="24" t="s">
        <v>79</v>
      </c>
    </row>
    <row r="3" spans="1:3" x14ac:dyDescent="0.3">
      <c r="A3" s="1">
        <v>1</v>
      </c>
      <c r="B3" s="1" t="s">
        <v>152</v>
      </c>
      <c r="C3" s="1">
        <v>10</v>
      </c>
    </row>
    <row r="4" spans="1:3" x14ac:dyDescent="0.3">
      <c r="A4" s="1">
        <v>2</v>
      </c>
      <c r="B4" s="1" t="s">
        <v>153</v>
      </c>
      <c r="C4" s="1">
        <v>10</v>
      </c>
    </row>
    <row r="5" spans="1:3" x14ac:dyDescent="0.3">
      <c r="A5" s="1">
        <v>3</v>
      </c>
      <c r="B5" s="1" t="s">
        <v>358</v>
      </c>
      <c r="C5" s="1">
        <v>30</v>
      </c>
    </row>
  </sheetData>
  <phoneticPr fontId="8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B5"/>
  <sheetViews>
    <sheetView workbookViewId="0">
      <selection activeCell="B5" sqref="B5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164</v>
      </c>
    </row>
    <row r="3" spans="2:2" x14ac:dyDescent="0.3">
      <c r="B3" s="1" t="s">
        <v>356</v>
      </c>
    </row>
    <row r="5" spans="2:2" x14ac:dyDescent="0.3">
      <c r="B5" s="1" t="s">
        <v>359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B4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360</v>
      </c>
    </row>
    <row r="4" spans="2:2" x14ac:dyDescent="0.3">
      <c r="B4" s="1" t="s">
        <v>359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361</v>
      </c>
    </row>
    <row r="3" spans="2:3" x14ac:dyDescent="0.3">
      <c r="B3" s="1" t="s">
        <v>362</v>
      </c>
    </row>
    <row r="4" spans="2:3" x14ac:dyDescent="0.3">
      <c r="B4" s="1" t="s">
        <v>363</v>
      </c>
    </row>
    <row r="5" spans="2:3" x14ac:dyDescent="0.3">
      <c r="B5" s="1" t="s">
        <v>364</v>
      </c>
    </row>
    <row r="7" spans="2:3" x14ac:dyDescent="0.3">
      <c r="B7" s="26" t="s">
        <v>173</v>
      </c>
      <c r="C7" s="26" t="s">
        <v>19</v>
      </c>
    </row>
    <row r="8" spans="2:3" x14ac:dyDescent="0.3">
      <c r="B8" s="48">
        <v>20</v>
      </c>
      <c r="C8" s="48">
        <v>70</v>
      </c>
    </row>
    <row r="9" spans="2:3" x14ac:dyDescent="0.3">
      <c r="B9" s="48">
        <v>30</v>
      </c>
      <c r="C9" s="48">
        <v>80</v>
      </c>
    </row>
    <row r="10" spans="2:3" x14ac:dyDescent="0.3">
      <c r="B10" s="48">
        <v>40</v>
      </c>
      <c r="C10" s="48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179</vt:i4>
      </vt:variant>
    </vt:vector>
  </HeadingPairs>
  <TitlesOfParts>
    <vt:vector size="192" baseType="lpstr">
      <vt:lpstr>Today</vt:lpstr>
      <vt:lpstr>Themes</vt:lpstr>
      <vt:lpstr>Diagnostics</vt:lpstr>
      <vt:lpstr>LogisticRegression</vt:lpstr>
      <vt:lpstr>MultiClass</vt:lpstr>
      <vt:lpstr>ClusterAnalysis</vt:lpstr>
      <vt:lpstr>PieceWiseModels</vt:lpstr>
      <vt:lpstr>Splines</vt:lpstr>
      <vt:lpstr>PreWork4NextClass</vt:lpstr>
      <vt:lpstr>InClassProjects</vt:lpstr>
      <vt:lpstr>Q_Diagnostics</vt:lpstr>
      <vt:lpstr>Q_Diagnostics22</vt:lpstr>
      <vt:lpstr>Q_Diagnostics2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2022-02-25T00:57:24Z</dcterms:modified>
</cp:coreProperties>
</file>