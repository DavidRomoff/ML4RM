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June/"/>
    </mc:Choice>
  </mc:AlternateContent>
  <xr:revisionPtr revIDLastSave="0" documentId="13_ncr:1_{F3351691-AE3E-024A-A240-44A79F059FC8}" xr6:coauthVersionLast="47" xr6:coauthVersionMax="47" xr10:uidLastSave="{00000000-0000-0000-0000-000000000000}"/>
  <bookViews>
    <workbookView xWindow="0" yWindow="0" windowWidth="28800" windowHeight="16720" xr2:uid="{2528C2F6-2D91-5941-BA0A-8E362C5A735B}"/>
  </bookViews>
  <sheets>
    <sheet name="Today" sheetId="6" r:id="rId1"/>
    <sheet name="Themes" sheetId="13" r:id="rId2"/>
    <sheet name="OutOfSampleTesting" sheetId="36" r:id="rId3"/>
    <sheet name="Setup_" sheetId="39" r:id="rId4"/>
    <sheet name="Explore" sheetId="40" r:id="rId5"/>
    <sheet name="Tools" sheetId="41" r:id="rId6"/>
    <sheet name="LM_InAndOut" sheetId="42" r:id="rId7"/>
    <sheet name="Optim_InAndOut" sheetId="43" r:id="rId8"/>
    <sheet name="Optim_Shrinkage" sheetId="44" r:id="rId9"/>
    <sheet name="Optim_LSearch" sheetId="81" r:id="rId10"/>
    <sheet name="AIC" sheetId="64" r:id="rId11"/>
    <sheet name="MLR_Step" sheetId="51" state="veryHidden" r:id="rId12"/>
    <sheet name="Data" sheetId="53" state="veryHidden" r:id="rId13"/>
    <sheet name="AIC_0" sheetId="62" state="veryHidden" r:id="rId14"/>
    <sheet name="AIC_1" sheetId="63" state="veryHidden" r:id="rId15"/>
    <sheet name="IndicatorVariables" sheetId="85" r:id="rId16"/>
    <sheet name="DiffB0_SameB1" sheetId="86" state="veryHidden" r:id="rId17"/>
    <sheet name="SameB0_DiffB1" sheetId="87" state="veryHidden" r:id="rId18"/>
    <sheet name="DiffB0_Diff_B1" sheetId="88" state="veryHidden" r:id="rId19"/>
    <sheet name="Character_Factor" sheetId="89" state="veryHidden" r:id="rId20"/>
    <sheet name="Indicators" sheetId="90" state="veryHidden" r:id="rId21"/>
    <sheet name="Interaction1" sheetId="91" state="veryHidden" r:id="rId22"/>
    <sheet name="Interaction2" sheetId="92" state="veryHidden" r:id="rId23"/>
    <sheet name="Diagnostics" sheetId="93" r:id="rId24"/>
    <sheet name="Sensitivity" sheetId="94" state="veryHidden" r:id="rId25"/>
    <sheet name="Specificity" sheetId="95" state="veryHidden" r:id="rId26"/>
    <sheet name="PPF_0" sheetId="96" state="veryHidden" r:id="rId27"/>
    <sheet name="PPF_1" sheetId="97" state="veryHidden" r:id="rId28"/>
    <sheet name="ROC_Curve" sheetId="98" state="veryHidden" r:id="rId29"/>
    <sheet name="ROC_Generator" sheetId="99" state="veryHidden" r:id="rId30"/>
    <sheet name="PreWork4NextClass" sheetId="27" r:id="rId31"/>
    <sheet name="InClassProjects" sheetId="26" r:id="rId32"/>
    <sheet name="Q_OOS" sheetId="33" r:id="rId33"/>
    <sheet name="Q_AIC" sheetId="65" r:id="rId34"/>
    <sheet name="Q_Diagnostics" sheetId="102" r:id="rId35"/>
    <sheet name="LendingClubData" sheetId="70" r:id="rId36"/>
    <sheet name="Hitters" sheetId="75" r:id="rId37"/>
    <sheet name="Hitters_Simple" sheetId="78" r:id="rId38"/>
  </sheets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</externalReferences>
  <definedNames>
    <definedName name="_r2" localSheetId="23">#REF!</definedName>
    <definedName name="_r2" localSheetId="24">#REF!</definedName>
    <definedName name="_r2">#REF!</definedName>
    <definedName name="_R2_orig">[1]RSquareAdj!$C$6</definedName>
    <definedName name="a" localSheetId="18">DiffB0_Diff_B1!$C$3:$G$3</definedName>
    <definedName name="a" localSheetId="16">DiffB0_SameB1!$C$3:$G$3</definedName>
    <definedName name="a" localSheetId="17">SameB0_DiffB1!$C$3:$G$3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18">DiffB0_Diff_B1!$C$2:$G$2</definedName>
    <definedName name="b" localSheetId="16">DiffB0_SameB1!$C$2:$G$2</definedName>
    <definedName name="b" localSheetId="17">SameB0_DiffB1!$C$2:$G$2</definedName>
    <definedName name="B">[2]NextClass1_MeanVar!#REF!</definedName>
    <definedName name="b0">#REF!</definedName>
    <definedName name="b1_">#REF!</definedName>
    <definedName name="b2_">#REF!</definedName>
    <definedName name="beta" localSheetId="23">#REF!</definedName>
    <definedName name="beta" localSheetId="24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3">[8]Options2!#REF!</definedName>
    <definedName name="Cd" localSheetId="24">[8]Options2!#REF!</definedName>
    <definedName name="Cd">[8]Options2!#REF!</definedName>
    <definedName name="Change" localSheetId="23">[5]VaR0!#REF!</definedName>
    <definedName name="Change" localSheetId="24">[5]VaR0!#REF!</definedName>
    <definedName name="Change">[5]VaR0!#REF!</definedName>
    <definedName name="change1" localSheetId="23">#REF!</definedName>
    <definedName name="change1" localSheetId="24">#REF!</definedName>
    <definedName name="change1">#REF!</definedName>
    <definedName name="change2" localSheetId="23">#REF!</definedName>
    <definedName name="change2" localSheetId="24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cyl_Permute">#REF!</definedName>
    <definedName name="cyl_RandPermute">#REF!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ispl_Permute">#REF!</definedName>
    <definedName name="displ_RandPermute">#REF!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23">#REF!</definedName>
    <definedName name="Frequency" localSheetId="2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hwy_Permute">#REF!</definedName>
    <definedName name="hwy_RandPermute">#REF!</definedName>
    <definedName name="i">#REF!</definedName>
    <definedName name="idx" localSheetId="23">#REF!</definedName>
    <definedName name="idx" localSheetId="24">#REF!</definedName>
    <definedName name="idx">#REF!</definedName>
    <definedName name="Inflator">[1]RSquareAdj!$C$10</definedName>
    <definedName name="k" localSheetId="13">[2]Binomial!$C$14</definedName>
    <definedName name="k" localSheetId="14">[2]Binomial!$C$14</definedName>
    <definedName name="k" localSheetId="12">[2]Binomial!$C$14</definedName>
    <definedName name="k" localSheetId="23">[15]KNN_Vote!$AA$3</definedName>
    <definedName name="k" localSheetId="11">[2]Binomial!$C$14</definedName>
    <definedName name="k" localSheetId="24">[15]KNN_Vote!$AA$3</definedName>
    <definedName name="k">#REF!</definedName>
    <definedName name="L">#REF!</definedName>
    <definedName name="LL">#REF!</definedName>
    <definedName name="LN_Sim" localSheetId="23">#REF!</definedName>
    <definedName name="LN_Sim" localSheetId="24">#REF!</definedName>
    <definedName name="LN_Sim">#REF!</definedName>
    <definedName name="loss" localSheetId="23">#REF!</definedName>
    <definedName name="loss" localSheetId="24">#REF!</definedName>
    <definedName name="loss">#REF!</definedName>
    <definedName name="loss_30" localSheetId="23">#REF!</definedName>
    <definedName name="loss_30" localSheetId="24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SE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#REF!</definedName>
    <definedName name="n_" localSheetId="23">#REF!</definedName>
    <definedName name="n_" localSheetId="2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[2]Binomial!$C$13</definedName>
    <definedName name="p" localSheetId="14">[2]Binomial!$C$13</definedName>
    <definedName name="p" localSheetId="12">[2]Binomial!$C$13</definedName>
    <definedName name="p" localSheetId="23">[15]DurbinWatson!$B$3</definedName>
    <definedName name="p" localSheetId="11">[2]Binomial!$C$13</definedName>
    <definedName name="p" localSheetId="24">[15]DurbinWatson!$B$3</definedName>
    <definedName name="p">#REF!</definedName>
    <definedName name="PD">[4]CDS!$C$21:$C$25</definedName>
    <definedName name="PDF">[14]Calcs_Mean2!$K$10:$K$30</definedName>
    <definedName name="Period" localSheetId="23">#REF!</definedName>
    <definedName name="Period" localSheetId="24">#REF!</definedName>
    <definedName name="Period">#REF!</definedName>
    <definedName name="peso_rate">[12]FX_Intro!$C$66</definedName>
    <definedName name="Pij" localSheetId="23">#REF!</definedName>
    <definedName name="Pij" localSheetId="24">#REF!</definedName>
    <definedName name="Pij">#REF!</definedName>
    <definedName name="pmt" localSheetId="23">#REF!</definedName>
    <definedName name="pmt" localSheetId="24">#REF!</definedName>
    <definedName name="pmt">#REF!</definedName>
    <definedName name="pmt_" localSheetId="23">#REF!</definedName>
    <definedName name="pmt_" localSheetId="24">#REF!</definedName>
    <definedName name="pmt_">#REF!</definedName>
    <definedName name="pmtperyear">[17]Bond!$C$6</definedName>
    <definedName name="pmts">[17]Bond!$E$12:$E$25</definedName>
    <definedName name="price1" localSheetId="23">#REF!</definedName>
    <definedName name="price1" localSheetId="24">#REF!</definedName>
    <definedName name="price1">#REF!</definedName>
    <definedName name="price2" localSheetId="23">#REF!</definedName>
    <definedName name="price2" localSheetId="24">#REF!</definedName>
    <definedName name="price2">#REF!</definedName>
    <definedName name="price3" localSheetId="23">#REF!</definedName>
    <definedName name="price3" localSheetId="24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3">#REF!</definedName>
    <definedName name="risk1" localSheetId="24">#REF!</definedName>
    <definedName name="risk1">#REF!</definedName>
    <definedName name="risk2" localSheetId="23">#REF!</definedName>
    <definedName name="risk2" localSheetId="24">#REF!</definedName>
    <definedName name="risk2">#REF!</definedName>
    <definedName name="risk3" localSheetId="23">#REF!</definedName>
    <definedName name="risk3" localSheetId="24">#REF!</definedName>
    <definedName name="risk3">#REF!</definedName>
    <definedName name="RSE">#REF!</definedName>
    <definedName name="RSS">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3">#REF!</definedName>
    <definedName name="SD" localSheetId="24">#REF!</definedName>
    <definedName name="SD">#REF!</definedName>
    <definedName name="sd_x">[1]MaximumLikelihood!$C$3</definedName>
    <definedName name="SD_xbar">[14]Calcs_Mean2!$O$28</definedName>
    <definedName name="SE0" localSheetId="23">#REF!</definedName>
    <definedName name="SE0" localSheetId="24">#REF!</definedName>
    <definedName name="SE0">#REF!</definedName>
    <definedName name="SE1_" localSheetId="23">#REF!</definedName>
    <definedName name="SE1_" localSheetId="24">#REF!</definedName>
    <definedName name="SE1_">#REF!</definedName>
    <definedName name="SE2_" localSheetId="23">#REF!</definedName>
    <definedName name="SE2_" localSheetId="24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3">#REF!</definedName>
    <definedName name="stdev" localSheetId="24">#REF!</definedName>
    <definedName name="stdev">#REF!</definedName>
    <definedName name="Sum">[13]CentralLimitTheorem!$C$7:$C$106</definedName>
    <definedName name="t" localSheetId="23">#REF!</definedName>
    <definedName name="t" localSheetId="18">DiffB0_Diff_B1!$B$5:$B$34</definedName>
    <definedName name="t" localSheetId="16">DiffB0_SameB1!$B$5:$B$34</definedName>
    <definedName name="t" localSheetId="17">SameB0_DiffB1!$B$5:$B$34</definedName>
    <definedName name="t" localSheetId="24">#REF!</definedName>
    <definedName name="t">#REF!</definedName>
    <definedName name="t_">[4]CDS!$B$21:$B$25</definedName>
    <definedName name="table_asf">[19]ASF!$C$31:$D$34</definedName>
    <definedName name="Time" localSheetId="23">#REF!</definedName>
    <definedName name="Time" localSheetId="24">#REF!</definedName>
    <definedName name="Time">#REF!</definedName>
    <definedName name="Time_">[4]Spread2PD!$B$40:$B$44</definedName>
    <definedName name="tmat">[4]ExporeInf!$C$3:$H$8</definedName>
    <definedName name="tmat12" localSheetId="23">#REF!</definedName>
    <definedName name="tmat12" localSheetId="2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23">#REF!</definedName>
    <definedName name="value_lo" localSheetId="2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#REF!</definedName>
    <definedName name="x_draw">#REF!</definedName>
    <definedName name="X_e_rt">[7]OptionsHW!$C$18:$E$18</definedName>
    <definedName name="X_orig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#REF!</definedName>
    <definedName name="y_draw" localSheetId="23">#REF!</definedName>
    <definedName name="y_draw" localSheetId="24">#REF!</definedName>
    <definedName name="y_draw">#REF!</definedName>
    <definedName name="y_orig">#REF!</definedName>
    <definedName name="ybar" localSheetId="23">#REF!</definedName>
    <definedName name="ybar" localSheetId="24">#REF!</definedName>
    <definedName name="ybar">#REF!</definedName>
    <definedName name="year">Data!$D$2:$D$235</definedName>
    <definedName name="year_Permute">#REF!</definedName>
    <definedName name="year_RandPermute">#REF!</definedName>
    <definedName name="years">[17]Bond!$C$7</definedName>
    <definedName name="yhat" localSheetId="23">#REF!</definedName>
    <definedName name="yhat" localSheetId="24">#REF!</definedName>
    <definedName name="yhat">#REF!</definedName>
    <definedName name="yhat_i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99" l="1"/>
  <c r="B3" i="99" s="1"/>
  <c r="C3" i="98"/>
  <c r="B3" i="98" s="1"/>
  <c r="B4" i="98"/>
  <c r="B5" i="98"/>
  <c r="B6" i="98"/>
  <c r="B7" i="98"/>
  <c r="B8" i="98"/>
  <c r="B9" i="98"/>
  <c r="B10" i="98"/>
  <c r="B11" i="98"/>
  <c r="B12" i="98"/>
  <c r="B13" i="98"/>
  <c r="B14" i="98"/>
  <c r="B15" i="98"/>
  <c r="B16" i="98"/>
  <c r="B17" i="98"/>
  <c r="B18" i="98"/>
  <c r="B19" i="98"/>
  <c r="B20" i="98"/>
  <c r="B21" i="98"/>
  <c r="B22" i="98"/>
  <c r="B23" i="98"/>
  <c r="B24" i="98"/>
  <c r="B25" i="98"/>
  <c r="B26" i="98"/>
  <c r="B27" i="98"/>
  <c r="B28" i="98"/>
  <c r="B29" i="98"/>
  <c r="B30" i="98"/>
  <c r="B31" i="98"/>
  <c r="B32" i="98"/>
  <c r="B33" i="98"/>
  <c r="B34" i="98"/>
  <c r="B35" i="98"/>
  <c r="B36" i="98"/>
  <c r="B37" i="98"/>
  <c r="B38" i="98"/>
  <c r="B39" i="98"/>
  <c r="B40" i="98"/>
  <c r="B41" i="98"/>
  <c r="B42" i="98"/>
  <c r="B43" i="98"/>
  <c r="B44" i="98"/>
  <c r="B45" i="98"/>
  <c r="B46" i="98"/>
  <c r="B47" i="98"/>
  <c r="B48" i="98"/>
  <c r="B49" i="98"/>
  <c r="B50" i="98"/>
  <c r="B51" i="98"/>
  <c r="B52" i="98"/>
  <c r="B53" i="98"/>
  <c r="B54" i="98"/>
  <c r="B55" i="98"/>
  <c r="B56" i="98"/>
  <c r="B57" i="98"/>
  <c r="B58" i="98"/>
  <c r="B59" i="98"/>
  <c r="B60" i="98"/>
  <c r="B61" i="98"/>
  <c r="B62" i="98"/>
  <c r="B63" i="98"/>
  <c r="B64" i="98"/>
  <c r="B65" i="98"/>
  <c r="B66" i="98"/>
  <c r="B67" i="98"/>
  <c r="B68" i="98"/>
  <c r="B69" i="98"/>
  <c r="B70" i="98"/>
  <c r="B71" i="98"/>
  <c r="B72" i="98"/>
  <c r="B73" i="98"/>
  <c r="B74" i="98"/>
  <c r="B75" i="98"/>
  <c r="B76" i="98"/>
  <c r="B77" i="98"/>
  <c r="B78" i="98"/>
  <c r="B79" i="98"/>
  <c r="B80" i="98"/>
  <c r="B81" i="98"/>
  <c r="B82" i="98"/>
  <c r="B83" i="98"/>
  <c r="B84" i="98"/>
  <c r="B85" i="98"/>
  <c r="B86" i="98"/>
  <c r="B87" i="98"/>
  <c r="B88" i="98"/>
  <c r="B89" i="98"/>
  <c r="B90" i="98"/>
  <c r="B91" i="98"/>
  <c r="B92" i="98"/>
  <c r="B93" i="98"/>
  <c r="B94" i="98"/>
  <c r="B95" i="98"/>
  <c r="B96" i="98"/>
  <c r="B97" i="98"/>
  <c r="B98" i="98"/>
  <c r="B99" i="98"/>
  <c r="B100" i="98"/>
  <c r="B101" i="98"/>
  <c r="B102" i="98"/>
  <c r="B103" i="98"/>
  <c r="B104" i="98"/>
  <c r="B105" i="98"/>
  <c r="B106" i="98"/>
  <c r="B107" i="98"/>
  <c r="B108" i="98"/>
  <c r="B109" i="98"/>
  <c r="B110" i="98"/>
  <c r="B111" i="98"/>
  <c r="B112" i="98"/>
  <c r="B113" i="98"/>
  <c r="B114" i="98"/>
  <c r="B115" i="98"/>
  <c r="B116" i="98"/>
  <c r="B117" i="98"/>
  <c r="B118" i="98"/>
  <c r="B119" i="98"/>
  <c r="B120" i="98"/>
  <c r="B121" i="98"/>
  <c r="B122" i="98"/>
  <c r="B123" i="98"/>
  <c r="B124" i="98"/>
  <c r="B125" i="98"/>
  <c r="B126" i="98"/>
  <c r="B127" i="98"/>
  <c r="B128" i="98"/>
  <c r="B129" i="98"/>
  <c r="B130" i="98"/>
  <c r="B131" i="98"/>
  <c r="B132" i="98"/>
  <c r="B133" i="98"/>
  <c r="B134" i="98"/>
  <c r="B135" i="98"/>
  <c r="B136" i="98"/>
  <c r="B137" i="98"/>
  <c r="B138" i="98"/>
  <c r="B139" i="98"/>
  <c r="B140" i="98"/>
  <c r="B141" i="98"/>
  <c r="B142" i="98"/>
  <c r="B143" i="98"/>
  <c r="B144" i="98"/>
  <c r="B145" i="98"/>
  <c r="B146" i="98"/>
  <c r="B147" i="98"/>
  <c r="B148" i="98"/>
  <c r="B149" i="98"/>
  <c r="B150" i="98"/>
  <c r="B151" i="98"/>
  <c r="B152" i="98"/>
  <c r="B153" i="98"/>
  <c r="B154" i="98"/>
  <c r="B155" i="98"/>
  <c r="B156" i="98"/>
  <c r="B157" i="98"/>
  <c r="B158" i="98"/>
  <c r="B159" i="98"/>
  <c r="B160" i="98"/>
  <c r="B161" i="98"/>
  <c r="B162" i="98"/>
  <c r="B163" i="98"/>
  <c r="B164" i="98"/>
  <c r="B165" i="98"/>
  <c r="B166" i="98"/>
  <c r="B167" i="98"/>
  <c r="B168" i="98"/>
  <c r="B169" i="98"/>
  <c r="B170" i="98"/>
  <c r="B171" i="98"/>
  <c r="B172" i="98"/>
  <c r="B173" i="98"/>
  <c r="B174" i="98"/>
  <c r="B175" i="98"/>
  <c r="B176" i="98"/>
  <c r="B177" i="98"/>
  <c r="B178" i="98"/>
  <c r="B179" i="98"/>
  <c r="B180" i="98"/>
  <c r="B181" i="98"/>
  <c r="B182" i="98"/>
  <c r="B183" i="98"/>
  <c r="B184" i="98"/>
  <c r="B185" i="98"/>
  <c r="B186" i="98"/>
  <c r="B187" i="98"/>
  <c r="B188" i="98"/>
  <c r="B189" i="98"/>
  <c r="B190" i="98"/>
  <c r="B191" i="98"/>
  <c r="B192" i="98"/>
  <c r="B193" i="98"/>
  <c r="B194" i="98"/>
  <c r="B195" i="98"/>
  <c r="B196" i="98"/>
  <c r="B197" i="98"/>
  <c r="B198" i="98"/>
  <c r="B199" i="98"/>
  <c r="B200" i="98"/>
  <c r="B201" i="98"/>
  <c r="B202" i="98"/>
  <c r="B203" i="98"/>
  <c r="B204" i="98"/>
  <c r="B205" i="98"/>
  <c r="B206" i="98"/>
  <c r="B207" i="98"/>
  <c r="B208" i="98"/>
  <c r="B209" i="98"/>
  <c r="B210" i="98"/>
  <c r="B211" i="98"/>
  <c r="B212" i="98"/>
  <c r="B213" i="98"/>
  <c r="B214" i="98"/>
  <c r="B215" i="98"/>
  <c r="B216" i="98"/>
  <c r="B217" i="98"/>
  <c r="B218" i="98"/>
  <c r="B219" i="98"/>
  <c r="B220" i="98"/>
  <c r="B221" i="98"/>
  <c r="B222" i="98"/>
  <c r="B223" i="98"/>
  <c r="B224" i="98"/>
  <c r="B225" i="98"/>
  <c r="B226" i="98"/>
  <c r="B227" i="98"/>
  <c r="B228" i="98"/>
  <c r="B229" i="98"/>
  <c r="B230" i="98"/>
  <c r="B231" i="98"/>
  <c r="B232" i="98"/>
  <c r="B233" i="98"/>
  <c r="B234" i="98"/>
  <c r="B235" i="98"/>
  <c r="B236" i="98"/>
  <c r="B237" i="98"/>
  <c r="B238" i="98"/>
  <c r="B239" i="98"/>
  <c r="B240" i="98"/>
  <c r="B241" i="98"/>
  <c r="B242" i="98"/>
  <c r="B243" i="98"/>
  <c r="B244" i="98"/>
  <c r="B245" i="98"/>
  <c r="B246" i="98"/>
  <c r="B247" i="98"/>
  <c r="B248" i="98"/>
  <c r="B249" i="98"/>
  <c r="B250" i="98"/>
  <c r="B251" i="98"/>
  <c r="B252" i="98"/>
  <c r="B253" i="98"/>
  <c r="B254" i="98"/>
  <c r="B255" i="98"/>
  <c r="B256" i="98"/>
  <c r="B257" i="98"/>
  <c r="B258" i="98"/>
  <c r="B259" i="98"/>
  <c r="B260" i="98"/>
  <c r="B261" i="98"/>
  <c r="B262" i="98"/>
  <c r="B263" i="98"/>
  <c r="B264" i="98"/>
  <c r="B265" i="98"/>
  <c r="B266" i="98"/>
  <c r="B267" i="98"/>
  <c r="B268" i="98"/>
  <c r="B269" i="98"/>
  <c r="B270" i="98"/>
  <c r="B271" i="98"/>
  <c r="B272" i="98"/>
  <c r="B273" i="98"/>
  <c r="B274" i="98"/>
  <c r="B275" i="98"/>
  <c r="B276" i="98"/>
  <c r="B277" i="98"/>
  <c r="B278" i="98"/>
  <c r="B279" i="98"/>
  <c r="B280" i="98"/>
  <c r="B281" i="98"/>
  <c r="B282" i="98"/>
  <c r="B283" i="98"/>
  <c r="B284" i="98"/>
  <c r="B285" i="98"/>
  <c r="B286" i="98"/>
  <c r="B287" i="98"/>
  <c r="B288" i="98"/>
  <c r="B289" i="98"/>
  <c r="B290" i="98"/>
  <c r="B291" i="98"/>
  <c r="B292" i="98"/>
  <c r="B293" i="98"/>
  <c r="B294" i="98"/>
  <c r="B295" i="98"/>
  <c r="B296" i="98"/>
  <c r="B297" i="98"/>
  <c r="B298" i="98"/>
  <c r="B299" i="98"/>
  <c r="B300" i="98"/>
  <c r="B301" i="98"/>
  <c r="B302" i="98"/>
  <c r="B303" i="98"/>
  <c r="B304" i="98"/>
  <c r="B305" i="98"/>
  <c r="B306" i="98"/>
  <c r="B307" i="98"/>
  <c r="B308" i="98"/>
  <c r="B309" i="98"/>
  <c r="B310" i="98"/>
  <c r="B311" i="98"/>
  <c r="B312" i="98"/>
  <c r="B313" i="98"/>
  <c r="B314" i="98"/>
  <c r="B315" i="98"/>
  <c r="B316" i="98"/>
  <c r="B317" i="98"/>
  <c r="B318" i="98"/>
  <c r="B319" i="98"/>
  <c r="B320" i="98"/>
  <c r="B321" i="98"/>
  <c r="B322" i="98"/>
  <c r="B323" i="98"/>
  <c r="B324" i="98"/>
  <c r="B325" i="98"/>
  <c r="B326" i="98"/>
  <c r="B327" i="98"/>
  <c r="B328" i="98"/>
  <c r="B329" i="98"/>
  <c r="B330" i="98"/>
  <c r="B331" i="98"/>
  <c r="B332" i="98"/>
  <c r="B333" i="98"/>
  <c r="B334" i="98"/>
  <c r="B335" i="98"/>
  <c r="B336" i="98"/>
  <c r="B337" i="98"/>
  <c r="B338" i="98"/>
  <c r="B339" i="98"/>
  <c r="B340" i="98"/>
  <c r="B341" i="98"/>
  <c r="B342" i="98"/>
  <c r="B343" i="98"/>
  <c r="B344" i="98"/>
  <c r="B345" i="98"/>
  <c r="B346" i="98"/>
  <c r="B347" i="98"/>
  <c r="B348" i="98"/>
  <c r="B349" i="98"/>
  <c r="B350" i="98"/>
  <c r="B351" i="98"/>
  <c r="B352" i="98"/>
  <c r="B353" i="98"/>
  <c r="B354" i="98"/>
  <c r="B355" i="98"/>
  <c r="B356" i="98"/>
  <c r="B357" i="98"/>
  <c r="B358" i="98"/>
  <c r="B359" i="98"/>
  <c r="B360" i="98"/>
  <c r="B361" i="98"/>
  <c r="B362" i="98"/>
  <c r="B363" i="98"/>
  <c r="B364" i="98"/>
  <c r="B365" i="98"/>
  <c r="B366" i="98"/>
  <c r="B367" i="98"/>
  <c r="B368" i="98"/>
  <c r="B369" i="98"/>
  <c r="B370" i="98"/>
  <c r="B371" i="98"/>
  <c r="B372" i="98"/>
  <c r="B373" i="98"/>
  <c r="B374" i="98"/>
  <c r="B375" i="98"/>
  <c r="B376" i="98"/>
  <c r="B377" i="98"/>
  <c r="B378" i="98"/>
  <c r="B379" i="98"/>
  <c r="B380" i="98"/>
  <c r="B381" i="98"/>
  <c r="B382" i="98"/>
  <c r="B383" i="98"/>
  <c r="B384" i="98"/>
  <c r="B385" i="98"/>
  <c r="B386" i="98"/>
  <c r="B387" i="98"/>
  <c r="B388" i="98"/>
  <c r="B389" i="98"/>
  <c r="B390" i="98"/>
  <c r="B391" i="98"/>
  <c r="B392" i="98"/>
  <c r="B393" i="98"/>
  <c r="B394" i="98"/>
  <c r="B395" i="98"/>
  <c r="B396" i="98"/>
  <c r="B397" i="98"/>
  <c r="B398" i="98"/>
  <c r="B399" i="98"/>
  <c r="B400" i="98"/>
  <c r="B401" i="98"/>
  <c r="B402" i="98"/>
  <c r="B403" i="98"/>
  <c r="B404" i="98"/>
  <c r="B405" i="98"/>
  <c r="B406" i="98"/>
  <c r="B407" i="98"/>
  <c r="B408" i="98"/>
  <c r="B409" i="98"/>
  <c r="B410" i="98"/>
  <c r="B411" i="98"/>
  <c r="B412" i="98"/>
  <c r="B413" i="98"/>
  <c r="B414" i="98"/>
  <c r="B415" i="98"/>
  <c r="B416" i="98"/>
  <c r="B417" i="98"/>
  <c r="B418" i="98"/>
  <c r="B419" i="98"/>
  <c r="B420" i="98"/>
  <c r="B421" i="98"/>
  <c r="B422" i="98"/>
  <c r="B423" i="98"/>
  <c r="B424" i="98"/>
  <c r="B425" i="98"/>
  <c r="B426" i="98"/>
  <c r="B427" i="98"/>
  <c r="B428" i="98"/>
  <c r="B429" i="98"/>
  <c r="B430" i="98"/>
  <c r="B431" i="98"/>
  <c r="B432" i="98"/>
  <c r="B433" i="98"/>
  <c r="B434" i="98"/>
  <c r="B435" i="98"/>
  <c r="B436" i="98"/>
  <c r="B437" i="98"/>
  <c r="B438" i="98"/>
  <c r="B439" i="98"/>
  <c r="B440" i="98"/>
  <c r="B441" i="98"/>
  <c r="B442" i="98"/>
  <c r="B443" i="98"/>
  <c r="B444" i="98"/>
  <c r="B445" i="98"/>
  <c r="B446" i="98"/>
  <c r="B447" i="98"/>
  <c r="B448" i="98"/>
  <c r="B449" i="98"/>
  <c r="B450" i="98"/>
  <c r="B451" i="98"/>
  <c r="B452" i="98"/>
  <c r="B453" i="98"/>
  <c r="B454" i="98"/>
  <c r="B455" i="98"/>
  <c r="B456" i="98"/>
  <c r="B457" i="98"/>
  <c r="B458" i="98"/>
  <c r="B459" i="98"/>
  <c r="B460" i="98"/>
  <c r="B461" i="98"/>
  <c r="B462" i="98"/>
  <c r="B463" i="98"/>
  <c r="B464" i="98"/>
  <c r="B465" i="98"/>
  <c r="B466" i="98"/>
  <c r="B467" i="98"/>
  <c r="B468" i="98"/>
  <c r="B469" i="98"/>
  <c r="B470" i="98"/>
  <c r="B471" i="98"/>
  <c r="B472" i="98"/>
  <c r="B473" i="98"/>
  <c r="B474" i="98"/>
  <c r="B475" i="98"/>
  <c r="B476" i="98"/>
  <c r="B477" i="98"/>
  <c r="B478" i="98"/>
  <c r="B479" i="98"/>
  <c r="B480" i="98"/>
  <c r="B481" i="98"/>
  <c r="B482" i="98"/>
  <c r="B483" i="98"/>
  <c r="B484" i="98"/>
  <c r="B485" i="98"/>
  <c r="B486" i="98"/>
  <c r="B487" i="98"/>
  <c r="B488" i="98"/>
  <c r="B489" i="98"/>
  <c r="B490" i="98"/>
  <c r="B491" i="98"/>
  <c r="B492" i="98"/>
  <c r="B493" i="98"/>
  <c r="B494" i="98"/>
  <c r="B495" i="98"/>
  <c r="B496" i="98"/>
  <c r="B497" i="98"/>
  <c r="B498" i="98"/>
  <c r="B499" i="98"/>
  <c r="B500" i="98"/>
  <c r="B501" i="98"/>
  <c r="B502" i="98"/>
  <c r="B503" i="98"/>
  <c r="B504" i="98"/>
  <c r="B505" i="98"/>
  <c r="B506" i="98"/>
  <c r="B507" i="98"/>
  <c r="B508" i="98"/>
  <c r="B509" i="98"/>
  <c r="B510" i="98"/>
  <c r="B511" i="98"/>
  <c r="B512" i="98"/>
  <c r="B513" i="98"/>
  <c r="B514" i="98"/>
  <c r="B515" i="98"/>
  <c r="B516" i="98"/>
  <c r="B517" i="98"/>
  <c r="B518" i="98"/>
  <c r="B519" i="98"/>
  <c r="B520" i="98"/>
  <c r="B521" i="98"/>
  <c r="B522" i="98"/>
  <c r="B523" i="98"/>
  <c r="B524" i="98"/>
  <c r="B525" i="98"/>
  <c r="B526" i="98"/>
  <c r="B527" i="98"/>
  <c r="B528" i="98"/>
  <c r="B529" i="98"/>
  <c r="B530" i="98"/>
  <c r="B531" i="98"/>
  <c r="B532" i="98"/>
  <c r="B533" i="98"/>
  <c r="B534" i="98"/>
  <c r="B535" i="98"/>
  <c r="B536" i="98"/>
  <c r="B537" i="98"/>
  <c r="B538" i="98"/>
  <c r="B539" i="98"/>
  <c r="B540" i="98"/>
  <c r="B541" i="98"/>
  <c r="B542" i="98"/>
  <c r="B543" i="98"/>
  <c r="B544" i="98"/>
  <c r="B545" i="98"/>
  <c r="B546" i="98"/>
  <c r="B547" i="98"/>
  <c r="B548" i="98"/>
  <c r="B549" i="98"/>
  <c r="B550" i="98"/>
  <c r="B551" i="98"/>
  <c r="B552" i="98"/>
  <c r="B553" i="98"/>
  <c r="B554" i="98"/>
  <c r="B555" i="98"/>
  <c r="B556" i="98"/>
  <c r="B557" i="98"/>
  <c r="B558" i="98"/>
  <c r="B559" i="98"/>
  <c r="B560" i="98"/>
  <c r="B561" i="98"/>
  <c r="B562" i="98"/>
  <c r="B563" i="98"/>
  <c r="B564" i="98"/>
  <c r="B565" i="98"/>
  <c r="B566" i="98"/>
  <c r="B567" i="98"/>
  <c r="B568" i="98"/>
  <c r="B569" i="98"/>
  <c r="B570" i="98"/>
  <c r="B571" i="98"/>
  <c r="B572" i="98"/>
  <c r="B573" i="98"/>
  <c r="B574" i="98"/>
  <c r="B575" i="98"/>
  <c r="B576" i="98"/>
  <c r="B577" i="98"/>
  <c r="B578" i="98"/>
  <c r="B579" i="98"/>
  <c r="B580" i="98"/>
  <c r="B581" i="98"/>
  <c r="B582" i="98"/>
  <c r="B583" i="98"/>
  <c r="B584" i="98"/>
  <c r="B585" i="98"/>
  <c r="B586" i="98"/>
  <c r="B587" i="98"/>
  <c r="B588" i="98"/>
  <c r="B589" i="98"/>
  <c r="B590" i="98"/>
  <c r="B591" i="98"/>
  <c r="B592" i="98"/>
  <c r="B593" i="98"/>
  <c r="B594" i="98"/>
  <c r="B595" i="98"/>
  <c r="B596" i="98"/>
  <c r="B597" i="98"/>
  <c r="B598" i="98"/>
  <c r="B599" i="98"/>
  <c r="B600" i="98"/>
  <c r="B601" i="98"/>
  <c r="B602" i="98"/>
  <c r="B603" i="98"/>
  <c r="B604" i="98"/>
  <c r="B605" i="98"/>
  <c r="B606" i="98"/>
  <c r="B607" i="98"/>
  <c r="B608" i="98"/>
  <c r="B609" i="98"/>
  <c r="B610" i="98"/>
  <c r="B611" i="98"/>
  <c r="B612" i="98"/>
  <c r="B613" i="98"/>
  <c r="B614" i="98"/>
  <c r="B615" i="98"/>
  <c r="B616" i="98"/>
  <c r="B617" i="98"/>
  <c r="B618" i="98"/>
  <c r="B619" i="98"/>
  <c r="B620" i="98"/>
  <c r="B621" i="98"/>
  <c r="B622" i="98"/>
  <c r="B623" i="98"/>
  <c r="B624" i="98"/>
  <c r="B625" i="98"/>
  <c r="B626" i="98"/>
  <c r="B627" i="98"/>
  <c r="B628" i="98"/>
  <c r="B629" i="98"/>
  <c r="B630" i="98"/>
  <c r="B631" i="98"/>
  <c r="B632" i="98"/>
  <c r="B633" i="98"/>
  <c r="B634" i="98"/>
  <c r="B635" i="98"/>
  <c r="B636" i="98"/>
  <c r="B637" i="98"/>
  <c r="B638" i="98"/>
  <c r="B639" i="98"/>
  <c r="B640" i="98"/>
  <c r="B641" i="98"/>
  <c r="B642" i="98"/>
  <c r="B643" i="98"/>
  <c r="B644" i="98"/>
  <c r="B645" i="98"/>
  <c r="B646" i="98"/>
  <c r="B647" i="98"/>
  <c r="B648" i="98"/>
  <c r="B649" i="98"/>
  <c r="B650" i="98"/>
  <c r="B651" i="98"/>
  <c r="B652" i="98"/>
  <c r="B653" i="98"/>
  <c r="B654" i="98"/>
  <c r="B655" i="98"/>
  <c r="B656" i="98"/>
  <c r="B657" i="98"/>
  <c r="B658" i="98"/>
  <c r="B659" i="98"/>
  <c r="B660" i="98"/>
  <c r="B661" i="98"/>
  <c r="B662" i="98"/>
  <c r="B663" i="98"/>
  <c r="B664" i="98"/>
  <c r="B665" i="98"/>
  <c r="B666" i="98"/>
  <c r="B667" i="98"/>
  <c r="B668" i="98"/>
  <c r="B669" i="98"/>
  <c r="B670" i="98"/>
  <c r="B671" i="98"/>
  <c r="B672" i="98"/>
  <c r="B673" i="98"/>
  <c r="B674" i="98"/>
  <c r="B675" i="98"/>
  <c r="B676" i="98"/>
  <c r="B677" i="98"/>
  <c r="B678" i="98"/>
  <c r="B679" i="98"/>
  <c r="B680" i="98"/>
  <c r="B681" i="98"/>
  <c r="B682" i="98"/>
  <c r="B683" i="98"/>
  <c r="B684" i="98"/>
  <c r="B685" i="98"/>
  <c r="B686" i="98"/>
  <c r="B687" i="98"/>
  <c r="B688" i="98"/>
  <c r="B689" i="98"/>
  <c r="B690" i="98"/>
  <c r="B691" i="98"/>
  <c r="B692" i="98"/>
  <c r="B693" i="98"/>
  <c r="B694" i="98"/>
  <c r="B695" i="98"/>
  <c r="B696" i="98"/>
  <c r="B697" i="98"/>
  <c r="B698" i="98"/>
  <c r="B699" i="98"/>
  <c r="B700" i="98"/>
  <c r="B701" i="98"/>
  <c r="B702" i="98"/>
  <c r="B703" i="98"/>
  <c r="B704" i="98"/>
  <c r="B705" i="98"/>
  <c r="B706" i="98"/>
  <c r="B707" i="98"/>
  <c r="B708" i="98"/>
  <c r="B709" i="98"/>
  <c r="B710" i="98"/>
  <c r="B711" i="98"/>
  <c r="B712" i="98"/>
  <c r="B713" i="98"/>
  <c r="B714" i="98"/>
  <c r="B715" i="98"/>
  <c r="B716" i="98"/>
  <c r="B717" i="98"/>
  <c r="B718" i="98"/>
  <c r="B719" i="98"/>
  <c r="B720" i="98"/>
  <c r="B721" i="98"/>
  <c r="B722" i="98"/>
  <c r="B723" i="98"/>
  <c r="B724" i="98"/>
  <c r="B725" i="98"/>
  <c r="B726" i="98"/>
  <c r="B727" i="98"/>
  <c r="B728" i="98"/>
  <c r="B729" i="98"/>
  <c r="B730" i="98"/>
  <c r="B731" i="98"/>
  <c r="B732" i="98"/>
  <c r="B733" i="98"/>
  <c r="B734" i="98"/>
  <c r="B735" i="98"/>
  <c r="B736" i="98"/>
  <c r="B737" i="98"/>
  <c r="B738" i="98"/>
  <c r="B739" i="98"/>
  <c r="B740" i="98"/>
  <c r="B741" i="98"/>
  <c r="B742" i="98"/>
  <c r="B743" i="98"/>
  <c r="B744" i="98"/>
  <c r="B745" i="98"/>
  <c r="B746" i="98"/>
  <c r="B747" i="98"/>
  <c r="B748" i="98"/>
  <c r="B749" i="98"/>
  <c r="B750" i="98"/>
  <c r="B751" i="98"/>
  <c r="B752" i="98"/>
  <c r="B753" i="98"/>
  <c r="B754" i="98"/>
  <c r="B755" i="98"/>
  <c r="B756" i="98"/>
  <c r="B757" i="98"/>
  <c r="B758" i="98"/>
  <c r="B759" i="98"/>
  <c r="B760" i="98"/>
  <c r="B761" i="98"/>
  <c r="B762" i="98"/>
  <c r="B763" i="98"/>
  <c r="B764" i="98"/>
  <c r="B765" i="98"/>
  <c r="B766" i="98"/>
  <c r="B767" i="98"/>
  <c r="B768" i="98"/>
  <c r="B769" i="98"/>
  <c r="B770" i="98"/>
  <c r="B771" i="98"/>
  <c r="B772" i="98"/>
  <c r="B773" i="98"/>
  <c r="B774" i="98"/>
  <c r="B775" i="98"/>
  <c r="B776" i="98"/>
  <c r="B777" i="98"/>
  <c r="B778" i="98"/>
  <c r="B779" i="98"/>
  <c r="B780" i="98"/>
  <c r="B781" i="98"/>
  <c r="B782" i="98"/>
  <c r="B783" i="98"/>
  <c r="B784" i="98"/>
  <c r="B785" i="98"/>
  <c r="B786" i="98"/>
  <c r="B787" i="98"/>
  <c r="B788" i="98"/>
  <c r="B789" i="98"/>
  <c r="B790" i="98"/>
  <c r="B791" i="98"/>
  <c r="B792" i="98"/>
  <c r="B793" i="98"/>
  <c r="B794" i="98"/>
  <c r="B795" i="98"/>
  <c r="B796" i="98"/>
  <c r="B797" i="98"/>
  <c r="B798" i="98"/>
  <c r="B799" i="98"/>
  <c r="B800" i="98"/>
  <c r="B801" i="98"/>
  <c r="B802" i="98"/>
  <c r="B803" i="98"/>
  <c r="B804" i="98"/>
  <c r="B805" i="98"/>
  <c r="B806" i="98"/>
  <c r="B807" i="98"/>
  <c r="B808" i="98"/>
  <c r="B809" i="98"/>
  <c r="B810" i="98"/>
  <c r="B811" i="98"/>
  <c r="B812" i="98"/>
  <c r="B813" i="98"/>
  <c r="B814" i="98"/>
  <c r="B815" i="98"/>
  <c r="B816" i="98"/>
  <c r="B817" i="98"/>
  <c r="B818" i="98"/>
  <c r="B819" i="98"/>
  <c r="B820" i="98"/>
  <c r="B821" i="98"/>
  <c r="B822" i="98"/>
  <c r="B823" i="98"/>
  <c r="B824" i="98"/>
  <c r="B825" i="98"/>
  <c r="B826" i="98"/>
  <c r="B827" i="98"/>
  <c r="B828" i="98"/>
  <c r="B829" i="98"/>
  <c r="B830" i="98"/>
  <c r="B831" i="98"/>
  <c r="B832" i="98"/>
  <c r="B833" i="98"/>
  <c r="B834" i="98"/>
  <c r="B835" i="98"/>
  <c r="B836" i="98"/>
  <c r="B837" i="98"/>
  <c r="B838" i="98"/>
  <c r="B839" i="98"/>
  <c r="B840" i="98"/>
  <c r="B841" i="98"/>
  <c r="B842" i="98"/>
  <c r="B843" i="98"/>
  <c r="B844" i="98"/>
  <c r="B845" i="98"/>
  <c r="B846" i="98"/>
  <c r="B847" i="98"/>
  <c r="B848" i="98"/>
  <c r="B849" i="98"/>
  <c r="B850" i="98"/>
  <c r="B851" i="98"/>
  <c r="B852" i="98"/>
  <c r="B853" i="98"/>
  <c r="B854" i="98"/>
  <c r="B855" i="98"/>
  <c r="B856" i="98"/>
  <c r="B857" i="98"/>
  <c r="B858" i="98"/>
  <c r="B859" i="98"/>
  <c r="B860" i="98"/>
  <c r="B861" i="98"/>
  <c r="B862" i="98"/>
  <c r="B863" i="98"/>
  <c r="B864" i="98"/>
  <c r="B865" i="98"/>
  <c r="B866" i="98"/>
  <c r="B867" i="98"/>
  <c r="B868" i="98"/>
  <c r="B869" i="98"/>
  <c r="B870" i="98"/>
  <c r="B871" i="98"/>
  <c r="B872" i="98"/>
  <c r="B873" i="98"/>
  <c r="B874" i="98"/>
  <c r="B875" i="98"/>
  <c r="B876" i="98"/>
  <c r="B877" i="98"/>
  <c r="B878" i="98"/>
  <c r="B879" i="98"/>
  <c r="B880" i="98"/>
  <c r="B881" i="98"/>
  <c r="B882" i="98"/>
  <c r="B883" i="98"/>
  <c r="B884" i="98"/>
  <c r="B885" i="98"/>
  <c r="B886" i="98"/>
  <c r="B887" i="98"/>
  <c r="B888" i="98"/>
  <c r="B889" i="98"/>
  <c r="B890" i="98"/>
  <c r="B891" i="98"/>
  <c r="B892" i="98"/>
  <c r="B893" i="98"/>
  <c r="B894" i="98"/>
  <c r="B895" i="98"/>
  <c r="B896" i="98"/>
  <c r="B897" i="98"/>
  <c r="B898" i="98"/>
  <c r="B899" i="98"/>
  <c r="B900" i="98"/>
  <c r="B901" i="98"/>
  <c r="B902" i="98"/>
  <c r="B903" i="98"/>
  <c r="B904" i="98"/>
  <c r="B905" i="98"/>
  <c r="B906" i="98"/>
  <c r="B907" i="98"/>
  <c r="B908" i="98"/>
  <c r="B909" i="98"/>
  <c r="B910" i="98"/>
  <c r="B911" i="98"/>
  <c r="B912" i="98"/>
  <c r="B913" i="98"/>
  <c r="B914" i="98"/>
  <c r="B915" i="98"/>
  <c r="B916" i="98"/>
  <c r="B917" i="98"/>
  <c r="B918" i="98"/>
  <c r="B919" i="98"/>
  <c r="B920" i="98"/>
  <c r="B921" i="98"/>
  <c r="B922" i="98"/>
  <c r="B923" i="98"/>
  <c r="B924" i="98"/>
  <c r="B925" i="98"/>
  <c r="B926" i="98"/>
  <c r="B927" i="98"/>
  <c r="B928" i="98"/>
  <c r="B929" i="98"/>
  <c r="B930" i="98"/>
  <c r="B931" i="98"/>
  <c r="B932" i="98"/>
  <c r="B933" i="98"/>
  <c r="B934" i="98"/>
  <c r="B935" i="98"/>
  <c r="B936" i="98"/>
  <c r="B937" i="98"/>
  <c r="B938" i="98"/>
  <c r="B939" i="98"/>
  <c r="B940" i="98"/>
  <c r="B941" i="98"/>
  <c r="B942" i="98"/>
  <c r="B943" i="98"/>
  <c r="B944" i="98"/>
  <c r="B945" i="98"/>
  <c r="B946" i="98"/>
  <c r="B947" i="98"/>
  <c r="B948" i="98"/>
  <c r="B949" i="98"/>
  <c r="B950" i="98"/>
  <c r="B951" i="98"/>
  <c r="B952" i="98"/>
  <c r="B953" i="98"/>
  <c r="B954" i="98"/>
  <c r="B955" i="98"/>
  <c r="B956" i="98"/>
  <c r="B957" i="98"/>
  <c r="B958" i="98"/>
  <c r="B959" i="98"/>
  <c r="B960" i="98"/>
  <c r="B961" i="98"/>
  <c r="B962" i="98"/>
  <c r="B963" i="98"/>
  <c r="B964" i="98"/>
  <c r="B965" i="98"/>
  <c r="B966" i="98"/>
  <c r="B967" i="98"/>
  <c r="B968" i="98"/>
  <c r="B969" i="98"/>
  <c r="B970" i="98"/>
  <c r="B971" i="98"/>
  <c r="B972" i="98"/>
  <c r="B973" i="98"/>
  <c r="B974" i="98"/>
  <c r="B975" i="98"/>
  <c r="B976" i="98"/>
  <c r="B977" i="98"/>
  <c r="B978" i="98"/>
  <c r="B979" i="98"/>
  <c r="B980" i="98"/>
  <c r="B981" i="98"/>
  <c r="B982" i="98"/>
  <c r="B983" i="98"/>
  <c r="B984" i="98"/>
  <c r="B985" i="98"/>
  <c r="B986" i="98"/>
  <c r="B987" i="98"/>
  <c r="B988" i="98"/>
  <c r="B989" i="98"/>
  <c r="B990" i="98"/>
  <c r="B991" i="98"/>
  <c r="B992" i="98"/>
  <c r="B993" i="98"/>
  <c r="B994" i="98"/>
  <c r="B995" i="98"/>
  <c r="B996" i="98"/>
  <c r="B997" i="98"/>
  <c r="B998" i="98"/>
  <c r="B999" i="98"/>
  <c r="B1000" i="98"/>
  <c r="B1001" i="98"/>
  <c r="B1002" i="98"/>
  <c r="C3" i="97"/>
  <c r="B3" i="97" s="1"/>
  <c r="B4" i="97"/>
  <c r="B5" i="97"/>
  <c r="B6" i="97"/>
  <c r="B7" i="97"/>
  <c r="B8" i="97"/>
  <c r="B9" i="97"/>
  <c r="B10" i="97"/>
  <c r="B11" i="97"/>
  <c r="B12" i="97"/>
  <c r="B13" i="97"/>
  <c r="B14" i="97"/>
  <c r="B15" i="97"/>
  <c r="B16" i="97"/>
  <c r="B17" i="97"/>
  <c r="B18" i="97"/>
  <c r="B19" i="97"/>
  <c r="B20" i="97"/>
  <c r="B21" i="97"/>
  <c r="B22" i="97"/>
  <c r="B23" i="97"/>
  <c r="B24" i="97"/>
  <c r="B25" i="97"/>
  <c r="B26" i="97"/>
  <c r="B27" i="97"/>
  <c r="B28" i="97"/>
  <c r="B29" i="97"/>
  <c r="B30" i="97"/>
  <c r="B31" i="97"/>
  <c r="B32" i="97"/>
  <c r="B33" i="97"/>
  <c r="B34" i="97"/>
  <c r="B35" i="97"/>
  <c r="B36" i="97"/>
  <c r="B37" i="97"/>
  <c r="B38" i="97"/>
  <c r="B39" i="97"/>
  <c r="B40" i="97"/>
  <c r="B41" i="97"/>
  <c r="B42" i="97"/>
  <c r="B43" i="97"/>
  <c r="B44" i="97"/>
  <c r="B45" i="97"/>
  <c r="B46" i="97"/>
  <c r="B47" i="97"/>
  <c r="B48" i="97"/>
  <c r="B49" i="97"/>
  <c r="B50" i="97"/>
  <c r="B51" i="97"/>
  <c r="B52" i="97"/>
  <c r="B53" i="97"/>
  <c r="B54" i="97"/>
  <c r="B55" i="97"/>
  <c r="B56" i="97"/>
  <c r="B57" i="97"/>
  <c r="B58" i="97"/>
  <c r="B59" i="97"/>
  <c r="B60" i="97"/>
  <c r="B61" i="97"/>
  <c r="B62" i="97"/>
  <c r="B63" i="97"/>
  <c r="B64" i="97"/>
  <c r="B65" i="97"/>
  <c r="B66" i="97"/>
  <c r="B67" i="97"/>
  <c r="B68" i="97"/>
  <c r="B69" i="97"/>
  <c r="B70" i="97"/>
  <c r="B71" i="97"/>
  <c r="B72" i="97"/>
  <c r="B73" i="97"/>
  <c r="B74" i="97"/>
  <c r="B75" i="97"/>
  <c r="B76" i="97"/>
  <c r="B77" i="97"/>
  <c r="B78" i="97"/>
  <c r="B79" i="97"/>
  <c r="B80" i="97"/>
  <c r="B81" i="97"/>
  <c r="B82" i="97"/>
  <c r="B83" i="97"/>
  <c r="B84" i="97"/>
  <c r="B85" i="97"/>
  <c r="B86" i="97"/>
  <c r="B87" i="97"/>
  <c r="B88" i="97"/>
  <c r="B89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155" i="97"/>
  <c r="B156" i="97"/>
  <c r="B157" i="97"/>
  <c r="B158" i="97"/>
  <c r="B159" i="97"/>
  <c r="B160" i="97"/>
  <c r="B161" i="97"/>
  <c r="B162" i="97"/>
  <c r="B163" i="97"/>
  <c r="B164" i="97"/>
  <c r="B165" i="97"/>
  <c r="B166" i="97"/>
  <c r="B167" i="97"/>
  <c r="B168" i="97"/>
  <c r="B169" i="97"/>
  <c r="B170" i="97"/>
  <c r="B171" i="97"/>
  <c r="B172" i="97"/>
  <c r="B173" i="97"/>
  <c r="B174" i="97"/>
  <c r="B175" i="97"/>
  <c r="B176" i="97"/>
  <c r="B177" i="97"/>
  <c r="B178" i="97"/>
  <c r="B179" i="97"/>
  <c r="B180" i="97"/>
  <c r="B181" i="97"/>
  <c r="B182" i="97"/>
  <c r="B183" i="97"/>
  <c r="B184" i="97"/>
  <c r="B185" i="97"/>
  <c r="B186" i="97"/>
  <c r="B187" i="97"/>
  <c r="B188" i="97"/>
  <c r="B189" i="97"/>
  <c r="B190" i="97"/>
  <c r="B191" i="97"/>
  <c r="B192" i="97"/>
  <c r="B193" i="97"/>
  <c r="B194" i="97"/>
  <c r="B195" i="97"/>
  <c r="B196" i="97"/>
  <c r="B197" i="97"/>
  <c r="B198" i="97"/>
  <c r="B199" i="97"/>
  <c r="B200" i="97"/>
  <c r="B201" i="97"/>
  <c r="B202" i="97"/>
  <c r="B203" i="97"/>
  <c r="B204" i="97"/>
  <c r="B205" i="97"/>
  <c r="B206" i="97"/>
  <c r="B207" i="97"/>
  <c r="B208" i="97"/>
  <c r="B209" i="97"/>
  <c r="B210" i="97"/>
  <c r="B211" i="97"/>
  <c r="B212" i="97"/>
  <c r="B213" i="97"/>
  <c r="B214" i="97"/>
  <c r="B215" i="97"/>
  <c r="B216" i="97"/>
  <c r="B217" i="97"/>
  <c r="B218" i="97"/>
  <c r="B219" i="97"/>
  <c r="B220" i="97"/>
  <c r="B221" i="97"/>
  <c r="B222" i="97"/>
  <c r="B223" i="97"/>
  <c r="B224" i="97"/>
  <c r="B225" i="97"/>
  <c r="B226" i="97"/>
  <c r="B227" i="97"/>
  <c r="B228" i="97"/>
  <c r="B229" i="97"/>
  <c r="B230" i="97"/>
  <c r="B231" i="97"/>
  <c r="B232" i="97"/>
  <c r="B233" i="97"/>
  <c r="B234" i="97"/>
  <c r="B235" i="97"/>
  <c r="B236" i="97"/>
  <c r="B237" i="97"/>
  <c r="B238" i="97"/>
  <c r="B239" i="97"/>
  <c r="B240" i="97"/>
  <c r="B241" i="97"/>
  <c r="B242" i="97"/>
  <c r="B243" i="97"/>
  <c r="B244" i="97"/>
  <c r="B245" i="97"/>
  <c r="B246" i="97"/>
  <c r="B247" i="97"/>
  <c r="B248" i="97"/>
  <c r="B249" i="97"/>
  <c r="B250" i="97"/>
  <c r="B251" i="97"/>
  <c r="B252" i="97"/>
  <c r="B253" i="97"/>
  <c r="B254" i="97"/>
  <c r="B255" i="97"/>
  <c r="B256" i="97"/>
  <c r="B257" i="97"/>
  <c r="B258" i="97"/>
  <c r="B259" i="97"/>
  <c r="B260" i="97"/>
  <c r="B261" i="97"/>
  <c r="B262" i="97"/>
  <c r="B263" i="97"/>
  <c r="B264" i="97"/>
  <c r="B265" i="97"/>
  <c r="B266" i="97"/>
  <c r="B267" i="97"/>
  <c r="B268" i="97"/>
  <c r="B269" i="97"/>
  <c r="B270" i="97"/>
  <c r="B271" i="97"/>
  <c r="B272" i="97"/>
  <c r="B273" i="97"/>
  <c r="B274" i="97"/>
  <c r="B275" i="97"/>
  <c r="B276" i="97"/>
  <c r="B277" i="97"/>
  <c r="B278" i="97"/>
  <c r="B279" i="97"/>
  <c r="B280" i="97"/>
  <c r="B281" i="97"/>
  <c r="B282" i="97"/>
  <c r="B283" i="97"/>
  <c r="B284" i="97"/>
  <c r="B285" i="97"/>
  <c r="B286" i="97"/>
  <c r="B287" i="97"/>
  <c r="B288" i="97"/>
  <c r="B289" i="97"/>
  <c r="B290" i="97"/>
  <c r="B291" i="97"/>
  <c r="B292" i="97"/>
  <c r="B293" i="97"/>
  <c r="B294" i="97"/>
  <c r="B295" i="97"/>
  <c r="B296" i="97"/>
  <c r="B297" i="97"/>
  <c r="B298" i="97"/>
  <c r="B299" i="97"/>
  <c r="B300" i="97"/>
  <c r="B301" i="97"/>
  <c r="B302" i="97"/>
  <c r="B303" i="97"/>
  <c r="B304" i="97"/>
  <c r="B305" i="97"/>
  <c r="B306" i="97"/>
  <c r="B307" i="97"/>
  <c r="B308" i="97"/>
  <c r="B309" i="97"/>
  <c r="B310" i="97"/>
  <c r="B311" i="97"/>
  <c r="B312" i="97"/>
  <c r="B313" i="97"/>
  <c r="B314" i="97"/>
  <c r="B315" i="97"/>
  <c r="B316" i="97"/>
  <c r="B317" i="97"/>
  <c r="B318" i="97"/>
  <c r="B319" i="97"/>
  <c r="B320" i="97"/>
  <c r="B321" i="97"/>
  <c r="B322" i="97"/>
  <c r="B323" i="97"/>
  <c r="B324" i="97"/>
  <c r="B325" i="97"/>
  <c r="B326" i="97"/>
  <c r="B327" i="97"/>
  <c r="B328" i="97"/>
  <c r="B329" i="97"/>
  <c r="B330" i="97"/>
  <c r="B331" i="97"/>
  <c r="B332" i="97"/>
  <c r="B333" i="97"/>
  <c r="B334" i="97"/>
  <c r="B335" i="97"/>
  <c r="B336" i="97"/>
  <c r="B337" i="97"/>
  <c r="B338" i="97"/>
  <c r="B339" i="97"/>
  <c r="B340" i="97"/>
  <c r="B341" i="97"/>
  <c r="B342" i="97"/>
  <c r="B343" i="97"/>
  <c r="B344" i="97"/>
  <c r="B345" i="97"/>
  <c r="B346" i="97"/>
  <c r="B347" i="97"/>
  <c r="B348" i="97"/>
  <c r="B349" i="97"/>
  <c r="B350" i="97"/>
  <c r="B351" i="97"/>
  <c r="B352" i="97"/>
  <c r="B353" i="97"/>
  <c r="B354" i="97"/>
  <c r="B355" i="97"/>
  <c r="B356" i="97"/>
  <c r="B357" i="97"/>
  <c r="B358" i="97"/>
  <c r="B359" i="97"/>
  <c r="B360" i="97"/>
  <c r="B361" i="97"/>
  <c r="B362" i="97"/>
  <c r="B363" i="97"/>
  <c r="B364" i="97"/>
  <c r="B365" i="97"/>
  <c r="B366" i="97"/>
  <c r="B367" i="97"/>
  <c r="B368" i="97"/>
  <c r="B369" i="97"/>
  <c r="B370" i="97"/>
  <c r="B371" i="97"/>
  <c r="B372" i="97"/>
  <c r="B373" i="97"/>
  <c r="B374" i="97"/>
  <c r="B375" i="97"/>
  <c r="B376" i="97"/>
  <c r="B377" i="97"/>
  <c r="B378" i="97"/>
  <c r="B379" i="97"/>
  <c r="B380" i="97"/>
  <c r="B381" i="97"/>
  <c r="B382" i="97"/>
  <c r="B383" i="97"/>
  <c r="B384" i="97"/>
  <c r="B385" i="97"/>
  <c r="B386" i="97"/>
  <c r="B387" i="97"/>
  <c r="B388" i="97"/>
  <c r="B389" i="97"/>
  <c r="B390" i="97"/>
  <c r="B391" i="97"/>
  <c r="B392" i="97"/>
  <c r="B393" i="97"/>
  <c r="B394" i="97"/>
  <c r="B395" i="97"/>
  <c r="B396" i="97"/>
  <c r="B397" i="97"/>
  <c r="B398" i="97"/>
  <c r="B399" i="97"/>
  <c r="B400" i="97"/>
  <c r="B401" i="97"/>
  <c r="B402" i="97"/>
  <c r="B403" i="97"/>
  <c r="B404" i="97"/>
  <c r="B405" i="97"/>
  <c r="B406" i="97"/>
  <c r="B407" i="97"/>
  <c r="B408" i="97"/>
  <c r="B409" i="97"/>
  <c r="B410" i="97"/>
  <c r="B411" i="97"/>
  <c r="B412" i="97"/>
  <c r="B413" i="97"/>
  <c r="B414" i="97"/>
  <c r="B415" i="97"/>
  <c r="B416" i="97"/>
  <c r="B417" i="97"/>
  <c r="B418" i="97"/>
  <c r="B419" i="97"/>
  <c r="B420" i="97"/>
  <c r="B421" i="97"/>
  <c r="B422" i="97"/>
  <c r="B423" i="97"/>
  <c r="B424" i="97"/>
  <c r="B425" i="97"/>
  <c r="B426" i="97"/>
  <c r="B427" i="97"/>
  <c r="B428" i="97"/>
  <c r="B429" i="97"/>
  <c r="B430" i="97"/>
  <c r="B431" i="97"/>
  <c r="B432" i="97"/>
  <c r="B433" i="97"/>
  <c r="B434" i="97"/>
  <c r="B435" i="97"/>
  <c r="B436" i="97"/>
  <c r="B437" i="97"/>
  <c r="B438" i="97"/>
  <c r="B439" i="97"/>
  <c r="B440" i="97"/>
  <c r="B441" i="97"/>
  <c r="B442" i="97"/>
  <c r="B443" i="97"/>
  <c r="B444" i="97"/>
  <c r="B445" i="97"/>
  <c r="B446" i="97"/>
  <c r="B447" i="97"/>
  <c r="B448" i="97"/>
  <c r="B449" i="97"/>
  <c r="B450" i="97"/>
  <c r="B451" i="97"/>
  <c r="B452" i="97"/>
  <c r="B453" i="97"/>
  <c r="B454" i="97"/>
  <c r="B455" i="97"/>
  <c r="B456" i="97"/>
  <c r="B457" i="97"/>
  <c r="B458" i="97"/>
  <c r="B459" i="97"/>
  <c r="B460" i="97"/>
  <c r="B461" i="97"/>
  <c r="B462" i="97"/>
  <c r="B463" i="97"/>
  <c r="B464" i="97"/>
  <c r="B465" i="97"/>
  <c r="B466" i="97"/>
  <c r="B467" i="97"/>
  <c r="B468" i="97"/>
  <c r="B469" i="97"/>
  <c r="B470" i="97"/>
  <c r="B471" i="97"/>
  <c r="B472" i="97"/>
  <c r="B473" i="97"/>
  <c r="B474" i="97"/>
  <c r="B475" i="97"/>
  <c r="B476" i="97"/>
  <c r="B477" i="97"/>
  <c r="B478" i="97"/>
  <c r="B479" i="97"/>
  <c r="B480" i="97"/>
  <c r="B481" i="97"/>
  <c r="B482" i="97"/>
  <c r="B483" i="97"/>
  <c r="B484" i="97"/>
  <c r="B485" i="97"/>
  <c r="B486" i="97"/>
  <c r="B487" i="97"/>
  <c r="B488" i="97"/>
  <c r="B489" i="97"/>
  <c r="B490" i="97"/>
  <c r="B491" i="97"/>
  <c r="B492" i="97"/>
  <c r="B493" i="97"/>
  <c r="B494" i="97"/>
  <c r="B495" i="97"/>
  <c r="B496" i="97"/>
  <c r="B497" i="97"/>
  <c r="B498" i="97"/>
  <c r="B499" i="97"/>
  <c r="B500" i="97"/>
  <c r="B501" i="97"/>
  <c r="B502" i="97"/>
  <c r="B503" i="97"/>
  <c r="B504" i="97"/>
  <c r="B505" i="97"/>
  <c r="B506" i="97"/>
  <c r="B507" i="97"/>
  <c r="B508" i="97"/>
  <c r="B509" i="97"/>
  <c r="B510" i="97"/>
  <c r="B511" i="97"/>
  <c r="B512" i="97"/>
  <c r="B513" i="97"/>
  <c r="B514" i="97"/>
  <c r="B515" i="97"/>
  <c r="B516" i="97"/>
  <c r="B517" i="97"/>
  <c r="B518" i="97"/>
  <c r="B519" i="97"/>
  <c r="B520" i="97"/>
  <c r="B521" i="97"/>
  <c r="B522" i="97"/>
  <c r="B523" i="97"/>
  <c r="B524" i="97"/>
  <c r="B525" i="97"/>
  <c r="B526" i="97"/>
  <c r="B527" i="97"/>
  <c r="B528" i="97"/>
  <c r="B529" i="97"/>
  <c r="B530" i="97"/>
  <c r="B531" i="97"/>
  <c r="B532" i="97"/>
  <c r="B533" i="97"/>
  <c r="B534" i="97"/>
  <c r="B535" i="97"/>
  <c r="B536" i="97"/>
  <c r="B537" i="97"/>
  <c r="B538" i="97"/>
  <c r="B539" i="97"/>
  <c r="B540" i="97"/>
  <c r="B541" i="97"/>
  <c r="B542" i="97"/>
  <c r="B543" i="97"/>
  <c r="B544" i="97"/>
  <c r="B545" i="97"/>
  <c r="B546" i="97"/>
  <c r="B547" i="97"/>
  <c r="B548" i="97"/>
  <c r="B549" i="97"/>
  <c r="B550" i="97"/>
  <c r="B551" i="97"/>
  <c r="B552" i="97"/>
  <c r="B553" i="97"/>
  <c r="B554" i="97"/>
  <c r="B555" i="97"/>
  <c r="B556" i="97"/>
  <c r="B557" i="97"/>
  <c r="B558" i="97"/>
  <c r="B559" i="97"/>
  <c r="B560" i="97"/>
  <c r="B561" i="97"/>
  <c r="B562" i="97"/>
  <c r="B563" i="97"/>
  <c r="B564" i="97"/>
  <c r="B565" i="97"/>
  <c r="B566" i="97"/>
  <c r="B567" i="97"/>
  <c r="B568" i="97"/>
  <c r="B569" i="97"/>
  <c r="B570" i="97"/>
  <c r="B571" i="97"/>
  <c r="B572" i="97"/>
  <c r="B573" i="97"/>
  <c r="B574" i="97"/>
  <c r="B575" i="97"/>
  <c r="B576" i="97"/>
  <c r="B577" i="97"/>
  <c r="B578" i="97"/>
  <c r="B579" i="97"/>
  <c r="B580" i="97"/>
  <c r="B581" i="97"/>
  <c r="B582" i="97"/>
  <c r="B583" i="97"/>
  <c r="B584" i="97"/>
  <c r="B585" i="97"/>
  <c r="B586" i="97"/>
  <c r="B587" i="97"/>
  <c r="B588" i="97"/>
  <c r="B589" i="97"/>
  <c r="B590" i="97"/>
  <c r="B591" i="97"/>
  <c r="B592" i="97"/>
  <c r="B593" i="97"/>
  <c r="B594" i="97"/>
  <c r="B595" i="97"/>
  <c r="B596" i="97"/>
  <c r="B597" i="97"/>
  <c r="B598" i="97"/>
  <c r="B599" i="97"/>
  <c r="B600" i="97"/>
  <c r="B601" i="97"/>
  <c r="B602" i="97"/>
  <c r="B603" i="97"/>
  <c r="B604" i="97"/>
  <c r="B605" i="97"/>
  <c r="B606" i="97"/>
  <c r="B607" i="97"/>
  <c r="B608" i="97"/>
  <c r="B609" i="97"/>
  <c r="B610" i="97"/>
  <c r="B611" i="97"/>
  <c r="B612" i="97"/>
  <c r="B613" i="97"/>
  <c r="B614" i="97"/>
  <c r="B615" i="97"/>
  <c r="B616" i="97"/>
  <c r="B617" i="97"/>
  <c r="B618" i="97"/>
  <c r="B619" i="97"/>
  <c r="B620" i="97"/>
  <c r="B621" i="97"/>
  <c r="B622" i="97"/>
  <c r="B623" i="97"/>
  <c r="B624" i="97"/>
  <c r="B625" i="97"/>
  <c r="B626" i="97"/>
  <c r="B627" i="97"/>
  <c r="B628" i="97"/>
  <c r="B629" i="97"/>
  <c r="B630" i="97"/>
  <c r="B631" i="97"/>
  <c r="B632" i="97"/>
  <c r="B633" i="97"/>
  <c r="B634" i="97"/>
  <c r="B635" i="97"/>
  <c r="B636" i="97"/>
  <c r="B637" i="97"/>
  <c r="B638" i="97"/>
  <c r="B639" i="97"/>
  <c r="B640" i="97"/>
  <c r="B641" i="97"/>
  <c r="B642" i="97"/>
  <c r="B643" i="97"/>
  <c r="B644" i="97"/>
  <c r="B645" i="97"/>
  <c r="B646" i="97"/>
  <c r="B647" i="97"/>
  <c r="B648" i="97"/>
  <c r="B649" i="97"/>
  <c r="B650" i="97"/>
  <c r="B651" i="97"/>
  <c r="B652" i="97"/>
  <c r="B653" i="97"/>
  <c r="B654" i="97"/>
  <c r="B655" i="97"/>
  <c r="B656" i="97"/>
  <c r="B657" i="97"/>
  <c r="B658" i="97"/>
  <c r="B659" i="97"/>
  <c r="B660" i="97"/>
  <c r="B661" i="97"/>
  <c r="B662" i="97"/>
  <c r="B663" i="97"/>
  <c r="B664" i="97"/>
  <c r="B665" i="97"/>
  <c r="B666" i="97"/>
  <c r="B667" i="97"/>
  <c r="B668" i="97"/>
  <c r="B669" i="97"/>
  <c r="B670" i="97"/>
  <c r="B671" i="97"/>
  <c r="B672" i="97"/>
  <c r="B673" i="97"/>
  <c r="B674" i="97"/>
  <c r="B675" i="97"/>
  <c r="B676" i="97"/>
  <c r="B677" i="97"/>
  <c r="B678" i="97"/>
  <c r="B679" i="97"/>
  <c r="B680" i="97"/>
  <c r="B681" i="97"/>
  <c r="B682" i="97"/>
  <c r="B683" i="97"/>
  <c r="B684" i="97"/>
  <c r="B685" i="97"/>
  <c r="B686" i="97"/>
  <c r="B687" i="97"/>
  <c r="B688" i="97"/>
  <c r="B689" i="97"/>
  <c r="B690" i="97"/>
  <c r="B691" i="97"/>
  <c r="B692" i="97"/>
  <c r="B693" i="97"/>
  <c r="B694" i="97"/>
  <c r="B695" i="97"/>
  <c r="B696" i="97"/>
  <c r="B697" i="97"/>
  <c r="B698" i="97"/>
  <c r="B699" i="97"/>
  <c r="B700" i="97"/>
  <c r="B701" i="97"/>
  <c r="B702" i="97"/>
  <c r="B703" i="97"/>
  <c r="B704" i="97"/>
  <c r="B705" i="97"/>
  <c r="B706" i="97"/>
  <c r="B707" i="97"/>
  <c r="B708" i="97"/>
  <c r="B709" i="97"/>
  <c r="B710" i="97"/>
  <c r="B711" i="97"/>
  <c r="B712" i="97"/>
  <c r="B713" i="97"/>
  <c r="B714" i="97"/>
  <c r="B715" i="97"/>
  <c r="B716" i="97"/>
  <c r="B717" i="97"/>
  <c r="B718" i="97"/>
  <c r="B719" i="97"/>
  <c r="B720" i="97"/>
  <c r="B721" i="97"/>
  <c r="B722" i="97"/>
  <c r="B723" i="97"/>
  <c r="B724" i="97"/>
  <c r="B725" i="97"/>
  <c r="B726" i="97"/>
  <c r="B727" i="97"/>
  <c r="B728" i="97"/>
  <c r="B729" i="97"/>
  <c r="B730" i="97"/>
  <c r="B731" i="97"/>
  <c r="B732" i="97"/>
  <c r="B733" i="97"/>
  <c r="B734" i="97"/>
  <c r="B735" i="97"/>
  <c r="B736" i="97"/>
  <c r="B737" i="97"/>
  <c r="B738" i="97"/>
  <c r="B739" i="97"/>
  <c r="B740" i="97"/>
  <c r="B741" i="97"/>
  <c r="B742" i="97"/>
  <c r="B743" i="97"/>
  <c r="B744" i="97"/>
  <c r="B745" i="97"/>
  <c r="B746" i="97"/>
  <c r="B747" i="97"/>
  <c r="B748" i="97"/>
  <c r="B749" i="97"/>
  <c r="B750" i="97"/>
  <c r="B751" i="97"/>
  <c r="B752" i="97"/>
  <c r="B753" i="97"/>
  <c r="B754" i="97"/>
  <c r="B755" i="97"/>
  <c r="B756" i="97"/>
  <c r="B757" i="97"/>
  <c r="B758" i="97"/>
  <c r="B759" i="97"/>
  <c r="B760" i="97"/>
  <c r="B761" i="97"/>
  <c r="B762" i="97"/>
  <c r="B763" i="97"/>
  <c r="B764" i="97"/>
  <c r="B765" i="97"/>
  <c r="B766" i="97"/>
  <c r="B767" i="97"/>
  <c r="B768" i="97"/>
  <c r="B769" i="97"/>
  <c r="B770" i="97"/>
  <c r="B771" i="97"/>
  <c r="B772" i="97"/>
  <c r="B773" i="97"/>
  <c r="B774" i="97"/>
  <c r="B775" i="97"/>
  <c r="B776" i="97"/>
  <c r="B777" i="97"/>
  <c r="B778" i="97"/>
  <c r="B779" i="97"/>
  <c r="B780" i="97"/>
  <c r="B781" i="97"/>
  <c r="B782" i="97"/>
  <c r="B783" i="97"/>
  <c r="B784" i="97"/>
  <c r="B785" i="97"/>
  <c r="B786" i="97"/>
  <c r="B787" i="97"/>
  <c r="B788" i="97"/>
  <c r="B789" i="97"/>
  <c r="B790" i="97"/>
  <c r="B791" i="97"/>
  <c r="B792" i="97"/>
  <c r="B793" i="97"/>
  <c r="B794" i="97"/>
  <c r="B795" i="97"/>
  <c r="B796" i="97"/>
  <c r="B797" i="97"/>
  <c r="B798" i="97"/>
  <c r="B799" i="97"/>
  <c r="B800" i="97"/>
  <c r="B801" i="97"/>
  <c r="B802" i="97"/>
  <c r="B803" i="97"/>
  <c r="B804" i="97"/>
  <c r="B805" i="97"/>
  <c r="B806" i="97"/>
  <c r="B807" i="97"/>
  <c r="B808" i="97"/>
  <c r="B809" i="97"/>
  <c r="B810" i="97"/>
  <c r="B811" i="97"/>
  <c r="B812" i="97"/>
  <c r="B813" i="97"/>
  <c r="B814" i="97"/>
  <c r="B815" i="97"/>
  <c r="B816" i="97"/>
  <c r="B817" i="97"/>
  <c r="B818" i="97"/>
  <c r="B819" i="97"/>
  <c r="B820" i="97"/>
  <c r="B821" i="97"/>
  <c r="B822" i="97"/>
  <c r="B823" i="97"/>
  <c r="B824" i="97"/>
  <c r="B825" i="97"/>
  <c r="B826" i="97"/>
  <c r="B827" i="97"/>
  <c r="B828" i="97"/>
  <c r="B829" i="97"/>
  <c r="B830" i="97"/>
  <c r="B831" i="97"/>
  <c r="B832" i="97"/>
  <c r="B833" i="97"/>
  <c r="B834" i="97"/>
  <c r="B835" i="97"/>
  <c r="B836" i="97"/>
  <c r="B837" i="97"/>
  <c r="B838" i="97"/>
  <c r="B839" i="97"/>
  <c r="B840" i="97"/>
  <c r="B841" i="97"/>
  <c r="B842" i="97"/>
  <c r="B843" i="97"/>
  <c r="B844" i="97"/>
  <c r="B845" i="97"/>
  <c r="B846" i="97"/>
  <c r="B847" i="97"/>
  <c r="B848" i="97"/>
  <c r="B849" i="97"/>
  <c r="B850" i="97"/>
  <c r="B851" i="97"/>
  <c r="B852" i="97"/>
  <c r="B853" i="97"/>
  <c r="B854" i="97"/>
  <c r="B855" i="97"/>
  <c r="B856" i="97"/>
  <c r="B857" i="97"/>
  <c r="B858" i="97"/>
  <c r="B859" i="97"/>
  <c r="B860" i="97"/>
  <c r="B861" i="97"/>
  <c r="B862" i="97"/>
  <c r="B863" i="97"/>
  <c r="B864" i="97"/>
  <c r="B865" i="97"/>
  <c r="B866" i="97"/>
  <c r="B867" i="97"/>
  <c r="B868" i="97"/>
  <c r="B869" i="97"/>
  <c r="B870" i="97"/>
  <c r="B871" i="97"/>
  <c r="B872" i="97"/>
  <c r="B873" i="97"/>
  <c r="B874" i="97"/>
  <c r="B875" i="97"/>
  <c r="B876" i="97"/>
  <c r="B877" i="97"/>
  <c r="B878" i="97"/>
  <c r="B879" i="97"/>
  <c r="B880" i="97"/>
  <c r="B881" i="97"/>
  <c r="B882" i="97"/>
  <c r="B883" i="97"/>
  <c r="B884" i="97"/>
  <c r="B885" i="97"/>
  <c r="B886" i="97"/>
  <c r="B887" i="97"/>
  <c r="B888" i="97"/>
  <c r="B889" i="97"/>
  <c r="B890" i="97"/>
  <c r="B891" i="97"/>
  <c r="B892" i="97"/>
  <c r="B893" i="97"/>
  <c r="B894" i="97"/>
  <c r="B895" i="97"/>
  <c r="B896" i="97"/>
  <c r="B897" i="97"/>
  <c r="B898" i="97"/>
  <c r="B899" i="97"/>
  <c r="B900" i="97"/>
  <c r="B901" i="97"/>
  <c r="B902" i="97"/>
  <c r="B903" i="97"/>
  <c r="B904" i="97"/>
  <c r="B905" i="97"/>
  <c r="B906" i="97"/>
  <c r="B907" i="97"/>
  <c r="B908" i="97"/>
  <c r="B909" i="97"/>
  <c r="B910" i="97"/>
  <c r="B911" i="97"/>
  <c r="B912" i="97"/>
  <c r="B913" i="97"/>
  <c r="B914" i="97"/>
  <c r="B915" i="97"/>
  <c r="B916" i="97"/>
  <c r="B917" i="97"/>
  <c r="B918" i="97"/>
  <c r="B919" i="97"/>
  <c r="B920" i="97"/>
  <c r="B921" i="97"/>
  <c r="B922" i="97"/>
  <c r="B923" i="97"/>
  <c r="B924" i="97"/>
  <c r="B925" i="97"/>
  <c r="B926" i="97"/>
  <c r="B927" i="97"/>
  <c r="B928" i="97"/>
  <c r="B929" i="97"/>
  <c r="B930" i="97"/>
  <c r="B931" i="97"/>
  <c r="B932" i="97"/>
  <c r="B933" i="97"/>
  <c r="B934" i="97"/>
  <c r="B935" i="97"/>
  <c r="B936" i="97"/>
  <c r="B937" i="97"/>
  <c r="B938" i="97"/>
  <c r="B939" i="97"/>
  <c r="B940" i="97"/>
  <c r="B941" i="97"/>
  <c r="B942" i="97"/>
  <c r="B943" i="97"/>
  <c r="B944" i="97"/>
  <c r="B945" i="97"/>
  <c r="B946" i="97"/>
  <c r="B947" i="97"/>
  <c r="B948" i="97"/>
  <c r="B949" i="97"/>
  <c r="B950" i="97"/>
  <c r="B951" i="97"/>
  <c r="B952" i="97"/>
  <c r="B953" i="97"/>
  <c r="B954" i="97"/>
  <c r="B955" i="97"/>
  <c r="B956" i="97"/>
  <c r="B957" i="97"/>
  <c r="B958" i="97"/>
  <c r="B959" i="97"/>
  <c r="B960" i="97"/>
  <c r="B961" i="97"/>
  <c r="B962" i="97"/>
  <c r="B963" i="97"/>
  <c r="B964" i="97"/>
  <c r="B965" i="97"/>
  <c r="B966" i="97"/>
  <c r="B967" i="97"/>
  <c r="B968" i="97"/>
  <c r="B969" i="97"/>
  <c r="B970" i="97"/>
  <c r="B971" i="97"/>
  <c r="B972" i="97"/>
  <c r="B973" i="97"/>
  <c r="B974" i="97"/>
  <c r="B975" i="97"/>
  <c r="B976" i="97"/>
  <c r="B977" i="97"/>
  <c r="B978" i="97"/>
  <c r="B979" i="97"/>
  <c r="B980" i="97"/>
  <c r="B981" i="97"/>
  <c r="B982" i="97"/>
  <c r="B983" i="97"/>
  <c r="B984" i="97"/>
  <c r="B985" i="97"/>
  <c r="B986" i="97"/>
  <c r="B987" i="97"/>
  <c r="B988" i="97"/>
  <c r="B989" i="97"/>
  <c r="B990" i="97"/>
  <c r="B991" i="97"/>
  <c r="B992" i="97"/>
  <c r="B993" i="97"/>
  <c r="B994" i="97"/>
  <c r="B995" i="97"/>
  <c r="B996" i="97"/>
  <c r="B997" i="97"/>
  <c r="B998" i="97"/>
  <c r="B999" i="97"/>
  <c r="B1000" i="97"/>
  <c r="B1001" i="97"/>
  <c r="B1002" i="97"/>
  <c r="C3" i="96"/>
  <c r="B3" i="96" s="1"/>
  <c r="B4" i="96"/>
  <c r="B5" i="96"/>
  <c r="B6" i="96"/>
  <c r="B7" i="96"/>
  <c r="B8" i="96"/>
  <c r="B9" i="96"/>
  <c r="B10" i="96"/>
  <c r="B11" i="96"/>
  <c r="B12" i="96"/>
  <c r="B13" i="96"/>
  <c r="B14" i="96"/>
  <c r="B15" i="96"/>
  <c r="B16" i="96"/>
  <c r="B17" i="96"/>
  <c r="B18" i="96"/>
  <c r="B19" i="96"/>
  <c r="B20" i="96"/>
  <c r="B21" i="96"/>
  <c r="B22" i="96"/>
  <c r="B23" i="96"/>
  <c r="B24" i="96"/>
  <c r="B25" i="96"/>
  <c r="B26" i="96"/>
  <c r="B27" i="96"/>
  <c r="B28" i="96"/>
  <c r="B29" i="96"/>
  <c r="B30" i="96"/>
  <c r="B31" i="96"/>
  <c r="B32" i="96"/>
  <c r="B33" i="96"/>
  <c r="B34" i="96"/>
  <c r="B35" i="96"/>
  <c r="B36" i="96"/>
  <c r="B37" i="96"/>
  <c r="B38" i="96"/>
  <c r="B39" i="96"/>
  <c r="B40" i="96"/>
  <c r="B41" i="96"/>
  <c r="B42" i="96"/>
  <c r="B43" i="96"/>
  <c r="B44" i="96"/>
  <c r="B45" i="96"/>
  <c r="B46" i="96"/>
  <c r="B47" i="96"/>
  <c r="B48" i="96"/>
  <c r="B49" i="96"/>
  <c r="B50" i="96"/>
  <c r="B51" i="96"/>
  <c r="B52" i="96"/>
  <c r="B53" i="96"/>
  <c r="B54" i="96"/>
  <c r="B55" i="96"/>
  <c r="B56" i="96"/>
  <c r="B57" i="96"/>
  <c r="B58" i="96"/>
  <c r="B59" i="96"/>
  <c r="B60" i="96"/>
  <c r="B61" i="96"/>
  <c r="B62" i="96"/>
  <c r="B63" i="96"/>
  <c r="B64" i="96"/>
  <c r="B65" i="96"/>
  <c r="B66" i="96"/>
  <c r="B67" i="96"/>
  <c r="B68" i="96"/>
  <c r="B69" i="96"/>
  <c r="B70" i="96"/>
  <c r="B71" i="96"/>
  <c r="B72" i="96"/>
  <c r="B73" i="96"/>
  <c r="B74" i="96"/>
  <c r="B75" i="96"/>
  <c r="B76" i="96"/>
  <c r="B77" i="96"/>
  <c r="B78" i="96"/>
  <c r="B79" i="96"/>
  <c r="B80" i="96"/>
  <c r="B81" i="96"/>
  <c r="B82" i="96"/>
  <c r="B83" i="96"/>
  <c r="B84" i="96"/>
  <c r="B85" i="96"/>
  <c r="B86" i="96"/>
  <c r="B87" i="96"/>
  <c r="B88" i="96"/>
  <c r="B89" i="96"/>
  <c r="B90" i="96"/>
  <c r="B91" i="96"/>
  <c r="B92" i="96"/>
  <c r="B93" i="96"/>
  <c r="B94" i="96"/>
  <c r="B95" i="96"/>
  <c r="B96" i="96"/>
  <c r="B97" i="96"/>
  <c r="B98" i="96"/>
  <c r="B99" i="96"/>
  <c r="B100" i="96"/>
  <c r="B101" i="96"/>
  <c r="B102" i="96"/>
  <c r="B103" i="96"/>
  <c r="B104" i="96"/>
  <c r="B105" i="96"/>
  <c r="B106" i="96"/>
  <c r="B107" i="96"/>
  <c r="B108" i="96"/>
  <c r="B109" i="96"/>
  <c r="B110" i="96"/>
  <c r="B111" i="96"/>
  <c r="B112" i="96"/>
  <c r="B113" i="96"/>
  <c r="B114" i="96"/>
  <c r="B115" i="96"/>
  <c r="B116" i="96"/>
  <c r="B117" i="96"/>
  <c r="B118" i="96"/>
  <c r="B119" i="96"/>
  <c r="B120" i="96"/>
  <c r="B121" i="96"/>
  <c r="B122" i="96"/>
  <c r="B123" i="96"/>
  <c r="B124" i="96"/>
  <c r="B125" i="96"/>
  <c r="B126" i="96"/>
  <c r="B127" i="96"/>
  <c r="B128" i="96"/>
  <c r="B129" i="96"/>
  <c r="B130" i="96"/>
  <c r="B131" i="96"/>
  <c r="B132" i="96"/>
  <c r="B133" i="96"/>
  <c r="B134" i="96"/>
  <c r="B135" i="96"/>
  <c r="B136" i="96"/>
  <c r="B137" i="96"/>
  <c r="B138" i="96"/>
  <c r="B139" i="96"/>
  <c r="B140" i="96"/>
  <c r="B141" i="96"/>
  <c r="B142" i="96"/>
  <c r="B143" i="96"/>
  <c r="B144" i="96"/>
  <c r="B145" i="96"/>
  <c r="B146" i="96"/>
  <c r="B147" i="96"/>
  <c r="B148" i="96"/>
  <c r="B149" i="96"/>
  <c r="B150" i="96"/>
  <c r="B151" i="96"/>
  <c r="B152" i="96"/>
  <c r="B153" i="96"/>
  <c r="B154" i="96"/>
  <c r="B155" i="96"/>
  <c r="B156" i="96"/>
  <c r="B157" i="96"/>
  <c r="B158" i="96"/>
  <c r="B159" i="96"/>
  <c r="B160" i="96"/>
  <c r="B161" i="96"/>
  <c r="B162" i="96"/>
  <c r="B163" i="96"/>
  <c r="B164" i="96"/>
  <c r="B165" i="96"/>
  <c r="B166" i="96"/>
  <c r="B167" i="96"/>
  <c r="B168" i="96"/>
  <c r="B169" i="96"/>
  <c r="B170" i="96"/>
  <c r="B171" i="96"/>
  <c r="B172" i="96"/>
  <c r="B173" i="96"/>
  <c r="B174" i="96"/>
  <c r="B175" i="96"/>
  <c r="B176" i="96"/>
  <c r="B177" i="96"/>
  <c r="B178" i="96"/>
  <c r="B179" i="96"/>
  <c r="B180" i="96"/>
  <c r="B181" i="96"/>
  <c r="B182" i="96"/>
  <c r="B183" i="96"/>
  <c r="B184" i="96"/>
  <c r="B185" i="96"/>
  <c r="B186" i="96"/>
  <c r="B187" i="96"/>
  <c r="B188" i="96"/>
  <c r="B189" i="96"/>
  <c r="B190" i="96"/>
  <c r="B191" i="96"/>
  <c r="B192" i="96"/>
  <c r="B193" i="96"/>
  <c r="B194" i="96"/>
  <c r="B195" i="96"/>
  <c r="B196" i="96"/>
  <c r="B197" i="96"/>
  <c r="B198" i="96"/>
  <c r="B199" i="96"/>
  <c r="B200" i="96"/>
  <c r="B201" i="96"/>
  <c r="B202" i="96"/>
  <c r="B203" i="96"/>
  <c r="B204" i="96"/>
  <c r="B205" i="96"/>
  <c r="B206" i="96"/>
  <c r="B207" i="96"/>
  <c r="B208" i="96"/>
  <c r="B209" i="96"/>
  <c r="B210" i="96"/>
  <c r="B211" i="96"/>
  <c r="B212" i="96"/>
  <c r="B213" i="96"/>
  <c r="B214" i="96"/>
  <c r="B215" i="96"/>
  <c r="B216" i="96"/>
  <c r="B217" i="96"/>
  <c r="B218" i="96"/>
  <c r="B219" i="96"/>
  <c r="B220" i="96"/>
  <c r="B221" i="96"/>
  <c r="B222" i="96"/>
  <c r="B223" i="96"/>
  <c r="B224" i="96"/>
  <c r="B225" i="96"/>
  <c r="B226" i="96"/>
  <c r="B227" i="96"/>
  <c r="B228" i="96"/>
  <c r="B229" i="96"/>
  <c r="B230" i="96"/>
  <c r="B231" i="96"/>
  <c r="B232" i="96"/>
  <c r="B233" i="96"/>
  <c r="B234" i="96"/>
  <c r="B235" i="96"/>
  <c r="B236" i="96"/>
  <c r="B237" i="96"/>
  <c r="B238" i="96"/>
  <c r="B239" i="96"/>
  <c r="B240" i="96"/>
  <c r="B241" i="96"/>
  <c r="B242" i="96"/>
  <c r="B243" i="96"/>
  <c r="B244" i="96"/>
  <c r="B245" i="96"/>
  <c r="B246" i="96"/>
  <c r="B247" i="96"/>
  <c r="B248" i="96"/>
  <c r="B249" i="96"/>
  <c r="B250" i="96"/>
  <c r="B251" i="96"/>
  <c r="B252" i="96"/>
  <c r="B253" i="96"/>
  <c r="B254" i="96"/>
  <c r="B255" i="96"/>
  <c r="B256" i="96"/>
  <c r="B257" i="96"/>
  <c r="B258" i="96"/>
  <c r="B259" i="96"/>
  <c r="B260" i="96"/>
  <c r="B261" i="96"/>
  <c r="B262" i="96"/>
  <c r="B263" i="96"/>
  <c r="B264" i="96"/>
  <c r="B265" i="96"/>
  <c r="B266" i="96"/>
  <c r="B267" i="96"/>
  <c r="B268" i="96"/>
  <c r="B269" i="96"/>
  <c r="B270" i="96"/>
  <c r="B271" i="96"/>
  <c r="B272" i="96"/>
  <c r="B273" i="96"/>
  <c r="B274" i="96"/>
  <c r="B275" i="96"/>
  <c r="B276" i="96"/>
  <c r="B277" i="96"/>
  <c r="B278" i="96"/>
  <c r="B279" i="96"/>
  <c r="B280" i="96"/>
  <c r="B281" i="96"/>
  <c r="B282" i="96"/>
  <c r="B283" i="96"/>
  <c r="B284" i="96"/>
  <c r="B285" i="96"/>
  <c r="B286" i="96"/>
  <c r="B287" i="96"/>
  <c r="B288" i="96"/>
  <c r="B289" i="96"/>
  <c r="B290" i="96"/>
  <c r="B291" i="96"/>
  <c r="B292" i="96"/>
  <c r="B293" i="96"/>
  <c r="B294" i="96"/>
  <c r="B295" i="96"/>
  <c r="B296" i="96"/>
  <c r="B297" i="96"/>
  <c r="B298" i="96"/>
  <c r="B299" i="96"/>
  <c r="B300" i="96"/>
  <c r="B301" i="96"/>
  <c r="B302" i="96"/>
  <c r="B303" i="96"/>
  <c r="B304" i="96"/>
  <c r="B305" i="96"/>
  <c r="B306" i="96"/>
  <c r="B307" i="96"/>
  <c r="B308" i="96"/>
  <c r="B309" i="96"/>
  <c r="B310" i="96"/>
  <c r="B311" i="96"/>
  <c r="B312" i="96"/>
  <c r="B313" i="96"/>
  <c r="B314" i="96"/>
  <c r="B315" i="96"/>
  <c r="B316" i="96"/>
  <c r="B317" i="96"/>
  <c r="B318" i="96"/>
  <c r="B319" i="96"/>
  <c r="B320" i="96"/>
  <c r="B321" i="96"/>
  <c r="B322" i="96"/>
  <c r="B323" i="96"/>
  <c r="B324" i="96"/>
  <c r="B325" i="96"/>
  <c r="B326" i="96"/>
  <c r="B327" i="96"/>
  <c r="B328" i="96"/>
  <c r="B329" i="96"/>
  <c r="B330" i="96"/>
  <c r="B331" i="96"/>
  <c r="B332" i="96"/>
  <c r="B333" i="96"/>
  <c r="B334" i="96"/>
  <c r="B335" i="96"/>
  <c r="B336" i="96"/>
  <c r="B337" i="96"/>
  <c r="B338" i="96"/>
  <c r="B339" i="96"/>
  <c r="B340" i="96"/>
  <c r="B341" i="96"/>
  <c r="B342" i="96"/>
  <c r="B343" i="96"/>
  <c r="B344" i="96"/>
  <c r="B345" i="96"/>
  <c r="B346" i="96"/>
  <c r="B347" i="96"/>
  <c r="B348" i="96"/>
  <c r="B349" i="96"/>
  <c r="B350" i="96"/>
  <c r="B351" i="96"/>
  <c r="B352" i="96"/>
  <c r="B353" i="96"/>
  <c r="B354" i="96"/>
  <c r="B355" i="96"/>
  <c r="B356" i="96"/>
  <c r="B357" i="96"/>
  <c r="B358" i="96"/>
  <c r="B359" i="96"/>
  <c r="B360" i="96"/>
  <c r="B361" i="96"/>
  <c r="B362" i="96"/>
  <c r="B363" i="96"/>
  <c r="B364" i="96"/>
  <c r="B365" i="96"/>
  <c r="B366" i="96"/>
  <c r="B367" i="96"/>
  <c r="B368" i="96"/>
  <c r="B369" i="96"/>
  <c r="B370" i="96"/>
  <c r="B371" i="96"/>
  <c r="B372" i="96"/>
  <c r="B373" i="96"/>
  <c r="B374" i="96"/>
  <c r="B375" i="96"/>
  <c r="B376" i="96"/>
  <c r="B377" i="96"/>
  <c r="B378" i="96"/>
  <c r="B379" i="96"/>
  <c r="B380" i="96"/>
  <c r="B381" i="96"/>
  <c r="B382" i="96"/>
  <c r="B383" i="96"/>
  <c r="B384" i="96"/>
  <c r="B385" i="96"/>
  <c r="B386" i="96"/>
  <c r="B387" i="96"/>
  <c r="B388" i="96"/>
  <c r="B389" i="96"/>
  <c r="B390" i="96"/>
  <c r="B391" i="96"/>
  <c r="B392" i="96"/>
  <c r="B393" i="96"/>
  <c r="B394" i="96"/>
  <c r="B395" i="96"/>
  <c r="B396" i="96"/>
  <c r="B397" i="96"/>
  <c r="B398" i="96"/>
  <c r="B399" i="96"/>
  <c r="B400" i="96"/>
  <c r="B401" i="96"/>
  <c r="B402" i="96"/>
  <c r="B403" i="96"/>
  <c r="B404" i="96"/>
  <c r="B405" i="96"/>
  <c r="B406" i="96"/>
  <c r="B407" i="96"/>
  <c r="B408" i="96"/>
  <c r="B409" i="96"/>
  <c r="B410" i="96"/>
  <c r="B411" i="96"/>
  <c r="B412" i="96"/>
  <c r="B413" i="96"/>
  <c r="B414" i="96"/>
  <c r="B415" i="96"/>
  <c r="B416" i="96"/>
  <c r="B417" i="96"/>
  <c r="B418" i="96"/>
  <c r="B419" i="96"/>
  <c r="B420" i="96"/>
  <c r="B421" i="96"/>
  <c r="B422" i="96"/>
  <c r="B423" i="96"/>
  <c r="B424" i="96"/>
  <c r="B425" i="96"/>
  <c r="B426" i="96"/>
  <c r="B427" i="96"/>
  <c r="B428" i="96"/>
  <c r="B429" i="96"/>
  <c r="B430" i="96"/>
  <c r="B431" i="96"/>
  <c r="B432" i="96"/>
  <c r="B433" i="96"/>
  <c r="B434" i="96"/>
  <c r="B435" i="96"/>
  <c r="B436" i="96"/>
  <c r="B437" i="96"/>
  <c r="B438" i="96"/>
  <c r="B439" i="96"/>
  <c r="B440" i="96"/>
  <c r="B441" i="96"/>
  <c r="B442" i="96"/>
  <c r="B443" i="96"/>
  <c r="B444" i="96"/>
  <c r="B445" i="96"/>
  <c r="B446" i="96"/>
  <c r="B447" i="96"/>
  <c r="B448" i="96"/>
  <c r="B449" i="96"/>
  <c r="B450" i="96"/>
  <c r="B451" i="96"/>
  <c r="B452" i="96"/>
  <c r="B453" i="96"/>
  <c r="B454" i="96"/>
  <c r="B455" i="96"/>
  <c r="B456" i="96"/>
  <c r="B457" i="96"/>
  <c r="B458" i="96"/>
  <c r="B459" i="96"/>
  <c r="B460" i="96"/>
  <c r="B461" i="96"/>
  <c r="B462" i="96"/>
  <c r="B463" i="96"/>
  <c r="B464" i="96"/>
  <c r="B465" i="96"/>
  <c r="B466" i="96"/>
  <c r="B467" i="96"/>
  <c r="B468" i="96"/>
  <c r="B469" i="96"/>
  <c r="B470" i="96"/>
  <c r="B471" i="96"/>
  <c r="B472" i="96"/>
  <c r="B473" i="96"/>
  <c r="B474" i="96"/>
  <c r="B475" i="96"/>
  <c r="B476" i="96"/>
  <c r="B477" i="96"/>
  <c r="B478" i="96"/>
  <c r="B479" i="96"/>
  <c r="B480" i="96"/>
  <c r="B481" i="96"/>
  <c r="B482" i="96"/>
  <c r="B483" i="96"/>
  <c r="B484" i="96"/>
  <c r="B485" i="96"/>
  <c r="B486" i="96"/>
  <c r="B487" i="96"/>
  <c r="B488" i="96"/>
  <c r="B489" i="96"/>
  <c r="B490" i="96"/>
  <c r="B491" i="96"/>
  <c r="B492" i="96"/>
  <c r="B493" i="96"/>
  <c r="B494" i="96"/>
  <c r="B495" i="96"/>
  <c r="B496" i="96"/>
  <c r="B497" i="96"/>
  <c r="B498" i="96"/>
  <c r="B499" i="96"/>
  <c r="B500" i="96"/>
  <c r="B501" i="96"/>
  <c r="B502" i="96"/>
  <c r="B503" i="96"/>
  <c r="B504" i="96"/>
  <c r="B505" i="96"/>
  <c r="B506" i="96"/>
  <c r="B507" i="96"/>
  <c r="B508" i="96"/>
  <c r="B509" i="96"/>
  <c r="B510" i="96"/>
  <c r="B511" i="96"/>
  <c r="B512" i="96"/>
  <c r="B513" i="96"/>
  <c r="B514" i="96"/>
  <c r="B515" i="96"/>
  <c r="B516" i="96"/>
  <c r="B517" i="96"/>
  <c r="B518" i="96"/>
  <c r="B519" i="96"/>
  <c r="B520" i="96"/>
  <c r="B521" i="96"/>
  <c r="B522" i="96"/>
  <c r="B523" i="96"/>
  <c r="B524" i="96"/>
  <c r="B525" i="96"/>
  <c r="B526" i="96"/>
  <c r="B527" i="96"/>
  <c r="B528" i="96"/>
  <c r="B529" i="96"/>
  <c r="B530" i="96"/>
  <c r="B531" i="96"/>
  <c r="B532" i="96"/>
  <c r="B533" i="96"/>
  <c r="B534" i="96"/>
  <c r="B535" i="96"/>
  <c r="B536" i="96"/>
  <c r="B537" i="96"/>
  <c r="B538" i="96"/>
  <c r="B539" i="96"/>
  <c r="B540" i="96"/>
  <c r="B541" i="96"/>
  <c r="B542" i="96"/>
  <c r="B543" i="96"/>
  <c r="B544" i="96"/>
  <c r="B545" i="96"/>
  <c r="B546" i="96"/>
  <c r="B547" i="96"/>
  <c r="B548" i="96"/>
  <c r="B549" i="96"/>
  <c r="B550" i="96"/>
  <c r="B551" i="96"/>
  <c r="B552" i="96"/>
  <c r="B553" i="96"/>
  <c r="B554" i="96"/>
  <c r="B555" i="96"/>
  <c r="B556" i="96"/>
  <c r="B557" i="96"/>
  <c r="B558" i="96"/>
  <c r="B559" i="96"/>
  <c r="B560" i="96"/>
  <c r="B561" i="96"/>
  <c r="B562" i="96"/>
  <c r="B563" i="96"/>
  <c r="B564" i="96"/>
  <c r="B565" i="96"/>
  <c r="B566" i="96"/>
  <c r="B567" i="96"/>
  <c r="B568" i="96"/>
  <c r="B569" i="96"/>
  <c r="B570" i="96"/>
  <c r="B571" i="96"/>
  <c r="B572" i="96"/>
  <c r="B573" i="96"/>
  <c r="B574" i="96"/>
  <c r="B575" i="96"/>
  <c r="B576" i="96"/>
  <c r="B577" i="96"/>
  <c r="B578" i="96"/>
  <c r="B579" i="96"/>
  <c r="B580" i="96"/>
  <c r="B581" i="96"/>
  <c r="B582" i="96"/>
  <c r="B583" i="96"/>
  <c r="B584" i="96"/>
  <c r="B585" i="96"/>
  <c r="B586" i="96"/>
  <c r="B587" i="96"/>
  <c r="B588" i="96"/>
  <c r="B589" i="96"/>
  <c r="B590" i="96"/>
  <c r="B591" i="96"/>
  <c r="B592" i="96"/>
  <c r="B593" i="96"/>
  <c r="B594" i="96"/>
  <c r="B595" i="96"/>
  <c r="B596" i="96"/>
  <c r="B597" i="96"/>
  <c r="B598" i="96"/>
  <c r="B599" i="96"/>
  <c r="B600" i="96"/>
  <c r="B601" i="96"/>
  <c r="B602" i="96"/>
  <c r="B603" i="96"/>
  <c r="B604" i="96"/>
  <c r="B605" i="96"/>
  <c r="B606" i="96"/>
  <c r="B607" i="96"/>
  <c r="B608" i="96"/>
  <c r="B609" i="96"/>
  <c r="B610" i="96"/>
  <c r="B611" i="96"/>
  <c r="B612" i="96"/>
  <c r="B613" i="96"/>
  <c r="B614" i="96"/>
  <c r="B615" i="96"/>
  <c r="B616" i="96"/>
  <c r="B617" i="96"/>
  <c r="B618" i="96"/>
  <c r="B619" i="96"/>
  <c r="B620" i="96"/>
  <c r="B621" i="96"/>
  <c r="B622" i="96"/>
  <c r="B623" i="96"/>
  <c r="B624" i="96"/>
  <c r="B625" i="96"/>
  <c r="B626" i="96"/>
  <c r="B627" i="96"/>
  <c r="B628" i="96"/>
  <c r="B629" i="96"/>
  <c r="B630" i="96"/>
  <c r="B631" i="96"/>
  <c r="B632" i="96"/>
  <c r="B633" i="96"/>
  <c r="B634" i="96"/>
  <c r="B635" i="96"/>
  <c r="B636" i="96"/>
  <c r="B637" i="96"/>
  <c r="B638" i="96"/>
  <c r="B639" i="96"/>
  <c r="B640" i="96"/>
  <c r="B641" i="96"/>
  <c r="B642" i="96"/>
  <c r="B643" i="96"/>
  <c r="B644" i="96"/>
  <c r="B645" i="96"/>
  <c r="B646" i="96"/>
  <c r="B647" i="96"/>
  <c r="B648" i="96"/>
  <c r="B649" i="96"/>
  <c r="B650" i="96"/>
  <c r="B651" i="96"/>
  <c r="B652" i="96"/>
  <c r="B653" i="96"/>
  <c r="B654" i="96"/>
  <c r="B655" i="96"/>
  <c r="B656" i="96"/>
  <c r="B657" i="96"/>
  <c r="B658" i="96"/>
  <c r="B659" i="96"/>
  <c r="B660" i="96"/>
  <c r="B661" i="96"/>
  <c r="B662" i="96"/>
  <c r="B663" i="96"/>
  <c r="B664" i="96"/>
  <c r="B665" i="96"/>
  <c r="B666" i="96"/>
  <c r="B667" i="96"/>
  <c r="B668" i="96"/>
  <c r="B669" i="96"/>
  <c r="B670" i="96"/>
  <c r="B671" i="96"/>
  <c r="B672" i="96"/>
  <c r="B673" i="96"/>
  <c r="B674" i="96"/>
  <c r="B675" i="96"/>
  <c r="B676" i="96"/>
  <c r="B677" i="96"/>
  <c r="B678" i="96"/>
  <c r="B679" i="96"/>
  <c r="B680" i="96"/>
  <c r="B681" i="96"/>
  <c r="B682" i="96"/>
  <c r="B683" i="96"/>
  <c r="B684" i="96"/>
  <c r="B685" i="96"/>
  <c r="B686" i="96"/>
  <c r="B687" i="96"/>
  <c r="B688" i="96"/>
  <c r="B689" i="96"/>
  <c r="B690" i="96"/>
  <c r="B691" i="96"/>
  <c r="B692" i="96"/>
  <c r="B693" i="96"/>
  <c r="B694" i="96"/>
  <c r="B695" i="96"/>
  <c r="B696" i="96"/>
  <c r="B697" i="96"/>
  <c r="B698" i="96"/>
  <c r="B699" i="96"/>
  <c r="B700" i="96"/>
  <c r="B701" i="96"/>
  <c r="B702" i="96"/>
  <c r="B703" i="96"/>
  <c r="B704" i="96"/>
  <c r="B705" i="96"/>
  <c r="B706" i="96"/>
  <c r="B707" i="96"/>
  <c r="B708" i="96"/>
  <c r="B709" i="96"/>
  <c r="B710" i="96"/>
  <c r="B711" i="96"/>
  <c r="B712" i="96"/>
  <c r="B713" i="96"/>
  <c r="B714" i="96"/>
  <c r="B715" i="96"/>
  <c r="B716" i="96"/>
  <c r="B717" i="96"/>
  <c r="B718" i="96"/>
  <c r="B719" i="96"/>
  <c r="B720" i="96"/>
  <c r="B721" i="96"/>
  <c r="B722" i="96"/>
  <c r="B723" i="96"/>
  <c r="B724" i="96"/>
  <c r="B725" i="96"/>
  <c r="B726" i="96"/>
  <c r="B727" i="96"/>
  <c r="B728" i="96"/>
  <c r="B729" i="96"/>
  <c r="B730" i="96"/>
  <c r="B731" i="96"/>
  <c r="B732" i="96"/>
  <c r="B733" i="96"/>
  <c r="B734" i="96"/>
  <c r="B735" i="96"/>
  <c r="B736" i="96"/>
  <c r="B737" i="96"/>
  <c r="B738" i="96"/>
  <c r="B739" i="96"/>
  <c r="B740" i="96"/>
  <c r="B741" i="96"/>
  <c r="B742" i="96"/>
  <c r="B743" i="96"/>
  <c r="B744" i="96"/>
  <c r="B745" i="96"/>
  <c r="B746" i="96"/>
  <c r="B747" i="96"/>
  <c r="B748" i="96"/>
  <c r="B749" i="96"/>
  <c r="B750" i="96"/>
  <c r="B751" i="96"/>
  <c r="B752" i="96"/>
  <c r="B753" i="96"/>
  <c r="B754" i="96"/>
  <c r="B755" i="96"/>
  <c r="B756" i="96"/>
  <c r="B757" i="96"/>
  <c r="B758" i="96"/>
  <c r="B759" i="96"/>
  <c r="B760" i="96"/>
  <c r="B761" i="96"/>
  <c r="B762" i="96"/>
  <c r="B763" i="96"/>
  <c r="B764" i="96"/>
  <c r="B765" i="96"/>
  <c r="B766" i="96"/>
  <c r="B767" i="96"/>
  <c r="B768" i="96"/>
  <c r="B769" i="96"/>
  <c r="B770" i="96"/>
  <c r="B771" i="96"/>
  <c r="B772" i="96"/>
  <c r="B773" i="96"/>
  <c r="B774" i="96"/>
  <c r="B775" i="96"/>
  <c r="B776" i="96"/>
  <c r="B777" i="96"/>
  <c r="B778" i="96"/>
  <c r="B779" i="96"/>
  <c r="B780" i="96"/>
  <c r="B781" i="96"/>
  <c r="B782" i="96"/>
  <c r="B783" i="96"/>
  <c r="B784" i="96"/>
  <c r="B785" i="96"/>
  <c r="B786" i="96"/>
  <c r="B787" i="96"/>
  <c r="B788" i="96"/>
  <c r="B789" i="96"/>
  <c r="B790" i="96"/>
  <c r="B791" i="96"/>
  <c r="B792" i="96"/>
  <c r="B793" i="96"/>
  <c r="B794" i="96"/>
  <c r="B795" i="96"/>
  <c r="B796" i="96"/>
  <c r="B797" i="96"/>
  <c r="B798" i="96"/>
  <c r="B799" i="96"/>
  <c r="B800" i="96"/>
  <c r="B801" i="96"/>
  <c r="B802" i="96"/>
  <c r="B803" i="96"/>
  <c r="B804" i="96"/>
  <c r="B805" i="96"/>
  <c r="B806" i="96"/>
  <c r="B807" i="96"/>
  <c r="B808" i="96"/>
  <c r="B809" i="96"/>
  <c r="B810" i="96"/>
  <c r="B811" i="96"/>
  <c r="B812" i="96"/>
  <c r="B813" i="96"/>
  <c r="B814" i="96"/>
  <c r="B815" i="96"/>
  <c r="B816" i="96"/>
  <c r="B817" i="96"/>
  <c r="B818" i="96"/>
  <c r="B819" i="96"/>
  <c r="B820" i="96"/>
  <c r="B821" i="96"/>
  <c r="B822" i="96"/>
  <c r="B823" i="96"/>
  <c r="B824" i="96"/>
  <c r="B825" i="96"/>
  <c r="B826" i="96"/>
  <c r="B827" i="96"/>
  <c r="B828" i="96"/>
  <c r="B829" i="96"/>
  <c r="B830" i="96"/>
  <c r="B831" i="96"/>
  <c r="B832" i="96"/>
  <c r="B833" i="96"/>
  <c r="B834" i="96"/>
  <c r="B835" i="96"/>
  <c r="B836" i="96"/>
  <c r="B837" i="96"/>
  <c r="B838" i="96"/>
  <c r="B839" i="96"/>
  <c r="B840" i="96"/>
  <c r="B841" i="96"/>
  <c r="B842" i="96"/>
  <c r="B843" i="96"/>
  <c r="B844" i="96"/>
  <c r="B845" i="96"/>
  <c r="B846" i="96"/>
  <c r="B847" i="96"/>
  <c r="B848" i="96"/>
  <c r="B849" i="96"/>
  <c r="B850" i="96"/>
  <c r="B851" i="96"/>
  <c r="B852" i="96"/>
  <c r="B853" i="96"/>
  <c r="B854" i="96"/>
  <c r="B855" i="96"/>
  <c r="B856" i="96"/>
  <c r="B857" i="96"/>
  <c r="B858" i="96"/>
  <c r="B859" i="96"/>
  <c r="B860" i="96"/>
  <c r="B861" i="96"/>
  <c r="B862" i="96"/>
  <c r="B863" i="96"/>
  <c r="B864" i="96"/>
  <c r="B865" i="96"/>
  <c r="B866" i="96"/>
  <c r="B867" i="96"/>
  <c r="B868" i="96"/>
  <c r="B869" i="96"/>
  <c r="B870" i="96"/>
  <c r="B871" i="96"/>
  <c r="B872" i="96"/>
  <c r="B873" i="96"/>
  <c r="B874" i="96"/>
  <c r="B875" i="96"/>
  <c r="B876" i="96"/>
  <c r="B877" i="96"/>
  <c r="B878" i="96"/>
  <c r="B879" i="96"/>
  <c r="B880" i="96"/>
  <c r="B881" i="96"/>
  <c r="B882" i="96"/>
  <c r="B883" i="96"/>
  <c r="B884" i="96"/>
  <c r="B885" i="96"/>
  <c r="B886" i="96"/>
  <c r="B887" i="96"/>
  <c r="B888" i="96"/>
  <c r="B889" i="96"/>
  <c r="B890" i="96"/>
  <c r="B891" i="96"/>
  <c r="B892" i="96"/>
  <c r="B893" i="96"/>
  <c r="B894" i="96"/>
  <c r="B895" i="96"/>
  <c r="B896" i="96"/>
  <c r="B897" i="96"/>
  <c r="B898" i="96"/>
  <c r="B899" i="96"/>
  <c r="B900" i="96"/>
  <c r="B901" i="96"/>
  <c r="B902" i="96"/>
  <c r="B903" i="96"/>
  <c r="B904" i="96"/>
  <c r="B905" i="96"/>
  <c r="B906" i="96"/>
  <c r="B907" i="96"/>
  <c r="B908" i="96"/>
  <c r="B909" i="96"/>
  <c r="B910" i="96"/>
  <c r="B911" i="96"/>
  <c r="B912" i="96"/>
  <c r="B913" i="96"/>
  <c r="B914" i="96"/>
  <c r="B915" i="96"/>
  <c r="B916" i="96"/>
  <c r="B917" i="96"/>
  <c r="B918" i="96"/>
  <c r="B919" i="96"/>
  <c r="B920" i="96"/>
  <c r="B921" i="96"/>
  <c r="B922" i="96"/>
  <c r="B923" i="96"/>
  <c r="B924" i="96"/>
  <c r="B925" i="96"/>
  <c r="B926" i="96"/>
  <c r="B927" i="96"/>
  <c r="B928" i="96"/>
  <c r="B929" i="96"/>
  <c r="B930" i="96"/>
  <c r="B931" i="96"/>
  <c r="B932" i="96"/>
  <c r="B933" i="96"/>
  <c r="B934" i="96"/>
  <c r="B935" i="96"/>
  <c r="B936" i="96"/>
  <c r="B937" i="96"/>
  <c r="B938" i="96"/>
  <c r="B939" i="96"/>
  <c r="B940" i="96"/>
  <c r="B941" i="96"/>
  <c r="B942" i="96"/>
  <c r="B943" i="96"/>
  <c r="B944" i="96"/>
  <c r="B945" i="96"/>
  <c r="B946" i="96"/>
  <c r="B947" i="96"/>
  <c r="B948" i="96"/>
  <c r="B949" i="96"/>
  <c r="B950" i="96"/>
  <c r="B951" i="96"/>
  <c r="B952" i="96"/>
  <c r="B953" i="96"/>
  <c r="B954" i="96"/>
  <c r="B955" i="96"/>
  <c r="B956" i="96"/>
  <c r="B957" i="96"/>
  <c r="B958" i="96"/>
  <c r="B959" i="96"/>
  <c r="B960" i="96"/>
  <c r="B961" i="96"/>
  <c r="B962" i="96"/>
  <c r="B963" i="96"/>
  <c r="B964" i="96"/>
  <c r="B965" i="96"/>
  <c r="B966" i="96"/>
  <c r="B967" i="96"/>
  <c r="B968" i="96"/>
  <c r="B969" i="96"/>
  <c r="B970" i="96"/>
  <c r="B971" i="96"/>
  <c r="B972" i="96"/>
  <c r="B973" i="96"/>
  <c r="B974" i="96"/>
  <c r="B975" i="96"/>
  <c r="B976" i="96"/>
  <c r="B977" i="96"/>
  <c r="B978" i="96"/>
  <c r="B979" i="96"/>
  <c r="B980" i="96"/>
  <c r="B981" i="96"/>
  <c r="B982" i="96"/>
  <c r="B983" i="96"/>
  <c r="B984" i="96"/>
  <c r="B985" i="96"/>
  <c r="B986" i="96"/>
  <c r="B987" i="96"/>
  <c r="B988" i="96"/>
  <c r="B989" i="96"/>
  <c r="B990" i="96"/>
  <c r="B991" i="96"/>
  <c r="B992" i="96"/>
  <c r="B993" i="96"/>
  <c r="B994" i="96"/>
  <c r="B995" i="96"/>
  <c r="B996" i="96"/>
  <c r="B997" i="96"/>
  <c r="B998" i="96"/>
  <c r="B999" i="96"/>
  <c r="B1000" i="96"/>
  <c r="B1001" i="96"/>
  <c r="B1002" i="96"/>
  <c r="E8" i="95" a="1"/>
  <c r="E8" i="95"/>
  <c r="E8" i="94" a="1"/>
  <c r="E8" i="94" s="1"/>
  <c r="C5" i="88"/>
  <c r="D5" i="88"/>
  <c r="E5" i="88"/>
  <c r="F5" i="88"/>
  <c r="G5" i="88"/>
  <c r="C6" i="88"/>
  <c r="D6" i="88"/>
  <c r="E6" i="88"/>
  <c r="F6" i="88"/>
  <c r="G6" i="88"/>
  <c r="C7" i="88"/>
  <c r="D7" i="88"/>
  <c r="E7" i="88"/>
  <c r="F7" i="88"/>
  <c r="G7" i="88"/>
  <c r="C8" i="88"/>
  <c r="D8" i="88"/>
  <c r="E8" i="88"/>
  <c r="F8" i="88"/>
  <c r="G8" i="88"/>
  <c r="C9" i="88"/>
  <c r="D9" i="88"/>
  <c r="E9" i="88"/>
  <c r="F9" i="88"/>
  <c r="G9" i="88"/>
  <c r="C10" i="88"/>
  <c r="D10" i="88"/>
  <c r="E10" i="88"/>
  <c r="F10" i="88"/>
  <c r="G10" i="88"/>
  <c r="C11" i="88"/>
  <c r="D11" i="88"/>
  <c r="E11" i="88"/>
  <c r="F11" i="88"/>
  <c r="G11" i="88"/>
  <c r="C12" i="88"/>
  <c r="D12" i="88"/>
  <c r="E12" i="88"/>
  <c r="F12" i="88"/>
  <c r="G12" i="88"/>
  <c r="C13" i="88"/>
  <c r="D13" i="88"/>
  <c r="E13" i="88"/>
  <c r="F13" i="88"/>
  <c r="G13" i="88"/>
  <c r="C14" i="88"/>
  <c r="D14" i="88"/>
  <c r="E14" i="88"/>
  <c r="F14" i="88"/>
  <c r="G14" i="88"/>
  <c r="C15" i="88"/>
  <c r="D15" i="88"/>
  <c r="E15" i="88"/>
  <c r="F15" i="88"/>
  <c r="G15" i="88"/>
  <c r="C16" i="88"/>
  <c r="D16" i="88"/>
  <c r="E16" i="88"/>
  <c r="F16" i="88"/>
  <c r="G16" i="88"/>
  <c r="C17" i="88"/>
  <c r="D17" i="88"/>
  <c r="E17" i="88"/>
  <c r="F17" i="88"/>
  <c r="G17" i="88"/>
  <c r="C18" i="88"/>
  <c r="D18" i="88"/>
  <c r="E18" i="88"/>
  <c r="F18" i="88"/>
  <c r="G18" i="88"/>
  <c r="C19" i="88"/>
  <c r="D19" i="88"/>
  <c r="E19" i="88"/>
  <c r="F19" i="88"/>
  <c r="G19" i="88"/>
  <c r="C20" i="88"/>
  <c r="D20" i="88"/>
  <c r="E20" i="88"/>
  <c r="F20" i="88"/>
  <c r="G20" i="88"/>
  <c r="C21" i="88"/>
  <c r="D21" i="88"/>
  <c r="E21" i="88"/>
  <c r="F21" i="88"/>
  <c r="G21" i="88"/>
  <c r="C22" i="88"/>
  <c r="D22" i="88"/>
  <c r="E22" i="88"/>
  <c r="F22" i="88"/>
  <c r="G22" i="88"/>
  <c r="C23" i="88"/>
  <c r="D23" i="88"/>
  <c r="E23" i="88"/>
  <c r="F23" i="88"/>
  <c r="G23" i="88"/>
  <c r="C24" i="88"/>
  <c r="D24" i="88"/>
  <c r="E24" i="88"/>
  <c r="F24" i="88"/>
  <c r="G24" i="88"/>
  <c r="C25" i="88"/>
  <c r="D25" i="88"/>
  <c r="E25" i="88"/>
  <c r="F25" i="88"/>
  <c r="G25" i="88"/>
  <c r="C26" i="88"/>
  <c r="D26" i="88"/>
  <c r="E26" i="88"/>
  <c r="F26" i="88"/>
  <c r="G26" i="88"/>
  <c r="C27" i="88"/>
  <c r="D27" i="88"/>
  <c r="E27" i="88"/>
  <c r="F27" i="88"/>
  <c r="G27" i="88"/>
  <c r="C28" i="88"/>
  <c r="D28" i="88"/>
  <c r="E28" i="88"/>
  <c r="F28" i="88"/>
  <c r="G28" i="88"/>
  <c r="C29" i="88"/>
  <c r="D29" i="88"/>
  <c r="E29" i="88"/>
  <c r="F29" i="88"/>
  <c r="G29" i="88"/>
  <c r="C30" i="88"/>
  <c r="D30" i="88"/>
  <c r="E30" i="88"/>
  <c r="F30" i="88"/>
  <c r="G30" i="88"/>
  <c r="C31" i="88"/>
  <c r="D31" i="88"/>
  <c r="E31" i="88"/>
  <c r="F31" i="88"/>
  <c r="G31" i="88"/>
  <c r="C32" i="88"/>
  <c r="D32" i="88"/>
  <c r="E32" i="88"/>
  <c r="F32" i="88"/>
  <c r="G32" i="88"/>
  <c r="C33" i="88"/>
  <c r="D33" i="88"/>
  <c r="E33" i="88"/>
  <c r="F33" i="88"/>
  <c r="G33" i="88"/>
  <c r="C34" i="88"/>
  <c r="D34" i="88"/>
  <c r="E34" i="88"/>
  <c r="F34" i="88"/>
  <c r="G34" i="88"/>
  <c r="C5" i="87"/>
  <c r="D5" i="87"/>
  <c r="E5" i="87"/>
  <c r="F5" i="87"/>
  <c r="G5" i="87"/>
  <c r="C6" i="87"/>
  <c r="D6" i="87"/>
  <c r="E6" i="87"/>
  <c r="F6" i="87"/>
  <c r="G6" i="87"/>
  <c r="C7" i="87"/>
  <c r="D7" i="87"/>
  <c r="E7" i="87"/>
  <c r="F7" i="87"/>
  <c r="G7" i="87"/>
  <c r="C8" i="87"/>
  <c r="D8" i="87"/>
  <c r="E8" i="87"/>
  <c r="F8" i="87"/>
  <c r="G8" i="87"/>
  <c r="C9" i="87"/>
  <c r="D9" i="87"/>
  <c r="E9" i="87"/>
  <c r="F9" i="87"/>
  <c r="G9" i="87"/>
  <c r="C10" i="87"/>
  <c r="D10" i="87"/>
  <c r="E10" i="87"/>
  <c r="F10" i="87"/>
  <c r="G10" i="87"/>
  <c r="C11" i="87"/>
  <c r="D11" i="87"/>
  <c r="E11" i="87"/>
  <c r="F11" i="87"/>
  <c r="G11" i="87"/>
  <c r="C12" i="87"/>
  <c r="D12" i="87"/>
  <c r="E12" i="87"/>
  <c r="F12" i="87"/>
  <c r="G12" i="87"/>
  <c r="C13" i="87"/>
  <c r="D13" i="87"/>
  <c r="E13" i="87"/>
  <c r="F13" i="87"/>
  <c r="G13" i="87"/>
  <c r="C14" i="87"/>
  <c r="D14" i="87"/>
  <c r="E14" i="87"/>
  <c r="F14" i="87"/>
  <c r="G14" i="87"/>
  <c r="C15" i="87"/>
  <c r="D15" i="87"/>
  <c r="E15" i="87"/>
  <c r="F15" i="87"/>
  <c r="G15" i="87"/>
  <c r="C16" i="87"/>
  <c r="D16" i="87"/>
  <c r="E16" i="87"/>
  <c r="F16" i="87"/>
  <c r="G16" i="87"/>
  <c r="C17" i="87"/>
  <c r="D17" i="87"/>
  <c r="E17" i="87"/>
  <c r="F17" i="87"/>
  <c r="G17" i="87"/>
  <c r="C18" i="87"/>
  <c r="D18" i="87"/>
  <c r="E18" i="87"/>
  <c r="F18" i="87"/>
  <c r="G18" i="87"/>
  <c r="C19" i="87"/>
  <c r="D19" i="87"/>
  <c r="E19" i="87"/>
  <c r="F19" i="87"/>
  <c r="G19" i="87"/>
  <c r="C20" i="87"/>
  <c r="D20" i="87"/>
  <c r="E20" i="87"/>
  <c r="F20" i="87"/>
  <c r="G20" i="87"/>
  <c r="C21" i="87"/>
  <c r="D21" i="87"/>
  <c r="E21" i="87"/>
  <c r="F21" i="87"/>
  <c r="G21" i="87"/>
  <c r="C22" i="87"/>
  <c r="D22" i="87"/>
  <c r="E22" i="87"/>
  <c r="F22" i="87"/>
  <c r="G22" i="87"/>
  <c r="C23" i="87"/>
  <c r="D23" i="87"/>
  <c r="E23" i="87"/>
  <c r="F23" i="87"/>
  <c r="G23" i="87"/>
  <c r="C24" i="87"/>
  <c r="D24" i="87"/>
  <c r="E24" i="87"/>
  <c r="F24" i="87"/>
  <c r="G24" i="87"/>
  <c r="C25" i="87"/>
  <c r="D25" i="87"/>
  <c r="E25" i="87"/>
  <c r="F25" i="87"/>
  <c r="G25" i="87"/>
  <c r="C26" i="87"/>
  <c r="D26" i="87"/>
  <c r="E26" i="87"/>
  <c r="F26" i="87"/>
  <c r="G26" i="87"/>
  <c r="C27" i="87"/>
  <c r="D27" i="87"/>
  <c r="E27" i="87"/>
  <c r="F27" i="87"/>
  <c r="G27" i="87"/>
  <c r="C28" i="87"/>
  <c r="D28" i="87"/>
  <c r="E28" i="87"/>
  <c r="F28" i="87"/>
  <c r="G28" i="87"/>
  <c r="C29" i="87"/>
  <c r="D29" i="87"/>
  <c r="E29" i="87"/>
  <c r="F29" i="87"/>
  <c r="G29" i="87"/>
  <c r="C30" i="87"/>
  <c r="D30" i="87"/>
  <c r="E30" i="87"/>
  <c r="F30" i="87"/>
  <c r="G30" i="87"/>
  <c r="C31" i="87"/>
  <c r="D31" i="87"/>
  <c r="E31" i="87"/>
  <c r="F31" i="87"/>
  <c r="G31" i="87"/>
  <c r="C32" i="87"/>
  <c r="D32" i="87"/>
  <c r="E32" i="87"/>
  <c r="F32" i="87"/>
  <c r="G32" i="87"/>
  <c r="C33" i="87"/>
  <c r="D33" i="87"/>
  <c r="E33" i="87"/>
  <c r="F33" i="87"/>
  <c r="G33" i="87"/>
  <c r="C34" i="87"/>
  <c r="D34" i="87"/>
  <c r="E34" i="87"/>
  <c r="F34" i="87"/>
  <c r="G34" i="87"/>
  <c r="C5" i="86"/>
  <c r="D5" i="86"/>
  <c r="E5" i="86"/>
  <c r="F5" i="86"/>
  <c r="G5" i="86"/>
  <c r="C6" i="86"/>
  <c r="D6" i="86"/>
  <c r="E6" i="86"/>
  <c r="F6" i="86"/>
  <c r="G6" i="86"/>
  <c r="C7" i="86"/>
  <c r="D7" i="86"/>
  <c r="E7" i="86"/>
  <c r="F7" i="86"/>
  <c r="G7" i="86"/>
  <c r="C8" i="86"/>
  <c r="D8" i="86"/>
  <c r="E8" i="86"/>
  <c r="F8" i="86"/>
  <c r="G8" i="86"/>
  <c r="C9" i="86"/>
  <c r="D9" i="86"/>
  <c r="E9" i="86"/>
  <c r="F9" i="86"/>
  <c r="G9" i="86"/>
  <c r="C10" i="86"/>
  <c r="D10" i="86"/>
  <c r="E10" i="86"/>
  <c r="F10" i="86"/>
  <c r="G10" i="86"/>
  <c r="C11" i="86"/>
  <c r="D11" i="86"/>
  <c r="E11" i="86"/>
  <c r="F11" i="86"/>
  <c r="G11" i="86"/>
  <c r="C12" i="86"/>
  <c r="D12" i="86"/>
  <c r="E12" i="86"/>
  <c r="F12" i="86"/>
  <c r="G12" i="86"/>
  <c r="C13" i="86"/>
  <c r="D13" i="86"/>
  <c r="E13" i="86"/>
  <c r="F13" i="86"/>
  <c r="G13" i="86"/>
  <c r="C14" i="86"/>
  <c r="D14" i="86"/>
  <c r="E14" i="86"/>
  <c r="F14" i="86"/>
  <c r="G14" i="86"/>
  <c r="C15" i="86"/>
  <c r="D15" i="86"/>
  <c r="E15" i="86"/>
  <c r="F15" i="86"/>
  <c r="G15" i="86"/>
  <c r="C16" i="86"/>
  <c r="D16" i="86"/>
  <c r="E16" i="86"/>
  <c r="F16" i="86"/>
  <c r="G16" i="86"/>
  <c r="C17" i="86"/>
  <c r="D17" i="86"/>
  <c r="E17" i="86"/>
  <c r="F17" i="86"/>
  <c r="G17" i="86"/>
  <c r="C18" i="86"/>
  <c r="D18" i="86"/>
  <c r="E18" i="86"/>
  <c r="F18" i="86"/>
  <c r="G18" i="86"/>
  <c r="C19" i="86"/>
  <c r="D19" i="86"/>
  <c r="E19" i="86"/>
  <c r="F19" i="86"/>
  <c r="G19" i="86"/>
  <c r="C20" i="86"/>
  <c r="D20" i="86"/>
  <c r="E20" i="86"/>
  <c r="F20" i="86"/>
  <c r="G20" i="86"/>
  <c r="C21" i="86"/>
  <c r="D21" i="86"/>
  <c r="E21" i="86"/>
  <c r="F21" i="86"/>
  <c r="G21" i="86"/>
  <c r="C22" i="86"/>
  <c r="D22" i="86"/>
  <c r="E22" i="86"/>
  <c r="F22" i="86"/>
  <c r="G22" i="86"/>
  <c r="C23" i="86"/>
  <c r="D23" i="86"/>
  <c r="E23" i="86"/>
  <c r="F23" i="86"/>
  <c r="G23" i="86"/>
  <c r="C24" i="86"/>
  <c r="D24" i="86"/>
  <c r="E24" i="86"/>
  <c r="F24" i="86"/>
  <c r="G24" i="86"/>
  <c r="C25" i="86"/>
  <c r="D25" i="86"/>
  <c r="E25" i="86"/>
  <c r="F25" i="86"/>
  <c r="G25" i="86"/>
  <c r="C26" i="86"/>
  <c r="D26" i="86"/>
  <c r="E26" i="86"/>
  <c r="F26" i="86"/>
  <c r="G26" i="86"/>
  <c r="C27" i="86"/>
  <c r="D27" i="86"/>
  <c r="E27" i="86"/>
  <c r="F27" i="86"/>
  <c r="G27" i="86"/>
  <c r="C28" i="86"/>
  <c r="D28" i="86"/>
  <c r="E28" i="86"/>
  <c r="F28" i="86"/>
  <c r="G28" i="86"/>
  <c r="C29" i="86"/>
  <c r="D29" i="86"/>
  <c r="E29" i="86"/>
  <c r="F29" i="86"/>
  <c r="G29" i="86"/>
  <c r="C30" i="86"/>
  <c r="D30" i="86"/>
  <c r="E30" i="86"/>
  <c r="F30" i="86"/>
  <c r="G30" i="86"/>
  <c r="C31" i="86"/>
  <c r="D31" i="86"/>
  <c r="E31" i="86"/>
  <c r="F31" i="86"/>
  <c r="G31" i="86"/>
  <c r="C32" i="86"/>
  <c r="D32" i="86"/>
  <c r="E32" i="86"/>
  <c r="F32" i="86"/>
  <c r="G32" i="86"/>
  <c r="C33" i="86"/>
  <c r="D33" i="86"/>
  <c r="E33" i="86"/>
  <c r="F33" i="86"/>
  <c r="G33" i="86"/>
  <c r="C34" i="86"/>
  <c r="D34" i="86"/>
  <c r="E34" i="86"/>
  <c r="F34" i="86"/>
  <c r="G34" i="86"/>
  <c r="E7" i="96" l="1"/>
  <c r="K3" i="96" s="1"/>
  <c r="F7" i="96"/>
  <c r="J3" i="96" s="1"/>
  <c r="E7" i="97"/>
  <c r="K3" i="97" s="1"/>
  <c r="F7" i="97"/>
  <c r="J3" i="97" s="1"/>
  <c r="E7" i="98"/>
  <c r="E10" i="98" s="1"/>
  <c r="K3" i="98" s="1"/>
  <c r="F7" i="98"/>
  <c r="F10" i="98" s="1"/>
  <c r="J3" i="98" s="1"/>
  <c r="I2" i="63" l="1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F2" i="62" l="1"/>
  <c r="G57" i="62" s="1"/>
  <c r="D2" i="63" a="1"/>
  <c r="H5" i="62"/>
  <c r="I5" i="62" s="1"/>
  <c r="H8" i="62" s="1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H2" i="62" l="1" a="1"/>
  <c r="H2" i="62" s="1"/>
  <c r="K2" i="62" s="1"/>
  <c r="F2" i="63"/>
  <c r="H5" i="63"/>
  <c r="I5" i="63" s="1"/>
  <c r="H8" i="63" l="1"/>
  <c r="K8" i="63" s="1"/>
  <c r="N3" i="63" s="1"/>
  <c r="H14" i="63" l="1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H2" i="63" l="1" a="1"/>
  <c r="H2" i="63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<sst xmlns="http://schemas.openxmlformats.org/spreadsheetml/2006/main" count="17902" uniqueCount="241">
  <si>
    <t>p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</si>
  <si>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</si>
  <si>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</si>
  <si>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</si>
  <si>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</si>
  <si>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</si>
  <si>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</si>
  <si>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</si>
  <si>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</si>
  <si>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</si>
  <si>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</si>
  <si>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</si>
  <si>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</si>
  <si>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</si>
  <si>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Fit a regression model and find the best lambda .</t>
  </si>
  <si>
    <t>Optim_Shrinkage</t>
  </si>
  <si>
    <t>Optim_InAndOut</t>
  </si>
  <si>
    <t>LM_InAndOut</t>
  </si>
  <si>
    <t>Tools</t>
  </si>
  <si>
    <t>Setup_</t>
  </si>
  <si>
    <t>Explore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</si>
  <si>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</si>
  <si>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</si>
  <si>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</si>
  <si>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</si>
  <si>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</si>
  <si>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</si>
  <si>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</si>
  <si>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</si>
  <si>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</si>
  <si>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</si>
  <si>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</si>
  <si>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</si>
  <si>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</si>
  <si>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</si>
  <si>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</si>
  <si>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</si>
  <si>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</si>
  <si>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</si>
  <si>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</si>
  <si>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</si>
  <si>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</si>
  <si>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</si>
  <si>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</si>
  <si>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</si>
  <si>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</si>
  <si>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</si>
  <si>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</si>
  <si>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</si>
  <si>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</si>
  <si>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</si>
  <si>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</si>
  <si>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</si>
  <si>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</si>
  <si>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</si>
  <si>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</si>
  <si>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</si>
  <si>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</si>
  <si>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</si>
  <si>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</si>
  <si>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</si>
  <si>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</si>
  <si>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</si>
  <si>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</si>
  <si>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</si>
  <si>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</si>
  <si>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</si>
  <si>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</si>
  <si>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</si>
  <si>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</si>
  <si>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</si>
  <si>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</si>
  <si>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</si>
  <si>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</si>
  <si>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</si>
  <si>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</si>
  <si>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</si>
  <si>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</si>
  <si>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</si>
  <si>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</si>
  <si>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</si>
  <si>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</si>
  <si>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</si>
  <si>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</si>
  <si>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</si>
  <si>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</si>
  <si>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</si>
  <si>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</si>
  <si>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</si>
  <si>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</si>
  <si>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</si>
  <si>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</si>
  <si>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</si>
  <si>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</si>
  <si>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</si>
  <si>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</si>
  <si>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</si>
  <si>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</si>
  <si>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</si>
  <si>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</si>
  <si>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</si>
  <si>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</si>
  <si>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</si>
  <si>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</si>
  <si>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</si>
  <si>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</si>
  <si>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</si>
  <si>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</si>
  <si>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</si>
  <si>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</si>
  <si>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</si>
  <si>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</si>
  <si>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</si>
  <si>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</si>
  <si>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</si>
  <si>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</si>
  <si>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</si>
  <si>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</si>
  <si>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</si>
  <si>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</si>
  <si>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</si>
  <si>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</si>
  <si>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</si>
  <si>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</si>
  <si>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</si>
  <si>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</si>
  <si>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Perform a stepwise regression.</t>
  </si>
  <si>
    <t>Take two steps from any starting place.</t>
  </si>
  <si>
    <t>Table of AICs and variables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</si>
  <si>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</si>
  <si>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</si>
  <si>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</si>
  <si>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</si>
  <si>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</si>
  <si>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</si>
  <si>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</si>
  <si>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</si>
  <si>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</si>
  <si>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</si>
  <si>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</si>
  <si>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</si>
  <si>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</si>
  <si>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</si>
  <si>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</si>
  <si>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</si>
  <si>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</si>
  <si>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</si>
  <si>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</si>
  <si>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</si>
  <si>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</si>
  <si>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</si>
  <si>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</si>
  <si>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</si>
  <si>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</si>
  <si>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</si>
  <si>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</si>
  <si>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</si>
  <si>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</si>
  <si>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</si>
  <si>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</si>
  <si>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</si>
  <si>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</si>
  <si>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</si>
  <si>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</si>
  <si>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</si>
  <si>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</si>
  <si>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</si>
  <si>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</si>
  <si>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</si>
  <si>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</si>
  <si>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</si>
  <si>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</si>
  <si>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</si>
  <si>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</si>
  <si>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</si>
  <si>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</si>
  <si>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</si>
  <si>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</si>
  <si>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In R: data(Hitters, package = "ISLR")</t>
  </si>
  <si>
    <t>Your answer should display the following in this tab.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</si>
  <si>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</si>
  <si>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</si>
  <si>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</si>
  <si>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</si>
  <si>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</si>
  <si>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</si>
  <si>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</si>
  <si>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</si>
  <si>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</si>
  <si>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</si>
  <si>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</si>
  <si>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</si>
  <si>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</si>
  <si>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</si>
  <si>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</si>
  <si>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</si>
  <si>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</si>
  <si>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</si>
  <si>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</si>
  <si>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</si>
  <si>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AIC0</t>
  </si>
  <si>
    <t>Video</t>
  </si>
  <si>
    <t>AIC1</t>
  </si>
  <si>
    <t>Interaction2</t>
  </si>
  <si>
    <t>Interaction1</t>
  </si>
  <si>
    <t>Indicators</t>
  </si>
  <si>
    <t>Character_Factor</t>
  </si>
  <si>
    <t>DiffB0_Diff_B1</t>
  </si>
  <si>
    <t>SameB0_DiffB1</t>
  </si>
  <si>
    <t>DiffB0_SameB1</t>
  </si>
  <si>
    <t>X5</t>
  </si>
  <si>
    <t>X4</t>
  </si>
  <si>
    <t>X3</t>
  </si>
  <si>
    <t>X2</t>
  </si>
  <si>
    <t>X1</t>
  </si>
  <si>
    <t>t</t>
  </si>
  <si>
    <t>a</t>
  </si>
  <si>
    <t>b</t>
  </si>
  <si>
    <t>ROC_Generator</t>
  </si>
  <si>
    <t>ROC_Curve</t>
  </si>
  <si>
    <t>PPF_1</t>
  </si>
  <si>
    <t>PPF_0</t>
  </si>
  <si>
    <t>Sensitivity</t>
  </si>
  <si>
    <t>You are looking for cases of sickness.</t>
  </si>
  <si>
    <t>Can you detect what you are looking for?</t>
  </si>
  <si>
    <t>https://en.wikipedia.org/wiki/Precision_and_recall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</si>
  <si>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</si>
  <si>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</si>
  <si>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</si>
  <si>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</si>
  <si>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</si>
  <si>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</si>
  <si>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</si>
  <si>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</si>
  <si>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</si>
  <si>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</si>
  <si>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</si>
  <si>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How does switching from TNR to FNR help interpret the ROC in terms of risk?</t>
  </si>
  <si>
    <t>OOS</t>
  </si>
  <si>
    <t xml:space="preserve">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</si>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</sst>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4" borderId="0" xfId="0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0" fillId="2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5" borderId="0" xfId="0" applyFont="1" applyFill="1"/>
    <xf numFmtId="11" fontId="0" fillId="0" borderId="0" xfId="0" applyNumberForma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9" fillId="2" borderId="0" xfId="0" applyFont="1" applyFill="1"/>
    <xf numFmtId="9" fontId="9" fillId="2" borderId="0" xfId="0" applyNumberFormat="1" applyFont="1" applyFill="1"/>
    <xf numFmtId="9" fontId="9" fillId="2" borderId="0" xfId="2" applyFont="1" applyFill="1"/>
    <xf numFmtId="0" fontId="9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2" applyFont="1" applyFill="1"/>
    <xf numFmtId="9" fontId="0" fillId="3" borderId="0" xfId="2" applyFont="1" applyFill="1"/>
    <xf numFmtId="9" fontId="0" fillId="4" borderId="0" xfId="0" applyNumberFormat="1" applyFill="1"/>
    <xf numFmtId="0" fontId="1" fillId="6" borderId="0" xfId="0" applyFont="1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50" Type="http://schemas.openxmlformats.org/officeDocument/2006/relationships/externalLink" Target="externalLinks/externalLink12.xml"/><Relationship Id="rId55" Type="http://schemas.openxmlformats.org/officeDocument/2006/relationships/externalLink" Target="externalLinks/externalLink17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externalLink" Target="externalLinks/externalLink15.xml"/><Relationship Id="rId58" Type="http://schemas.openxmlformats.org/officeDocument/2006/relationships/externalLink" Target="externalLinks/externalLink20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18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59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externalLink" Target="externalLinks/externalLink16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1.xml"/><Relationship Id="rId57" Type="http://schemas.openxmlformats.org/officeDocument/2006/relationships/externalLink" Target="externalLinks/externalLink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externalLink" Target="externalLinks/externalLink14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DiffB0_SameB1!$C$4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DiffB0_SameB1!$C$5:$C$34</c:f>
              <c:numCache>
                <c:formatCode>0.0</c:formatCode>
                <c:ptCount val="30"/>
                <c:pt idx="0">
                  <c:v>13.685828191406859</c:v>
                </c:pt>
                <c:pt idx="1">
                  <c:v>7.4698874117110972</c:v>
                </c:pt>
                <c:pt idx="2">
                  <c:v>11.534469089336854</c:v>
                </c:pt>
                <c:pt idx="3">
                  <c:v>8.9230255555701188</c:v>
                </c:pt>
                <c:pt idx="4">
                  <c:v>22.371732563823159</c:v>
                </c:pt>
                <c:pt idx="5">
                  <c:v>12.767563988141838</c:v>
                </c:pt>
                <c:pt idx="6">
                  <c:v>19.100425568927104</c:v>
                </c:pt>
                <c:pt idx="7">
                  <c:v>20.7040577906231</c:v>
                </c:pt>
                <c:pt idx="8">
                  <c:v>15.871771084094387</c:v>
                </c:pt>
                <c:pt idx="9">
                  <c:v>19.393157510356392</c:v>
                </c:pt>
                <c:pt idx="10">
                  <c:v>15.884302257188549</c:v>
                </c:pt>
                <c:pt idx="11">
                  <c:v>28.576366255027651</c:v>
                </c:pt>
                <c:pt idx="12">
                  <c:v>23.229454775447635</c:v>
                </c:pt>
                <c:pt idx="13">
                  <c:v>13.708706401427115</c:v>
                </c:pt>
                <c:pt idx="14">
                  <c:v>28.43102634514182</c:v>
                </c:pt>
                <c:pt idx="15">
                  <c:v>22.536233472626144</c:v>
                </c:pt>
                <c:pt idx="16">
                  <c:v>27.742721178741409</c:v>
                </c:pt>
                <c:pt idx="17">
                  <c:v>22.808484652016247</c:v>
                </c:pt>
                <c:pt idx="18">
                  <c:v>30.502036579577975</c:v>
                </c:pt>
                <c:pt idx="19">
                  <c:v>26.442092692476326</c:v>
                </c:pt>
                <c:pt idx="20">
                  <c:v>31.113008295725177</c:v>
                </c:pt>
                <c:pt idx="21">
                  <c:v>33.57283865067923</c:v>
                </c:pt>
                <c:pt idx="22">
                  <c:v>33.409524514420752</c:v>
                </c:pt>
                <c:pt idx="23">
                  <c:v>37.041416819588569</c:v>
                </c:pt>
                <c:pt idx="24">
                  <c:v>32.028890592661206</c:v>
                </c:pt>
                <c:pt idx="25">
                  <c:v>31.203342256400347</c:v>
                </c:pt>
                <c:pt idx="26">
                  <c:v>35.470209550043151</c:v>
                </c:pt>
                <c:pt idx="27">
                  <c:v>40.337582336379462</c:v>
                </c:pt>
                <c:pt idx="28">
                  <c:v>41.791321759750481</c:v>
                </c:pt>
                <c:pt idx="29">
                  <c:v>38.680242094349424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A-F94D-8410-A1C000950E5D}"/>
            </c:ext>
          </c:extLst>
        </c:ser>
        <c:ser>
          <c:idx val="1"/>
          <c:order val="1"/>
          <c:tx>
            <c:strRef>
              <c:f>DiffB0_SameB1!$D$4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DiffB0_SameB1!$D$5:$D$34</c:f>
              <c:numCache>
                <c:formatCode>0.0</c:formatCode>
                <c:ptCount val="30"/>
                <c:pt idx="0">
                  <c:v>21.276508222964637</c:v>
                </c:pt>
                <c:pt idx="1">
                  <c:v>24.791045909455153</c:v>
                </c:pt>
                <c:pt idx="2">
                  <c:v>23.59900883435775</c:v>
                </c:pt>
                <c:pt idx="3">
                  <c:v>26.545602158056163</c:v>
                </c:pt>
                <c:pt idx="4">
                  <c:v>30.099109227287478</c:v>
                </c:pt>
                <c:pt idx="5">
                  <c:v>26.94961330305874</c:v>
                </c:pt>
                <c:pt idx="6">
                  <c:v>23.195252946835073</c:v>
                </c:pt>
                <c:pt idx="7">
                  <c:v>31.342201516688352</c:v>
                </c:pt>
                <c:pt idx="8">
                  <c:v>24.245769394116159</c:v>
                </c:pt>
                <c:pt idx="9">
                  <c:v>26.178807696629065</c:v>
                </c:pt>
                <c:pt idx="10">
                  <c:v>26.126620843521067</c:v>
                </c:pt>
                <c:pt idx="11">
                  <c:v>31.950557022953181</c:v>
                </c:pt>
                <c:pt idx="12">
                  <c:v>30.486175077853691</c:v>
                </c:pt>
                <c:pt idx="13">
                  <c:v>35.903157320135769</c:v>
                </c:pt>
                <c:pt idx="14">
                  <c:v>40.785688092451437</c:v>
                </c:pt>
                <c:pt idx="15">
                  <c:v>33.136919807618185</c:v>
                </c:pt>
                <c:pt idx="16">
                  <c:v>36.63201015970624</c:v>
                </c:pt>
                <c:pt idx="17">
                  <c:v>29.77754713502793</c:v>
                </c:pt>
                <c:pt idx="18">
                  <c:v>33.872708908375756</c:v>
                </c:pt>
                <c:pt idx="19">
                  <c:v>34.695176420761697</c:v>
                </c:pt>
                <c:pt idx="20">
                  <c:v>31.57913169419632</c:v>
                </c:pt>
                <c:pt idx="21">
                  <c:v>43.604126961601459</c:v>
                </c:pt>
                <c:pt idx="22">
                  <c:v>40.297629494598745</c:v>
                </c:pt>
                <c:pt idx="23">
                  <c:v>52.942263191921072</c:v>
                </c:pt>
                <c:pt idx="24">
                  <c:v>42.809330069836108</c:v>
                </c:pt>
                <c:pt idx="25">
                  <c:v>46.203923768556287</c:v>
                </c:pt>
                <c:pt idx="26">
                  <c:v>46.841129256818007</c:v>
                </c:pt>
                <c:pt idx="27">
                  <c:v>51.868133669869579</c:v>
                </c:pt>
                <c:pt idx="28">
                  <c:v>47.020888451142262</c:v>
                </c:pt>
                <c:pt idx="29">
                  <c:v>43.438185166173682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CA-F94D-8410-A1C000950E5D}"/>
            </c:ext>
          </c:extLst>
        </c:ser>
        <c:ser>
          <c:idx val="2"/>
          <c:order val="2"/>
          <c:tx>
            <c:strRef>
              <c:f>DiffB0_SameB1!$E$4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DiffB0_SameB1!$E$5:$E$34</c:f>
              <c:numCache>
                <c:formatCode>0.0</c:formatCode>
                <c:ptCount val="30"/>
                <c:pt idx="0">
                  <c:v>32.963121879696835</c:v>
                </c:pt>
                <c:pt idx="1">
                  <c:v>37.150219681102435</c:v>
                </c:pt>
                <c:pt idx="2">
                  <c:v>34.258814522286677</c:v>
                </c:pt>
                <c:pt idx="3">
                  <c:v>35.216203564360121</c:v>
                </c:pt>
                <c:pt idx="4">
                  <c:v>38.567738246443554</c:v>
                </c:pt>
                <c:pt idx="5">
                  <c:v>37.841041988687103</c:v>
                </c:pt>
                <c:pt idx="6">
                  <c:v>38.574623429740249</c:v>
                </c:pt>
                <c:pt idx="7">
                  <c:v>32.846541288694084</c:v>
                </c:pt>
                <c:pt idx="8">
                  <c:v>41.839850832053713</c:v>
                </c:pt>
                <c:pt idx="9">
                  <c:v>40.936822642019735</c:v>
                </c:pt>
                <c:pt idx="10">
                  <c:v>39.252146762165964</c:v>
                </c:pt>
                <c:pt idx="11">
                  <c:v>43.653222984380541</c:v>
                </c:pt>
                <c:pt idx="12">
                  <c:v>49.225526277642473</c:v>
                </c:pt>
                <c:pt idx="13">
                  <c:v>45.102345957127483</c:v>
                </c:pt>
                <c:pt idx="14">
                  <c:v>46.590947009935974</c:v>
                </c:pt>
                <c:pt idx="15">
                  <c:v>50.014710665116667</c:v>
                </c:pt>
                <c:pt idx="16">
                  <c:v>48.487573128661765</c:v>
                </c:pt>
                <c:pt idx="17">
                  <c:v>46.316690351282901</c:v>
                </c:pt>
                <c:pt idx="18">
                  <c:v>39.200952108042415</c:v>
                </c:pt>
                <c:pt idx="19">
                  <c:v>49.284490292893786</c:v>
                </c:pt>
                <c:pt idx="20">
                  <c:v>56.134717702111914</c:v>
                </c:pt>
                <c:pt idx="21">
                  <c:v>53.712813625066516</c:v>
                </c:pt>
                <c:pt idx="22">
                  <c:v>54.268721395966836</c:v>
                </c:pt>
                <c:pt idx="23">
                  <c:v>55.820166746315913</c:v>
                </c:pt>
                <c:pt idx="24">
                  <c:v>59.620647848137452</c:v>
                </c:pt>
                <c:pt idx="25">
                  <c:v>50.146616678884413</c:v>
                </c:pt>
                <c:pt idx="26">
                  <c:v>48.046407878027402</c:v>
                </c:pt>
                <c:pt idx="27">
                  <c:v>61.293512412593849</c:v>
                </c:pt>
                <c:pt idx="28">
                  <c:v>58.01855725292733</c:v>
                </c:pt>
                <c:pt idx="29">
                  <c:v>59.504952222855302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CA-F94D-8410-A1C000950E5D}"/>
            </c:ext>
          </c:extLst>
        </c:ser>
        <c:ser>
          <c:idx val="3"/>
          <c:order val="3"/>
          <c:tx>
            <c:strRef>
              <c:f>DiffB0_SameB1!$F$4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DiffB0_SameB1!$F$5:$F$34</c:f>
              <c:numCache>
                <c:formatCode>0.0</c:formatCode>
                <c:ptCount val="30"/>
                <c:pt idx="0">
                  <c:v>46.432935638360661</c:v>
                </c:pt>
                <c:pt idx="1">
                  <c:v>47.332936721483705</c:v>
                </c:pt>
                <c:pt idx="2">
                  <c:v>38.759024679211926</c:v>
                </c:pt>
                <c:pt idx="3">
                  <c:v>42.302744123932264</c:v>
                </c:pt>
                <c:pt idx="4">
                  <c:v>48.51965865727054</c:v>
                </c:pt>
                <c:pt idx="5">
                  <c:v>42.299726994982457</c:v>
                </c:pt>
                <c:pt idx="6">
                  <c:v>46.790528734718855</c:v>
                </c:pt>
                <c:pt idx="7">
                  <c:v>51.475845070195419</c:v>
                </c:pt>
                <c:pt idx="8">
                  <c:v>46.450775084233079</c:v>
                </c:pt>
                <c:pt idx="9">
                  <c:v>46.086143167799193</c:v>
                </c:pt>
                <c:pt idx="10">
                  <c:v>52.27061241917491</c:v>
                </c:pt>
                <c:pt idx="11">
                  <c:v>48.813652980885458</c:v>
                </c:pt>
                <c:pt idx="12">
                  <c:v>55.647967787520862</c:v>
                </c:pt>
                <c:pt idx="13">
                  <c:v>56.16856633620867</c:v>
                </c:pt>
                <c:pt idx="14">
                  <c:v>56.310499365106608</c:v>
                </c:pt>
                <c:pt idx="15">
                  <c:v>51.949197475509429</c:v>
                </c:pt>
                <c:pt idx="16">
                  <c:v>65.431077975625925</c:v>
                </c:pt>
                <c:pt idx="17">
                  <c:v>61.485018697514377</c:v>
                </c:pt>
                <c:pt idx="18">
                  <c:v>55.004714270936219</c:v>
                </c:pt>
                <c:pt idx="19">
                  <c:v>67.657271495083663</c:v>
                </c:pt>
                <c:pt idx="20">
                  <c:v>63.487616430671899</c:v>
                </c:pt>
                <c:pt idx="21">
                  <c:v>59.87489072850709</c:v>
                </c:pt>
                <c:pt idx="22">
                  <c:v>66.541624366022432</c:v>
                </c:pt>
                <c:pt idx="23">
                  <c:v>69.616322106616238</c:v>
                </c:pt>
                <c:pt idx="24">
                  <c:v>62.619361339484136</c:v>
                </c:pt>
                <c:pt idx="25">
                  <c:v>68.801081161433189</c:v>
                </c:pt>
                <c:pt idx="26">
                  <c:v>66.676032580591283</c:v>
                </c:pt>
                <c:pt idx="27">
                  <c:v>63.890831432329776</c:v>
                </c:pt>
                <c:pt idx="28">
                  <c:v>74.299913844677747</c:v>
                </c:pt>
                <c:pt idx="29">
                  <c:v>67.878534536286296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CA-F94D-8410-A1C000950E5D}"/>
            </c:ext>
          </c:extLst>
        </c:ser>
        <c:ser>
          <c:idx val="4"/>
          <c:order val="4"/>
          <c:tx>
            <c:strRef>
              <c:f>DiffB0_SameB1!$G$4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DiffB0_SameB1!$G$5:$G$34</c:f>
              <c:numCache>
                <c:formatCode>0.0</c:formatCode>
                <c:ptCount val="30"/>
                <c:pt idx="0">
                  <c:v>44.471635024738703</c:v>
                </c:pt>
                <c:pt idx="1">
                  <c:v>52.639120516639466</c:v>
                </c:pt>
                <c:pt idx="2">
                  <c:v>46.801145189880685</c:v>
                </c:pt>
                <c:pt idx="3">
                  <c:v>60.841298027356544</c:v>
                </c:pt>
                <c:pt idx="4">
                  <c:v>58.733517029672583</c:v>
                </c:pt>
                <c:pt idx="5">
                  <c:v>67.644014738661028</c:v>
                </c:pt>
                <c:pt idx="6">
                  <c:v>57.057062073980397</c:v>
                </c:pt>
                <c:pt idx="7">
                  <c:v>60.498308041424309</c:v>
                </c:pt>
                <c:pt idx="8">
                  <c:v>54.850860017938452</c:v>
                </c:pt>
                <c:pt idx="9">
                  <c:v>55.006232350237418</c:v>
                </c:pt>
                <c:pt idx="10">
                  <c:v>59.950666302264189</c:v>
                </c:pt>
                <c:pt idx="11">
                  <c:v>59.049109544949864</c:v>
                </c:pt>
                <c:pt idx="12">
                  <c:v>65.327104753326921</c:v>
                </c:pt>
                <c:pt idx="13">
                  <c:v>54.577087127240056</c:v>
                </c:pt>
                <c:pt idx="14">
                  <c:v>63.408992697857592</c:v>
                </c:pt>
                <c:pt idx="15">
                  <c:v>61.339457262271033</c:v>
                </c:pt>
                <c:pt idx="16">
                  <c:v>66.817940506633889</c:v>
                </c:pt>
                <c:pt idx="17">
                  <c:v>69.127024188709797</c:v>
                </c:pt>
                <c:pt idx="18">
                  <c:v>68.044029649709884</c:v>
                </c:pt>
                <c:pt idx="19">
                  <c:v>71.223622332875962</c:v>
                </c:pt>
                <c:pt idx="20">
                  <c:v>73.091332494622947</c:v>
                </c:pt>
                <c:pt idx="21">
                  <c:v>76.065319394023405</c:v>
                </c:pt>
                <c:pt idx="22">
                  <c:v>74.24723800871638</c:v>
                </c:pt>
                <c:pt idx="23">
                  <c:v>68.706247732834854</c:v>
                </c:pt>
                <c:pt idx="24">
                  <c:v>72.171961578039159</c:v>
                </c:pt>
                <c:pt idx="25">
                  <c:v>80.016555552648072</c:v>
                </c:pt>
                <c:pt idx="26">
                  <c:v>76.630736882097423</c:v>
                </c:pt>
                <c:pt idx="27">
                  <c:v>80.302329431166825</c:v>
                </c:pt>
                <c:pt idx="28">
                  <c:v>76.320229147645449</c:v>
                </c:pt>
                <c:pt idx="29">
                  <c:v>82.164433549127352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CA-F94D-8410-A1C000950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SameB0_DiffB1!$C$4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SameB0_DiffB1!$C$5:$C$34</c:f>
              <c:numCache>
                <c:formatCode>0.0</c:formatCode>
                <c:ptCount val="30"/>
                <c:pt idx="0">
                  <c:v>4.1410340763690003</c:v>
                </c:pt>
                <c:pt idx="1">
                  <c:v>0.45948311021198496</c:v>
                </c:pt>
                <c:pt idx="2">
                  <c:v>-1.8390799002533118</c:v>
                </c:pt>
                <c:pt idx="3">
                  <c:v>4.3029746906741222</c:v>
                </c:pt>
                <c:pt idx="4">
                  <c:v>3.4779701249194175</c:v>
                </c:pt>
                <c:pt idx="5">
                  <c:v>-0.57867262410370213</c:v>
                </c:pt>
                <c:pt idx="6">
                  <c:v>6.9857640296663952</c:v>
                </c:pt>
                <c:pt idx="7">
                  <c:v>13.226228624209739</c:v>
                </c:pt>
                <c:pt idx="8">
                  <c:v>5.334448504911272</c:v>
                </c:pt>
                <c:pt idx="9">
                  <c:v>12.008465400867957</c:v>
                </c:pt>
                <c:pt idx="10">
                  <c:v>12.752377420667202</c:v>
                </c:pt>
                <c:pt idx="11">
                  <c:v>5.0232738512793489</c:v>
                </c:pt>
                <c:pt idx="12">
                  <c:v>7.2063003797875274</c:v>
                </c:pt>
                <c:pt idx="13">
                  <c:v>20.128622086216225</c:v>
                </c:pt>
                <c:pt idx="14">
                  <c:v>9.1855948120560313</c:v>
                </c:pt>
                <c:pt idx="15">
                  <c:v>10.997034231311094</c:v>
                </c:pt>
                <c:pt idx="16">
                  <c:v>23.831236376189977</c:v>
                </c:pt>
                <c:pt idx="17">
                  <c:v>30.380083639580619</c:v>
                </c:pt>
                <c:pt idx="18">
                  <c:v>19.137001404701937</c:v>
                </c:pt>
                <c:pt idx="19">
                  <c:v>22.605495516375367</c:v>
                </c:pt>
                <c:pt idx="20">
                  <c:v>20.325168976866912</c:v>
                </c:pt>
                <c:pt idx="21">
                  <c:v>23.17030358268309</c:v>
                </c:pt>
                <c:pt idx="22">
                  <c:v>30.507600336122032</c:v>
                </c:pt>
                <c:pt idx="23">
                  <c:v>34.587996395749968</c:v>
                </c:pt>
                <c:pt idx="24">
                  <c:v>21.639264668010256</c:v>
                </c:pt>
                <c:pt idx="25">
                  <c:v>18.652156681573018</c:v>
                </c:pt>
                <c:pt idx="26">
                  <c:v>30.112523205336288</c:v>
                </c:pt>
                <c:pt idx="27">
                  <c:v>28.170206185300074</c:v>
                </c:pt>
                <c:pt idx="28">
                  <c:v>33.469620796451693</c:v>
                </c:pt>
                <c:pt idx="29">
                  <c:v>36.560371462327304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82-174F-99A3-853DAB7CBDAE}"/>
            </c:ext>
          </c:extLst>
        </c:ser>
        <c:ser>
          <c:idx val="1"/>
          <c:order val="1"/>
          <c:tx>
            <c:strRef>
              <c:f>SameB0_DiffB1!$D$4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SameB0_DiffB1!$D$5:$D$34</c:f>
              <c:numCache>
                <c:formatCode>0.0</c:formatCode>
                <c:ptCount val="30"/>
                <c:pt idx="0">
                  <c:v>1.2975514141899493</c:v>
                </c:pt>
                <c:pt idx="1">
                  <c:v>4.6026865105676613</c:v>
                </c:pt>
                <c:pt idx="2">
                  <c:v>6.9349784534430192E-2</c:v>
                </c:pt>
                <c:pt idx="3">
                  <c:v>12.57243707476465</c:v>
                </c:pt>
                <c:pt idx="4">
                  <c:v>4.9383425772326692</c:v>
                </c:pt>
                <c:pt idx="5">
                  <c:v>20.303420972062526</c:v>
                </c:pt>
                <c:pt idx="6">
                  <c:v>20.885942634650782</c:v>
                </c:pt>
                <c:pt idx="7">
                  <c:v>22.457973243212528</c:v>
                </c:pt>
                <c:pt idx="8">
                  <c:v>11.17042338448427</c:v>
                </c:pt>
                <c:pt idx="9">
                  <c:v>11.447856039139372</c:v>
                </c:pt>
                <c:pt idx="10">
                  <c:v>25.114892752130721</c:v>
                </c:pt>
                <c:pt idx="11">
                  <c:v>19.777114409065721</c:v>
                </c:pt>
                <c:pt idx="12">
                  <c:v>27.71309420235632</c:v>
                </c:pt>
                <c:pt idx="13">
                  <c:v>24.325227254548469</c:v>
                </c:pt>
                <c:pt idx="14">
                  <c:v>30.339810509249503</c:v>
                </c:pt>
                <c:pt idx="15">
                  <c:v>33.053848369800313</c:v>
                </c:pt>
                <c:pt idx="16">
                  <c:v>40.775198917582529</c:v>
                </c:pt>
                <c:pt idx="17">
                  <c:v>39.834078520341748</c:v>
                </c:pt>
                <c:pt idx="18">
                  <c:v>51.843368661327993</c:v>
                </c:pt>
                <c:pt idx="19">
                  <c:v>41.99847159113417</c:v>
                </c:pt>
                <c:pt idx="20">
                  <c:v>49.564246240295944</c:v>
                </c:pt>
                <c:pt idx="21">
                  <c:v>38.133817980538403</c:v>
                </c:pt>
                <c:pt idx="22">
                  <c:v>55.135654950070752</c:v>
                </c:pt>
                <c:pt idx="23">
                  <c:v>41.77553894135783</c:v>
                </c:pt>
                <c:pt idx="24">
                  <c:v>46.027739442566563</c:v>
                </c:pt>
                <c:pt idx="25">
                  <c:v>60.092668566559091</c:v>
                </c:pt>
                <c:pt idx="26">
                  <c:v>53.978944101387995</c:v>
                </c:pt>
                <c:pt idx="27">
                  <c:v>53.592318666289195</c:v>
                </c:pt>
                <c:pt idx="28">
                  <c:v>50.737071547760145</c:v>
                </c:pt>
                <c:pt idx="29">
                  <c:v>57.478244681470699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2-174F-99A3-853DAB7CBDAE}"/>
            </c:ext>
          </c:extLst>
        </c:ser>
        <c:ser>
          <c:idx val="2"/>
          <c:order val="2"/>
          <c:tx>
            <c:strRef>
              <c:f>SameB0_DiffB1!$E$4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SameB0_DiffB1!$E$5:$E$34</c:f>
              <c:numCache>
                <c:formatCode>0.0</c:formatCode>
                <c:ptCount val="30"/>
                <c:pt idx="0">
                  <c:v>2.1810256226844973</c:v>
                </c:pt>
                <c:pt idx="1">
                  <c:v>3.0113015904546794</c:v>
                </c:pt>
                <c:pt idx="2">
                  <c:v>-2.3873739189850074</c:v>
                </c:pt>
                <c:pt idx="3">
                  <c:v>12.696314951443089</c:v>
                </c:pt>
                <c:pt idx="4">
                  <c:v>24.407315509288384</c:v>
                </c:pt>
                <c:pt idx="5">
                  <c:v>24.89119447978841</c:v>
                </c:pt>
                <c:pt idx="6">
                  <c:v>30.501985162930431</c:v>
                </c:pt>
                <c:pt idx="7">
                  <c:v>32.330848930910633</c:v>
                </c:pt>
                <c:pt idx="8">
                  <c:v>19.874878679506544</c:v>
                </c:pt>
                <c:pt idx="9">
                  <c:v>26.50675808327232</c:v>
                </c:pt>
                <c:pt idx="10">
                  <c:v>39.192972287427594</c:v>
                </c:pt>
                <c:pt idx="11">
                  <c:v>52.937905498425337</c:v>
                </c:pt>
                <c:pt idx="12">
                  <c:v>23.836882274084388</c:v>
                </c:pt>
                <c:pt idx="13">
                  <c:v>34.233250477140331</c:v>
                </c:pt>
                <c:pt idx="14">
                  <c:v>39.46728287568213</c:v>
                </c:pt>
                <c:pt idx="15">
                  <c:v>58.104184286780502</c:v>
                </c:pt>
                <c:pt idx="16">
                  <c:v>41.669892358518055</c:v>
                </c:pt>
                <c:pt idx="17">
                  <c:v>61.287029079587995</c:v>
                </c:pt>
                <c:pt idx="18">
                  <c:v>56.925321964236367</c:v>
                </c:pt>
                <c:pt idx="19">
                  <c:v>55.890322872718286</c:v>
                </c:pt>
                <c:pt idx="20">
                  <c:v>65.323179900304169</c:v>
                </c:pt>
                <c:pt idx="21">
                  <c:v>69.531629954413333</c:v>
                </c:pt>
                <c:pt idx="22">
                  <c:v>59.421201598392109</c:v>
                </c:pt>
                <c:pt idx="23">
                  <c:v>68.550732277558424</c:v>
                </c:pt>
                <c:pt idx="24">
                  <c:v>78.913114021346885</c:v>
                </c:pt>
                <c:pt idx="25">
                  <c:v>91.254395237107289</c:v>
                </c:pt>
                <c:pt idx="26">
                  <c:v>76.482431542737302</c:v>
                </c:pt>
                <c:pt idx="27">
                  <c:v>82.61369918658275</c:v>
                </c:pt>
                <c:pt idx="28">
                  <c:v>83.381056023501259</c:v>
                </c:pt>
                <c:pt idx="29">
                  <c:v>95.525312112085743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82-174F-99A3-853DAB7CBDAE}"/>
            </c:ext>
          </c:extLst>
        </c:ser>
        <c:ser>
          <c:idx val="3"/>
          <c:order val="3"/>
          <c:tx>
            <c:strRef>
              <c:f>SameB0_DiffB1!$F$4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SameB0_DiffB1!$F$5:$F$34</c:f>
              <c:numCache>
                <c:formatCode>0.0</c:formatCode>
                <c:ptCount val="30"/>
                <c:pt idx="0">
                  <c:v>6.383477994127535</c:v>
                </c:pt>
                <c:pt idx="1">
                  <c:v>5.8253813148444742</c:v>
                </c:pt>
                <c:pt idx="2">
                  <c:v>19.618796487396295</c:v>
                </c:pt>
                <c:pt idx="3">
                  <c:v>22.716298167947031</c:v>
                </c:pt>
                <c:pt idx="4">
                  <c:v>25.21316464330517</c:v>
                </c:pt>
                <c:pt idx="5">
                  <c:v>35.173879780164768</c:v>
                </c:pt>
                <c:pt idx="6">
                  <c:v>33.346628064756977</c:v>
                </c:pt>
                <c:pt idx="7">
                  <c:v>29.185995459298415</c:v>
                </c:pt>
                <c:pt idx="8">
                  <c:v>45.496397659168821</c:v>
                </c:pt>
                <c:pt idx="9">
                  <c:v>40.359346834375167</c:v>
                </c:pt>
                <c:pt idx="10">
                  <c:v>43.806971788436414</c:v>
                </c:pt>
                <c:pt idx="11">
                  <c:v>57.607146622535957</c:v>
                </c:pt>
                <c:pt idx="12">
                  <c:v>51.192017616013906</c:v>
                </c:pt>
                <c:pt idx="13">
                  <c:v>72.737350386887513</c:v>
                </c:pt>
                <c:pt idx="14">
                  <c:v>57.074814647843084</c:v>
                </c:pt>
                <c:pt idx="15">
                  <c:v>66.758860986317643</c:v>
                </c:pt>
                <c:pt idx="16">
                  <c:v>68.962286786132935</c:v>
                </c:pt>
                <c:pt idx="17">
                  <c:v>70.906986068886965</c:v>
                </c:pt>
                <c:pt idx="18">
                  <c:v>89.434682245759944</c:v>
                </c:pt>
                <c:pt idx="19">
                  <c:v>84.673231217560158</c:v>
                </c:pt>
                <c:pt idx="20">
                  <c:v>87.968375970201976</c:v>
                </c:pt>
                <c:pt idx="21">
                  <c:v>82.667296022023208</c:v>
                </c:pt>
                <c:pt idx="22">
                  <c:v>83.668435781291379</c:v>
                </c:pt>
                <c:pt idx="23">
                  <c:v>94.263567693711508</c:v>
                </c:pt>
                <c:pt idx="24">
                  <c:v>100.49037319617914</c:v>
                </c:pt>
                <c:pt idx="25">
                  <c:v>115.81196398101902</c:v>
                </c:pt>
                <c:pt idx="26">
                  <c:v>112.92935923300426</c:v>
                </c:pt>
                <c:pt idx="27">
                  <c:v>106.98700570096889</c:v>
                </c:pt>
                <c:pt idx="28">
                  <c:v>121.43486346982765</c:v>
                </c:pt>
                <c:pt idx="29">
                  <c:v>129.08071846858869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82-174F-99A3-853DAB7CBDAE}"/>
            </c:ext>
          </c:extLst>
        </c:ser>
        <c:ser>
          <c:idx val="4"/>
          <c:order val="4"/>
          <c:tx>
            <c:strRef>
              <c:f>SameB0_DiffB1!$G$4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SameB0_DiffB1!$G$5:$G$34</c:f>
              <c:numCache>
                <c:formatCode>0.0</c:formatCode>
                <c:ptCount val="30"/>
                <c:pt idx="0">
                  <c:v>2.7125324412261462</c:v>
                </c:pt>
                <c:pt idx="1">
                  <c:v>22.464113607796726</c:v>
                </c:pt>
                <c:pt idx="2">
                  <c:v>14.873856185047988</c:v>
                </c:pt>
                <c:pt idx="3">
                  <c:v>15.990763462651859</c:v>
                </c:pt>
                <c:pt idx="4">
                  <c:v>29.340952775869901</c:v>
                </c:pt>
                <c:pt idx="5">
                  <c:v>26.744462348497727</c:v>
                </c:pt>
                <c:pt idx="6">
                  <c:v>42.561973607965903</c:v>
                </c:pt>
                <c:pt idx="7">
                  <c:v>35.384024868647231</c:v>
                </c:pt>
                <c:pt idx="8">
                  <c:v>42.449625026652932</c:v>
                </c:pt>
                <c:pt idx="9">
                  <c:v>61.157210734962412</c:v>
                </c:pt>
                <c:pt idx="10">
                  <c:v>66.115259513349258</c:v>
                </c:pt>
                <c:pt idx="11">
                  <c:v>59.405779938241231</c:v>
                </c:pt>
                <c:pt idx="12">
                  <c:v>49.707508964611264</c:v>
                </c:pt>
                <c:pt idx="13">
                  <c:v>77.542467314657117</c:v>
                </c:pt>
                <c:pt idx="14">
                  <c:v>70.888270477892831</c:v>
                </c:pt>
                <c:pt idx="15">
                  <c:v>89.333868879062507</c:v>
                </c:pt>
                <c:pt idx="16">
                  <c:v>94.193922920543258</c:v>
                </c:pt>
                <c:pt idx="17">
                  <c:v>94.613626818335419</c:v>
                </c:pt>
                <c:pt idx="18">
                  <c:v>95.491614570361847</c:v>
                </c:pt>
                <c:pt idx="19">
                  <c:v>90.851563974745517</c:v>
                </c:pt>
                <c:pt idx="20">
                  <c:v>108.45456224578554</c:v>
                </c:pt>
                <c:pt idx="21">
                  <c:v>101.34744410325222</c:v>
                </c:pt>
                <c:pt idx="22">
                  <c:v>125.42948003627318</c:v>
                </c:pt>
                <c:pt idx="23">
                  <c:v>125.38928004624748</c:v>
                </c:pt>
                <c:pt idx="24">
                  <c:v>124.44966255207115</c:v>
                </c:pt>
                <c:pt idx="25">
                  <c:v>133.50279023269266</c:v>
                </c:pt>
                <c:pt idx="26">
                  <c:v>135.40479598706682</c:v>
                </c:pt>
                <c:pt idx="27">
                  <c:v>133.92450897114617</c:v>
                </c:pt>
                <c:pt idx="28">
                  <c:v>157.81485401938178</c:v>
                </c:pt>
                <c:pt idx="29">
                  <c:v>154.7033243108649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82-174F-99A3-853DAB7CB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DiffB0_Diff_B1!$C$4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DiffB0_Diff_B1!$C$5:$C$34</c:f>
              <c:numCache>
                <c:formatCode>0.0</c:formatCode>
                <c:ptCount val="30"/>
                <c:pt idx="0">
                  <c:v>6.0818839529616096</c:v>
                </c:pt>
                <c:pt idx="1">
                  <c:v>4.4301229376181119</c:v>
                </c:pt>
                <c:pt idx="2">
                  <c:v>12.645661869753964</c:v>
                </c:pt>
                <c:pt idx="3">
                  <c:v>7.2889597386515836</c:v>
                </c:pt>
                <c:pt idx="4">
                  <c:v>17.039379059580519</c:v>
                </c:pt>
                <c:pt idx="5">
                  <c:v>24.534120839874475</c:v>
                </c:pt>
                <c:pt idx="6">
                  <c:v>25.481530361319635</c:v>
                </c:pt>
                <c:pt idx="7">
                  <c:v>23.338051746587329</c:v>
                </c:pt>
                <c:pt idx="8">
                  <c:v>10.327106634502448</c:v>
                </c:pt>
                <c:pt idx="9">
                  <c:v>21.653549411537057</c:v>
                </c:pt>
                <c:pt idx="10">
                  <c:v>11.009275442629168</c:v>
                </c:pt>
                <c:pt idx="11">
                  <c:v>24.967078627261252</c:v>
                </c:pt>
                <c:pt idx="12">
                  <c:v>27.931382744943431</c:v>
                </c:pt>
                <c:pt idx="13">
                  <c:v>18.533758083063603</c:v>
                </c:pt>
                <c:pt idx="14">
                  <c:v>20.944320066736605</c:v>
                </c:pt>
                <c:pt idx="15">
                  <c:v>35.799756776160919</c:v>
                </c:pt>
                <c:pt idx="16">
                  <c:v>23.859350712337545</c:v>
                </c:pt>
                <c:pt idx="17">
                  <c:v>28.376240619423299</c:v>
                </c:pt>
                <c:pt idx="18">
                  <c:v>28.656624244250057</c:v>
                </c:pt>
                <c:pt idx="19">
                  <c:v>30.461960585890449</c:v>
                </c:pt>
                <c:pt idx="20">
                  <c:v>24.19261154975564</c:v>
                </c:pt>
                <c:pt idx="21">
                  <c:v>31.60902761173833</c:v>
                </c:pt>
                <c:pt idx="22">
                  <c:v>30.608051984236837</c:v>
                </c:pt>
                <c:pt idx="23">
                  <c:v>23.804490488390154</c:v>
                </c:pt>
                <c:pt idx="24">
                  <c:v>34.954421801924035</c:v>
                </c:pt>
                <c:pt idx="25">
                  <c:v>48.351151946133228</c:v>
                </c:pt>
                <c:pt idx="26">
                  <c:v>48.737053870361592</c:v>
                </c:pt>
                <c:pt idx="27">
                  <c:v>31.747005454093085</c:v>
                </c:pt>
                <c:pt idx="28">
                  <c:v>38.190512740042756</c:v>
                </c:pt>
                <c:pt idx="29">
                  <c:v>37.859813375772141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7-1645-A60A-DA74A6C4C857}"/>
            </c:ext>
          </c:extLst>
        </c:ser>
        <c:ser>
          <c:idx val="1"/>
          <c:order val="1"/>
          <c:tx>
            <c:strRef>
              <c:f>DiffB0_Diff_B1!$D$4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DiffB0_Diff_B1!$D$5:$D$34</c:f>
              <c:numCache>
                <c:formatCode>0.0</c:formatCode>
                <c:ptCount val="30"/>
                <c:pt idx="0">
                  <c:v>16.021453588269221</c:v>
                </c:pt>
                <c:pt idx="1">
                  <c:v>17.903631848580673</c:v>
                </c:pt>
                <c:pt idx="2">
                  <c:v>24.903889957973924</c:v>
                </c:pt>
                <c:pt idx="3">
                  <c:v>29.086483040824543</c:v>
                </c:pt>
                <c:pt idx="4">
                  <c:v>49.93727628317658</c:v>
                </c:pt>
                <c:pt idx="5">
                  <c:v>41.03723755054196</c:v>
                </c:pt>
                <c:pt idx="6">
                  <c:v>20.607083411609722</c:v>
                </c:pt>
                <c:pt idx="7">
                  <c:v>43.660930360066232</c:v>
                </c:pt>
                <c:pt idx="8">
                  <c:v>36.50813050186683</c:v>
                </c:pt>
                <c:pt idx="9">
                  <c:v>37.742914698465803</c:v>
                </c:pt>
                <c:pt idx="10">
                  <c:v>46.800849357298702</c:v>
                </c:pt>
                <c:pt idx="11">
                  <c:v>43.730094257441529</c:v>
                </c:pt>
                <c:pt idx="12">
                  <c:v>52.890839750220827</c:v>
                </c:pt>
                <c:pt idx="13">
                  <c:v>53.433561871625031</c:v>
                </c:pt>
                <c:pt idx="14">
                  <c:v>42.125925223316294</c:v>
                </c:pt>
                <c:pt idx="15">
                  <c:v>53.597384630496578</c:v>
                </c:pt>
                <c:pt idx="16">
                  <c:v>43.611095671992189</c:v>
                </c:pt>
                <c:pt idx="17">
                  <c:v>53.10062618074258</c:v>
                </c:pt>
                <c:pt idx="18">
                  <c:v>62.903287288872185</c:v>
                </c:pt>
                <c:pt idx="19">
                  <c:v>62.155099433478291</c:v>
                </c:pt>
                <c:pt idx="20">
                  <c:v>67.462265540692741</c:v>
                </c:pt>
                <c:pt idx="21">
                  <c:v>65.246225986271185</c:v>
                </c:pt>
                <c:pt idx="22">
                  <c:v>64.480753025211044</c:v>
                </c:pt>
                <c:pt idx="23">
                  <c:v>57.803391485980477</c:v>
                </c:pt>
                <c:pt idx="24">
                  <c:v>69.795920293604723</c:v>
                </c:pt>
                <c:pt idx="25">
                  <c:v>78.849896600577694</c:v>
                </c:pt>
                <c:pt idx="26">
                  <c:v>66.180334601019695</c:v>
                </c:pt>
                <c:pt idx="27">
                  <c:v>84.794788517274029</c:v>
                </c:pt>
                <c:pt idx="28">
                  <c:v>71.45178098444778</c:v>
                </c:pt>
                <c:pt idx="29">
                  <c:v>74.732568673184616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07-1645-A60A-DA74A6C4C857}"/>
            </c:ext>
          </c:extLst>
        </c:ser>
        <c:ser>
          <c:idx val="2"/>
          <c:order val="2"/>
          <c:tx>
            <c:strRef>
              <c:f>DiffB0_Diff_B1!$E$4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DiffB0_Diff_B1!$E$5:$E$34</c:f>
              <c:numCache>
                <c:formatCode>0.0</c:formatCode>
                <c:ptCount val="30"/>
                <c:pt idx="0">
                  <c:v>38.310937230480093</c:v>
                </c:pt>
                <c:pt idx="1">
                  <c:v>31.02929524134311</c:v>
                </c:pt>
                <c:pt idx="2">
                  <c:v>38.031347919964233</c:v>
                </c:pt>
                <c:pt idx="3">
                  <c:v>40.948400502320823</c:v>
                </c:pt>
                <c:pt idx="4">
                  <c:v>55.158263873004962</c:v>
                </c:pt>
                <c:pt idx="5">
                  <c:v>47.890709687590693</c:v>
                </c:pt>
                <c:pt idx="6">
                  <c:v>48.741752086566237</c:v>
                </c:pt>
                <c:pt idx="7">
                  <c:v>64.751480092667052</c:v>
                </c:pt>
                <c:pt idx="8">
                  <c:v>63.826943599023622</c:v>
                </c:pt>
                <c:pt idx="9">
                  <c:v>56.923326093835179</c:v>
                </c:pt>
                <c:pt idx="10">
                  <c:v>54.85116763135651</c:v>
                </c:pt>
                <c:pt idx="11">
                  <c:v>74.818339644600499</c:v>
                </c:pt>
                <c:pt idx="12">
                  <c:v>75.726737868078331</c:v>
                </c:pt>
                <c:pt idx="13">
                  <c:v>72.706239934760418</c:v>
                </c:pt>
                <c:pt idx="14">
                  <c:v>72.380316576403018</c:v>
                </c:pt>
                <c:pt idx="15">
                  <c:v>82.077751637550335</c:v>
                </c:pt>
                <c:pt idx="16">
                  <c:v>79.946108415103637</c:v>
                </c:pt>
                <c:pt idx="17">
                  <c:v>83.613968221262411</c:v>
                </c:pt>
                <c:pt idx="18">
                  <c:v>87.15591539264959</c:v>
                </c:pt>
                <c:pt idx="19">
                  <c:v>90.66316405144039</c:v>
                </c:pt>
                <c:pt idx="20">
                  <c:v>98.721468269109948</c:v>
                </c:pt>
                <c:pt idx="21">
                  <c:v>99.589907934886298</c:v>
                </c:pt>
                <c:pt idx="22">
                  <c:v>102.92949584898383</c:v>
                </c:pt>
                <c:pt idx="23">
                  <c:v>100.51212404898526</c:v>
                </c:pt>
                <c:pt idx="24">
                  <c:v>107.41911085467153</c:v>
                </c:pt>
                <c:pt idx="25">
                  <c:v>98.644270968773853</c:v>
                </c:pt>
                <c:pt idx="26">
                  <c:v>101.08852381860122</c:v>
                </c:pt>
                <c:pt idx="27">
                  <c:v>123.19484500218985</c:v>
                </c:pt>
                <c:pt idx="28">
                  <c:v>122.10344043264493</c:v>
                </c:pt>
                <c:pt idx="29">
                  <c:v>117.27353992785677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07-1645-A60A-DA74A6C4C857}"/>
            </c:ext>
          </c:extLst>
        </c:ser>
        <c:ser>
          <c:idx val="3"/>
          <c:order val="3"/>
          <c:tx>
            <c:strRef>
              <c:f>DiffB0_Diff_B1!$F$4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DiffB0_Diff_B1!$F$5:$F$34</c:f>
              <c:numCache>
                <c:formatCode>0.0</c:formatCode>
                <c:ptCount val="30"/>
                <c:pt idx="0">
                  <c:v>37.529911892515756</c:v>
                </c:pt>
                <c:pt idx="1">
                  <c:v>47.840057602191571</c:v>
                </c:pt>
                <c:pt idx="2">
                  <c:v>45.554192293618264</c:v>
                </c:pt>
                <c:pt idx="3">
                  <c:v>46.338056162697086</c:v>
                </c:pt>
                <c:pt idx="4">
                  <c:v>56.421770381891726</c:v>
                </c:pt>
                <c:pt idx="5">
                  <c:v>71.432267970227144</c:v>
                </c:pt>
                <c:pt idx="6">
                  <c:v>69.481543273346873</c:v>
                </c:pt>
                <c:pt idx="7">
                  <c:v>66.55296373809459</c:v>
                </c:pt>
                <c:pt idx="8">
                  <c:v>77.432969155146807</c:v>
                </c:pt>
                <c:pt idx="9">
                  <c:v>68.089814089338631</c:v>
                </c:pt>
                <c:pt idx="10">
                  <c:v>88.619269184675076</c:v>
                </c:pt>
                <c:pt idx="11">
                  <c:v>89.899487851043432</c:v>
                </c:pt>
                <c:pt idx="12">
                  <c:v>99.67611060411987</c:v>
                </c:pt>
                <c:pt idx="13">
                  <c:v>102.84492308506593</c:v>
                </c:pt>
                <c:pt idx="14">
                  <c:v>99.979049778314121</c:v>
                </c:pt>
                <c:pt idx="15">
                  <c:v>92.668486569823614</c:v>
                </c:pt>
                <c:pt idx="16">
                  <c:v>104.84412635138042</c:v>
                </c:pt>
                <c:pt idx="17">
                  <c:v>114.60035135846832</c:v>
                </c:pt>
                <c:pt idx="18">
                  <c:v>118.31249769900256</c:v>
                </c:pt>
                <c:pt idx="19">
                  <c:v>116.38108369909114</c:v>
                </c:pt>
                <c:pt idx="20">
                  <c:v>114.1412691565948</c:v>
                </c:pt>
                <c:pt idx="21">
                  <c:v>133.90094262944089</c:v>
                </c:pt>
                <c:pt idx="22">
                  <c:v>120.90720374759817</c:v>
                </c:pt>
                <c:pt idx="23">
                  <c:v>133.43772573918034</c:v>
                </c:pt>
                <c:pt idx="24">
                  <c:v>143.15893104294702</c:v>
                </c:pt>
                <c:pt idx="25">
                  <c:v>142.64766773826349</c:v>
                </c:pt>
                <c:pt idx="26">
                  <c:v>139.3968300691582</c:v>
                </c:pt>
                <c:pt idx="27">
                  <c:v>151.8955503712063</c:v>
                </c:pt>
                <c:pt idx="28">
                  <c:v>151.20486275724028</c:v>
                </c:pt>
                <c:pt idx="29">
                  <c:v>158.07749788733619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07-1645-A60A-DA74A6C4C857}"/>
            </c:ext>
          </c:extLst>
        </c:ser>
        <c:ser>
          <c:idx val="4"/>
          <c:order val="4"/>
          <c:tx>
            <c:strRef>
              <c:f>DiffB0_Diff_B1!$G$4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DiffB0_Diff_B1!$G$5:$G$34</c:f>
              <c:numCache>
                <c:formatCode>0.0</c:formatCode>
                <c:ptCount val="30"/>
                <c:pt idx="0">
                  <c:v>55.515551351344726</c:v>
                </c:pt>
                <c:pt idx="1">
                  <c:v>59.212172658227452</c:v>
                </c:pt>
                <c:pt idx="2">
                  <c:v>47.830550074488492</c:v>
                </c:pt>
                <c:pt idx="3">
                  <c:v>71.389500049654117</c:v>
                </c:pt>
                <c:pt idx="4">
                  <c:v>68.990995151958558</c:v>
                </c:pt>
                <c:pt idx="5">
                  <c:v>79.841640605181624</c:v>
                </c:pt>
                <c:pt idx="6">
                  <c:v>91.703007050905327</c:v>
                </c:pt>
                <c:pt idx="7">
                  <c:v>86.220160582643771</c:v>
                </c:pt>
                <c:pt idx="8">
                  <c:v>97.247075330544192</c:v>
                </c:pt>
                <c:pt idx="9">
                  <c:v>95.714528559190612</c:v>
                </c:pt>
                <c:pt idx="10">
                  <c:v>111.20096933075479</c:v>
                </c:pt>
                <c:pt idx="11">
                  <c:v>102.0720832364198</c:v>
                </c:pt>
                <c:pt idx="12">
                  <c:v>115.37653278763818</c:v>
                </c:pt>
                <c:pt idx="13">
                  <c:v>124.50927839617744</c:v>
                </c:pt>
                <c:pt idx="14">
                  <c:v>122.30763356625154</c:v>
                </c:pt>
                <c:pt idx="15">
                  <c:v>114.24546757819189</c:v>
                </c:pt>
                <c:pt idx="16">
                  <c:v>124.1988809787502</c:v>
                </c:pt>
                <c:pt idx="17">
                  <c:v>150.46196270889573</c:v>
                </c:pt>
                <c:pt idx="18">
                  <c:v>149.10665885674874</c:v>
                </c:pt>
                <c:pt idx="19">
                  <c:v>153.17163275549515</c:v>
                </c:pt>
                <c:pt idx="20">
                  <c:v>149.40072231294235</c:v>
                </c:pt>
                <c:pt idx="21">
                  <c:v>160.0271409531955</c:v>
                </c:pt>
                <c:pt idx="22">
                  <c:v>162.67793638097893</c:v>
                </c:pt>
                <c:pt idx="23">
                  <c:v>165.15491533053418</c:v>
                </c:pt>
                <c:pt idx="24">
                  <c:v>172.29862851476216</c:v>
                </c:pt>
                <c:pt idx="25">
                  <c:v>181.57009837371828</c:v>
                </c:pt>
                <c:pt idx="26">
                  <c:v>184.6585012314529</c:v>
                </c:pt>
                <c:pt idx="27">
                  <c:v>187.8506933724164</c:v>
                </c:pt>
                <c:pt idx="28">
                  <c:v>193.62110162562061</c:v>
                </c:pt>
                <c:pt idx="29">
                  <c:v>205.42103597888595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07-1645-A60A-DA74A6C4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1.9455252918287938E-3</c:v>
                </c:pt>
                <c:pt idx="6">
                  <c:v>5.8479532163742687E-3</c:v>
                </c:pt>
                <c:pt idx="7">
                  <c:v>9.7465886939571145E-3</c:v>
                </c:pt>
                <c:pt idx="8">
                  <c:v>1.7509727626459144E-2</c:v>
                </c:pt>
                <c:pt idx="9">
                  <c:v>2.7237354085603113E-2</c:v>
                </c:pt>
                <c:pt idx="10">
                  <c:v>4.4834307992202727E-2</c:v>
                </c:pt>
                <c:pt idx="11">
                  <c:v>5.2631578947368418E-2</c:v>
                </c:pt>
                <c:pt idx="12">
                  <c:v>0.10721247563352826</c:v>
                </c:pt>
                <c:pt idx="13">
                  <c:v>0.12062256809338522</c:v>
                </c:pt>
                <c:pt idx="14">
                  <c:v>0.14814814814814814</c:v>
                </c:pt>
                <c:pt idx="15">
                  <c:v>0.19649805447470817</c:v>
                </c:pt>
                <c:pt idx="16">
                  <c:v>0.28015564202334631</c:v>
                </c:pt>
                <c:pt idx="17">
                  <c:v>0.35282651072124754</c:v>
                </c:pt>
                <c:pt idx="18">
                  <c:v>0.43274853801169588</c:v>
                </c:pt>
                <c:pt idx="19">
                  <c:v>0.48054474708171208</c:v>
                </c:pt>
                <c:pt idx="20">
                  <c:v>0.54191033138401556</c:v>
                </c:pt>
                <c:pt idx="21">
                  <c:v>0.65886939571150094</c:v>
                </c:pt>
                <c:pt idx="22">
                  <c:v>0.71789883268482491</c:v>
                </c:pt>
                <c:pt idx="23">
                  <c:v>0.82846003898635479</c:v>
                </c:pt>
                <c:pt idx="24">
                  <c:v>0.83852140077821014</c:v>
                </c:pt>
                <c:pt idx="25">
                  <c:v>0.87329434697855746</c:v>
                </c:pt>
                <c:pt idx="26">
                  <c:v>0.91245136186770426</c:v>
                </c:pt>
                <c:pt idx="27">
                  <c:v>0.92982456140350878</c:v>
                </c:pt>
                <c:pt idx="28">
                  <c:v>0.94346978557504868</c:v>
                </c:pt>
                <c:pt idx="29">
                  <c:v>0.97859922178988323</c:v>
                </c:pt>
                <c:pt idx="30">
                  <c:v>0.98638132295719849</c:v>
                </c:pt>
                <c:pt idx="31">
                  <c:v>0.99220272904483431</c:v>
                </c:pt>
                <c:pt idx="32">
                  <c:v>0.99610136452241715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0.99588477366255146</c:v>
                </c:pt>
                <c:pt idx="14">
                  <c:v>0.99383983572895274</c:v>
                </c:pt>
                <c:pt idx="15">
                  <c:v>0.98765432098765427</c:v>
                </c:pt>
                <c:pt idx="16">
                  <c:v>0.97942386831275718</c:v>
                </c:pt>
                <c:pt idx="17">
                  <c:v>0.97125256673511295</c:v>
                </c:pt>
                <c:pt idx="18">
                  <c:v>0.90965092402464065</c:v>
                </c:pt>
                <c:pt idx="19">
                  <c:v>0.85390946502057619</c:v>
                </c:pt>
                <c:pt idx="20">
                  <c:v>0.78028747433264889</c:v>
                </c:pt>
                <c:pt idx="21">
                  <c:v>0.66735112936344965</c:v>
                </c:pt>
                <c:pt idx="22">
                  <c:v>0.56995884773662553</c:v>
                </c:pt>
                <c:pt idx="23">
                  <c:v>0.40657084188911702</c:v>
                </c:pt>
                <c:pt idx="24">
                  <c:v>0.30864197530864196</c:v>
                </c:pt>
                <c:pt idx="25">
                  <c:v>0.20944558521560575</c:v>
                </c:pt>
                <c:pt idx="26">
                  <c:v>0.12551440329218108</c:v>
                </c:pt>
                <c:pt idx="27">
                  <c:v>6.9815195071868577E-2</c:v>
                </c:pt>
                <c:pt idx="28">
                  <c:v>4.9281314168377825E-2</c:v>
                </c:pt>
                <c:pt idx="29">
                  <c:v>2.6748971193415638E-2</c:v>
                </c:pt>
                <c:pt idx="30">
                  <c:v>8.23045267489712E-3</c:v>
                </c:pt>
                <c:pt idx="31">
                  <c:v>2.0533880903490761E-3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6-F648-9F77-44BB2F693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F8D60FB-5E09-7744-B70E-F0CC135773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B6C-B845-914C-9AF3BE267E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14BA6E-F996-934C-9D95-27428FD48F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6C-B845-914C-9AF3BE267E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AD4552-FF1A-5046-8A20-8D95242D45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6C-B845-914C-9AF3BE267E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2749C1-DD8C-CB40-B8B0-88D3CE7DF8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6C-B845-914C-9AF3BE267E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C41701-F3DB-8A4B-90BA-60E7033314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6C-B845-914C-9AF3BE267E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89FB90-ACE7-FF48-9E6C-F79908C828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6C-B845-914C-9AF3BE267E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71FC7C-346B-0745-A483-E9C9E67EE9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6C-B845-914C-9AF3BE267E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27D1D9-8BB3-444E-AAA7-1F0852D6E4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6C-B845-914C-9AF3BE267E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757735-E5ED-E941-A13A-13C5B6C57C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6C-B845-914C-9AF3BE267E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73391A-C031-E143-ADC9-2932C83D36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6C-B845-914C-9AF3BE267E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EE5566-54B7-BB45-8379-6070E0698E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6C-B845-914C-9AF3BE267E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E391A8-C4A2-424A-AFBB-54F9C1D8A3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6C-B845-914C-9AF3BE267E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7DF247-3206-7B46-91B8-D01CE77393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6C-B845-914C-9AF3BE267E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F47176-6AB0-934E-B3DC-074094CE1C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6C-B845-914C-9AF3BE267E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9D8BCDF-9DCE-3547-868B-7301CBB74E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6C-B845-914C-9AF3BE267E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4B1202-1C71-8741-8176-A272C27E2F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6C-B845-914C-9AF3BE267E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C35402-AC2A-FB43-9AC5-BC7225AB1A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6C-B845-914C-9AF3BE267E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772749-3513-5146-9097-BBAEE0C5AA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6C-B845-914C-9AF3BE267E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6A319B-6D12-8B4D-B7BB-EC00418D52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6C-B845-914C-9AF3BE267E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EAC6AE-D450-9D41-B529-CEA29B09AA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6C-B845-914C-9AF3BE267E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E6D8A9-D558-7E44-9CEB-C7DAA8103D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6C-B845-914C-9AF3BE267E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255133-DF69-9045-92EB-485E3C1377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6C-B845-914C-9AF3BE267E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BED272-911A-6243-BFC5-17E465ED58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6C-B845-914C-9AF3BE267E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2CB861-004C-F940-8B8D-EAF2874DF6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6C-B845-914C-9AF3BE267E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3C71C7-4DD9-234F-BBD9-43DC8DA6DE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6C-B845-914C-9AF3BE267E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36EC66-15B5-9D40-8844-01A0B3F0D0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6C-B845-914C-9AF3BE267E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07B24F-5573-A44C-A5F2-0DBC62FBF9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6C-B845-914C-9AF3BE267E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7EE031-C1A5-1E4D-864D-09555E5ABD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6C-B845-914C-9AF3BE267E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AD493D-C67D-6349-AEA3-64F7260FAC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6C-B845-914C-9AF3BE267E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CB35A6-D0CD-F24D-98C0-302C0405DD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6C-B845-914C-9AF3BE267E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E3E740-660B-C74D-ADA6-CAA4D51134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6C-B845-914C-9AF3BE267E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29A385-EE3C-0E45-A7D5-6F896CBEA3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6C-B845-914C-9AF3BE267E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7B17A8-C055-6141-AE8B-A318738DEA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6C-B845-914C-9AF3BE267E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1.9493177387914229E-3</c:v>
                </c:pt>
                <c:pt idx="4">
                  <c:v>0</c:v>
                </c:pt>
                <c:pt idx="5">
                  <c:v>3.8910505836575876E-3</c:v>
                </c:pt>
                <c:pt idx="6">
                  <c:v>9.7465886939571145E-3</c:v>
                </c:pt>
                <c:pt idx="7">
                  <c:v>7.7972709551656916E-3</c:v>
                </c:pt>
                <c:pt idx="8">
                  <c:v>1.364522417153996E-2</c:v>
                </c:pt>
                <c:pt idx="9">
                  <c:v>1.1695906432748537E-2</c:v>
                </c:pt>
                <c:pt idx="10">
                  <c:v>3.3073929961089495E-2</c:v>
                </c:pt>
                <c:pt idx="11">
                  <c:v>4.2801556420233464E-2</c:v>
                </c:pt>
                <c:pt idx="12">
                  <c:v>6.6147859922178989E-2</c:v>
                </c:pt>
                <c:pt idx="13">
                  <c:v>0.14230019493177387</c:v>
                </c:pt>
                <c:pt idx="14">
                  <c:v>0.16536964980544747</c:v>
                </c:pt>
                <c:pt idx="15">
                  <c:v>0.21206225680933852</c:v>
                </c:pt>
                <c:pt idx="16">
                  <c:v>0.27290448343079921</c:v>
                </c:pt>
                <c:pt idx="17">
                  <c:v>0.38011695906432746</c:v>
                </c:pt>
                <c:pt idx="18">
                  <c:v>0.4066147859922179</c:v>
                </c:pt>
                <c:pt idx="19">
                  <c:v>0.51750972762645919</c:v>
                </c:pt>
                <c:pt idx="20">
                  <c:v>0.57198443579766534</c:v>
                </c:pt>
                <c:pt idx="21">
                  <c:v>0.64396887159533078</c:v>
                </c:pt>
                <c:pt idx="22">
                  <c:v>0.72709551656920079</c:v>
                </c:pt>
                <c:pt idx="23">
                  <c:v>0.79182879377431903</c:v>
                </c:pt>
                <c:pt idx="24">
                  <c:v>0.84795321637426901</c:v>
                </c:pt>
                <c:pt idx="25">
                  <c:v>0.88326848249027234</c:v>
                </c:pt>
                <c:pt idx="26">
                  <c:v>0.92412451361867709</c:v>
                </c:pt>
                <c:pt idx="27">
                  <c:v>0.93579766536964981</c:v>
                </c:pt>
                <c:pt idx="28">
                  <c:v>0.95914396887159536</c:v>
                </c:pt>
                <c:pt idx="29">
                  <c:v>0.99027237354085607</c:v>
                </c:pt>
                <c:pt idx="30">
                  <c:v>0.98832684824902728</c:v>
                </c:pt>
                <c:pt idx="31">
                  <c:v>0.99610136452241715</c:v>
                </c:pt>
                <c:pt idx="32">
                  <c:v>0.99805068226120852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0.99588477366255146</c:v>
                </c:pt>
                <c:pt idx="13">
                  <c:v>0.99794661190965095</c:v>
                </c:pt>
                <c:pt idx="14">
                  <c:v>0.99176954732510292</c:v>
                </c:pt>
                <c:pt idx="15">
                  <c:v>0.97942386831275718</c:v>
                </c:pt>
                <c:pt idx="16">
                  <c:v>0.97125256673511295</c:v>
                </c:pt>
                <c:pt idx="17">
                  <c:v>0.95277207392197127</c:v>
                </c:pt>
                <c:pt idx="18">
                  <c:v>0.89917695473251025</c:v>
                </c:pt>
                <c:pt idx="19">
                  <c:v>0.8559670781893004</c:v>
                </c:pt>
                <c:pt idx="20">
                  <c:v>0.78395061728395066</c:v>
                </c:pt>
                <c:pt idx="21">
                  <c:v>0.62139917695473246</c:v>
                </c:pt>
                <c:pt idx="22">
                  <c:v>0.5420944558521561</c:v>
                </c:pt>
                <c:pt idx="23">
                  <c:v>0.43621399176954734</c:v>
                </c:pt>
                <c:pt idx="24">
                  <c:v>0.31416837782340862</c:v>
                </c:pt>
                <c:pt idx="25">
                  <c:v>0.21193415637860083</c:v>
                </c:pt>
                <c:pt idx="26">
                  <c:v>0.13786008230452676</c:v>
                </c:pt>
                <c:pt idx="27">
                  <c:v>9.6707818930041156E-2</c:v>
                </c:pt>
                <c:pt idx="28">
                  <c:v>3.4979423868312758E-2</c:v>
                </c:pt>
                <c:pt idx="29">
                  <c:v>2.2633744855967079E-2</c:v>
                </c:pt>
                <c:pt idx="30">
                  <c:v>1.2345679012345678E-2</c:v>
                </c:pt>
                <c:pt idx="31">
                  <c:v>2.0533880903490761E-3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7B6C-B845-914C-9AF3BE26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50F232-25D7-2F40-95BA-C5F713C03C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964-B84F-909B-3BF8442082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79A2BE-1769-9E4F-9D70-133C433962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64-B84F-909B-3BF8442082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4A6EA0-7958-2A41-B06D-C07B8C4EB8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64-B84F-909B-3BF8442082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B7D2D9-EA47-0941-9173-D7C4FBD2AB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64-B84F-909B-3BF8442082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005920-6EE7-2F49-A07D-C2A6EE3B14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64-B84F-909B-3BF8442082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02015D-75BB-1944-80B3-8A8ABA1D06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64-B84F-909B-3BF8442082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FD0D50-DD40-1A4B-B1AA-2DA4ACB3FF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64-B84F-909B-3BF8442082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F963FC-0AC8-C345-BC12-D0335FC698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64-B84F-909B-3BF8442082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B191F6-4B4A-284E-8829-D0871833E3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64-B84F-909B-3BF8442082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9A8189-940D-B34D-B95A-A4C5F83E1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64-B84F-909B-3BF8442082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9ABAA3-27FA-0247-8C6B-8B8E1B2C5F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64-B84F-909B-3BF8442082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55BA3D-F0D1-EB41-B0B0-43E0469632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64-B84F-909B-3BF8442082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8276C8-73A6-F34B-824E-90D6A479B8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64-B84F-909B-3BF8442082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55A70A-FA48-3B40-9016-E14D767704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64-B84F-909B-3BF8442082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5475C5-D76B-9A4F-A952-F4421AF243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64-B84F-909B-3BF8442082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5FB98A-E26C-9341-88EF-6C4ABF0896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64-B84F-909B-3BF8442082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106F1E-99F1-FB4C-A99A-E95BF8C618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64-B84F-909B-3BF8442082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B645DA-AEAE-7B4A-AD54-67BDC505AC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64-B84F-909B-3BF8442082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BEB2848-C9D6-3F4B-B26B-D7C92547E2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64-B84F-909B-3BF8442082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0BBB21-8276-4D4C-8EE2-91FD31746D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64-B84F-909B-3BF8442082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07B98F-1FEA-3D44-949E-3C50DE1182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64-B84F-909B-3BF8442082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440BA1-AB14-0347-BA88-87DECE6CC2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64-B84F-909B-3BF8442082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BADBD4-1700-EE4A-8F5C-61873A9A4D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64-B84F-909B-3BF8442082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5B0AE2-F425-A149-A606-01EAEFF4E8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64-B84F-909B-3BF8442082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C9CFE8-9627-4E48-8C90-BB6FD1535F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64-B84F-909B-3BF8442082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FD57CC-1273-194C-ADFB-006D09BB69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64-B84F-909B-3BF8442082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DD5D95-0540-9D40-B2D6-5B649AA5D4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64-B84F-909B-3BF8442082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4EE553-8997-7B4C-9699-B9F2ABB4BF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64-B84F-909B-3BF8442082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6A49AF1-259A-C843-B18D-5BFD4F66B3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64-B84F-909B-3BF8442082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20A9E7-58AC-0B48-832C-A33B907ADC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64-B84F-909B-3BF8442082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FD6AC60-E5A8-2047-8AF3-B2C017D140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64-B84F-909B-3BF8442082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2EB1F0-D62A-004C-A98D-7D03122418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64-B84F-909B-3BF8442082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715560-4C79-5F4B-A0B9-B9B7EE0279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64-B84F-909B-3BF844208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0.99805447470817121</c:v>
                </c:pt>
                <c:pt idx="5">
                  <c:v>0.99610136452241715</c:v>
                </c:pt>
                <c:pt idx="6">
                  <c:v>0.99805447470817121</c:v>
                </c:pt>
                <c:pt idx="7">
                  <c:v>0.98443579766536971</c:v>
                </c:pt>
                <c:pt idx="8">
                  <c:v>0.99220272904483431</c:v>
                </c:pt>
                <c:pt idx="9">
                  <c:v>0.98830409356725146</c:v>
                </c:pt>
                <c:pt idx="10">
                  <c:v>0.94747081712062253</c:v>
                </c:pt>
                <c:pt idx="11">
                  <c:v>0.94941634241245132</c:v>
                </c:pt>
                <c:pt idx="12">
                  <c:v>0.91634241245136183</c:v>
                </c:pt>
                <c:pt idx="13">
                  <c:v>0.8754863813229572</c:v>
                </c:pt>
                <c:pt idx="14">
                  <c:v>0.84630350194552528</c:v>
                </c:pt>
                <c:pt idx="15">
                  <c:v>0.76070038910505833</c:v>
                </c:pt>
                <c:pt idx="16">
                  <c:v>0.74708171206225682</c:v>
                </c:pt>
                <c:pt idx="17">
                  <c:v>0.66147859922178986</c:v>
                </c:pt>
                <c:pt idx="18">
                  <c:v>0.5622568093385214</c:v>
                </c:pt>
                <c:pt idx="19">
                  <c:v>0.53216374269005851</c:v>
                </c:pt>
                <c:pt idx="20">
                  <c:v>0.43579766536964981</c:v>
                </c:pt>
                <c:pt idx="21">
                  <c:v>0.3268482490272373</c:v>
                </c:pt>
                <c:pt idx="22">
                  <c:v>0.27680311890838205</c:v>
                </c:pt>
                <c:pt idx="23">
                  <c:v>0.21052631578947367</c:v>
                </c:pt>
                <c:pt idx="24">
                  <c:v>0.16374269005847952</c:v>
                </c:pt>
                <c:pt idx="25">
                  <c:v>0.12062256809338523</c:v>
                </c:pt>
                <c:pt idx="26">
                  <c:v>7.1984435797665336E-2</c:v>
                </c:pt>
                <c:pt idx="27">
                  <c:v>7.1984435797665336E-2</c:v>
                </c:pt>
                <c:pt idx="28">
                  <c:v>3.1128404669260701E-2</c:v>
                </c:pt>
                <c:pt idx="29">
                  <c:v>1.9493177387914229E-2</c:v>
                </c:pt>
                <c:pt idx="30">
                  <c:v>1.5594541910331383E-2</c:v>
                </c:pt>
                <c:pt idx="31">
                  <c:v>3.8910505836575737E-3</c:v>
                </c:pt>
                <c:pt idx="32">
                  <c:v>1.9493177387914784E-3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0.99588477366255146</c:v>
                </c:pt>
                <c:pt idx="14">
                  <c:v>0.99176954732510292</c:v>
                </c:pt>
                <c:pt idx="15">
                  <c:v>0.99588477366255146</c:v>
                </c:pt>
                <c:pt idx="16">
                  <c:v>0.97736625514403297</c:v>
                </c:pt>
                <c:pt idx="17">
                  <c:v>0.94855967078189296</c:v>
                </c:pt>
                <c:pt idx="18">
                  <c:v>0.91152263374485598</c:v>
                </c:pt>
                <c:pt idx="19">
                  <c:v>0.84188911704312119</c:v>
                </c:pt>
                <c:pt idx="20">
                  <c:v>0.75720164609053497</c:v>
                </c:pt>
                <c:pt idx="21">
                  <c:v>0.64814814814814814</c:v>
                </c:pt>
                <c:pt idx="22">
                  <c:v>0.5154004106776181</c:v>
                </c:pt>
                <c:pt idx="23">
                  <c:v>0.38603696098562629</c:v>
                </c:pt>
                <c:pt idx="24">
                  <c:v>0.30800821355236141</c:v>
                </c:pt>
                <c:pt idx="25">
                  <c:v>0.22222222222222221</c:v>
                </c:pt>
                <c:pt idx="26">
                  <c:v>0.14609053497942387</c:v>
                </c:pt>
                <c:pt idx="27">
                  <c:v>6.1728395061728392E-2</c:v>
                </c:pt>
                <c:pt idx="28">
                  <c:v>3.4979423868312758E-2</c:v>
                </c:pt>
                <c:pt idx="29">
                  <c:v>2.0533880903490759E-2</c:v>
                </c:pt>
                <c:pt idx="30">
                  <c:v>1.4373716632443531E-2</c:v>
                </c:pt>
                <c:pt idx="31">
                  <c:v>4.11522633744856E-3</c:v>
                </c:pt>
                <c:pt idx="32">
                  <c:v>6.1601642710472282E-3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4964-B84F-909B-3BF844208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C51659-D59B-FE45-80CD-08C055E91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EA9CC0-557A-654F-BDD3-5788FA9D6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02CAFD-1AFA-FA4F-9F7D-D268CF099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35F5B55-B79A-CE49-9072-6240AC0119CA}"/>
            </a:ext>
          </a:extLst>
        </xdr:cNvPr>
        <xdr:cNvSpPr txBox="1"/>
      </xdr:nvSpPr>
      <xdr:spPr>
        <a:xfrm>
          <a:off x="850900" y="2286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856970-5D05-4549-9D55-3AABA101553D}"/>
            </a:ext>
          </a:extLst>
        </xdr:cNvPr>
        <xdr:cNvSpPr txBox="1"/>
      </xdr:nvSpPr>
      <xdr:spPr>
        <a:xfrm>
          <a:off x="825500" y="2032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2EE9C5-8E89-2B46-B864-A249A193B3AA}"/>
            </a:ext>
          </a:extLst>
        </xdr:cNvPr>
        <xdr:cNvSpPr txBox="1"/>
      </xdr:nvSpPr>
      <xdr:spPr>
        <a:xfrm>
          <a:off x="825500" y="2032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BD2DCF-20A6-384C-8157-8DC82FC7AAA0}"/>
            </a:ext>
          </a:extLst>
        </xdr:cNvPr>
        <xdr:cNvSpPr txBox="1"/>
      </xdr:nvSpPr>
      <xdr:spPr>
        <a:xfrm>
          <a:off x="825500" y="203200"/>
          <a:ext cx="91313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plot(d$Petal.Width,yhat,col = d$Species)</a:t>
          </a:r>
        </a:p>
        <a:p>
          <a:r>
            <a:rPr lang="en-US" sz="2000"/>
            <a:t>points(d$Petal.Width,y,col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800100</xdr:colOff>
      <xdr:row>9</xdr:row>
      <xdr:rowOff>190500</xdr:rowOff>
    </xdr:from>
    <xdr:ext cx="74930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265278DC-0021-BA44-97A2-3F271B4D8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20193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1D5131AC-4DBC-414C-8F76-54AFB521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79B380-2D0A-104D-940F-CEAA30506C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C1BEC266-1CEB-1745-B192-84520A0F2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B9397C5A-BD2E-3846-A270-DCC655BE5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C0C38B-AA9A-5049-B93F-2014DEDC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1B31E2-F250-F14D-A720-64077BEB3A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Precision_and_recall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A1:C15"/>
  <sheetViews>
    <sheetView tabSelected="1" workbookViewId="0"/>
  </sheetViews>
  <sheetFormatPr baseColWidth="10" defaultRowHeight="26" x14ac:dyDescent="0.3"/>
  <cols>
    <col min="1" max="16384" width="10.83203125" style="1"/>
  </cols>
  <sheetData>
    <row r="1" spans="1:3" x14ac:dyDescent="0.3">
      <c r="A1" s="1" t="s">
        <v>239</v>
      </c>
    </row>
    <row r="3" spans="1:3" x14ac:dyDescent="0.3">
      <c r="B3" s="1" t="s">
        <v>3</v>
      </c>
    </row>
    <row r="4" spans="1:3" x14ac:dyDescent="0.3">
      <c r="C4" s="1" t="s">
        <v>181</v>
      </c>
    </row>
    <row r="5" spans="1:3" x14ac:dyDescent="0.3">
      <c r="C5" s="1" t="s">
        <v>182</v>
      </c>
    </row>
    <row r="7" spans="1:3" x14ac:dyDescent="0.3">
      <c r="B7" s="1" t="s">
        <v>4</v>
      </c>
    </row>
    <row r="8" spans="1:3" x14ac:dyDescent="0.3">
      <c r="C8" s="1" t="s">
        <v>183</v>
      </c>
    </row>
    <row r="9" spans="1:3" x14ac:dyDescent="0.3">
      <c r="C9" s="1" t="s">
        <v>184</v>
      </c>
    </row>
    <row r="11" spans="1:3" x14ac:dyDescent="0.3">
      <c r="B11" s="1" t="s">
        <v>13</v>
      </c>
    </row>
    <row r="12" spans="1:3" x14ac:dyDescent="0.3">
      <c r="C12" s="1" t="s">
        <v>185</v>
      </c>
    </row>
    <row r="14" spans="1:3" x14ac:dyDescent="0.3">
      <c r="B14" s="1" t="s">
        <v>113</v>
      </c>
    </row>
    <row r="15" spans="1:3" x14ac:dyDescent="0.3">
      <c r="C15" s="1" t="s">
        <v>186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</v>
      </c>
    </row>
    <row r="4" spans="2:2" x14ac:dyDescent="0.3">
      <c r="B4" s="1" t="s">
        <v>6</v>
      </c>
    </row>
    <row r="6" spans="2:2" x14ac:dyDescent="0.3">
      <c r="B6" s="1" t="s">
        <v>7</v>
      </c>
    </row>
    <row r="8" spans="2:2" x14ac:dyDescent="0.3">
      <c r="B8" s="1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</v>
      </c>
    </row>
    <row r="2" spans="1:1" x14ac:dyDescent="0.3">
      <c r="A2" s="1" t="s">
        <v>20</v>
      </c>
    </row>
    <row r="3" spans="1:1" x14ac:dyDescent="0.3">
      <c r="A3" s="1" t="s">
        <v>18</v>
      </c>
    </row>
    <row r="4" spans="1:1" x14ac:dyDescent="0.3">
      <c r="A4" s="1" t="s">
        <v>17</v>
      </c>
    </row>
    <row r="5" spans="1:1" x14ac:dyDescent="0.3">
      <c r="A5" s="1" t="s">
        <v>16</v>
      </c>
    </row>
    <row r="6" spans="1:1" x14ac:dyDescent="0.3">
      <c r="A6" s="1" t="s">
        <v>15</v>
      </c>
    </row>
    <row r="7" spans="1:1" x14ac:dyDescent="0.3">
      <c r="A7" s="1" t="s">
        <v>194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240</v>
      </c>
    </row>
  </sheetData>
  <hyperlinks>
    <hyperlink ref="A1" r:id="rId1" display="Setup" xr:uid="{609AAADD-BF1E-3F47-B22C-C95597AC3103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18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195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196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198</v>
      </c>
    </row>
    <row r="2" spans="1:1" x14ac:dyDescent="0.3">
      <c r="A2" s="6" t="s">
        <v>199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197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122</v>
      </c>
    </row>
    <row r="2" spans="1:1" x14ac:dyDescent="0.3">
      <c r="A2" s="1" t="s">
        <v>123</v>
      </c>
    </row>
    <row r="3" spans="1:1" x14ac:dyDescent="0.3">
      <c r="A3" s="1" t="s">
        <v>124</v>
      </c>
    </row>
    <row r="4" spans="1:1" x14ac:dyDescent="0.3">
      <c r="A4" s="1" t="s">
        <v>125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122</v>
      </c>
    </row>
  </sheetData>
  <hyperlinks>
    <hyperlink ref="A1" r:id="rId1" xr:uid="{0D455476-1CBE-6349-9F99-F71F539EAA56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0"/>
    <col min="2" max="2" width="20.83203125" style="10" bestFit="1" customWidth="1"/>
    <col min="3" max="16384" width="14.5" style="10"/>
  </cols>
  <sheetData>
    <row r="1" spans="1:11" x14ac:dyDescent="0.2">
      <c r="A1" s="9" t="s">
        <v>21</v>
      </c>
      <c r="B1" s="9" t="s">
        <v>22</v>
      </c>
      <c r="C1" s="9" t="s">
        <v>23</v>
      </c>
      <c r="D1" s="9" t="s">
        <v>24</v>
      </c>
      <c r="E1" s="9" t="s">
        <v>25</v>
      </c>
      <c r="F1" s="9" t="s">
        <v>26</v>
      </c>
      <c r="G1" s="9" t="s">
        <v>27</v>
      </c>
      <c r="H1" s="9" t="s">
        <v>28</v>
      </c>
      <c r="I1" s="9" t="s">
        <v>29</v>
      </c>
      <c r="J1" s="9" t="s">
        <v>30</v>
      </c>
      <c r="K1" s="9" t="s">
        <v>31</v>
      </c>
    </row>
    <row r="2" spans="1:11" x14ac:dyDescent="0.2">
      <c r="A2" s="9" t="s">
        <v>32</v>
      </c>
      <c r="B2" s="9" t="s">
        <v>33</v>
      </c>
      <c r="C2" s="9">
        <v>1.8</v>
      </c>
      <c r="D2" s="9">
        <v>1999</v>
      </c>
      <c r="E2" s="9">
        <v>4</v>
      </c>
      <c r="F2" s="9" t="s">
        <v>34</v>
      </c>
      <c r="G2" s="9" t="s">
        <v>35</v>
      </c>
      <c r="H2" s="9">
        <v>18</v>
      </c>
      <c r="I2" s="9">
        <v>29</v>
      </c>
      <c r="J2" s="9" t="s">
        <v>0</v>
      </c>
      <c r="K2" s="9" t="s">
        <v>36</v>
      </c>
    </row>
    <row r="3" spans="1:11" x14ac:dyDescent="0.2">
      <c r="A3" s="9" t="s">
        <v>32</v>
      </c>
      <c r="B3" s="9" t="s">
        <v>33</v>
      </c>
      <c r="C3" s="9">
        <v>1.8</v>
      </c>
      <c r="D3" s="9">
        <v>1999</v>
      </c>
      <c r="E3" s="9">
        <v>4</v>
      </c>
      <c r="F3" s="9" t="s">
        <v>37</v>
      </c>
      <c r="G3" s="9" t="s">
        <v>35</v>
      </c>
      <c r="H3" s="9">
        <v>21</v>
      </c>
      <c r="I3" s="9">
        <v>29</v>
      </c>
      <c r="J3" s="9" t="s">
        <v>0</v>
      </c>
      <c r="K3" s="9" t="s">
        <v>36</v>
      </c>
    </row>
    <row r="4" spans="1:11" x14ac:dyDescent="0.2">
      <c r="A4" s="9" t="s">
        <v>32</v>
      </c>
      <c r="B4" s="9" t="s">
        <v>33</v>
      </c>
      <c r="C4" s="9">
        <v>2</v>
      </c>
      <c r="D4" s="9">
        <v>2008</v>
      </c>
      <c r="E4" s="9">
        <v>4</v>
      </c>
      <c r="F4" s="9" t="s">
        <v>38</v>
      </c>
      <c r="G4" s="9" t="s">
        <v>35</v>
      </c>
      <c r="H4" s="9">
        <v>20</v>
      </c>
      <c r="I4" s="9">
        <v>31</v>
      </c>
      <c r="J4" s="9" t="s">
        <v>0</v>
      </c>
      <c r="K4" s="9" t="s">
        <v>36</v>
      </c>
    </row>
    <row r="5" spans="1:11" x14ac:dyDescent="0.2">
      <c r="A5" s="9" t="s">
        <v>32</v>
      </c>
      <c r="B5" s="9" t="s">
        <v>33</v>
      </c>
      <c r="C5" s="9">
        <v>2</v>
      </c>
      <c r="D5" s="9">
        <v>2008</v>
      </c>
      <c r="E5" s="9">
        <v>4</v>
      </c>
      <c r="F5" s="9" t="s">
        <v>39</v>
      </c>
      <c r="G5" s="9" t="s">
        <v>35</v>
      </c>
      <c r="H5" s="9">
        <v>21</v>
      </c>
      <c r="I5" s="9">
        <v>30</v>
      </c>
      <c r="J5" s="9" t="s">
        <v>0</v>
      </c>
      <c r="K5" s="9" t="s">
        <v>36</v>
      </c>
    </row>
    <row r="6" spans="1:11" x14ac:dyDescent="0.2">
      <c r="A6" s="9" t="s">
        <v>32</v>
      </c>
      <c r="B6" s="9" t="s">
        <v>33</v>
      </c>
      <c r="C6" s="9">
        <v>2.8</v>
      </c>
      <c r="D6" s="9">
        <v>1999</v>
      </c>
      <c r="E6" s="9">
        <v>6</v>
      </c>
      <c r="F6" s="9" t="s">
        <v>34</v>
      </c>
      <c r="G6" s="9" t="s">
        <v>35</v>
      </c>
      <c r="H6" s="9">
        <v>16</v>
      </c>
      <c r="I6" s="9">
        <v>26</v>
      </c>
      <c r="J6" s="9" t="s">
        <v>0</v>
      </c>
      <c r="K6" s="9" t="s">
        <v>36</v>
      </c>
    </row>
    <row r="7" spans="1:11" x14ac:dyDescent="0.2">
      <c r="A7" s="9" t="s">
        <v>32</v>
      </c>
      <c r="B7" s="9" t="s">
        <v>33</v>
      </c>
      <c r="C7" s="9">
        <v>2.8</v>
      </c>
      <c r="D7" s="9">
        <v>1999</v>
      </c>
      <c r="E7" s="9">
        <v>6</v>
      </c>
      <c r="F7" s="9" t="s">
        <v>37</v>
      </c>
      <c r="G7" s="9" t="s">
        <v>35</v>
      </c>
      <c r="H7" s="9">
        <v>18</v>
      </c>
      <c r="I7" s="9">
        <v>26</v>
      </c>
      <c r="J7" s="9" t="s">
        <v>0</v>
      </c>
      <c r="K7" s="9" t="s">
        <v>36</v>
      </c>
    </row>
    <row r="8" spans="1:11" x14ac:dyDescent="0.2">
      <c r="A8" s="9" t="s">
        <v>32</v>
      </c>
      <c r="B8" s="9" t="s">
        <v>33</v>
      </c>
      <c r="C8" s="9">
        <v>3.1</v>
      </c>
      <c r="D8" s="9">
        <v>2008</v>
      </c>
      <c r="E8" s="9">
        <v>6</v>
      </c>
      <c r="F8" s="9" t="s">
        <v>39</v>
      </c>
      <c r="G8" s="9" t="s">
        <v>35</v>
      </c>
      <c r="H8" s="9">
        <v>18</v>
      </c>
      <c r="I8" s="9">
        <v>27</v>
      </c>
      <c r="J8" s="9" t="s">
        <v>0</v>
      </c>
      <c r="K8" s="9" t="s">
        <v>36</v>
      </c>
    </row>
    <row r="9" spans="1:11" x14ac:dyDescent="0.2">
      <c r="A9" s="9" t="s">
        <v>32</v>
      </c>
      <c r="B9" s="9" t="s">
        <v>40</v>
      </c>
      <c r="C9" s="9">
        <v>1.8</v>
      </c>
      <c r="D9" s="9">
        <v>1999</v>
      </c>
      <c r="E9" s="9">
        <v>4</v>
      </c>
      <c r="F9" s="9" t="s">
        <v>37</v>
      </c>
      <c r="G9" s="9">
        <v>4</v>
      </c>
      <c r="H9" s="9">
        <v>18</v>
      </c>
      <c r="I9" s="9">
        <v>26</v>
      </c>
      <c r="J9" s="9" t="s">
        <v>0</v>
      </c>
      <c r="K9" s="9" t="s">
        <v>36</v>
      </c>
    </row>
    <row r="10" spans="1:11" x14ac:dyDescent="0.2">
      <c r="A10" s="9" t="s">
        <v>32</v>
      </c>
      <c r="B10" s="9" t="s">
        <v>40</v>
      </c>
      <c r="C10" s="9">
        <v>1.8</v>
      </c>
      <c r="D10" s="9">
        <v>1999</v>
      </c>
      <c r="E10" s="9">
        <v>4</v>
      </c>
      <c r="F10" s="9" t="s">
        <v>34</v>
      </c>
      <c r="G10" s="9">
        <v>4</v>
      </c>
      <c r="H10" s="9">
        <v>16</v>
      </c>
      <c r="I10" s="9">
        <v>25</v>
      </c>
      <c r="J10" s="9" t="s">
        <v>0</v>
      </c>
      <c r="K10" s="9" t="s">
        <v>36</v>
      </c>
    </row>
    <row r="11" spans="1:11" x14ac:dyDescent="0.2">
      <c r="A11" s="9" t="s">
        <v>32</v>
      </c>
      <c r="B11" s="9" t="s">
        <v>40</v>
      </c>
      <c r="C11" s="9">
        <v>2</v>
      </c>
      <c r="D11" s="9">
        <v>2008</v>
      </c>
      <c r="E11" s="9">
        <v>4</v>
      </c>
      <c r="F11" s="9" t="s">
        <v>38</v>
      </c>
      <c r="G11" s="9">
        <v>4</v>
      </c>
      <c r="H11" s="9">
        <v>20</v>
      </c>
      <c r="I11" s="9">
        <v>28</v>
      </c>
      <c r="J11" s="9" t="s">
        <v>0</v>
      </c>
      <c r="K11" s="9" t="s">
        <v>36</v>
      </c>
    </row>
    <row r="12" spans="1:11" x14ac:dyDescent="0.2">
      <c r="A12" s="9" t="s">
        <v>32</v>
      </c>
      <c r="B12" s="9" t="s">
        <v>40</v>
      </c>
      <c r="C12" s="9">
        <v>2</v>
      </c>
      <c r="D12" s="9">
        <v>2008</v>
      </c>
      <c r="E12" s="9">
        <v>4</v>
      </c>
      <c r="F12" s="9" t="s">
        <v>41</v>
      </c>
      <c r="G12" s="9">
        <v>4</v>
      </c>
      <c r="H12" s="9">
        <v>19</v>
      </c>
      <c r="I12" s="9">
        <v>27</v>
      </c>
      <c r="J12" s="9" t="s">
        <v>0</v>
      </c>
      <c r="K12" s="9" t="s">
        <v>36</v>
      </c>
    </row>
    <row r="13" spans="1:11" x14ac:dyDescent="0.2">
      <c r="A13" s="9" t="s">
        <v>32</v>
      </c>
      <c r="B13" s="9" t="s">
        <v>40</v>
      </c>
      <c r="C13" s="9">
        <v>2.8</v>
      </c>
      <c r="D13" s="9">
        <v>1999</v>
      </c>
      <c r="E13" s="9">
        <v>6</v>
      </c>
      <c r="F13" s="9" t="s">
        <v>34</v>
      </c>
      <c r="G13" s="9">
        <v>4</v>
      </c>
      <c r="H13" s="9">
        <v>15</v>
      </c>
      <c r="I13" s="9">
        <v>25</v>
      </c>
      <c r="J13" s="9" t="s">
        <v>0</v>
      </c>
      <c r="K13" s="9" t="s">
        <v>36</v>
      </c>
    </row>
    <row r="14" spans="1:11" x14ac:dyDescent="0.2">
      <c r="A14" s="9" t="s">
        <v>32</v>
      </c>
      <c r="B14" s="9" t="s">
        <v>40</v>
      </c>
      <c r="C14" s="9">
        <v>2.8</v>
      </c>
      <c r="D14" s="9">
        <v>1999</v>
      </c>
      <c r="E14" s="9">
        <v>6</v>
      </c>
      <c r="F14" s="9" t="s">
        <v>37</v>
      </c>
      <c r="G14" s="9">
        <v>4</v>
      </c>
      <c r="H14" s="9">
        <v>17</v>
      </c>
      <c r="I14" s="9">
        <v>25</v>
      </c>
      <c r="J14" s="9" t="s">
        <v>0</v>
      </c>
      <c r="K14" s="9" t="s">
        <v>36</v>
      </c>
    </row>
    <row r="15" spans="1:11" x14ac:dyDescent="0.2">
      <c r="A15" s="9" t="s">
        <v>32</v>
      </c>
      <c r="B15" s="9" t="s">
        <v>40</v>
      </c>
      <c r="C15" s="9">
        <v>3.1</v>
      </c>
      <c r="D15" s="9">
        <v>2008</v>
      </c>
      <c r="E15" s="9">
        <v>6</v>
      </c>
      <c r="F15" s="9" t="s">
        <v>41</v>
      </c>
      <c r="G15" s="9">
        <v>4</v>
      </c>
      <c r="H15" s="9">
        <v>17</v>
      </c>
      <c r="I15" s="9">
        <v>25</v>
      </c>
      <c r="J15" s="9" t="s">
        <v>0</v>
      </c>
      <c r="K15" s="9" t="s">
        <v>36</v>
      </c>
    </row>
    <row r="16" spans="1:11" x14ac:dyDescent="0.2">
      <c r="A16" s="9" t="s">
        <v>32</v>
      </c>
      <c r="B16" s="9" t="s">
        <v>40</v>
      </c>
      <c r="C16" s="9">
        <v>3.1</v>
      </c>
      <c r="D16" s="9">
        <v>2008</v>
      </c>
      <c r="E16" s="9">
        <v>6</v>
      </c>
      <c r="F16" s="9" t="s">
        <v>38</v>
      </c>
      <c r="G16" s="9">
        <v>4</v>
      </c>
      <c r="H16" s="9">
        <v>15</v>
      </c>
      <c r="I16" s="9">
        <v>25</v>
      </c>
      <c r="J16" s="9" t="s">
        <v>0</v>
      </c>
      <c r="K16" s="9" t="s">
        <v>36</v>
      </c>
    </row>
    <row r="17" spans="1:11" x14ac:dyDescent="0.2">
      <c r="A17" s="9" t="s">
        <v>32</v>
      </c>
      <c r="B17" s="9" t="s">
        <v>42</v>
      </c>
      <c r="C17" s="9">
        <v>2.8</v>
      </c>
      <c r="D17" s="9">
        <v>1999</v>
      </c>
      <c r="E17" s="9">
        <v>6</v>
      </c>
      <c r="F17" s="9" t="s">
        <v>34</v>
      </c>
      <c r="G17" s="9">
        <v>4</v>
      </c>
      <c r="H17" s="9">
        <v>15</v>
      </c>
      <c r="I17" s="9">
        <v>24</v>
      </c>
      <c r="J17" s="9" t="s">
        <v>0</v>
      </c>
      <c r="K17" s="9" t="s">
        <v>43</v>
      </c>
    </row>
    <row r="18" spans="1:11" x14ac:dyDescent="0.2">
      <c r="A18" s="9" t="s">
        <v>32</v>
      </c>
      <c r="B18" s="9" t="s">
        <v>42</v>
      </c>
      <c r="C18" s="9">
        <v>3.1</v>
      </c>
      <c r="D18" s="9">
        <v>2008</v>
      </c>
      <c r="E18" s="9">
        <v>6</v>
      </c>
      <c r="F18" s="9" t="s">
        <v>41</v>
      </c>
      <c r="G18" s="9">
        <v>4</v>
      </c>
      <c r="H18" s="9">
        <v>17</v>
      </c>
      <c r="I18" s="9">
        <v>25</v>
      </c>
      <c r="J18" s="9" t="s">
        <v>0</v>
      </c>
      <c r="K18" s="9" t="s">
        <v>43</v>
      </c>
    </row>
    <row r="19" spans="1:11" x14ac:dyDescent="0.2">
      <c r="A19" s="9" t="s">
        <v>32</v>
      </c>
      <c r="B19" s="9" t="s">
        <v>42</v>
      </c>
      <c r="C19" s="9">
        <v>4.2</v>
      </c>
      <c r="D19" s="9">
        <v>2008</v>
      </c>
      <c r="E19" s="9">
        <v>8</v>
      </c>
      <c r="F19" s="9" t="s">
        <v>41</v>
      </c>
      <c r="G19" s="9">
        <v>4</v>
      </c>
      <c r="H19" s="9">
        <v>16</v>
      </c>
      <c r="I19" s="9">
        <v>23</v>
      </c>
      <c r="J19" s="9" t="s">
        <v>0</v>
      </c>
      <c r="K19" s="9" t="s">
        <v>43</v>
      </c>
    </row>
    <row r="20" spans="1:11" x14ac:dyDescent="0.2">
      <c r="A20" s="9" t="s">
        <v>44</v>
      </c>
      <c r="B20" s="9" t="s">
        <v>45</v>
      </c>
      <c r="C20" s="9">
        <v>5.3</v>
      </c>
      <c r="D20" s="9">
        <v>2008</v>
      </c>
      <c r="E20" s="9">
        <v>8</v>
      </c>
      <c r="F20" s="9" t="s">
        <v>46</v>
      </c>
      <c r="G20" s="9" t="s">
        <v>47</v>
      </c>
      <c r="H20" s="9">
        <v>14</v>
      </c>
      <c r="I20" s="9">
        <v>20</v>
      </c>
      <c r="J20" s="9" t="s">
        <v>47</v>
      </c>
      <c r="K20" s="9" t="s">
        <v>48</v>
      </c>
    </row>
    <row r="21" spans="1:11" x14ac:dyDescent="0.2">
      <c r="A21" s="9" t="s">
        <v>44</v>
      </c>
      <c r="B21" s="9" t="s">
        <v>45</v>
      </c>
      <c r="C21" s="9">
        <v>5.3</v>
      </c>
      <c r="D21" s="9">
        <v>2008</v>
      </c>
      <c r="E21" s="9">
        <v>8</v>
      </c>
      <c r="F21" s="9" t="s">
        <v>46</v>
      </c>
      <c r="G21" s="9" t="s">
        <v>47</v>
      </c>
      <c r="H21" s="9">
        <v>11</v>
      </c>
      <c r="I21" s="9">
        <v>15</v>
      </c>
      <c r="J21" s="9" t="s">
        <v>49</v>
      </c>
      <c r="K21" s="9" t="s">
        <v>48</v>
      </c>
    </row>
    <row r="22" spans="1:11" x14ac:dyDescent="0.2">
      <c r="A22" s="9" t="s">
        <v>44</v>
      </c>
      <c r="B22" s="9" t="s">
        <v>45</v>
      </c>
      <c r="C22" s="9">
        <v>5.3</v>
      </c>
      <c r="D22" s="9">
        <v>2008</v>
      </c>
      <c r="E22" s="9">
        <v>8</v>
      </c>
      <c r="F22" s="9" t="s">
        <v>46</v>
      </c>
      <c r="G22" s="9" t="s">
        <v>47</v>
      </c>
      <c r="H22" s="9">
        <v>14</v>
      </c>
      <c r="I22" s="9">
        <v>20</v>
      </c>
      <c r="J22" s="9" t="s">
        <v>47</v>
      </c>
      <c r="K22" s="9" t="s">
        <v>48</v>
      </c>
    </row>
    <row r="23" spans="1:11" x14ac:dyDescent="0.2">
      <c r="A23" s="9" t="s">
        <v>44</v>
      </c>
      <c r="B23" s="9" t="s">
        <v>45</v>
      </c>
      <c r="C23" s="9">
        <v>5.7</v>
      </c>
      <c r="D23" s="9">
        <v>1999</v>
      </c>
      <c r="E23" s="9">
        <v>8</v>
      </c>
      <c r="F23" s="9" t="s">
        <v>46</v>
      </c>
      <c r="G23" s="9" t="s">
        <v>47</v>
      </c>
      <c r="H23" s="9">
        <v>13</v>
      </c>
      <c r="I23" s="9">
        <v>17</v>
      </c>
      <c r="J23" s="9" t="s">
        <v>47</v>
      </c>
      <c r="K23" s="9" t="s">
        <v>48</v>
      </c>
    </row>
    <row r="24" spans="1:11" x14ac:dyDescent="0.2">
      <c r="A24" s="9" t="s">
        <v>44</v>
      </c>
      <c r="B24" s="9" t="s">
        <v>45</v>
      </c>
      <c r="C24" s="9">
        <v>6</v>
      </c>
      <c r="D24" s="9">
        <v>2008</v>
      </c>
      <c r="E24" s="9">
        <v>8</v>
      </c>
      <c r="F24" s="9" t="s">
        <v>46</v>
      </c>
      <c r="G24" s="9" t="s">
        <v>47</v>
      </c>
      <c r="H24" s="9">
        <v>12</v>
      </c>
      <c r="I24" s="9">
        <v>17</v>
      </c>
      <c r="J24" s="9" t="s">
        <v>47</v>
      </c>
      <c r="K24" s="9" t="s">
        <v>48</v>
      </c>
    </row>
    <row r="25" spans="1:11" x14ac:dyDescent="0.2">
      <c r="A25" s="9" t="s">
        <v>44</v>
      </c>
      <c r="B25" s="9" t="s">
        <v>50</v>
      </c>
      <c r="C25" s="9">
        <v>5.7</v>
      </c>
      <c r="D25" s="9">
        <v>1999</v>
      </c>
      <c r="E25" s="9">
        <v>8</v>
      </c>
      <c r="F25" s="9" t="s">
        <v>38</v>
      </c>
      <c r="G25" s="9" t="s">
        <v>47</v>
      </c>
      <c r="H25" s="9">
        <v>16</v>
      </c>
      <c r="I25" s="9">
        <v>26</v>
      </c>
      <c r="J25" s="9" t="s">
        <v>0</v>
      </c>
      <c r="K25" s="9" t="s">
        <v>51</v>
      </c>
    </row>
    <row r="26" spans="1:11" x14ac:dyDescent="0.2">
      <c r="A26" s="9" t="s">
        <v>44</v>
      </c>
      <c r="B26" s="9" t="s">
        <v>50</v>
      </c>
      <c r="C26" s="9">
        <v>5.7</v>
      </c>
      <c r="D26" s="9">
        <v>1999</v>
      </c>
      <c r="E26" s="9">
        <v>8</v>
      </c>
      <c r="F26" s="9" t="s">
        <v>46</v>
      </c>
      <c r="G26" s="9" t="s">
        <v>47</v>
      </c>
      <c r="H26" s="9">
        <v>15</v>
      </c>
      <c r="I26" s="9">
        <v>23</v>
      </c>
      <c r="J26" s="9" t="s">
        <v>0</v>
      </c>
      <c r="K26" s="9" t="s">
        <v>51</v>
      </c>
    </row>
    <row r="27" spans="1:11" x14ac:dyDescent="0.2">
      <c r="A27" s="9" t="s">
        <v>44</v>
      </c>
      <c r="B27" s="9" t="s">
        <v>50</v>
      </c>
      <c r="C27" s="9">
        <v>6.2</v>
      </c>
      <c r="D27" s="9">
        <v>2008</v>
      </c>
      <c r="E27" s="9">
        <v>8</v>
      </c>
      <c r="F27" s="9" t="s">
        <v>38</v>
      </c>
      <c r="G27" s="9" t="s">
        <v>47</v>
      </c>
      <c r="H27" s="9">
        <v>16</v>
      </c>
      <c r="I27" s="9">
        <v>26</v>
      </c>
      <c r="J27" s="9" t="s">
        <v>0</v>
      </c>
      <c r="K27" s="9" t="s">
        <v>51</v>
      </c>
    </row>
    <row r="28" spans="1:11" x14ac:dyDescent="0.2">
      <c r="A28" s="9" t="s">
        <v>44</v>
      </c>
      <c r="B28" s="9" t="s">
        <v>50</v>
      </c>
      <c r="C28" s="9">
        <v>6.2</v>
      </c>
      <c r="D28" s="9">
        <v>2008</v>
      </c>
      <c r="E28" s="9">
        <v>8</v>
      </c>
      <c r="F28" s="9" t="s">
        <v>41</v>
      </c>
      <c r="G28" s="9" t="s">
        <v>47</v>
      </c>
      <c r="H28" s="9">
        <v>15</v>
      </c>
      <c r="I28" s="9">
        <v>25</v>
      </c>
      <c r="J28" s="9" t="s">
        <v>0</v>
      </c>
      <c r="K28" s="9" t="s">
        <v>51</v>
      </c>
    </row>
    <row r="29" spans="1:11" x14ac:dyDescent="0.2">
      <c r="A29" s="9" t="s">
        <v>44</v>
      </c>
      <c r="B29" s="9" t="s">
        <v>50</v>
      </c>
      <c r="C29" s="9">
        <v>7</v>
      </c>
      <c r="D29" s="9">
        <v>2008</v>
      </c>
      <c r="E29" s="9">
        <v>8</v>
      </c>
      <c r="F29" s="9" t="s">
        <v>38</v>
      </c>
      <c r="G29" s="9" t="s">
        <v>47</v>
      </c>
      <c r="H29" s="9">
        <v>15</v>
      </c>
      <c r="I29" s="9">
        <v>24</v>
      </c>
      <c r="J29" s="9" t="s">
        <v>0</v>
      </c>
      <c r="K29" s="9" t="s">
        <v>51</v>
      </c>
    </row>
    <row r="30" spans="1:11" x14ac:dyDescent="0.2">
      <c r="A30" s="9" t="s">
        <v>44</v>
      </c>
      <c r="B30" s="9" t="s">
        <v>52</v>
      </c>
      <c r="C30" s="9">
        <v>5.3</v>
      </c>
      <c r="D30" s="9">
        <v>2008</v>
      </c>
      <c r="E30" s="9">
        <v>8</v>
      </c>
      <c r="F30" s="9" t="s">
        <v>46</v>
      </c>
      <c r="G30" s="9">
        <v>4</v>
      </c>
      <c r="H30" s="9">
        <v>14</v>
      </c>
      <c r="I30" s="9">
        <v>19</v>
      </c>
      <c r="J30" s="9" t="s">
        <v>47</v>
      </c>
      <c r="K30" s="9" t="s">
        <v>48</v>
      </c>
    </row>
    <row r="31" spans="1:11" x14ac:dyDescent="0.2">
      <c r="A31" s="9" t="s">
        <v>44</v>
      </c>
      <c r="B31" s="9" t="s">
        <v>52</v>
      </c>
      <c r="C31" s="9">
        <v>5.3</v>
      </c>
      <c r="D31" s="9">
        <v>2008</v>
      </c>
      <c r="E31" s="9">
        <v>8</v>
      </c>
      <c r="F31" s="9" t="s">
        <v>46</v>
      </c>
      <c r="G31" s="9">
        <v>4</v>
      </c>
      <c r="H31" s="9">
        <v>11</v>
      </c>
      <c r="I31" s="9">
        <v>14</v>
      </c>
      <c r="J31" s="9" t="s">
        <v>49</v>
      </c>
      <c r="K31" s="9" t="s">
        <v>48</v>
      </c>
    </row>
    <row r="32" spans="1:11" x14ac:dyDescent="0.2">
      <c r="A32" s="9" t="s">
        <v>44</v>
      </c>
      <c r="B32" s="9" t="s">
        <v>52</v>
      </c>
      <c r="C32" s="9">
        <v>5.7</v>
      </c>
      <c r="D32" s="9">
        <v>1999</v>
      </c>
      <c r="E32" s="9">
        <v>8</v>
      </c>
      <c r="F32" s="9" t="s">
        <v>46</v>
      </c>
      <c r="G32" s="9">
        <v>4</v>
      </c>
      <c r="H32" s="9">
        <v>11</v>
      </c>
      <c r="I32" s="9">
        <v>15</v>
      </c>
      <c r="J32" s="9" t="s">
        <v>47</v>
      </c>
      <c r="K32" s="9" t="s">
        <v>48</v>
      </c>
    </row>
    <row r="33" spans="1:11" x14ac:dyDescent="0.2">
      <c r="A33" s="9" t="s">
        <v>44</v>
      </c>
      <c r="B33" s="9" t="s">
        <v>52</v>
      </c>
      <c r="C33" s="9">
        <v>6.5</v>
      </c>
      <c r="D33" s="9">
        <v>1999</v>
      </c>
      <c r="E33" s="9">
        <v>8</v>
      </c>
      <c r="F33" s="9" t="s">
        <v>46</v>
      </c>
      <c r="G33" s="9">
        <v>4</v>
      </c>
      <c r="H33" s="9">
        <v>14</v>
      </c>
      <c r="I33" s="9">
        <v>17</v>
      </c>
      <c r="J33" s="9" t="s">
        <v>53</v>
      </c>
      <c r="K33" s="9" t="s">
        <v>48</v>
      </c>
    </row>
    <row r="34" spans="1:11" x14ac:dyDescent="0.2">
      <c r="A34" s="9" t="s">
        <v>44</v>
      </c>
      <c r="B34" s="9" t="s">
        <v>54</v>
      </c>
      <c r="C34" s="9">
        <v>2.4</v>
      </c>
      <c r="D34" s="9">
        <v>1999</v>
      </c>
      <c r="E34" s="9">
        <v>4</v>
      </c>
      <c r="F34" s="9" t="s">
        <v>46</v>
      </c>
      <c r="G34" s="9" t="s">
        <v>35</v>
      </c>
      <c r="H34" s="9">
        <v>19</v>
      </c>
      <c r="I34" s="9">
        <v>27</v>
      </c>
      <c r="J34" s="9" t="s">
        <v>47</v>
      </c>
      <c r="K34" s="9" t="s">
        <v>43</v>
      </c>
    </row>
    <row r="35" spans="1:11" x14ac:dyDescent="0.2">
      <c r="A35" s="9" t="s">
        <v>44</v>
      </c>
      <c r="B35" s="9" t="s">
        <v>54</v>
      </c>
      <c r="C35" s="9">
        <v>2.4</v>
      </c>
      <c r="D35" s="9">
        <v>2008</v>
      </c>
      <c r="E35" s="9">
        <v>4</v>
      </c>
      <c r="F35" s="9" t="s">
        <v>46</v>
      </c>
      <c r="G35" s="9" t="s">
        <v>35</v>
      </c>
      <c r="H35" s="9">
        <v>22</v>
      </c>
      <c r="I35" s="9">
        <v>30</v>
      </c>
      <c r="J35" s="9" t="s">
        <v>47</v>
      </c>
      <c r="K35" s="9" t="s">
        <v>43</v>
      </c>
    </row>
    <row r="36" spans="1:11" x14ac:dyDescent="0.2">
      <c r="A36" s="9" t="s">
        <v>44</v>
      </c>
      <c r="B36" s="9" t="s">
        <v>54</v>
      </c>
      <c r="C36" s="9">
        <v>3.1</v>
      </c>
      <c r="D36" s="9">
        <v>1999</v>
      </c>
      <c r="E36" s="9">
        <v>6</v>
      </c>
      <c r="F36" s="9" t="s">
        <v>46</v>
      </c>
      <c r="G36" s="9" t="s">
        <v>35</v>
      </c>
      <c r="H36" s="9">
        <v>18</v>
      </c>
      <c r="I36" s="9">
        <v>26</v>
      </c>
      <c r="J36" s="9" t="s">
        <v>47</v>
      </c>
      <c r="K36" s="9" t="s">
        <v>43</v>
      </c>
    </row>
    <row r="37" spans="1:11" x14ac:dyDescent="0.2">
      <c r="A37" s="9" t="s">
        <v>44</v>
      </c>
      <c r="B37" s="9" t="s">
        <v>54</v>
      </c>
      <c r="C37" s="9">
        <v>3.5</v>
      </c>
      <c r="D37" s="9">
        <v>2008</v>
      </c>
      <c r="E37" s="9">
        <v>6</v>
      </c>
      <c r="F37" s="9" t="s">
        <v>46</v>
      </c>
      <c r="G37" s="9" t="s">
        <v>35</v>
      </c>
      <c r="H37" s="9">
        <v>18</v>
      </c>
      <c r="I37" s="9">
        <v>29</v>
      </c>
      <c r="J37" s="9" t="s">
        <v>47</v>
      </c>
      <c r="K37" s="9" t="s">
        <v>43</v>
      </c>
    </row>
    <row r="38" spans="1:11" x14ac:dyDescent="0.2">
      <c r="A38" s="9" t="s">
        <v>44</v>
      </c>
      <c r="B38" s="9" t="s">
        <v>54</v>
      </c>
      <c r="C38" s="9">
        <v>3.6</v>
      </c>
      <c r="D38" s="9">
        <v>2008</v>
      </c>
      <c r="E38" s="9">
        <v>6</v>
      </c>
      <c r="F38" s="9" t="s">
        <v>41</v>
      </c>
      <c r="G38" s="9" t="s">
        <v>35</v>
      </c>
      <c r="H38" s="9">
        <v>17</v>
      </c>
      <c r="I38" s="9">
        <v>26</v>
      </c>
      <c r="J38" s="9" t="s">
        <v>47</v>
      </c>
      <c r="K38" s="9" t="s">
        <v>43</v>
      </c>
    </row>
    <row r="39" spans="1:11" x14ac:dyDescent="0.2">
      <c r="A39" s="9" t="s">
        <v>55</v>
      </c>
      <c r="B39" s="9" t="s">
        <v>56</v>
      </c>
      <c r="C39" s="9">
        <v>2.4</v>
      </c>
      <c r="D39" s="9">
        <v>1999</v>
      </c>
      <c r="E39" s="9">
        <v>4</v>
      </c>
      <c r="F39" s="9" t="s">
        <v>57</v>
      </c>
      <c r="G39" s="9" t="s">
        <v>35</v>
      </c>
      <c r="H39" s="9">
        <v>18</v>
      </c>
      <c r="I39" s="9">
        <v>24</v>
      </c>
      <c r="J39" s="9" t="s">
        <v>47</v>
      </c>
      <c r="K39" s="9" t="s">
        <v>58</v>
      </c>
    </row>
    <row r="40" spans="1:11" x14ac:dyDescent="0.2">
      <c r="A40" s="9" t="s">
        <v>55</v>
      </c>
      <c r="B40" s="9" t="s">
        <v>56</v>
      </c>
      <c r="C40" s="9">
        <v>3</v>
      </c>
      <c r="D40" s="9">
        <v>1999</v>
      </c>
      <c r="E40" s="9">
        <v>6</v>
      </c>
      <c r="F40" s="9" t="s">
        <v>46</v>
      </c>
      <c r="G40" s="9" t="s">
        <v>35</v>
      </c>
      <c r="H40" s="9">
        <v>17</v>
      </c>
      <c r="I40" s="9">
        <v>24</v>
      </c>
      <c r="J40" s="9" t="s">
        <v>47</v>
      </c>
      <c r="K40" s="9" t="s">
        <v>58</v>
      </c>
    </row>
    <row r="41" spans="1:11" x14ac:dyDescent="0.2">
      <c r="A41" s="9" t="s">
        <v>55</v>
      </c>
      <c r="B41" s="9" t="s">
        <v>56</v>
      </c>
      <c r="C41" s="9">
        <v>3.3</v>
      </c>
      <c r="D41" s="9">
        <v>1999</v>
      </c>
      <c r="E41" s="9">
        <v>6</v>
      </c>
      <c r="F41" s="9" t="s">
        <v>46</v>
      </c>
      <c r="G41" s="9" t="s">
        <v>35</v>
      </c>
      <c r="H41" s="9">
        <v>16</v>
      </c>
      <c r="I41" s="9">
        <v>22</v>
      </c>
      <c r="J41" s="9" t="s">
        <v>47</v>
      </c>
      <c r="K41" s="9" t="s">
        <v>58</v>
      </c>
    </row>
    <row r="42" spans="1:11" x14ac:dyDescent="0.2">
      <c r="A42" s="9" t="s">
        <v>55</v>
      </c>
      <c r="B42" s="9" t="s">
        <v>56</v>
      </c>
      <c r="C42" s="9">
        <v>3.3</v>
      </c>
      <c r="D42" s="9">
        <v>1999</v>
      </c>
      <c r="E42" s="9">
        <v>6</v>
      </c>
      <c r="F42" s="9" t="s">
        <v>46</v>
      </c>
      <c r="G42" s="9" t="s">
        <v>35</v>
      </c>
      <c r="H42" s="9">
        <v>16</v>
      </c>
      <c r="I42" s="9">
        <v>22</v>
      </c>
      <c r="J42" s="9" t="s">
        <v>47</v>
      </c>
      <c r="K42" s="9" t="s">
        <v>58</v>
      </c>
    </row>
    <row r="43" spans="1:11" x14ac:dyDescent="0.2">
      <c r="A43" s="9" t="s">
        <v>55</v>
      </c>
      <c r="B43" s="9" t="s">
        <v>56</v>
      </c>
      <c r="C43" s="9">
        <v>3.3</v>
      </c>
      <c r="D43" s="9">
        <v>2008</v>
      </c>
      <c r="E43" s="9">
        <v>6</v>
      </c>
      <c r="F43" s="9" t="s">
        <v>46</v>
      </c>
      <c r="G43" s="9" t="s">
        <v>35</v>
      </c>
      <c r="H43" s="9">
        <v>17</v>
      </c>
      <c r="I43" s="9">
        <v>24</v>
      </c>
      <c r="J43" s="9" t="s">
        <v>47</v>
      </c>
      <c r="K43" s="9" t="s">
        <v>58</v>
      </c>
    </row>
    <row r="44" spans="1:11" x14ac:dyDescent="0.2">
      <c r="A44" s="9" t="s">
        <v>55</v>
      </c>
      <c r="B44" s="9" t="s">
        <v>56</v>
      </c>
      <c r="C44" s="9">
        <v>3.3</v>
      </c>
      <c r="D44" s="9">
        <v>2008</v>
      </c>
      <c r="E44" s="9">
        <v>6</v>
      </c>
      <c r="F44" s="9" t="s">
        <v>46</v>
      </c>
      <c r="G44" s="9" t="s">
        <v>35</v>
      </c>
      <c r="H44" s="9">
        <v>17</v>
      </c>
      <c r="I44" s="9">
        <v>24</v>
      </c>
      <c r="J44" s="9" t="s">
        <v>47</v>
      </c>
      <c r="K44" s="9" t="s">
        <v>58</v>
      </c>
    </row>
    <row r="45" spans="1:11" x14ac:dyDescent="0.2">
      <c r="A45" s="9" t="s">
        <v>55</v>
      </c>
      <c r="B45" s="9" t="s">
        <v>56</v>
      </c>
      <c r="C45" s="9">
        <v>3.3</v>
      </c>
      <c r="D45" s="9">
        <v>2008</v>
      </c>
      <c r="E45" s="9">
        <v>6</v>
      </c>
      <c r="F45" s="9" t="s">
        <v>46</v>
      </c>
      <c r="G45" s="9" t="s">
        <v>35</v>
      </c>
      <c r="H45" s="9">
        <v>11</v>
      </c>
      <c r="I45" s="9">
        <v>17</v>
      </c>
      <c r="J45" s="9" t="s">
        <v>49</v>
      </c>
      <c r="K45" s="9" t="s">
        <v>58</v>
      </c>
    </row>
    <row r="46" spans="1:11" x14ac:dyDescent="0.2">
      <c r="A46" s="9" t="s">
        <v>55</v>
      </c>
      <c r="B46" s="9" t="s">
        <v>56</v>
      </c>
      <c r="C46" s="9">
        <v>3.8</v>
      </c>
      <c r="D46" s="9">
        <v>1999</v>
      </c>
      <c r="E46" s="9">
        <v>6</v>
      </c>
      <c r="F46" s="9" t="s">
        <v>46</v>
      </c>
      <c r="G46" s="9" t="s">
        <v>35</v>
      </c>
      <c r="H46" s="9">
        <v>15</v>
      </c>
      <c r="I46" s="9">
        <v>22</v>
      </c>
      <c r="J46" s="9" t="s">
        <v>47</v>
      </c>
      <c r="K46" s="9" t="s">
        <v>58</v>
      </c>
    </row>
    <row r="47" spans="1:11" x14ac:dyDescent="0.2">
      <c r="A47" s="9" t="s">
        <v>55</v>
      </c>
      <c r="B47" s="9" t="s">
        <v>56</v>
      </c>
      <c r="C47" s="9">
        <v>3.8</v>
      </c>
      <c r="D47" s="9">
        <v>1999</v>
      </c>
      <c r="E47" s="9">
        <v>6</v>
      </c>
      <c r="F47" s="9" t="s">
        <v>46</v>
      </c>
      <c r="G47" s="9" t="s">
        <v>35</v>
      </c>
      <c r="H47" s="9">
        <v>15</v>
      </c>
      <c r="I47" s="9">
        <v>21</v>
      </c>
      <c r="J47" s="9" t="s">
        <v>47</v>
      </c>
      <c r="K47" s="9" t="s">
        <v>58</v>
      </c>
    </row>
    <row r="48" spans="1:11" x14ac:dyDescent="0.2">
      <c r="A48" s="9" t="s">
        <v>55</v>
      </c>
      <c r="B48" s="9" t="s">
        <v>56</v>
      </c>
      <c r="C48" s="9">
        <v>3.8</v>
      </c>
      <c r="D48" s="9">
        <v>2008</v>
      </c>
      <c r="E48" s="9">
        <v>6</v>
      </c>
      <c r="F48" s="9" t="s">
        <v>59</v>
      </c>
      <c r="G48" s="9" t="s">
        <v>35</v>
      </c>
      <c r="H48" s="9">
        <v>16</v>
      </c>
      <c r="I48" s="9">
        <v>23</v>
      </c>
      <c r="J48" s="9" t="s">
        <v>47</v>
      </c>
      <c r="K48" s="9" t="s">
        <v>58</v>
      </c>
    </row>
    <row r="49" spans="1:11" x14ac:dyDescent="0.2">
      <c r="A49" s="9" t="s">
        <v>55</v>
      </c>
      <c r="B49" s="9" t="s">
        <v>56</v>
      </c>
      <c r="C49" s="9">
        <v>4</v>
      </c>
      <c r="D49" s="9">
        <v>2008</v>
      </c>
      <c r="E49" s="9">
        <v>6</v>
      </c>
      <c r="F49" s="9" t="s">
        <v>59</v>
      </c>
      <c r="G49" s="9" t="s">
        <v>35</v>
      </c>
      <c r="H49" s="9">
        <v>16</v>
      </c>
      <c r="I49" s="9">
        <v>23</v>
      </c>
      <c r="J49" s="9" t="s">
        <v>47</v>
      </c>
      <c r="K49" s="9" t="s">
        <v>58</v>
      </c>
    </row>
    <row r="50" spans="1:11" x14ac:dyDescent="0.2">
      <c r="A50" s="9" t="s">
        <v>55</v>
      </c>
      <c r="B50" s="9" t="s">
        <v>60</v>
      </c>
      <c r="C50" s="9">
        <v>3.7</v>
      </c>
      <c r="D50" s="9">
        <v>2008</v>
      </c>
      <c r="E50" s="9">
        <v>6</v>
      </c>
      <c r="F50" s="9" t="s">
        <v>38</v>
      </c>
      <c r="G50" s="9">
        <v>4</v>
      </c>
      <c r="H50" s="9">
        <v>15</v>
      </c>
      <c r="I50" s="9">
        <v>19</v>
      </c>
      <c r="J50" s="9" t="s">
        <v>47</v>
      </c>
      <c r="K50" s="9" t="s">
        <v>61</v>
      </c>
    </row>
    <row r="51" spans="1:11" x14ac:dyDescent="0.2">
      <c r="A51" s="9" t="s">
        <v>55</v>
      </c>
      <c r="B51" s="9" t="s">
        <v>60</v>
      </c>
      <c r="C51" s="9">
        <v>3.7</v>
      </c>
      <c r="D51" s="9">
        <v>2008</v>
      </c>
      <c r="E51" s="9">
        <v>6</v>
      </c>
      <c r="F51" s="9" t="s">
        <v>46</v>
      </c>
      <c r="G51" s="9">
        <v>4</v>
      </c>
      <c r="H51" s="9">
        <v>14</v>
      </c>
      <c r="I51" s="9">
        <v>18</v>
      </c>
      <c r="J51" s="9" t="s">
        <v>47</v>
      </c>
      <c r="K51" s="9" t="s">
        <v>61</v>
      </c>
    </row>
    <row r="52" spans="1:11" x14ac:dyDescent="0.2">
      <c r="A52" s="9" t="s">
        <v>55</v>
      </c>
      <c r="B52" s="9" t="s">
        <v>60</v>
      </c>
      <c r="C52" s="9">
        <v>3.9</v>
      </c>
      <c r="D52" s="9">
        <v>1999</v>
      </c>
      <c r="E52" s="9">
        <v>6</v>
      </c>
      <c r="F52" s="9" t="s">
        <v>46</v>
      </c>
      <c r="G52" s="9">
        <v>4</v>
      </c>
      <c r="H52" s="9">
        <v>13</v>
      </c>
      <c r="I52" s="9">
        <v>17</v>
      </c>
      <c r="J52" s="9" t="s">
        <v>47</v>
      </c>
      <c r="K52" s="9" t="s">
        <v>61</v>
      </c>
    </row>
    <row r="53" spans="1:11" x14ac:dyDescent="0.2">
      <c r="A53" s="9" t="s">
        <v>55</v>
      </c>
      <c r="B53" s="9" t="s">
        <v>60</v>
      </c>
      <c r="C53" s="9">
        <v>3.9</v>
      </c>
      <c r="D53" s="9">
        <v>1999</v>
      </c>
      <c r="E53" s="9">
        <v>6</v>
      </c>
      <c r="F53" s="9" t="s">
        <v>37</v>
      </c>
      <c r="G53" s="9">
        <v>4</v>
      </c>
      <c r="H53" s="9">
        <v>14</v>
      </c>
      <c r="I53" s="9">
        <v>17</v>
      </c>
      <c r="J53" s="9" t="s">
        <v>47</v>
      </c>
      <c r="K53" s="9" t="s">
        <v>61</v>
      </c>
    </row>
    <row r="54" spans="1:11" x14ac:dyDescent="0.2">
      <c r="A54" s="9" t="s">
        <v>55</v>
      </c>
      <c r="B54" s="9" t="s">
        <v>60</v>
      </c>
      <c r="C54" s="9">
        <v>4.7</v>
      </c>
      <c r="D54" s="9">
        <v>2008</v>
      </c>
      <c r="E54" s="9">
        <v>8</v>
      </c>
      <c r="F54" s="9" t="s">
        <v>34</v>
      </c>
      <c r="G54" s="9">
        <v>4</v>
      </c>
      <c r="H54" s="9">
        <v>14</v>
      </c>
      <c r="I54" s="9">
        <v>19</v>
      </c>
      <c r="J54" s="9" t="s">
        <v>47</v>
      </c>
      <c r="K54" s="9" t="s">
        <v>61</v>
      </c>
    </row>
    <row r="55" spans="1:11" x14ac:dyDescent="0.2">
      <c r="A55" s="9" t="s">
        <v>55</v>
      </c>
      <c r="B55" s="9" t="s">
        <v>60</v>
      </c>
      <c r="C55" s="9">
        <v>4.7</v>
      </c>
      <c r="D55" s="9">
        <v>2008</v>
      </c>
      <c r="E55" s="9">
        <v>8</v>
      </c>
      <c r="F55" s="9" t="s">
        <v>34</v>
      </c>
      <c r="G55" s="9">
        <v>4</v>
      </c>
      <c r="H55" s="9">
        <v>14</v>
      </c>
      <c r="I55" s="9">
        <v>19</v>
      </c>
      <c r="J55" s="9" t="s">
        <v>47</v>
      </c>
      <c r="K55" s="9" t="s">
        <v>61</v>
      </c>
    </row>
    <row r="56" spans="1:11" x14ac:dyDescent="0.2">
      <c r="A56" s="9" t="s">
        <v>55</v>
      </c>
      <c r="B56" s="9" t="s">
        <v>60</v>
      </c>
      <c r="C56" s="9">
        <v>4.7</v>
      </c>
      <c r="D56" s="9">
        <v>2008</v>
      </c>
      <c r="E56" s="9">
        <v>8</v>
      </c>
      <c r="F56" s="9" t="s">
        <v>34</v>
      </c>
      <c r="G56" s="9">
        <v>4</v>
      </c>
      <c r="H56" s="9">
        <v>9</v>
      </c>
      <c r="I56" s="9">
        <v>12</v>
      </c>
      <c r="J56" s="9" t="s">
        <v>49</v>
      </c>
      <c r="K56" s="9" t="s">
        <v>61</v>
      </c>
    </row>
    <row r="57" spans="1:11" x14ac:dyDescent="0.2">
      <c r="A57" s="9" t="s">
        <v>55</v>
      </c>
      <c r="B57" s="9" t="s">
        <v>60</v>
      </c>
      <c r="C57" s="9">
        <v>5.2</v>
      </c>
      <c r="D57" s="9">
        <v>1999</v>
      </c>
      <c r="E57" s="9">
        <v>8</v>
      </c>
      <c r="F57" s="9" t="s">
        <v>37</v>
      </c>
      <c r="G57" s="9">
        <v>4</v>
      </c>
      <c r="H57" s="9">
        <v>11</v>
      </c>
      <c r="I57" s="9">
        <v>17</v>
      </c>
      <c r="J57" s="9" t="s">
        <v>47</v>
      </c>
      <c r="K57" s="9" t="s">
        <v>61</v>
      </c>
    </row>
    <row r="58" spans="1:11" x14ac:dyDescent="0.2">
      <c r="A58" s="9" t="s">
        <v>55</v>
      </c>
      <c r="B58" s="9" t="s">
        <v>60</v>
      </c>
      <c r="C58" s="9">
        <v>5.2</v>
      </c>
      <c r="D58" s="9">
        <v>1999</v>
      </c>
      <c r="E58" s="9">
        <v>8</v>
      </c>
      <c r="F58" s="9" t="s">
        <v>46</v>
      </c>
      <c r="G58" s="9">
        <v>4</v>
      </c>
      <c r="H58" s="9">
        <v>11</v>
      </c>
      <c r="I58" s="9">
        <v>15</v>
      </c>
      <c r="J58" s="9" t="s">
        <v>47</v>
      </c>
      <c r="K58" s="9" t="s">
        <v>61</v>
      </c>
    </row>
    <row r="59" spans="1:11" x14ac:dyDescent="0.2">
      <c r="A59" s="9" t="s">
        <v>55</v>
      </c>
      <c r="B59" s="9" t="s">
        <v>62</v>
      </c>
      <c r="C59" s="9">
        <v>3.9</v>
      </c>
      <c r="D59" s="9">
        <v>1999</v>
      </c>
      <c r="E59" s="9">
        <v>6</v>
      </c>
      <c r="F59" s="9" t="s">
        <v>46</v>
      </c>
      <c r="G59" s="9">
        <v>4</v>
      </c>
      <c r="H59" s="9">
        <v>13</v>
      </c>
      <c r="I59" s="9">
        <v>17</v>
      </c>
      <c r="J59" s="9" t="s">
        <v>47</v>
      </c>
      <c r="K59" s="9" t="s">
        <v>48</v>
      </c>
    </row>
    <row r="60" spans="1:11" x14ac:dyDescent="0.2">
      <c r="A60" s="9" t="s">
        <v>55</v>
      </c>
      <c r="B60" s="9" t="s">
        <v>62</v>
      </c>
      <c r="C60" s="9">
        <v>4.7</v>
      </c>
      <c r="D60" s="9">
        <v>2008</v>
      </c>
      <c r="E60" s="9">
        <v>8</v>
      </c>
      <c r="F60" s="9" t="s">
        <v>34</v>
      </c>
      <c r="G60" s="9">
        <v>4</v>
      </c>
      <c r="H60" s="9">
        <v>13</v>
      </c>
      <c r="I60" s="9">
        <v>17</v>
      </c>
      <c r="J60" s="9" t="s">
        <v>47</v>
      </c>
      <c r="K60" s="9" t="s">
        <v>48</v>
      </c>
    </row>
    <row r="61" spans="1:11" x14ac:dyDescent="0.2">
      <c r="A61" s="9" t="s">
        <v>55</v>
      </c>
      <c r="B61" s="9" t="s">
        <v>62</v>
      </c>
      <c r="C61" s="9">
        <v>4.7</v>
      </c>
      <c r="D61" s="9">
        <v>2008</v>
      </c>
      <c r="E61" s="9">
        <v>8</v>
      </c>
      <c r="F61" s="9" t="s">
        <v>34</v>
      </c>
      <c r="G61" s="9">
        <v>4</v>
      </c>
      <c r="H61" s="9">
        <v>9</v>
      </c>
      <c r="I61" s="9">
        <v>12</v>
      </c>
      <c r="J61" s="9" t="s">
        <v>49</v>
      </c>
      <c r="K61" s="9" t="s">
        <v>48</v>
      </c>
    </row>
    <row r="62" spans="1:11" x14ac:dyDescent="0.2">
      <c r="A62" s="9" t="s">
        <v>55</v>
      </c>
      <c r="B62" s="9" t="s">
        <v>62</v>
      </c>
      <c r="C62" s="9">
        <v>4.7</v>
      </c>
      <c r="D62" s="9">
        <v>2008</v>
      </c>
      <c r="E62" s="9">
        <v>8</v>
      </c>
      <c r="F62" s="9" t="s">
        <v>34</v>
      </c>
      <c r="G62" s="9">
        <v>4</v>
      </c>
      <c r="H62" s="9">
        <v>13</v>
      </c>
      <c r="I62" s="9">
        <v>17</v>
      </c>
      <c r="J62" s="9" t="s">
        <v>47</v>
      </c>
      <c r="K62" s="9" t="s">
        <v>48</v>
      </c>
    </row>
    <row r="63" spans="1:11" x14ac:dyDescent="0.2">
      <c r="A63" s="9" t="s">
        <v>55</v>
      </c>
      <c r="B63" s="9" t="s">
        <v>62</v>
      </c>
      <c r="C63" s="9">
        <v>5.2</v>
      </c>
      <c r="D63" s="9">
        <v>1999</v>
      </c>
      <c r="E63" s="9">
        <v>8</v>
      </c>
      <c r="F63" s="9" t="s">
        <v>46</v>
      </c>
      <c r="G63" s="9">
        <v>4</v>
      </c>
      <c r="H63" s="9">
        <v>11</v>
      </c>
      <c r="I63" s="9">
        <v>16</v>
      </c>
      <c r="J63" s="9" t="s">
        <v>47</v>
      </c>
      <c r="K63" s="9" t="s">
        <v>48</v>
      </c>
    </row>
    <row r="64" spans="1:11" x14ac:dyDescent="0.2">
      <c r="A64" s="9" t="s">
        <v>55</v>
      </c>
      <c r="B64" s="9" t="s">
        <v>62</v>
      </c>
      <c r="C64" s="9">
        <v>5.7</v>
      </c>
      <c r="D64" s="9">
        <v>2008</v>
      </c>
      <c r="E64" s="9">
        <v>8</v>
      </c>
      <c r="F64" s="9" t="s">
        <v>34</v>
      </c>
      <c r="G64" s="9">
        <v>4</v>
      </c>
      <c r="H64" s="9">
        <v>13</v>
      </c>
      <c r="I64" s="9">
        <v>18</v>
      </c>
      <c r="J64" s="9" t="s">
        <v>47</v>
      </c>
      <c r="K64" s="9" t="s">
        <v>48</v>
      </c>
    </row>
    <row r="65" spans="1:11" x14ac:dyDescent="0.2">
      <c r="A65" s="9" t="s">
        <v>55</v>
      </c>
      <c r="B65" s="9" t="s">
        <v>62</v>
      </c>
      <c r="C65" s="9">
        <v>5.9</v>
      </c>
      <c r="D65" s="9">
        <v>1999</v>
      </c>
      <c r="E65" s="9">
        <v>8</v>
      </c>
      <c r="F65" s="9" t="s">
        <v>46</v>
      </c>
      <c r="G65" s="9">
        <v>4</v>
      </c>
      <c r="H65" s="9">
        <v>11</v>
      </c>
      <c r="I65" s="9">
        <v>15</v>
      </c>
      <c r="J65" s="9" t="s">
        <v>47</v>
      </c>
      <c r="K65" s="9" t="s">
        <v>48</v>
      </c>
    </row>
    <row r="66" spans="1:11" x14ac:dyDescent="0.2">
      <c r="A66" s="9" t="s">
        <v>55</v>
      </c>
      <c r="B66" s="9" t="s">
        <v>63</v>
      </c>
      <c r="C66" s="9">
        <v>4.7</v>
      </c>
      <c r="D66" s="9">
        <v>2008</v>
      </c>
      <c r="E66" s="9">
        <v>8</v>
      </c>
      <c r="F66" s="9" t="s">
        <v>38</v>
      </c>
      <c r="G66" s="9">
        <v>4</v>
      </c>
      <c r="H66" s="9">
        <v>12</v>
      </c>
      <c r="I66" s="9">
        <v>16</v>
      </c>
      <c r="J66" s="9" t="s">
        <v>47</v>
      </c>
      <c r="K66" s="9" t="s">
        <v>61</v>
      </c>
    </row>
    <row r="67" spans="1:11" x14ac:dyDescent="0.2">
      <c r="A67" s="9" t="s">
        <v>55</v>
      </c>
      <c r="B67" s="9" t="s">
        <v>63</v>
      </c>
      <c r="C67" s="9">
        <v>4.7</v>
      </c>
      <c r="D67" s="9">
        <v>2008</v>
      </c>
      <c r="E67" s="9">
        <v>8</v>
      </c>
      <c r="F67" s="9" t="s">
        <v>34</v>
      </c>
      <c r="G67" s="9">
        <v>4</v>
      </c>
      <c r="H67" s="9">
        <v>9</v>
      </c>
      <c r="I67" s="9">
        <v>12</v>
      </c>
      <c r="J67" s="9" t="s">
        <v>49</v>
      </c>
      <c r="K67" s="9" t="s">
        <v>61</v>
      </c>
    </row>
    <row r="68" spans="1:11" x14ac:dyDescent="0.2">
      <c r="A68" s="9" t="s">
        <v>55</v>
      </c>
      <c r="B68" s="9" t="s">
        <v>63</v>
      </c>
      <c r="C68" s="9">
        <v>4.7</v>
      </c>
      <c r="D68" s="9">
        <v>2008</v>
      </c>
      <c r="E68" s="9">
        <v>8</v>
      </c>
      <c r="F68" s="9" t="s">
        <v>34</v>
      </c>
      <c r="G68" s="9">
        <v>4</v>
      </c>
      <c r="H68" s="9">
        <v>13</v>
      </c>
      <c r="I68" s="9">
        <v>17</v>
      </c>
      <c r="J68" s="9" t="s">
        <v>47</v>
      </c>
      <c r="K68" s="9" t="s">
        <v>61</v>
      </c>
    </row>
    <row r="69" spans="1:11" x14ac:dyDescent="0.2">
      <c r="A69" s="9" t="s">
        <v>55</v>
      </c>
      <c r="B69" s="9" t="s">
        <v>63</v>
      </c>
      <c r="C69" s="9">
        <v>4.7</v>
      </c>
      <c r="D69" s="9">
        <v>2008</v>
      </c>
      <c r="E69" s="9">
        <v>8</v>
      </c>
      <c r="F69" s="9" t="s">
        <v>34</v>
      </c>
      <c r="G69" s="9">
        <v>4</v>
      </c>
      <c r="H69" s="9">
        <v>13</v>
      </c>
      <c r="I69" s="9">
        <v>17</v>
      </c>
      <c r="J69" s="9" t="s">
        <v>47</v>
      </c>
      <c r="K69" s="9" t="s">
        <v>61</v>
      </c>
    </row>
    <row r="70" spans="1:11" x14ac:dyDescent="0.2">
      <c r="A70" s="9" t="s">
        <v>55</v>
      </c>
      <c r="B70" s="9" t="s">
        <v>63</v>
      </c>
      <c r="C70" s="9">
        <v>4.7</v>
      </c>
      <c r="D70" s="9">
        <v>2008</v>
      </c>
      <c r="E70" s="9">
        <v>8</v>
      </c>
      <c r="F70" s="9" t="s">
        <v>38</v>
      </c>
      <c r="G70" s="9">
        <v>4</v>
      </c>
      <c r="H70" s="9">
        <v>12</v>
      </c>
      <c r="I70" s="9">
        <v>16</v>
      </c>
      <c r="J70" s="9" t="s">
        <v>47</v>
      </c>
      <c r="K70" s="9" t="s">
        <v>61</v>
      </c>
    </row>
    <row r="71" spans="1:11" x14ac:dyDescent="0.2">
      <c r="A71" s="9" t="s">
        <v>55</v>
      </c>
      <c r="B71" s="9" t="s">
        <v>63</v>
      </c>
      <c r="C71" s="9">
        <v>4.7</v>
      </c>
      <c r="D71" s="9">
        <v>2008</v>
      </c>
      <c r="E71" s="9">
        <v>8</v>
      </c>
      <c r="F71" s="9" t="s">
        <v>38</v>
      </c>
      <c r="G71" s="9">
        <v>4</v>
      </c>
      <c r="H71" s="9">
        <v>9</v>
      </c>
      <c r="I71" s="9">
        <v>12</v>
      </c>
      <c r="J71" s="9" t="s">
        <v>49</v>
      </c>
      <c r="K71" s="9" t="s">
        <v>61</v>
      </c>
    </row>
    <row r="72" spans="1:11" x14ac:dyDescent="0.2">
      <c r="A72" s="9" t="s">
        <v>55</v>
      </c>
      <c r="B72" s="9" t="s">
        <v>63</v>
      </c>
      <c r="C72" s="9">
        <v>5.2</v>
      </c>
      <c r="D72" s="9">
        <v>1999</v>
      </c>
      <c r="E72" s="9">
        <v>8</v>
      </c>
      <c r="F72" s="9" t="s">
        <v>46</v>
      </c>
      <c r="G72" s="9">
        <v>4</v>
      </c>
      <c r="H72" s="9">
        <v>11</v>
      </c>
      <c r="I72" s="9">
        <v>15</v>
      </c>
      <c r="J72" s="9" t="s">
        <v>47</v>
      </c>
      <c r="K72" s="9" t="s">
        <v>61</v>
      </c>
    </row>
    <row r="73" spans="1:11" x14ac:dyDescent="0.2">
      <c r="A73" s="9" t="s">
        <v>55</v>
      </c>
      <c r="B73" s="9" t="s">
        <v>63</v>
      </c>
      <c r="C73" s="9">
        <v>5.2</v>
      </c>
      <c r="D73" s="9">
        <v>1999</v>
      </c>
      <c r="E73" s="9">
        <v>8</v>
      </c>
      <c r="F73" s="9" t="s">
        <v>37</v>
      </c>
      <c r="G73" s="9">
        <v>4</v>
      </c>
      <c r="H73" s="9">
        <v>11</v>
      </c>
      <c r="I73" s="9">
        <v>16</v>
      </c>
      <c r="J73" s="9" t="s">
        <v>47</v>
      </c>
      <c r="K73" s="9" t="s">
        <v>61</v>
      </c>
    </row>
    <row r="74" spans="1:11" x14ac:dyDescent="0.2">
      <c r="A74" s="9" t="s">
        <v>55</v>
      </c>
      <c r="B74" s="9" t="s">
        <v>63</v>
      </c>
      <c r="C74" s="9">
        <v>5.7</v>
      </c>
      <c r="D74" s="9">
        <v>2008</v>
      </c>
      <c r="E74" s="9">
        <v>8</v>
      </c>
      <c r="F74" s="9" t="s">
        <v>34</v>
      </c>
      <c r="G74" s="9">
        <v>4</v>
      </c>
      <c r="H74" s="9">
        <v>13</v>
      </c>
      <c r="I74" s="9">
        <v>17</v>
      </c>
      <c r="J74" s="9" t="s">
        <v>47</v>
      </c>
      <c r="K74" s="9" t="s">
        <v>61</v>
      </c>
    </row>
    <row r="75" spans="1:11" x14ac:dyDescent="0.2">
      <c r="A75" s="9" t="s">
        <v>55</v>
      </c>
      <c r="B75" s="9" t="s">
        <v>63</v>
      </c>
      <c r="C75" s="9">
        <v>5.9</v>
      </c>
      <c r="D75" s="9">
        <v>1999</v>
      </c>
      <c r="E75" s="9">
        <v>8</v>
      </c>
      <c r="F75" s="9" t="s">
        <v>46</v>
      </c>
      <c r="G75" s="9">
        <v>4</v>
      </c>
      <c r="H75" s="9">
        <v>11</v>
      </c>
      <c r="I75" s="9">
        <v>15</v>
      </c>
      <c r="J75" s="9" t="s">
        <v>47</v>
      </c>
      <c r="K75" s="9" t="s">
        <v>61</v>
      </c>
    </row>
    <row r="76" spans="1:11" x14ac:dyDescent="0.2">
      <c r="A76" s="9" t="s">
        <v>64</v>
      </c>
      <c r="B76" s="9" t="s">
        <v>65</v>
      </c>
      <c r="C76" s="9">
        <v>4.5999999999999996</v>
      </c>
      <c r="D76" s="9">
        <v>1999</v>
      </c>
      <c r="E76" s="9">
        <v>8</v>
      </c>
      <c r="F76" s="9" t="s">
        <v>46</v>
      </c>
      <c r="G76" s="9" t="s">
        <v>47</v>
      </c>
      <c r="H76" s="9">
        <v>11</v>
      </c>
      <c r="I76" s="9">
        <v>17</v>
      </c>
      <c r="J76" s="9" t="s">
        <v>47</v>
      </c>
      <c r="K76" s="9" t="s">
        <v>48</v>
      </c>
    </row>
    <row r="77" spans="1:11" x14ac:dyDescent="0.2">
      <c r="A77" s="9" t="s">
        <v>64</v>
      </c>
      <c r="B77" s="9" t="s">
        <v>65</v>
      </c>
      <c r="C77" s="9">
        <v>5.4</v>
      </c>
      <c r="D77" s="9">
        <v>1999</v>
      </c>
      <c r="E77" s="9">
        <v>8</v>
      </c>
      <c r="F77" s="9" t="s">
        <v>46</v>
      </c>
      <c r="G77" s="9" t="s">
        <v>47</v>
      </c>
      <c r="H77" s="9">
        <v>11</v>
      </c>
      <c r="I77" s="9">
        <v>17</v>
      </c>
      <c r="J77" s="9" t="s">
        <v>47</v>
      </c>
      <c r="K77" s="9" t="s">
        <v>48</v>
      </c>
    </row>
    <row r="78" spans="1:11" x14ac:dyDescent="0.2">
      <c r="A78" s="9" t="s">
        <v>64</v>
      </c>
      <c r="B78" s="9" t="s">
        <v>65</v>
      </c>
      <c r="C78" s="9">
        <v>5.4</v>
      </c>
      <c r="D78" s="9">
        <v>2008</v>
      </c>
      <c r="E78" s="9">
        <v>8</v>
      </c>
      <c r="F78" s="9" t="s">
        <v>59</v>
      </c>
      <c r="G78" s="9" t="s">
        <v>47</v>
      </c>
      <c r="H78" s="9">
        <v>12</v>
      </c>
      <c r="I78" s="9">
        <v>18</v>
      </c>
      <c r="J78" s="9" t="s">
        <v>47</v>
      </c>
      <c r="K78" s="9" t="s">
        <v>48</v>
      </c>
    </row>
    <row r="79" spans="1:11" x14ac:dyDescent="0.2">
      <c r="A79" s="9" t="s">
        <v>64</v>
      </c>
      <c r="B79" s="9" t="s">
        <v>66</v>
      </c>
      <c r="C79" s="9">
        <v>4</v>
      </c>
      <c r="D79" s="9">
        <v>1999</v>
      </c>
      <c r="E79" s="9">
        <v>6</v>
      </c>
      <c r="F79" s="9" t="s">
        <v>34</v>
      </c>
      <c r="G79" s="9">
        <v>4</v>
      </c>
      <c r="H79" s="9">
        <v>14</v>
      </c>
      <c r="I79" s="9">
        <v>17</v>
      </c>
      <c r="J79" s="9" t="s">
        <v>47</v>
      </c>
      <c r="K79" s="9" t="s">
        <v>48</v>
      </c>
    </row>
    <row r="80" spans="1:11" x14ac:dyDescent="0.2">
      <c r="A80" s="9" t="s">
        <v>64</v>
      </c>
      <c r="B80" s="9" t="s">
        <v>66</v>
      </c>
      <c r="C80" s="9">
        <v>4</v>
      </c>
      <c r="D80" s="9">
        <v>1999</v>
      </c>
      <c r="E80" s="9">
        <v>6</v>
      </c>
      <c r="F80" s="9" t="s">
        <v>37</v>
      </c>
      <c r="G80" s="9">
        <v>4</v>
      </c>
      <c r="H80" s="9">
        <v>15</v>
      </c>
      <c r="I80" s="9">
        <v>19</v>
      </c>
      <c r="J80" s="9" t="s">
        <v>47</v>
      </c>
      <c r="K80" s="9" t="s">
        <v>48</v>
      </c>
    </row>
    <row r="81" spans="1:11" x14ac:dyDescent="0.2">
      <c r="A81" s="9" t="s">
        <v>64</v>
      </c>
      <c r="B81" s="9" t="s">
        <v>66</v>
      </c>
      <c r="C81" s="9">
        <v>4</v>
      </c>
      <c r="D81" s="9">
        <v>1999</v>
      </c>
      <c r="E81" s="9">
        <v>6</v>
      </c>
      <c r="F81" s="9" t="s">
        <v>34</v>
      </c>
      <c r="G81" s="9">
        <v>4</v>
      </c>
      <c r="H81" s="9">
        <v>14</v>
      </c>
      <c r="I81" s="9">
        <v>17</v>
      </c>
      <c r="J81" s="9" t="s">
        <v>47</v>
      </c>
      <c r="K81" s="9" t="s">
        <v>48</v>
      </c>
    </row>
    <row r="82" spans="1:11" x14ac:dyDescent="0.2">
      <c r="A82" s="9" t="s">
        <v>64</v>
      </c>
      <c r="B82" s="9" t="s">
        <v>66</v>
      </c>
      <c r="C82" s="9">
        <v>4</v>
      </c>
      <c r="D82" s="9">
        <v>2008</v>
      </c>
      <c r="E82" s="9">
        <v>6</v>
      </c>
      <c r="F82" s="9" t="s">
        <v>34</v>
      </c>
      <c r="G82" s="9">
        <v>4</v>
      </c>
      <c r="H82" s="9">
        <v>13</v>
      </c>
      <c r="I82" s="9">
        <v>19</v>
      </c>
      <c r="J82" s="9" t="s">
        <v>47</v>
      </c>
      <c r="K82" s="9" t="s">
        <v>48</v>
      </c>
    </row>
    <row r="83" spans="1:11" x14ac:dyDescent="0.2">
      <c r="A83" s="9" t="s">
        <v>64</v>
      </c>
      <c r="B83" s="9" t="s">
        <v>66</v>
      </c>
      <c r="C83" s="9">
        <v>4.5999999999999996</v>
      </c>
      <c r="D83" s="9">
        <v>2008</v>
      </c>
      <c r="E83" s="9">
        <v>8</v>
      </c>
      <c r="F83" s="9" t="s">
        <v>59</v>
      </c>
      <c r="G83" s="9">
        <v>4</v>
      </c>
      <c r="H83" s="9">
        <v>13</v>
      </c>
      <c r="I83" s="9">
        <v>19</v>
      </c>
      <c r="J83" s="9" t="s">
        <v>47</v>
      </c>
      <c r="K83" s="9" t="s">
        <v>48</v>
      </c>
    </row>
    <row r="84" spans="1:11" x14ac:dyDescent="0.2">
      <c r="A84" s="9" t="s">
        <v>64</v>
      </c>
      <c r="B84" s="9" t="s">
        <v>66</v>
      </c>
      <c r="C84" s="9">
        <v>5</v>
      </c>
      <c r="D84" s="9">
        <v>1999</v>
      </c>
      <c r="E84" s="9">
        <v>8</v>
      </c>
      <c r="F84" s="9" t="s">
        <v>46</v>
      </c>
      <c r="G84" s="9">
        <v>4</v>
      </c>
      <c r="H84" s="9">
        <v>13</v>
      </c>
      <c r="I84" s="9">
        <v>17</v>
      </c>
      <c r="J84" s="9" t="s">
        <v>47</v>
      </c>
      <c r="K84" s="9" t="s">
        <v>48</v>
      </c>
    </row>
    <row r="85" spans="1:11" x14ac:dyDescent="0.2">
      <c r="A85" s="9" t="s">
        <v>64</v>
      </c>
      <c r="B85" s="9" t="s">
        <v>67</v>
      </c>
      <c r="C85" s="9">
        <v>4.2</v>
      </c>
      <c r="D85" s="9">
        <v>1999</v>
      </c>
      <c r="E85" s="9">
        <v>6</v>
      </c>
      <c r="F85" s="9" t="s">
        <v>46</v>
      </c>
      <c r="G85" s="9">
        <v>4</v>
      </c>
      <c r="H85" s="9">
        <v>14</v>
      </c>
      <c r="I85" s="9">
        <v>17</v>
      </c>
      <c r="J85" s="9" t="s">
        <v>47</v>
      </c>
      <c r="K85" s="9" t="s">
        <v>61</v>
      </c>
    </row>
    <row r="86" spans="1:11" x14ac:dyDescent="0.2">
      <c r="A86" s="9" t="s">
        <v>64</v>
      </c>
      <c r="B86" s="9" t="s">
        <v>67</v>
      </c>
      <c r="C86" s="9">
        <v>4.2</v>
      </c>
      <c r="D86" s="9">
        <v>1999</v>
      </c>
      <c r="E86" s="9">
        <v>6</v>
      </c>
      <c r="F86" s="9" t="s">
        <v>37</v>
      </c>
      <c r="G86" s="9">
        <v>4</v>
      </c>
      <c r="H86" s="9">
        <v>14</v>
      </c>
      <c r="I86" s="9">
        <v>17</v>
      </c>
      <c r="J86" s="9" t="s">
        <v>47</v>
      </c>
      <c r="K86" s="9" t="s">
        <v>61</v>
      </c>
    </row>
    <row r="87" spans="1:11" x14ac:dyDescent="0.2">
      <c r="A87" s="9" t="s">
        <v>64</v>
      </c>
      <c r="B87" s="9" t="s">
        <v>67</v>
      </c>
      <c r="C87" s="9">
        <v>4.5999999999999996</v>
      </c>
      <c r="D87" s="9">
        <v>1999</v>
      </c>
      <c r="E87" s="9">
        <v>8</v>
      </c>
      <c r="F87" s="9" t="s">
        <v>37</v>
      </c>
      <c r="G87" s="9">
        <v>4</v>
      </c>
      <c r="H87" s="9">
        <v>13</v>
      </c>
      <c r="I87" s="9">
        <v>16</v>
      </c>
      <c r="J87" s="9" t="s">
        <v>47</v>
      </c>
      <c r="K87" s="9" t="s">
        <v>61</v>
      </c>
    </row>
    <row r="88" spans="1:11" x14ac:dyDescent="0.2">
      <c r="A88" s="9" t="s">
        <v>64</v>
      </c>
      <c r="B88" s="9" t="s">
        <v>67</v>
      </c>
      <c r="C88" s="9">
        <v>4.5999999999999996</v>
      </c>
      <c r="D88" s="9">
        <v>1999</v>
      </c>
      <c r="E88" s="9">
        <v>8</v>
      </c>
      <c r="F88" s="9" t="s">
        <v>46</v>
      </c>
      <c r="G88" s="9">
        <v>4</v>
      </c>
      <c r="H88" s="9">
        <v>13</v>
      </c>
      <c r="I88" s="9">
        <v>16</v>
      </c>
      <c r="J88" s="9" t="s">
        <v>47</v>
      </c>
      <c r="K88" s="9" t="s">
        <v>61</v>
      </c>
    </row>
    <row r="89" spans="1:11" x14ac:dyDescent="0.2">
      <c r="A89" s="9" t="s">
        <v>64</v>
      </c>
      <c r="B89" s="9" t="s">
        <v>67</v>
      </c>
      <c r="C89" s="9">
        <v>4.5999999999999996</v>
      </c>
      <c r="D89" s="9">
        <v>2008</v>
      </c>
      <c r="E89" s="9">
        <v>8</v>
      </c>
      <c r="F89" s="9" t="s">
        <v>46</v>
      </c>
      <c r="G89" s="9">
        <v>4</v>
      </c>
      <c r="H89" s="9">
        <v>13</v>
      </c>
      <c r="I89" s="9">
        <v>17</v>
      </c>
      <c r="J89" s="9" t="s">
        <v>47</v>
      </c>
      <c r="K89" s="9" t="s">
        <v>61</v>
      </c>
    </row>
    <row r="90" spans="1:11" x14ac:dyDescent="0.2">
      <c r="A90" s="9" t="s">
        <v>64</v>
      </c>
      <c r="B90" s="9" t="s">
        <v>67</v>
      </c>
      <c r="C90" s="9">
        <v>5.4</v>
      </c>
      <c r="D90" s="9">
        <v>1999</v>
      </c>
      <c r="E90" s="9">
        <v>8</v>
      </c>
      <c r="F90" s="9" t="s">
        <v>46</v>
      </c>
      <c r="G90" s="9">
        <v>4</v>
      </c>
      <c r="H90" s="9">
        <v>11</v>
      </c>
      <c r="I90" s="9">
        <v>15</v>
      </c>
      <c r="J90" s="9" t="s">
        <v>47</v>
      </c>
      <c r="K90" s="9" t="s">
        <v>61</v>
      </c>
    </row>
    <row r="91" spans="1:11" x14ac:dyDescent="0.2">
      <c r="A91" s="9" t="s">
        <v>64</v>
      </c>
      <c r="B91" s="9" t="s">
        <v>67</v>
      </c>
      <c r="C91" s="9">
        <v>5.4</v>
      </c>
      <c r="D91" s="9">
        <v>2008</v>
      </c>
      <c r="E91" s="9">
        <v>8</v>
      </c>
      <c r="F91" s="9" t="s">
        <v>46</v>
      </c>
      <c r="G91" s="9">
        <v>4</v>
      </c>
      <c r="H91" s="9">
        <v>13</v>
      </c>
      <c r="I91" s="9">
        <v>17</v>
      </c>
      <c r="J91" s="9" t="s">
        <v>47</v>
      </c>
      <c r="K91" s="9" t="s">
        <v>61</v>
      </c>
    </row>
    <row r="92" spans="1:11" x14ac:dyDescent="0.2">
      <c r="A92" s="9" t="s">
        <v>64</v>
      </c>
      <c r="B92" s="9" t="s">
        <v>68</v>
      </c>
      <c r="C92" s="9">
        <v>3.8</v>
      </c>
      <c r="D92" s="9">
        <v>1999</v>
      </c>
      <c r="E92" s="9">
        <v>6</v>
      </c>
      <c r="F92" s="9" t="s">
        <v>37</v>
      </c>
      <c r="G92" s="9" t="s">
        <v>47</v>
      </c>
      <c r="H92" s="9">
        <v>18</v>
      </c>
      <c r="I92" s="9">
        <v>26</v>
      </c>
      <c r="J92" s="9" t="s">
        <v>47</v>
      </c>
      <c r="K92" s="9" t="s">
        <v>69</v>
      </c>
    </row>
    <row r="93" spans="1:11" x14ac:dyDescent="0.2">
      <c r="A93" s="9" t="s">
        <v>64</v>
      </c>
      <c r="B93" s="9" t="s">
        <v>68</v>
      </c>
      <c r="C93" s="9">
        <v>3.8</v>
      </c>
      <c r="D93" s="9">
        <v>1999</v>
      </c>
      <c r="E93" s="9">
        <v>6</v>
      </c>
      <c r="F93" s="9" t="s">
        <v>46</v>
      </c>
      <c r="G93" s="9" t="s">
        <v>47</v>
      </c>
      <c r="H93" s="9">
        <v>18</v>
      </c>
      <c r="I93" s="9">
        <v>25</v>
      </c>
      <c r="J93" s="9" t="s">
        <v>47</v>
      </c>
      <c r="K93" s="9" t="s">
        <v>69</v>
      </c>
    </row>
    <row r="94" spans="1:11" x14ac:dyDescent="0.2">
      <c r="A94" s="9" t="s">
        <v>64</v>
      </c>
      <c r="B94" s="9" t="s">
        <v>68</v>
      </c>
      <c r="C94" s="9">
        <v>4</v>
      </c>
      <c r="D94" s="9">
        <v>2008</v>
      </c>
      <c r="E94" s="9">
        <v>6</v>
      </c>
      <c r="F94" s="9" t="s">
        <v>37</v>
      </c>
      <c r="G94" s="9" t="s">
        <v>47</v>
      </c>
      <c r="H94" s="9">
        <v>17</v>
      </c>
      <c r="I94" s="9">
        <v>26</v>
      </c>
      <c r="J94" s="9" t="s">
        <v>47</v>
      </c>
      <c r="K94" s="9" t="s">
        <v>69</v>
      </c>
    </row>
    <row r="95" spans="1:11" x14ac:dyDescent="0.2">
      <c r="A95" s="9" t="s">
        <v>64</v>
      </c>
      <c r="B95" s="9" t="s">
        <v>68</v>
      </c>
      <c r="C95" s="9">
        <v>4</v>
      </c>
      <c r="D95" s="9">
        <v>2008</v>
      </c>
      <c r="E95" s="9">
        <v>6</v>
      </c>
      <c r="F95" s="9" t="s">
        <v>34</v>
      </c>
      <c r="G95" s="9" t="s">
        <v>47</v>
      </c>
      <c r="H95" s="9">
        <v>16</v>
      </c>
      <c r="I95" s="9">
        <v>24</v>
      </c>
      <c r="J95" s="9" t="s">
        <v>47</v>
      </c>
      <c r="K95" s="9" t="s">
        <v>69</v>
      </c>
    </row>
    <row r="96" spans="1:11" x14ac:dyDescent="0.2">
      <c r="A96" s="9" t="s">
        <v>64</v>
      </c>
      <c r="B96" s="9" t="s">
        <v>68</v>
      </c>
      <c r="C96" s="9">
        <v>4.5999999999999996</v>
      </c>
      <c r="D96" s="9">
        <v>1999</v>
      </c>
      <c r="E96" s="9">
        <v>8</v>
      </c>
      <c r="F96" s="9" t="s">
        <v>46</v>
      </c>
      <c r="G96" s="9" t="s">
        <v>47</v>
      </c>
      <c r="H96" s="9">
        <v>15</v>
      </c>
      <c r="I96" s="9">
        <v>21</v>
      </c>
      <c r="J96" s="9" t="s">
        <v>47</v>
      </c>
      <c r="K96" s="9" t="s">
        <v>69</v>
      </c>
    </row>
    <row r="97" spans="1:11" x14ac:dyDescent="0.2">
      <c r="A97" s="9" t="s">
        <v>64</v>
      </c>
      <c r="B97" s="9" t="s">
        <v>68</v>
      </c>
      <c r="C97" s="9">
        <v>4.5999999999999996</v>
      </c>
      <c r="D97" s="9">
        <v>1999</v>
      </c>
      <c r="E97" s="9">
        <v>8</v>
      </c>
      <c r="F97" s="9" t="s">
        <v>37</v>
      </c>
      <c r="G97" s="9" t="s">
        <v>47</v>
      </c>
      <c r="H97" s="9">
        <v>15</v>
      </c>
      <c r="I97" s="9">
        <v>22</v>
      </c>
      <c r="J97" s="9" t="s">
        <v>47</v>
      </c>
      <c r="K97" s="9" t="s">
        <v>69</v>
      </c>
    </row>
    <row r="98" spans="1:11" x14ac:dyDescent="0.2">
      <c r="A98" s="9" t="s">
        <v>64</v>
      </c>
      <c r="B98" s="9" t="s">
        <v>68</v>
      </c>
      <c r="C98" s="9">
        <v>4.5999999999999996</v>
      </c>
      <c r="D98" s="9">
        <v>2008</v>
      </c>
      <c r="E98" s="9">
        <v>8</v>
      </c>
      <c r="F98" s="9" t="s">
        <v>37</v>
      </c>
      <c r="G98" s="9" t="s">
        <v>47</v>
      </c>
      <c r="H98" s="9">
        <v>15</v>
      </c>
      <c r="I98" s="9">
        <v>23</v>
      </c>
      <c r="J98" s="9" t="s">
        <v>47</v>
      </c>
      <c r="K98" s="9" t="s">
        <v>69</v>
      </c>
    </row>
    <row r="99" spans="1:11" x14ac:dyDescent="0.2">
      <c r="A99" s="9" t="s">
        <v>64</v>
      </c>
      <c r="B99" s="9" t="s">
        <v>68</v>
      </c>
      <c r="C99" s="9">
        <v>4.5999999999999996</v>
      </c>
      <c r="D99" s="9">
        <v>2008</v>
      </c>
      <c r="E99" s="9">
        <v>8</v>
      </c>
      <c r="F99" s="9" t="s">
        <v>34</v>
      </c>
      <c r="G99" s="9" t="s">
        <v>47</v>
      </c>
      <c r="H99" s="9">
        <v>15</v>
      </c>
      <c r="I99" s="9">
        <v>22</v>
      </c>
      <c r="J99" s="9" t="s">
        <v>47</v>
      </c>
      <c r="K99" s="9" t="s">
        <v>69</v>
      </c>
    </row>
    <row r="100" spans="1:11" x14ac:dyDescent="0.2">
      <c r="A100" s="9" t="s">
        <v>64</v>
      </c>
      <c r="B100" s="9" t="s">
        <v>68</v>
      </c>
      <c r="C100" s="9">
        <v>5.4</v>
      </c>
      <c r="D100" s="9">
        <v>2008</v>
      </c>
      <c r="E100" s="9">
        <v>8</v>
      </c>
      <c r="F100" s="9" t="s">
        <v>38</v>
      </c>
      <c r="G100" s="9" t="s">
        <v>47</v>
      </c>
      <c r="H100" s="9">
        <v>14</v>
      </c>
      <c r="I100" s="9">
        <v>20</v>
      </c>
      <c r="J100" s="9" t="s">
        <v>0</v>
      </c>
      <c r="K100" s="9" t="s">
        <v>69</v>
      </c>
    </row>
    <row r="101" spans="1:11" x14ac:dyDescent="0.2">
      <c r="A101" s="9" t="s">
        <v>70</v>
      </c>
      <c r="B101" s="9" t="s">
        <v>71</v>
      </c>
      <c r="C101" s="9">
        <v>1.6</v>
      </c>
      <c r="D101" s="9">
        <v>1999</v>
      </c>
      <c r="E101" s="9">
        <v>4</v>
      </c>
      <c r="F101" s="9" t="s">
        <v>37</v>
      </c>
      <c r="G101" s="9" t="s">
        <v>35</v>
      </c>
      <c r="H101" s="9">
        <v>28</v>
      </c>
      <c r="I101" s="9">
        <v>33</v>
      </c>
      <c r="J101" s="9" t="s">
        <v>47</v>
      </c>
      <c r="K101" s="9" t="s">
        <v>69</v>
      </c>
    </row>
    <row r="102" spans="1:11" x14ac:dyDescent="0.2">
      <c r="A102" s="9" t="s">
        <v>70</v>
      </c>
      <c r="B102" s="9" t="s">
        <v>71</v>
      </c>
      <c r="C102" s="9">
        <v>1.6</v>
      </c>
      <c r="D102" s="9">
        <v>1999</v>
      </c>
      <c r="E102" s="9">
        <v>4</v>
      </c>
      <c r="F102" s="9" t="s">
        <v>46</v>
      </c>
      <c r="G102" s="9" t="s">
        <v>35</v>
      </c>
      <c r="H102" s="9">
        <v>24</v>
      </c>
      <c r="I102" s="9">
        <v>32</v>
      </c>
      <c r="J102" s="9" t="s">
        <v>47</v>
      </c>
      <c r="K102" s="9" t="s">
        <v>69</v>
      </c>
    </row>
    <row r="103" spans="1:11" x14ac:dyDescent="0.2">
      <c r="A103" s="9" t="s">
        <v>70</v>
      </c>
      <c r="B103" s="9" t="s">
        <v>71</v>
      </c>
      <c r="C103" s="9">
        <v>1.6</v>
      </c>
      <c r="D103" s="9">
        <v>1999</v>
      </c>
      <c r="E103" s="9">
        <v>4</v>
      </c>
      <c r="F103" s="9" t="s">
        <v>37</v>
      </c>
      <c r="G103" s="9" t="s">
        <v>35</v>
      </c>
      <c r="H103" s="9">
        <v>25</v>
      </c>
      <c r="I103" s="9">
        <v>32</v>
      </c>
      <c r="J103" s="9" t="s">
        <v>47</v>
      </c>
      <c r="K103" s="9" t="s">
        <v>69</v>
      </c>
    </row>
    <row r="104" spans="1:11" x14ac:dyDescent="0.2">
      <c r="A104" s="9" t="s">
        <v>70</v>
      </c>
      <c r="B104" s="9" t="s">
        <v>71</v>
      </c>
      <c r="C104" s="9">
        <v>1.6</v>
      </c>
      <c r="D104" s="9">
        <v>1999</v>
      </c>
      <c r="E104" s="9">
        <v>4</v>
      </c>
      <c r="F104" s="9" t="s">
        <v>37</v>
      </c>
      <c r="G104" s="9" t="s">
        <v>35</v>
      </c>
      <c r="H104" s="9">
        <v>23</v>
      </c>
      <c r="I104" s="9">
        <v>29</v>
      </c>
      <c r="J104" s="9" t="s">
        <v>0</v>
      </c>
      <c r="K104" s="9" t="s">
        <v>69</v>
      </c>
    </row>
    <row r="105" spans="1:11" x14ac:dyDescent="0.2">
      <c r="A105" s="9" t="s">
        <v>70</v>
      </c>
      <c r="B105" s="9" t="s">
        <v>71</v>
      </c>
      <c r="C105" s="9">
        <v>1.6</v>
      </c>
      <c r="D105" s="9">
        <v>1999</v>
      </c>
      <c r="E105" s="9">
        <v>4</v>
      </c>
      <c r="F105" s="9" t="s">
        <v>46</v>
      </c>
      <c r="G105" s="9" t="s">
        <v>35</v>
      </c>
      <c r="H105" s="9">
        <v>24</v>
      </c>
      <c r="I105" s="9">
        <v>32</v>
      </c>
      <c r="J105" s="9" t="s">
        <v>47</v>
      </c>
      <c r="K105" s="9" t="s">
        <v>69</v>
      </c>
    </row>
    <row r="106" spans="1:11" x14ac:dyDescent="0.2">
      <c r="A106" s="9" t="s">
        <v>70</v>
      </c>
      <c r="B106" s="9" t="s">
        <v>71</v>
      </c>
      <c r="C106" s="9">
        <v>1.8</v>
      </c>
      <c r="D106" s="9">
        <v>2008</v>
      </c>
      <c r="E106" s="9">
        <v>4</v>
      </c>
      <c r="F106" s="9" t="s">
        <v>37</v>
      </c>
      <c r="G106" s="9" t="s">
        <v>35</v>
      </c>
      <c r="H106" s="9">
        <v>26</v>
      </c>
      <c r="I106" s="9">
        <v>34</v>
      </c>
      <c r="J106" s="9" t="s">
        <v>47</v>
      </c>
      <c r="K106" s="9" t="s">
        <v>69</v>
      </c>
    </row>
    <row r="107" spans="1:11" x14ac:dyDescent="0.2">
      <c r="A107" s="9" t="s">
        <v>70</v>
      </c>
      <c r="B107" s="9" t="s">
        <v>71</v>
      </c>
      <c r="C107" s="9">
        <v>1.8</v>
      </c>
      <c r="D107" s="9">
        <v>2008</v>
      </c>
      <c r="E107" s="9">
        <v>4</v>
      </c>
      <c r="F107" s="9" t="s">
        <v>34</v>
      </c>
      <c r="G107" s="9" t="s">
        <v>35</v>
      </c>
      <c r="H107" s="9">
        <v>25</v>
      </c>
      <c r="I107" s="9">
        <v>36</v>
      </c>
      <c r="J107" s="9" t="s">
        <v>47</v>
      </c>
      <c r="K107" s="9" t="s">
        <v>69</v>
      </c>
    </row>
    <row r="108" spans="1:11" x14ac:dyDescent="0.2">
      <c r="A108" s="9" t="s">
        <v>70</v>
      </c>
      <c r="B108" s="9" t="s">
        <v>71</v>
      </c>
      <c r="C108" s="9">
        <v>1.8</v>
      </c>
      <c r="D108" s="9">
        <v>2008</v>
      </c>
      <c r="E108" s="9">
        <v>4</v>
      </c>
      <c r="F108" s="9" t="s">
        <v>34</v>
      </c>
      <c r="G108" s="9" t="s">
        <v>35</v>
      </c>
      <c r="H108" s="9">
        <v>24</v>
      </c>
      <c r="I108" s="9">
        <v>36</v>
      </c>
      <c r="J108" s="9" t="s">
        <v>72</v>
      </c>
      <c r="K108" s="9" t="s">
        <v>69</v>
      </c>
    </row>
    <row r="109" spans="1:11" x14ac:dyDescent="0.2">
      <c r="A109" s="9" t="s">
        <v>70</v>
      </c>
      <c r="B109" s="9" t="s">
        <v>71</v>
      </c>
      <c r="C109" s="9">
        <v>2</v>
      </c>
      <c r="D109" s="9">
        <v>2008</v>
      </c>
      <c r="E109" s="9">
        <v>4</v>
      </c>
      <c r="F109" s="9" t="s">
        <v>38</v>
      </c>
      <c r="G109" s="9" t="s">
        <v>35</v>
      </c>
      <c r="H109" s="9">
        <v>21</v>
      </c>
      <c r="I109" s="9">
        <v>29</v>
      </c>
      <c r="J109" s="9" t="s">
        <v>0</v>
      </c>
      <c r="K109" s="9" t="s">
        <v>69</v>
      </c>
    </row>
    <row r="110" spans="1:11" x14ac:dyDescent="0.2">
      <c r="A110" s="9" t="s">
        <v>73</v>
      </c>
      <c r="B110" s="9" t="s">
        <v>74</v>
      </c>
      <c r="C110" s="9">
        <v>2.4</v>
      </c>
      <c r="D110" s="9">
        <v>1999</v>
      </c>
      <c r="E110" s="9">
        <v>4</v>
      </c>
      <c r="F110" s="9" t="s">
        <v>46</v>
      </c>
      <c r="G110" s="9" t="s">
        <v>35</v>
      </c>
      <c r="H110" s="9">
        <v>18</v>
      </c>
      <c r="I110" s="9">
        <v>26</v>
      </c>
      <c r="J110" s="9" t="s">
        <v>47</v>
      </c>
      <c r="K110" s="9" t="s">
        <v>43</v>
      </c>
    </row>
    <row r="111" spans="1:11" x14ac:dyDescent="0.2">
      <c r="A111" s="9" t="s">
        <v>73</v>
      </c>
      <c r="B111" s="9" t="s">
        <v>74</v>
      </c>
      <c r="C111" s="9">
        <v>2.4</v>
      </c>
      <c r="D111" s="9">
        <v>1999</v>
      </c>
      <c r="E111" s="9">
        <v>4</v>
      </c>
      <c r="F111" s="9" t="s">
        <v>37</v>
      </c>
      <c r="G111" s="9" t="s">
        <v>35</v>
      </c>
      <c r="H111" s="9">
        <v>18</v>
      </c>
      <c r="I111" s="9">
        <v>27</v>
      </c>
      <c r="J111" s="9" t="s">
        <v>47</v>
      </c>
      <c r="K111" s="9" t="s">
        <v>43</v>
      </c>
    </row>
    <row r="112" spans="1:11" x14ac:dyDescent="0.2">
      <c r="A112" s="9" t="s">
        <v>73</v>
      </c>
      <c r="B112" s="9" t="s">
        <v>74</v>
      </c>
      <c r="C112" s="9">
        <v>2.4</v>
      </c>
      <c r="D112" s="9">
        <v>2008</v>
      </c>
      <c r="E112" s="9">
        <v>4</v>
      </c>
      <c r="F112" s="9" t="s">
        <v>46</v>
      </c>
      <c r="G112" s="9" t="s">
        <v>35</v>
      </c>
      <c r="H112" s="9">
        <v>21</v>
      </c>
      <c r="I112" s="9">
        <v>30</v>
      </c>
      <c r="J112" s="9" t="s">
        <v>47</v>
      </c>
      <c r="K112" s="9" t="s">
        <v>43</v>
      </c>
    </row>
    <row r="113" spans="1:11" x14ac:dyDescent="0.2">
      <c r="A113" s="9" t="s">
        <v>73</v>
      </c>
      <c r="B113" s="9" t="s">
        <v>74</v>
      </c>
      <c r="C113" s="9">
        <v>2.4</v>
      </c>
      <c r="D113" s="9">
        <v>2008</v>
      </c>
      <c r="E113" s="9">
        <v>4</v>
      </c>
      <c r="F113" s="9" t="s">
        <v>37</v>
      </c>
      <c r="G113" s="9" t="s">
        <v>35</v>
      </c>
      <c r="H113" s="9">
        <v>21</v>
      </c>
      <c r="I113" s="9">
        <v>31</v>
      </c>
      <c r="J113" s="9" t="s">
        <v>47</v>
      </c>
      <c r="K113" s="9" t="s">
        <v>43</v>
      </c>
    </row>
    <row r="114" spans="1:11" x14ac:dyDescent="0.2">
      <c r="A114" s="9" t="s">
        <v>73</v>
      </c>
      <c r="B114" s="9" t="s">
        <v>74</v>
      </c>
      <c r="C114" s="9">
        <v>2.5</v>
      </c>
      <c r="D114" s="9">
        <v>1999</v>
      </c>
      <c r="E114" s="9">
        <v>6</v>
      </c>
      <c r="F114" s="9" t="s">
        <v>46</v>
      </c>
      <c r="G114" s="9" t="s">
        <v>35</v>
      </c>
      <c r="H114" s="9">
        <v>18</v>
      </c>
      <c r="I114" s="9">
        <v>26</v>
      </c>
      <c r="J114" s="9" t="s">
        <v>47</v>
      </c>
      <c r="K114" s="9" t="s">
        <v>43</v>
      </c>
    </row>
    <row r="115" spans="1:11" x14ac:dyDescent="0.2">
      <c r="A115" s="9" t="s">
        <v>73</v>
      </c>
      <c r="B115" s="9" t="s">
        <v>74</v>
      </c>
      <c r="C115" s="9">
        <v>2.5</v>
      </c>
      <c r="D115" s="9">
        <v>1999</v>
      </c>
      <c r="E115" s="9">
        <v>6</v>
      </c>
      <c r="F115" s="9" t="s">
        <v>37</v>
      </c>
      <c r="G115" s="9" t="s">
        <v>35</v>
      </c>
      <c r="H115" s="9">
        <v>18</v>
      </c>
      <c r="I115" s="9">
        <v>26</v>
      </c>
      <c r="J115" s="9" t="s">
        <v>47</v>
      </c>
      <c r="K115" s="9" t="s">
        <v>43</v>
      </c>
    </row>
    <row r="116" spans="1:11" x14ac:dyDescent="0.2">
      <c r="A116" s="9" t="s">
        <v>73</v>
      </c>
      <c r="B116" s="9" t="s">
        <v>74</v>
      </c>
      <c r="C116" s="9">
        <v>3.3</v>
      </c>
      <c r="D116" s="9">
        <v>2008</v>
      </c>
      <c r="E116" s="9">
        <v>6</v>
      </c>
      <c r="F116" s="9" t="s">
        <v>34</v>
      </c>
      <c r="G116" s="9" t="s">
        <v>35</v>
      </c>
      <c r="H116" s="9">
        <v>19</v>
      </c>
      <c r="I116" s="9">
        <v>28</v>
      </c>
      <c r="J116" s="9" t="s">
        <v>47</v>
      </c>
      <c r="K116" s="9" t="s">
        <v>43</v>
      </c>
    </row>
    <row r="117" spans="1:11" x14ac:dyDescent="0.2">
      <c r="A117" s="9" t="s">
        <v>73</v>
      </c>
      <c r="B117" s="9" t="s">
        <v>75</v>
      </c>
      <c r="C117" s="9">
        <v>2</v>
      </c>
      <c r="D117" s="9">
        <v>1999</v>
      </c>
      <c r="E117" s="9">
        <v>4</v>
      </c>
      <c r="F117" s="9" t="s">
        <v>46</v>
      </c>
      <c r="G117" s="9" t="s">
        <v>35</v>
      </c>
      <c r="H117" s="9">
        <v>19</v>
      </c>
      <c r="I117" s="9">
        <v>26</v>
      </c>
      <c r="J117" s="9" t="s">
        <v>47</v>
      </c>
      <c r="K117" s="9" t="s">
        <v>69</v>
      </c>
    </row>
    <row r="118" spans="1:11" x14ac:dyDescent="0.2">
      <c r="A118" s="9" t="s">
        <v>73</v>
      </c>
      <c r="B118" s="9" t="s">
        <v>75</v>
      </c>
      <c r="C118" s="9">
        <v>2</v>
      </c>
      <c r="D118" s="9">
        <v>1999</v>
      </c>
      <c r="E118" s="9">
        <v>4</v>
      </c>
      <c r="F118" s="9" t="s">
        <v>37</v>
      </c>
      <c r="G118" s="9" t="s">
        <v>35</v>
      </c>
      <c r="H118" s="9">
        <v>19</v>
      </c>
      <c r="I118" s="9">
        <v>29</v>
      </c>
      <c r="J118" s="9" t="s">
        <v>47</v>
      </c>
      <c r="K118" s="9" t="s">
        <v>69</v>
      </c>
    </row>
    <row r="119" spans="1:11" x14ac:dyDescent="0.2">
      <c r="A119" s="9" t="s">
        <v>73</v>
      </c>
      <c r="B119" s="9" t="s">
        <v>75</v>
      </c>
      <c r="C119" s="9">
        <v>2</v>
      </c>
      <c r="D119" s="9">
        <v>2008</v>
      </c>
      <c r="E119" s="9">
        <v>4</v>
      </c>
      <c r="F119" s="9" t="s">
        <v>37</v>
      </c>
      <c r="G119" s="9" t="s">
        <v>35</v>
      </c>
      <c r="H119" s="9">
        <v>20</v>
      </c>
      <c r="I119" s="9">
        <v>28</v>
      </c>
      <c r="J119" s="9" t="s">
        <v>47</v>
      </c>
      <c r="K119" s="9" t="s">
        <v>69</v>
      </c>
    </row>
    <row r="120" spans="1:11" x14ac:dyDescent="0.2">
      <c r="A120" s="9" t="s">
        <v>73</v>
      </c>
      <c r="B120" s="9" t="s">
        <v>75</v>
      </c>
      <c r="C120" s="9">
        <v>2</v>
      </c>
      <c r="D120" s="9">
        <v>2008</v>
      </c>
      <c r="E120" s="9">
        <v>4</v>
      </c>
      <c r="F120" s="9" t="s">
        <v>46</v>
      </c>
      <c r="G120" s="9" t="s">
        <v>35</v>
      </c>
      <c r="H120" s="9">
        <v>20</v>
      </c>
      <c r="I120" s="9">
        <v>27</v>
      </c>
      <c r="J120" s="9" t="s">
        <v>47</v>
      </c>
      <c r="K120" s="9" t="s">
        <v>69</v>
      </c>
    </row>
    <row r="121" spans="1:11" x14ac:dyDescent="0.2">
      <c r="A121" s="9" t="s">
        <v>73</v>
      </c>
      <c r="B121" s="9" t="s">
        <v>75</v>
      </c>
      <c r="C121" s="9">
        <v>2.7</v>
      </c>
      <c r="D121" s="9">
        <v>2008</v>
      </c>
      <c r="E121" s="9">
        <v>6</v>
      </c>
      <c r="F121" s="9" t="s">
        <v>46</v>
      </c>
      <c r="G121" s="9" t="s">
        <v>35</v>
      </c>
      <c r="H121" s="9">
        <v>17</v>
      </c>
      <c r="I121" s="9">
        <v>24</v>
      </c>
      <c r="J121" s="9" t="s">
        <v>47</v>
      </c>
      <c r="K121" s="9" t="s">
        <v>69</v>
      </c>
    </row>
    <row r="122" spans="1:11" x14ac:dyDescent="0.2">
      <c r="A122" s="9" t="s">
        <v>73</v>
      </c>
      <c r="B122" s="9" t="s">
        <v>75</v>
      </c>
      <c r="C122" s="9">
        <v>2.7</v>
      </c>
      <c r="D122" s="9">
        <v>2008</v>
      </c>
      <c r="E122" s="9">
        <v>6</v>
      </c>
      <c r="F122" s="9" t="s">
        <v>38</v>
      </c>
      <c r="G122" s="9" t="s">
        <v>35</v>
      </c>
      <c r="H122" s="9">
        <v>16</v>
      </c>
      <c r="I122" s="9">
        <v>24</v>
      </c>
      <c r="J122" s="9" t="s">
        <v>47</v>
      </c>
      <c r="K122" s="9" t="s">
        <v>69</v>
      </c>
    </row>
    <row r="123" spans="1:11" x14ac:dyDescent="0.2">
      <c r="A123" s="9" t="s">
        <v>73</v>
      </c>
      <c r="B123" s="9" t="s">
        <v>75</v>
      </c>
      <c r="C123" s="9">
        <v>2.7</v>
      </c>
      <c r="D123" s="9">
        <v>2008</v>
      </c>
      <c r="E123" s="9">
        <v>6</v>
      </c>
      <c r="F123" s="9" t="s">
        <v>37</v>
      </c>
      <c r="G123" s="9" t="s">
        <v>35</v>
      </c>
      <c r="H123" s="9">
        <v>17</v>
      </c>
      <c r="I123" s="9">
        <v>24</v>
      </c>
      <c r="J123" s="9" t="s">
        <v>47</v>
      </c>
      <c r="K123" s="9" t="s">
        <v>69</v>
      </c>
    </row>
    <row r="124" spans="1:11" x14ac:dyDescent="0.2">
      <c r="A124" s="9" t="s">
        <v>76</v>
      </c>
      <c r="B124" s="9" t="s">
        <v>77</v>
      </c>
      <c r="C124" s="9">
        <v>3</v>
      </c>
      <c r="D124" s="9">
        <v>2008</v>
      </c>
      <c r="E124" s="9">
        <v>6</v>
      </c>
      <c r="F124" s="9" t="s">
        <v>34</v>
      </c>
      <c r="G124" s="9">
        <v>4</v>
      </c>
      <c r="H124" s="9">
        <v>17</v>
      </c>
      <c r="I124" s="9">
        <v>22</v>
      </c>
      <c r="J124" s="9" t="s">
        <v>53</v>
      </c>
      <c r="K124" s="9" t="s">
        <v>48</v>
      </c>
    </row>
    <row r="125" spans="1:11" x14ac:dyDescent="0.2">
      <c r="A125" s="9" t="s">
        <v>76</v>
      </c>
      <c r="B125" s="9" t="s">
        <v>77</v>
      </c>
      <c r="C125" s="9">
        <v>3.7</v>
      </c>
      <c r="D125" s="9">
        <v>2008</v>
      </c>
      <c r="E125" s="9">
        <v>6</v>
      </c>
      <c r="F125" s="9" t="s">
        <v>34</v>
      </c>
      <c r="G125" s="9">
        <v>4</v>
      </c>
      <c r="H125" s="9">
        <v>15</v>
      </c>
      <c r="I125" s="9">
        <v>19</v>
      </c>
      <c r="J125" s="9" t="s">
        <v>47</v>
      </c>
      <c r="K125" s="9" t="s">
        <v>48</v>
      </c>
    </row>
    <row r="126" spans="1:11" x14ac:dyDescent="0.2">
      <c r="A126" s="9" t="s">
        <v>76</v>
      </c>
      <c r="B126" s="9" t="s">
        <v>77</v>
      </c>
      <c r="C126" s="9">
        <v>4</v>
      </c>
      <c r="D126" s="9">
        <v>1999</v>
      </c>
      <c r="E126" s="9">
        <v>6</v>
      </c>
      <c r="F126" s="9" t="s">
        <v>46</v>
      </c>
      <c r="G126" s="9">
        <v>4</v>
      </c>
      <c r="H126" s="9">
        <v>15</v>
      </c>
      <c r="I126" s="9">
        <v>20</v>
      </c>
      <c r="J126" s="9" t="s">
        <v>47</v>
      </c>
      <c r="K126" s="9" t="s">
        <v>48</v>
      </c>
    </row>
    <row r="127" spans="1:11" x14ac:dyDescent="0.2">
      <c r="A127" s="9" t="s">
        <v>76</v>
      </c>
      <c r="B127" s="9" t="s">
        <v>77</v>
      </c>
      <c r="C127" s="9">
        <v>4.7</v>
      </c>
      <c r="D127" s="9">
        <v>1999</v>
      </c>
      <c r="E127" s="9">
        <v>8</v>
      </c>
      <c r="F127" s="9" t="s">
        <v>46</v>
      </c>
      <c r="G127" s="9">
        <v>4</v>
      </c>
      <c r="H127" s="9">
        <v>14</v>
      </c>
      <c r="I127" s="9">
        <v>17</v>
      </c>
      <c r="J127" s="9" t="s">
        <v>47</v>
      </c>
      <c r="K127" s="9" t="s">
        <v>48</v>
      </c>
    </row>
    <row r="128" spans="1:11" x14ac:dyDescent="0.2">
      <c r="A128" s="9" t="s">
        <v>76</v>
      </c>
      <c r="B128" s="9" t="s">
        <v>77</v>
      </c>
      <c r="C128" s="9">
        <v>4.7</v>
      </c>
      <c r="D128" s="9">
        <v>2008</v>
      </c>
      <c r="E128" s="9">
        <v>8</v>
      </c>
      <c r="F128" s="9" t="s">
        <v>34</v>
      </c>
      <c r="G128" s="9">
        <v>4</v>
      </c>
      <c r="H128" s="9">
        <v>9</v>
      </c>
      <c r="I128" s="9">
        <v>12</v>
      </c>
      <c r="J128" s="9" t="s">
        <v>49</v>
      </c>
      <c r="K128" s="9" t="s">
        <v>48</v>
      </c>
    </row>
    <row r="129" spans="1:11" x14ac:dyDescent="0.2">
      <c r="A129" s="9" t="s">
        <v>76</v>
      </c>
      <c r="B129" s="9" t="s">
        <v>77</v>
      </c>
      <c r="C129" s="9">
        <v>4.7</v>
      </c>
      <c r="D129" s="9">
        <v>2008</v>
      </c>
      <c r="E129" s="9">
        <v>8</v>
      </c>
      <c r="F129" s="9" t="s">
        <v>34</v>
      </c>
      <c r="G129" s="9">
        <v>4</v>
      </c>
      <c r="H129" s="9">
        <v>14</v>
      </c>
      <c r="I129" s="9">
        <v>19</v>
      </c>
      <c r="J129" s="9" t="s">
        <v>47</v>
      </c>
      <c r="K129" s="9" t="s">
        <v>48</v>
      </c>
    </row>
    <row r="130" spans="1:11" x14ac:dyDescent="0.2">
      <c r="A130" s="9" t="s">
        <v>76</v>
      </c>
      <c r="B130" s="9" t="s">
        <v>77</v>
      </c>
      <c r="C130" s="9">
        <v>5.7</v>
      </c>
      <c r="D130" s="9">
        <v>2008</v>
      </c>
      <c r="E130" s="9">
        <v>8</v>
      </c>
      <c r="F130" s="9" t="s">
        <v>34</v>
      </c>
      <c r="G130" s="9">
        <v>4</v>
      </c>
      <c r="H130" s="9">
        <v>13</v>
      </c>
      <c r="I130" s="9">
        <v>18</v>
      </c>
      <c r="J130" s="9" t="s">
        <v>47</v>
      </c>
      <c r="K130" s="9" t="s">
        <v>48</v>
      </c>
    </row>
    <row r="131" spans="1:11" x14ac:dyDescent="0.2">
      <c r="A131" s="9" t="s">
        <v>76</v>
      </c>
      <c r="B131" s="9" t="s">
        <v>77</v>
      </c>
      <c r="C131" s="9">
        <v>6.1</v>
      </c>
      <c r="D131" s="9">
        <v>2008</v>
      </c>
      <c r="E131" s="9">
        <v>8</v>
      </c>
      <c r="F131" s="9" t="s">
        <v>34</v>
      </c>
      <c r="G131" s="9">
        <v>4</v>
      </c>
      <c r="H131" s="9">
        <v>11</v>
      </c>
      <c r="I131" s="9">
        <v>14</v>
      </c>
      <c r="J131" s="9" t="s">
        <v>0</v>
      </c>
      <c r="K131" s="9" t="s">
        <v>48</v>
      </c>
    </row>
    <row r="132" spans="1:11" x14ac:dyDescent="0.2">
      <c r="A132" s="9" t="s">
        <v>78</v>
      </c>
      <c r="B132" s="9" t="s">
        <v>79</v>
      </c>
      <c r="C132" s="9">
        <v>4</v>
      </c>
      <c r="D132" s="9">
        <v>1999</v>
      </c>
      <c r="E132" s="9">
        <v>8</v>
      </c>
      <c r="F132" s="9" t="s">
        <v>46</v>
      </c>
      <c r="G132" s="9">
        <v>4</v>
      </c>
      <c r="H132" s="9">
        <v>11</v>
      </c>
      <c r="I132" s="9">
        <v>15</v>
      </c>
      <c r="J132" s="9" t="s">
        <v>0</v>
      </c>
      <c r="K132" s="9" t="s">
        <v>48</v>
      </c>
    </row>
    <row r="133" spans="1:11" x14ac:dyDescent="0.2">
      <c r="A133" s="9" t="s">
        <v>78</v>
      </c>
      <c r="B133" s="9" t="s">
        <v>79</v>
      </c>
      <c r="C133" s="9">
        <v>4.2</v>
      </c>
      <c r="D133" s="9">
        <v>2008</v>
      </c>
      <c r="E133" s="9">
        <v>8</v>
      </c>
      <c r="F133" s="9" t="s">
        <v>41</v>
      </c>
      <c r="G133" s="9">
        <v>4</v>
      </c>
      <c r="H133" s="9">
        <v>12</v>
      </c>
      <c r="I133" s="9">
        <v>18</v>
      </c>
      <c r="J133" s="9" t="s">
        <v>47</v>
      </c>
      <c r="K133" s="9" t="s">
        <v>48</v>
      </c>
    </row>
    <row r="134" spans="1:11" x14ac:dyDescent="0.2">
      <c r="A134" s="9" t="s">
        <v>78</v>
      </c>
      <c r="B134" s="9" t="s">
        <v>79</v>
      </c>
      <c r="C134" s="9">
        <v>4.4000000000000004</v>
      </c>
      <c r="D134" s="9">
        <v>2008</v>
      </c>
      <c r="E134" s="9">
        <v>8</v>
      </c>
      <c r="F134" s="9" t="s">
        <v>41</v>
      </c>
      <c r="G134" s="9">
        <v>4</v>
      </c>
      <c r="H134" s="9">
        <v>12</v>
      </c>
      <c r="I134" s="9">
        <v>18</v>
      </c>
      <c r="J134" s="9" t="s">
        <v>47</v>
      </c>
      <c r="K134" s="9" t="s">
        <v>48</v>
      </c>
    </row>
    <row r="135" spans="1:11" x14ac:dyDescent="0.2">
      <c r="A135" s="9" t="s">
        <v>78</v>
      </c>
      <c r="B135" s="9" t="s">
        <v>79</v>
      </c>
      <c r="C135" s="9">
        <v>4.5999999999999996</v>
      </c>
      <c r="D135" s="9">
        <v>1999</v>
      </c>
      <c r="E135" s="9">
        <v>8</v>
      </c>
      <c r="F135" s="9" t="s">
        <v>46</v>
      </c>
      <c r="G135" s="9">
        <v>4</v>
      </c>
      <c r="H135" s="9">
        <v>11</v>
      </c>
      <c r="I135" s="9">
        <v>15</v>
      </c>
      <c r="J135" s="9" t="s">
        <v>0</v>
      </c>
      <c r="K135" s="9" t="s">
        <v>48</v>
      </c>
    </row>
    <row r="136" spans="1:11" x14ac:dyDescent="0.2">
      <c r="A136" s="9" t="s">
        <v>80</v>
      </c>
      <c r="B136" s="9" t="s">
        <v>81</v>
      </c>
      <c r="C136" s="9">
        <v>5.4</v>
      </c>
      <c r="D136" s="9">
        <v>1999</v>
      </c>
      <c r="E136" s="9">
        <v>8</v>
      </c>
      <c r="F136" s="9" t="s">
        <v>46</v>
      </c>
      <c r="G136" s="9" t="s">
        <v>47</v>
      </c>
      <c r="H136" s="9">
        <v>11</v>
      </c>
      <c r="I136" s="9">
        <v>17</v>
      </c>
      <c r="J136" s="9" t="s">
        <v>47</v>
      </c>
      <c r="K136" s="9" t="s">
        <v>48</v>
      </c>
    </row>
    <row r="137" spans="1:11" x14ac:dyDescent="0.2">
      <c r="A137" s="9" t="s">
        <v>80</v>
      </c>
      <c r="B137" s="9" t="s">
        <v>81</v>
      </c>
      <c r="C137" s="9">
        <v>5.4</v>
      </c>
      <c r="D137" s="9">
        <v>1999</v>
      </c>
      <c r="E137" s="9">
        <v>8</v>
      </c>
      <c r="F137" s="9" t="s">
        <v>46</v>
      </c>
      <c r="G137" s="9" t="s">
        <v>47</v>
      </c>
      <c r="H137" s="9">
        <v>11</v>
      </c>
      <c r="I137" s="9">
        <v>16</v>
      </c>
      <c r="J137" s="9" t="s">
        <v>0</v>
      </c>
      <c r="K137" s="9" t="s">
        <v>48</v>
      </c>
    </row>
    <row r="138" spans="1:11" x14ac:dyDescent="0.2">
      <c r="A138" s="9" t="s">
        <v>80</v>
      </c>
      <c r="B138" s="9" t="s">
        <v>81</v>
      </c>
      <c r="C138" s="9">
        <v>5.4</v>
      </c>
      <c r="D138" s="9">
        <v>2008</v>
      </c>
      <c r="E138" s="9">
        <v>8</v>
      </c>
      <c r="F138" s="9" t="s">
        <v>59</v>
      </c>
      <c r="G138" s="9" t="s">
        <v>47</v>
      </c>
      <c r="H138" s="9">
        <v>12</v>
      </c>
      <c r="I138" s="9">
        <v>18</v>
      </c>
      <c r="J138" s="9" t="s">
        <v>47</v>
      </c>
      <c r="K138" s="9" t="s">
        <v>48</v>
      </c>
    </row>
    <row r="139" spans="1:11" x14ac:dyDescent="0.2">
      <c r="A139" s="9" t="s">
        <v>82</v>
      </c>
      <c r="B139" s="9" t="s">
        <v>83</v>
      </c>
      <c r="C139" s="9">
        <v>4</v>
      </c>
      <c r="D139" s="9">
        <v>1999</v>
      </c>
      <c r="E139" s="9">
        <v>6</v>
      </c>
      <c r="F139" s="9" t="s">
        <v>34</v>
      </c>
      <c r="G139" s="9">
        <v>4</v>
      </c>
      <c r="H139" s="9">
        <v>14</v>
      </c>
      <c r="I139" s="9">
        <v>17</v>
      </c>
      <c r="J139" s="9" t="s">
        <v>47</v>
      </c>
      <c r="K139" s="9" t="s">
        <v>48</v>
      </c>
    </row>
    <row r="140" spans="1:11" x14ac:dyDescent="0.2">
      <c r="A140" s="9" t="s">
        <v>82</v>
      </c>
      <c r="B140" s="9" t="s">
        <v>83</v>
      </c>
      <c r="C140" s="9">
        <v>4</v>
      </c>
      <c r="D140" s="9">
        <v>2008</v>
      </c>
      <c r="E140" s="9">
        <v>6</v>
      </c>
      <c r="F140" s="9" t="s">
        <v>34</v>
      </c>
      <c r="G140" s="9">
        <v>4</v>
      </c>
      <c r="H140" s="9">
        <v>13</v>
      </c>
      <c r="I140" s="9">
        <v>19</v>
      </c>
      <c r="J140" s="9" t="s">
        <v>47</v>
      </c>
      <c r="K140" s="9" t="s">
        <v>48</v>
      </c>
    </row>
    <row r="141" spans="1:11" x14ac:dyDescent="0.2">
      <c r="A141" s="9" t="s">
        <v>82</v>
      </c>
      <c r="B141" s="9" t="s">
        <v>83</v>
      </c>
      <c r="C141" s="9">
        <v>4.5999999999999996</v>
      </c>
      <c r="D141" s="9">
        <v>2008</v>
      </c>
      <c r="E141" s="9">
        <v>8</v>
      </c>
      <c r="F141" s="9" t="s">
        <v>59</v>
      </c>
      <c r="G141" s="9">
        <v>4</v>
      </c>
      <c r="H141" s="9">
        <v>13</v>
      </c>
      <c r="I141" s="9">
        <v>19</v>
      </c>
      <c r="J141" s="9" t="s">
        <v>47</v>
      </c>
      <c r="K141" s="9" t="s">
        <v>48</v>
      </c>
    </row>
    <row r="142" spans="1:11" x14ac:dyDescent="0.2">
      <c r="A142" s="9" t="s">
        <v>82</v>
      </c>
      <c r="B142" s="9" t="s">
        <v>83</v>
      </c>
      <c r="C142" s="9">
        <v>5</v>
      </c>
      <c r="D142" s="9">
        <v>1999</v>
      </c>
      <c r="E142" s="9">
        <v>8</v>
      </c>
      <c r="F142" s="9" t="s">
        <v>46</v>
      </c>
      <c r="G142" s="9">
        <v>4</v>
      </c>
      <c r="H142" s="9">
        <v>13</v>
      </c>
      <c r="I142" s="9">
        <v>17</v>
      </c>
      <c r="J142" s="9" t="s">
        <v>47</v>
      </c>
      <c r="K142" s="9" t="s">
        <v>48</v>
      </c>
    </row>
    <row r="143" spans="1:11" x14ac:dyDescent="0.2">
      <c r="A143" s="9" t="s">
        <v>84</v>
      </c>
      <c r="B143" s="9" t="s">
        <v>85</v>
      </c>
      <c r="C143" s="9">
        <v>2.4</v>
      </c>
      <c r="D143" s="9">
        <v>1999</v>
      </c>
      <c r="E143" s="9">
        <v>4</v>
      </c>
      <c r="F143" s="9" t="s">
        <v>37</v>
      </c>
      <c r="G143" s="9" t="s">
        <v>35</v>
      </c>
      <c r="H143" s="9">
        <v>21</v>
      </c>
      <c r="I143" s="9">
        <v>29</v>
      </c>
      <c r="J143" s="9" t="s">
        <v>47</v>
      </c>
      <c r="K143" s="9" t="s">
        <v>36</v>
      </c>
    </row>
    <row r="144" spans="1:11" x14ac:dyDescent="0.2">
      <c r="A144" s="9" t="s">
        <v>84</v>
      </c>
      <c r="B144" s="9" t="s">
        <v>85</v>
      </c>
      <c r="C144" s="9">
        <v>2.4</v>
      </c>
      <c r="D144" s="9">
        <v>1999</v>
      </c>
      <c r="E144" s="9">
        <v>4</v>
      </c>
      <c r="F144" s="9" t="s">
        <v>46</v>
      </c>
      <c r="G144" s="9" t="s">
        <v>35</v>
      </c>
      <c r="H144" s="9">
        <v>19</v>
      </c>
      <c r="I144" s="9">
        <v>27</v>
      </c>
      <c r="J144" s="9" t="s">
        <v>47</v>
      </c>
      <c r="K144" s="9" t="s">
        <v>36</v>
      </c>
    </row>
    <row r="145" spans="1:11" x14ac:dyDescent="0.2">
      <c r="A145" s="9" t="s">
        <v>84</v>
      </c>
      <c r="B145" s="9" t="s">
        <v>85</v>
      </c>
      <c r="C145" s="9">
        <v>2.5</v>
      </c>
      <c r="D145" s="9">
        <v>2008</v>
      </c>
      <c r="E145" s="9">
        <v>4</v>
      </c>
      <c r="F145" s="9" t="s">
        <v>39</v>
      </c>
      <c r="G145" s="9" t="s">
        <v>35</v>
      </c>
      <c r="H145" s="9">
        <v>23</v>
      </c>
      <c r="I145" s="9">
        <v>31</v>
      </c>
      <c r="J145" s="9" t="s">
        <v>47</v>
      </c>
      <c r="K145" s="9" t="s">
        <v>43</v>
      </c>
    </row>
    <row r="146" spans="1:11" x14ac:dyDescent="0.2">
      <c r="A146" s="9" t="s">
        <v>84</v>
      </c>
      <c r="B146" s="9" t="s">
        <v>85</v>
      </c>
      <c r="C146" s="9">
        <v>2.5</v>
      </c>
      <c r="D146" s="9">
        <v>2008</v>
      </c>
      <c r="E146" s="9">
        <v>4</v>
      </c>
      <c r="F146" s="9" t="s">
        <v>38</v>
      </c>
      <c r="G146" s="9" t="s">
        <v>35</v>
      </c>
      <c r="H146" s="9">
        <v>23</v>
      </c>
      <c r="I146" s="9">
        <v>32</v>
      </c>
      <c r="J146" s="9" t="s">
        <v>47</v>
      </c>
      <c r="K146" s="9" t="s">
        <v>43</v>
      </c>
    </row>
    <row r="147" spans="1:11" x14ac:dyDescent="0.2">
      <c r="A147" s="9" t="s">
        <v>84</v>
      </c>
      <c r="B147" s="9" t="s">
        <v>85</v>
      </c>
      <c r="C147" s="9">
        <v>3.5</v>
      </c>
      <c r="D147" s="9">
        <v>2008</v>
      </c>
      <c r="E147" s="9">
        <v>6</v>
      </c>
      <c r="F147" s="9" t="s">
        <v>38</v>
      </c>
      <c r="G147" s="9" t="s">
        <v>35</v>
      </c>
      <c r="H147" s="9">
        <v>19</v>
      </c>
      <c r="I147" s="9">
        <v>27</v>
      </c>
      <c r="J147" s="9" t="s">
        <v>0</v>
      </c>
      <c r="K147" s="9" t="s">
        <v>43</v>
      </c>
    </row>
    <row r="148" spans="1:11" x14ac:dyDescent="0.2">
      <c r="A148" s="9" t="s">
        <v>84</v>
      </c>
      <c r="B148" s="9" t="s">
        <v>85</v>
      </c>
      <c r="C148" s="9">
        <v>3.5</v>
      </c>
      <c r="D148" s="9">
        <v>2008</v>
      </c>
      <c r="E148" s="9">
        <v>6</v>
      </c>
      <c r="F148" s="9" t="s">
        <v>39</v>
      </c>
      <c r="G148" s="9" t="s">
        <v>35</v>
      </c>
      <c r="H148" s="9">
        <v>19</v>
      </c>
      <c r="I148" s="9">
        <v>26</v>
      </c>
      <c r="J148" s="9" t="s">
        <v>0</v>
      </c>
      <c r="K148" s="9" t="s">
        <v>43</v>
      </c>
    </row>
    <row r="149" spans="1:11" x14ac:dyDescent="0.2">
      <c r="A149" s="9" t="s">
        <v>84</v>
      </c>
      <c r="B149" s="9" t="s">
        <v>86</v>
      </c>
      <c r="C149" s="9">
        <v>3</v>
      </c>
      <c r="D149" s="9">
        <v>1999</v>
      </c>
      <c r="E149" s="9">
        <v>6</v>
      </c>
      <c r="F149" s="9" t="s">
        <v>46</v>
      </c>
      <c r="G149" s="9" t="s">
        <v>35</v>
      </c>
      <c r="H149" s="9">
        <v>18</v>
      </c>
      <c r="I149" s="9">
        <v>26</v>
      </c>
      <c r="J149" s="9" t="s">
        <v>47</v>
      </c>
      <c r="K149" s="9" t="s">
        <v>43</v>
      </c>
    </row>
    <row r="150" spans="1:11" x14ac:dyDescent="0.2">
      <c r="A150" s="9" t="s">
        <v>84</v>
      </c>
      <c r="B150" s="9" t="s">
        <v>86</v>
      </c>
      <c r="C150" s="9">
        <v>3</v>
      </c>
      <c r="D150" s="9">
        <v>1999</v>
      </c>
      <c r="E150" s="9">
        <v>6</v>
      </c>
      <c r="F150" s="9" t="s">
        <v>37</v>
      </c>
      <c r="G150" s="9" t="s">
        <v>35</v>
      </c>
      <c r="H150" s="9">
        <v>19</v>
      </c>
      <c r="I150" s="9">
        <v>25</v>
      </c>
      <c r="J150" s="9" t="s">
        <v>47</v>
      </c>
      <c r="K150" s="9" t="s">
        <v>43</v>
      </c>
    </row>
    <row r="151" spans="1:11" x14ac:dyDescent="0.2">
      <c r="A151" s="9" t="s">
        <v>84</v>
      </c>
      <c r="B151" s="9" t="s">
        <v>86</v>
      </c>
      <c r="C151" s="9">
        <v>3.5</v>
      </c>
      <c r="D151" s="9">
        <v>2008</v>
      </c>
      <c r="E151" s="9">
        <v>6</v>
      </c>
      <c r="F151" s="9" t="s">
        <v>39</v>
      </c>
      <c r="G151" s="9" t="s">
        <v>35</v>
      </c>
      <c r="H151" s="9">
        <v>19</v>
      </c>
      <c r="I151" s="9">
        <v>25</v>
      </c>
      <c r="J151" s="9" t="s">
        <v>0</v>
      </c>
      <c r="K151" s="9" t="s">
        <v>43</v>
      </c>
    </row>
    <row r="152" spans="1:11" x14ac:dyDescent="0.2">
      <c r="A152" s="9" t="s">
        <v>84</v>
      </c>
      <c r="B152" s="9" t="s">
        <v>87</v>
      </c>
      <c r="C152" s="9">
        <v>3.3</v>
      </c>
      <c r="D152" s="9">
        <v>1999</v>
      </c>
      <c r="E152" s="9">
        <v>6</v>
      </c>
      <c r="F152" s="9" t="s">
        <v>46</v>
      </c>
      <c r="G152" s="9">
        <v>4</v>
      </c>
      <c r="H152" s="9">
        <v>14</v>
      </c>
      <c r="I152" s="9">
        <v>17</v>
      </c>
      <c r="J152" s="9" t="s">
        <v>47</v>
      </c>
      <c r="K152" s="9" t="s">
        <v>48</v>
      </c>
    </row>
    <row r="153" spans="1:11" x14ac:dyDescent="0.2">
      <c r="A153" s="9" t="s">
        <v>84</v>
      </c>
      <c r="B153" s="9" t="s">
        <v>87</v>
      </c>
      <c r="C153" s="9">
        <v>3.3</v>
      </c>
      <c r="D153" s="9">
        <v>1999</v>
      </c>
      <c r="E153" s="9">
        <v>6</v>
      </c>
      <c r="F153" s="9" t="s">
        <v>37</v>
      </c>
      <c r="G153" s="9">
        <v>4</v>
      </c>
      <c r="H153" s="9">
        <v>15</v>
      </c>
      <c r="I153" s="9">
        <v>17</v>
      </c>
      <c r="J153" s="9" t="s">
        <v>47</v>
      </c>
      <c r="K153" s="9" t="s">
        <v>48</v>
      </c>
    </row>
    <row r="154" spans="1:11" x14ac:dyDescent="0.2">
      <c r="A154" s="9" t="s">
        <v>84</v>
      </c>
      <c r="B154" s="9" t="s">
        <v>87</v>
      </c>
      <c r="C154" s="9">
        <v>4</v>
      </c>
      <c r="D154" s="9">
        <v>2008</v>
      </c>
      <c r="E154" s="9">
        <v>6</v>
      </c>
      <c r="F154" s="9" t="s">
        <v>34</v>
      </c>
      <c r="G154" s="9">
        <v>4</v>
      </c>
      <c r="H154" s="9">
        <v>14</v>
      </c>
      <c r="I154" s="9">
        <v>20</v>
      </c>
      <c r="J154" s="9" t="s">
        <v>0</v>
      </c>
      <c r="K154" s="9" t="s">
        <v>48</v>
      </c>
    </row>
    <row r="155" spans="1:11" x14ac:dyDescent="0.2">
      <c r="A155" s="9" t="s">
        <v>84</v>
      </c>
      <c r="B155" s="9" t="s">
        <v>87</v>
      </c>
      <c r="C155" s="9">
        <v>5.6</v>
      </c>
      <c r="D155" s="9">
        <v>2008</v>
      </c>
      <c r="E155" s="9">
        <v>8</v>
      </c>
      <c r="F155" s="9" t="s">
        <v>88</v>
      </c>
      <c r="G155" s="9">
        <v>4</v>
      </c>
      <c r="H155" s="9">
        <v>12</v>
      </c>
      <c r="I155" s="9">
        <v>18</v>
      </c>
      <c r="J155" s="9" t="s">
        <v>0</v>
      </c>
      <c r="K155" s="9" t="s">
        <v>48</v>
      </c>
    </row>
    <row r="156" spans="1:11" x14ac:dyDescent="0.2">
      <c r="A156" s="9" t="s">
        <v>89</v>
      </c>
      <c r="B156" s="9" t="s">
        <v>90</v>
      </c>
      <c r="C156" s="9">
        <v>3.1</v>
      </c>
      <c r="D156" s="9">
        <v>1999</v>
      </c>
      <c r="E156" s="9">
        <v>6</v>
      </c>
      <c r="F156" s="9" t="s">
        <v>46</v>
      </c>
      <c r="G156" s="9" t="s">
        <v>35</v>
      </c>
      <c r="H156" s="9">
        <v>18</v>
      </c>
      <c r="I156" s="9">
        <v>26</v>
      </c>
      <c r="J156" s="9" t="s">
        <v>47</v>
      </c>
      <c r="K156" s="9" t="s">
        <v>43</v>
      </c>
    </row>
    <row r="157" spans="1:11" x14ac:dyDescent="0.2">
      <c r="A157" s="9" t="s">
        <v>89</v>
      </c>
      <c r="B157" s="9" t="s">
        <v>90</v>
      </c>
      <c r="C157" s="9">
        <v>3.8</v>
      </c>
      <c r="D157" s="9">
        <v>1999</v>
      </c>
      <c r="E157" s="9">
        <v>6</v>
      </c>
      <c r="F157" s="9" t="s">
        <v>46</v>
      </c>
      <c r="G157" s="9" t="s">
        <v>35</v>
      </c>
      <c r="H157" s="9">
        <v>16</v>
      </c>
      <c r="I157" s="9">
        <v>26</v>
      </c>
      <c r="J157" s="9" t="s">
        <v>0</v>
      </c>
      <c r="K157" s="9" t="s">
        <v>43</v>
      </c>
    </row>
    <row r="158" spans="1:11" x14ac:dyDescent="0.2">
      <c r="A158" s="9" t="s">
        <v>89</v>
      </c>
      <c r="B158" s="9" t="s">
        <v>90</v>
      </c>
      <c r="C158" s="9">
        <v>3.8</v>
      </c>
      <c r="D158" s="9">
        <v>1999</v>
      </c>
      <c r="E158" s="9">
        <v>6</v>
      </c>
      <c r="F158" s="9" t="s">
        <v>46</v>
      </c>
      <c r="G158" s="9" t="s">
        <v>35</v>
      </c>
      <c r="H158" s="9">
        <v>17</v>
      </c>
      <c r="I158" s="9">
        <v>27</v>
      </c>
      <c r="J158" s="9" t="s">
        <v>47</v>
      </c>
      <c r="K158" s="9" t="s">
        <v>43</v>
      </c>
    </row>
    <row r="159" spans="1:11" x14ac:dyDescent="0.2">
      <c r="A159" s="9" t="s">
        <v>89</v>
      </c>
      <c r="B159" s="9" t="s">
        <v>90</v>
      </c>
      <c r="C159" s="9">
        <v>3.8</v>
      </c>
      <c r="D159" s="9">
        <v>2008</v>
      </c>
      <c r="E159" s="9">
        <v>6</v>
      </c>
      <c r="F159" s="9" t="s">
        <v>46</v>
      </c>
      <c r="G159" s="9" t="s">
        <v>35</v>
      </c>
      <c r="H159" s="9">
        <v>18</v>
      </c>
      <c r="I159" s="9">
        <v>28</v>
      </c>
      <c r="J159" s="9" t="s">
        <v>47</v>
      </c>
      <c r="K159" s="9" t="s">
        <v>43</v>
      </c>
    </row>
    <row r="160" spans="1:11" x14ac:dyDescent="0.2">
      <c r="A160" s="9" t="s">
        <v>89</v>
      </c>
      <c r="B160" s="9" t="s">
        <v>90</v>
      </c>
      <c r="C160" s="9">
        <v>5.3</v>
      </c>
      <c r="D160" s="9">
        <v>2008</v>
      </c>
      <c r="E160" s="9">
        <v>8</v>
      </c>
      <c r="F160" s="9" t="s">
        <v>91</v>
      </c>
      <c r="G160" s="9" t="s">
        <v>35</v>
      </c>
      <c r="H160" s="9">
        <v>16</v>
      </c>
      <c r="I160" s="9">
        <v>25</v>
      </c>
      <c r="J160" s="9" t="s">
        <v>0</v>
      </c>
      <c r="K160" s="9" t="s">
        <v>43</v>
      </c>
    </row>
    <row r="161" spans="1:11" x14ac:dyDescent="0.2">
      <c r="A161" s="9" t="s">
        <v>92</v>
      </c>
      <c r="B161" s="9" t="s">
        <v>93</v>
      </c>
      <c r="C161" s="9">
        <v>2.5</v>
      </c>
      <c r="D161" s="9">
        <v>1999</v>
      </c>
      <c r="E161" s="9">
        <v>4</v>
      </c>
      <c r="F161" s="9" t="s">
        <v>37</v>
      </c>
      <c r="G161" s="9">
        <v>4</v>
      </c>
      <c r="H161" s="9">
        <v>18</v>
      </c>
      <c r="I161" s="9">
        <v>25</v>
      </c>
      <c r="J161" s="9" t="s">
        <v>47</v>
      </c>
      <c r="K161" s="9" t="s">
        <v>48</v>
      </c>
    </row>
    <row r="162" spans="1:11" x14ac:dyDescent="0.2">
      <c r="A162" s="9" t="s">
        <v>92</v>
      </c>
      <c r="B162" s="9" t="s">
        <v>93</v>
      </c>
      <c r="C162" s="9">
        <v>2.5</v>
      </c>
      <c r="D162" s="9">
        <v>1999</v>
      </c>
      <c r="E162" s="9">
        <v>4</v>
      </c>
      <c r="F162" s="9" t="s">
        <v>46</v>
      </c>
      <c r="G162" s="9">
        <v>4</v>
      </c>
      <c r="H162" s="9">
        <v>18</v>
      </c>
      <c r="I162" s="9">
        <v>24</v>
      </c>
      <c r="J162" s="9" t="s">
        <v>47</v>
      </c>
      <c r="K162" s="9" t="s">
        <v>48</v>
      </c>
    </row>
    <row r="163" spans="1:11" x14ac:dyDescent="0.2">
      <c r="A163" s="9" t="s">
        <v>92</v>
      </c>
      <c r="B163" s="9" t="s">
        <v>93</v>
      </c>
      <c r="C163" s="9">
        <v>2.5</v>
      </c>
      <c r="D163" s="9">
        <v>2008</v>
      </c>
      <c r="E163" s="9">
        <v>4</v>
      </c>
      <c r="F163" s="9" t="s">
        <v>37</v>
      </c>
      <c r="G163" s="9">
        <v>4</v>
      </c>
      <c r="H163" s="9">
        <v>20</v>
      </c>
      <c r="I163" s="9">
        <v>27</v>
      </c>
      <c r="J163" s="9" t="s">
        <v>47</v>
      </c>
      <c r="K163" s="9" t="s">
        <v>48</v>
      </c>
    </row>
    <row r="164" spans="1:11" x14ac:dyDescent="0.2">
      <c r="A164" s="9" t="s">
        <v>92</v>
      </c>
      <c r="B164" s="9" t="s">
        <v>93</v>
      </c>
      <c r="C164" s="9">
        <v>2.5</v>
      </c>
      <c r="D164" s="9">
        <v>2008</v>
      </c>
      <c r="E164" s="9">
        <v>4</v>
      </c>
      <c r="F164" s="9" t="s">
        <v>37</v>
      </c>
      <c r="G164" s="9">
        <v>4</v>
      </c>
      <c r="H164" s="9">
        <v>19</v>
      </c>
      <c r="I164" s="9">
        <v>25</v>
      </c>
      <c r="J164" s="9" t="s">
        <v>0</v>
      </c>
      <c r="K164" s="9" t="s">
        <v>48</v>
      </c>
    </row>
    <row r="165" spans="1:11" x14ac:dyDescent="0.2">
      <c r="A165" s="9" t="s">
        <v>92</v>
      </c>
      <c r="B165" s="9" t="s">
        <v>93</v>
      </c>
      <c r="C165" s="9">
        <v>2.5</v>
      </c>
      <c r="D165" s="9">
        <v>2008</v>
      </c>
      <c r="E165" s="9">
        <v>4</v>
      </c>
      <c r="F165" s="9" t="s">
        <v>46</v>
      </c>
      <c r="G165" s="9">
        <v>4</v>
      </c>
      <c r="H165" s="9">
        <v>20</v>
      </c>
      <c r="I165" s="9">
        <v>26</v>
      </c>
      <c r="J165" s="9" t="s">
        <v>47</v>
      </c>
      <c r="K165" s="9" t="s">
        <v>48</v>
      </c>
    </row>
    <row r="166" spans="1:11" x14ac:dyDescent="0.2">
      <c r="A166" s="9" t="s">
        <v>92</v>
      </c>
      <c r="B166" s="9" t="s">
        <v>93</v>
      </c>
      <c r="C166" s="9">
        <v>2.5</v>
      </c>
      <c r="D166" s="9">
        <v>2008</v>
      </c>
      <c r="E166" s="9">
        <v>4</v>
      </c>
      <c r="F166" s="9" t="s">
        <v>46</v>
      </c>
      <c r="G166" s="9">
        <v>4</v>
      </c>
      <c r="H166" s="9">
        <v>18</v>
      </c>
      <c r="I166" s="9">
        <v>23</v>
      </c>
      <c r="J166" s="9" t="s">
        <v>0</v>
      </c>
      <c r="K166" s="9" t="s">
        <v>48</v>
      </c>
    </row>
    <row r="167" spans="1:11" x14ac:dyDescent="0.2">
      <c r="A167" s="9" t="s">
        <v>92</v>
      </c>
      <c r="B167" s="9" t="s">
        <v>94</v>
      </c>
      <c r="C167" s="9">
        <v>2.2000000000000002</v>
      </c>
      <c r="D167" s="9">
        <v>1999</v>
      </c>
      <c r="E167" s="9">
        <v>4</v>
      </c>
      <c r="F167" s="9" t="s">
        <v>46</v>
      </c>
      <c r="G167" s="9">
        <v>4</v>
      </c>
      <c r="H167" s="9">
        <v>21</v>
      </c>
      <c r="I167" s="9">
        <v>26</v>
      </c>
      <c r="J167" s="9" t="s">
        <v>47</v>
      </c>
      <c r="K167" s="9" t="s">
        <v>69</v>
      </c>
    </row>
    <row r="168" spans="1:11" x14ac:dyDescent="0.2">
      <c r="A168" s="9" t="s">
        <v>92</v>
      </c>
      <c r="B168" s="9" t="s">
        <v>94</v>
      </c>
      <c r="C168" s="9">
        <v>2.2000000000000002</v>
      </c>
      <c r="D168" s="9">
        <v>1999</v>
      </c>
      <c r="E168" s="9">
        <v>4</v>
      </c>
      <c r="F168" s="9" t="s">
        <v>37</v>
      </c>
      <c r="G168" s="9">
        <v>4</v>
      </c>
      <c r="H168" s="9">
        <v>19</v>
      </c>
      <c r="I168" s="9">
        <v>26</v>
      </c>
      <c r="J168" s="9" t="s">
        <v>47</v>
      </c>
      <c r="K168" s="9" t="s">
        <v>69</v>
      </c>
    </row>
    <row r="169" spans="1:11" x14ac:dyDescent="0.2">
      <c r="A169" s="9" t="s">
        <v>92</v>
      </c>
      <c r="B169" s="9" t="s">
        <v>94</v>
      </c>
      <c r="C169" s="9">
        <v>2.5</v>
      </c>
      <c r="D169" s="9">
        <v>1999</v>
      </c>
      <c r="E169" s="9">
        <v>4</v>
      </c>
      <c r="F169" s="9" t="s">
        <v>37</v>
      </c>
      <c r="G169" s="9">
        <v>4</v>
      </c>
      <c r="H169" s="9">
        <v>19</v>
      </c>
      <c r="I169" s="9">
        <v>26</v>
      </c>
      <c r="J169" s="9" t="s">
        <v>47</v>
      </c>
      <c r="K169" s="9" t="s">
        <v>69</v>
      </c>
    </row>
    <row r="170" spans="1:11" x14ac:dyDescent="0.2">
      <c r="A170" s="9" t="s">
        <v>92</v>
      </c>
      <c r="B170" s="9" t="s">
        <v>94</v>
      </c>
      <c r="C170" s="9">
        <v>2.5</v>
      </c>
      <c r="D170" s="9">
        <v>1999</v>
      </c>
      <c r="E170" s="9">
        <v>4</v>
      </c>
      <c r="F170" s="9" t="s">
        <v>46</v>
      </c>
      <c r="G170" s="9">
        <v>4</v>
      </c>
      <c r="H170" s="9">
        <v>19</v>
      </c>
      <c r="I170" s="9">
        <v>26</v>
      </c>
      <c r="J170" s="9" t="s">
        <v>47</v>
      </c>
      <c r="K170" s="9" t="s">
        <v>69</v>
      </c>
    </row>
    <row r="171" spans="1:11" x14ac:dyDescent="0.2">
      <c r="A171" s="9" t="s">
        <v>92</v>
      </c>
      <c r="B171" s="9" t="s">
        <v>94</v>
      </c>
      <c r="C171" s="9">
        <v>2.5</v>
      </c>
      <c r="D171" s="9">
        <v>2008</v>
      </c>
      <c r="E171" s="9">
        <v>4</v>
      </c>
      <c r="F171" s="9" t="s">
        <v>91</v>
      </c>
      <c r="G171" s="9">
        <v>4</v>
      </c>
      <c r="H171" s="9">
        <v>20</v>
      </c>
      <c r="I171" s="9">
        <v>25</v>
      </c>
      <c r="J171" s="9" t="s">
        <v>0</v>
      </c>
      <c r="K171" s="9" t="s">
        <v>36</v>
      </c>
    </row>
    <row r="172" spans="1:11" x14ac:dyDescent="0.2">
      <c r="A172" s="9" t="s">
        <v>92</v>
      </c>
      <c r="B172" s="9" t="s">
        <v>94</v>
      </c>
      <c r="C172" s="9">
        <v>2.5</v>
      </c>
      <c r="D172" s="9">
        <v>2008</v>
      </c>
      <c r="E172" s="9">
        <v>4</v>
      </c>
      <c r="F172" s="9" t="s">
        <v>91</v>
      </c>
      <c r="G172" s="9">
        <v>4</v>
      </c>
      <c r="H172" s="9">
        <v>20</v>
      </c>
      <c r="I172" s="9">
        <v>27</v>
      </c>
      <c r="J172" s="9" t="s">
        <v>47</v>
      </c>
      <c r="K172" s="9" t="s">
        <v>36</v>
      </c>
    </row>
    <row r="173" spans="1:11" x14ac:dyDescent="0.2">
      <c r="A173" s="9" t="s">
        <v>92</v>
      </c>
      <c r="B173" s="9" t="s">
        <v>94</v>
      </c>
      <c r="C173" s="9">
        <v>2.5</v>
      </c>
      <c r="D173" s="9">
        <v>2008</v>
      </c>
      <c r="E173" s="9">
        <v>4</v>
      </c>
      <c r="F173" s="9" t="s">
        <v>37</v>
      </c>
      <c r="G173" s="9">
        <v>4</v>
      </c>
      <c r="H173" s="9">
        <v>19</v>
      </c>
      <c r="I173" s="9">
        <v>25</v>
      </c>
      <c r="J173" s="9" t="s">
        <v>0</v>
      </c>
      <c r="K173" s="9" t="s">
        <v>36</v>
      </c>
    </row>
    <row r="174" spans="1:11" x14ac:dyDescent="0.2">
      <c r="A174" s="9" t="s">
        <v>92</v>
      </c>
      <c r="B174" s="9" t="s">
        <v>94</v>
      </c>
      <c r="C174" s="9">
        <v>2.5</v>
      </c>
      <c r="D174" s="9">
        <v>2008</v>
      </c>
      <c r="E174" s="9">
        <v>4</v>
      </c>
      <c r="F174" s="9" t="s">
        <v>37</v>
      </c>
      <c r="G174" s="9">
        <v>4</v>
      </c>
      <c r="H174" s="9">
        <v>20</v>
      </c>
      <c r="I174" s="9">
        <v>27</v>
      </c>
      <c r="J174" s="9" t="s">
        <v>47</v>
      </c>
      <c r="K174" s="9" t="s">
        <v>36</v>
      </c>
    </row>
    <row r="175" spans="1:11" x14ac:dyDescent="0.2">
      <c r="A175" s="9" t="s">
        <v>95</v>
      </c>
      <c r="B175" s="9" t="s">
        <v>96</v>
      </c>
      <c r="C175" s="9">
        <v>2.7</v>
      </c>
      <c r="D175" s="9">
        <v>1999</v>
      </c>
      <c r="E175" s="9">
        <v>4</v>
      </c>
      <c r="F175" s="9" t="s">
        <v>37</v>
      </c>
      <c r="G175" s="9">
        <v>4</v>
      </c>
      <c r="H175" s="9">
        <v>15</v>
      </c>
      <c r="I175" s="9">
        <v>20</v>
      </c>
      <c r="J175" s="9" t="s">
        <v>47</v>
      </c>
      <c r="K175" s="9" t="s">
        <v>48</v>
      </c>
    </row>
    <row r="176" spans="1:11" x14ac:dyDescent="0.2">
      <c r="A176" s="9" t="s">
        <v>95</v>
      </c>
      <c r="B176" s="9" t="s">
        <v>96</v>
      </c>
      <c r="C176" s="9">
        <v>2.7</v>
      </c>
      <c r="D176" s="9">
        <v>1999</v>
      </c>
      <c r="E176" s="9">
        <v>4</v>
      </c>
      <c r="F176" s="9" t="s">
        <v>46</v>
      </c>
      <c r="G176" s="9">
        <v>4</v>
      </c>
      <c r="H176" s="9">
        <v>16</v>
      </c>
      <c r="I176" s="9">
        <v>20</v>
      </c>
      <c r="J176" s="9" t="s">
        <v>47</v>
      </c>
      <c r="K176" s="9" t="s">
        <v>48</v>
      </c>
    </row>
    <row r="177" spans="1:11" x14ac:dyDescent="0.2">
      <c r="A177" s="9" t="s">
        <v>95</v>
      </c>
      <c r="B177" s="9" t="s">
        <v>96</v>
      </c>
      <c r="C177" s="9">
        <v>3.4</v>
      </c>
      <c r="D177" s="9">
        <v>1999</v>
      </c>
      <c r="E177" s="9">
        <v>6</v>
      </c>
      <c r="F177" s="9" t="s">
        <v>46</v>
      </c>
      <c r="G177" s="9">
        <v>4</v>
      </c>
      <c r="H177" s="9">
        <v>15</v>
      </c>
      <c r="I177" s="9">
        <v>19</v>
      </c>
      <c r="J177" s="9" t="s">
        <v>47</v>
      </c>
      <c r="K177" s="9" t="s">
        <v>48</v>
      </c>
    </row>
    <row r="178" spans="1:11" x14ac:dyDescent="0.2">
      <c r="A178" s="9" t="s">
        <v>95</v>
      </c>
      <c r="B178" s="9" t="s">
        <v>96</v>
      </c>
      <c r="C178" s="9">
        <v>3.4</v>
      </c>
      <c r="D178" s="9">
        <v>1999</v>
      </c>
      <c r="E178" s="9">
        <v>6</v>
      </c>
      <c r="F178" s="9" t="s">
        <v>37</v>
      </c>
      <c r="G178" s="9">
        <v>4</v>
      </c>
      <c r="H178" s="9">
        <v>15</v>
      </c>
      <c r="I178" s="9">
        <v>17</v>
      </c>
      <c r="J178" s="9" t="s">
        <v>47</v>
      </c>
      <c r="K178" s="9" t="s">
        <v>48</v>
      </c>
    </row>
    <row r="179" spans="1:11" x14ac:dyDescent="0.2">
      <c r="A179" s="9" t="s">
        <v>95</v>
      </c>
      <c r="B179" s="9" t="s">
        <v>96</v>
      </c>
      <c r="C179" s="9">
        <v>4</v>
      </c>
      <c r="D179" s="9">
        <v>2008</v>
      </c>
      <c r="E179" s="9">
        <v>6</v>
      </c>
      <c r="F179" s="9" t="s">
        <v>34</v>
      </c>
      <c r="G179" s="9">
        <v>4</v>
      </c>
      <c r="H179" s="9">
        <v>16</v>
      </c>
      <c r="I179" s="9">
        <v>20</v>
      </c>
      <c r="J179" s="9" t="s">
        <v>47</v>
      </c>
      <c r="K179" s="9" t="s">
        <v>48</v>
      </c>
    </row>
    <row r="180" spans="1:11" x14ac:dyDescent="0.2">
      <c r="A180" s="9" t="s">
        <v>95</v>
      </c>
      <c r="B180" s="9" t="s">
        <v>96</v>
      </c>
      <c r="C180" s="9">
        <v>4.7</v>
      </c>
      <c r="D180" s="9">
        <v>2008</v>
      </c>
      <c r="E180" s="9">
        <v>8</v>
      </c>
      <c r="F180" s="9" t="s">
        <v>34</v>
      </c>
      <c r="G180" s="9">
        <v>4</v>
      </c>
      <c r="H180" s="9">
        <v>14</v>
      </c>
      <c r="I180" s="9">
        <v>17</v>
      </c>
      <c r="J180" s="9" t="s">
        <v>47</v>
      </c>
      <c r="K180" s="9" t="s">
        <v>48</v>
      </c>
    </row>
    <row r="181" spans="1:11" x14ac:dyDescent="0.2">
      <c r="A181" s="9" t="s">
        <v>95</v>
      </c>
      <c r="B181" s="9" t="s">
        <v>97</v>
      </c>
      <c r="C181" s="9">
        <v>2.2000000000000002</v>
      </c>
      <c r="D181" s="9">
        <v>1999</v>
      </c>
      <c r="E181" s="9">
        <v>4</v>
      </c>
      <c r="F181" s="9" t="s">
        <v>37</v>
      </c>
      <c r="G181" s="9" t="s">
        <v>35</v>
      </c>
      <c r="H181" s="9">
        <v>21</v>
      </c>
      <c r="I181" s="9">
        <v>29</v>
      </c>
      <c r="J181" s="9" t="s">
        <v>47</v>
      </c>
      <c r="K181" s="9" t="s">
        <v>43</v>
      </c>
    </row>
    <row r="182" spans="1:11" x14ac:dyDescent="0.2">
      <c r="A182" s="9" t="s">
        <v>95</v>
      </c>
      <c r="B182" s="9" t="s">
        <v>97</v>
      </c>
      <c r="C182" s="9">
        <v>2.2000000000000002</v>
      </c>
      <c r="D182" s="9">
        <v>1999</v>
      </c>
      <c r="E182" s="9">
        <v>4</v>
      </c>
      <c r="F182" s="9" t="s">
        <v>46</v>
      </c>
      <c r="G182" s="9" t="s">
        <v>35</v>
      </c>
      <c r="H182" s="9">
        <v>21</v>
      </c>
      <c r="I182" s="9">
        <v>27</v>
      </c>
      <c r="J182" s="9" t="s">
        <v>47</v>
      </c>
      <c r="K182" s="9" t="s">
        <v>43</v>
      </c>
    </row>
    <row r="183" spans="1:11" x14ac:dyDescent="0.2">
      <c r="A183" s="9" t="s">
        <v>95</v>
      </c>
      <c r="B183" s="9" t="s">
        <v>97</v>
      </c>
      <c r="C183" s="9">
        <v>2.4</v>
      </c>
      <c r="D183" s="9">
        <v>2008</v>
      </c>
      <c r="E183" s="9">
        <v>4</v>
      </c>
      <c r="F183" s="9" t="s">
        <v>37</v>
      </c>
      <c r="G183" s="9" t="s">
        <v>35</v>
      </c>
      <c r="H183" s="9">
        <v>21</v>
      </c>
      <c r="I183" s="9">
        <v>31</v>
      </c>
      <c r="J183" s="9" t="s">
        <v>47</v>
      </c>
      <c r="K183" s="9" t="s">
        <v>43</v>
      </c>
    </row>
    <row r="184" spans="1:11" x14ac:dyDescent="0.2">
      <c r="A184" s="9" t="s">
        <v>95</v>
      </c>
      <c r="B184" s="9" t="s">
        <v>97</v>
      </c>
      <c r="C184" s="9">
        <v>2.4</v>
      </c>
      <c r="D184" s="9">
        <v>2008</v>
      </c>
      <c r="E184" s="9">
        <v>4</v>
      </c>
      <c r="F184" s="9" t="s">
        <v>34</v>
      </c>
      <c r="G184" s="9" t="s">
        <v>35</v>
      </c>
      <c r="H184" s="9">
        <v>21</v>
      </c>
      <c r="I184" s="9">
        <v>31</v>
      </c>
      <c r="J184" s="9" t="s">
        <v>47</v>
      </c>
      <c r="K184" s="9" t="s">
        <v>43</v>
      </c>
    </row>
    <row r="185" spans="1:11" x14ac:dyDescent="0.2">
      <c r="A185" s="9" t="s">
        <v>95</v>
      </c>
      <c r="B185" s="9" t="s">
        <v>97</v>
      </c>
      <c r="C185" s="9">
        <v>3</v>
      </c>
      <c r="D185" s="9">
        <v>1999</v>
      </c>
      <c r="E185" s="9">
        <v>6</v>
      </c>
      <c r="F185" s="9" t="s">
        <v>46</v>
      </c>
      <c r="G185" s="9" t="s">
        <v>35</v>
      </c>
      <c r="H185" s="9">
        <v>18</v>
      </c>
      <c r="I185" s="9">
        <v>26</v>
      </c>
      <c r="J185" s="9" t="s">
        <v>47</v>
      </c>
      <c r="K185" s="9" t="s">
        <v>43</v>
      </c>
    </row>
    <row r="186" spans="1:11" x14ac:dyDescent="0.2">
      <c r="A186" s="9" t="s">
        <v>95</v>
      </c>
      <c r="B186" s="9" t="s">
        <v>97</v>
      </c>
      <c r="C186" s="9">
        <v>3</v>
      </c>
      <c r="D186" s="9">
        <v>1999</v>
      </c>
      <c r="E186" s="9">
        <v>6</v>
      </c>
      <c r="F186" s="9" t="s">
        <v>37</v>
      </c>
      <c r="G186" s="9" t="s">
        <v>35</v>
      </c>
      <c r="H186" s="9">
        <v>18</v>
      </c>
      <c r="I186" s="9">
        <v>26</v>
      </c>
      <c r="J186" s="9" t="s">
        <v>47</v>
      </c>
      <c r="K186" s="9" t="s">
        <v>43</v>
      </c>
    </row>
    <row r="187" spans="1:11" x14ac:dyDescent="0.2">
      <c r="A187" s="9" t="s">
        <v>95</v>
      </c>
      <c r="B187" s="9" t="s">
        <v>97</v>
      </c>
      <c r="C187" s="9">
        <v>3.5</v>
      </c>
      <c r="D187" s="9">
        <v>2008</v>
      </c>
      <c r="E187" s="9">
        <v>6</v>
      </c>
      <c r="F187" s="9" t="s">
        <v>41</v>
      </c>
      <c r="G187" s="9" t="s">
        <v>35</v>
      </c>
      <c r="H187" s="9">
        <v>19</v>
      </c>
      <c r="I187" s="9">
        <v>28</v>
      </c>
      <c r="J187" s="9" t="s">
        <v>47</v>
      </c>
      <c r="K187" s="9" t="s">
        <v>43</v>
      </c>
    </row>
    <row r="188" spans="1:11" x14ac:dyDescent="0.2">
      <c r="A188" s="9" t="s">
        <v>95</v>
      </c>
      <c r="B188" s="9" t="s">
        <v>98</v>
      </c>
      <c r="C188" s="9">
        <v>2.2000000000000002</v>
      </c>
      <c r="D188" s="9">
        <v>1999</v>
      </c>
      <c r="E188" s="9">
        <v>4</v>
      </c>
      <c r="F188" s="9" t="s">
        <v>46</v>
      </c>
      <c r="G188" s="9" t="s">
        <v>35</v>
      </c>
      <c r="H188" s="9">
        <v>21</v>
      </c>
      <c r="I188" s="9">
        <v>27</v>
      </c>
      <c r="J188" s="9" t="s">
        <v>47</v>
      </c>
      <c r="K188" s="9" t="s">
        <v>36</v>
      </c>
    </row>
    <row r="189" spans="1:11" x14ac:dyDescent="0.2">
      <c r="A189" s="9" t="s">
        <v>95</v>
      </c>
      <c r="B189" s="9" t="s">
        <v>98</v>
      </c>
      <c r="C189" s="9">
        <v>2.2000000000000002</v>
      </c>
      <c r="D189" s="9">
        <v>1999</v>
      </c>
      <c r="E189" s="9">
        <v>4</v>
      </c>
      <c r="F189" s="9" t="s">
        <v>37</v>
      </c>
      <c r="G189" s="9" t="s">
        <v>35</v>
      </c>
      <c r="H189" s="9">
        <v>21</v>
      </c>
      <c r="I189" s="9">
        <v>29</v>
      </c>
      <c r="J189" s="9" t="s">
        <v>47</v>
      </c>
      <c r="K189" s="9" t="s">
        <v>36</v>
      </c>
    </row>
    <row r="190" spans="1:11" x14ac:dyDescent="0.2">
      <c r="A190" s="9" t="s">
        <v>95</v>
      </c>
      <c r="B190" s="9" t="s">
        <v>98</v>
      </c>
      <c r="C190" s="9">
        <v>2.4</v>
      </c>
      <c r="D190" s="9">
        <v>2008</v>
      </c>
      <c r="E190" s="9">
        <v>4</v>
      </c>
      <c r="F190" s="9" t="s">
        <v>37</v>
      </c>
      <c r="G190" s="9" t="s">
        <v>35</v>
      </c>
      <c r="H190" s="9">
        <v>21</v>
      </c>
      <c r="I190" s="9">
        <v>31</v>
      </c>
      <c r="J190" s="9" t="s">
        <v>47</v>
      </c>
      <c r="K190" s="9" t="s">
        <v>36</v>
      </c>
    </row>
    <row r="191" spans="1:11" x14ac:dyDescent="0.2">
      <c r="A191" s="9" t="s">
        <v>95</v>
      </c>
      <c r="B191" s="9" t="s">
        <v>98</v>
      </c>
      <c r="C191" s="9">
        <v>2.4</v>
      </c>
      <c r="D191" s="9">
        <v>2008</v>
      </c>
      <c r="E191" s="9">
        <v>4</v>
      </c>
      <c r="F191" s="9" t="s">
        <v>88</v>
      </c>
      <c r="G191" s="9" t="s">
        <v>35</v>
      </c>
      <c r="H191" s="9">
        <v>22</v>
      </c>
      <c r="I191" s="9">
        <v>31</v>
      </c>
      <c r="J191" s="9" t="s">
        <v>47</v>
      </c>
      <c r="K191" s="9" t="s">
        <v>36</v>
      </c>
    </row>
    <row r="192" spans="1:11" x14ac:dyDescent="0.2">
      <c r="A192" s="9" t="s">
        <v>95</v>
      </c>
      <c r="B192" s="9" t="s">
        <v>98</v>
      </c>
      <c r="C192" s="9">
        <v>3</v>
      </c>
      <c r="D192" s="9">
        <v>1999</v>
      </c>
      <c r="E192" s="9">
        <v>6</v>
      </c>
      <c r="F192" s="9" t="s">
        <v>46</v>
      </c>
      <c r="G192" s="9" t="s">
        <v>35</v>
      </c>
      <c r="H192" s="9">
        <v>18</v>
      </c>
      <c r="I192" s="9">
        <v>26</v>
      </c>
      <c r="J192" s="9" t="s">
        <v>47</v>
      </c>
      <c r="K192" s="9" t="s">
        <v>36</v>
      </c>
    </row>
    <row r="193" spans="1:11" x14ac:dyDescent="0.2">
      <c r="A193" s="9" t="s">
        <v>95</v>
      </c>
      <c r="B193" s="9" t="s">
        <v>98</v>
      </c>
      <c r="C193" s="9">
        <v>3</v>
      </c>
      <c r="D193" s="9">
        <v>1999</v>
      </c>
      <c r="E193" s="9">
        <v>6</v>
      </c>
      <c r="F193" s="9" t="s">
        <v>37</v>
      </c>
      <c r="G193" s="9" t="s">
        <v>35</v>
      </c>
      <c r="H193" s="9">
        <v>18</v>
      </c>
      <c r="I193" s="9">
        <v>26</v>
      </c>
      <c r="J193" s="9" t="s">
        <v>47</v>
      </c>
      <c r="K193" s="9" t="s">
        <v>36</v>
      </c>
    </row>
    <row r="194" spans="1:11" x14ac:dyDescent="0.2">
      <c r="A194" s="9" t="s">
        <v>95</v>
      </c>
      <c r="B194" s="9" t="s">
        <v>98</v>
      </c>
      <c r="C194" s="9">
        <v>3.3</v>
      </c>
      <c r="D194" s="9">
        <v>2008</v>
      </c>
      <c r="E194" s="9">
        <v>6</v>
      </c>
      <c r="F194" s="9" t="s">
        <v>88</v>
      </c>
      <c r="G194" s="9" t="s">
        <v>35</v>
      </c>
      <c r="H194" s="9">
        <v>18</v>
      </c>
      <c r="I194" s="9">
        <v>27</v>
      </c>
      <c r="J194" s="9" t="s">
        <v>47</v>
      </c>
      <c r="K194" s="9" t="s">
        <v>36</v>
      </c>
    </row>
    <row r="195" spans="1:11" x14ac:dyDescent="0.2">
      <c r="A195" s="9" t="s">
        <v>95</v>
      </c>
      <c r="B195" s="9" t="s">
        <v>99</v>
      </c>
      <c r="C195" s="9">
        <v>1.8</v>
      </c>
      <c r="D195" s="9">
        <v>1999</v>
      </c>
      <c r="E195" s="9">
        <v>4</v>
      </c>
      <c r="F195" s="9" t="s">
        <v>57</v>
      </c>
      <c r="G195" s="9" t="s">
        <v>35</v>
      </c>
      <c r="H195" s="9">
        <v>24</v>
      </c>
      <c r="I195" s="9">
        <v>30</v>
      </c>
      <c r="J195" s="9" t="s">
        <v>47</v>
      </c>
      <c r="K195" s="9" t="s">
        <v>36</v>
      </c>
    </row>
    <row r="196" spans="1:11" x14ac:dyDescent="0.2">
      <c r="A196" s="9" t="s">
        <v>95</v>
      </c>
      <c r="B196" s="9" t="s">
        <v>99</v>
      </c>
      <c r="C196" s="9">
        <v>1.8</v>
      </c>
      <c r="D196" s="9">
        <v>1999</v>
      </c>
      <c r="E196" s="9">
        <v>4</v>
      </c>
      <c r="F196" s="9" t="s">
        <v>46</v>
      </c>
      <c r="G196" s="9" t="s">
        <v>35</v>
      </c>
      <c r="H196" s="9">
        <v>24</v>
      </c>
      <c r="I196" s="9">
        <v>33</v>
      </c>
      <c r="J196" s="9" t="s">
        <v>47</v>
      </c>
      <c r="K196" s="9" t="s">
        <v>36</v>
      </c>
    </row>
    <row r="197" spans="1:11" x14ac:dyDescent="0.2">
      <c r="A197" s="9" t="s">
        <v>95</v>
      </c>
      <c r="B197" s="9" t="s">
        <v>99</v>
      </c>
      <c r="C197" s="9">
        <v>1.8</v>
      </c>
      <c r="D197" s="9">
        <v>1999</v>
      </c>
      <c r="E197" s="9">
        <v>4</v>
      </c>
      <c r="F197" s="9" t="s">
        <v>37</v>
      </c>
      <c r="G197" s="9" t="s">
        <v>35</v>
      </c>
      <c r="H197" s="9">
        <v>26</v>
      </c>
      <c r="I197" s="9">
        <v>35</v>
      </c>
      <c r="J197" s="9" t="s">
        <v>47</v>
      </c>
      <c r="K197" s="9" t="s">
        <v>36</v>
      </c>
    </row>
    <row r="198" spans="1:11" x14ac:dyDescent="0.2">
      <c r="A198" s="9" t="s">
        <v>95</v>
      </c>
      <c r="B198" s="9" t="s">
        <v>99</v>
      </c>
      <c r="C198" s="9">
        <v>1.8</v>
      </c>
      <c r="D198" s="9">
        <v>2008</v>
      </c>
      <c r="E198" s="9">
        <v>4</v>
      </c>
      <c r="F198" s="9" t="s">
        <v>37</v>
      </c>
      <c r="G198" s="9" t="s">
        <v>35</v>
      </c>
      <c r="H198" s="9">
        <v>28</v>
      </c>
      <c r="I198" s="9">
        <v>37</v>
      </c>
      <c r="J198" s="9" t="s">
        <v>47</v>
      </c>
      <c r="K198" s="9" t="s">
        <v>36</v>
      </c>
    </row>
    <row r="199" spans="1:11" x14ac:dyDescent="0.2">
      <c r="A199" s="9" t="s">
        <v>95</v>
      </c>
      <c r="B199" s="9" t="s">
        <v>99</v>
      </c>
      <c r="C199" s="9">
        <v>1.8</v>
      </c>
      <c r="D199" s="9">
        <v>2008</v>
      </c>
      <c r="E199" s="9">
        <v>4</v>
      </c>
      <c r="F199" s="9" t="s">
        <v>46</v>
      </c>
      <c r="G199" s="9" t="s">
        <v>35</v>
      </c>
      <c r="H199" s="9">
        <v>26</v>
      </c>
      <c r="I199" s="9">
        <v>35</v>
      </c>
      <c r="J199" s="9" t="s">
        <v>47</v>
      </c>
      <c r="K199" s="9" t="s">
        <v>36</v>
      </c>
    </row>
    <row r="200" spans="1:11" x14ac:dyDescent="0.2">
      <c r="A200" s="9" t="s">
        <v>95</v>
      </c>
      <c r="B200" s="9" t="s">
        <v>100</v>
      </c>
      <c r="C200" s="9">
        <v>4.7</v>
      </c>
      <c r="D200" s="9">
        <v>1999</v>
      </c>
      <c r="E200" s="9">
        <v>8</v>
      </c>
      <c r="F200" s="9" t="s">
        <v>46</v>
      </c>
      <c r="G200" s="9">
        <v>4</v>
      </c>
      <c r="H200" s="9">
        <v>11</v>
      </c>
      <c r="I200" s="9">
        <v>15</v>
      </c>
      <c r="J200" s="9" t="s">
        <v>47</v>
      </c>
      <c r="K200" s="9" t="s">
        <v>48</v>
      </c>
    </row>
    <row r="201" spans="1:11" x14ac:dyDescent="0.2">
      <c r="A201" s="9" t="s">
        <v>95</v>
      </c>
      <c r="B201" s="9" t="s">
        <v>100</v>
      </c>
      <c r="C201" s="9">
        <v>5.7</v>
      </c>
      <c r="D201" s="9">
        <v>2008</v>
      </c>
      <c r="E201" s="9">
        <v>8</v>
      </c>
      <c r="F201" s="9" t="s">
        <v>41</v>
      </c>
      <c r="G201" s="9">
        <v>4</v>
      </c>
      <c r="H201" s="9">
        <v>13</v>
      </c>
      <c r="I201" s="9">
        <v>18</v>
      </c>
      <c r="J201" s="9" t="s">
        <v>47</v>
      </c>
      <c r="K201" s="9" t="s">
        <v>48</v>
      </c>
    </row>
    <row r="202" spans="1:11" x14ac:dyDescent="0.2">
      <c r="A202" s="9" t="s">
        <v>95</v>
      </c>
      <c r="B202" s="9" t="s">
        <v>101</v>
      </c>
      <c r="C202" s="9">
        <v>2.7</v>
      </c>
      <c r="D202" s="9">
        <v>1999</v>
      </c>
      <c r="E202" s="9">
        <v>4</v>
      </c>
      <c r="F202" s="9" t="s">
        <v>37</v>
      </c>
      <c r="G202" s="9">
        <v>4</v>
      </c>
      <c r="H202" s="9">
        <v>15</v>
      </c>
      <c r="I202" s="9">
        <v>20</v>
      </c>
      <c r="J202" s="9" t="s">
        <v>47</v>
      </c>
      <c r="K202" s="9" t="s">
        <v>61</v>
      </c>
    </row>
    <row r="203" spans="1:11" x14ac:dyDescent="0.2">
      <c r="A203" s="9" t="s">
        <v>95</v>
      </c>
      <c r="B203" s="9" t="s">
        <v>101</v>
      </c>
      <c r="C203" s="9">
        <v>2.7</v>
      </c>
      <c r="D203" s="9">
        <v>1999</v>
      </c>
      <c r="E203" s="9">
        <v>4</v>
      </c>
      <c r="F203" s="9" t="s">
        <v>46</v>
      </c>
      <c r="G203" s="9">
        <v>4</v>
      </c>
      <c r="H203" s="9">
        <v>16</v>
      </c>
      <c r="I203" s="9">
        <v>20</v>
      </c>
      <c r="J203" s="9" t="s">
        <v>47</v>
      </c>
      <c r="K203" s="9" t="s">
        <v>61</v>
      </c>
    </row>
    <row r="204" spans="1:11" x14ac:dyDescent="0.2">
      <c r="A204" s="9" t="s">
        <v>95</v>
      </c>
      <c r="B204" s="9" t="s">
        <v>101</v>
      </c>
      <c r="C204" s="9">
        <v>2.7</v>
      </c>
      <c r="D204" s="9">
        <v>2008</v>
      </c>
      <c r="E204" s="9">
        <v>4</v>
      </c>
      <c r="F204" s="9" t="s">
        <v>37</v>
      </c>
      <c r="G204" s="9">
        <v>4</v>
      </c>
      <c r="H204" s="9">
        <v>17</v>
      </c>
      <c r="I204" s="9">
        <v>22</v>
      </c>
      <c r="J204" s="9" t="s">
        <v>47</v>
      </c>
      <c r="K204" s="9" t="s">
        <v>61</v>
      </c>
    </row>
    <row r="205" spans="1:11" x14ac:dyDescent="0.2">
      <c r="A205" s="9" t="s">
        <v>95</v>
      </c>
      <c r="B205" s="9" t="s">
        <v>101</v>
      </c>
      <c r="C205" s="9">
        <v>3.4</v>
      </c>
      <c r="D205" s="9">
        <v>1999</v>
      </c>
      <c r="E205" s="9">
        <v>6</v>
      </c>
      <c r="F205" s="9" t="s">
        <v>37</v>
      </c>
      <c r="G205" s="9">
        <v>4</v>
      </c>
      <c r="H205" s="9">
        <v>15</v>
      </c>
      <c r="I205" s="9">
        <v>17</v>
      </c>
      <c r="J205" s="9" t="s">
        <v>47</v>
      </c>
      <c r="K205" s="9" t="s">
        <v>61</v>
      </c>
    </row>
    <row r="206" spans="1:11" x14ac:dyDescent="0.2">
      <c r="A206" s="9" t="s">
        <v>95</v>
      </c>
      <c r="B206" s="9" t="s">
        <v>101</v>
      </c>
      <c r="C206" s="9">
        <v>3.4</v>
      </c>
      <c r="D206" s="9">
        <v>1999</v>
      </c>
      <c r="E206" s="9">
        <v>6</v>
      </c>
      <c r="F206" s="9" t="s">
        <v>46</v>
      </c>
      <c r="G206" s="9">
        <v>4</v>
      </c>
      <c r="H206" s="9">
        <v>15</v>
      </c>
      <c r="I206" s="9">
        <v>19</v>
      </c>
      <c r="J206" s="9" t="s">
        <v>47</v>
      </c>
      <c r="K206" s="9" t="s">
        <v>61</v>
      </c>
    </row>
    <row r="207" spans="1:11" x14ac:dyDescent="0.2">
      <c r="A207" s="9" t="s">
        <v>95</v>
      </c>
      <c r="B207" s="9" t="s">
        <v>101</v>
      </c>
      <c r="C207" s="9">
        <v>4</v>
      </c>
      <c r="D207" s="9">
        <v>2008</v>
      </c>
      <c r="E207" s="9">
        <v>6</v>
      </c>
      <c r="F207" s="9" t="s">
        <v>38</v>
      </c>
      <c r="G207" s="9">
        <v>4</v>
      </c>
      <c r="H207" s="9">
        <v>15</v>
      </c>
      <c r="I207" s="9">
        <v>18</v>
      </c>
      <c r="J207" s="9" t="s">
        <v>47</v>
      </c>
      <c r="K207" s="9" t="s">
        <v>61</v>
      </c>
    </row>
    <row r="208" spans="1:11" x14ac:dyDescent="0.2">
      <c r="A208" s="9" t="s">
        <v>95</v>
      </c>
      <c r="B208" s="9" t="s">
        <v>101</v>
      </c>
      <c r="C208" s="9">
        <v>4</v>
      </c>
      <c r="D208" s="9">
        <v>2008</v>
      </c>
      <c r="E208" s="9">
        <v>6</v>
      </c>
      <c r="F208" s="9" t="s">
        <v>34</v>
      </c>
      <c r="G208" s="9">
        <v>4</v>
      </c>
      <c r="H208" s="9">
        <v>16</v>
      </c>
      <c r="I208" s="9">
        <v>20</v>
      </c>
      <c r="J208" s="9" t="s">
        <v>47</v>
      </c>
      <c r="K208" s="9" t="s">
        <v>61</v>
      </c>
    </row>
    <row r="209" spans="1:11" x14ac:dyDescent="0.2">
      <c r="A209" s="9" t="s">
        <v>102</v>
      </c>
      <c r="B209" s="9" t="s">
        <v>103</v>
      </c>
      <c r="C209" s="9">
        <v>2</v>
      </c>
      <c r="D209" s="9">
        <v>1999</v>
      </c>
      <c r="E209" s="9">
        <v>4</v>
      </c>
      <c r="F209" s="9" t="s">
        <v>37</v>
      </c>
      <c r="G209" s="9" t="s">
        <v>35</v>
      </c>
      <c r="H209" s="9">
        <v>21</v>
      </c>
      <c r="I209" s="9">
        <v>29</v>
      </c>
      <c r="J209" s="9" t="s">
        <v>47</v>
      </c>
      <c r="K209" s="9" t="s">
        <v>36</v>
      </c>
    </row>
    <row r="210" spans="1:11" x14ac:dyDescent="0.2">
      <c r="A210" s="9" t="s">
        <v>102</v>
      </c>
      <c r="B210" s="9" t="s">
        <v>103</v>
      </c>
      <c r="C210" s="9">
        <v>2</v>
      </c>
      <c r="D210" s="9">
        <v>1999</v>
      </c>
      <c r="E210" s="9">
        <v>4</v>
      </c>
      <c r="F210" s="9" t="s">
        <v>46</v>
      </c>
      <c r="G210" s="9" t="s">
        <v>35</v>
      </c>
      <c r="H210" s="9">
        <v>19</v>
      </c>
      <c r="I210" s="9">
        <v>26</v>
      </c>
      <c r="J210" s="9" t="s">
        <v>47</v>
      </c>
      <c r="K210" s="9" t="s">
        <v>36</v>
      </c>
    </row>
    <row r="211" spans="1:11" x14ac:dyDescent="0.2">
      <c r="A211" s="9" t="s">
        <v>102</v>
      </c>
      <c r="B211" s="9" t="s">
        <v>103</v>
      </c>
      <c r="C211" s="9">
        <v>2</v>
      </c>
      <c r="D211" s="9">
        <v>2008</v>
      </c>
      <c r="E211" s="9">
        <v>4</v>
      </c>
      <c r="F211" s="9" t="s">
        <v>38</v>
      </c>
      <c r="G211" s="9" t="s">
        <v>35</v>
      </c>
      <c r="H211" s="9">
        <v>21</v>
      </c>
      <c r="I211" s="9">
        <v>29</v>
      </c>
      <c r="J211" s="9" t="s">
        <v>0</v>
      </c>
      <c r="K211" s="9" t="s">
        <v>36</v>
      </c>
    </row>
    <row r="212" spans="1:11" x14ac:dyDescent="0.2">
      <c r="A212" s="9" t="s">
        <v>102</v>
      </c>
      <c r="B212" s="9" t="s">
        <v>103</v>
      </c>
      <c r="C212" s="9">
        <v>2</v>
      </c>
      <c r="D212" s="9">
        <v>2008</v>
      </c>
      <c r="E212" s="9">
        <v>4</v>
      </c>
      <c r="F212" s="9" t="s">
        <v>41</v>
      </c>
      <c r="G212" s="9" t="s">
        <v>35</v>
      </c>
      <c r="H212" s="9">
        <v>22</v>
      </c>
      <c r="I212" s="9">
        <v>29</v>
      </c>
      <c r="J212" s="9" t="s">
        <v>0</v>
      </c>
      <c r="K212" s="9" t="s">
        <v>36</v>
      </c>
    </row>
    <row r="213" spans="1:11" x14ac:dyDescent="0.2">
      <c r="A213" s="9" t="s">
        <v>102</v>
      </c>
      <c r="B213" s="9" t="s">
        <v>103</v>
      </c>
      <c r="C213" s="9">
        <v>2.8</v>
      </c>
      <c r="D213" s="9">
        <v>1999</v>
      </c>
      <c r="E213" s="9">
        <v>6</v>
      </c>
      <c r="F213" s="9" t="s">
        <v>37</v>
      </c>
      <c r="G213" s="9" t="s">
        <v>35</v>
      </c>
      <c r="H213" s="9">
        <v>17</v>
      </c>
      <c r="I213" s="9">
        <v>24</v>
      </c>
      <c r="J213" s="9" t="s">
        <v>47</v>
      </c>
      <c r="K213" s="9" t="s">
        <v>36</v>
      </c>
    </row>
    <row r="214" spans="1:11" x14ac:dyDescent="0.2">
      <c r="A214" s="9" t="s">
        <v>102</v>
      </c>
      <c r="B214" s="9" t="s">
        <v>104</v>
      </c>
      <c r="C214" s="9">
        <v>1.9</v>
      </c>
      <c r="D214" s="9">
        <v>1999</v>
      </c>
      <c r="E214" s="9">
        <v>4</v>
      </c>
      <c r="F214" s="9" t="s">
        <v>37</v>
      </c>
      <c r="G214" s="9" t="s">
        <v>35</v>
      </c>
      <c r="H214" s="9">
        <v>33</v>
      </c>
      <c r="I214" s="9">
        <v>44</v>
      </c>
      <c r="J214" s="9" t="s">
        <v>53</v>
      </c>
      <c r="K214" s="9" t="s">
        <v>36</v>
      </c>
    </row>
    <row r="215" spans="1:11" x14ac:dyDescent="0.2">
      <c r="A215" s="9" t="s">
        <v>102</v>
      </c>
      <c r="B215" s="9" t="s">
        <v>104</v>
      </c>
      <c r="C215" s="9">
        <v>2</v>
      </c>
      <c r="D215" s="9">
        <v>1999</v>
      </c>
      <c r="E215" s="9">
        <v>4</v>
      </c>
      <c r="F215" s="9" t="s">
        <v>37</v>
      </c>
      <c r="G215" s="9" t="s">
        <v>35</v>
      </c>
      <c r="H215" s="9">
        <v>21</v>
      </c>
      <c r="I215" s="9">
        <v>29</v>
      </c>
      <c r="J215" s="9" t="s">
        <v>47</v>
      </c>
      <c r="K215" s="9" t="s">
        <v>36</v>
      </c>
    </row>
    <row r="216" spans="1:11" x14ac:dyDescent="0.2">
      <c r="A216" s="9" t="s">
        <v>102</v>
      </c>
      <c r="B216" s="9" t="s">
        <v>104</v>
      </c>
      <c r="C216" s="9">
        <v>2</v>
      </c>
      <c r="D216" s="9">
        <v>1999</v>
      </c>
      <c r="E216" s="9">
        <v>4</v>
      </c>
      <c r="F216" s="9" t="s">
        <v>46</v>
      </c>
      <c r="G216" s="9" t="s">
        <v>35</v>
      </c>
      <c r="H216" s="9">
        <v>19</v>
      </c>
      <c r="I216" s="9">
        <v>26</v>
      </c>
      <c r="J216" s="9" t="s">
        <v>47</v>
      </c>
      <c r="K216" s="9" t="s">
        <v>36</v>
      </c>
    </row>
    <row r="217" spans="1:11" x14ac:dyDescent="0.2">
      <c r="A217" s="9" t="s">
        <v>102</v>
      </c>
      <c r="B217" s="9" t="s">
        <v>104</v>
      </c>
      <c r="C217" s="9">
        <v>2</v>
      </c>
      <c r="D217" s="9">
        <v>2008</v>
      </c>
      <c r="E217" s="9">
        <v>4</v>
      </c>
      <c r="F217" s="9" t="s">
        <v>41</v>
      </c>
      <c r="G217" s="9" t="s">
        <v>35</v>
      </c>
      <c r="H217" s="9">
        <v>22</v>
      </c>
      <c r="I217" s="9">
        <v>29</v>
      </c>
      <c r="J217" s="9" t="s">
        <v>0</v>
      </c>
      <c r="K217" s="9" t="s">
        <v>36</v>
      </c>
    </row>
    <row r="218" spans="1:11" x14ac:dyDescent="0.2">
      <c r="A218" s="9" t="s">
        <v>102</v>
      </c>
      <c r="B218" s="9" t="s">
        <v>104</v>
      </c>
      <c r="C218" s="9">
        <v>2</v>
      </c>
      <c r="D218" s="9">
        <v>2008</v>
      </c>
      <c r="E218" s="9">
        <v>4</v>
      </c>
      <c r="F218" s="9" t="s">
        <v>38</v>
      </c>
      <c r="G218" s="9" t="s">
        <v>35</v>
      </c>
      <c r="H218" s="9">
        <v>21</v>
      </c>
      <c r="I218" s="9">
        <v>29</v>
      </c>
      <c r="J218" s="9" t="s">
        <v>0</v>
      </c>
      <c r="K218" s="9" t="s">
        <v>36</v>
      </c>
    </row>
    <row r="219" spans="1:11" x14ac:dyDescent="0.2">
      <c r="A219" s="9" t="s">
        <v>102</v>
      </c>
      <c r="B219" s="9" t="s">
        <v>104</v>
      </c>
      <c r="C219" s="9">
        <v>2.5</v>
      </c>
      <c r="D219" s="9">
        <v>2008</v>
      </c>
      <c r="E219" s="9">
        <v>5</v>
      </c>
      <c r="F219" s="9" t="s">
        <v>41</v>
      </c>
      <c r="G219" s="9" t="s">
        <v>35</v>
      </c>
      <c r="H219" s="9">
        <v>21</v>
      </c>
      <c r="I219" s="9">
        <v>29</v>
      </c>
      <c r="J219" s="9" t="s">
        <v>47</v>
      </c>
      <c r="K219" s="9" t="s">
        <v>36</v>
      </c>
    </row>
    <row r="220" spans="1:11" x14ac:dyDescent="0.2">
      <c r="A220" s="9" t="s">
        <v>102</v>
      </c>
      <c r="B220" s="9" t="s">
        <v>104</v>
      </c>
      <c r="C220" s="9">
        <v>2.5</v>
      </c>
      <c r="D220" s="9">
        <v>2008</v>
      </c>
      <c r="E220" s="9">
        <v>5</v>
      </c>
      <c r="F220" s="9" t="s">
        <v>37</v>
      </c>
      <c r="G220" s="9" t="s">
        <v>35</v>
      </c>
      <c r="H220" s="9">
        <v>21</v>
      </c>
      <c r="I220" s="9">
        <v>29</v>
      </c>
      <c r="J220" s="9" t="s">
        <v>47</v>
      </c>
      <c r="K220" s="9" t="s">
        <v>36</v>
      </c>
    </row>
    <row r="221" spans="1:11" x14ac:dyDescent="0.2">
      <c r="A221" s="9" t="s">
        <v>102</v>
      </c>
      <c r="B221" s="9" t="s">
        <v>104</v>
      </c>
      <c r="C221" s="9">
        <v>2.8</v>
      </c>
      <c r="D221" s="9">
        <v>1999</v>
      </c>
      <c r="E221" s="9">
        <v>6</v>
      </c>
      <c r="F221" s="9" t="s">
        <v>46</v>
      </c>
      <c r="G221" s="9" t="s">
        <v>35</v>
      </c>
      <c r="H221" s="9">
        <v>16</v>
      </c>
      <c r="I221" s="9">
        <v>23</v>
      </c>
      <c r="J221" s="9" t="s">
        <v>47</v>
      </c>
      <c r="K221" s="9" t="s">
        <v>36</v>
      </c>
    </row>
    <row r="222" spans="1:11" x14ac:dyDescent="0.2">
      <c r="A222" s="9" t="s">
        <v>102</v>
      </c>
      <c r="B222" s="9" t="s">
        <v>104</v>
      </c>
      <c r="C222" s="9">
        <v>2.8</v>
      </c>
      <c r="D222" s="9">
        <v>1999</v>
      </c>
      <c r="E222" s="9">
        <v>6</v>
      </c>
      <c r="F222" s="9" t="s">
        <v>37</v>
      </c>
      <c r="G222" s="9" t="s">
        <v>35</v>
      </c>
      <c r="H222" s="9">
        <v>17</v>
      </c>
      <c r="I222" s="9">
        <v>24</v>
      </c>
      <c r="J222" s="9" t="s">
        <v>47</v>
      </c>
      <c r="K222" s="9" t="s">
        <v>36</v>
      </c>
    </row>
    <row r="223" spans="1:11" x14ac:dyDescent="0.2">
      <c r="A223" s="9" t="s">
        <v>102</v>
      </c>
      <c r="B223" s="9" t="s">
        <v>105</v>
      </c>
      <c r="C223" s="9">
        <v>1.9</v>
      </c>
      <c r="D223" s="9">
        <v>1999</v>
      </c>
      <c r="E223" s="9">
        <v>4</v>
      </c>
      <c r="F223" s="9" t="s">
        <v>37</v>
      </c>
      <c r="G223" s="9" t="s">
        <v>35</v>
      </c>
      <c r="H223" s="9">
        <v>35</v>
      </c>
      <c r="I223" s="9">
        <v>44</v>
      </c>
      <c r="J223" s="9" t="s">
        <v>53</v>
      </c>
      <c r="K223" s="9" t="s">
        <v>69</v>
      </c>
    </row>
    <row r="224" spans="1:11" x14ac:dyDescent="0.2">
      <c r="A224" s="9" t="s">
        <v>102</v>
      </c>
      <c r="B224" s="9" t="s">
        <v>105</v>
      </c>
      <c r="C224" s="9">
        <v>1.9</v>
      </c>
      <c r="D224" s="9">
        <v>1999</v>
      </c>
      <c r="E224" s="9">
        <v>4</v>
      </c>
      <c r="F224" s="9" t="s">
        <v>46</v>
      </c>
      <c r="G224" s="9" t="s">
        <v>35</v>
      </c>
      <c r="H224" s="9">
        <v>29</v>
      </c>
      <c r="I224" s="9">
        <v>41</v>
      </c>
      <c r="J224" s="9" t="s">
        <v>53</v>
      </c>
      <c r="K224" s="9" t="s">
        <v>69</v>
      </c>
    </row>
    <row r="225" spans="1:11" x14ac:dyDescent="0.2">
      <c r="A225" s="9" t="s">
        <v>102</v>
      </c>
      <c r="B225" s="9" t="s">
        <v>105</v>
      </c>
      <c r="C225" s="9">
        <v>2</v>
      </c>
      <c r="D225" s="9">
        <v>1999</v>
      </c>
      <c r="E225" s="9">
        <v>4</v>
      </c>
      <c r="F225" s="9" t="s">
        <v>37</v>
      </c>
      <c r="G225" s="9" t="s">
        <v>35</v>
      </c>
      <c r="H225" s="9">
        <v>21</v>
      </c>
      <c r="I225" s="9">
        <v>29</v>
      </c>
      <c r="J225" s="9" t="s">
        <v>47</v>
      </c>
      <c r="K225" s="9" t="s">
        <v>69</v>
      </c>
    </row>
    <row r="226" spans="1:11" x14ac:dyDescent="0.2">
      <c r="A226" s="9" t="s">
        <v>102</v>
      </c>
      <c r="B226" s="9" t="s">
        <v>105</v>
      </c>
      <c r="C226" s="9">
        <v>2</v>
      </c>
      <c r="D226" s="9">
        <v>1999</v>
      </c>
      <c r="E226" s="9">
        <v>4</v>
      </c>
      <c r="F226" s="9" t="s">
        <v>46</v>
      </c>
      <c r="G226" s="9" t="s">
        <v>35</v>
      </c>
      <c r="H226" s="9">
        <v>19</v>
      </c>
      <c r="I226" s="9">
        <v>26</v>
      </c>
      <c r="J226" s="9" t="s">
        <v>47</v>
      </c>
      <c r="K226" s="9" t="s">
        <v>69</v>
      </c>
    </row>
    <row r="227" spans="1:11" x14ac:dyDescent="0.2">
      <c r="A227" s="9" t="s">
        <v>102</v>
      </c>
      <c r="B227" s="9" t="s">
        <v>105</v>
      </c>
      <c r="C227" s="9">
        <v>2.5</v>
      </c>
      <c r="D227" s="9">
        <v>2008</v>
      </c>
      <c r="E227" s="9">
        <v>5</v>
      </c>
      <c r="F227" s="9" t="s">
        <v>37</v>
      </c>
      <c r="G227" s="9" t="s">
        <v>35</v>
      </c>
      <c r="H227" s="9">
        <v>20</v>
      </c>
      <c r="I227" s="9">
        <v>28</v>
      </c>
      <c r="J227" s="9" t="s">
        <v>47</v>
      </c>
      <c r="K227" s="9" t="s">
        <v>69</v>
      </c>
    </row>
    <row r="228" spans="1:11" x14ac:dyDescent="0.2">
      <c r="A228" s="9" t="s">
        <v>102</v>
      </c>
      <c r="B228" s="9" t="s">
        <v>105</v>
      </c>
      <c r="C228" s="9">
        <v>2.5</v>
      </c>
      <c r="D228" s="9">
        <v>2008</v>
      </c>
      <c r="E228" s="9">
        <v>5</v>
      </c>
      <c r="F228" s="9" t="s">
        <v>41</v>
      </c>
      <c r="G228" s="9" t="s">
        <v>35</v>
      </c>
      <c r="H228" s="9">
        <v>20</v>
      </c>
      <c r="I228" s="9">
        <v>29</v>
      </c>
      <c r="J228" s="9" t="s">
        <v>47</v>
      </c>
      <c r="K228" s="9" t="s">
        <v>69</v>
      </c>
    </row>
    <row r="229" spans="1:11" x14ac:dyDescent="0.2">
      <c r="A229" s="9" t="s">
        <v>102</v>
      </c>
      <c r="B229" s="9" t="s">
        <v>106</v>
      </c>
      <c r="C229" s="9">
        <v>1.8</v>
      </c>
      <c r="D229" s="9">
        <v>1999</v>
      </c>
      <c r="E229" s="9">
        <v>4</v>
      </c>
      <c r="F229" s="9" t="s">
        <v>37</v>
      </c>
      <c r="G229" s="9" t="s">
        <v>35</v>
      </c>
      <c r="H229" s="9">
        <v>21</v>
      </c>
      <c r="I229" s="9">
        <v>29</v>
      </c>
      <c r="J229" s="9" t="s">
        <v>0</v>
      </c>
      <c r="K229" s="9" t="s">
        <v>43</v>
      </c>
    </row>
    <row r="230" spans="1:11" x14ac:dyDescent="0.2">
      <c r="A230" s="9" t="s">
        <v>102</v>
      </c>
      <c r="B230" s="9" t="s">
        <v>106</v>
      </c>
      <c r="C230" s="9">
        <v>1.8</v>
      </c>
      <c r="D230" s="9">
        <v>1999</v>
      </c>
      <c r="E230" s="9">
        <v>4</v>
      </c>
      <c r="F230" s="9" t="s">
        <v>34</v>
      </c>
      <c r="G230" s="9" t="s">
        <v>35</v>
      </c>
      <c r="H230" s="9">
        <v>18</v>
      </c>
      <c r="I230" s="9">
        <v>29</v>
      </c>
      <c r="J230" s="9" t="s">
        <v>0</v>
      </c>
      <c r="K230" s="9" t="s">
        <v>43</v>
      </c>
    </row>
    <row r="231" spans="1:11" x14ac:dyDescent="0.2">
      <c r="A231" s="9" t="s">
        <v>102</v>
      </c>
      <c r="B231" s="9" t="s">
        <v>106</v>
      </c>
      <c r="C231" s="9">
        <v>2</v>
      </c>
      <c r="D231" s="9">
        <v>2008</v>
      </c>
      <c r="E231" s="9">
        <v>4</v>
      </c>
      <c r="F231" s="9" t="s">
        <v>41</v>
      </c>
      <c r="G231" s="9" t="s">
        <v>35</v>
      </c>
      <c r="H231" s="9">
        <v>19</v>
      </c>
      <c r="I231" s="9">
        <v>28</v>
      </c>
      <c r="J231" s="9" t="s">
        <v>0</v>
      </c>
      <c r="K231" s="9" t="s">
        <v>43</v>
      </c>
    </row>
    <row r="232" spans="1:11" x14ac:dyDescent="0.2">
      <c r="A232" s="9" t="s">
        <v>102</v>
      </c>
      <c r="B232" s="9" t="s">
        <v>106</v>
      </c>
      <c r="C232" s="9">
        <v>2</v>
      </c>
      <c r="D232" s="9">
        <v>2008</v>
      </c>
      <c r="E232" s="9">
        <v>4</v>
      </c>
      <c r="F232" s="9" t="s">
        <v>38</v>
      </c>
      <c r="G232" s="9" t="s">
        <v>35</v>
      </c>
      <c r="H232" s="9">
        <v>21</v>
      </c>
      <c r="I232" s="9">
        <v>29</v>
      </c>
      <c r="J232" s="9" t="s">
        <v>0</v>
      </c>
      <c r="K232" s="9" t="s">
        <v>43</v>
      </c>
    </row>
    <row r="233" spans="1:11" x14ac:dyDescent="0.2">
      <c r="A233" s="9" t="s">
        <v>102</v>
      </c>
      <c r="B233" s="9" t="s">
        <v>106</v>
      </c>
      <c r="C233" s="9">
        <v>2.8</v>
      </c>
      <c r="D233" s="9">
        <v>1999</v>
      </c>
      <c r="E233" s="9">
        <v>6</v>
      </c>
      <c r="F233" s="9" t="s">
        <v>34</v>
      </c>
      <c r="G233" s="9" t="s">
        <v>35</v>
      </c>
      <c r="H233" s="9">
        <v>16</v>
      </c>
      <c r="I233" s="9">
        <v>26</v>
      </c>
      <c r="J233" s="9" t="s">
        <v>0</v>
      </c>
      <c r="K233" s="9" t="s">
        <v>43</v>
      </c>
    </row>
    <row r="234" spans="1:11" x14ac:dyDescent="0.2">
      <c r="A234" s="9" t="s">
        <v>102</v>
      </c>
      <c r="B234" s="9" t="s">
        <v>106</v>
      </c>
      <c r="C234" s="9">
        <v>2.8</v>
      </c>
      <c r="D234" s="9">
        <v>1999</v>
      </c>
      <c r="E234" s="9">
        <v>6</v>
      </c>
      <c r="F234" s="9" t="s">
        <v>37</v>
      </c>
      <c r="G234" s="9" t="s">
        <v>35</v>
      </c>
      <c r="H234" s="9">
        <v>18</v>
      </c>
      <c r="I234" s="9">
        <v>26</v>
      </c>
      <c r="J234" s="9" t="s">
        <v>0</v>
      </c>
      <c r="K234" s="9" t="s">
        <v>43</v>
      </c>
    </row>
    <row r="235" spans="1:11" x14ac:dyDescent="0.2">
      <c r="A235" s="9" t="s">
        <v>102</v>
      </c>
      <c r="B235" s="9" t="s">
        <v>106</v>
      </c>
      <c r="C235" s="9">
        <v>3.6</v>
      </c>
      <c r="D235" s="9">
        <v>2008</v>
      </c>
      <c r="E235" s="9">
        <v>6</v>
      </c>
      <c r="F235" s="9" t="s">
        <v>41</v>
      </c>
      <c r="G235" s="9" t="s">
        <v>35</v>
      </c>
      <c r="H235" s="9">
        <v>17</v>
      </c>
      <c r="I235" s="9">
        <v>26</v>
      </c>
      <c r="J235" s="9" t="s">
        <v>0</v>
      </c>
      <c r="K235" s="9" t="s">
        <v>43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10"/>
    <col min="13" max="16384" width="14.5" style="10"/>
  </cols>
  <sheetData>
    <row r="1" spans="1:12" x14ac:dyDescent="0.2">
      <c r="A1" s="9" t="s">
        <v>28</v>
      </c>
      <c r="B1" s="9" t="s">
        <v>107</v>
      </c>
      <c r="C1" s="9"/>
      <c r="D1" s="10" t="s">
        <v>108</v>
      </c>
      <c r="E1" s="10" t="s">
        <v>109</v>
      </c>
      <c r="F1" s="10" t="s">
        <v>110</v>
      </c>
      <c r="G1" s="10" t="s">
        <v>112</v>
      </c>
      <c r="H1" s="10" t="s">
        <v>111</v>
      </c>
      <c r="I1" s="10" t="s">
        <v>114</v>
      </c>
      <c r="J1" s="10" t="s">
        <v>0</v>
      </c>
      <c r="K1" s="10" t="s">
        <v>113</v>
      </c>
      <c r="L1" s="10"/>
    </row>
    <row r="2" spans="1:12" x14ac:dyDescent="0.2">
      <c r="A2" s="9">
        <v>18</v>
      </c>
      <c r="B2" s="9">
        <v>1</v>
      </c>
      <c r="C2" s="9"/>
      <c r="D2" s="10" cm="1">
        <f t="array" ref="D2:D235">TREND(A2:A235,B2:B235,B2:B235,FALSE)</f>
        <v>16.858974358974358</v>
      </c>
      <c r="E2" s="10">
        <f>D2-A2</f>
        <v>-1.1410256410256423</v>
      </c>
      <c r="F2" s="10">
        <f>STDEV(E2:E235)</f>
        <v>4.2559456788893932</v>
      </c>
      <c r="G2" s="10">
        <f>_xlfn.NORM.DIST(E2,0,$F$2,FALSE)</f>
        <v>9.0428595220514676E-2</v>
      </c>
      <c r="H2" s="10" cm="1">
        <f t="array" ref="H2">SUM(LN(G2:G235))</f>
        <v>-670.43779208802937</v>
      </c>
      <c r="I2" s="10">
        <f>COUNT(A2:A235)</f>
        <v>234</v>
      </c>
      <c r="J2" s="10">
        <v>1</v>
      </c>
      <c r="K2" s="10">
        <f>-2*H2+2*J2</f>
        <v>1342.8755841760587</v>
      </c>
      <c r="L2" s="10"/>
    </row>
    <row r="3" spans="1:12" x14ac:dyDescent="0.2">
      <c r="A3" s="9">
        <v>21</v>
      </c>
      <c r="B3" s="9">
        <v>1</v>
      </c>
      <c r="C3" s="9"/>
      <c r="D3" s="10">
        <v>16.858974358974358</v>
      </c>
      <c r="E3" s="10">
        <f t="shared" ref="E3:E66" si="0">D3-A3</f>
        <v>-4.1410256410256423</v>
      </c>
      <c r="G3" s="10">
        <f t="shared" ref="G3:G66" si="1">_xlfn.NORM.DIST(E3,0,$F$2,FALSE)</f>
        <v>5.8389578885814829E-2</v>
      </c>
      <c r="L3" s="10"/>
    </row>
    <row r="4" spans="1:12" x14ac:dyDescent="0.2">
      <c r="A4" s="9">
        <v>20</v>
      </c>
      <c r="B4" s="9">
        <v>1</v>
      </c>
      <c r="C4" s="9"/>
      <c r="D4" s="10">
        <v>16.858974358974358</v>
      </c>
      <c r="E4" s="10">
        <f t="shared" si="0"/>
        <v>-3.1410256410256423</v>
      </c>
      <c r="G4" s="10">
        <f t="shared" si="1"/>
        <v>7.138971945227178E-2</v>
      </c>
      <c r="H4" s="10" t="s">
        <v>115</v>
      </c>
      <c r="I4" s="10" t="s">
        <v>116</v>
      </c>
      <c r="L4" s="10"/>
    </row>
    <row r="5" spans="1:12" x14ac:dyDescent="0.2">
      <c r="A5" s="9">
        <v>21</v>
      </c>
      <c r="B5" s="9">
        <v>1</v>
      </c>
      <c r="C5" s="9"/>
      <c r="D5" s="10">
        <v>16.858974358974358</v>
      </c>
      <c r="E5" s="10">
        <f t="shared" si="0"/>
        <v>-4.1410256410256423</v>
      </c>
      <c r="G5" s="10">
        <f t="shared" si="1"/>
        <v>5.8389578885814829E-2</v>
      </c>
      <c r="H5" s="10">
        <f>SUMSQ(E2:E235)</f>
        <v>4220.3461538461506</v>
      </c>
      <c r="I5" s="10">
        <f>H5/I2</f>
        <v>18.035667324128848</v>
      </c>
      <c r="L5" s="10"/>
    </row>
    <row r="6" spans="1:12" x14ac:dyDescent="0.2">
      <c r="A6" s="9">
        <v>16</v>
      </c>
      <c r="B6" s="9">
        <v>1</v>
      </c>
      <c r="C6" s="9"/>
      <c r="D6" s="10">
        <v>16.858974358974358</v>
      </c>
      <c r="E6" s="10">
        <f t="shared" si="0"/>
        <v>0.8589743589743577</v>
      </c>
      <c r="G6" s="10">
        <f t="shared" si="1"/>
        <v>9.1847742433773194E-2</v>
      </c>
      <c r="L6" s="10"/>
    </row>
    <row r="7" spans="1:12" x14ac:dyDescent="0.2">
      <c r="A7" s="9">
        <v>18</v>
      </c>
      <c r="B7" s="9">
        <v>1</v>
      </c>
      <c r="C7" s="9"/>
      <c r="D7" s="10">
        <v>16.858974358974358</v>
      </c>
      <c r="E7" s="10">
        <f t="shared" si="0"/>
        <v>-1.1410256410256423</v>
      </c>
      <c r="G7" s="10">
        <f t="shared" si="1"/>
        <v>9.0428595220514676E-2</v>
      </c>
      <c r="H7" s="10" t="s">
        <v>118</v>
      </c>
      <c r="K7" s="10" t="s">
        <v>120</v>
      </c>
      <c r="L7" s="10"/>
    </row>
    <row r="8" spans="1:12" x14ac:dyDescent="0.2">
      <c r="A8" s="9">
        <v>18</v>
      </c>
      <c r="B8" s="9">
        <v>1</v>
      </c>
      <c r="C8" s="9"/>
      <c r="D8" s="10">
        <v>16.858974358974358</v>
      </c>
      <c r="E8" s="10">
        <f t="shared" si="0"/>
        <v>-1.1410256410256423</v>
      </c>
      <c r="G8" s="10">
        <f t="shared" si="1"/>
        <v>9.0428595220514676E-2</v>
      </c>
      <c r="H8" s="10">
        <f>I2*LN(I5)</f>
        <v>676.81020777694471</v>
      </c>
      <c r="K8" s="10">
        <f>H8+2*J2</f>
        <v>678.81020777694471</v>
      </c>
      <c r="L8" s="10"/>
    </row>
    <row r="9" spans="1:12" x14ac:dyDescent="0.2">
      <c r="A9" s="9">
        <v>18</v>
      </c>
      <c r="B9" s="9">
        <v>1</v>
      </c>
      <c r="C9" s="9"/>
      <c r="D9" s="10">
        <v>16.858974358974358</v>
      </c>
      <c r="E9" s="10">
        <f t="shared" si="0"/>
        <v>-1.1410256410256423</v>
      </c>
      <c r="G9" s="10">
        <f t="shared" si="1"/>
        <v>9.0428595220514676E-2</v>
      </c>
      <c r="L9" s="10"/>
    </row>
    <row r="10" spans="1:12" x14ac:dyDescent="0.2">
      <c r="A10" s="9">
        <v>16</v>
      </c>
      <c r="B10" s="9">
        <v>1</v>
      </c>
      <c r="C10" s="9"/>
      <c r="D10" s="10">
        <v>16.858974358974358</v>
      </c>
      <c r="E10" s="10">
        <f t="shared" si="0"/>
        <v>0.8589743589743577</v>
      </c>
      <c r="G10" s="10">
        <f t="shared" si="1"/>
        <v>9.1847742433773194E-2</v>
      </c>
      <c r="H10" s="10" t="s">
        <v>119</v>
      </c>
      <c r="L10" s="10"/>
    </row>
    <row r="11" spans="1:12" x14ac:dyDescent="0.2">
      <c r="A11" s="9">
        <v>20</v>
      </c>
      <c r="B11" s="9">
        <v>1</v>
      </c>
      <c r="C11" s="9"/>
      <c r="D11" s="10">
        <v>16.858974358974358</v>
      </c>
      <c r="E11" s="10">
        <f t="shared" si="0"/>
        <v>-3.1410256410256423</v>
      </c>
      <c r="G11" s="10">
        <f t="shared" si="1"/>
        <v>7.138971945227178E-2</v>
      </c>
      <c r="H11" s="10">
        <f>I2*LN(2*PI())</f>
        <v>430.06323353978684</v>
      </c>
      <c r="L11" s="10"/>
    </row>
    <row r="12" spans="1:12" x14ac:dyDescent="0.2">
      <c r="A12" s="9">
        <v>19</v>
      </c>
      <c r="B12" s="9">
        <v>1</v>
      </c>
      <c r="C12" s="9"/>
      <c r="D12" s="10">
        <v>16.858974358974358</v>
      </c>
      <c r="E12" s="10">
        <f t="shared" si="0"/>
        <v>-2.1410256410256423</v>
      </c>
      <c r="G12" s="10">
        <f t="shared" si="1"/>
        <v>8.2596026638649928E-2</v>
      </c>
      <c r="L12" s="10"/>
    </row>
    <row r="13" spans="1:12" x14ac:dyDescent="0.2">
      <c r="A13" s="9">
        <v>15</v>
      </c>
      <c r="B13" s="9">
        <v>1</v>
      </c>
      <c r="C13" s="9"/>
      <c r="D13" s="10">
        <v>16.858974358974358</v>
      </c>
      <c r="E13" s="10">
        <f t="shared" si="0"/>
        <v>1.8589743589743577</v>
      </c>
      <c r="G13" s="10">
        <f t="shared" si="1"/>
        <v>8.5208821600122359E-2</v>
      </c>
      <c r="H13" s="10" t="s">
        <v>117</v>
      </c>
      <c r="K13" s="10" t="s">
        <v>113</v>
      </c>
      <c r="L13" s="10"/>
    </row>
    <row r="14" spans="1:12" x14ac:dyDescent="0.2">
      <c r="A14" s="9">
        <v>17</v>
      </c>
      <c r="B14" s="9">
        <v>1</v>
      </c>
      <c r="C14" s="9"/>
      <c r="D14" s="10">
        <v>16.858974358974358</v>
      </c>
      <c r="E14" s="10">
        <f t="shared" si="0"/>
        <v>-0.1410256410256423</v>
      </c>
      <c r="G14" s="10">
        <f t="shared" si="1"/>
        <v>9.3686186441259228E-2</v>
      </c>
      <c r="H14" s="10">
        <f>H8+H11+I2</f>
        <v>1340.8734413167315</v>
      </c>
      <c r="K14" s="10">
        <f>H14+2*J2</f>
        <v>1342.8734413167315</v>
      </c>
      <c r="L14" s="10"/>
    </row>
    <row r="15" spans="1:12" x14ac:dyDescent="0.2">
      <c r="A15" s="9">
        <v>17</v>
      </c>
      <c r="B15" s="9">
        <v>1</v>
      </c>
      <c r="C15" s="9"/>
      <c r="D15" s="10">
        <v>16.858974358974358</v>
      </c>
      <c r="E15" s="10">
        <f t="shared" si="0"/>
        <v>-0.1410256410256423</v>
      </c>
      <c r="G15" s="10">
        <f t="shared" si="1"/>
        <v>9.3686186441259228E-2</v>
      </c>
      <c r="L15" s="10"/>
    </row>
    <row r="16" spans="1:12" x14ac:dyDescent="0.2">
      <c r="A16" s="9">
        <v>15</v>
      </c>
      <c r="B16" s="9">
        <v>1</v>
      </c>
      <c r="C16" s="9"/>
      <c r="D16" s="10">
        <v>16.858974358974358</v>
      </c>
      <c r="E16" s="10">
        <f t="shared" si="0"/>
        <v>1.8589743589743577</v>
      </c>
      <c r="G16" s="10">
        <f t="shared" si="1"/>
        <v>8.5208821600122359E-2</v>
      </c>
      <c r="L16" s="10"/>
    </row>
    <row r="17" spans="1:12" x14ac:dyDescent="0.2">
      <c r="A17" s="9">
        <v>15</v>
      </c>
      <c r="B17" s="9">
        <v>1</v>
      </c>
      <c r="C17" s="9"/>
      <c r="D17" s="10">
        <v>16.858974358974358</v>
      </c>
      <c r="E17" s="10">
        <f t="shared" si="0"/>
        <v>1.8589743589743577</v>
      </c>
      <c r="G17" s="10">
        <f t="shared" si="1"/>
        <v>8.5208821600122359E-2</v>
      </c>
      <c r="L17" s="10"/>
    </row>
    <row r="18" spans="1:12" x14ac:dyDescent="0.2">
      <c r="A18" s="9">
        <v>17</v>
      </c>
      <c r="B18" s="9">
        <v>1</v>
      </c>
      <c r="C18" s="9"/>
      <c r="D18" s="10">
        <v>16.858974358974358</v>
      </c>
      <c r="E18" s="10">
        <f t="shared" si="0"/>
        <v>-0.1410256410256423</v>
      </c>
      <c r="G18" s="10">
        <f t="shared" si="1"/>
        <v>9.3686186441259228E-2</v>
      </c>
      <c r="L18" s="10"/>
    </row>
    <row r="19" spans="1:12" x14ac:dyDescent="0.2">
      <c r="A19" s="9">
        <v>16</v>
      </c>
      <c r="B19" s="9">
        <v>1</v>
      </c>
      <c r="C19" s="9"/>
      <c r="D19" s="10">
        <v>16.858974358974358</v>
      </c>
      <c r="E19" s="10">
        <f t="shared" si="0"/>
        <v>0.8589743589743577</v>
      </c>
      <c r="G19" s="10">
        <f t="shared" si="1"/>
        <v>9.1847742433773194E-2</v>
      </c>
      <c r="L19" s="10"/>
    </row>
    <row r="20" spans="1:12" x14ac:dyDescent="0.2">
      <c r="A20" s="9">
        <v>14</v>
      </c>
      <c r="B20" s="9">
        <v>1</v>
      </c>
      <c r="C20" s="9"/>
      <c r="D20" s="10">
        <v>16.858974358974358</v>
      </c>
      <c r="E20" s="10">
        <f t="shared" si="0"/>
        <v>2.8589743589743577</v>
      </c>
      <c r="G20" s="10">
        <f t="shared" si="1"/>
        <v>7.4803820711623142E-2</v>
      </c>
      <c r="L20" s="10"/>
    </row>
    <row r="21" spans="1:12" x14ac:dyDescent="0.2">
      <c r="A21" s="9">
        <v>11</v>
      </c>
      <c r="B21" s="9">
        <v>1</v>
      </c>
      <c r="C21" s="9"/>
      <c r="D21" s="10">
        <v>16.858974358974358</v>
      </c>
      <c r="E21" s="10">
        <f t="shared" si="0"/>
        <v>5.8589743589743577</v>
      </c>
      <c r="G21" s="10">
        <f t="shared" si="1"/>
        <v>3.6339616015446226E-2</v>
      </c>
      <c r="J21" s="15"/>
      <c r="K21" s="16"/>
      <c r="L21" s="17"/>
    </row>
    <row r="22" spans="1:12" x14ac:dyDescent="0.2">
      <c r="A22" s="9">
        <v>14</v>
      </c>
      <c r="B22" s="9">
        <v>1</v>
      </c>
      <c r="C22" s="9"/>
      <c r="D22" s="10">
        <v>16.858974358974358</v>
      </c>
      <c r="E22" s="10">
        <f t="shared" si="0"/>
        <v>2.8589743589743577</v>
      </c>
      <c r="G22" s="10">
        <f t="shared" si="1"/>
        <v>7.4803820711623142E-2</v>
      </c>
      <c r="J22" s="18"/>
      <c r="K22" s="19" t="s">
        <v>201</v>
      </c>
      <c r="L22" s="20"/>
    </row>
    <row r="23" spans="1:12" x14ac:dyDescent="0.2">
      <c r="A23" s="9">
        <v>13</v>
      </c>
      <c r="B23" s="9">
        <v>1</v>
      </c>
      <c r="C23" s="9"/>
      <c r="D23" s="10">
        <v>16.858974358974358</v>
      </c>
      <c r="E23" s="10">
        <f t="shared" si="0"/>
        <v>3.8589743589743577</v>
      </c>
      <c r="G23" s="10">
        <f t="shared" si="1"/>
        <v>6.2142132155231941E-2</v>
      </c>
      <c r="J23" s="18"/>
      <c r="K23" s="24" t="s">
        <v>200</v>
      </c>
      <c r="L23" s="20"/>
    </row>
    <row r="24" spans="1:12" x14ac:dyDescent="0.2">
      <c r="A24" s="9">
        <v>12</v>
      </c>
      <c r="B24" s="9">
        <v>1</v>
      </c>
      <c r="C24" s="9"/>
      <c r="D24" s="10">
        <v>16.858974358974358</v>
      </c>
      <c r="E24" s="10">
        <f t="shared" si="0"/>
        <v>4.8589743589743577</v>
      </c>
      <c r="G24" s="10">
        <f t="shared" si="1"/>
        <v>4.8850798619149906E-2</v>
      </c>
      <c r="J24" s="18"/>
      <c r="K24" s="19"/>
      <c r="L24" s="20"/>
    </row>
    <row r="25" spans="1:12" x14ac:dyDescent="0.2">
      <c r="A25" s="9">
        <v>16</v>
      </c>
      <c r="B25" s="9">
        <v>1</v>
      </c>
      <c r="C25" s="9"/>
      <c r="D25" s="10">
        <v>16.858974358974358</v>
      </c>
      <c r="E25" s="10">
        <f t="shared" si="0"/>
        <v>0.8589743589743577</v>
      </c>
      <c r="G25" s="10">
        <f t="shared" si="1"/>
        <v>9.1847742433773194E-2</v>
      </c>
      <c r="J25" s="21"/>
      <c r="K25" s="22"/>
      <c r="L25" s="23"/>
    </row>
    <row r="26" spans="1:12" x14ac:dyDescent="0.2">
      <c r="A26" s="9">
        <v>15</v>
      </c>
      <c r="B26" s="9">
        <v>1</v>
      </c>
      <c r="C26" s="9"/>
      <c r="D26" s="10">
        <v>16.858974358974358</v>
      </c>
      <c r="E26" s="10">
        <f t="shared" si="0"/>
        <v>1.8589743589743577</v>
      </c>
      <c r="G26" s="10">
        <f t="shared" si="1"/>
        <v>8.5208821600122359E-2</v>
      </c>
      <c r="L26" s="10"/>
    </row>
    <row r="27" spans="1:12" x14ac:dyDescent="0.2">
      <c r="A27" s="9">
        <v>16</v>
      </c>
      <c r="B27" s="9">
        <v>1</v>
      </c>
      <c r="C27" s="9"/>
      <c r="D27" s="10">
        <v>16.858974358974358</v>
      </c>
      <c r="E27" s="10">
        <f t="shared" si="0"/>
        <v>0.8589743589743577</v>
      </c>
      <c r="G27" s="10">
        <f t="shared" si="1"/>
        <v>9.1847742433773194E-2</v>
      </c>
      <c r="L27" s="10"/>
    </row>
    <row r="28" spans="1:12" x14ac:dyDescent="0.2">
      <c r="A28" s="9">
        <v>15</v>
      </c>
      <c r="B28" s="9">
        <v>1</v>
      </c>
      <c r="C28" s="9"/>
      <c r="D28" s="10">
        <v>16.858974358974358</v>
      </c>
      <c r="E28" s="10">
        <f t="shared" si="0"/>
        <v>1.8589743589743577</v>
      </c>
      <c r="G28" s="10">
        <f t="shared" si="1"/>
        <v>8.5208821600122359E-2</v>
      </c>
      <c r="L28" s="10"/>
    </row>
    <row r="29" spans="1:12" x14ac:dyDescent="0.2">
      <c r="A29" s="9">
        <v>15</v>
      </c>
      <c r="B29" s="9">
        <v>1</v>
      </c>
      <c r="C29" s="9"/>
      <c r="D29" s="10">
        <v>16.858974358974358</v>
      </c>
      <c r="E29" s="10">
        <f t="shared" si="0"/>
        <v>1.8589743589743577</v>
      </c>
      <c r="G29" s="10">
        <f t="shared" si="1"/>
        <v>8.5208821600122359E-2</v>
      </c>
      <c r="L29" s="10"/>
    </row>
    <row r="30" spans="1:12" x14ac:dyDescent="0.2">
      <c r="A30" s="9">
        <v>14</v>
      </c>
      <c r="B30" s="9">
        <v>1</v>
      </c>
      <c r="C30" s="9"/>
      <c r="D30" s="10">
        <v>16.858974358974358</v>
      </c>
      <c r="E30" s="10">
        <f t="shared" si="0"/>
        <v>2.8589743589743577</v>
      </c>
      <c r="G30" s="10">
        <f t="shared" si="1"/>
        <v>7.4803820711623142E-2</v>
      </c>
      <c r="L30" s="10"/>
    </row>
    <row r="31" spans="1:12" x14ac:dyDescent="0.2">
      <c r="A31" s="9">
        <v>11</v>
      </c>
      <c r="B31" s="9">
        <v>1</v>
      </c>
      <c r="C31" s="9"/>
      <c r="D31" s="10">
        <v>16.858974358974358</v>
      </c>
      <c r="E31" s="10">
        <f t="shared" si="0"/>
        <v>5.8589743589743577</v>
      </c>
      <c r="G31" s="10">
        <f t="shared" si="1"/>
        <v>3.6339616015446226E-2</v>
      </c>
      <c r="L31" s="10"/>
    </row>
    <row r="32" spans="1:12" x14ac:dyDescent="0.2">
      <c r="A32" s="9">
        <v>11</v>
      </c>
      <c r="B32" s="9">
        <v>1</v>
      </c>
      <c r="C32" s="9"/>
      <c r="D32" s="10">
        <v>16.858974358974358</v>
      </c>
      <c r="E32" s="10">
        <f t="shared" si="0"/>
        <v>5.8589743589743577</v>
      </c>
      <c r="G32" s="10">
        <f t="shared" si="1"/>
        <v>3.6339616015446226E-2</v>
      </c>
      <c r="L32" s="10"/>
    </row>
    <row r="33" spans="1:12" x14ac:dyDescent="0.2">
      <c r="A33" s="9">
        <v>14</v>
      </c>
      <c r="B33" s="9">
        <v>1</v>
      </c>
      <c r="C33" s="9"/>
      <c r="D33" s="10">
        <v>16.858974358974358</v>
      </c>
      <c r="E33" s="10">
        <f t="shared" si="0"/>
        <v>2.8589743589743577</v>
      </c>
      <c r="G33" s="10">
        <f t="shared" si="1"/>
        <v>7.4803820711623142E-2</v>
      </c>
      <c r="L33" s="10"/>
    </row>
    <row r="34" spans="1:12" x14ac:dyDescent="0.2">
      <c r="A34" s="9">
        <v>19</v>
      </c>
      <c r="B34" s="9">
        <v>1</v>
      </c>
      <c r="C34" s="9"/>
      <c r="D34" s="10">
        <v>16.858974358974358</v>
      </c>
      <c r="E34" s="10">
        <f t="shared" si="0"/>
        <v>-2.1410256410256423</v>
      </c>
      <c r="G34" s="10">
        <f t="shared" si="1"/>
        <v>8.2596026638649928E-2</v>
      </c>
      <c r="L34" s="10"/>
    </row>
    <row r="35" spans="1:12" x14ac:dyDescent="0.2">
      <c r="A35" s="9">
        <v>22</v>
      </c>
      <c r="B35" s="9">
        <v>1</v>
      </c>
      <c r="C35" s="9"/>
      <c r="D35" s="10">
        <v>16.858974358974358</v>
      </c>
      <c r="E35" s="10">
        <f t="shared" si="0"/>
        <v>-5.1410256410256423</v>
      </c>
      <c r="G35" s="10">
        <f t="shared" si="1"/>
        <v>4.5191645925457373E-2</v>
      </c>
      <c r="L35" s="10"/>
    </row>
    <row r="36" spans="1:12" x14ac:dyDescent="0.2">
      <c r="A36" s="9">
        <v>18</v>
      </c>
      <c r="B36" s="9">
        <v>1</v>
      </c>
      <c r="C36" s="9"/>
      <c r="D36" s="10">
        <v>16.858974358974358</v>
      </c>
      <c r="E36" s="10">
        <f t="shared" si="0"/>
        <v>-1.1410256410256423</v>
      </c>
      <c r="G36" s="10">
        <f t="shared" si="1"/>
        <v>9.0428595220514676E-2</v>
      </c>
      <c r="L36" s="10"/>
    </row>
    <row r="37" spans="1:12" x14ac:dyDescent="0.2">
      <c r="A37" s="9">
        <v>18</v>
      </c>
      <c r="B37" s="9">
        <v>1</v>
      </c>
      <c r="C37" s="9"/>
      <c r="D37" s="10">
        <v>16.858974358974358</v>
      </c>
      <c r="E37" s="10">
        <f t="shared" si="0"/>
        <v>-1.1410256410256423</v>
      </c>
      <c r="G37" s="10">
        <f t="shared" si="1"/>
        <v>9.0428595220514676E-2</v>
      </c>
      <c r="L37" s="10"/>
    </row>
    <row r="38" spans="1:12" x14ac:dyDescent="0.2">
      <c r="A38" s="9">
        <v>17</v>
      </c>
      <c r="B38" s="9">
        <v>1</v>
      </c>
      <c r="C38" s="9"/>
      <c r="D38" s="10">
        <v>16.858974358974358</v>
      </c>
      <c r="E38" s="10">
        <f t="shared" si="0"/>
        <v>-0.1410256410256423</v>
      </c>
      <c r="G38" s="10">
        <f t="shared" si="1"/>
        <v>9.3686186441259228E-2</v>
      </c>
      <c r="L38" s="10"/>
    </row>
    <row r="39" spans="1:12" x14ac:dyDescent="0.2">
      <c r="A39" s="9">
        <v>18</v>
      </c>
      <c r="B39" s="9">
        <v>1</v>
      </c>
      <c r="C39" s="9"/>
      <c r="D39" s="10">
        <v>16.858974358974358</v>
      </c>
      <c r="E39" s="10">
        <f t="shared" si="0"/>
        <v>-1.1410256410256423</v>
      </c>
      <c r="G39" s="10">
        <f t="shared" si="1"/>
        <v>9.0428595220514676E-2</v>
      </c>
      <c r="L39" s="10"/>
    </row>
    <row r="40" spans="1:12" x14ac:dyDescent="0.2">
      <c r="A40" s="9">
        <v>17</v>
      </c>
      <c r="B40" s="9">
        <v>1</v>
      </c>
      <c r="C40" s="9"/>
      <c r="D40" s="10">
        <v>16.858974358974358</v>
      </c>
      <c r="E40" s="10">
        <f t="shared" si="0"/>
        <v>-0.1410256410256423</v>
      </c>
      <c r="G40" s="10">
        <f t="shared" si="1"/>
        <v>9.3686186441259228E-2</v>
      </c>
      <c r="L40" s="10"/>
    </row>
    <row r="41" spans="1:12" x14ac:dyDescent="0.2">
      <c r="A41" s="9">
        <v>16</v>
      </c>
      <c r="B41" s="9">
        <v>1</v>
      </c>
      <c r="C41" s="9"/>
      <c r="D41" s="10">
        <v>16.858974358974358</v>
      </c>
      <c r="E41" s="10">
        <f t="shared" si="0"/>
        <v>0.8589743589743577</v>
      </c>
      <c r="G41" s="10">
        <f t="shared" si="1"/>
        <v>9.1847742433773194E-2</v>
      </c>
      <c r="L41" s="10"/>
    </row>
    <row r="42" spans="1:12" x14ac:dyDescent="0.2">
      <c r="A42" s="9">
        <v>16</v>
      </c>
      <c r="B42" s="9">
        <v>1</v>
      </c>
      <c r="C42" s="9"/>
      <c r="D42" s="10">
        <v>16.858974358974358</v>
      </c>
      <c r="E42" s="10">
        <f t="shared" si="0"/>
        <v>0.8589743589743577</v>
      </c>
      <c r="G42" s="10">
        <f t="shared" si="1"/>
        <v>9.1847742433773194E-2</v>
      </c>
      <c r="L42" s="10"/>
    </row>
    <row r="43" spans="1:12" x14ac:dyDescent="0.2">
      <c r="A43" s="9">
        <v>17</v>
      </c>
      <c r="B43" s="9">
        <v>1</v>
      </c>
      <c r="C43" s="9"/>
      <c r="D43" s="10">
        <v>16.858974358974358</v>
      </c>
      <c r="E43" s="10">
        <f t="shared" si="0"/>
        <v>-0.1410256410256423</v>
      </c>
      <c r="G43" s="10">
        <f t="shared" si="1"/>
        <v>9.3686186441259228E-2</v>
      </c>
      <c r="L43" s="10"/>
    </row>
    <row r="44" spans="1:12" x14ac:dyDescent="0.2">
      <c r="A44" s="9">
        <v>17</v>
      </c>
      <c r="B44" s="9">
        <v>1</v>
      </c>
      <c r="C44" s="9"/>
      <c r="D44" s="10">
        <v>16.858974358974358</v>
      </c>
      <c r="E44" s="10">
        <f t="shared" si="0"/>
        <v>-0.1410256410256423</v>
      </c>
      <c r="G44" s="10">
        <f t="shared" si="1"/>
        <v>9.3686186441259228E-2</v>
      </c>
      <c r="L44" s="10"/>
    </row>
    <row r="45" spans="1:12" x14ac:dyDescent="0.2">
      <c r="A45" s="9">
        <v>11</v>
      </c>
      <c r="B45" s="9">
        <v>1</v>
      </c>
      <c r="C45" s="9"/>
      <c r="D45" s="10">
        <v>16.858974358974358</v>
      </c>
      <c r="E45" s="10">
        <f t="shared" si="0"/>
        <v>5.8589743589743577</v>
      </c>
      <c r="G45" s="10">
        <f t="shared" si="1"/>
        <v>3.6339616015446226E-2</v>
      </c>
      <c r="L45" s="10"/>
    </row>
    <row r="46" spans="1:12" x14ac:dyDescent="0.2">
      <c r="A46" s="9">
        <v>15</v>
      </c>
      <c r="B46" s="9">
        <v>1</v>
      </c>
      <c r="C46" s="9"/>
      <c r="D46" s="10">
        <v>16.858974358974358</v>
      </c>
      <c r="E46" s="10">
        <f t="shared" si="0"/>
        <v>1.8589743589743577</v>
      </c>
      <c r="G46" s="10">
        <f t="shared" si="1"/>
        <v>8.5208821600122359E-2</v>
      </c>
      <c r="L46" s="10"/>
    </row>
    <row r="47" spans="1:12" x14ac:dyDescent="0.2">
      <c r="A47" s="9">
        <v>15</v>
      </c>
      <c r="B47" s="9">
        <v>1</v>
      </c>
      <c r="C47" s="9"/>
      <c r="D47" s="10">
        <v>16.858974358974358</v>
      </c>
      <c r="E47" s="10">
        <f t="shared" si="0"/>
        <v>1.8589743589743577</v>
      </c>
      <c r="G47" s="10">
        <f t="shared" si="1"/>
        <v>8.5208821600122359E-2</v>
      </c>
      <c r="L47" s="10"/>
    </row>
    <row r="48" spans="1:12" x14ac:dyDescent="0.2">
      <c r="A48" s="9">
        <v>16</v>
      </c>
      <c r="B48" s="9">
        <v>1</v>
      </c>
      <c r="C48" s="9"/>
      <c r="D48" s="10">
        <v>16.858974358974358</v>
      </c>
      <c r="E48" s="10">
        <f t="shared" si="0"/>
        <v>0.8589743589743577</v>
      </c>
      <c r="G48" s="10">
        <f t="shared" si="1"/>
        <v>9.1847742433773194E-2</v>
      </c>
      <c r="L48" s="10"/>
    </row>
    <row r="49" spans="1:12" x14ac:dyDescent="0.2">
      <c r="A49" s="9">
        <v>16</v>
      </c>
      <c r="B49" s="9">
        <v>1</v>
      </c>
      <c r="C49" s="9"/>
      <c r="D49" s="10">
        <v>16.858974358974358</v>
      </c>
      <c r="E49" s="10">
        <f t="shared" si="0"/>
        <v>0.8589743589743577</v>
      </c>
      <c r="G49" s="10">
        <f t="shared" si="1"/>
        <v>9.1847742433773194E-2</v>
      </c>
      <c r="L49" s="10"/>
    </row>
    <row r="50" spans="1:12" x14ac:dyDescent="0.2">
      <c r="A50" s="9">
        <v>15</v>
      </c>
      <c r="B50" s="9">
        <v>1</v>
      </c>
      <c r="C50" s="9"/>
      <c r="D50" s="10">
        <v>16.858974358974358</v>
      </c>
      <c r="E50" s="10">
        <f t="shared" si="0"/>
        <v>1.8589743589743577</v>
      </c>
      <c r="G50" s="10">
        <f t="shared" si="1"/>
        <v>8.5208821600122359E-2</v>
      </c>
      <c r="L50" s="10"/>
    </row>
    <row r="51" spans="1:12" x14ac:dyDescent="0.2">
      <c r="A51" s="9">
        <v>14</v>
      </c>
      <c r="B51" s="9">
        <v>1</v>
      </c>
      <c r="C51" s="9"/>
      <c r="D51" s="10">
        <v>16.858974358974358</v>
      </c>
      <c r="E51" s="10">
        <f t="shared" si="0"/>
        <v>2.8589743589743577</v>
      </c>
      <c r="G51" s="10">
        <f t="shared" si="1"/>
        <v>7.4803820711623142E-2</v>
      </c>
      <c r="L51" s="10"/>
    </row>
    <row r="52" spans="1:12" x14ac:dyDescent="0.2">
      <c r="A52" s="9">
        <v>13</v>
      </c>
      <c r="B52" s="9">
        <v>1</v>
      </c>
      <c r="C52" s="9"/>
      <c r="D52" s="10">
        <v>16.858974358974358</v>
      </c>
      <c r="E52" s="10">
        <f t="shared" si="0"/>
        <v>3.8589743589743577</v>
      </c>
      <c r="G52" s="10">
        <f t="shared" si="1"/>
        <v>6.2142132155231941E-2</v>
      </c>
      <c r="L52" s="10"/>
    </row>
    <row r="53" spans="1:12" x14ac:dyDescent="0.2">
      <c r="A53" s="9">
        <v>14</v>
      </c>
      <c r="B53" s="9">
        <v>1</v>
      </c>
      <c r="C53" s="9"/>
      <c r="D53" s="10">
        <v>16.858974358974358</v>
      </c>
      <c r="E53" s="10">
        <f t="shared" si="0"/>
        <v>2.8589743589743577</v>
      </c>
      <c r="G53" s="10">
        <f t="shared" si="1"/>
        <v>7.4803820711623142E-2</v>
      </c>
      <c r="L53" s="10"/>
    </row>
    <row r="54" spans="1:12" x14ac:dyDescent="0.2">
      <c r="A54" s="9">
        <v>14</v>
      </c>
      <c r="B54" s="9">
        <v>1</v>
      </c>
      <c r="C54" s="9"/>
      <c r="D54" s="10">
        <v>16.858974358974358</v>
      </c>
      <c r="E54" s="10">
        <f t="shared" si="0"/>
        <v>2.8589743589743577</v>
      </c>
      <c r="G54" s="10">
        <f t="shared" si="1"/>
        <v>7.4803820711623142E-2</v>
      </c>
      <c r="L54" s="10"/>
    </row>
    <row r="55" spans="1:12" x14ac:dyDescent="0.2">
      <c r="A55" s="9">
        <v>14</v>
      </c>
      <c r="B55" s="9">
        <v>1</v>
      </c>
      <c r="C55" s="9"/>
      <c r="D55" s="10">
        <v>16.858974358974358</v>
      </c>
      <c r="E55" s="10">
        <f t="shared" si="0"/>
        <v>2.8589743589743577</v>
      </c>
      <c r="G55" s="10">
        <f t="shared" si="1"/>
        <v>7.4803820711623142E-2</v>
      </c>
      <c r="L55" s="10"/>
    </row>
    <row r="56" spans="1:12" x14ac:dyDescent="0.2">
      <c r="A56" s="9">
        <v>9</v>
      </c>
      <c r="B56" s="9">
        <v>1</v>
      </c>
      <c r="C56" s="9"/>
      <c r="D56" s="10">
        <v>16.858974358974358</v>
      </c>
      <c r="E56" s="10">
        <f t="shared" si="0"/>
        <v>7.8589743589743577</v>
      </c>
      <c r="G56" s="10">
        <f t="shared" si="1"/>
        <v>1.7039902700084295E-2</v>
      </c>
      <c r="L56" s="10"/>
    </row>
    <row r="57" spans="1:12" x14ac:dyDescent="0.2">
      <c r="A57" s="9">
        <v>11</v>
      </c>
      <c r="B57" s="9">
        <v>1</v>
      </c>
      <c r="C57" s="9"/>
      <c r="D57" s="10">
        <v>16.858974358974358</v>
      </c>
      <c r="E57" s="10">
        <f t="shared" si="0"/>
        <v>5.8589743589743577</v>
      </c>
      <c r="G57" s="10">
        <f t="shared" si="1"/>
        <v>3.6339616015446226E-2</v>
      </c>
      <c r="L57" s="10"/>
    </row>
    <row r="58" spans="1:12" x14ac:dyDescent="0.2">
      <c r="A58" s="9">
        <v>11</v>
      </c>
      <c r="B58" s="9">
        <v>1</v>
      </c>
      <c r="C58" s="9"/>
      <c r="D58" s="10">
        <v>16.858974358974358</v>
      </c>
      <c r="E58" s="10">
        <f t="shared" si="0"/>
        <v>5.8589743589743577</v>
      </c>
      <c r="G58" s="10">
        <f t="shared" si="1"/>
        <v>3.6339616015446226E-2</v>
      </c>
      <c r="L58" s="10"/>
    </row>
    <row r="59" spans="1:12" x14ac:dyDescent="0.2">
      <c r="A59" s="9">
        <v>13</v>
      </c>
      <c r="B59" s="9">
        <v>1</v>
      </c>
      <c r="C59" s="9"/>
      <c r="D59" s="10">
        <v>16.858974358974358</v>
      </c>
      <c r="E59" s="10">
        <f t="shared" si="0"/>
        <v>3.8589743589743577</v>
      </c>
      <c r="G59" s="10">
        <f t="shared" si="1"/>
        <v>6.2142132155231941E-2</v>
      </c>
      <c r="L59" s="10"/>
    </row>
    <row r="60" spans="1:12" x14ac:dyDescent="0.2">
      <c r="A60" s="9">
        <v>13</v>
      </c>
      <c r="B60" s="9">
        <v>1</v>
      </c>
      <c r="C60" s="9"/>
      <c r="D60" s="10">
        <v>16.858974358974358</v>
      </c>
      <c r="E60" s="10">
        <f t="shared" si="0"/>
        <v>3.8589743589743577</v>
      </c>
      <c r="G60" s="10">
        <f t="shared" si="1"/>
        <v>6.2142132155231941E-2</v>
      </c>
      <c r="L60" s="10"/>
    </row>
    <row r="61" spans="1:12" x14ac:dyDescent="0.2">
      <c r="A61" s="9">
        <v>9</v>
      </c>
      <c r="B61" s="9">
        <v>1</v>
      </c>
      <c r="C61" s="9"/>
      <c r="D61" s="10">
        <v>16.858974358974358</v>
      </c>
      <c r="E61" s="10">
        <f t="shared" si="0"/>
        <v>7.8589743589743577</v>
      </c>
      <c r="G61" s="10">
        <f t="shared" si="1"/>
        <v>1.7039902700084295E-2</v>
      </c>
      <c r="L61" s="10"/>
    </row>
    <row r="62" spans="1:12" x14ac:dyDescent="0.2">
      <c r="A62" s="9">
        <v>13</v>
      </c>
      <c r="B62" s="9">
        <v>1</v>
      </c>
      <c r="C62" s="9"/>
      <c r="D62" s="10">
        <v>16.858974358974358</v>
      </c>
      <c r="E62" s="10">
        <f t="shared" si="0"/>
        <v>3.8589743589743577</v>
      </c>
      <c r="G62" s="10">
        <f t="shared" si="1"/>
        <v>6.2142132155231941E-2</v>
      </c>
      <c r="L62" s="10"/>
    </row>
    <row r="63" spans="1:12" x14ac:dyDescent="0.2">
      <c r="A63" s="9">
        <v>11</v>
      </c>
      <c r="B63" s="9">
        <v>1</v>
      </c>
      <c r="C63" s="9"/>
      <c r="D63" s="10">
        <v>16.858974358974358</v>
      </c>
      <c r="E63" s="10">
        <f t="shared" si="0"/>
        <v>5.8589743589743577</v>
      </c>
      <c r="G63" s="10">
        <f t="shared" si="1"/>
        <v>3.6339616015446226E-2</v>
      </c>
      <c r="L63" s="10"/>
    </row>
    <row r="64" spans="1:12" x14ac:dyDescent="0.2">
      <c r="A64" s="9">
        <v>13</v>
      </c>
      <c r="B64" s="9">
        <v>1</v>
      </c>
      <c r="C64" s="9"/>
      <c r="D64" s="10">
        <v>16.858974358974358</v>
      </c>
      <c r="E64" s="10">
        <f t="shared" si="0"/>
        <v>3.8589743589743577</v>
      </c>
      <c r="G64" s="10">
        <f t="shared" si="1"/>
        <v>6.2142132155231941E-2</v>
      </c>
      <c r="L64" s="10"/>
    </row>
    <row r="65" spans="1:12" x14ac:dyDescent="0.2">
      <c r="A65" s="9">
        <v>11</v>
      </c>
      <c r="B65" s="9">
        <v>1</v>
      </c>
      <c r="C65" s="9"/>
      <c r="D65" s="10">
        <v>16.858974358974358</v>
      </c>
      <c r="E65" s="10">
        <f t="shared" si="0"/>
        <v>5.8589743589743577</v>
      </c>
      <c r="G65" s="10">
        <f t="shared" si="1"/>
        <v>3.6339616015446226E-2</v>
      </c>
      <c r="L65" s="10"/>
    </row>
    <row r="66" spans="1:12" x14ac:dyDescent="0.2">
      <c r="A66" s="9">
        <v>12</v>
      </c>
      <c r="B66" s="9">
        <v>1</v>
      </c>
      <c r="C66" s="9"/>
      <c r="D66" s="10">
        <v>16.858974358974358</v>
      </c>
      <c r="E66" s="10">
        <f t="shared" si="0"/>
        <v>4.8589743589743577</v>
      </c>
      <c r="G66" s="10">
        <f t="shared" si="1"/>
        <v>4.8850798619149906E-2</v>
      </c>
      <c r="L66" s="10"/>
    </row>
    <row r="67" spans="1:12" x14ac:dyDescent="0.2">
      <c r="A67" s="9">
        <v>9</v>
      </c>
      <c r="B67" s="9">
        <v>1</v>
      </c>
      <c r="C67" s="9"/>
      <c r="D67" s="10">
        <v>16.858974358974358</v>
      </c>
      <c r="E67" s="10">
        <f t="shared" ref="E67:E130" si="2">D67-A67</f>
        <v>7.8589743589743577</v>
      </c>
      <c r="G67" s="10">
        <f t="shared" ref="G67:G130" si="3">_xlfn.NORM.DIST(E67,0,$F$2,FALSE)</f>
        <v>1.7039902700084295E-2</v>
      </c>
      <c r="L67" s="10"/>
    </row>
    <row r="68" spans="1:12" x14ac:dyDescent="0.2">
      <c r="A68" s="9">
        <v>13</v>
      </c>
      <c r="B68" s="9">
        <v>1</v>
      </c>
      <c r="C68" s="9"/>
      <c r="D68" s="10">
        <v>16.858974358974358</v>
      </c>
      <c r="E68" s="10">
        <f t="shared" si="2"/>
        <v>3.8589743589743577</v>
      </c>
      <c r="G68" s="10">
        <f t="shared" si="3"/>
        <v>6.2142132155231941E-2</v>
      </c>
      <c r="L68" s="10"/>
    </row>
    <row r="69" spans="1:12" x14ac:dyDescent="0.2">
      <c r="A69" s="9">
        <v>13</v>
      </c>
      <c r="B69" s="9">
        <v>1</v>
      </c>
      <c r="C69" s="9"/>
      <c r="D69" s="10">
        <v>16.858974358974358</v>
      </c>
      <c r="E69" s="10">
        <f t="shared" si="2"/>
        <v>3.8589743589743577</v>
      </c>
      <c r="G69" s="10">
        <f t="shared" si="3"/>
        <v>6.2142132155231941E-2</v>
      </c>
      <c r="L69" s="10"/>
    </row>
    <row r="70" spans="1:12" x14ac:dyDescent="0.2">
      <c r="A70" s="9">
        <v>12</v>
      </c>
      <c r="B70" s="9">
        <v>1</v>
      </c>
      <c r="C70" s="9"/>
      <c r="D70" s="10">
        <v>16.858974358974358</v>
      </c>
      <c r="E70" s="10">
        <f t="shared" si="2"/>
        <v>4.8589743589743577</v>
      </c>
      <c r="G70" s="10">
        <f t="shared" si="3"/>
        <v>4.8850798619149906E-2</v>
      </c>
      <c r="L70" s="10"/>
    </row>
    <row r="71" spans="1:12" x14ac:dyDescent="0.2">
      <c r="A71" s="9">
        <v>9</v>
      </c>
      <c r="B71" s="9">
        <v>1</v>
      </c>
      <c r="C71" s="9"/>
      <c r="D71" s="10">
        <v>16.858974358974358</v>
      </c>
      <c r="E71" s="10">
        <f t="shared" si="2"/>
        <v>7.8589743589743577</v>
      </c>
      <c r="G71" s="10">
        <f t="shared" si="3"/>
        <v>1.7039902700084295E-2</v>
      </c>
      <c r="L71" s="10"/>
    </row>
    <row r="72" spans="1:12" x14ac:dyDescent="0.2">
      <c r="A72" s="9">
        <v>11</v>
      </c>
      <c r="B72" s="9">
        <v>1</v>
      </c>
      <c r="C72" s="9"/>
      <c r="D72" s="10">
        <v>16.858974358974358</v>
      </c>
      <c r="E72" s="10">
        <f t="shared" si="2"/>
        <v>5.8589743589743577</v>
      </c>
      <c r="G72" s="10">
        <f t="shared" si="3"/>
        <v>3.6339616015446226E-2</v>
      </c>
      <c r="L72" s="10"/>
    </row>
    <row r="73" spans="1:12" x14ac:dyDescent="0.2">
      <c r="A73" s="9">
        <v>11</v>
      </c>
      <c r="B73" s="9">
        <v>1</v>
      </c>
      <c r="C73" s="9"/>
      <c r="D73" s="10">
        <v>16.858974358974358</v>
      </c>
      <c r="E73" s="10">
        <f t="shared" si="2"/>
        <v>5.8589743589743577</v>
      </c>
      <c r="G73" s="10">
        <f t="shared" si="3"/>
        <v>3.6339616015446226E-2</v>
      </c>
      <c r="L73" s="10"/>
    </row>
    <row r="74" spans="1:12" x14ac:dyDescent="0.2">
      <c r="A74" s="9">
        <v>13</v>
      </c>
      <c r="B74" s="9">
        <v>1</v>
      </c>
      <c r="C74" s="9"/>
      <c r="D74" s="10">
        <v>16.858974358974358</v>
      </c>
      <c r="E74" s="10">
        <f t="shared" si="2"/>
        <v>3.8589743589743577</v>
      </c>
      <c r="G74" s="10">
        <f t="shared" si="3"/>
        <v>6.2142132155231941E-2</v>
      </c>
      <c r="L74" s="10"/>
    </row>
    <row r="75" spans="1:12" x14ac:dyDescent="0.2">
      <c r="A75" s="9">
        <v>11</v>
      </c>
      <c r="B75" s="9">
        <v>1</v>
      </c>
      <c r="C75" s="9"/>
      <c r="D75" s="10">
        <v>16.858974358974358</v>
      </c>
      <c r="E75" s="10">
        <f t="shared" si="2"/>
        <v>5.8589743589743577</v>
      </c>
      <c r="G75" s="10">
        <f t="shared" si="3"/>
        <v>3.6339616015446226E-2</v>
      </c>
      <c r="L75" s="10"/>
    </row>
    <row r="76" spans="1:12" x14ac:dyDescent="0.2">
      <c r="A76" s="9">
        <v>11</v>
      </c>
      <c r="B76" s="9">
        <v>1</v>
      </c>
      <c r="C76" s="9"/>
      <c r="D76" s="10">
        <v>16.858974358974358</v>
      </c>
      <c r="E76" s="10">
        <f t="shared" si="2"/>
        <v>5.8589743589743577</v>
      </c>
      <c r="G76" s="10">
        <f t="shared" si="3"/>
        <v>3.6339616015446226E-2</v>
      </c>
      <c r="L76" s="10"/>
    </row>
    <row r="77" spans="1:12" x14ac:dyDescent="0.2">
      <c r="A77" s="9">
        <v>11</v>
      </c>
      <c r="B77" s="9">
        <v>1</v>
      </c>
      <c r="C77" s="9"/>
      <c r="D77" s="10">
        <v>16.858974358974358</v>
      </c>
      <c r="E77" s="10">
        <f t="shared" si="2"/>
        <v>5.8589743589743577</v>
      </c>
      <c r="G77" s="10">
        <f t="shared" si="3"/>
        <v>3.6339616015446226E-2</v>
      </c>
      <c r="L77" s="10"/>
    </row>
    <row r="78" spans="1:12" x14ac:dyDescent="0.2">
      <c r="A78" s="9">
        <v>12</v>
      </c>
      <c r="B78" s="9">
        <v>1</v>
      </c>
      <c r="C78" s="9"/>
      <c r="D78" s="10">
        <v>16.858974358974358</v>
      </c>
      <c r="E78" s="10">
        <f t="shared" si="2"/>
        <v>4.8589743589743577</v>
      </c>
      <c r="G78" s="10">
        <f t="shared" si="3"/>
        <v>4.8850798619149906E-2</v>
      </c>
      <c r="L78" s="10"/>
    </row>
    <row r="79" spans="1:12" x14ac:dyDescent="0.2">
      <c r="A79" s="9">
        <v>14</v>
      </c>
      <c r="B79" s="9">
        <v>1</v>
      </c>
      <c r="C79" s="9"/>
      <c r="D79" s="10">
        <v>16.858974358974358</v>
      </c>
      <c r="E79" s="10">
        <f t="shared" si="2"/>
        <v>2.8589743589743577</v>
      </c>
      <c r="G79" s="10">
        <f t="shared" si="3"/>
        <v>7.4803820711623142E-2</v>
      </c>
      <c r="L79" s="10"/>
    </row>
    <row r="80" spans="1:12" x14ac:dyDescent="0.2">
      <c r="A80" s="9">
        <v>15</v>
      </c>
      <c r="B80" s="9">
        <v>1</v>
      </c>
      <c r="C80" s="9"/>
      <c r="D80" s="10">
        <v>16.858974358974358</v>
      </c>
      <c r="E80" s="10">
        <f t="shared" si="2"/>
        <v>1.8589743589743577</v>
      </c>
      <c r="G80" s="10">
        <f t="shared" si="3"/>
        <v>8.5208821600122359E-2</v>
      </c>
      <c r="L80" s="10"/>
    </row>
    <row r="81" spans="1:12" x14ac:dyDescent="0.2">
      <c r="A81" s="9">
        <v>14</v>
      </c>
      <c r="B81" s="9">
        <v>1</v>
      </c>
      <c r="C81" s="9"/>
      <c r="D81" s="10">
        <v>16.858974358974358</v>
      </c>
      <c r="E81" s="10">
        <f t="shared" si="2"/>
        <v>2.8589743589743577</v>
      </c>
      <c r="G81" s="10">
        <f t="shared" si="3"/>
        <v>7.4803820711623142E-2</v>
      </c>
      <c r="L81" s="10"/>
    </row>
    <row r="82" spans="1:12" x14ac:dyDescent="0.2">
      <c r="A82" s="9">
        <v>13</v>
      </c>
      <c r="B82" s="9">
        <v>1</v>
      </c>
      <c r="C82" s="9"/>
      <c r="D82" s="10">
        <v>16.858974358974358</v>
      </c>
      <c r="E82" s="10">
        <f t="shared" si="2"/>
        <v>3.8589743589743577</v>
      </c>
      <c r="G82" s="10">
        <f t="shared" si="3"/>
        <v>6.2142132155231941E-2</v>
      </c>
      <c r="L82" s="10"/>
    </row>
    <row r="83" spans="1:12" x14ac:dyDescent="0.2">
      <c r="A83" s="9">
        <v>13</v>
      </c>
      <c r="B83" s="9">
        <v>1</v>
      </c>
      <c r="C83" s="9"/>
      <c r="D83" s="10">
        <v>16.858974358974358</v>
      </c>
      <c r="E83" s="10">
        <f t="shared" si="2"/>
        <v>3.8589743589743577</v>
      </c>
      <c r="G83" s="10">
        <f t="shared" si="3"/>
        <v>6.2142132155231941E-2</v>
      </c>
      <c r="L83" s="10"/>
    </row>
    <row r="84" spans="1:12" x14ac:dyDescent="0.2">
      <c r="A84" s="9">
        <v>13</v>
      </c>
      <c r="B84" s="9">
        <v>1</v>
      </c>
      <c r="C84" s="9"/>
      <c r="D84" s="10">
        <v>16.858974358974358</v>
      </c>
      <c r="E84" s="10">
        <f t="shared" si="2"/>
        <v>3.8589743589743577</v>
      </c>
      <c r="G84" s="10">
        <f t="shared" si="3"/>
        <v>6.2142132155231941E-2</v>
      </c>
      <c r="L84" s="10"/>
    </row>
    <row r="85" spans="1:12" x14ac:dyDescent="0.2">
      <c r="A85" s="9">
        <v>14</v>
      </c>
      <c r="B85" s="9">
        <v>1</v>
      </c>
      <c r="C85" s="9"/>
      <c r="D85" s="10">
        <v>16.858974358974358</v>
      </c>
      <c r="E85" s="10">
        <f t="shared" si="2"/>
        <v>2.8589743589743577</v>
      </c>
      <c r="G85" s="10">
        <f t="shared" si="3"/>
        <v>7.4803820711623142E-2</v>
      </c>
      <c r="L85" s="10"/>
    </row>
    <row r="86" spans="1:12" x14ac:dyDescent="0.2">
      <c r="A86" s="9">
        <v>14</v>
      </c>
      <c r="B86" s="9">
        <v>1</v>
      </c>
      <c r="C86" s="9"/>
      <c r="D86" s="10">
        <v>16.858974358974358</v>
      </c>
      <c r="E86" s="10">
        <f t="shared" si="2"/>
        <v>2.8589743589743577</v>
      </c>
      <c r="G86" s="10">
        <f t="shared" si="3"/>
        <v>7.4803820711623142E-2</v>
      </c>
      <c r="L86" s="10"/>
    </row>
    <row r="87" spans="1:12" x14ac:dyDescent="0.2">
      <c r="A87" s="9">
        <v>13</v>
      </c>
      <c r="B87" s="9">
        <v>1</v>
      </c>
      <c r="C87" s="9"/>
      <c r="D87" s="10">
        <v>16.858974358974358</v>
      </c>
      <c r="E87" s="10">
        <f t="shared" si="2"/>
        <v>3.8589743589743577</v>
      </c>
      <c r="G87" s="10">
        <f t="shared" si="3"/>
        <v>6.2142132155231941E-2</v>
      </c>
      <c r="L87" s="10"/>
    </row>
    <row r="88" spans="1:12" x14ac:dyDescent="0.2">
      <c r="A88" s="9">
        <v>13</v>
      </c>
      <c r="B88" s="9">
        <v>1</v>
      </c>
      <c r="C88" s="9"/>
      <c r="D88" s="10">
        <v>16.858974358974358</v>
      </c>
      <c r="E88" s="10">
        <f t="shared" si="2"/>
        <v>3.8589743589743577</v>
      </c>
      <c r="G88" s="10">
        <f t="shared" si="3"/>
        <v>6.2142132155231941E-2</v>
      </c>
      <c r="L88" s="10"/>
    </row>
    <row r="89" spans="1:12" x14ac:dyDescent="0.2">
      <c r="A89" s="9">
        <v>13</v>
      </c>
      <c r="B89" s="9">
        <v>1</v>
      </c>
      <c r="C89" s="9"/>
      <c r="D89" s="10">
        <v>16.858974358974358</v>
      </c>
      <c r="E89" s="10">
        <f t="shared" si="2"/>
        <v>3.8589743589743577</v>
      </c>
      <c r="G89" s="10">
        <f t="shared" si="3"/>
        <v>6.2142132155231941E-2</v>
      </c>
      <c r="L89" s="10"/>
    </row>
    <row r="90" spans="1:12" x14ac:dyDescent="0.2">
      <c r="A90" s="9">
        <v>11</v>
      </c>
      <c r="B90" s="9">
        <v>1</v>
      </c>
      <c r="C90" s="9"/>
      <c r="D90" s="10">
        <v>16.858974358974358</v>
      </c>
      <c r="E90" s="10">
        <f t="shared" si="2"/>
        <v>5.8589743589743577</v>
      </c>
      <c r="G90" s="10">
        <f t="shared" si="3"/>
        <v>3.6339616015446226E-2</v>
      </c>
      <c r="L90" s="10"/>
    </row>
    <row r="91" spans="1:12" x14ac:dyDescent="0.2">
      <c r="A91" s="9">
        <v>13</v>
      </c>
      <c r="B91" s="9">
        <v>1</v>
      </c>
      <c r="C91" s="9"/>
      <c r="D91" s="10">
        <v>16.858974358974358</v>
      </c>
      <c r="E91" s="10">
        <f t="shared" si="2"/>
        <v>3.8589743589743577</v>
      </c>
      <c r="G91" s="10">
        <f t="shared" si="3"/>
        <v>6.2142132155231941E-2</v>
      </c>
      <c r="L91" s="10"/>
    </row>
    <row r="92" spans="1:12" x14ac:dyDescent="0.2">
      <c r="A92" s="9">
        <v>18</v>
      </c>
      <c r="B92" s="9">
        <v>1</v>
      </c>
      <c r="C92" s="9"/>
      <c r="D92" s="10">
        <v>16.858974358974358</v>
      </c>
      <c r="E92" s="10">
        <f t="shared" si="2"/>
        <v>-1.1410256410256423</v>
      </c>
      <c r="G92" s="10">
        <f t="shared" si="3"/>
        <v>9.0428595220514676E-2</v>
      </c>
      <c r="L92" s="10"/>
    </row>
    <row r="93" spans="1:12" x14ac:dyDescent="0.2">
      <c r="A93" s="9">
        <v>18</v>
      </c>
      <c r="B93" s="9">
        <v>1</v>
      </c>
      <c r="C93" s="9"/>
      <c r="D93" s="10">
        <v>16.858974358974358</v>
      </c>
      <c r="E93" s="10">
        <f t="shared" si="2"/>
        <v>-1.1410256410256423</v>
      </c>
      <c r="G93" s="10">
        <f t="shared" si="3"/>
        <v>9.0428595220514676E-2</v>
      </c>
      <c r="L93" s="10"/>
    </row>
    <row r="94" spans="1:12" x14ac:dyDescent="0.2">
      <c r="A94" s="9">
        <v>17</v>
      </c>
      <c r="B94" s="9">
        <v>1</v>
      </c>
      <c r="C94" s="9"/>
      <c r="D94" s="10">
        <v>16.858974358974358</v>
      </c>
      <c r="E94" s="10">
        <f t="shared" si="2"/>
        <v>-0.1410256410256423</v>
      </c>
      <c r="G94" s="10">
        <f t="shared" si="3"/>
        <v>9.3686186441259228E-2</v>
      </c>
      <c r="L94" s="10"/>
    </row>
    <row r="95" spans="1:12" x14ac:dyDescent="0.2">
      <c r="A95" s="9">
        <v>16</v>
      </c>
      <c r="B95" s="9">
        <v>1</v>
      </c>
      <c r="C95" s="9"/>
      <c r="D95" s="10">
        <v>16.858974358974358</v>
      </c>
      <c r="E95" s="10">
        <f t="shared" si="2"/>
        <v>0.8589743589743577</v>
      </c>
      <c r="G95" s="10">
        <f t="shared" si="3"/>
        <v>9.1847742433773194E-2</v>
      </c>
      <c r="L95" s="10"/>
    </row>
    <row r="96" spans="1:12" x14ac:dyDescent="0.2">
      <c r="A96" s="9">
        <v>15</v>
      </c>
      <c r="B96" s="9">
        <v>1</v>
      </c>
      <c r="C96" s="9"/>
      <c r="D96" s="10">
        <v>16.858974358974358</v>
      </c>
      <c r="E96" s="10">
        <f t="shared" si="2"/>
        <v>1.8589743589743577</v>
      </c>
      <c r="G96" s="10">
        <f t="shared" si="3"/>
        <v>8.5208821600122359E-2</v>
      </c>
      <c r="L96" s="10"/>
    </row>
    <row r="97" spans="1:12" x14ac:dyDescent="0.2">
      <c r="A97" s="9">
        <v>15</v>
      </c>
      <c r="B97" s="9">
        <v>1</v>
      </c>
      <c r="C97" s="9"/>
      <c r="D97" s="10">
        <v>16.858974358974358</v>
      </c>
      <c r="E97" s="10">
        <f t="shared" si="2"/>
        <v>1.8589743589743577</v>
      </c>
      <c r="G97" s="10">
        <f t="shared" si="3"/>
        <v>8.5208821600122359E-2</v>
      </c>
      <c r="L97" s="10"/>
    </row>
    <row r="98" spans="1:12" x14ac:dyDescent="0.2">
      <c r="A98" s="9">
        <v>15</v>
      </c>
      <c r="B98" s="9">
        <v>1</v>
      </c>
      <c r="C98" s="9"/>
      <c r="D98" s="10">
        <v>16.858974358974358</v>
      </c>
      <c r="E98" s="10">
        <f t="shared" si="2"/>
        <v>1.8589743589743577</v>
      </c>
      <c r="G98" s="10">
        <f t="shared" si="3"/>
        <v>8.5208821600122359E-2</v>
      </c>
      <c r="L98" s="10"/>
    </row>
    <row r="99" spans="1:12" x14ac:dyDescent="0.2">
      <c r="A99" s="9">
        <v>15</v>
      </c>
      <c r="B99" s="9">
        <v>1</v>
      </c>
      <c r="C99" s="9"/>
      <c r="D99" s="10">
        <v>16.858974358974358</v>
      </c>
      <c r="E99" s="10">
        <f t="shared" si="2"/>
        <v>1.8589743589743577</v>
      </c>
      <c r="G99" s="10">
        <f t="shared" si="3"/>
        <v>8.5208821600122359E-2</v>
      </c>
      <c r="L99" s="10"/>
    </row>
    <row r="100" spans="1:12" x14ac:dyDescent="0.2">
      <c r="A100" s="9">
        <v>14</v>
      </c>
      <c r="B100" s="9">
        <v>1</v>
      </c>
      <c r="C100" s="9"/>
      <c r="D100" s="10">
        <v>16.858974358974358</v>
      </c>
      <c r="E100" s="10">
        <f t="shared" si="2"/>
        <v>2.8589743589743577</v>
      </c>
      <c r="G100" s="10">
        <f t="shared" si="3"/>
        <v>7.4803820711623142E-2</v>
      </c>
      <c r="L100" s="10"/>
    </row>
    <row r="101" spans="1:12" x14ac:dyDescent="0.2">
      <c r="A101" s="9">
        <v>28</v>
      </c>
      <c r="B101" s="9">
        <v>1</v>
      </c>
      <c r="C101" s="9"/>
      <c r="D101" s="10">
        <v>16.858974358974358</v>
      </c>
      <c r="E101" s="10">
        <f t="shared" si="2"/>
        <v>-11.141025641025642</v>
      </c>
      <c r="G101" s="10">
        <f t="shared" si="3"/>
        <v>3.0470611306731058E-3</v>
      </c>
      <c r="L101" s="10"/>
    </row>
    <row r="102" spans="1:12" x14ac:dyDescent="0.2">
      <c r="A102" s="9">
        <v>24</v>
      </c>
      <c r="B102" s="9">
        <v>1</v>
      </c>
      <c r="C102" s="9"/>
      <c r="D102" s="10">
        <v>16.858974358974358</v>
      </c>
      <c r="E102" s="10">
        <f t="shared" si="2"/>
        <v>-7.1410256410256423</v>
      </c>
      <c r="G102" s="10">
        <f t="shared" si="3"/>
        <v>2.293893420103504E-2</v>
      </c>
      <c r="L102" s="10"/>
    </row>
    <row r="103" spans="1:12" x14ac:dyDescent="0.2">
      <c r="A103" s="9">
        <v>25</v>
      </c>
      <c r="B103" s="9">
        <v>1</v>
      </c>
      <c r="C103" s="9"/>
      <c r="D103" s="10">
        <v>16.858974358974358</v>
      </c>
      <c r="E103" s="10">
        <f t="shared" si="2"/>
        <v>-8.1410256410256423</v>
      </c>
      <c r="G103" s="10">
        <f t="shared" si="3"/>
        <v>1.5044075220828471E-2</v>
      </c>
      <c r="L103" s="10"/>
    </row>
    <row r="104" spans="1:12" x14ac:dyDescent="0.2">
      <c r="A104" s="9">
        <v>23</v>
      </c>
      <c r="B104" s="9">
        <v>1</v>
      </c>
      <c r="C104" s="9"/>
      <c r="D104" s="10">
        <v>16.858974358974358</v>
      </c>
      <c r="E104" s="10">
        <f t="shared" si="2"/>
        <v>-6.1410256410256423</v>
      </c>
      <c r="G104" s="10">
        <f t="shared" si="3"/>
        <v>3.3098180744967454E-2</v>
      </c>
      <c r="L104" s="10"/>
    </row>
    <row r="105" spans="1:12" x14ac:dyDescent="0.2">
      <c r="A105" s="9">
        <v>24</v>
      </c>
      <c r="B105" s="9">
        <v>1</v>
      </c>
      <c r="C105" s="9"/>
      <c r="D105" s="10">
        <v>16.858974358974358</v>
      </c>
      <c r="E105" s="10">
        <f t="shared" si="2"/>
        <v>-7.1410256410256423</v>
      </c>
      <c r="G105" s="10">
        <f t="shared" si="3"/>
        <v>2.293893420103504E-2</v>
      </c>
      <c r="L105" s="10"/>
    </row>
    <row r="106" spans="1:12" x14ac:dyDescent="0.2">
      <c r="A106" s="9">
        <v>26</v>
      </c>
      <c r="B106" s="9">
        <v>1</v>
      </c>
      <c r="C106" s="9"/>
      <c r="D106" s="10">
        <v>16.858974358974358</v>
      </c>
      <c r="E106" s="10">
        <f t="shared" si="2"/>
        <v>-9.1410256410256423</v>
      </c>
      <c r="G106" s="10">
        <f t="shared" si="3"/>
        <v>9.3364312813032559E-3</v>
      </c>
      <c r="L106" s="10"/>
    </row>
    <row r="107" spans="1:12" x14ac:dyDescent="0.2">
      <c r="A107" s="9">
        <v>25</v>
      </c>
      <c r="B107" s="9">
        <v>1</v>
      </c>
      <c r="C107" s="9"/>
      <c r="D107" s="10">
        <v>16.858974358974358</v>
      </c>
      <c r="E107" s="10">
        <f t="shared" si="2"/>
        <v>-8.1410256410256423</v>
      </c>
      <c r="G107" s="10">
        <f t="shared" si="3"/>
        <v>1.5044075220828471E-2</v>
      </c>
      <c r="L107" s="10"/>
    </row>
    <row r="108" spans="1:12" x14ac:dyDescent="0.2">
      <c r="A108" s="9">
        <v>24</v>
      </c>
      <c r="B108" s="9">
        <v>1</v>
      </c>
      <c r="C108" s="9"/>
      <c r="D108" s="10">
        <v>16.858974358974358</v>
      </c>
      <c r="E108" s="10">
        <f t="shared" si="2"/>
        <v>-7.1410256410256423</v>
      </c>
      <c r="G108" s="10">
        <f t="shared" si="3"/>
        <v>2.293893420103504E-2</v>
      </c>
      <c r="L108" s="10"/>
    </row>
    <row r="109" spans="1:12" x14ac:dyDescent="0.2">
      <c r="A109" s="9">
        <v>21</v>
      </c>
      <c r="B109" s="9">
        <v>1</v>
      </c>
      <c r="C109" s="9"/>
      <c r="D109" s="10">
        <v>16.858974358974358</v>
      </c>
      <c r="E109" s="10">
        <f t="shared" si="2"/>
        <v>-4.1410256410256423</v>
      </c>
      <c r="G109" s="10">
        <f t="shared" si="3"/>
        <v>5.8389578885814829E-2</v>
      </c>
      <c r="L109" s="10"/>
    </row>
    <row r="110" spans="1:12" x14ac:dyDescent="0.2">
      <c r="A110" s="9">
        <v>18</v>
      </c>
      <c r="B110" s="9">
        <v>1</v>
      </c>
      <c r="C110" s="9"/>
      <c r="D110" s="10">
        <v>16.858974358974358</v>
      </c>
      <c r="E110" s="10">
        <f t="shared" si="2"/>
        <v>-1.1410256410256423</v>
      </c>
      <c r="G110" s="10">
        <f t="shared" si="3"/>
        <v>9.0428595220514676E-2</v>
      </c>
      <c r="L110" s="10"/>
    </row>
    <row r="111" spans="1:12" x14ac:dyDescent="0.2">
      <c r="A111" s="9">
        <v>18</v>
      </c>
      <c r="B111" s="9">
        <v>1</v>
      </c>
      <c r="C111" s="9"/>
      <c r="D111" s="10">
        <v>16.858974358974358</v>
      </c>
      <c r="E111" s="10">
        <f t="shared" si="2"/>
        <v>-1.1410256410256423</v>
      </c>
      <c r="G111" s="10">
        <f t="shared" si="3"/>
        <v>9.0428595220514676E-2</v>
      </c>
      <c r="L111" s="10"/>
    </row>
    <row r="112" spans="1:12" x14ac:dyDescent="0.2">
      <c r="A112" s="9">
        <v>21</v>
      </c>
      <c r="B112" s="9">
        <v>1</v>
      </c>
      <c r="C112" s="9"/>
      <c r="D112" s="10">
        <v>16.858974358974358</v>
      </c>
      <c r="E112" s="10">
        <f t="shared" si="2"/>
        <v>-4.1410256410256423</v>
      </c>
      <c r="G112" s="10">
        <f t="shared" si="3"/>
        <v>5.8389578885814829E-2</v>
      </c>
      <c r="L112" s="10"/>
    </row>
    <row r="113" spans="1:12" x14ac:dyDescent="0.2">
      <c r="A113" s="9">
        <v>21</v>
      </c>
      <c r="B113" s="9">
        <v>1</v>
      </c>
      <c r="C113" s="9"/>
      <c r="D113" s="10">
        <v>16.858974358974358</v>
      </c>
      <c r="E113" s="10">
        <f t="shared" si="2"/>
        <v>-4.1410256410256423</v>
      </c>
      <c r="G113" s="10">
        <f t="shared" si="3"/>
        <v>5.8389578885814829E-2</v>
      </c>
      <c r="L113" s="10"/>
    </row>
    <row r="114" spans="1:12" x14ac:dyDescent="0.2">
      <c r="A114" s="9">
        <v>18</v>
      </c>
      <c r="B114" s="9">
        <v>1</v>
      </c>
      <c r="C114" s="9"/>
      <c r="D114" s="10">
        <v>16.858974358974358</v>
      </c>
      <c r="E114" s="10">
        <f t="shared" si="2"/>
        <v>-1.1410256410256423</v>
      </c>
      <c r="G114" s="10">
        <f t="shared" si="3"/>
        <v>9.0428595220514676E-2</v>
      </c>
      <c r="L114" s="10"/>
    </row>
    <row r="115" spans="1:12" x14ac:dyDescent="0.2">
      <c r="A115" s="9">
        <v>18</v>
      </c>
      <c r="B115" s="9">
        <v>1</v>
      </c>
      <c r="C115" s="9"/>
      <c r="D115" s="10">
        <v>16.858974358974358</v>
      </c>
      <c r="E115" s="10">
        <f t="shared" si="2"/>
        <v>-1.1410256410256423</v>
      </c>
      <c r="G115" s="10">
        <f t="shared" si="3"/>
        <v>9.0428595220514676E-2</v>
      </c>
      <c r="L115" s="10"/>
    </row>
    <row r="116" spans="1:12" x14ac:dyDescent="0.2">
      <c r="A116" s="9">
        <v>19</v>
      </c>
      <c r="B116" s="9">
        <v>1</v>
      </c>
      <c r="C116" s="9"/>
      <c r="D116" s="10">
        <v>16.858974358974358</v>
      </c>
      <c r="E116" s="10">
        <f t="shared" si="2"/>
        <v>-2.1410256410256423</v>
      </c>
      <c r="G116" s="10">
        <f t="shared" si="3"/>
        <v>8.2596026638649928E-2</v>
      </c>
      <c r="L116" s="10"/>
    </row>
    <row r="117" spans="1:12" x14ac:dyDescent="0.2">
      <c r="A117" s="9">
        <v>19</v>
      </c>
      <c r="B117" s="9">
        <v>1</v>
      </c>
      <c r="C117" s="9"/>
      <c r="D117" s="10">
        <v>16.858974358974358</v>
      </c>
      <c r="E117" s="10">
        <f t="shared" si="2"/>
        <v>-2.1410256410256423</v>
      </c>
      <c r="G117" s="10">
        <f t="shared" si="3"/>
        <v>8.2596026638649928E-2</v>
      </c>
      <c r="L117" s="10"/>
    </row>
    <row r="118" spans="1:12" x14ac:dyDescent="0.2">
      <c r="A118" s="9">
        <v>19</v>
      </c>
      <c r="B118" s="9">
        <v>1</v>
      </c>
      <c r="C118" s="9"/>
      <c r="D118" s="10">
        <v>16.858974358974358</v>
      </c>
      <c r="E118" s="10">
        <f t="shared" si="2"/>
        <v>-2.1410256410256423</v>
      </c>
      <c r="G118" s="10">
        <f t="shared" si="3"/>
        <v>8.2596026638649928E-2</v>
      </c>
      <c r="L118" s="10"/>
    </row>
    <row r="119" spans="1:12" x14ac:dyDescent="0.2">
      <c r="A119" s="9">
        <v>20</v>
      </c>
      <c r="B119" s="9">
        <v>1</v>
      </c>
      <c r="C119" s="9"/>
      <c r="D119" s="10">
        <v>16.858974358974358</v>
      </c>
      <c r="E119" s="10">
        <f t="shared" si="2"/>
        <v>-3.1410256410256423</v>
      </c>
      <c r="G119" s="10">
        <f t="shared" si="3"/>
        <v>7.138971945227178E-2</v>
      </c>
      <c r="L119" s="10"/>
    </row>
    <row r="120" spans="1:12" x14ac:dyDescent="0.2">
      <c r="A120" s="9">
        <v>20</v>
      </c>
      <c r="B120" s="9">
        <v>1</v>
      </c>
      <c r="C120" s="9"/>
      <c r="D120" s="10">
        <v>16.858974358974358</v>
      </c>
      <c r="E120" s="10">
        <f t="shared" si="2"/>
        <v>-3.1410256410256423</v>
      </c>
      <c r="G120" s="10">
        <f t="shared" si="3"/>
        <v>7.138971945227178E-2</v>
      </c>
      <c r="L120" s="10"/>
    </row>
    <row r="121" spans="1:12" x14ac:dyDescent="0.2">
      <c r="A121" s="9">
        <v>17</v>
      </c>
      <c r="B121" s="9">
        <v>1</v>
      </c>
      <c r="C121" s="9"/>
      <c r="D121" s="10">
        <v>16.858974358974358</v>
      </c>
      <c r="E121" s="10">
        <f t="shared" si="2"/>
        <v>-0.1410256410256423</v>
      </c>
      <c r="G121" s="10">
        <f t="shared" si="3"/>
        <v>9.3686186441259228E-2</v>
      </c>
      <c r="L121" s="10"/>
    </row>
    <row r="122" spans="1:12" x14ac:dyDescent="0.2">
      <c r="A122" s="9">
        <v>16</v>
      </c>
      <c r="B122" s="9">
        <v>1</v>
      </c>
      <c r="C122" s="9"/>
      <c r="D122" s="10">
        <v>16.858974358974358</v>
      </c>
      <c r="E122" s="10">
        <f t="shared" si="2"/>
        <v>0.8589743589743577</v>
      </c>
      <c r="G122" s="10">
        <f t="shared" si="3"/>
        <v>9.1847742433773194E-2</v>
      </c>
      <c r="L122" s="10"/>
    </row>
    <row r="123" spans="1:12" x14ac:dyDescent="0.2">
      <c r="A123" s="9">
        <v>17</v>
      </c>
      <c r="B123" s="9">
        <v>1</v>
      </c>
      <c r="C123" s="9"/>
      <c r="D123" s="10">
        <v>16.858974358974358</v>
      </c>
      <c r="E123" s="10">
        <f t="shared" si="2"/>
        <v>-0.1410256410256423</v>
      </c>
      <c r="G123" s="10">
        <f t="shared" si="3"/>
        <v>9.3686186441259228E-2</v>
      </c>
      <c r="L123" s="10"/>
    </row>
    <row r="124" spans="1:12" x14ac:dyDescent="0.2">
      <c r="A124" s="9">
        <v>17</v>
      </c>
      <c r="B124" s="9">
        <v>1</v>
      </c>
      <c r="C124" s="9"/>
      <c r="D124" s="10">
        <v>16.858974358974358</v>
      </c>
      <c r="E124" s="10">
        <f t="shared" si="2"/>
        <v>-0.1410256410256423</v>
      </c>
      <c r="G124" s="10">
        <f t="shared" si="3"/>
        <v>9.3686186441259228E-2</v>
      </c>
      <c r="L124" s="10"/>
    </row>
    <row r="125" spans="1:12" x14ac:dyDescent="0.2">
      <c r="A125" s="9">
        <v>15</v>
      </c>
      <c r="B125" s="9">
        <v>1</v>
      </c>
      <c r="C125" s="9"/>
      <c r="D125" s="10">
        <v>16.858974358974358</v>
      </c>
      <c r="E125" s="10">
        <f t="shared" si="2"/>
        <v>1.8589743589743577</v>
      </c>
      <c r="G125" s="10">
        <f t="shared" si="3"/>
        <v>8.5208821600122359E-2</v>
      </c>
      <c r="L125" s="10"/>
    </row>
    <row r="126" spans="1:12" x14ac:dyDescent="0.2">
      <c r="A126" s="9">
        <v>15</v>
      </c>
      <c r="B126" s="9">
        <v>1</v>
      </c>
      <c r="C126" s="9"/>
      <c r="D126" s="10">
        <v>16.858974358974358</v>
      </c>
      <c r="E126" s="10">
        <f t="shared" si="2"/>
        <v>1.8589743589743577</v>
      </c>
      <c r="G126" s="10">
        <f t="shared" si="3"/>
        <v>8.5208821600122359E-2</v>
      </c>
      <c r="L126" s="10"/>
    </row>
    <row r="127" spans="1:12" x14ac:dyDescent="0.2">
      <c r="A127" s="9">
        <v>14</v>
      </c>
      <c r="B127" s="9">
        <v>1</v>
      </c>
      <c r="C127" s="9"/>
      <c r="D127" s="10">
        <v>16.858974358974358</v>
      </c>
      <c r="E127" s="10">
        <f t="shared" si="2"/>
        <v>2.8589743589743577</v>
      </c>
      <c r="G127" s="10">
        <f t="shared" si="3"/>
        <v>7.4803820711623142E-2</v>
      </c>
      <c r="L127" s="10"/>
    </row>
    <row r="128" spans="1:12" x14ac:dyDescent="0.2">
      <c r="A128" s="9">
        <v>9</v>
      </c>
      <c r="B128" s="9">
        <v>1</v>
      </c>
      <c r="C128" s="9"/>
      <c r="D128" s="10">
        <v>16.858974358974358</v>
      </c>
      <c r="E128" s="10">
        <f t="shared" si="2"/>
        <v>7.8589743589743577</v>
      </c>
      <c r="G128" s="10">
        <f t="shared" si="3"/>
        <v>1.7039902700084295E-2</v>
      </c>
      <c r="L128" s="10"/>
    </row>
    <row r="129" spans="1:12" x14ac:dyDescent="0.2">
      <c r="A129" s="9">
        <v>14</v>
      </c>
      <c r="B129" s="9">
        <v>1</v>
      </c>
      <c r="C129" s="9"/>
      <c r="D129" s="10">
        <v>16.858974358974358</v>
      </c>
      <c r="E129" s="10">
        <f t="shared" si="2"/>
        <v>2.8589743589743577</v>
      </c>
      <c r="G129" s="10">
        <f t="shared" si="3"/>
        <v>7.4803820711623142E-2</v>
      </c>
      <c r="L129" s="10"/>
    </row>
    <row r="130" spans="1:12" x14ac:dyDescent="0.2">
      <c r="A130" s="9">
        <v>13</v>
      </c>
      <c r="B130" s="9">
        <v>1</v>
      </c>
      <c r="C130" s="9"/>
      <c r="D130" s="10">
        <v>16.858974358974358</v>
      </c>
      <c r="E130" s="10">
        <f t="shared" si="2"/>
        <v>3.8589743589743577</v>
      </c>
      <c r="G130" s="10">
        <f t="shared" si="3"/>
        <v>6.2142132155231941E-2</v>
      </c>
      <c r="L130" s="10"/>
    </row>
    <row r="131" spans="1:12" x14ac:dyDescent="0.2">
      <c r="A131" s="9">
        <v>11</v>
      </c>
      <c r="B131" s="9">
        <v>1</v>
      </c>
      <c r="C131" s="9"/>
      <c r="D131" s="10">
        <v>16.858974358974358</v>
      </c>
      <c r="E131" s="10">
        <f t="shared" ref="E131:E194" si="4">D131-A131</f>
        <v>5.8589743589743577</v>
      </c>
      <c r="G131" s="10">
        <f t="shared" ref="G131:G194" si="5">_xlfn.NORM.DIST(E131,0,$F$2,FALSE)</f>
        <v>3.6339616015446226E-2</v>
      </c>
      <c r="L131" s="10"/>
    </row>
    <row r="132" spans="1:12" x14ac:dyDescent="0.2">
      <c r="A132" s="9">
        <v>11</v>
      </c>
      <c r="B132" s="9">
        <v>1</v>
      </c>
      <c r="C132" s="9"/>
      <c r="D132" s="10">
        <v>16.858974358974358</v>
      </c>
      <c r="E132" s="10">
        <f t="shared" si="4"/>
        <v>5.8589743589743577</v>
      </c>
      <c r="G132" s="10">
        <f t="shared" si="5"/>
        <v>3.6339616015446226E-2</v>
      </c>
      <c r="L132" s="10"/>
    </row>
    <row r="133" spans="1:12" x14ac:dyDescent="0.2">
      <c r="A133" s="9">
        <v>12</v>
      </c>
      <c r="B133" s="9">
        <v>1</v>
      </c>
      <c r="C133" s="9"/>
      <c r="D133" s="10">
        <v>16.858974358974358</v>
      </c>
      <c r="E133" s="10">
        <f t="shared" si="4"/>
        <v>4.8589743589743577</v>
      </c>
      <c r="G133" s="10">
        <f t="shared" si="5"/>
        <v>4.8850798619149906E-2</v>
      </c>
      <c r="L133" s="10"/>
    </row>
    <row r="134" spans="1:12" x14ac:dyDescent="0.2">
      <c r="A134" s="9">
        <v>12</v>
      </c>
      <c r="B134" s="9">
        <v>1</v>
      </c>
      <c r="C134" s="9"/>
      <c r="D134" s="10">
        <v>16.858974358974358</v>
      </c>
      <c r="E134" s="10">
        <f t="shared" si="4"/>
        <v>4.8589743589743577</v>
      </c>
      <c r="G134" s="10">
        <f t="shared" si="5"/>
        <v>4.8850798619149906E-2</v>
      </c>
      <c r="L134" s="10"/>
    </row>
    <row r="135" spans="1:12" x14ac:dyDescent="0.2">
      <c r="A135" s="9">
        <v>11</v>
      </c>
      <c r="B135" s="9">
        <v>1</v>
      </c>
      <c r="C135" s="9"/>
      <c r="D135" s="10">
        <v>16.858974358974358</v>
      </c>
      <c r="E135" s="10">
        <f t="shared" si="4"/>
        <v>5.8589743589743577</v>
      </c>
      <c r="G135" s="10">
        <f t="shared" si="5"/>
        <v>3.6339616015446226E-2</v>
      </c>
      <c r="L135" s="10"/>
    </row>
    <row r="136" spans="1:12" x14ac:dyDescent="0.2">
      <c r="A136" s="9">
        <v>11</v>
      </c>
      <c r="B136" s="9">
        <v>1</v>
      </c>
      <c r="C136" s="9"/>
      <c r="D136" s="10">
        <v>16.858974358974358</v>
      </c>
      <c r="E136" s="10">
        <f t="shared" si="4"/>
        <v>5.8589743589743577</v>
      </c>
      <c r="G136" s="10">
        <f t="shared" si="5"/>
        <v>3.6339616015446226E-2</v>
      </c>
      <c r="L136" s="10"/>
    </row>
    <row r="137" spans="1:12" x14ac:dyDescent="0.2">
      <c r="A137" s="9">
        <v>11</v>
      </c>
      <c r="B137" s="9">
        <v>1</v>
      </c>
      <c r="C137" s="9"/>
      <c r="D137" s="10">
        <v>16.858974358974358</v>
      </c>
      <c r="E137" s="10">
        <f t="shared" si="4"/>
        <v>5.8589743589743577</v>
      </c>
      <c r="G137" s="10">
        <f t="shared" si="5"/>
        <v>3.6339616015446226E-2</v>
      </c>
      <c r="L137" s="10"/>
    </row>
    <row r="138" spans="1:12" x14ac:dyDescent="0.2">
      <c r="A138" s="9">
        <v>12</v>
      </c>
      <c r="B138" s="9">
        <v>1</v>
      </c>
      <c r="C138" s="9"/>
      <c r="D138" s="10">
        <v>16.858974358974358</v>
      </c>
      <c r="E138" s="10">
        <f t="shared" si="4"/>
        <v>4.8589743589743577</v>
      </c>
      <c r="G138" s="10">
        <f t="shared" si="5"/>
        <v>4.8850798619149906E-2</v>
      </c>
      <c r="L138" s="10"/>
    </row>
    <row r="139" spans="1:12" x14ac:dyDescent="0.2">
      <c r="A139" s="9">
        <v>14</v>
      </c>
      <c r="B139" s="9">
        <v>1</v>
      </c>
      <c r="C139" s="9"/>
      <c r="D139" s="10">
        <v>16.858974358974358</v>
      </c>
      <c r="E139" s="10">
        <f t="shared" si="4"/>
        <v>2.8589743589743577</v>
      </c>
      <c r="G139" s="10">
        <f t="shared" si="5"/>
        <v>7.4803820711623142E-2</v>
      </c>
      <c r="L139" s="10"/>
    </row>
    <row r="140" spans="1:12" x14ac:dyDescent="0.2">
      <c r="A140" s="9">
        <v>13</v>
      </c>
      <c r="B140" s="9">
        <v>1</v>
      </c>
      <c r="C140" s="9"/>
      <c r="D140" s="10">
        <v>16.858974358974358</v>
      </c>
      <c r="E140" s="10">
        <f t="shared" si="4"/>
        <v>3.8589743589743577</v>
      </c>
      <c r="G140" s="10">
        <f t="shared" si="5"/>
        <v>6.2142132155231941E-2</v>
      </c>
      <c r="L140" s="10"/>
    </row>
    <row r="141" spans="1:12" x14ac:dyDescent="0.2">
      <c r="A141" s="9">
        <v>13</v>
      </c>
      <c r="B141" s="9">
        <v>1</v>
      </c>
      <c r="C141" s="9"/>
      <c r="D141" s="10">
        <v>16.858974358974358</v>
      </c>
      <c r="E141" s="10">
        <f t="shared" si="4"/>
        <v>3.8589743589743577</v>
      </c>
      <c r="G141" s="10">
        <f t="shared" si="5"/>
        <v>6.2142132155231941E-2</v>
      </c>
      <c r="L141" s="10"/>
    </row>
    <row r="142" spans="1:12" x14ac:dyDescent="0.2">
      <c r="A142" s="9">
        <v>13</v>
      </c>
      <c r="B142" s="9">
        <v>1</v>
      </c>
      <c r="C142" s="9"/>
      <c r="D142" s="10">
        <v>16.858974358974358</v>
      </c>
      <c r="E142" s="10">
        <f t="shared" si="4"/>
        <v>3.8589743589743577</v>
      </c>
      <c r="G142" s="10">
        <f t="shared" si="5"/>
        <v>6.2142132155231941E-2</v>
      </c>
      <c r="L142" s="10"/>
    </row>
    <row r="143" spans="1:12" x14ac:dyDescent="0.2">
      <c r="A143" s="9">
        <v>21</v>
      </c>
      <c r="B143" s="9">
        <v>1</v>
      </c>
      <c r="C143" s="9"/>
      <c r="D143" s="10">
        <v>16.858974358974358</v>
      </c>
      <c r="E143" s="10">
        <f t="shared" si="4"/>
        <v>-4.1410256410256423</v>
      </c>
      <c r="G143" s="10">
        <f t="shared" si="5"/>
        <v>5.8389578885814829E-2</v>
      </c>
      <c r="L143" s="10"/>
    </row>
    <row r="144" spans="1:12" x14ac:dyDescent="0.2">
      <c r="A144" s="9">
        <v>19</v>
      </c>
      <c r="B144" s="9">
        <v>1</v>
      </c>
      <c r="C144" s="9"/>
      <c r="D144" s="10">
        <v>16.858974358974358</v>
      </c>
      <c r="E144" s="10">
        <f t="shared" si="4"/>
        <v>-2.1410256410256423</v>
      </c>
      <c r="G144" s="10">
        <f t="shared" si="5"/>
        <v>8.2596026638649928E-2</v>
      </c>
      <c r="L144" s="10"/>
    </row>
    <row r="145" spans="1:12" x14ac:dyDescent="0.2">
      <c r="A145" s="9">
        <v>23</v>
      </c>
      <c r="B145" s="9">
        <v>1</v>
      </c>
      <c r="C145" s="9"/>
      <c r="D145" s="10">
        <v>16.858974358974358</v>
      </c>
      <c r="E145" s="10">
        <f t="shared" si="4"/>
        <v>-6.1410256410256423</v>
      </c>
      <c r="G145" s="10">
        <f t="shared" si="5"/>
        <v>3.3098180744967454E-2</v>
      </c>
      <c r="L145" s="10"/>
    </row>
    <row r="146" spans="1:12" x14ac:dyDescent="0.2">
      <c r="A146" s="9">
        <v>23</v>
      </c>
      <c r="B146" s="9">
        <v>1</v>
      </c>
      <c r="C146" s="9"/>
      <c r="D146" s="10">
        <v>16.858974358974358</v>
      </c>
      <c r="E146" s="10">
        <f t="shared" si="4"/>
        <v>-6.1410256410256423</v>
      </c>
      <c r="G146" s="10">
        <f t="shared" si="5"/>
        <v>3.3098180744967454E-2</v>
      </c>
      <c r="L146" s="10"/>
    </row>
    <row r="147" spans="1:12" x14ac:dyDescent="0.2">
      <c r="A147" s="9">
        <v>19</v>
      </c>
      <c r="B147" s="9">
        <v>1</v>
      </c>
      <c r="C147" s="9"/>
      <c r="D147" s="10">
        <v>16.858974358974358</v>
      </c>
      <c r="E147" s="10">
        <f t="shared" si="4"/>
        <v>-2.1410256410256423</v>
      </c>
      <c r="G147" s="10">
        <f t="shared" si="5"/>
        <v>8.2596026638649928E-2</v>
      </c>
      <c r="L147" s="10"/>
    </row>
    <row r="148" spans="1:12" x14ac:dyDescent="0.2">
      <c r="A148" s="9">
        <v>19</v>
      </c>
      <c r="B148" s="9">
        <v>1</v>
      </c>
      <c r="C148" s="9"/>
      <c r="D148" s="10">
        <v>16.858974358974358</v>
      </c>
      <c r="E148" s="10">
        <f t="shared" si="4"/>
        <v>-2.1410256410256423</v>
      </c>
      <c r="G148" s="10">
        <f t="shared" si="5"/>
        <v>8.2596026638649928E-2</v>
      </c>
      <c r="L148" s="10"/>
    </row>
    <row r="149" spans="1:12" x14ac:dyDescent="0.2">
      <c r="A149" s="9">
        <v>18</v>
      </c>
      <c r="B149" s="9">
        <v>1</v>
      </c>
      <c r="C149" s="9"/>
      <c r="D149" s="10">
        <v>16.858974358974358</v>
      </c>
      <c r="E149" s="10">
        <f t="shared" si="4"/>
        <v>-1.1410256410256423</v>
      </c>
      <c r="G149" s="10">
        <f t="shared" si="5"/>
        <v>9.0428595220514676E-2</v>
      </c>
      <c r="L149" s="10"/>
    </row>
    <row r="150" spans="1:12" x14ac:dyDescent="0.2">
      <c r="A150" s="9">
        <v>19</v>
      </c>
      <c r="B150" s="9">
        <v>1</v>
      </c>
      <c r="C150" s="9"/>
      <c r="D150" s="10">
        <v>16.858974358974358</v>
      </c>
      <c r="E150" s="10">
        <f t="shared" si="4"/>
        <v>-2.1410256410256423</v>
      </c>
      <c r="G150" s="10">
        <f t="shared" si="5"/>
        <v>8.2596026638649928E-2</v>
      </c>
      <c r="L150" s="10"/>
    </row>
    <row r="151" spans="1:12" x14ac:dyDescent="0.2">
      <c r="A151" s="9">
        <v>19</v>
      </c>
      <c r="B151" s="9">
        <v>1</v>
      </c>
      <c r="C151" s="9"/>
      <c r="D151" s="10">
        <v>16.858974358974358</v>
      </c>
      <c r="E151" s="10">
        <f t="shared" si="4"/>
        <v>-2.1410256410256423</v>
      </c>
      <c r="G151" s="10">
        <f t="shared" si="5"/>
        <v>8.2596026638649928E-2</v>
      </c>
      <c r="L151" s="10"/>
    </row>
    <row r="152" spans="1:12" x14ac:dyDescent="0.2">
      <c r="A152" s="9">
        <v>14</v>
      </c>
      <c r="B152" s="9">
        <v>1</v>
      </c>
      <c r="C152" s="9"/>
      <c r="D152" s="10">
        <v>16.858974358974358</v>
      </c>
      <c r="E152" s="10">
        <f t="shared" si="4"/>
        <v>2.8589743589743577</v>
      </c>
      <c r="G152" s="10">
        <f t="shared" si="5"/>
        <v>7.4803820711623142E-2</v>
      </c>
      <c r="L152" s="10"/>
    </row>
    <row r="153" spans="1:12" x14ac:dyDescent="0.2">
      <c r="A153" s="9">
        <v>15</v>
      </c>
      <c r="B153" s="9">
        <v>1</v>
      </c>
      <c r="C153" s="9"/>
      <c r="D153" s="10">
        <v>16.858974358974358</v>
      </c>
      <c r="E153" s="10">
        <f t="shared" si="4"/>
        <v>1.8589743589743577</v>
      </c>
      <c r="G153" s="10">
        <f t="shared" si="5"/>
        <v>8.5208821600122359E-2</v>
      </c>
      <c r="L153" s="10"/>
    </row>
    <row r="154" spans="1:12" x14ac:dyDescent="0.2">
      <c r="A154" s="9">
        <v>14</v>
      </c>
      <c r="B154" s="9">
        <v>1</v>
      </c>
      <c r="C154" s="9"/>
      <c r="D154" s="10">
        <v>16.858974358974358</v>
      </c>
      <c r="E154" s="10">
        <f t="shared" si="4"/>
        <v>2.8589743589743577</v>
      </c>
      <c r="G154" s="10">
        <f t="shared" si="5"/>
        <v>7.4803820711623142E-2</v>
      </c>
      <c r="L154" s="10"/>
    </row>
    <row r="155" spans="1:12" x14ac:dyDescent="0.2">
      <c r="A155" s="9">
        <v>12</v>
      </c>
      <c r="B155" s="9">
        <v>1</v>
      </c>
      <c r="C155" s="9"/>
      <c r="D155" s="10">
        <v>16.858974358974358</v>
      </c>
      <c r="E155" s="10">
        <f t="shared" si="4"/>
        <v>4.8589743589743577</v>
      </c>
      <c r="G155" s="10">
        <f t="shared" si="5"/>
        <v>4.8850798619149906E-2</v>
      </c>
      <c r="L155" s="10"/>
    </row>
    <row r="156" spans="1:12" x14ac:dyDescent="0.2">
      <c r="A156" s="9">
        <v>18</v>
      </c>
      <c r="B156" s="9">
        <v>1</v>
      </c>
      <c r="C156" s="9"/>
      <c r="D156" s="10">
        <v>16.858974358974358</v>
      </c>
      <c r="E156" s="10">
        <f t="shared" si="4"/>
        <v>-1.1410256410256423</v>
      </c>
      <c r="G156" s="10">
        <f t="shared" si="5"/>
        <v>9.0428595220514676E-2</v>
      </c>
      <c r="L156" s="10"/>
    </row>
    <row r="157" spans="1:12" x14ac:dyDescent="0.2">
      <c r="A157" s="9">
        <v>16</v>
      </c>
      <c r="B157" s="9">
        <v>1</v>
      </c>
      <c r="C157" s="9"/>
      <c r="D157" s="10">
        <v>16.858974358974358</v>
      </c>
      <c r="E157" s="10">
        <f t="shared" si="4"/>
        <v>0.8589743589743577</v>
      </c>
      <c r="G157" s="10">
        <f t="shared" si="5"/>
        <v>9.1847742433773194E-2</v>
      </c>
      <c r="L157" s="10"/>
    </row>
    <row r="158" spans="1:12" x14ac:dyDescent="0.2">
      <c r="A158" s="9">
        <v>17</v>
      </c>
      <c r="B158" s="9">
        <v>1</v>
      </c>
      <c r="C158" s="9"/>
      <c r="D158" s="10">
        <v>16.858974358974358</v>
      </c>
      <c r="E158" s="10">
        <f t="shared" si="4"/>
        <v>-0.1410256410256423</v>
      </c>
      <c r="G158" s="10">
        <f t="shared" si="5"/>
        <v>9.3686186441259228E-2</v>
      </c>
      <c r="L158" s="10"/>
    </row>
    <row r="159" spans="1:12" x14ac:dyDescent="0.2">
      <c r="A159" s="9">
        <v>18</v>
      </c>
      <c r="B159" s="9">
        <v>1</v>
      </c>
      <c r="C159" s="9"/>
      <c r="D159" s="10">
        <v>16.858974358974358</v>
      </c>
      <c r="E159" s="10">
        <f t="shared" si="4"/>
        <v>-1.1410256410256423</v>
      </c>
      <c r="G159" s="10">
        <f t="shared" si="5"/>
        <v>9.0428595220514676E-2</v>
      </c>
      <c r="L159" s="10"/>
    </row>
    <row r="160" spans="1:12" x14ac:dyDescent="0.2">
      <c r="A160" s="9">
        <v>16</v>
      </c>
      <c r="B160" s="9">
        <v>1</v>
      </c>
      <c r="C160" s="9"/>
      <c r="D160" s="10">
        <v>16.858974358974358</v>
      </c>
      <c r="E160" s="10">
        <f t="shared" si="4"/>
        <v>0.8589743589743577</v>
      </c>
      <c r="G160" s="10">
        <f t="shared" si="5"/>
        <v>9.1847742433773194E-2</v>
      </c>
      <c r="L160" s="10"/>
    </row>
    <row r="161" spans="1:12" x14ac:dyDescent="0.2">
      <c r="A161" s="9">
        <v>18</v>
      </c>
      <c r="B161" s="9">
        <v>1</v>
      </c>
      <c r="C161" s="9"/>
      <c r="D161" s="10">
        <v>16.858974358974358</v>
      </c>
      <c r="E161" s="10">
        <f t="shared" si="4"/>
        <v>-1.1410256410256423</v>
      </c>
      <c r="G161" s="10">
        <f t="shared" si="5"/>
        <v>9.0428595220514676E-2</v>
      </c>
      <c r="L161" s="10"/>
    </row>
    <row r="162" spans="1:12" x14ac:dyDescent="0.2">
      <c r="A162" s="9">
        <v>18</v>
      </c>
      <c r="B162" s="9">
        <v>1</v>
      </c>
      <c r="C162" s="9"/>
      <c r="D162" s="10">
        <v>16.858974358974358</v>
      </c>
      <c r="E162" s="10">
        <f t="shared" si="4"/>
        <v>-1.1410256410256423</v>
      </c>
      <c r="G162" s="10">
        <f t="shared" si="5"/>
        <v>9.0428595220514676E-2</v>
      </c>
      <c r="L162" s="10"/>
    </row>
    <row r="163" spans="1:12" x14ac:dyDescent="0.2">
      <c r="A163" s="9">
        <v>20</v>
      </c>
      <c r="B163" s="9">
        <v>1</v>
      </c>
      <c r="C163" s="9"/>
      <c r="D163" s="10">
        <v>16.858974358974358</v>
      </c>
      <c r="E163" s="10">
        <f t="shared" si="4"/>
        <v>-3.1410256410256423</v>
      </c>
      <c r="G163" s="10">
        <f t="shared" si="5"/>
        <v>7.138971945227178E-2</v>
      </c>
      <c r="L163" s="10"/>
    </row>
    <row r="164" spans="1:12" x14ac:dyDescent="0.2">
      <c r="A164" s="9">
        <v>19</v>
      </c>
      <c r="B164" s="9">
        <v>1</v>
      </c>
      <c r="C164" s="9"/>
      <c r="D164" s="10">
        <v>16.858974358974358</v>
      </c>
      <c r="E164" s="10">
        <f t="shared" si="4"/>
        <v>-2.1410256410256423</v>
      </c>
      <c r="G164" s="10">
        <f t="shared" si="5"/>
        <v>8.2596026638649928E-2</v>
      </c>
      <c r="L164" s="10"/>
    </row>
    <row r="165" spans="1:12" x14ac:dyDescent="0.2">
      <c r="A165" s="9">
        <v>20</v>
      </c>
      <c r="B165" s="9">
        <v>1</v>
      </c>
      <c r="C165" s="9"/>
      <c r="D165" s="10">
        <v>16.858974358974358</v>
      </c>
      <c r="E165" s="10">
        <f t="shared" si="4"/>
        <v>-3.1410256410256423</v>
      </c>
      <c r="G165" s="10">
        <f t="shared" si="5"/>
        <v>7.138971945227178E-2</v>
      </c>
      <c r="L165" s="10"/>
    </row>
    <row r="166" spans="1:12" x14ac:dyDescent="0.2">
      <c r="A166" s="9">
        <v>18</v>
      </c>
      <c r="B166" s="9">
        <v>1</v>
      </c>
      <c r="C166" s="9"/>
      <c r="D166" s="10">
        <v>16.858974358974358</v>
      </c>
      <c r="E166" s="10">
        <f t="shared" si="4"/>
        <v>-1.1410256410256423</v>
      </c>
      <c r="G166" s="10">
        <f t="shared" si="5"/>
        <v>9.0428595220514676E-2</v>
      </c>
      <c r="L166" s="10"/>
    </row>
    <row r="167" spans="1:12" x14ac:dyDescent="0.2">
      <c r="A167" s="9">
        <v>21</v>
      </c>
      <c r="B167" s="9">
        <v>1</v>
      </c>
      <c r="C167" s="9"/>
      <c r="D167" s="10">
        <v>16.858974358974358</v>
      </c>
      <c r="E167" s="10">
        <f t="shared" si="4"/>
        <v>-4.1410256410256423</v>
      </c>
      <c r="G167" s="10">
        <f t="shared" si="5"/>
        <v>5.8389578885814829E-2</v>
      </c>
      <c r="L167" s="10"/>
    </row>
    <row r="168" spans="1:12" x14ac:dyDescent="0.2">
      <c r="A168" s="9">
        <v>19</v>
      </c>
      <c r="B168" s="9">
        <v>1</v>
      </c>
      <c r="C168" s="9"/>
      <c r="D168" s="10">
        <v>16.858974358974358</v>
      </c>
      <c r="E168" s="10">
        <f t="shared" si="4"/>
        <v>-2.1410256410256423</v>
      </c>
      <c r="G168" s="10">
        <f t="shared" si="5"/>
        <v>8.2596026638649928E-2</v>
      </c>
      <c r="L168" s="10"/>
    </row>
    <row r="169" spans="1:12" x14ac:dyDescent="0.2">
      <c r="A169" s="9">
        <v>19</v>
      </c>
      <c r="B169" s="9">
        <v>1</v>
      </c>
      <c r="C169" s="9"/>
      <c r="D169" s="10">
        <v>16.858974358974358</v>
      </c>
      <c r="E169" s="10">
        <f t="shared" si="4"/>
        <v>-2.1410256410256423</v>
      </c>
      <c r="G169" s="10">
        <f t="shared" si="5"/>
        <v>8.2596026638649928E-2</v>
      </c>
      <c r="L169" s="10"/>
    </row>
    <row r="170" spans="1:12" x14ac:dyDescent="0.2">
      <c r="A170" s="9">
        <v>19</v>
      </c>
      <c r="B170" s="9">
        <v>1</v>
      </c>
      <c r="C170" s="9"/>
      <c r="D170" s="10">
        <v>16.858974358974358</v>
      </c>
      <c r="E170" s="10">
        <f t="shared" si="4"/>
        <v>-2.1410256410256423</v>
      </c>
      <c r="G170" s="10">
        <f t="shared" si="5"/>
        <v>8.2596026638649928E-2</v>
      </c>
      <c r="L170" s="10"/>
    </row>
    <row r="171" spans="1:12" x14ac:dyDescent="0.2">
      <c r="A171" s="9">
        <v>20</v>
      </c>
      <c r="B171" s="9">
        <v>1</v>
      </c>
      <c r="C171" s="9"/>
      <c r="D171" s="10">
        <v>16.858974358974358</v>
      </c>
      <c r="E171" s="10">
        <f t="shared" si="4"/>
        <v>-3.1410256410256423</v>
      </c>
      <c r="G171" s="10">
        <f t="shared" si="5"/>
        <v>7.138971945227178E-2</v>
      </c>
      <c r="L171" s="10"/>
    </row>
    <row r="172" spans="1:12" x14ac:dyDescent="0.2">
      <c r="A172" s="9">
        <v>20</v>
      </c>
      <c r="B172" s="9">
        <v>1</v>
      </c>
      <c r="C172" s="9"/>
      <c r="D172" s="10">
        <v>16.858974358974358</v>
      </c>
      <c r="E172" s="10">
        <f t="shared" si="4"/>
        <v>-3.1410256410256423</v>
      </c>
      <c r="G172" s="10">
        <f t="shared" si="5"/>
        <v>7.138971945227178E-2</v>
      </c>
      <c r="L172" s="10"/>
    </row>
    <row r="173" spans="1:12" x14ac:dyDescent="0.2">
      <c r="A173" s="9">
        <v>19</v>
      </c>
      <c r="B173" s="9">
        <v>1</v>
      </c>
      <c r="C173" s="9"/>
      <c r="D173" s="10">
        <v>16.858974358974358</v>
      </c>
      <c r="E173" s="10">
        <f t="shared" si="4"/>
        <v>-2.1410256410256423</v>
      </c>
      <c r="G173" s="10">
        <f t="shared" si="5"/>
        <v>8.2596026638649928E-2</v>
      </c>
      <c r="L173" s="10"/>
    </row>
    <row r="174" spans="1:12" x14ac:dyDescent="0.2">
      <c r="A174" s="9">
        <v>20</v>
      </c>
      <c r="B174" s="9">
        <v>1</v>
      </c>
      <c r="C174" s="9"/>
      <c r="D174" s="10">
        <v>16.858974358974358</v>
      </c>
      <c r="E174" s="10">
        <f t="shared" si="4"/>
        <v>-3.1410256410256423</v>
      </c>
      <c r="G174" s="10">
        <f t="shared" si="5"/>
        <v>7.138971945227178E-2</v>
      </c>
      <c r="L174" s="10"/>
    </row>
    <row r="175" spans="1:12" x14ac:dyDescent="0.2">
      <c r="A175" s="9">
        <v>15</v>
      </c>
      <c r="B175" s="9">
        <v>1</v>
      </c>
      <c r="C175" s="9"/>
      <c r="D175" s="10">
        <v>16.858974358974358</v>
      </c>
      <c r="E175" s="10">
        <f t="shared" si="4"/>
        <v>1.8589743589743577</v>
      </c>
      <c r="G175" s="10">
        <f t="shared" si="5"/>
        <v>8.5208821600122359E-2</v>
      </c>
      <c r="L175" s="10"/>
    </row>
    <row r="176" spans="1:12" x14ac:dyDescent="0.2">
      <c r="A176" s="9">
        <v>16</v>
      </c>
      <c r="B176" s="9">
        <v>1</v>
      </c>
      <c r="C176" s="9"/>
      <c r="D176" s="10">
        <v>16.858974358974358</v>
      </c>
      <c r="E176" s="10">
        <f t="shared" si="4"/>
        <v>0.8589743589743577</v>
      </c>
      <c r="G176" s="10">
        <f t="shared" si="5"/>
        <v>9.1847742433773194E-2</v>
      </c>
      <c r="L176" s="10"/>
    </row>
    <row r="177" spans="1:12" x14ac:dyDescent="0.2">
      <c r="A177" s="9">
        <v>15</v>
      </c>
      <c r="B177" s="9">
        <v>1</v>
      </c>
      <c r="C177" s="9"/>
      <c r="D177" s="10">
        <v>16.858974358974358</v>
      </c>
      <c r="E177" s="10">
        <f t="shared" si="4"/>
        <v>1.8589743589743577</v>
      </c>
      <c r="G177" s="10">
        <f t="shared" si="5"/>
        <v>8.5208821600122359E-2</v>
      </c>
      <c r="L177" s="10"/>
    </row>
    <row r="178" spans="1:12" x14ac:dyDescent="0.2">
      <c r="A178" s="9">
        <v>15</v>
      </c>
      <c r="B178" s="9">
        <v>1</v>
      </c>
      <c r="C178" s="9"/>
      <c r="D178" s="10">
        <v>16.858974358974358</v>
      </c>
      <c r="E178" s="10">
        <f t="shared" si="4"/>
        <v>1.8589743589743577</v>
      </c>
      <c r="G178" s="10">
        <f t="shared" si="5"/>
        <v>8.5208821600122359E-2</v>
      </c>
      <c r="L178" s="10"/>
    </row>
    <row r="179" spans="1:12" x14ac:dyDescent="0.2">
      <c r="A179" s="9">
        <v>16</v>
      </c>
      <c r="B179" s="9">
        <v>1</v>
      </c>
      <c r="C179" s="9"/>
      <c r="D179" s="10">
        <v>16.858974358974358</v>
      </c>
      <c r="E179" s="10">
        <f t="shared" si="4"/>
        <v>0.8589743589743577</v>
      </c>
      <c r="G179" s="10">
        <f t="shared" si="5"/>
        <v>9.1847742433773194E-2</v>
      </c>
      <c r="L179" s="10"/>
    </row>
    <row r="180" spans="1:12" x14ac:dyDescent="0.2">
      <c r="A180" s="9">
        <v>14</v>
      </c>
      <c r="B180" s="9">
        <v>1</v>
      </c>
      <c r="C180" s="9"/>
      <c r="D180" s="10">
        <v>16.858974358974358</v>
      </c>
      <c r="E180" s="10">
        <f t="shared" si="4"/>
        <v>2.8589743589743577</v>
      </c>
      <c r="G180" s="10">
        <f t="shared" si="5"/>
        <v>7.4803820711623142E-2</v>
      </c>
      <c r="L180" s="10"/>
    </row>
    <row r="181" spans="1:12" x14ac:dyDescent="0.2">
      <c r="A181" s="9">
        <v>21</v>
      </c>
      <c r="B181" s="9">
        <v>1</v>
      </c>
      <c r="C181" s="9"/>
      <c r="D181" s="10">
        <v>16.858974358974358</v>
      </c>
      <c r="E181" s="10">
        <f t="shared" si="4"/>
        <v>-4.1410256410256423</v>
      </c>
      <c r="G181" s="10">
        <f t="shared" si="5"/>
        <v>5.8389578885814829E-2</v>
      </c>
      <c r="L181" s="10"/>
    </row>
    <row r="182" spans="1:12" x14ac:dyDescent="0.2">
      <c r="A182" s="9">
        <v>21</v>
      </c>
      <c r="B182" s="9">
        <v>1</v>
      </c>
      <c r="C182" s="9"/>
      <c r="D182" s="10">
        <v>16.858974358974358</v>
      </c>
      <c r="E182" s="10">
        <f t="shared" si="4"/>
        <v>-4.1410256410256423</v>
      </c>
      <c r="G182" s="10">
        <f t="shared" si="5"/>
        <v>5.8389578885814829E-2</v>
      </c>
      <c r="L182" s="10"/>
    </row>
    <row r="183" spans="1:12" x14ac:dyDescent="0.2">
      <c r="A183" s="9">
        <v>21</v>
      </c>
      <c r="B183" s="9">
        <v>1</v>
      </c>
      <c r="C183" s="9"/>
      <c r="D183" s="10">
        <v>16.858974358974358</v>
      </c>
      <c r="E183" s="10">
        <f t="shared" si="4"/>
        <v>-4.1410256410256423</v>
      </c>
      <c r="G183" s="10">
        <f t="shared" si="5"/>
        <v>5.8389578885814829E-2</v>
      </c>
      <c r="L183" s="10"/>
    </row>
    <row r="184" spans="1:12" x14ac:dyDescent="0.2">
      <c r="A184" s="9">
        <v>21</v>
      </c>
      <c r="B184" s="9">
        <v>1</v>
      </c>
      <c r="C184" s="9"/>
      <c r="D184" s="10">
        <v>16.858974358974358</v>
      </c>
      <c r="E184" s="10">
        <f t="shared" si="4"/>
        <v>-4.1410256410256423</v>
      </c>
      <c r="G184" s="10">
        <f t="shared" si="5"/>
        <v>5.8389578885814829E-2</v>
      </c>
      <c r="L184" s="10"/>
    </row>
    <row r="185" spans="1:12" x14ac:dyDescent="0.2">
      <c r="A185" s="9">
        <v>18</v>
      </c>
      <c r="B185" s="9">
        <v>1</v>
      </c>
      <c r="C185" s="9"/>
      <c r="D185" s="10">
        <v>16.858974358974358</v>
      </c>
      <c r="E185" s="10">
        <f t="shared" si="4"/>
        <v>-1.1410256410256423</v>
      </c>
      <c r="G185" s="10">
        <f t="shared" si="5"/>
        <v>9.0428595220514676E-2</v>
      </c>
      <c r="L185" s="10"/>
    </row>
    <row r="186" spans="1:12" x14ac:dyDescent="0.2">
      <c r="A186" s="9">
        <v>18</v>
      </c>
      <c r="B186" s="9">
        <v>1</v>
      </c>
      <c r="C186" s="9"/>
      <c r="D186" s="10">
        <v>16.858974358974358</v>
      </c>
      <c r="E186" s="10">
        <f t="shared" si="4"/>
        <v>-1.1410256410256423</v>
      </c>
      <c r="G186" s="10">
        <f t="shared" si="5"/>
        <v>9.0428595220514676E-2</v>
      </c>
      <c r="L186" s="10"/>
    </row>
    <row r="187" spans="1:12" x14ac:dyDescent="0.2">
      <c r="A187" s="9">
        <v>19</v>
      </c>
      <c r="B187" s="9">
        <v>1</v>
      </c>
      <c r="C187" s="9"/>
      <c r="D187" s="10">
        <v>16.858974358974358</v>
      </c>
      <c r="E187" s="10">
        <f t="shared" si="4"/>
        <v>-2.1410256410256423</v>
      </c>
      <c r="G187" s="10">
        <f t="shared" si="5"/>
        <v>8.2596026638649928E-2</v>
      </c>
      <c r="L187" s="10"/>
    </row>
    <row r="188" spans="1:12" x14ac:dyDescent="0.2">
      <c r="A188" s="9">
        <v>21</v>
      </c>
      <c r="B188" s="9">
        <v>1</v>
      </c>
      <c r="C188" s="9"/>
      <c r="D188" s="10">
        <v>16.858974358974358</v>
      </c>
      <c r="E188" s="10">
        <f t="shared" si="4"/>
        <v>-4.1410256410256423</v>
      </c>
      <c r="G188" s="10">
        <f t="shared" si="5"/>
        <v>5.8389578885814829E-2</v>
      </c>
      <c r="L188" s="10"/>
    </row>
    <row r="189" spans="1:12" x14ac:dyDescent="0.2">
      <c r="A189" s="9">
        <v>21</v>
      </c>
      <c r="B189" s="9">
        <v>1</v>
      </c>
      <c r="C189" s="9"/>
      <c r="D189" s="10">
        <v>16.858974358974358</v>
      </c>
      <c r="E189" s="10">
        <f t="shared" si="4"/>
        <v>-4.1410256410256423</v>
      </c>
      <c r="G189" s="10">
        <f t="shared" si="5"/>
        <v>5.8389578885814829E-2</v>
      </c>
      <c r="L189" s="10"/>
    </row>
    <row r="190" spans="1:12" x14ac:dyDescent="0.2">
      <c r="A190" s="9">
        <v>21</v>
      </c>
      <c r="B190" s="9">
        <v>1</v>
      </c>
      <c r="C190" s="9"/>
      <c r="D190" s="10">
        <v>16.858974358974358</v>
      </c>
      <c r="E190" s="10">
        <f t="shared" si="4"/>
        <v>-4.1410256410256423</v>
      </c>
      <c r="G190" s="10">
        <f t="shared" si="5"/>
        <v>5.8389578885814829E-2</v>
      </c>
      <c r="L190" s="10"/>
    </row>
    <row r="191" spans="1:12" x14ac:dyDescent="0.2">
      <c r="A191" s="9">
        <v>22</v>
      </c>
      <c r="B191" s="9">
        <v>1</v>
      </c>
      <c r="C191" s="9"/>
      <c r="D191" s="10">
        <v>16.858974358974358</v>
      </c>
      <c r="E191" s="10">
        <f t="shared" si="4"/>
        <v>-5.1410256410256423</v>
      </c>
      <c r="G191" s="10">
        <f t="shared" si="5"/>
        <v>4.5191645925457373E-2</v>
      </c>
      <c r="L191" s="10"/>
    </row>
    <row r="192" spans="1:12" x14ac:dyDescent="0.2">
      <c r="A192" s="9">
        <v>18</v>
      </c>
      <c r="B192" s="9">
        <v>1</v>
      </c>
      <c r="C192" s="9"/>
      <c r="D192" s="10">
        <v>16.858974358974358</v>
      </c>
      <c r="E192" s="10">
        <f t="shared" si="4"/>
        <v>-1.1410256410256423</v>
      </c>
      <c r="G192" s="10">
        <f t="shared" si="5"/>
        <v>9.0428595220514676E-2</v>
      </c>
      <c r="L192" s="10"/>
    </row>
    <row r="193" spans="1:12" x14ac:dyDescent="0.2">
      <c r="A193" s="9">
        <v>18</v>
      </c>
      <c r="B193" s="9">
        <v>1</v>
      </c>
      <c r="C193" s="9"/>
      <c r="D193" s="10">
        <v>16.858974358974358</v>
      </c>
      <c r="E193" s="10">
        <f t="shared" si="4"/>
        <v>-1.1410256410256423</v>
      </c>
      <c r="G193" s="10">
        <f t="shared" si="5"/>
        <v>9.0428595220514676E-2</v>
      </c>
      <c r="L193" s="10"/>
    </row>
    <row r="194" spans="1:12" x14ac:dyDescent="0.2">
      <c r="A194" s="9">
        <v>18</v>
      </c>
      <c r="B194" s="9">
        <v>1</v>
      </c>
      <c r="C194" s="9"/>
      <c r="D194" s="10">
        <v>16.858974358974358</v>
      </c>
      <c r="E194" s="10">
        <f t="shared" si="4"/>
        <v>-1.1410256410256423</v>
      </c>
      <c r="G194" s="10">
        <f t="shared" si="5"/>
        <v>9.0428595220514676E-2</v>
      </c>
      <c r="L194" s="10"/>
    </row>
    <row r="195" spans="1:12" x14ac:dyDescent="0.2">
      <c r="A195" s="9">
        <v>24</v>
      </c>
      <c r="B195" s="9">
        <v>1</v>
      </c>
      <c r="C195" s="9"/>
      <c r="D195" s="10">
        <v>16.858974358974358</v>
      </c>
      <c r="E195" s="10">
        <f t="shared" ref="E195:E235" si="6">D195-A195</f>
        <v>-7.1410256410256423</v>
      </c>
      <c r="G195" s="10">
        <f t="shared" ref="G195:G235" si="7">_xlfn.NORM.DIST(E195,0,$F$2,FALSE)</f>
        <v>2.293893420103504E-2</v>
      </c>
      <c r="L195" s="10"/>
    </row>
    <row r="196" spans="1:12" x14ac:dyDescent="0.2">
      <c r="A196" s="9">
        <v>24</v>
      </c>
      <c r="B196" s="9">
        <v>1</v>
      </c>
      <c r="C196" s="9"/>
      <c r="D196" s="10">
        <v>16.858974358974358</v>
      </c>
      <c r="E196" s="10">
        <f t="shared" si="6"/>
        <v>-7.1410256410256423</v>
      </c>
      <c r="G196" s="10">
        <f t="shared" si="7"/>
        <v>2.293893420103504E-2</v>
      </c>
      <c r="L196" s="10"/>
    </row>
    <row r="197" spans="1:12" x14ac:dyDescent="0.2">
      <c r="A197" s="9">
        <v>26</v>
      </c>
      <c r="B197" s="9">
        <v>1</v>
      </c>
      <c r="C197" s="9"/>
      <c r="D197" s="10">
        <v>16.858974358974358</v>
      </c>
      <c r="E197" s="10">
        <f t="shared" si="6"/>
        <v>-9.1410256410256423</v>
      </c>
      <c r="G197" s="10">
        <f t="shared" si="7"/>
        <v>9.3364312813032559E-3</v>
      </c>
      <c r="L197" s="10"/>
    </row>
    <row r="198" spans="1:12" x14ac:dyDescent="0.2">
      <c r="A198" s="9">
        <v>28</v>
      </c>
      <c r="B198" s="9">
        <v>1</v>
      </c>
      <c r="C198" s="9"/>
      <c r="D198" s="10">
        <v>16.858974358974358</v>
      </c>
      <c r="E198" s="10">
        <f t="shared" si="6"/>
        <v>-11.141025641025642</v>
      </c>
      <c r="G198" s="10">
        <f t="shared" si="7"/>
        <v>3.0470611306731058E-3</v>
      </c>
      <c r="L198" s="10"/>
    </row>
    <row r="199" spans="1:12" x14ac:dyDescent="0.2">
      <c r="A199" s="9">
        <v>26</v>
      </c>
      <c r="B199" s="9">
        <v>1</v>
      </c>
      <c r="C199" s="9"/>
      <c r="D199" s="10">
        <v>16.858974358974358</v>
      </c>
      <c r="E199" s="10">
        <f t="shared" si="6"/>
        <v>-9.1410256410256423</v>
      </c>
      <c r="G199" s="10">
        <f t="shared" si="7"/>
        <v>9.3364312813032559E-3</v>
      </c>
      <c r="L199" s="10"/>
    </row>
    <row r="200" spans="1:12" x14ac:dyDescent="0.2">
      <c r="A200" s="9">
        <v>11</v>
      </c>
      <c r="B200" s="9">
        <v>1</v>
      </c>
      <c r="C200" s="9"/>
      <c r="D200" s="10">
        <v>16.858974358974358</v>
      </c>
      <c r="E200" s="10">
        <f t="shared" si="6"/>
        <v>5.8589743589743577</v>
      </c>
      <c r="G200" s="10">
        <f t="shared" si="7"/>
        <v>3.6339616015446226E-2</v>
      </c>
      <c r="L200" s="10"/>
    </row>
    <row r="201" spans="1:12" x14ac:dyDescent="0.2">
      <c r="A201" s="9">
        <v>13</v>
      </c>
      <c r="B201" s="9">
        <v>1</v>
      </c>
      <c r="C201" s="9"/>
      <c r="D201" s="10">
        <v>16.858974358974358</v>
      </c>
      <c r="E201" s="10">
        <f t="shared" si="6"/>
        <v>3.8589743589743577</v>
      </c>
      <c r="G201" s="10">
        <f t="shared" si="7"/>
        <v>6.2142132155231941E-2</v>
      </c>
      <c r="L201" s="10"/>
    </row>
    <row r="202" spans="1:12" x14ac:dyDescent="0.2">
      <c r="A202" s="9">
        <v>15</v>
      </c>
      <c r="B202" s="9">
        <v>1</v>
      </c>
      <c r="C202" s="9"/>
      <c r="D202" s="10">
        <v>16.858974358974358</v>
      </c>
      <c r="E202" s="10">
        <f t="shared" si="6"/>
        <v>1.8589743589743577</v>
      </c>
      <c r="G202" s="10">
        <f t="shared" si="7"/>
        <v>8.5208821600122359E-2</v>
      </c>
      <c r="L202" s="10"/>
    </row>
    <row r="203" spans="1:12" x14ac:dyDescent="0.2">
      <c r="A203" s="9">
        <v>16</v>
      </c>
      <c r="B203" s="9">
        <v>1</v>
      </c>
      <c r="C203" s="9"/>
      <c r="D203" s="10">
        <v>16.858974358974358</v>
      </c>
      <c r="E203" s="10">
        <f t="shared" si="6"/>
        <v>0.8589743589743577</v>
      </c>
      <c r="G203" s="10">
        <f t="shared" si="7"/>
        <v>9.1847742433773194E-2</v>
      </c>
      <c r="L203" s="10"/>
    </row>
    <row r="204" spans="1:12" x14ac:dyDescent="0.2">
      <c r="A204" s="9">
        <v>17</v>
      </c>
      <c r="B204" s="9">
        <v>1</v>
      </c>
      <c r="C204" s="9"/>
      <c r="D204" s="10">
        <v>16.858974358974358</v>
      </c>
      <c r="E204" s="10">
        <f t="shared" si="6"/>
        <v>-0.1410256410256423</v>
      </c>
      <c r="G204" s="10">
        <f t="shared" si="7"/>
        <v>9.3686186441259228E-2</v>
      </c>
      <c r="L204" s="10"/>
    </row>
    <row r="205" spans="1:12" x14ac:dyDescent="0.2">
      <c r="A205" s="9">
        <v>15</v>
      </c>
      <c r="B205" s="9">
        <v>1</v>
      </c>
      <c r="C205" s="9"/>
      <c r="D205" s="10">
        <v>16.858974358974358</v>
      </c>
      <c r="E205" s="10">
        <f t="shared" si="6"/>
        <v>1.8589743589743577</v>
      </c>
      <c r="G205" s="10">
        <f t="shared" si="7"/>
        <v>8.5208821600122359E-2</v>
      </c>
      <c r="L205" s="10"/>
    </row>
    <row r="206" spans="1:12" x14ac:dyDescent="0.2">
      <c r="A206" s="9">
        <v>15</v>
      </c>
      <c r="B206" s="9">
        <v>1</v>
      </c>
      <c r="C206" s="9"/>
      <c r="D206" s="10">
        <v>16.858974358974358</v>
      </c>
      <c r="E206" s="10">
        <f t="shared" si="6"/>
        <v>1.8589743589743577</v>
      </c>
      <c r="G206" s="10">
        <f t="shared" si="7"/>
        <v>8.5208821600122359E-2</v>
      </c>
      <c r="L206" s="10"/>
    </row>
    <row r="207" spans="1:12" x14ac:dyDescent="0.2">
      <c r="A207" s="9">
        <v>15</v>
      </c>
      <c r="B207" s="9">
        <v>1</v>
      </c>
      <c r="C207" s="9"/>
      <c r="D207" s="10">
        <v>16.858974358974358</v>
      </c>
      <c r="E207" s="10">
        <f t="shared" si="6"/>
        <v>1.8589743589743577</v>
      </c>
      <c r="G207" s="10">
        <f t="shared" si="7"/>
        <v>8.5208821600122359E-2</v>
      </c>
      <c r="L207" s="10"/>
    </row>
    <row r="208" spans="1:12" x14ac:dyDescent="0.2">
      <c r="A208" s="9">
        <v>16</v>
      </c>
      <c r="B208" s="9">
        <v>1</v>
      </c>
      <c r="C208" s="9"/>
      <c r="D208" s="10">
        <v>16.858974358974358</v>
      </c>
      <c r="E208" s="10">
        <f t="shared" si="6"/>
        <v>0.8589743589743577</v>
      </c>
      <c r="G208" s="10">
        <f t="shared" si="7"/>
        <v>9.1847742433773194E-2</v>
      </c>
      <c r="L208" s="10"/>
    </row>
    <row r="209" spans="1:12" x14ac:dyDescent="0.2">
      <c r="A209" s="9">
        <v>21</v>
      </c>
      <c r="B209" s="9">
        <v>1</v>
      </c>
      <c r="C209" s="9"/>
      <c r="D209" s="10">
        <v>16.858974358974358</v>
      </c>
      <c r="E209" s="10">
        <f t="shared" si="6"/>
        <v>-4.1410256410256423</v>
      </c>
      <c r="G209" s="10">
        <f t="shared" si="7"/>
        <v>5.8389578885814829E-2</v>
      </c>
      <c r="L209" s="10"/>
    </row>
    <row r="210" spans="1:12" x14ac:dyDescent="0.2">
      <c r="A210" s="9">
        <v>19</v>
      </c>
      <c r="B210" s="9">
        <v>1</v>
      </c>
      <c r="C210" s="9"/>
      <c r="D210" s="10">
        <v>16.858974358974358</v>
      </c>
      <c r="E210" s="10">
        <f t="shared" si="6"/>
        <v>-2.1410256410256423</v>
      </c>
      <c r="G210" s="10">
        <f t="shared" si="7"/>
        <v>8.2596026638649928E-2</v>
      </c>
      <c r="L210" s="10"/>
    </row>
    <row r="211" spans="1:12" x14ac:dyDescent="0.2">
      <c r="A211" s="9">
        <v>21</v>
      </c>
      <c r="B211" s="9">
        <v>1</v>
      </c>
      <c r="C211" s="9"/>
      <c r="D211" s="10">
        <v>16.858974358974358</v>
      </c>
      <c r="E211" s="10">
        <f t="shared" si="6"/>
        <v>-4.1410256410256423</v>
      </c>
      <c r="G211" s="10">
        <f t="shared" si="7"/>
        <v>5.8389578885814829E-2</v>
      </c>
      <c r="L211" s="10"/>
    </row>
    <row r="212" spans="1:12" x14ac:dyDescent="0.2">
      <c r="A212" s="9">
        <v>22</v>
      </c>
      <c r="B212" s="9">
        <v>1</v>
      </c>
      <c r="C212" s="9"/>
      <c r="D212" s="10">
        <v>16.858974358974358</v>
      </c>
      <c r="E212" s="10">
        <f t="shared" si="6"/>
        <v>-5.1410256410256423</v>
      </c>
      <c r="G212" s="10">
        <f t="shared" si="7"/>
        <v>4.5191645925457373E-2</v>
      </c>
      <c r="L212" s="10"/>
    </row>
    <row r="213" spans="1:12" x14ac:dyDescent="0.2">
      <c r="A213" s="9">
        <v>17</v>
      </c>
      <c r="B213" s="9">
        <v>1</v>
      </c>
      <c r="C213" s="9"/>
      <c r="D213" s="10">
        <v>16.858974358974358</v>
      </c>
      <c r="E213" s="10">
        <f t="shared" si="6"/>
        <v>-0.1410256410256423</v>
      </c>
      <c r="G213" s="10">
        <f t="shared" si="7"/>
        <v>9.3686186441259228E-2</v>
      </c>
      <c r="L213" s="10"/>
    </row>
    <row r="214" spans="1:12" x14ac:dyDescent="0.2">
      <c r="A214" s="9">
        <v>33</v>
      </c>
      <c r="B214" s="9">
        <v>1</v>
      </c>
      <c r="C214" s="9"/>
      <c r="D214" s="10">
        <v>16.858974358974358</v>
      </c>
      <c r="E214" s="10">
        <f t="shared" si="6"/>
        <v>-16.141025641025642</v>
      </c>
      <c r="G214" s="10">
        <f t="shared" si="7"/>
        <v>7.0556481624534586E-5</v>
      </c>
      <c r="L214" s="10"/>
    </row>
    <row r="215" spans="1:12" x14ac:dyDescent="0.2">
      <c r="A215" s="9">
        <v>21</v>
      </c>
      <c r="B215" s="9">
        <v>1</v>
      </c>
      <c r="C215" s="9"/>
      <c r="D215" s="10">
        <v>16.858974358974358</v>
      </c>
      <c r="E215" s="10">
        <f t="shared" si="6"/>
        <v>-4.1410256410256423</v>
      </c>
      <c r="G215" s="10">
        <f t="shared" si="7"/>
        <v>5.8389578885814829E-2</v>
      </c>
      <c r="L215" s="10"/>
    </row>
    <row r="216" spans="1:12" x14ac:dyDescent="0.2">
      <c r="A216" s="9">
        <v>19</v>
      </c>
      <c r="B216" s="9">
        <v>1</v>
      </c>
      <c r="C216" s="9"/>
      <c r="D216" s="10">
        <v>16.858974358974358</v>
      </c>
      <c r="E216" s="10">
        <f t="shared" si="6"/>
        <v>-2.1410256410256423</v>
      </c>
      <c r="G216" s="10">
        <f t="shared" si="7"/>
        <v>8.2596026638649928E-2</v>
      </c>
      <c r="L216" s="10"/>
    </row>
    <row r="217" spans="1:12" x14ac:dyDescent="0.2">
      <c r="A217" s="9">
        <v>22</v>
      </c>
      <c r="B217" s="9">
        <v>1</v>
      </c>
      <c r="C217" s="9"/>
      <c r="D217" s="10">
        <v>16.858974358974358</v>
      </c>
      <c r="E217" s="10">
        <f t="shared" si="6"/>
        <v>-5.1410256410256423</v>
      </c>
      <c r="G217" s="10">
        <f t="shared" si="7"/>
        <v>4.5191645925457373E-2</v>
      </c>
      <c r="L217" s="10"/>
    </row>
    <row r="218" spans="1:12" x14ac:dyDescent="0.2">
      <c r="A218" s="9">
        <v>21</v>
      </c>
      <c r="B218" s="9">
        <v>1</v>
      </c>
      <c r="C218" s="9"/>
      <c r="D218" s="10">
        <v>16.858974358974358</v>
      </c>
      <c r="E218" s="10">
        <f t="shared" si="6"/>
        <v>-4.1410256410256423</v>
      </c>
      <c r="G218" s="10">
        <f t="shared" si="7"/>
        <v>5.8389578885814829E-2</v>
      </c>
      <c r="L218" s="10"/>
    </row>
    <row r="219" spans="1:12" x14ac:dyDescent="0.2">
      <c r="A219" s="9">
        <v>21</v>
      </c>
      <c r="B219" s="9">
        <v>1</v>
      </c>
      <c r="C219" s="9"/>
      <c r="D219" s="10">
        <v>16.858974358974358</v>
      </c>
      <c r="E219" s="10">
        <f t="shared" si="6"/>
        <v>-4.1410256410256423</v>
      </c>
      <c r="G219" s="10">
        <f t="shared" si="7"/>
        <v>5.8389578885814829E-2</v>
      </c>
      <c r="L219" s="10"/>
    </row>
    <row r="220" spans="1:12" x14ac:dyDescent="0.2">
      <c r="A220" s="9">
        <v>21</v>
      </c>
      <c r="B220" s="9">
        <v>1</v>
      </c>
      <c r="C220" s="9"/>
      <c r="D220" s="10">
        <v>16.858974358974358</v>
      </c>
      <c r="E220" s="10">
        <f t="shared" si="6"/>
        <v>-4.1410256410256423</v>
      </c>
      <c r="G220" s="10">
        <f t="shared" si="7"/>
        <v>5.8389578885814829E-2</v>
      </c>
      <c r="L220" s="10"/>
    </row>
    <row r="221" spans="1:12" x14ac:dyDescent="0.2">
      <c r="A221" s="9">
        <v>16</v>
      </c>
      <c r="B221" s="9">
        <v>1</v>
      </c>
      <c r="C221" s="9"/>
      <c r="D221" s="10">
        <v>16.858974358974358</v>
      </c>
      <c r="E221" s="10">
        <f t="shared" si="6"/>
        <v>0.8589743589743577</v>
      </c>
      <c r="G221" s="10">
        <f t="shared" si="7"/>
        <v>9.1847742433773194E-2</v>
      </c>
      <c r="L221" s="10"/>
    </row>
    <row r="222" spans="1:12" x14ac:dyDescent="0.2">
      <c r="A222" s="9">
        <v>17</v>
      </c>
      <c r="B222" s="9">
        <v>1</v>
      </c>
      <c r="C222" s="9"/>
      <c r="D222" s="10">
        <v>16.858974358974358</v>
      </c>
      <c r="E222" s="10">
        <f t="shared" si="6"/>
        <v>-0.1410256410256423</v>
      </c>
      <c r="G222" s="10">
        <f t="shared" si="7"/>
        <v>9.3686186441259228E-2</v>
      </c>
      <c r="L222" s="10"/>
    </row>
    <row r="223" spans="1:12" x14ac:dyDescent="0.2">
      <c r="A223" s="9">
        <v>35</v>
      </c>
      <c r="B223" s="9">
        <v>1</v>
      </c>
      <c r="C223" s="9"/>
      <c r="D223" s="10">
        <v>16.858974358974358</v>
      </c>
      <c r="E223" s="10">
        <f t="shared" si="6"/>
        <v>-18.141025641025642</v>
      </c>
      <c r="G223" s="10">
        <f t="shared" si="7"/>
        <v>1.0630685082524548E-5</v>
      </c>
      <c r="L223" s="10"/>
    </row>
    <row r="224" spans="1:12" x14ac:dyDescent="0.2">
      <c r="A224" s="9">
        <v>29</v>
      </c>
      <c r="B224" s="9">
        <v>1</v>
      </c>
      <c r="C224" s="9"/>
      <c r="D224" s="10">
        <v>16.858974358974358</v>
      </c>
      <c r="E224" s="10">
        <f t="shared" si="6"/>
        <v>-12.141025641025642</v>
      </c>
      <c r="G224" s="10">
        <f t="shared" si="7"/>
        <v>1.60238186282746E-3</v>
      </c>
      <c r="L224" s="10"/>
    </row>
    <row r="225" spans="1:12" x14ac:dyDescent="0.2">
      <c r="A225" s="9">
        <v>21</v>
      </c>
      <c r="B225" s="9">
        <v>1</v>
      </c>
      <c r="C225" s="9"/>
      <c r="D225" s="10">
        <v>16.858974358974358</v>
      </c>
      <c r="E225" s="10">
        <f t="shared" si="6"/>
        <v>-4.1410256410256423</v>
      </c>
      <c r="G225" s="10">
        <f t="shared" si="7"/>
        <v>5.8389578885814829E-2</v>
      </c>
      <c r="L225" s="10"/>
    </row>
    <row r="226" spans="1:12" x14ac:dyDescent="0.2">
      <c r="A226" s="9">
        <v>19</v>
      </c>
      <c r="B226" s="9">
        <v>1</v>
      </c>
      <c r="C226" s="9"/>
      <c r="D226" s="10">
        <v>16.858974358974358</v>
      </c>
      <c r="E226" s="10">
        <f t="shared" si="6"/>
        <v>-2.1410256410256423</v>
      </c>
      <c r="G226" s="10">
        <f t="shared" si="7"/>
        <v>8.2596026638649928E-2</v>
      </c>
      <c r="L226" s="10"/>
    </row>
    <row r="227" spans="1:12" x14ac:dyDescent="0.2">
      <c r="A227" s="9">
        <v>20</v>
      </c>
      <c r="B227" s="9">
        <v>1</v>
      </c>
      <c r="C227" s="9"/>
      <c r="D227" s="10">
        <v>16.858974358974358</v>
      </c>
      <c r="E227" s="10">
        <f t="shared" si="6"/>
        <v>-3.1410256410256423</v>
      </c>
      <c r="G227" s="10">
        <f t="shared" si="7"/>
        <v>7.138971945227178E-2</v>
      </c>
      <c r="L227" s="10"/>
    </row>
    <row r="228" spans="1:12" x14ac:dyDescent="0.2">
      <c r="A228" s="9">
        <v>20</v>
      </c>
      <c r="B228" s="9">
        <v>1</v>
      </c>
      <c r="C228" s="9"/>
      <c r="D228" s="10">
        <v>16.858974358974358</v>
      </c>
      <c r="E228" s="10">
        <f t="shared" si="6"/>
        <v>-3.1410256410256423</v>
      </c>
      <c r="G228" s="10">
        <f t="shared" si="7"/>
        <v>7.138971945227178E-2</v>
      </c>
      <c r="L228" s="10"/>
    </row>
    <row r="229" spans="1:12" x14ac:dyDescent="0.2">
      <c r="A229" s="9">
        <v>21</v>
      </c>
      <c r="B229" s="9">
        <v>1</v>
      </c>
      <c r="C229" s="9"/>
      <c r="D229" s="10">
        <v>16.858974358974358</v>
      </c>
      <c r="E229" s="10">
        <f t="shared" si="6"/>
        <v>-4.1410256410256423</v>
      </c>
      <c r="G229" s="10">
        <f t="shared" si="7"/>
        <v>5.8389578885814829E-2</v>
      </c>
      <c r="L229" s="10"/>
    </row>
    <row r="230" spans="1:12" x14ac:dyDescent="0.2">
      <c r="A230" s="9">
        <v>18</v>
      </c>
      <c r="B230" s="9">
        <v>1</v>
      </c>
      <c r="C230" s="9"/>
      <c r="D230" s="10">
        <v>16.858974358974358</v>
      </c>
      <c r="E230" s="10">
        <f t="shared" si="6"/>
        <v>-1.1410256410256423</v>
      </c>
      <c r="G230" s="10">
        <f t="shared" si="7"/>
        <v>9.0428595220514676E-2</v>
      </c>
      <c r="L230" s="10"/>
    </row>
    <row r="231" spans="1:12" x14ac:dyDescent="0.2">
      <c r="A231" s="9">
        <v>19</v>
      </c>
      <c r="B231" s="9">
        <v>1</v>
      </c>
      <c r="C231" s="9"/>
      <c r="D231" s="10">
        <v>16.858974358974358</v>
      </c>
      <c r="E231" s="10">
        <f t="shared" si="6"/>
        <v>-2.1410256410256423</v>
      </c>
      <c r="G231" s="10">
        <f t="shared" si="7"/>
        <v>8.2596026638649928E-2</v>
      </c>
      <c r="L231" s="10"/>
    </row>
    <row r="232" spans="1:12" x14ac:dyDescent="0.2">
      <c r="A232" s="9">
        <v>21</v>
      </c>
      <c r="B232" s="9">
        <v>1</v>
      </c>
      <c r="C232" s="9"/>
      <c r="D232" s="10">
        <v>16.858974358974358</v>
      </c>
      <c r="E232" s="10">
        <f t="shared" si="6"/>
        <v>-4.1410256410256423</v>
      </c>
      <c r="G232" s="10">
        <f t="shared" si="7"/>
        <v>5.8389578885814829E-2</v>
      </c>
      <c r="L232" s="10"/>
    </row>
    <row r="233" spans="1:12" x14ac:dyDescent="0.2">
      <c r="A233" s="9">
        <v>16</v>
      </c>
      <c r="B233" s="9">
        <v>1</v>
      </c>
      <c r="C233" s="9"/>
      <c r="D233" s="10">
        <v>16.858974358974358</v>
      </c>
      <c r="E233" s="10">
        <f t="shared" si="6"/>
        <v>0.8589743589743577</v>
      </c>
      <c r="G233" s="10">
        <f t="shared" si="7"/>
        <v>9.1847742433773194E-2</v>
      </c>
      <c r="L233" s="10"/>
    </row>
    <row r="234" spans="1:12" x14ac:dyDescent="0.2">
      <c r="A234" s="9">
        <v>18</v>
      </c>
      <c r="B234" s="9">
        <v>1</v>
      </c>
      <c r="C234" s="9"/>
      <c r="D234" s="10">
        <v>16.858974358974358</v>
      </c>
      <c r="E234" s="10">
        <f t="shared" si="6"/>
        <v>-1.1410256410256423</v>
      </c>
      <c r="G234" s="10">
        <f t="shared" si="7"/>
        <v>9.0428595220514676E-2</v>
      </c>
      <c r="L234" s="10"/>
    </row>
    <row r="235" spans="1:12" x14ac:dyDescent="0.2">
      <c r="A235" s="9">
        <v>17</v>
      </c>
      <c r="B235" s="9">
        <v>1</v>
      </c>
      <c r="C235" s="9"/>
      <c r="D235" s="10">
        <v>16.858974358974358</v>
      </c>
      <c r="E235" s="10">
        <f t="shared" si="6"/>
        <v>-0.1410256410256423</v>
      </c>
      <c r="G235" s="10">
        <f t="shared" si="7"/>
        <v>9.3686186441259228E-2</v>
      </c>
      <c r="L235" s="10"/>
    </row>
  </sheetData>
  <hyperlinks>
    <hyperlink ref="K23" r:id="rId1" xr:uid="{6FF9A7E4-9F5A-B04D-A55F-4118178FE758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0"/>
    <col min="13" max="16384" width="14.5" style="10"/>
  </cols>
  <sheetData>
    <row r="1" spans="1:15" x14ac:dyDescent="0.2">
      <c r="A1" s="9" t="s">
        <v>28</v>
      </c>
      <c r="B1" s="9" t="s">
        <v>107</v>
      </c>
      <c r="C1" s="9" t="s">
        <v>29</v>
      </c>
      <c r="D1" s="10" t="s">
        <v>108</v>
      </c>
      <c r="E1" s="10" t="s">
        <v>109</v>
      </c>
      <c r="F1" s="10" t="s">
        <v>110</v>
      </c>
      <c r="G1" s="10" t="s">
        <v>112</v>
      </c>
      <c r="H1" s="10" t="s">
        <v>111</v>
      </c>
      <c r="I1" s="10" t="s">
        <v>114</v>
      </c>
      <c r="J1" s="10" t="s">
        <v>0</v>
      </c>
      <c r="K1" s="10" t="s">
        <v>113</v>
      </c>
      <c r="L1" s="10"/>
      <c r="M1" s="10" t="s">
        <v>121</v>
      </c>
    </row>
    <row r="2" spans="1:15" x14ac:dyDescent="0.2">
      <c r="A2" s="9">
        <v>18</v>
      </c>
      <c r="B2" s="9">
        <v>1</v>
      </c>
      <c r="C2" s="9">
        <f t="array" aca="1" ref="C2:C235" ca="1">INDIRECT(C1)</f>
        <v>29</v>
      </c>
      <c r="D2" s="10" cm="1">
        <f t="array" aca="1" ref="D2:D235" ca="1">TREND(A2:A235,B2:C235,,FALSE)</f>
        <v>20.657555830168075</v>
      </c>
      <c r="E2" s="10">
        <f ca="1">D2-A2</f>
        <v>2.6575558301680751</v>
      </c>
      <c r="F2" s="10">
        <f ca="1">STDEV(E2:E235)</f>
        <v>1.2497181822870325</v>
      </c>
      <c r="G2" s="10">
        <f ca="1">_xlfn.NORM.DIST(E2,0,$F$2,FALSE)</f>
        <v>3.327632904268165E-2</v>
      </c>
      <c r="H2" s="10" cm="1">
        <f t="array" aca="1" ref="H2" ca="1">SUM(LN(G2:G235))</f>
        <v>-383.6944455535961</v>
      </c>
      <c r="I2" s="10">
        <f>COUNT(A2:A235)</f>
        <v>234</v>
      </c>
      <c r="J2" s="10">
        <v>2</v>
      </c>
      <c r="K2" s="10">
        <f ca="1">-2*H2+2*J2</f>
        <v>771.38889110719219</v>
      </c>
      <c r="L2" s="10"/>
      <c r="N2" s="10" t="s">
        <v>120</v>
      </c>
      <c r="O2" s="10" t="s">
        <v>113</v>
      </c>
    </row>
    <row r="3" spans="1:15" x14ac:dyDescent="0.2">
      <c r="A3" s="9">
        <v>21</v>
      </c>
      <c r="B3" s="9">
        <v>1</v>
      </c>
      <c r="C3" s="9">
        <f ca="1"/>
        <v>29</v>
      </c>
      <c r="D3" s="10">
        <f ca="1"/>
        <v>20.657555830168075</v>
      </c>
      <c r="E3" s="10">
        <f t="shared" ref="E3:E66" ca="1" si="0">D3-A3</f>
        <v>-0.34244416983192494</v>
      </c>
      <c r="G3" s="10">
        <f t="shared" ref="G3:G66" ca="1" si="1">_xlfn.NORM.DIST(E3,0,$F$2,FALSE)</f>
        <v>0.30746337812452051</v>
      </c>
      <c r="L3" s="10"/>
      <c r="M3" s="11"/>
      <c r="N3" s="11">
        <f ca="1">K8</f>
        <v>107.32351470807653</v>
      </c>
      <c r="O3" s="11">
        <f ca="1">K14</f>
        <v>771.38674824786335</v>
      </c>
    </row>
    <row r="4" spans="1:15" x14ac:dyDescent="0.2">
      <c r="A4" s="9">
        <v>20</v>
      </c>
      <c r="B4" s="9">
        <v>1</v>
      </c>
      <c r="C4" s="9">
        <f ca="1"/>
        <v>31</v>
      </c>
      <c r="D4" s="10">
        <f ca="1"/>
        <v>22.023994053472194</v>
      </c>
      <c r="E4" s="10">
        <f t="shared" ca="1" si="0"/>
        <v>2.0239940534721939</v>
      </c>
      <c r="G4" s="10">
        <f t="shared" ca="1" si="1"/>
        <v>8.6005458292729375E-2</v>
      </c>
      <c r="H4" s="10" t="s">
        <v>115</v>
      </c>
      <c r="I4" s="10" t="s">
        <v>116</v>
      </c>
      <c r="L4" s="10"/>
      <c r="M4" s="11" t="s">
        <v>23</v>
      </c>
      <c r="N4" s="12">
        <f t="dataTable" ref="N4:O7" dt2D="0" dtr="0" r1="C1" ca="1"/>
        <v>443.27246802336475</v>
      </c>
      <c r="O4" s="12">
        <v>1107.3357015631516</v>
      </c>
    </row>
    <row r="5" spans="1:15" x14ac:dyDescent="0.2">
      <c r="A5" s="9">
        <v>21</v>
      </c>
      <c r="B5" s="9">
        <v>1</v>
      </c>
      <c r="C5" s="9">
        <f ca="1"/>
        <v>30</v>
      </c>
      <c r="D5" s="10">
        <f ca="1"/>
        <v>21.340774941820136</v>
      </c>
      <c r="E5" s="10">
        <f t="shared" ca="1" si="0"/>
        <v>0.34077494182013623</v>
      </c>
      <c r="G5" s="10">
        <f t="shared" ca="1" si="1"/>
        <v>0.30757565599758996</v>
      </c>
      <c r="H5" s="10">
        <f ca="1">SUMSQ(E2:E235)</f>
        <v>363.8983596873415</v>
      </c>
      <c r="I5" s="10">
        <f ca="1">H5/I2</f>
        <v>1.5551211952450492</v>
      </c>
      <c r="L5" s="10"/>
      <c r="M5" s="11" t="s">
        <v>24</v>
      </c>
      <c r="N5" s="12">
        <v>680.48560175849059</v>
      </c>
      <c r="O5" s="12">
        <v>1344.5488352982775</v>
      </c>
    </row>
    <row r="6" spans="1:15" x14ac:dyDescent="0.2">
      <c r="A6" s="9">
        <v>16</v>
      </c>
      <c r="B6" s="9">
        <v>1</v>
      </c>
      <c r="C6" s="9">
        <f ca="1"/>
        <v>26</v>
      </c>
      <c r="D6" s="10">
        <f ca="1"/>
        <v>18.607898495211895</v>
      </c>
      <c r="E6" s="10">
        <f t="shared" ca="1" si="0"/>
        <v>2.6078984952118951</v>
      </c>
      <c r="G6" s="10">
        <f t="shared" ca="1" si="1"/>
        <v>3.6181717224349638E-2</v>
      </c>
      <c r="L6" s="10"/>
      <c r="M6" s="11" t="s">
        <v>25</v>
      </c>
      <c r="N6" s="12">
        <v>435.64100584426035</v>
      </c>
      <c r="O6" s="12">
        <v>1099.7042393840472</v>
      </c>
    </row>
    <row r="7" spans="1:15" x14ac:dyDescent="0.2">
      <c r="A7" s="9">
        <v>18</v>
      </c>
      <c r="B7" s="9">
        <v>1</v>
      </c>
      <c r="C7" s="9">
        <f ca="1"/>
        <v>26</v>
      </c>
      <c r="D7" s="10">
        <f ca="1"/>
        <v>18.607898495211895</v>
      </c>
      <c r="E7" s="10">
        <f t="shared" ca="1" si="0"/>
        <v>0.6078984952118951</v>
      </c>
      <c r="G7" s="10">
        <f t="shared" ca="1" si="1"/>
        <v>0.28360781451993688</v>
      </c>
      <c r="H7" s="10" t="s">
        <v>118</v>
      </c>
      <c r="K7" s="10" t="s">
        <v>120</v>
      </c>
      <c r="L7" s="10"/>
      <c r="M7" s="11" t="s">
        <v>29</v>
      </c>
      <c r="N7" s="12">
        <v>107.32351470807653</v>
      </c>
      <c r="O7" s="12">
        <v>771.38674824786335</v>
      </c>
    </row>
    <row r="8" spans="1:15" x14ac:dyDescent="0.2">
      <c r="A8" s="9">
        <v>18</v>
      </c>
      <c r="B8" s="9">
        <v>1</v>
      </c>
      <c r="C8" s="9">
        <f ca="1"/>
        <v>27</v>
      </c>
      <c r="D8" s="10">
        <f ca="1"/>
        <v>19.291117606863956</v>
      </c>
      <c r="E8" s="10">
        <f t="shared" ca="1" si="0"/>
        <v>1.2911176068639563</v>
      </c>
      <c r="G8" s="10">
        <f t="shared" ca="1" si="1"/>
        <v>0.18720849951963059</v>
      </c>
      <c r="H8" s="10">
        <f ca="1">I2*LN(I5)</f>
        <v>103.32351470807653</v>
      </c>
      <c r="K8" s="10">
        <f ca="1">H8+2*J2</f>
        <v>107.32351470807653</v>
      </c>
      <c r="L8" s="10"/>
    </row>
    <row r="9" spans="1:15" x14ac:dyDescent="0.2">
      <c r="A9" s="9">
        <v>18</v>
      </c>
      <c r="B9" s="9">
        <v>1</v>
      </c>
      <c r="C9" s="9">
        <f ca="1"/>
        <v>26</v>
      </c>
      <c r="D9" s="10">
        <f ca="1"/>
        <v>18.607898495211895</v>
      </c>
      <c r="E9" s="10">
        <f t="shared" ca="1" si="0"/>
        <v>0.6078984952118951</v>
      </c>
      <c r="G9" s="10">
        <f t="shared" ca="1" si="1"/>
        <v>0.28360781451993688</v>
      </c>
      <c r="L9" s="10"/>
    </row>
    <row r="10" spans="1:15" x14ac:dyDescent="0.2">
      <c r="A10" s="9">
        <v>16</v>
      </c>
      <c r="B10" s="9">
        <v>1</v>
      </c>
      <c r="C10" s="9">
        <f ca="1"/>
        <v>25</v>
      </c>
      <c r="D10" s="10">
        <f ca="1"/>
        <v>17.924679383559837</v>
      </c>
      <c r="E10" s="10">
        <f t="shared" ca="1" si="0"/>
        <v>1.9246793835598375</v>
      </c>
      <c r="G10" s="10">
        <f t="shared" ca="1" si="1"/>
        <v>9.7510391399401958E-2</v>
      </c>
      <c r="H10" s="10" t="s">
        <v>119</v>
      </c>
      <c r="L10" s="10"/>
    </row>
    <row r="11" spans="1:15" x14ac:dyDescent="0.2">
      <c r="A11" s="9">
        <v>20</v>
      </c>
      <c r="B11" s="9">
        <v>1</v>
      </c>
      <c r="C11" s="9">
        <f ca="1"/>
        <v>28</v>
      </c>
      <c r="D11" s="10">
        <f ca="1"/>
        <v>19.974336718516017</v>
      </c>
      <c r="E11" s="10">
        <f t="shared" ca="1" si="0"/>
        <v>-2.5663281483982558E-2</v>
      </c>
      <c r="G11" s="10">
        <f t="shared" ca="1" si="1"/>
        <v>0.31915849397187074</v>
      </c>
      <c r="H11" s="10">
        <f>I2*LN(2*PI())</f>
        <v>430.06323353978684</v>
      </c>
      <c r="L11" s="10"/>
    </row>
    <row r="12" spans="1:15" x14ac:dyDescent="0.2">
      <c r="A12" s="9">
        <v>19</v>
      </c>
      <c r="B12" s="9">
        <v>1</v>
      </c>
      <c r="C12" s="9">
        <f ca="1"/>
        <v>27</v>
      </c>
      <c r="D12" s="10">
        <f ca="1"/>
        <v>19.291117606863956</v>
      </c>
      <c r="E12" s="10">
        <f t="shared" ca="1" si="0"/>
        <v>0.29111760686395627</v>
      </c>
      <c r="G12" s="10">
        <f t="shared" ca="1" si="1"/>
        <v>0.31068098494392388</v>
      </c>
      <c r="L12" s="10"/>
    </row>
    <row r="13" spans="1:15" x14ac:dyDescent="0.2">
      <c r="A13" s="9">
        <v>15</v>
      </c>
      <c r="B13" s="9">
        <v>1</v>
      </c>
      <c r="C13" s="9">
        <f ca="1"/>
        <v>25</v>
      </c>
      <c r="D13" s="10">
        <f ca="1"/>
        <v>17.924679383559837</v>
      </c>
      <c r="E13" s="10">
        <f t="shared" ca="1" si="0"/>
        <v>2.9246793835598375</v>
      </c>
      <c r="G13" s="10">
        <f t="shared" ca="1" si="1"/>
        <v>2.0644814857305384E-2</v>
      </c>
      <c r="H13" s="10" t="s">
        <v>117</v>
      </c>
      <c r="K13" s="10" t="s">
        <v>113</v>
      </c>
      <c r="L13" s="10"/>
    </row>
    <row r="14" spans="1:15" x14ac:dyDescent="0.2">
      <c r="A14" s="9">
        <v>17</v>
      </c>
      <c r="B14" s="9">
        <v>1</v>
      </c>
      <c r="C14" s="9">
        <f ca="1"/>
        <v>25</v>
      </c>
      <c r="D14" s="10">
        <f ca="1"/>
        <v>17.924679383559837</v>
      </c>
      <c r="E14" s="10">
        <f t="shared" ca="1" si="0"/>
        <v>0.92467938355983748</v>
      </c>
      <c r="G14" s="10">
        <f t="shared" ca="1" si="1"/>
        <v>0.24278226945780421</v>
      </c>
      <c r="H14" s="10">
        <f ca="1">H8+H11+I2</f>
        <v>767.38674824786335</v>
      </c>
      <c r="K14" s="10">
        <f ca="1">H14+2*J2</f>
        <v>771.38674824786335</v>
      </c>
      <c r="L14" s="10"/>
    </row>
    <row r="15" spans="1:15" x14ac:dyDescent="0.2">
      <c r="A15" s="9">
        <v>17</v>
      </c>
      <c r="B15" s="9">
        <v>1</v>
      </c>
      <c r="C15" s="9">
        <f ca="1"/>
        <v>25</v>
      </c>
      <c r="D15" s="10">
        <f ca="1"/>
        <v>17.924679383559837</v>
      </c>
      <c r="E15" s="10">
        <f t="shared" ca="1" si="0"/>
        <v>0.92467938355983748</v>
      </c>
      <c r="G15" s="10">
        <f t="shared" ca="1" si="1"/>
        <v>0.24278226945780421</v>
      </c>
      <c r="L15" s="10"/>
    </row>
    <row r="16" spans="1:15" x14ac:dyDescent="0.2">
      <c r="A16" s="9">
        <v>15</v>
      </c>
      <c r="B16" s="9">
        <v>1</v>
      </c>
      <c r="C16" s="9">
        <f ca="1"/>
        <v>25</v>
      </c>
      <c r="D16" s="10">
        <f ca="1"/>
        <v>17.924679383559837</v>
      </c>
      <c r="E16" s="10">
        <f t="shared" ca="1" si="0"/>
        <v>2.9246793835598375</v>
      </c>
      <c r="G16" s="10">
        <f t="shared" ca="1" si="1"/>
        <v>2.0644814857305384E-2</v>
      </c>
      <c r="L16" s="10"/>
    </row>
    <row r="17" spans="1:12" x14ac:dyDescent="0.2">
      <c r="A17" s="9">
        <v>15</v>
      </c>
      <c r="B17" s="9">
        <v>1</v>
      </c>
      <c r="C17" s="9">
        <f ca="1"/>
        <v>24</v>
      </c>
      <c r="D17" s="10">
        <f ca="1"/>
        <v>17.241460271907776</v>
      </c>
      <c r="E17" s="10">
        <f t="shared" ca="1" si="0"/>
        <v>2.2414602719077763</v>
      </c>
      <c r="G17" s="10">
        <f t="shared" ca="1" si="1"/>
        <v>6.3908179860316897E-2</v>
      </c>
      <c r="L17" s="10"/>
    </row>
    <row r="18" spans="1:12" x14ac:dyDescent="0.2">
      <c r="A18" s="9">
        <v>17</v>
      </c>
      <c r="B18" s="9">
        <v>1</v>
      </c>
      <c r="C18" s="9">
        <f ca="1"/>
        <v>25</v>
      </c>
      <c r="D18" s="10">
        <f ca="1"/>
        <v>17.924679383559837</v>
      </c>
      <c r="E18" s="10">
        <f t="shared" ca="1" si="0"/>
        <v>0.92467938355983748</v>
      </c>
      <c r="G18" s="10">
        <f t="shared" ca="1" si="1"/>
        <v>0.24278226945780421</v>
      </c>
      <c r="L18" s="10"/>
    </row>
    <row r="19" spans="1:12" x14ac:dyDescent="0.2">
      <c r="A19" s="9">
        <v>16</v>
      </c>
      <c r="B19" s="9">
        <v>1</v>
      </c>
      <c r="C19" s="9">
        <f ca="1"/>
        <v>23</v>
      </c>
      <c r="D19" s="10">
        <f ca="1"/>
        <v>16.558241160255715</v>
      </c>
      <c r="E19" s="10">
        <f t="shared" ca="1" si="0"/>
        <v>0.55824116025571513</v>
      </c>
      <c r="G19" s="10">
        <f t="shared" ca="1" si="1"/>
        <v>0.28891457937292003</v>
      </c>
      <c r="L19" s="10"/>
    </row>
    <row r="20" spans="1:12" x14ac:dyDescent="0.2">
      <c r="A20" s="9">
        <v>14</v>
      </c>
      <c r="B20" s="9">
        <v>1</v>
      </c>
      <c r="C20" s="9">
        <f ca="1"/>
        <v>20</v>
      </c>
      <c r="D20" s="10">
        <f ca="1"/>
        <v>14.508583825299539</v>
      </c>
      <c r="E20" s="10">
        <f t="shared" ca="1" si="0"/>
        <v>0.50858382529953872</v>
      </c>
      <c r="G20" s="10">
        <f t="shared" ca="1" si="1"/>
        <v>0.29385631906225068</v>
      </c>
      <c r="L20" s="10"/>
    </row>
    <row r="21" spans="1:12" x14ac:dyDescent="0.2">
      <c r="A21" s="9">
        <v>11</v>
      </c>
      <c r="B21" s="9">
        <v>1</v>
      </c>
      <c r="C21" s="9">
        <f ca="1"/>
        <v>15</v>
      </c>
      <c r="D21" s="10">
        <f ca="1"/>
        <v>11.09248826703924</v>
      </c>
      <c r="E21" s="10">
        <f t="shared" ca="1" si="0"/>
        <v>9.2488267039239958E-2</v>
      </c>
      <c r="G21" s="10">
        <f t="shared" ca="1" si="1"/>
        <v>0.31835277839425191</v>
      </c>
      <c r="J21" s="15"/>
      <c r="K21" s="16"/>
      <c r="L21" s="17"/>
    </row>
    <row r="22" spans="1:12" x14ac:dyDescent="0.2">
      <c r="A22" s="9">
        <v>14</v>
      </c>
      <c r="B22" s="9">
        <v>1</v>
      </c>
      <c r="C22" s="9">
        <f ca="1"/>
        <v>20</v>
      </c>
      <c r="D22" s="10">
        <f ca="1"/>
        <v>14.508583825299539</v>
      </c>
      <c r="E22" s="10">
        <f t="shared" ca="1" si="0"/>
        <v>0.50858382529953872</v>
      </c>
      <c r="G22" s="10">
        <f t="shared" ca="1" si="1"/>
        <v>0.29385631906225068</v>
      </c>
      <c r="J22" s="18"/>
      <c r="K22" s="19" t="s">
        <v>201</v>
      </c>
      <c r="L22" s="20"/>
    </row>
    <row r="23" spans="1:12" x14ac:dyDescent="0.2">
      <c r="A23" s="9">
        <v>13</v>
      </c>
      <c r="B23" s="9">
        <v>1</v>
      </c>
      <c r="C23" s="9">
        <f ca="1"/>
        <v>17</v>
      </c>
      <c r="D23" s="10">
        <f ca="1"/>
        <v>12.458926490343359</v>
      </c>
      <c r="E23" s="10">
        <f t="shared" ca="1" si="0"/>
        <v>-0.54107350965664125</v>
      </c>
      <c r="G23" s="10">
        <f t="shared" ca="1" si="1"/>
        <v>0.29066547731752662</v>
      </c>
      <c r="J23" s="18"/>
      <c r="K23" s="24" t="s">
        <v>202</v>
      </c>
      <c r="L23" s="20"/>
    </row>
    <row r="24" spans="1:12" x14ac:dyDescent="0.2">
      <c r="A24" s="9">
        <v>12</v>
      </c>
      <c r="B24" s="9">
        <v>1</v>
      </c>
      <c r="C24" s="9">
        <f ca="1"/>
        <v>17</v>
      </c>
      <c r="D24" s="10">
        <f ca="1"/>
        <v>12.458926490343359</v>
      </c>
      <c r="E24" s="10">
        <f t="shared" ca="1" si="0"/>
        <v>0.45892649034335875</v>
      </c>
      <c r="G24" s="10">
        <f t="shared" ca="1" si="1"/>
        <v>0.29841106438288428</v>
      </c>
      <c r="J24" s="18"/>
      <c r="K24" s="19"/>
      <c r="L24" s="20"/>
    </row>
    <row r="25" spans="1:12" x14ac:dyDescent="0.2">
      <c r="A25" s="9">
        <v>16</v>
      </c>
      <c r="B25" s="9">
        <v>1</v>
      </c>
      <c r="C25" s="9">
        <f ca="1"/>
        <v>26</v>
      </c>
      <c r="D25" s="10">
        <f ca="1"/>
        <v>18.607898495211895</v>
      </c>
      <c r="E25" s="10">
        <f t="shared" ca="1" si="0"/>
        <v>2.6078984952118951</v>
      </c>
      <c r="G25" s="10">
        <f t="shared" ca="1" si="1"/>
        <v>3.6181717224349638E-2</v>
      </c>
      <c r="J25" s="21"/>
      <c r="K25" s="22"/>
      <c r="L25" s="23"/>
    </row>
    <row r="26" spans="1:12" x14ac:dyDescent="0.2">
      <c r="A26" s="9">
        <v>15</v>
      </c>
      <c r="B26" s="9">
        <v>1</v>
      </c>
      <c r="C26" s="9">
        <f ca="1"/>
        <v>23</v>
      </c>
      <c r="D26" s="10">
        <f ca="1"/>
        <v>16.558241160255715</v>
      </c>
      <c r="E26" s="10">
        <f t="shared" ca="1" si="0"/>
        <v>1.5582411602557151</v>
      </c>
      <c r="G26" s="10">
        <f t="shared" ca="1" si="1"/>
        <v>0.1467237015411641</v>
      </c>
      <c r="L26" s="10"/>
    </row>
    <row r="27" spans="1:12" x14ac:dyDescent="0.2">
      <c r="A27" s="9">
        <v>16</v>
      </c>
      <c r="B27" s="9">
        <v>1</v>
      </c>
      <c r="C27" s="9">
        <f ca="1"/>
        <v>26</v>
      </c>
      <c r="D27" s="10">
        <f ca="1"/>
        <v>18.607898495211895</v>
      </c>
      <c r="E27" s="10">
        <f t="shared" ca="1" si="0"/>
        <v>2.6078984952118951</v>
      </c>
      <c r="G27" s="10">
        <f t="shared" ca="1" si="1"/>
        <v>3.6181717224349638E-2</v>
      </c>
      <c r="L27" s="10"/>
    </row>
    <row r="28" spans="1:12" x14ac:dyDescent="0.2">
      <c r="A28" s="9">
        <v>15</v>
      </c>
      <c r="B28" s="9">
        <v>1</v>
      </c>
      <c r="C28" s="9">
        <f ca="1"/>
        <v>25</v>
      </c>
      <c r="D28" s="10">
        <f ca="1"/>
        <v>17.924679383559837</v>
      </c>
      <c r="E28" s="10">
        <f t="shared" ca="1" si="0"/>
        <v>2.9246793835598375</v>
      </c>
      <c r="G28" s="10">
        <f t="shared" ca="1" si="1"/>
        <v>2.0644814857305384E-2</v>
      </c>
      <c r="L28" s="10"/>
    </row>
    <row r="29" spans="1:12" x14ac:dyDescent="0.2">
      <c r="A29" s="9">
        <v>15</v>
      </c>
      <c r="B29" s="9">
        <v>1</v>
      </c>
      <c r="C29" s="9">
        <f ca="1"/>
        <v>24</v>
      </c>
      <c r="D29" s="10">
        <f ca="1"/>
        <v>17.241460271907776</v>
      </c>
      <c r="E29" s="10">
        <f t="shared" ca="1" si="0"/>
        <v>2.2414602719077763</v>
      </c>
      <c r="G29" s="10">
        <f t="shared" ca="1" si="1"/>
        <v>6.3908179860316897E-2</v>
      </c>
      <c r="L29" s="10"/>
    </row>
    <row r="30" spans="1:12" x14ac:dyDescent="0.2">
      <c r="A30" s="9">
        <v>14</v>
      </c>
      <c r="B30" s="9">
        <v>1</v>
      </c>
      <c r="C30" s="9">
        <f ca="1"/>
        <v>19</v>
      </c>
      <c r="D30" s="10">
        <f ca="1"/>
        <v>13.825364713647479</v>
      </c>
      <c r="E30" s="10">
        <f t="shared" ca="1" si="0"/>
        <v>-0.17463528635252068</v>
      </c>
      <c r="G30" s="10">
        <f t="shared" ca="1" si="1"/>
        <v>0.31612416936198534</v>
      </c>
      <c r="L30" s="10"/>
    </row>
    <row r="31" spans="1:12" x14ac:dyDescent="0.2">
      <c r="A31" s="9">
        <v>11</v>
      </c>
      <c r="B31" s="9">
        <v>1</v>
      </c>
      <c r="C31" s="9">
        <f ca="1"/>
        <v>14</v>
      </c>
      <c r="D31" s="10">
        <f ca="1"/>
        <v>10.409269155387181</v>
      </c>
      <c r="E31" s="10">
        <f t="shared" ca="1" si="0"/>
        <v>-0.59073084461281944</v>
      </c>
      <c r="G31" s="10">
        <f t="shared" ca="1" si="1"/>
        <v>0.28548233893943797</v>
      </c>
      <c r="L31" s="10"/>
    </row>
    <row r="32" spans="1:12" x14ac:dyDescent="0.2">
      <c r="A32" s="9">
        <v>11</v>
      </c>
      <c r="B32" s="9">
        <v>1</v>
      </c>
      <c r="C32" s="9">
        <f ca="1"/>
        <v>15</v>
      </c>
      <c r="D32" s="10">
        <f ca="1"/>
        <v>11.09248826703924</v>
      </c>
      <c r="E32" s="10">
        <f t="shared" ca="1" si="0"/>
        <v>9.2488267039239958E-2</v>
      </c>
      <c r="G32" s="10">
        <f t="shared" ca="1" si="1"/>
        <v>0.31835277839425191</v>
      </c>
      <c r="L32" s="10"/>
    </row>
    <row r="33" spans="1:12" x14ac:dyDescent="0.2">
      <c r="A33" s="9">
        <v>14</v>
      </c>
      <c r="B33" s="9">
        <v>1</v>
      </c>
      <c r="C33" s="9">
        <f ca="1"/>
        <v>17</v>
      </c>
      <c r="D33" s="10">
        <f ca="1"/>
        <v>12.458926490343359</v>
      </c>
      <c r="E33" s="10">
        <f t="shared" ca="1" si="0"/>
        <v>-1.5410735096566412</v>
      </c>
      <c r="G33" s="10">
        <f t="shared" ca="1" si="1"/>
        <v>0.14924443441661395</v>
      </c>
      <c r="L33" s="10"/>
    </row>
    <row r="34" spans="1:12" x14ac:dyDescent="0.2">
      <c r="A34" s="9">
        <v>19</v>
      </c>
      <c r="B34" s="9">
        <v>1</v>
      </c>
      <c r="C34" s="9">
        <f ca="1"/>
        <v>27</v>
      </c>
      <c r="D34" s="10">
        <f ca="1"/>
        <v>19.291117606863956</v>
      </c>
      <c r="E34" s="10">
        <f t="shared" ca="1" si="0"/>
        <v>0.29111760686395627</v>
      </c>
      <c r="G34" s="10">
        <f t="shared" ca="1" si="1"/>
        <v>0.31068098494392388</v>
      </c>
      <c r="L34" s="10"/>
    </row>
    <row r="35" spans="1:12" x14ac:dyDescent="0.2">
      <c r="A35" s="9">
        <v>22</v>
      </c>
      <c r="B35" s="9">
        <v>1</v>
      </c>
      <c r="C35" s="9">
        <f ca="1"/>
        <v>30</v>
      </c>
      <c r="D35" s="10">
        <f ca="1"/>
        <v>21.340774941820136</v>
      </c>
      <c r="E35" s="10">
        <f t="shared" ca="1" si="0"/>
        <v>-0.65922505817986377</v>
      </c>
      <c r="G35" s="10">
        <f t="shared" ca="1" si="1"/>
        <v>0.27776379398250539</v>
      </c>
      <c r="L35" s="10"/>
    </row>
    <row r="36" spans="1:12" x14ac:dyDescent="0.2">
      <c r="A36" s="9">
        <v>18</v>
      </c>
      <c r="B36" s="9">
        <v>1</v>
      </c>
      <c r="C36" s="9">
        <f ca="1"/>
        <v>26</v>
      </c>
      <c r="D36" s="10">
        <f ca="1"/>
        <v>18.607898495211895</v>
      </c>
      <c r="E36" s="10">
        <f t="shared" ca="1" si="0"/>
        <v>0.6078984952118951</v>
      </c>
      <c r="G36" s="10">
        <f t="shared" ca="1" si="1"/>
        <v>0.28360781451993688</v>
      </c>
      <c r="L36" s="10"/>
    </row>
    <row r="37" spans="1:12" x14ac:dyDescent="0.2">
      <c r="A37" s="9">
        <v>18</v>
      </c>
      <c r="B37" s="9">
        <v>1</v>
      </c>
      <c r="C37" s="9">
        <f ca="1"/>
        <v>29</v>
      </c>
      <c r="D37" s="10">
        <f ca="1"/>
        <v>20.657555830168075</v>
      </c>
      <c r="E37" s="10">
        <f t="shared" ca="1" si="0"/>
        <v>2.6575558301680751</v>
      </c>
      <c r="G37" s="10">
        <f t="shared" ca="1" si="1"/>
        <v>3.327632904268165E-2</v>
      </c>
      <c r="L37" s="10"/>
    </row>
    <row r="38" spans="1:12" x14ac:dyDescent="0.2">
      <c r="A38" s="9">
        <v>17</v>
      </c>
      <c r="B38" s="9">
        <v>1</v>
      </c>
      <c r="C38" s="9">
        <f ca="1"/>
        <v>26</v>
      </c>
      <c r="D38" s="10">
        <f ca="1"/>
        <v>18.607898495211895</v>
      </c>
      <c r="E38" s="10">
        <f t="shared" ca="1" si="0"/>
        <v>1.6078984952118951</v>
      </c>
      <c r="G38" s="10">
        <f t="shared" ca="1" si="1"/>
        <v>0.13952132892333158</v>
      </c>
      <c r="L38" s="10"/>
    </row>
    <row r="39" spans="1:12" x14ac:dyDescent="0.2">
      <c r="A39" s="9">
        <v>18</v>
      </c>
      <c r="B39" s="9">
        <v>1</v>
      </c>
      <c r="C39" s="9">
        <f ca="1"/>
        <v>24</v>
      </c>
      <c r="D39" s="10">
        <f ca="1"/>
        <v>17.241460271907776</v>
      </c>
      <c r="E39" s="10">
        <f t="shared" ca="1" si="0"/>
        <v>-0.7585397280922237</v>
      </c>
      <c r="G39" s="10">
        <f t="shared" ca="1" si="1"/>
        <v>0.2655208098682208</v>
      </c>
      <c r="L39" s="10"/>
    </row>
    <row r="40" spans="1:12" x14ac:dyDescent="0.2">
      <c r="A40" s="9">
        <v>17</v>
      </c>
      <c r="B40" s="9">
        <v>1</v>
      </c>
      <c r="C40" s="9">
        <f ca="1"/>
        <v>24</v>
      </c>
      <c r="D40" s="10">
        <f ca="1"/>
        <v>17.241460271907776</v>
      </c>
      <c r="E40" s="10">
        <f t="shared" ca="1" si="0"/>
        <v>0.2414602719077763</v>
      </c>
      <c r="G40" s="10">
        <f t="shared" ca="1" si="1"/>
        <v>0.31332258364370175</v>
      </c>
      <c r="L40" s="10"/>
    </row>
    <row r="41" spans="1:12" x14ac:dyDescent="0.2">
      <c r="A41" s="9">
        <v>16</v>
      </c>
      <c r="B41" s="9">
        <v>1</v>
      </c>
      <c r="C41" s="9">
        <f ca="1"/>
        <v>22</v>
      </c>
      <c r="D41" s="10">
        <f ca="1"/>
        <v>15.875022048603658</v>
      </c>
      <c r="E41" s="10">
        <f t="shared" ca="1" si="0"/>
        <v>-0.12497795139634249</v>
      </c>
      <c r="G41" s="10">
        <f t="shared" ca="1" si="1"/>
        <v>0.31763349392564566</v>
      </c>
      <c r="L41" s="10"/>
    </row>
    <row r="42" spans="1:12" x14ac:dyDescent="0.2">
      <c r="A42" s="9">
        <v>16</v>
      </c>
      <c r="B42" s="9">
        <v>1</v>
      </c>
      <c r="C42" s="9">
        <f ca="1"/>
        <v>22</v>
      </c>
      <c r="D42" s="10">
        <f ca="1"/>
        <v>15.875022048603658</v>
      </c>
      <c r="E42" s="10">
        <f t="shared" ca="1" si="0"/>
        <v>-0.12497795139634249</v>
      </c>
      <c r="G42" s="10">
        <f t="shared" ca="1" si="1"/>
        <v>0.31763349392564566</v>
      </c>
      <c r="L42" s="10"/>
    </row>
    <row r="43" spans="1:12" x14ac:dyDescent="0.2">
      <c r="A43" s="9">
        <v>17</v>
      </c>
      <c r="B43" s="9">
        <v>1</v>
      </c>
      <c r="C43" s="9">
        <f ca="1"/>
        <v>24</v>
      </c>
      <c r="D43" s="10">
        <f ca="1"/>
        <v>17.241460271907776</v>
      </c>
      <c r="E43" s="10">
        <f t="shared" ca="1" si="0"/>
        <v>0.2414602719077763</v>
      </c>
      <c r="G43" s="10">
        <f t="shared" ca="1" si="1"/>
        <v>0.31332258364370175</v>
      </c>
      <c r="L43" s="10"/>
    </row>
    <row r="44" spans="1:12" x14ac:dyDescent="0.2">
      <c r="A44" s="9">
        <v>17</v>
      </c>
      <c r="B44" s="9">
        <v>1</v>
      </c>
      <c r="C44" s="9">
        <f ca="1"/>
        <v>24</v>
      </c>
      <c r="D44" s="10">
        <f ca="1"/>
        <v>17.241460271907776</v>
      </c>
      <c r="E44" s="10">
        <f t="shared" ca="1" si="0"/>
        <v>0.2414602719077763</v>
      </c>
      <c r="G44" s="10">
        <f t="shared" ca="1" si="1"/>
        <v>0.31332258364370175</v>
      </c>
      <c r="L44" s="10"/>
    </row>
    <row r="45" spans="1:12" x14ac:dyDescent="0.2">
      <c r="A45" s="9">
        <v>11</v>
      </c>
      <c r="B45" s="9">
        <v>1</v>
      </c>
      <c r="C45" s="9">
        <f ca="1"/>
        <v>17</v>
      </c>
      <c r="D45" s="10">
        <f ca="1"/>
        <v>12.458926490343359</v>
      </c>
      <c r="E45" s="10">
        <f t="shared" ca="1" si="0"/>
        <v>1.4589264903433588</v>
      </c>
      <c r="G45" s="10">
        <f t="shared" ca="1" si="1"/>
        <v>0.16149629011123415</v>
      </c>
      <c r="L45" s="10"/>
    </row>
    <row r="46" spans="1:12" x14ac:dyDescent="0.2">
      <c r="A46" s="9">
        <v>15</v>
      </c>
      <c r="B46" s="9">
        <v>1</v>
      </c>
      <c r="C46" s="9">
        <f ca="1"/>
        <v>22</v>
      </c>
      <c r="D46" s="10">
        <f ca="1"/>
        <v>15.875022048603658</v>
      </c>
      <c r="E46" s="10">
        <f t="shared" ca="1" si="0"/>
        <v>0.87502204860365751</v>
      </c>
      <c r="G46" s="10">
        <f t="shared" ca="1" si="1"/>
        <v>0.2498287819911226</v>
      </c>
      <c r="L46" s="10"/>
    </row>
    <row r="47" spans="1:12" x14ac:dyDescent="0.2">
      <c r="A47" s="9">
        <v>15</v>
      </c>
      <c r="B47" s="9">
        <v>1</v>
      </c>
      <c r="C47" s="9">
        <f ca="1"/>
        <v>21</v>
      </c>
      <c r="D47" s="10">
        <f ca="1"/>
        <v>15.191802936951598</v>
      </c>
      <c r="E47" s="10">
        <f t="shared" ca="1" si="0"/>
        <v>0.19180293695159811</v>
      </c>
      <c r="G47" s="10">
        <f t="shared" ca="1" si="1"/>
        <v>0.31548813891774308</v>
      </c>
      <c r="L47" s="10"/>
    </row>
    <row r="48" spans="1:12" x14ac:dyDescent="0.2">
      <c r="A48" s="9">
        <v>16</v>
      </c>
      <c r="B48" s="9">
        <v>1</v>
      </c>
      <c r="C48" s="9">
        <f ca="1"/>
        <v>23</v>
      </c>
      <c r="D48" s="10">
        <f ca="1"/>
        <v>16.558241160255715</v>
      </c>
      <c r="E48" s="10">
        <f t="shared" ca="1" si="0"/>
        <v>0.55824116025571513</v>
      </c>
      <c r="G48" s="10">
        <f t="shared" ca="1" si="1"/>
        <v>0.28891457937292003</v>
      </c>
      <c r="L48" s="10"/>
    </row>
    <row r="49" spans="1:12" x14ac:dyDescent="0.2">
      <c r="A49" s="9">
        <v>16</v>
      </c>
      <c r="B49" s="9">
        <v>1</v>
      </c>
      <c r="C49" s="9">
        <f ca="1"/>
        <v>23</v>
      </c>
      <c r="D49" s="10">
        <f ca="1"/>
        <v>16.558241160255715</v>
      </c>
      <c r="E49" s="10">
        <f t="shared" ca="1" si="0"/>
        <v>0.55824116025571513</v>
      </c>
      <c r="G49" s="10">
        <f t="shared" ca="1" si="1"/>
        <v>0.28891457937292003</v>
      </c>
      <c r="L49" s="10"/>
    </row>
    <row r="50" spans="1:12" x14ac:dyDescent="0.2">
      <c r="A50" s="9">
        <v>15</v>
      </c>
      <c r="B50" s="9">
        <v>1</v>
      </c>
      <c r="C50" s="9">
        <f ca="1"/>
        <v>19</v>
      </c>
      <c r="D50" s="10">
        <f ca="1"/>
        <v>13.825364713647479</v>
      </c>
      <c r="E50" s="10">
        <f t="shared" ca="1" si="0"/>
        <v>-1.1746352863525207</v>
      </c>
      <c r="G50" s="10">
        <f t="shared" ca="1" si="1"/>
        <v>0.20523871008550823</v>
      </c>
      <c r="L50" s="10"/>
    </row>
    <row r="51" spans="1:12" x14ac:dyDescent="0.2">
      <c r="A51" s="9">
        <v>14</v>
      </c>
      <c r="B51" s="9">
        <v>1</v>
      </c>
      <c r="C51" s="9">
        <f ca="1"/>
        <v>18</v>
      </c>
      <c r="D51" s="10">
        <f ca="1"/>
        <v>13.142145601995418</v>
      </c>
      <c r="E51" s="10">
        <f t="shared" ca="1" si="0"/>
        <v>-0.85785439800458185</v>
      </c>
      <c r="G51" s="10">
        <f t="shared" ca="1" si="1"/>
        <v>0.25221954505601618</v>
      </c>
      <c r="L51" s="10"/>
    </row>
    <row r="52" spans="1:12" x14ac:dyDescent="0.2">
      <c r="A52" s="9">
        <v>13</v>
      </c>
      <c r="B52" s="9">
        <v>1</v>
      </c>
      <c r="C52" s="9">
        <f ca="1"/>
        <v>17</v>
      </c>
      <c r="D52" s="10">
        <f ca="1"/>
        <v>12.458926490343359</v>
      </c>
      <c r="E52" s="10">
        <f t="shared" ca="1" si="0"/>
        <v>-0.54107350965664125</v>
      </c>
      <c r="G52" s="10">
        <f t="shared" ca="1" si="1"/>
        <v>0.29066547731752662</v>
      </c>
      <c r="L52" s="10"/>
    </row>
    <row r="53" spans="1:12" x14ac:dyDescent="0.2">
      <c r="A53" s="9">
        <v>14</v>
      </c>
      <c r="B53" s="9">
        <v>1</v>
      </c>
      <c r="C53" s="9">
        <f ca="1"/>
        <v>17</v>
      </c>
      <c r="D53" s="10">
        <f ca="1"/>
        <v>12.458926490343359</v>
      </c>
      <c r="E53" s="10">
        <f t="shared" ca="1" si="0"/>
        <v>-1.5410735096566412</v>
      </c>
      <c r="G53" s="10">
        <f t="shared" ca="1" si="1"/>
        <v>0.14924443441661395</v>
      </c>
      <c r="L53" s="10"/>
    </row>
    <row r="54" spans="1:12" x14ac:dyDescent="0.2">
      <c r="A54" s="9">
        <v>14</v>
      </c>
      <c r="B54" s="9">
        <v>1</v>
      </c>
      <c r="C54" s="9">
        <f ca="1"/>
        <v>19</v>
      </c>
      <c r="D54" s="10">
        <f ca="1"/>
        <v>13.825364713647479</v>
      </c>
      <c r="E54" s="10">
        <f t="shared" ca="1" si="0"/>
        <v>-0.17463528635252068</v>
      </c>
      <c r="G54" s="10">
        <f t="shared" ca="1" si="1"/>
        <v>0.31612416936198534</v>
      </c>
      <c r="L54" s="10"/>
    </row>
    <row r="55" spans="1:12" x14ac:dyDescent="0.2">
      <c r="A55" s="9">
        <v>14</v>
      </c>
      <c r="B55" s="9">
        <v>1</v>
      </c>
      <c r="C55" s="9">
        <f ca="1"/>
        <v>19</v>
      </c>
      <c r="D55" s="10">
        <f ca="1"/>
        <v>13.825364713647479</v>
      </c>
      <c r="E55" s="10">
        <f t="shared" ca="1" si="0"/>
        <v>-0.17463528635252068</v>
      </c>
      <c r="G55" s="10">
        <f t="shared" ca="1" si="1"/>
        <v>0.31612416936198534</v>
      </c>
      <c r="L55" s="10"/>
    </row>
    <row r="56" spans="1:12" x14ac:dyDescent="0.2">
      <c r="A56" s="9">
        <v>9</v>
      </c>
      <c r="B56" s="9">
        <v>1</v>
      </c>
      <c r="C56" s="9">
        <f ca="1"/>
        <v>12</v>
      </c>
      <c r="D56" s="10">
        <f ca="1"/>
        <v>9.04283093208306</v>
      </c>
      <c r="E56" s="10">
        <f t="shared" ca="1" si="0"/>
        <v>4.2830932083059992E-2</v>
      </c>
      <c r="G56" s="10">
        <f t="shared" ca="1" si="1"/>
        <v>0.31903836846290684</v>
      </c>
      <c r="L56" s="10"/>
    </row>
    <row r="57" spans="1:12" x14ac:dyDescent="0.2">
      <c r="A57" s="9">
        <v>11</v>
      </c>
      <c r="B57" s="9">
        <v>1</v>
      </c>
      <c r="C57" s="9">
        <f ca="1"/>
        <v>17</v>
      </c>
      <c r="D57" s="10">
        <f ca="1"/>
        <v>12.458926490343359</v>
      </c>
      <c r="E57" s="10">
        <f t="shared" ca="1" si="0"/>
        <v>1.4589264903433588</v>
      </c>
      <c r="G57" s="10">
        <f t="shared" ca="1" si="1"/>
        <v>0.16149629011123415</v>
      </c>
      <c r="L57" s="10"/>
    </row>
    <row r="58" spans="1:12" x14ac:dyDescent="0.2">
      <c r="A58" s="9">
        <v>11</v>
      </c>
      <c r="B58" s="9">
        <v>1</v>
      </c>
      <c r="C58" s="9">
        <f ca="1"/>
        <v>15</v>
      </c>
      <c r="D58" s="10">
        <f ca="1"/>
        <v>11.09248826703924</v>
      </c>
      <c r="E58" s="10">
        <f t="shared" ca="1" si="0"/>
        <v>9.2488267039239958E-2</v>
      </c>
      <c r="G58" s="10">
        <f t="shared" ca="1" si="1"/>
        <v>0.31835277839425191</v>
      </c>
      <c r="L58" s="10"/>
    </row>
    <row r="59" spans="1:12" x14ac:dyDescent="0.2">
      <c r="A59" s="9">
        <v>13</v>
      </c>
      <c r="B59" s="9">
        <v>1</v>
      </c>
      <c r="C59" s="9">
        <f ca="1"/>
        <v>17</v>
      </c>
      <c r="D59" s="10">
        <f ca="1"/>
        <v>12.458926490343359</v>
      </c>
      <c r="E59" s="10">
        <f t="shared" ca="1" si="0"/>
        <v>-0.54107350965664125</v>
      </c>
      <c r="G59" s="10">
        <f t="shared" ca="1" si="1"/>
        <v>0.29066547731752662</v>
      </c>
      <c r="L59" s="10"/>
    </row>
    <row r="60" spans="1:12" x14ac:dyDescent="0.2">
      <c r="A60" s="9">
        <v>13</v>
      </c>
      <c r="B60" s="9">
        <v>1</v>
      </c>
      <c r="C60" s="9">
        <f ca="1"/>
        <v>17</v>
      </c>
      <c r="D60" s="10">
        <f ca="1"/>
        <v>12.458926490343359</v>
      </c>
      <c r="E60" s="10">
        <f t="shared" ca="1" si="0"/>
        <v>-0.54107350965664125</v>
      </c>
      <c r="G60" s="10">
        <f t="shared" ca="1" si="1"/>
        <v>0.29066547731752662</v>
      </c>
      <c r="L60" s="10"/>
    </row>
    <row r="61" spans="1:12" x14ac:dyDescent="0.2">
      <c r="A61" s="9">
        <v>9</v>
      </c>
      <c r="B61" s="9">
        <v>1</v>
      </c>
      <c r="C61" s="9">
        <f ca="1"/>
        <v>12</v>
      </c>
      <c r="D61" s="10">
        <f ca="1"/>
        <v>9.04283093208306</v>
      </c>
      <c r="E61" s="10">
        <f t="shared" ca="1" si="0"/>
        <v>4.2830932083059992E-2</v>
      </c>
      <c r="G61" s="10">
        <f t="shared" ca="1" si="1"/>
        <v>0.31903836846290684</v>
      </c>
      <c r="L61" s="10"/>
    </row>
    <row r="62" spans="1:12" x14ac:dyDescent="0.2">
      <c r="A62" s="9">
        <v>13</v>
      </c>
      <c r="B62" s="9">
        <v>1</v>
      </c>
      <c r="C62" s="9">
        <f ca="1"/>
        <v>17</v>
      </c>
      <c r="D62" s="10">
        <f ca="1"/>
        <v>12.458926490343359</v>
      </c>
      <c r="E62" s="10">
        <f t="shared" ca="1" si="0"/>
        <v>-0.54107350965664125</v>
      </c>
      <c r="G62" s="10">
        <f t="shared" ca="1" si="1"/>
        <v>0.29066547731752662</v>
      </c>
      <c r="L62" s="10"/>
    </row>
    <row r="63" spans="1:12" x14ac:dyDescent="0.2">
      <c r="A63" s="9">
        <v>11</v>
      </c>
      <c r="B63" s="9">
        <v>1</v>
      </c>
      <c r="C63" s="9">
        <f ca="1"/>
        <v>16</v>
      </c>
      <c r="D63" s="10">
        <f ca="1"/>
        <v>11.775707378691299</v>
      </c>
      <c r="E63" s="10">
        <f t="shared" ca="1" si="0"/>
        <v>0.77570737869129935</v>
      </c>
      <c r="G63" s="10">
        <f t="shared" ca="1" si="1"/>
        <v>0.26329124156712214</v>
      </c>
      <c r="L63" s="10"/>
    </row>
    <row r="64" spans="1:12" x14ac:dyDescent="0.2">
      <c r="A64" s="9">
        <v>13</v>
      </c>
      <c r="B64" s="9">
        <v>1</v>
      </c>
      <c r="C64" s="9">
        <f ca="1"/>
        <v>18</v>
      </c>
      <c r="D64" s="10">
        <f ca="1"/>
        <v>13.142145601995418</v>
      </c>
      <c r="E64" s="10">
        <f t="shared" ca="1" si="0"/>
        <v>0.14214560199541815</v>
      </c>
      <c r="G64" s="10">
        <f t="shared" ca="1" si="1"/>
        <v>0.31716750413300532</v>
      </c>
      <c r="L64" s="10"/>
    </row>
    <row r="65" spans="1:12" x14ac:dyDescent="0.2">
      <c r="A65" s="9">
        <v>11</v>
      </c>
      <c r="B65" s="9">
        <v>1</v>
      </c>
      <c r="C65" s="9">
        <f ca="1"/>
        <v>15</v>
      </c>
      <c r="D65" s="10">
        <f ca="1"/>
        <v>11.09248826703924</v>
      </c>
      <c r="E65" s="10">
        <f t="shared" ca="1" si="0"/>
        <v>9.2488267039239958E-2</v>
      </c>
      <c r="G65" s="10">
        <f t="shared" ca="1" si="1"/>
        <v>0.31835277839425191</v>
      </c>
      <c r="L65" s="10"/>
    </row>
    <row r="66" spans="1:12" x14ac:dyDescent="0.2">
      <c r="A66" s="9">
        <v>12</v>
      </c>
      <c r="B66" s="9">
        <v>1</v>
      </c>
      <c r="C66" s="9">
        <f ca="1"/>
        <v>16</v>
      </c>
      <c r="D66" s="10">
        <f ca="1"/>
        <v>11.775707378691299</v>
      </c>
      <c r="E66" s="10">
        <f t="shared" ca="1" si="0"/>
        <v>-0.22429262130870065</v>
      </c>
      <c r="G66" s="10">
        <f t="shared" ca="1" si="1"/>
        <v>0.31412566572102818</v>
      </c>
      <c r="L66" s="10"/>
    </row>
    <row r="67" spans="1:12" x14ac:dyDescent="0.2">
      <c r="A67" s="9">
        <v>9</v>
      </c>
      <c r="B67" s="9">
        <v>1</v>
      </c>
      <c r="C67" s="9">
        <f ca="1"/>
        <v>12</v>
      </c>
      <c r="D67" s="10">
        <f ca="1"/>
        <v>9.04283093208306</v>
      </c>
      <c r="E67" s="10">
        <f t="shared" ref="E67:E130" ca="1" si="2">D67-A67</f>
        <v>4.2830932083059992E-2</v>
      </c>
      <c r="G67" s="10">
        <f t="shared" ref="G67:G130" ca="1" si="3">_xlfn.NORM.DIST(E67,0,$F$2,FALSE)</f>
        <v>0.31903836846290684</v>
      </c>
      <c r="L67" s="10"/>
    </row>
    <row r="68" spans="1:12" x14ac:dyDescent="0.2">
      <c r="A68" s="9">
        <v>13</v>
      </c>
      <c r="B68" s="9">
        <v>1</v>
      </c>
      <c r="C68" s="9">
        <f ca="1"/>
        <v>17</v>
      </c>
      <c r="D68" s="10">
        <f ca="1"/>
        <v>12.458926490343359</v>
      </c>
      <c r="E68" s="10">
        <f t="shared" ca="1" si="2"/>
        <v>-0.54107350965664125</v>
      </c>
      <c r="G68" s="10">
        <f t="shared" ca="1" si="3"/>
        <v>0.29066547731752662</v>
      </c>
      <c r="L68" s="10"/>
    </row>
    <row r="69" spans="1:12" x14ac:dyDescent="0.2">
      <c r="A69" s="9">
        <v>13</v>
      </c>
      <c r="B69" s="9">
        <v>1</v>
      </c>
      <c r="C69" s="9">
        <f ca="1"/>
        <v>17</v>
      </c>
      <c r="D69" s="10">
        <f ca="1"/>
        <v>12.458926490343359</v>
      </c>
      <c r="E69" s="10">
        <f t="shared" ca="1" si="2"/>
        <v>-0.54107350965664125</v>
      </c>
      <c r="G69" s="10">
        <f t="shared" ca="1" si="3"/>
        <v>0.29066547731752662</v>
      </c>
      <c r="L69" s="10"/>
    </row>
    <row r="70" spans="1:12" x14ac:dyDescent="0.2">
      <c r="A70" s="9">
        <v>12</v>
      </c>
      <c r="B70" s="9">
        <v>1</v>
      </c>
      <c r="C70" s="9">
        <f ca="1"/>
        <v>16</v>
      </c>
      <c r="D70" s="10">
        <f ca="1"/>
        <v>11.775707378691299</v>
      </c>
      <c r="E70" s="10">
        <f t="shared" ca="1" si="2"/>
        <v>-0.22429262130870065</v>
      </c>
      <c r="G70" s="10">
        <f t="shared" ca="1" si="3"/>
        <v>0.31412566572102818</v>
      </c>
      <c r="L70" s="10"/>
    </row>
    <row r="71" spans="1:12" x14ac:dyDescent="0.2">
      <c r="A71" s="9">
        <v>9</v>
      </c>
      <c r="B71" s="9">
        <v>1</v>
      </c>
      <c r="C71" s="9">
        <f ca="1"/>
        <v>12</v>
      </c>
      <c r="D71" s="10">
        <f ca="1"/>
        <v>9.04283093208306</v>
      </c>
      <c r="E71" s="10">
        <f t="shared" ca="1" si="2"/>
        <v>4.2830932083059992E-2</v>
      </c>
      <c r="G71" s="10">
        <f t="shared" ca="1" si="3"/>
        <v>0.31903836846290684</v>
      </c>
      <c r="L71" s="10"/>
    </row>
    <row r="72" spans="1:12" x14ac:dyDescent="0.2">
      <c r="A72" s="9">
        <v>11</v>
      </c>
      <c r="B72" s="9">
        <v>1</v>
      </c>
      <c r="C72" s="9">
        <f ca="1"/>
        <v>15</v>
      </c>
      <c r="D72" s="10">
        <f ca="1"/>
        <v>11.09248826703924</v>
      </c>
      <c r="E72" s="10">
        <f t="shared" ca="1" si="2"/>
        <v>9.2488267039239958E-2</v>
      </c>
      <c r="G72" s="10">
        <f t="shared" ca="1" si="3"/>
        <v>0.31835277839425191</v>
      </c>
      <c r="L72" s="10"/>
    </row>
    <row r="73" spans="1:12" x14ac:dyDescent="0.2">
      <c r="A73" s="9">
        <v>11</v>
      </c>
      <c r="B73" s="9">
        <v>1</v>
      </c>
      <c r="C73" s="9">
        <f ca="1"/>
        <v>16</v>
      </c>
      <c r="D73" s="10">
        <f ca="1"/>
        <v>11.775707378691299</v>
      </c>
      <c r="E73" s="10">
        <f t="shared" ca="1" si="2"/>
        <v>0.77570737869129935</v>
      </c>
      <c r="G73" s="10">
        <f t="shared" ca="1" si="3"/>
        <v>0.26329124156712214</v>
      </c>
      <c r="L73" s="10"/>
    </row>
    <row r="74" spans="1:12" x14ac:dyDescent="0.2">
      <c r="A74" s="9">
        <v>13</v>
      </c>
      <c r="B74" s="9">
        <v>1</v>
      </c>
      <c r="C74" s="9">
        <f ca="1"/>
        <v>17</v>
      </c>
      <c r="D74" s="10">
        <f ca="1"/>
        <v>12.458926490343359</v>
      </c>
      <c r="E74" s="10">
        <f t="shared" ca="1" si="2"/>
        <v>-0.54107350965664125</v>
      </c>
      <c r="G74" s="10">
        <f t="shared" ca="1" si="3"/>
        <v>0.29066547731752662</v>
      </c>
      <c r="L74" s="10"/>
    </row>
    <row r="75" spans="1:12" x14ac:dyDescent="0.2">
      <c r="A75" s="9">
        <v>11</v>
      </c>
      <c r="B75" s="9">
        <v>1</v>
      </c>
      <c r="C75" s="9">
        <f ca="1"/>
        <v>15</v>
      </c>
      <c r="D75" s="10">
        <f ca="1"/>
        <v>11.09248826703924</v>
      </c>
      <c r="E75" s="10">
        <f t="shared" ca="1" si="2"/>
        <v>9.2488267039239958E-2</v>
      </c>
      <c r="G75" s="10">
        <f t="shared" ca="1" si="3"/>
        <v>0.31835277839425191</v>
      </c>
      <c r="L75" s="10"/>
    </row>
    <row r="76" spans="1:12" x14ac:dyDescent="0.2">
      <c r="A76" s="9">
        <v>11</v>
      </c>
      <c r="B76" s="9">
        <v>1</v>
      </c>
      <c r="C76" s="9">
        <f ca="1"/>
        <v>17</v>
      </c>
      <c r="D76" s="10">
        <f ca="1"/>
        <v>12.458926490343359</v>
      </c>
      <c r="E76" s="10">
        <f t="shared" ca="1" si="2"/>
        <v>1.4589264903433588</v>
      </c>
      <c r="G76" s="10">
        <f t="shared" ca="1" si="3"/>
        <v>0.16149629011123415</v>
      </c>
      <c r="L76" s="10"/>
    </row>
    <row r="77" spans="1:12" x14ac:dyDescent="0.2">
      <c r="A77" s="9">
        <v>11</v>
      </c>
      <c r="B77" s="9">
        <v>1</v>
      </c>
      <c r="C77" s="9">
        <f ca="1"/>
        <v>17</v>
      </c>
      <c r="D77" s="10">
        <f ca="1"/>
        <v>12.458926490343359</v>
      </c>
      <c r="E77" s="10">
        <f t="shared" ca="1" si="2"/>
        <v>1.4589264903433588</v>
      </c>
      <c r="G77" s="10">
        <f t="shared" ca="1" si="3"/>
        <v>0.16149629011123415</v>
      </c>
      <c r="L77" s="10"/>
    </row>
    <row r="78" spans="1:12" x14ac:dyDescent="0.2">
      <c r="A78" s="9">
        <v>12</v>
      </c>
      <c r="B78" s="9">
        <v>1</v>
      </c>
      <c r="C78" s="9">
        <f ca="1"/>
        <v>18</v>
      </c>
      <c r="D78" s="10">
        <f ca="1"/>
        <v>13.142145601995418</v>
      </c>
      <c r="E78" s="10">
        <f t="shared" ca="1" si="2"/>
        <v>1.1421456019954181</v>
      </c>
      <c r="G78" s="10">
        <f t="shared" ca="1" si="3"/>
        <v>0.21024457151414655</v>
      </c>
      <c r="L78" s="10"/>
    </row>
    <row r="79" spans="1:12" x14ac:dyDescent="0.2">
      <c r="A79" s="9">
        <v>14</v>
      </c>
      <c r="B79" s="9">
        <v>1</v>
      </c>
      <c r="C79" s="9">
        <f ca="1"/>
        <v>17</v>
      </c>
      <c r="D79" s="10">
        <f ca="1"/>
        <v>12.458926490343359</v>
      </c>
      <c r="E79" s="10">
        <f t="shared" ca="1" si="2"/>
        <v>-1.5410735096566412</v>
      </c>
      <c r="G79" s="10">
        <f t="shared" ca="1" si="3"/>
        <v>0.14924443441661395</v>
      </c>
      <c r="L79" s="10"/>
    </row>
    <row r="80" spans="1:12" x14ac:dyDescent="0.2">
      <c r="A80" s="9">
        <v>15</v>
      </c>
      <c r="B80" s="9">
        <v>1</v>
      </c>
      <c r="C80" s="9">
        <f ca="1"/>
        <v>19</v>
      </c>
      <c r="D80" s="10">
        <f ca="1"/>
        <v>13.825364713647479</v>
      </c>
      <c r="E80" s="10">
        <f t="shared" ca="1" si="2"/>
        <v>-1.1746352863525207</v>
      </c>
      <c r="G80" s="10">
        <f t="shared" ca="1" si="3"/>
        <v>0.20523871008550823</v>
      </c>
      <c r="L80" s="10"/>
    </row>
    <row r="81" spans="1:12" x14ac:dyDescent="0.2">
      <c r="A81" s="9">
        <v>14</v>
      </c>
      <c r="B81" s="9">
        <v>1</v>
      </c>
      <c r="C81" s="9">
        <f ca="1"/>
        <v>17</v>
      </c>
      <c r="D81" s="10">
        <f ca="1"/>
        <v>12.458926490343359</v>
      </c>
      <c r="E81" s="10">
        <f t="shared" ca="1" si="2"/>
        <v>-1.5410735096566412</v>
      </c>
      <c r="G81" s="10">
        <f t="shared" ca="1" si="3"/>
        <v>0.14924443441661395</v>
      </c>
      <c r="L81" s="10"/>
    </row>
    <row r="82" spans="1:12" x14ac:dyDescent="0.2">
      <c r="A82" s="9">
        <v>13</v>
      </c>
      <c r="B82" s="9">
        <v>1</v>
      </c>
      <c r="C82" s="9">
        <f ca="1"/>
        <v>19</v>
      </c>
      <c r="D82" s="10">
        <f ca="1"/>
        <v>13.825364713647479</v>
      </c>
      <c r="E82" s="10">
        <f t="shared" ca="1" si="2"/>
        <v>0.82536471364747932</v>
      </c>
      <c r="G82" s="10">
        <f t="shared" ca="1" si="3"/>
        <v>0.25667424064304967</v>
      </c>
      <c r="L82" s="10"/>
    </row>
    <row r="83" spans="1:12" x14ac:dyDescent="0.2">
      <c r="A83" s="9">
        <v>13</v>
      </c>
      <c r="B83" s="9">
        <v>1</v>
      </c>
      <c r="C83" s="9">
        <f ca="1"/>
        <v>19</v>
      </c>
      <c r="D83" s="10">
        <f ca="1"/>
        <v>13.825364713647479</v>
      </c>
      <c r="E83" s="10">
        <f t="shared" ca="1" si="2"/>
        <v>0.82536471364747932</v>
      </c>
      <c r="G83" s="10">
        <f t="shared" ca="1" si="3"/>
        <v>0.25667424064304967</v>
      </c>
      <c r="L83" s="10"/>
    </row>
    <row r="84" spans="1:12" x14ac:dyDescent="0.2">
      <c r="A84" s="9">
        <v>13</v>
      </c>
      <c r="B84" s="9">
        <v>1</v>
      </c>
      <c r="C84" s="9">
        <f ca="1"/>
        <v>17</v>
      </c>
      <c r="D84" s="10">
        <f ca="1"/>
        <v>12.458926490343359</v>
      </c>
      <c r="E84" s="10">
        <f t="shared" ca="1" si="2"/>
        <v>-0.54107350965664125</v>
      </c>
      <c r="G84" s="10">
        <f t="shared" ca="1" si="3"/>
        <v>0.29066547731752662</v>
      </c>
      <c r="L84" s="10"/>
    </row>
    <row r="85" spans="1:12" x14ac:dyDescent="0.2">
      <c r="A85" s="9">
        <v>14</v>
      </c>
      <c r="B85" s="9">
        <v>1</v>
      </c>
      <c r="C85" s="9">
        <f ca="1"/>
        <v>17</v>
      </c>
      <c r="D85" s="10">
        <f ca="1"/>
        <v>12.458926490343359</v>
      </c>
      <c r="E85" s="10">
        <f t="shared" ca="1" si="2"/>
        <v>-1.5410735096566412</v>
      </c>
      <c r="G85" s="10">
        <f t="shared" ca="1" si="3"/>
        <v>0.14924443441661395</v>
      </c>
      <c r="L85" s="10"/>
    </row>
    <row r="86" spans="1:12" x14ac:dyDescent="0.2">
      <c r="A86" s="9">
        <v>14</v>
      </c>
      <c r="B86" s="9">
        <v>1</v>
      </c>
      <c r="C86" s="9">
        <f ca="1"/>
        <v>17</v>
      </c>
      <c r="D86" s="10">
        <f ca="1"/>
        <v>12.458926490343359</v>
      </c>
      <c r="E86" s="10">
        <f t="shared" ca="1" si="2"/>
        <v>-1.5410735096566412</v>
      </c>
      <c r="G86" s="10">
        <f t="shared" ca="1" si="3"/>
        <v>0.14924443441661395</v>
      </c>
      <c r="L86" s="10"/>
    </row>
    <row r="87" spans="1:12" x14ac:dyDescent="0.2">
      <c r="A87" s="9">
        <v>13</v>
      </c>
      <c r="B87" s="9">
        <v>1</v>
      </c>
      <c r="C87" s="9">
        <f ca="1"/>
        <v>16</v>
      </c>
      <c r="D87" s="10">
        <f ca="1"/>
        <v>11.775707378691299</v>
      </c>
      <c r="E87" s="10">
        <f t="shared" ca="1" si="2"/>
        <v>-1.2242926213087006</v>
      </c>
      <c r="G87" s="10">
        <f t="shared" ca="1" si="3"/>
        <v>0.19755889639295596</v>
      </c>
      <c r="L87" s="10"/>
    </row>
    <row r="88" spans="1:12" x14ac:dyDescent="0.2">
      <c r="A88" s="9">
        <v>13</v>
      </c>
      <c r="B88" s="9">
        <v>1</v>
      </c>
      <c r="C88" s="9">
        <f ca="1"/>
        <v>16</v>
      </c>
      <c r="D88" s="10">
        <f ca="1"/>
        <v>11.775707378691299</v>
      </c>
      <c r="E88" s="10">
        <f t="shared" ca="1" si="2"/>
        <v>-1.2242926213087006</v>
      </c>
      <c r="G88" s="10">
        <f t="shared" ca="1" si="3"/>
        <v>0.19755889639295596</v>
      </c>
      <c r="L88" s="10"/>
    </row>
    <row r="89" spans="1:12" x14ac:dyDescent="0.2">
      <c r="A89" s="9">
        <v>13</v>
      </c>
      <c r="B89" s="9">
        <v>1</v>
      </c>
      <c r="C89" s="9">
        <f ca="1"/>
        <v>17</v>
      </c>
      <c r="D89" s="10">
        <f ca="1"/>
        <v>12.458926490343359</v>
      </c>
      <c r="E89" s="10">
        <f t="shared" ca="1" si="2"/>
        <v>-0.54107350965664125</v>
      </c>
      <c r="G89" s="10">
        <f t="shared" ca="1" si="3"/>
        <v>0.29066547731752662</v>
      </c>
      <c r="L89" s="10"/>
    </row>
    <row r="90" spans="1:12" x14ac:dyDescent="0.2">
      <c r="A90" s="9">
        <v>11</v>
      </c>
      <c r="B90" s="9">
        <v>1</v>
      </c>
      <c r="C90" s="9">
        <f ca="1"/>
        <v>15</v>
      </c>
      <c r="D90" s="10">
        <f ca="1"/>
        <v>11.09248826703924</v>
      </c>
      <c r="E90" s="10">
        <f t="shared" ca="1" si="2"/>
        <v>9.2488267039239958E-2</v>
      </c>
      <c r="G90" s="10">
        <f t="shared" ca="1" si="3"/>
        <v>0.31835277839425191</v>
      </c>
      <c r="L90" s="10"/>
    </row>
    <row r="91" spans="1:12" x14ac:dyDescent="0.2">
      <c r="A91" s="9">
        <v>13</v>
      </c>
      <c r="B91" s="9">
        <v>1</v>
      </c>
      <c r="C91" s="9">
        <f ca="1"/>
        <v>17</v>
      </c>
      <c r="D91" s="10">
        <f ca="1"/>
        <v>12.458926490343359</v>
      </c>
      <c r="E91" s="10">
        <f t="shared" ca="1" si="2"/>
        <v>-0.54107350965664125</v>
      </c>
      <c r="G91" s="10">
        <f t="shared" ca="1" si="3"/>
        <v>0.29066547731752662</v>
      </c>
      <c r="L91" s="10"/>
    </row>
    <row r="92" spans="1:12" x14ac:dyDescent="0.2">
      <c r="A92" s="9">
        <v>18</v>
      </c>
      <c r="B92" s="9">
        <v>1</v>
      </c>
      <c r="C92" s="9">
        <f ca="1"/>
        <v>26</v>
      </c>
      <c r="D92" s="10">
        <f ca="1"/>
        <v>18.607898495211895</v>
      </c>
      <c r="E92" s="10">
        <f t="shared" ca="1" si="2"/>
        <v>0.6078984952118951</v>
      </c>
      <c r="G92" s="10">
        <f t="shared" ca="1" si="3"/>
        <v>0.28360781451993688</v>
      </c>
      <c r="L92" s="10"/>
    </row>
    <row r="93" spans="1:12" x14ac:dyDescent="0.2">
      <c r="A93" s="9">
        <v>18</v>
      </c>
      <c r="B93" s="9">
        <v>1</v>
      </c>
      <c r="C93" s="9">
        <f ca="1"/>
        <v>25</v>
      </c>
      <c r="D93" s="10">
        <f ca="1"/>
        <v>17.924679383559837</v>
      </c>
      <c r="E93" s="10">
        <f t="shared" ca="1" si="2"/>
        <v>-7.5320616440162524E-2</v>
      </c>
      <c r="G93" s="10">
        <f t="shared" ca="1" si="3"/>
        <v>0.3186465302206829</v>
      </c>
      <c r="L93" s="10"/>
    </row>
    <row r="94" spans="1:12" x14ac:dyDescent="0.2">
      <c r="A94" s="9">
        <v>17</v>
      </c>
      <c r="B94" s="9">
        <v>1</v>
      </c>
      <c r="C94" s="9">
        <f ca="1"/>
        <v>26</v>
      </c>
      <c r="D94" s="10">
        <f ca="1"/>
        <v>18.607898495211895</v>
      </c>
      <c r="E94" s="10">
        <f t="shared" ca="1" si="2"/>
        <v>1.6078984952118951</v>
      </c>
      <c r="G94" s="10">
        <f t="shared" ca="1" si="3"/>
        <v>0.13952132892333158</v>
      </c>
      <c r="L94" s="10"/>
    </row>
    <row r="95" spans="1:12" x14ac:dyDescent="0.2">
      <c r="A95" s="9">
        <v>16</v>
      </c>
      <c r="B95" s="9">
        <v>1</v>
      </c>
      <c r="C95" s="9">
        <f ca="1"/>
        <v>24</v>
      </c>
      <c r="D95" s="10">
        <f ca="1"/>
        <v>17.241460271907776</v>
      </c>
      <c r="E95" s="10">
        <f t="shared" ca="1" si="2"/>
        <v>1.2414602719077763</v>
      </c>
      <c r="G95" s="10">
        <f t="shared" ca="1" si="3"/>
        <v>0.19489962071960723</v>
      </c>
      <c r="L95" s="10"/>
    </row>
    <row r="96" spans="1:12" x14ac:dyDescent="0.2">
      <c r="A96" s="9">
        <v>15</v>
      </c>
      <c r="B96" s="9">
        <v>1</v>
      </c>
      <c r="C96" s="9">
        <f ca="1"/>
        <v>21</v>
      </c>
      <c r="D96" s="10">
        <f ca="1"/>
        <v>15.191802936951598</v>
      </c>
      <c r="E96" s="10">
        <f t="shared" ca="1" si="2"/>
        <v>0.19180293695159811</v>
      </c>
      <c r="G96" s="10">
        <f t="shared" ca="1" si="3"/>
        <v>0.31548813891774308</v>
      </c>
      <c r="L96" s="10"/>
    </row>
    <row r="97" spans="1:12" x14ac:dyDescent="0.2">
      <c r="A97" s="9">
        <v>15</v>
      </c>
      <c r="B97" s="9">
        <v>1</v>
      </c>
      <c r="C97" s="9">
        <f ca="1"/>
        <v>22</v>
      </c>
      <c r="D97" s="10">
        <f ca="1"/>
        <v>15.875022048603658</v>
      </c>
      <c r="E97" s="10">
        <f t="shared" ca="1" si="2"/>
        <v>0.87502204860365751</v>
      </c>
      <c r="G97" s="10">
        <f t="shared" ca="1" si="3"/>
        <v>0.2498287819911226</v>
      </c>
      <c r="L97" s="10"/>
    </row>
    <row r="98" spans="1:12" x14ac:dyDescent="0.2">
      <c r="A98" s="9">
        <v>15</v>
      </c>
      <c r="B98" s="9">
        <v>1</v>
      </c>
      <c r="C98" s="9">
        <f ca="1"/>
        <v>23</v>
      </c>
      <c r="D98" s="10">
        <f ca="1"/>
        <v>16.558241160255715</v>
      </c>
      <c r="E98" s="10">
        <f t="shared" ca="1" si="2"/>
        <v>1.5582411602557151</v>
      </c>
      <c r="G98" s="10">
        <f t="shared" ca="1" si="3"/>
        <v>0.1467237015411641</v>
      </c>
      <c r="L98" s="10"/>
    </row>
    <row r="99" spans="1:12" x14ac:dyDescent="0.2">
      <c r="A99" s="9">
        <v>15</v>
      </c>
      <c r="B99" s="9">
        <v>1</v>
      </c>
      <c r="C99" s="9">
        <f ca="1"/>
        <v>22</v>
      </c>
      <c r="D99" s="10">
        <f ca="1"/>
        <v>15.875022048603658</v>
      </c>
      <c r="E99" s="10">
        <f t="shared" ca="1" si="2"/>
        <v>0.87502204860365751</v>
      </c>
      <c r="G99" s="10">
        <f t="shared" ca="1" si="3"/>
        <v>0.2498287819911226</v>
      </c>
      <c r="L99" s="10"/>
    </row>
    <row r="100" spans="1:12" x14ac:dyDescent="0.2">
      <c r="A100" s="9">
        <v>14</v>
      </c>
      <c r="B100" s="9">
        <v>1</v>
      </c>
      <c r="C100" s="9">
        <f ca="1"/>
        <v>20</v>
      </c>
      <c r="D100" s="10">
        <f ca="1"/>
        <v>14.508583825299539</v>
      </c>
      <c r="E100" s="10">
        <f t="shared" ca="1" si="2"/>
        <v>0.50858382529953872</v>
      </c>
      <c r="G100" s="10">
        <f t="shared" ca="1" si="3"/>
        <v>0.29385631906225068</v>
      </c>
      <c r="L100" s="10"/>
    </row>
    <row r="101" spans="1:12" x14ac:dyDescent="0.2">
      <c r="A101" s="9">
        <v>28</v>
      </c>
      <c r="B101" s="9">
        <v>1</v>
      </c>
      <c r="C101" s="9">
        <f ca="1"/>
        <v>33</v>
      </c>
      <c r="D101" s="10">
        <f ca="1"/>
        <v>23.390432276776316</v>
      </c>
      <c r="E101" s="10">
        <f t="shared" ca="1" si="2"/>
        <v>-4.6095677232236838</v>
      </c>
      <c r="G101" s="10">
        <f t="shared" ca="1" si="3"/>
        <v>3.5467090836049079E-4</v>
      </c>
      <c r="L101" s="10"/>
    </row>
    <row r="102" spans="1:12" x14ac:dyDescent="0.2">
      <c r="A102" s="9">
        <v>24</v>
      </c>
      <c r="B102" s="9">
        <v>1</v>
      </c>
      <c r="C102" s="9">
        <f ca="1"/>
        <v>32</v>
      </c>
      <c r="D102" s="10">
        <f ca="1"/>
        <v>22.707213165124255</v>
      </c>
      <c r="E102" s="10">
        <f t="shared" ca="1" si="2"/>
        <v>-1.292786834875745</v>
      </c>
      <c r="G102" s="10">
        <f t="shared" ca="1" si="3"/>
        <v>0.18695017615119994</v>
      </c>
      <c r="L102" s="10"/>
    </row>
    <row r="103" spans="1:12" x14ac:dyDescent="0.2">
      <c r="A103" s="9">
        <v>25</v>
      </c>
      <c r="B103" s="9">
        <v>1</v>
      </c>
      <c r="C103" s="9">
        <f ca="1"/>
        <v>32</v>
      </c>
      <c r="D103" s="10">
        <f ca="1"/>
        <v>22.707213165124255</v>
      </c>
      <c r="E103" s="10">
        <f t="shared" ca="1" si="2"/>
        <v>-2.292786834875745</v>
      </c>
      <c r="G103" s="10">
        <f t="shared" ca="1" si="3"/>
        <v>5.9319674466379105E-2</v>
      </c>
      <c r="L103" s="10"/>
    </row>
    <row r="104" spans="1:12" x14ac:dyDescent="0.2">
      <c r="A104" s="9">
        <v>23</v>
      </c>
      <c r="B104" s="9">
        <v>1</v>
      </c>
      <c r="C104" s="9">
        <f ca="1"/>
        <v>29</v>
      </c>
      <c r="D104" s="10">
        <f ca="1"/>
        <v>20.657555830168075</v>
      </c>
      <c r="E104" s="10">
        <f t="shared" ca="1" si="2"/>
        <v>-2.3424441698319249</v>
      </c>
      <c r="G104" s="10">
        <f t="shared" ca="1" si="3"/>
        <v>5.5105656873233724E-2</v>
      </c>
      <c r="L104" s="10"/>
    </row>
    <row r="105" spans="1:12" x14ac:dyDescent="0.2">
      <c r="A105" s="9">
        <v>24</v>
      </c>
      <c r="B105" s="9">
        <v>1</v>
      </c>
      <c r="C105" s="9">
        <f ca="1"/>
        <v>32</v>
      </c>
      <c r="D105" s="10">
        <f ca="1"/>
        <v>22.707213165124255</v>
      </c>
      <c r="E105" s="10">
        <f t="shared" ca="1" si="2"/>
        <v>-1.292786834875745</v>
      </c>
      <c r="G105" s="10">
        <f t="shared" ca="1" si="3"/>
        <v>0.18695017615119994</v>
      </c>
      <c r="L105" s="10"/>
    </row>
    <row r="106" spans="1:12" x14ac:dyDescent="0.2">
      <c r="A106" s="9">
        <v>26</v>
      </c>
      <c r="B106" s="9">
        <v>1</v>
      </c>
      <c r="C106" s="9">
        <f ca="1"/>
        <v>34</v>
      </c>
      <c r="D106" s="10">
        <f ca="1"/>
        <v>24.073651388428374</v>
      </c>
      <c r="E106" s="10">
        <f t="shared" ca="1" si="2"/>
        <v>-1.9263486115716262</v>
      </c>
      <c r="G106" s="10">
        <f t="shared" ca="1" si="3"/>
        <v>9.7309924689843758E-2</v>
      </c>
      <c r="L106" s="10"/>
    </row>
    <row r="107" spans="1:12" x14ac:dyDescent="0.2">
      <c r="A107" s="9">
        <v>25</v>
      </c>
      <c r="B107" s="9">
        <v>1</v>
      </c>
      <c r="C107" s="9">
        <f ca="1"/>
        <v>36</v>
      </c>
      <c r="D107" s="10">
        <f ca="1"/>
        <v>25.440089611732493</v>
      </c>
      <c r="E107" s="10">
        <f t="shared" ca="1" si="2"/>
        <v>0.44008961173249261</v>
      </c>
      <c r="G107" s="10">
        <f t="shared" ca="1" si="3"/>
        <v>0.30003330384512222</v>
      </c>
      <c r="L107" s="10"/>
    </row>
    <row r="108" spans="1:12" x14ac:dyDescent="0.2">
      <c r="A108" s="9">
        <v>24</v>
      </c>
      <c r="B108" s="9">
        <v>1</v>
      </c>
      <c r="C108" s="9">
        <f ca="1"/>
        <v>36</v>
      </c>
      <c r="D108" s="10">
        <f ca="1"/>
        <v>25.440089611732493</v>
      </c>
      <c r="E108" s="10">
        <f t="shared" ca="1" si="2"/>
        <v>1.4400896117324926</v>
      </c>
      <c r="G108" s="10">
        <f t="shared" ca="1" si="3"/>
        <v>0.16434448542706917</v>
      </c>
      <c r="L108" s="10"/>
    </row>
    <row r="109" spans="1:12" x14ac:dyDescent="0.2">
      <c r="A109" s="9">
        <v>21</v>
      </c>
      <c r="B109" s="9">
        <v>1</v>
      </c>
      <c r="C109" s="9">
        <f ca="1"/>
        <v>29</v>
      </c>
      <c r="D109" s="10">
        <f ca="1"/>
        <v>20.657555830168075</v>
      </c>
      <c r="E109" s="10">
        <f t="shared" ca="1" si="2"/>
        <v>-0.34244416983192494</v>
      </c>
      <c r="G109" s="10">
        <f t="shared" ca="1" si="3"/>
        <v>0.30746337812452051</v>
      </c>
      <c r="L109" s="10"/>
    </row>
    <row r="110" spans="1:12" x14ac:dyDescent="0.2">
      <c r="A110" s="9">
        <v>18</v>
      </c>
      <c r="B110" s="9">
        <v>1</v>
      </c>
      <c r="C110" s="9">
        <f ca="1"/>
        <v>26</v>
      </c>
      <c r="D110" s="10">
        <f ca="1"/>
        <v>18.607898495211895</v>
      </c>
      <c r="E110" s="10">
        <f t="shared" ca="1" si="2"/>
        <v>0.6078984952118951</v>
      </c>
      <c r="G110" s="10">
        <f t="shared" ca="1" si="3"/>
        <v>0.28360781451993688</v>
      </c>
      <c r="L110" s="10"/>
    </row>
    <row r="111" spans="1:12" x14ac:dyDescent="0.2">
      <c r="A111" s="9">
        <v>18</v>
      </c>
      <c r="B111" s="9">
        <v>1</v>
      </c>
      <c r="C111" s="9">
        <f ca="1"/>
        <v>27</v>
      </c>
      <c r="D111" s="10">
        <f ca="1"/>
        <v>19.291117606863956</v>
      </c>
      <c r="E111" s="10">
        <f t="shared" ca="1" si="2"/>
        <v>1.2911176068639563</v>
      </c>
      <c r="G111" s="10">
        <f t="shared" ca="1" si="3"/>
        <v>0.18720849951963059</v>
      </c>
      <c r="L111" s="10"/>
    </row>
    <row r="112" spans="1:12" x14ac:dyDescent="0.2">
      <c r="A112" s="9">
        <v>21</v>
      </c>
      <c r="B112" s="9">
        <v>1</v>
      </c>
      <c r="C112" s="9">
        <f ca="1"/>
        <v>30</v>
      </c>
      <c r="D112" s="10">
        <f ca="1"/>
        <v>21.340774941820136</v>
      </c>
      <c r="E112" s="10">
        <f t="shared" ca="1" si="2"/>
        <v>0.34077494182013623</v>
      </c>
      <c r="G112" s="10">
        <f t="shared" ca="1" si="3"/>
        <v>0.30757565599758996</v>
      </c>
      <c r="L112" s="10"/>
    </row>
    <row r="113" spans="1:12" x14ac:dyDescent="0.2">
      <c r="A113" s="9">
        <v>21</v>
      </c>
      <c r="B113" s="9">
        <v>1</v>
      </c>
      <c r="C113" s="9">
        <f ca="1"/>
        <v>31</v>
      </c>
      <c r="D113" s="10">
        <f ca="1"/>
        <v>22.023994053472194</v>
      </c>
      <c r="E113" s="10">
        <f t="shared" ca="1" si="2"/>
        <v>1.0239940534721939</v>
      </c>
      <c r="G113" s="10">
        <f t="shared" ca="1" si="3"/>
        <v>0.22819645484299309</v>
      </c>
      <c r="L113" s="10"/>
    </row>
    <row r="114" spans="1:12" x14ac:dyDescent="0.2">
      <c r="A114" s="9">
        <v>18</v>
      </c>
      <c r="B114" s="9">
        <v>1</v>
      </c>
      <c r="C114" s="9">
        <f ca="1"/>
        <v>26</v>
      </c>
      <c r="D114" s="10">
        <f ca="1"/>
        <v>18.607898495211895</v>
      </c>
      <c r="E114" s="10">
        <f t="shared" ca="1" si="2"/>
        <v>0.6078984952118951</v>
      </c>
      <c r="G114" s="10">
        <f t="shared" ca="1" si="3"/>
        <v>0.28360781451993688</v>
      </c>
      <c r="L114" s="10"/>
    </row>
    <row r="115" spans="1:12" x14ac:dyDescent="0.2">
      <c r="A115" s="9">
        <v>18</v>
      </c>
      <c r="B115" s="9">
        <v>1</v>
      </c>
      <c r="C115" s="9">
        <f ca="1"/>
        <v>26</v>
      </c>
      <c r="D115" s="10">
        <f ca="1"/>
        <v>18.607898495211895</v>
      </c>
      <c r="E115" s="10">
        <f t="shared" ca="1" si="2"/>
        <v>0.6078984952118951</v>
      </c>
      <c r="G115" s="10">
        <f t="shared" ca="1" si="3"/>
        <v>0.28360781451993688</v>
      </c>
      <c r="L115" s="10"/>
    </row>
    <row r="116" spans="1:12" x14ac:dyDescent="0.2">
      <c r="A116" s="9">
        <v>19</v>
      </c>
      <c r="B116" s="9">
        <v>1</v>
      </c>
      <c r="C116" s="9">
        <f ca="1"/>
        <v>28</v>
      </c>
      <c r="D116" s="10">
        <f ca="1"/>
        <v>19.974336718516017</v>
      </c>
      <c r="E116" s="10">
        <f t="shared" ca="1" si="2"/>
        <v>0.97433671851601744</v>
      </c>
      <c r="G116" s="10">
        <f t="shared" ca="1" si="3"/>
        <v>0.23556229359930655</v>
      </c>
      <c r="L116" s="10"/>
    </row>
    <row r="117" spans="1:12" x14ac:dyDescent="0.2">
      <c r="A117" s="9">
        <v>19</v>
      </c>
      <c r="B117" s="9">
        <v>1</v>
      </c>
      <c r="C117" s="9">
        <f ca="1"/>
        <v>26</v>
      </c>
      <c r="D117" s="10">
        <f ca="1"/>
        <v>18.607898495211895</v>
      </c>
      <c r="E117" s="10">
        <f t="shared" ca="1" si="2"/>
        <v>-0.3921015047881049</v>
      </c>
      <c r="G117" s="10">
        <f t="shared" ca="1" si="3"/>
        <v>0.30389387162696274</v>
      </c>
      <c r="L117" s="10"/>
    </row>
    <row r="118" spans="1:12" x14ac:dyDescent="0.2">
      <c r="A118" s="9">
        <v>19</v>
      </c>
      <c r="B118" s="9">
        <v>1</v>
      </c>
      <c r="C118" s="9">
        <f ca="1"/>
        <v>29</v>
      </c>
      <c r="D118" s="10">
        <f ca="1"/>
        <v>20.657555830168075</v>
      </c>
      <c r="E118" s="10">
        <f t="shared" ca="1" si="2"/>
        <v>1.6575558301680751</v>
      </c>
      <c r="G118" s="10">
        <f t="shared" ca="1" si="3"/>
        <v>0.13246320078694085</v>
      </c>
      <c r="L118" s="10"/>
    </row>
    <row r="119" spans="1:12" x14ac:dyDescent="0.2">
      <c r="A119" s="9">
        <v>20</v>
      </c>
      <c r="B119" s="9">
        <v>1</v>
      </c>
      <c r="C119" s="9">
        <f ca="1"/>
        <v>28</v>
      </c>
      <c r="D119" s="10">
        <f ca="1"/>
        <v>19.974336718516017</v>
      </c>
      <c r="E119" s="10">
        <f t="shared" ca="1" si="2"/>
        <v>-2.5663281483982558E-2</v>
      </c>
      <c r="G119" s="10">
        <f t="shared" ca="1" si="3"/>
        <v>0.31915849397187074</v>
      </c>
      <c r="L119" s="10"/>
    </row>
    <row r="120" spans="1:12" x14ac:dyDescent="0.2">
      <c r="A120" s="9">
        <v>20</v>
      </c>
      <c r="B120" s="9">
        <v>1</v>
      </c>
      <c r="C120" s="9">
        <f ca="1"/>
        <v>27</v>
      </c>
      <c r="D120" s="10">
        <f ca="1"/>
        <v>19.291117606863956</v>
      </c>
      <c r="E120" s="10">
        <f t="shared" ca="1" si="2"/>
        <v>-0.70888239313604373</v>
      </c>
      <c r="G120" s="10">
        <f t="shared" ca="1" si="3"/>
        <v>0.2717877911689337</v>
      </c>
      <c r="L120" s="10"/>
    </row>
    <row r="121" spans="1:12" x14ac:dyDescent="0.2">
      <c r="A121" s="9">
        <v>17</v>
      </c>
      <c r="B121" s="9">
        <v>1</v>
      </c>
      <c r="C121" s="9">
        <f ca="1"/>
        <v>24</v>
      </c>
      <c r="D121" s="10">
        <f ca="1"/>
        <v>17.241460271907776</v>
      </c>
      <c r="E121" s="10">
        <f t="shared" ca="1" si="2"/>
        <v>0.2414602719077763</v>
      </c>
      <c r="G121" s="10">
        <f t="shared" ca="1" si="3"/>
        <v>0.31332258364370175</v>
      </c>
      <c r="L121" s="10"/>
    </row>
    <row r="122" spans="1:12" x14ac:dyDescent="0.2">
      <c r="A122" s="9">
        <v>16</v>
      </c>
      <c r="B122" s="9">
        <v>1</v>
      </c>
      <c r="C122" s="9">
        <f ca="1"/>
        <v>24</v>
      </c>
      <c r="D122" s="10">
        <f ca="1"/>
        <v>17.241460271907776</v>
      </c>
      <c r="E122" s="10">
        <f t="shared" ca="1" si="2"/>
        <v>1.2414602719077763</v>
      </c>
      <c r="G122" s="10">
        <f t="shared" ca="1" si="3"/>
        <v>0.19489962071960723</v>
      </c>
      <c r="L122" s="10"/>
    </row>
    <row r="123" spans="1:12" x14ac:dyDescent="0.2">
      <c r="A123" s="9">
        <v>17</v>
      </c>
      <c r="B123" s="9">
        <v>1</v>
      </c>
      <c r="C123" s="9">
        <f ca="1"/>
        <v>24</v>
      </c>
      <c r="D123" s="10">
        <f ca="1"/>
        <v>17.241460271907776</v>
      </c>
      <c r="E123" s="10">
        <f t="shared" ca="1" si="2"/>
        <v>0.2414602719077763</v>
      </c>
      <c r="G123" s="10">
        <f t="shared" ca="1" si="3"/>
        <v>0.31332258364370175</v>
      </c>
      <c r="L123" s="10"/>
    </row>
    <row r="124" spans="1:12" x14ac:dyDescent="0.2">
      <c r="A124" s="9">
        <v>17</v>
      </c>
      <c r="B124" s="9">
        <v>1</v>
      </c>
      <c r="C124" s="9">
        <f ca="1"/>
        <v>22</v>
      </c>
      <c r="D124" s="10">
        <f ca="1"/>
        <v>15.875022048603658</v>
      </c>
      <c r="E124" s="10">
        <f t="shared" ca="1" si="2"/>
        <v>-1.1249779513963425</v>
      </c>
      <c r="G124" s="10">
        <f t="shared" ca="1" si="3"/>
        <v>0.21288069180319472</v>
      </c>
      <c r="L124" s="10"/>
    </row>
    <row r="125" spans="1:12" x14ac:dyDescent="0.2">
      <c r="A125" s="9">
        <v>15</v>
      </c>
      <c r="B125" s="9">
        <v>1</v>
      </c>
      <c r="C125" s="9">
        <f ca="1"/>
        <v>19</v>
      </c>
      <c r="D125" s="10">
        <f ca="1"/>
        <v>13.825364713647479</v>
      </c>
      <c r="E125" s="10">
        <f t="shared" ca="1" si="2"/>
        <v>-1.1746352863525207</v>
      </c>
      <c r="G125" s="10">
        <f t="shared" ca="1" si="3"/>
        <v>0.20523871008550823</v>
      </c>
      <c r="L125" s="10"/>
    </row>
    <row r="126" spans="1:12" x14ac:dyDescent="0.2">
      <c r="A126" s="9">
        <v>15</v>
      </c>
      <c r="B126" s="9">
        <v>1</v>
      </c>
      <c r="C126" s="9">
        <f ca="1"/>
        <v>20</v>
      </c>
      <c r="D126" s="10">
        <f ca="1"/>
        <v>14.508583825299539</v>
      </c>
      <c r="E126" s="10">
        <f t="shared" ca="1" si="2"/>
        <v>-0.49141617470046128</v>
      </c>
      <c r="G126" s="10">
        <f t="shared" ca="1" si="3"/>
        <v>0.29547583692562635</v>
      </c>
      <c r="L126" s="10"/>
    </row>
    <row r="127" spans="1:12" x14ac:dyDescent="0.2">
      <c r="A127" s="9">
        <v>14</v>
      </c>
      <c r="B127" s="9">
        <v>1</v>
      </c>
      <c r="C127" s="9">
        <f ca="1"/>
        <v>17</v>
      </c>
      <c r="D127" s="10">
        <f ca="1"/>
        <v>12.458926490343359</v>
      </c>
      <c r="E127" s="10">
        <f t="shared" ca="1" si="2"/>
        <v>-1.5410735096566412</v>
      </c>
      <c r="G127" s="10">
        <f t="shared" ca="1" si="3"/>
        <v>0.14924443441661395</v>
      </c>
      <c r="L127" s="10"/>
    </row>
    <row r="128" spans="1:12" x14ac:dyDescent="0.2">
      <c r="A128" s="9">
        <v>9</v>
      </c>
      <c r="B128" s="9">
        <v>1</v>
      </c>
      <c r="C128" s="9">
        <f ca="1"/>
        <v>12</v>
      </c>
      <c r="D128" s="10">
        <f ca="1"/>
        <v>9.04283093208306</v>
      </c>
      <c r="E128" s="10">
        <f t="shared" ca="1" si="2"/>
        <v>4.2830932083059992E-2</v>
      </c>
      <c r="G128" s="10">
        <f t="shared" ca="1" si="3"/>
        <v>0.31903836846290684</v>
      </c>
      <c r="L128" s="10"/>
    </row>
    <row r="129" spans="1:12" x14ac:dyDescent="0.2">
      <c r="A129" s="9">
        <v>14</v>
      </c>
      <c r="B129" s="9">
        <v>1</v>
      </c>
      <c r="C129" s="9">
        <f ca="1"/>
        <v>19</v>
      </c>
      <c r="D129" s="10">
        <f ca="1"/>
        <v>13.825364713647479</v>
      </c>
      <c r="E129" s="10">
        <f t="shared" ca="1" si="2"/>
        <v>-0.17463528635252068</v>
      </c>
      <c r="G129" s="10">
        <f t="shared" ca="1" si="3"/>
        <v>0.31612416936198534</v>
      </c>
      <c r="L129" s="10"/>
    </row>
    <row r="130" spans="1:12" x14ac:dyDescent="0.2">
      <c r="A130" s="9">
        <v>13</v>
      </c>
      <c r="B130" s="9">
        <v>1</v>
      </c>
      <c r="C130" s="9">
        <f ca="1"/>
        <v>18</v>
      </c>
      <c r="D130" s="10">
        <f ca="1"/>
        <v>13.142145601995418</v>
      </c>
      <c r="E130" s="10">
        <f t="shared" ca="1" si="2"/>
        <v>0.14214560199541815</v>
      </c>
      <c r="G130" s="10">
        <f t="shared" ca="1" si="3"/>
        <v>0.31716750413300532</v>
      </c>
      <c r="L130" s="10"/>
    </row>
    <row r="131" spans="1:12" x14ac:dyDescent="0.2">
      <c r="A131" s="9">
        <v>11</v>
      </c>
      <c r="B131" s="9">
        <v>1</v>
      </c>
      <c r="C131" s="9">
        <f ca="1"/>
        <v>14</v>
      </c>
      <c r="D131" s="10">
        <f ca="1"/>
        <v>10.409269155387181</v>
      </c>
      <c r="E131" s="10">
        <f t="shared" ref="E131:E194" ca="1" si="4">D131-A131</f>
        <v>-0.59073084461281944</v>
      </c>
      <c r="G131" s="10">
        <f t="shared" ref="G131:G194" ca="1" si="5">_xlfn.NORM.DIST(E131,0,$F$2,FALSE)</f>
        <v>0.28548233893943797</v>
      </c>
      <c r="L131" s="10"/>
    </row>
    <row r="132" spans="1:12" x14ac:dyDescent="0.2">
      <c r="A132" s="9">
        <v>11</v>
      </c>
      <c r="B132" s="9">
        <v>1</v>
      </c>
      <c r="C132" s="9">
        <f ca="1"/>
        <v>15</v>
      </c>
      <c r="D132" s="10">
        <f ca="1"/>
        <v>11.09248826703924</v>
      </c>
      <c r="E132" s="10">
        <f t="shared" ca="1" si="4"/>
        <v>9.2488267039239958E-2</v>
      </c>
      <c r="G132" s="10">
        <f t="shared" ca="1" si="5"/>
        <v>0.31835277839425191</v>
      </c>
      <c r="L132" s="10"/>
    </row>
    <row r="133" spans="1:12" x14ac:dyDescent="0.2">
      <c r="A133" s="9">
        <v>12</v>
      </c>
      <c r="B133" s="9">
        <v>1</v>
      </c>
      <c r="C133" s="9">
        <f ca="1"/>
        <v>18</v>
      </c>
      <c r="D133" s="10">
        <f ca="1"/>
        <v>13.142145601995418</v>
      </c>
      <c r="E133" s="10">
        <f t="shared" ca="1" si="4"/>
        <v>1.1421456019954181</v>
      </c>
      <c r="G133" s="10">
        <f t="shared" ca="1" si="5"/>
        <v>0.21024457151414655</v>
      </c>
      <c r="L133" s="10"/>
    </row>
    <row r="134" spans="1:12" x14ac:dyDescent="0.2">
      <c r="A134" s="9">
        <v>12</v>
      </c>
      <c r="B134" s="9">
        <v>1</v>
      </c>
      <c r="C134" s="9">
        <f ca="1"/>
        <v>18</v>
      </c>
      <c r="D134" s="10">
        <f ca="1"/>
        <v>13.142145601995418</v>
      </c>
      <c r="E134" s="10">
        <f t="shared" ca="1" si="4"/>
        <v>1.1421456019954181</v>
      </c>
      <c r="G134" s="10">
        <f t="shared" ca="1" si="5"/>
        <v>0.21024457151414655</v>
      </c>
      <c r="L134" s="10"/>
    </row>
    <row r="135" spans="1:12" x14ac:dyDescent="0.2">
      <c r="A135" s="9">
        <v>11</v>
      </c>
      <c r="B135" s="9">
        <v>1</v>
      </c>
      <c r="C135" s="9">
        <f ca="1"/>
        <v>15</v>
      </c>
      <c r="D135" s="10">
        <f ca="1"/>
        <v>11.09248826703924</v>
      </c>
      <c r="E135" s="10">
        <f t="shared" ca="1" si="4"/>
        <v>9.2488267039239958E-2</v>
      </c>
      <c r="G135" s="10">
        <f t="shared" ca="1" si="5"/>
        <v>0.31835277839425191</v>
      </c>
      <c r="L135" s="10"/>
    </row>
    <row r="136" spans="1:12" x14ac:dyDescent="0.2">
      <c r="A136" s="9">
        <v>11</v>
      </c>
      <c r="B136" s="9">
        <v>1</v>
      </c>
      <c r="C136" s="9">
        <f ca="1"/>
        <v>17</v>
      </c>
      <c r="D136" s="10">
        <f ca="1"/>
        <v>12.458926490343359</v>
      </c>
      <c r="E136" s="10">
        <f t="shared" ca="1" si="4"/>
        <v>1.4589264903433588</v>
      </c>
      <c r="G136" s="10">
        <f t="shared" ca="1" si="5"/>
        <v>0.16149629011123415</v>
      </c>
      <c r="L136" s="10"/>
    </row>
    <row r="137" spans="1:12" x14ac:dyDescent="0.2">
      <c r="A137" s="9">
        <v>11</v>
      </c>
      <c r="B137" s="9">
        <v>1</v>
      </c>
      <c r="C137" s="9">
        <f ca="1"/>
        <v>16</v>
      </c>
      <c r="D137" s="10">
        <f ca="1"/>
        <v>11.775707378691299</v>
      </c>
      <c r="E137" s="10">
        <f t="shared" ca="1" si="4"/>
        <v>0.77570737869129935</v>
      </c>
      <c r="G137" s="10">
        <f t="shared" ca="1" si="5"/>
        <v>0.26329124156712214</v>
      </c>
      <c r="L137" s="10"/>
    </row>
    <row r="138" spans="1:12" x14ac:dyDescent="0.2">
      <c r="A138" s="9">
        <v>12</v>
      </c>
      <c r="B138" s="9">
        <v>1</v>
      </c>
      <c r="C138" s="9">
        <f ca="1"/>
        <v>18</v>
      </c>
      <c r="D138" s="10">
        <f ca="1"/>
        <v>13.142145601995418</v>
      </c>
      <c r="E138" s="10">
        <f t="shared" ca="1" si="4"/>
        <v>1.1421456019954181</v>
      </c>
      <c r="G138" s="10">
        <f t="shared" ca="1" si="5"/>
        <v>0.21024457151414655</v>
      </c>
      <c r="L138" s="10"/>
    </row>
    <row r="139" spans="1:12" x14ac:dyDescent="0.2">
      <c r="A139" s="9">
        <v>14</v>
      </c>
      <c r="B139" s="9">
        <v>1</v>
      </c>
      <c r="C139" s="9">
        <f ca="1"/>
        <v>17</v>
      </c>
      <c r="D139" s="10">
        <f ca="1"/>
        <v>12.458926490343359</v>
      </c>
      <c r="E139" s="10">
        <f t="shared" ca="1" si="4"/>
        <v>-1.5410735096566412</v>
      </c>
      <c r="G139" s="10">
        <f t="shared" ca="1" si="5"/>
        <v>0.14924443441661395</v>
      </c>
      <c r="L139" s="10"/>
    </row>
    <row r="140" spans="1:12" x14ac:dyDescent="0.2">
      <c r="A140" s="9">
        <v>13</v>
      </c>
      <c r="B140" s="9">
        <v>1</v>
      </c>
      <c r="C140" s="9">
        <f ca="1"/>
        <v>19</v>
      </c>
      <c r="D140" s="10">
        <f ca="1"/>
        <v>13.825364713647479</v>
      </c>
      <c r="E140" s="10">
        <f t="shared" ca="1" si="4"/>
        <v>0.82536471364747932</v>
      </c>
      <c r="G140" s="10">
        <f t="shared" ca="1" si="5"/>
        <v>0.25667424064304967</v>
      </c>
      <c r="L140" s="10"/>
    </row>
    <row r="141" spans="1:12" x14ac:dyDescent="0.2">
      <c r="A141" s="9">
        <v>13</v>
      </c>
      <c r="B141" s="9">
        <v>1</v>
      </c>
      <c r="C141" s="9">
        <f ca="1"/>
        <v>19</v>
      </c>
      <c r="D141" s="10">
        <f ca="1"/>
        <v>13.825364713647479</v>
      </c>
      <c r="E141" s="10">
        <f t="shared" ca="1" si="4"/>
        <v>0.82536471364747932</v>
      </c>
      <c r="G141" s="10">
        <f t="shared" ca="1" si="5"/>
        <v>0.25667424064304967</v>
      </c>
      <c r="L141" s="10"/>
    </row>
    <row r="142" spans="1:12" x14ac:dyDescent="0.2">
      <c r="A142" s="9">
        <v>13</v>
      </c>
      <c r="B142" s="9">
        <v>1</v>
      </c>
      <c r="C142" s="9">
        <f ca="1"/>
        <v>17</v>
      </c>
      <c r="D142" s="10">
        <f ca="1"/>
        <v>12.458926490343359</v>
      </c>
      <c r="E142" s="10">
        <f t="shared" ca="1" si="4"/>
        <v>-0.54107350965664125</v>
      </c>
      <c r="G142" s="10">
        <f t="shared" ca="1" si="5"/>
        <v>0.29066547731752662</v>
      </c>
      <c r="L142" s="10"/>
    </row>
    <row r="143" spans="1:12" x14ac:dyDescent="0.2">
      <c r="A143" s="9">
        <v>21</v>
      </c>
      <c r="B143" s="9">
        <v>1</v>
      </c>
      <c r="C143" s="9">
        <f ca="1"/>
        <v>29</v>
      </c>
      <c r="D143" s="10">
        <f ca="1"/>
        <v>20.657555830168075</v>
      </c>
      <c r="E143" s="10">
        <f t="shared" ca="1" si="4"/>
        <v>-0.34244416983192494</v>
      </c>
      <c r="G143" s="10">
        <f t="shared" ca="1" si="5"/>
        <v>0.30746337812452051</v>
      </c>
      <c r="L143" s="10"/>
    </row>
    <row r="144" spans="1:12" x14ac:dyDescent="0.2">
      <c r="A144" s="9">
        <v>19</v>
      </c>
      <c r="B144" s="9">
        <v>1</v>
      </c>
      <c r="C144" s="9">
        <f ca="1"/>
        <v>27</v>
      </c>
      <c r="D144" s="10">
        <f ca="1"/>
        <v>19.291117606863956</v>
      </c>
      <c r="E144" s="10">
        <f t="shared" ca="1" si="4"/>
        <v>0.29111760686395627</v>
      </c>
      <c r="G144" s="10">
        <f t="shared" ca="1" si="5"/>
        <v>0.31068098494392388</v>
      </c>
      <c r="L144" s="10"/>
    </row>
    <row r="145" spans="1:12" x14ac:dyDescent="0.2">
      <c r="A145" s="9">
        <v>23</v>
      </c>
      <c r="B145" s="9">
        <v>1</v>
      </c>
      <c r="C145" s="9">
        <f ca="1"/>
        <v>31</v>
      </c>
      <c r="D145" s="10">
        <f ca="1"/>
        <v>22.023994053472194</v>
      </c>
      <c r="E145" s="10">
        <f t="shared" ca="1" si="4"/>
        <v>-0.97600594652780615</v>
      </c>
      <c r="G145" s="10">
        <f t="shared" ca="1" si="5"/>
        <v>0.23531690641077893</v>
      </c>
      <c r="L145" s="10"/>
    </row>
    <row r="146" spans="1:12" x14ac:dyDescent="0.2">
      <c r="A146" s="9">
        <v>23</v>
      </c>
      <c r="B146" s="9">
        <v>1</v>
      </c>
      <c r="C146" s="9">
        <f ca="1"/>
        <v>32</v>
      </c>
      <c r="D146" s="10">
        <f ca="1"/>
        <v>22.707213165124255</v>
      </c>
      <c r="E146" s="10">
        <f t="shared" ca="1" si="4"/>
        <v>-0.29278683487574497</v>
      </c>
      <c r="G146" s="10">
        <f t="shared" ca="1" si="5"/>
        <v>0.31058405673494627</v>
      </c>
      <c r="L146" s="10"/>
    </row>
    <row r="147" spans="1:12" x14ac:dyDescent="0.2">
      <c r="A147" s="9">
        <v>19</v>
      </c>
      <c r="B147" s="9">
        <v>1</v>
      </c>
      <c r="C147" s="9">
        <f ca="1"/>
        <v>27</v>
      </c>
      <c r="D147" s="10">
        <f ca="1"/>
        <v>19.291117606863956</v>
      </c>
      <c r="E147" s="10">
        <f t="shared" ca="1" si="4"/>
        <v>0.29111760686395627</v>
      </c>
      <c r="G147" s="10">
        <f t="shared" ca="1" si="5"/>
        <v>0.31068098494392388</v>
      </c>
      <c r="L147" s="10"/>
    </row>
    <row r="148" spans="1:12" x14ac:dyDescent="0.2">
      <c r="A148" s="9">
        <v>19</v>
      </c>
      <c r="B148" s="9">
        <v>1</v>
      </c>
      <c r="C148" s="9">
        <f ca="1"/>
        <v>26</v>
      </c>
      <c r="D148" s="10">
        <f ca="1"/>
        <v>18.607898495211895</v>
      </c>
      <c r="E148" s="10">
        <f t="shared" ca="1" si="4"/>
        <v>-0.3921015047881049</v>
      </c>
      <c r="G148" s="10">
        <f t="shared" ca="1" si="5"/>
        <v>0.30389387162696274</v>
      </c>
      <c r="L148" s="10"/>
    </row>
    <row r="149" spans="1:12" x14ac:dyDescent="0.2">
      <c r="A149" s="9">
        <v>18</v>
      </c>
      <c r="B149" s="9">
        <v>1</v>
      </c>
      <c r="C149" s="9">
        <f ca="1"/>
        <v>26</v>
      </c>
      <c r="D149" s="10">
        <f ca="1"/>
        <v>18.607898495211895</v>
      </c>
      <c r="E149" s="10">
        <f t="shared" ca="1" si="4"/>
        <v>0.6078984952118951</v>
      </c>
      <c r="G149" s="10">
        <f t="shared" ca="1" si="5"/>
        <v>0.28360781451993688</v>
      </c>
      <c r="L149" s="10"/>
    </row>
    <row r="150" spans="1:12" x14ac:dyDescent="0.2">
      <c r="A150" s="9">
        <v>19</v>
      </c>
      <c r="B150" s="9">
        <v>1</v>
      </c>
      <c r="C150" s="9">
        <f ca="1"/>
        <v>25</v>
      </c>
      <c r="D150" s="10">
        <f ca="1"/>
        <v>17.924679383559837</v>
      </c>
      <c r="E150" s="10">
        <f t="shared" ca="1" si="4"/>
        <v>-1.0753206164401625</v>
      </c>
      <c r="G150" s="10">
        <f t="shared" ca="1" si="5"/>
        <v>0.22045887184038612</v>
      </c>
      <c r="L150" s="10"/>
    </row>
    <row r="151" spans="1:12" x14ac:dyDescent="0.2">
      <c r="A151" s="9">
        <v>19</v>
      </c>
      <c r="B151" s="9">
        <v>1</v>
      </c>
      <c r="C151" s="9">
        <f ca="1"/>
        <v>25</v>
      </c>
      <c r="D151" s="10">
        <f ca="1"/>
        <v>17.924679383559837</v>
      </c>
      <c r="E151" s="10">
        <f t="shared" ca="1" si="4"/>
        <v>-1.0753206164401625</v>
      </c>
      <c r="G151" s="10">
        <f t="shared" ca="1" si="5"/>
        <v>0.22045887184038612</v>
      </c>
      <c r="L151" s="10"/>
    </row>
    <row r="152" spans="1:12" x14ac:dyDescent="0.2">
      <c r="A152" s="9">
        <v>14</v>
      </c>
      <c r="B152" s="9">
        <v>1</v>
      </c>
      <c r="C152" s="9">
        <f ca="1"/>
        <v>17</v>
      </c>
      <c r="D152" s="10">
        <f ca="1"/>
        <v>12.458926490343359</v>
      </c>
      <c r="E152" s="10">
        <f t="shared" ca="1" si="4"/>
        <v>-1.5410735096566412</v>
      </c>
      <c r="G152" s="10">
        <f t="shared" ca="1" si="5"/>
        <v>0.14924443441661395</v>
      </c>
      <c r="L152" s="10"/>
    </row>
    <row r="153" spans="1:12" x14ac:dyDescent="0.2">
      <c r="A153" s="9">
        <v>15</v>
      </c>
      <c r="B153" s="9">
        <v>1</v>
      </c>
      <c r="C153" s="9">
        <f ca="1"/>
        <v>17</v>
      </c>
      <c r="D153" s="10">
        <f ca="1"/>
        <v>12.458926490343359</v>
      </c>
      <c r="E153" s="10">
        <f t="shared" ca="1" si="4"/>
        <v>-2.5410735096566412</v>
      </c>
      <c r="G153" s="10">
        <f t="shared" ca="1" si="5"/>
        <v>4.0395128664178985E-2</v>
      </c>
      <c r="L153" s="10"/>
    </row>
    <row r="154" spans="1:12" x14ac:dyDescent="0.2">
      <c r="A154" s="9">
        <v>14</v>
      </c>
      <c r="B154" s="9">
        <v>1</v>
      </c>
      <c r="C154" s="9">
        <f ca="1"/>
        <v>20</v>
      </c>
      <c r="D154" s="10">
        <f ca="1"/>
        <v>14.508583825299539</v>
      </c>
      <c r="E154" s="10">
        <f t="shared" ca="1" si="4"/>
        <v>0.50858382529953872</v>
      </c>
      <c r="G154" s="10">
        <f t="shared" ca="1" si="5"/>
        <v>0.29385631906225068</v>
      </c>
      <c r="L154" s="10"/>
    </row>
    <row r="155" spans="1:12" x14ac:dyDescent="0.2">
      <c r="A155" s="9">
        <v>12</v>
      </c>
      <c r="B155" s="9">
        <v>1</v>
      </c>
      <c r="C155" s="9">
        <f ca="1"/>
        <v>18</v>
      </c>
      <c r="D155" s="10">
        <f ca="1"/>
        <v>13.142145601995418</v>
      </c>
      <c r="E155" s="10">
        <f t="shared" ca="1" si="4"/>
        <v>1.1421456019954181</v>
      </c>
      <c r="G155" s="10">
        <f t="shared" ca="1" si="5"/>
        <v>0.21024457151414655</v>
      </c>
      <c r="L155" s="10"/>
    </row>
    <row r="156" spans="1:12" x14ac:dyDescent="0.2">
      <c r="A156" s="9">
        <v>18</v>
      </c>
      <c r="B156" s="9">
        <v>1</v>
      </c>
      <c r="C156" s="9">
        <f ca="1"/>
        <v>26</v>
      </c>
      <c r="D156" s="10">
        <f ca="1"/>
        <v>18.607898495211895</v>
      </c>
      <c r="E156" s="10">
        <f t="shared" ca="1" si="4"/>
        <v>0.6078984952118951</v>
      </c>
      <c r="G156" s="10">
        <f t="shared" ca="1" si="5"/>
        <v>0.28360781451993688</v>
      </c>
      <c r="L156" s="10"/>
    </row>
    <row r="157" spans="1:12" x14ac:dyDescent="0.2">
      <c r="A157" s="9">
        <v>16</v>
      </c>
      <c r="B157" s="9">
        <v>1</v>
      </c>
      <c r="C157" s="9">
        <f ca="1"/>
        <v>26</v>
      </c>
      <c r="D157" s="10">
        <f ca="1"/>
        <v>18.607898495211895</v>
      </c>
      <c r="E157" s="10">
        <f t="shared" ca="1" si="4"/>
        <v>2.6078984952118951</v>
      </c>
      <c r="G157" s="10">
        <f t="shared" ca="1" si="5"/>
        <v>3.6181717224349638E-2</v>
      </c>
      <c r="L157" s="10"/>
    </row>
    <row r="158" spans="1:12" x14ac:dyDescent="0.2">
      <c r="A158" s="9">
        <v>17</v>
      </c>
      <c r="B158" s="9">
        <v>1</v>
      </c>
      <c r="C158" s="9">
        <f ca="1"/>
        <v>27</v>
      </c>
      <c r="D158" s="10">
        <f ca="1"/>
        <v>19.291117606863956</v>
      </c>
      <c r="E158" s="10">
        <f t="shared" ca="1" si="4"/>
        <v>2.2911176068639563</v>
      </c>
      <c r="G158" s="10">
        <f t="shared" ca="1" si="5"/>
        <v>5.9465162689867283E-2</v>
      </c>
      <c r="L158" s="10"/>
    </row>
    <row r="159" spans="1:12" x14ac:dyDescent="0.2">
      <c r="A159" s="9">
        <v>18</v>
      </c>
      <c r="B159" s="9">
        <v>1</v>
      </c>
      <c r="C159" s="9">
        <f ca="1"/>
        <v>28</v>
      </c>
      <c r="D159" s="10">
        <f ca="1"/>
        <v>19.974336718516017</v>
      </c>
      <c r="E159" s="10">
        <f t="shared" ca="1" si="4"/>
        <v>1.9743367185160174</v>
      </c>
      <c r="G159" s="10">
        <f t="shared" ca="1" si="5"/>
        <v>9.1649753525670924E-2</v>
      </c>
      <c r="L159" s="10"/>
    </row>
    <row r="160" spans="1:12" x14ac:dyDescent="0.2">
      <c r="A160" s="9">
        <v>16</v>
      </c>
      <c r="B160" s="9">
        <v>1</v>
      </c>
      <c r="C160" s="9">
        <f ca="1"/>
        <v>25</v>
      </c>
      <c r="D160" s="10">
        <f ca="1"/>
        <v>17.924679383559837</v>
      </c>
      <c r="E160" s="10">
        <f t="shared" ca="1" si="4"/>
        <v>1.9246793835598375</v>
      </c>
      <c r="G160" s="10">
        <f t="shared" ca="1" si="5"/>
        <v>9.7510391399401958E-2</v>
      </c>
      <c r="L160" s="10"/>
    </row>
    <row r="161" spans="1:12" x14ac:dyDescent="0.2">
      <c r="A161" s="9">
        <v>18</v>
      </c>
      <c r="B161" s="9">
        <v>1</v>
      </c>
      <c r="C161" s="9">
        <f ca="1"/>
        <v>25</v>
      </c>
      <c r="D161" s="10">
        <f ca="1"/>
        <v>17.924679383559837</v>
      </c>
      <c r="E161" s="10">
        <f t="shared" ca="1" si="4"/>
        <v>-7.5320616440162524E-2</v>
      </c>
      <c r="G161" s="10">
        <f t="shared" ca="1" si="5"/>
        <v>0.3186465302206829</v>
      </c>
      <c r="L161" s="10"/>
    </row>
    <row r="162" spans="1:12" x14ac:dyDescent="0.2">
      <c r="A162" s="9">
        <v>18</v>
      </c>
      <c r="B162" s="9">
        <v>1</v>
      </c>
      <c r="C162" s="9">
        <f ca="1"/>
        <v>24</v>
      </c>
      <c r="D162" s="10">
        <f ca="1"/>
        <v>17.241460271907776</v>
      </c>
      <c r="E162" s="10">
        <f t="shared" ca="1" si="4"/>
        <v>-0.7585397280922237</v>
      </c>
      <c r="G162" s="10">
        <f t="shared" ca="1" si="5"/>
        <v>0.2655208098682208</v>
      </c>
      <c r="L162" s="10"/>
    </row>
    <row r="163" spans="1:12" x14ac:dyDescent="0.2">
      <c r="A163" s="9">
        <v>20</v>
      </c>
      <c r="B163" s="9">
        <v>1</v>
      </c>
      <c r="C163" s="9">
        <f ca="1"/>
        <v>27</v>
      </c>
      <c r="D163" s="10">
        <f ca="1"/>
        <v>19.291117606863956</v>
      </c>
      <c r="E163" s="10">
        <f t="shared" ca="1" si="4"/>
        <v>-0.70888239313604373</v>
      </c>
      <c r="G163" s="10">
        <f t="shared" ca="1" si="5"/>
        <v>0.2717877911689337</v>
      </c>
      <c r="L163" s="10"/>
    </row>
    <row r="164" spans="1:12" x14ac:dyDescent="0.2">
      <c r="A164" s="9">
        <v>19</v>
      </c>
      <c r="B164" s="9">
        <v>1</v>
      </c>
      <c r="C164" s="9">
        <f ca="1"/>
        <v>25</v>
      </c>
      <c r="D164" s="10">
        <f ca="1"/>
        <v>17.924679383559837</v>
      </c>
      <c r="E164" s="10">
        <f t="shared" ca="1" si="4"/>
        <v>-1.0753206164401625</v>
      </c>
      <c r="G164" s="10">
        <f t="shared" ca="1" si="5"/>
        <v>0.22045887184038612</v>
      </c>
      <c r="L164" s="10"/>
    </row>
    <row r="165" spans="1:12" x14ac:dyDescent="0.2">
      <c r="A165" s="9">
        <v>20</v>
      </c>
      <c r="B165" s="9">
        <v>1</v>
      </c>
      <c r="C165" s="9">
        <f ca="1"/>
        <v>26</v>
      </c>
      <c r="D165" s="10">
        <f ca="1"/>
        <v>18.607898495211895</v>
      </c>
      <c r="E165" s="10">
        <f t="shared" ca="1" si="4"/>
        <v>-1.3921015047881049</v>
      </c>
      <c r="G165" s="10">
        <f t="shared" ca="1" si="5"/>
        <v>0.17165317899794366</v>
      </c>
      <c r="L165" s="10"/>
    </row>
    <row r="166" spans="1:12" x14ac:dyDescent="0.2">
      <c r="A166" s="9">
        <v>18</v>
      </c>
      <c r="B166" s="9">
        <v>1</v>
      </c>
      <c r="C166" s="9">
        <f ca="1"/>
        <v>23</v>
      </c>
      <c r="D166" s="10">
        <f ca="1"/>
        <v>16.558241160255715</v>
      </c>
      <c r="E166" s="10">
        <f t="shared" ca="1" si="4"/>
        <v>-1.4417588397442849</v>
      </c>
      <c r="G166" s="10">
        <f t="shared" ca="1" si="5"/>
        <v>0.16409158276943275</v>
      </c>
      <c r="L166" s="10"/>
    </row>
    <row r="167" spans="1:12" x14ac:dyDescent="0.2">
      <c r="A167" s="9">
        <v>21</v>
      </c>
      <c r="B167" s="9">
        <v>1</v>
      </c>
      <c r="C167" s="9">
        <f ca="1"/>
        <v>26</v>
      </c>
      <c r="D167" s="10">
        <f ca="1"/>
        <v>18.607898495211895</v>
      </c>
      <c r="E167" s="10">
        <f t="shared" ca="1" si="4"/>
        <v>-2.3921015047881049</v>
      </c>
      <c r="G167" s="10">
        <f t="shared" ca="1" si="5"/>
        <v>5.1110239922417852E-2</v>
      </c>
      <c r="L167" s="10"/>
    </row>
    <row r="168" spans="1:12" x14ac:dyDescent="0.2">
      <c r="A168" s="9">
        <v>19</v>
      </c>
      <c r="B168" s="9">
        <v>1</v>
      </c>
      <c r="C168" s="9">
        <f ca="1"/>
        <v>26</v>
      </c>
      <c r="D168" s="10">
        <f ca="1"/>
        <v>18.607898495211895</v>
      </c>
      <c r="E168" s="10">
        <f t="shared" ca="1" si="4"/>
        <v>-0.3921015047881049</v>
      </c>
      <c r="G168" s="10">
        <f t="shared" ca="1" si="5"/>
        <v>0.30389387162696274</v>
      </c>
      <c r="L168" s="10"/>
    </row>
    <row r="169" spans="1:12" x14ac:dyDescent="0.2">
      <c r="A169" s="9">
        <v>19</v>
      </c>
      <c r="B169" s="9">
        <v>1</v>
      </c>
      <c r="C169" s="9">
        <f ca="1"/>
        <v>26</v>
      </c>
      <c r="D169" s="10">
        <f ca="1"/>
        <v>18.607898495211895</v>
      </c>
      <c r="E169" s="10">
        <f t="shared" ca="1" si="4"/>
        <v>-0.3921015047881049</v>
      </c>
      <c r="G169" s="10">
        <f t="shared" ca="1" si="5"/>
        <v>0.30389387162696274</v>
      </c>
      <c r="L169" s="10"/>
    </row>
    <row r="170" spans="1:12" x14ac:dyDescent="0.2">
      <c r="A170" s="9">
        <v>19</v>
      </c>
      <c r="B170" s="9">
        <v>1</v>
      </c>
      <c r="C170" s="9">
        <f ca="1"/>
        <v>26</v>
      </c>
      <c r="D170" s="10">
        <f ca="1"/>
        <v>18.607898495211895</v>
      </c>
      <c r="E170" s="10">
        <f t="shared" ca="1" si="4"/>
        <v>-0.3921015047881049</v>
      </c>
      <c r="G170" s="10">
        <f t="shared" ca="1" si="5"/>
        <v>0.30389387162696274</v>
      </c>
      <c r="L170" s="10"/>
    </row>
    <row r="171" spans="1:12" x14ac:dyDescent="0.2">
      <c r="A171" s="9">
        <v>20</v>
      </c>
      <c r="B171" s="9">
        <v>1</v>
      </c>
      <c r="C171" s="9">
        <f ca="1"/>
        <v>25</v>
      </c>
      <c r="D171" s="10">
        <f ca="1"/>
        <v>17.924679383559837</v>
      </c>
      <c r="E171" s="10">
        <f t="shared" ca="1" si="4"/>
        <v>-2.0753206164401625</v>
      </c>
      <c r="G171" s="10">
        <f t="shared" ca="1" si="5"/>
        <v>8.0402976672096699E-2</v>
      </c>
      <c r="L171" s="10"/>
    </row>
    <row r="172" spans="1:12" x14ac:dyDescent="0.2">
      <c r="A172" s="9">
        <v>20</v>
      </c>
      <c r="B172" s="9">
        <v>1</v>
      </c>
      <c r="C172" s="9">
        <f ca="1"/>
        <v>27</v>
      </c>
      <c r="D172" s="10">
        <f ca="1"/>
        <v>19.291117606863956</v>
      </c>
      <c r="E172" s="10">
        <f t="shared" ca="1" si="4"/>
        <v>-0.70888239313604373</v>
      </c>
      <c r="G172" s="10">
        <f t="shared" ca="1" si="5"/>
        <v>0.2717877911689337</v>
      </c>
      <c r="L172" s="10"/>
    </row>
    <row r="173" spans="1:12" x14ac:dyDescent="0.2">
      <c r="A173" s="9">
        <v>19</v>
      </c>
      <c r="B173" s="9">
        <v>1</v>
      </c>
      <c r="C173" s="9">
        <f ca="1"/>
        <v>25</v>
      </c>
      <c r="D173" s="10">
        <f ca="1"/>
        <v>17.924679383559837</v>
      </c>
      <c r="E173" s="10">
        <f t="shared" ca="1" si="4"/>
        <v>-1.0753206164401625</v>
      </c>
      <c r="G173" s="10">
        <f t="shared" ca="1" si="5"/>
        <v>0.22045887184038612</v>
      </c>
      <c r="L173" s="10"/>
    </row>
    <row r="174" spans="1:12" x14ac:dyDescent="0.2">
      <c r="A174" s="9">
        <v>20</v>
      </c>
      <c r="B174" s="9">
        <v>1</v>
      </c>
      <c r="C174" s="9">
        <f ca="1"/>
        <v>27</v>
      </c>
      <c r="D174" s="10">
        <f ca="1"/>
        <v>19.291117606863956</v>
      </c>
      <c r="E174" s="10">
        <f t="shared" ca="1" si="4"/>
        <v>-0.70888239313604373</v>
      </c>
      <c r="G174" s="10">
        <f t="shared" ca="1" si="5"/>
        <v>0.2717877911689337</v>
      </c>
      <c r="L174" s="10"/>
    </row>
    <row r="175" spans="1:12" x14ac:dyDescent="0.2">
      <c r="A175" s="9">
        <v>15</v>
      </c>
      <c r="B175" s="9">
        <v>1</v>
      </c>
      <c r="C175" s="9">
        <f ca="1"/>
        <v>20</v>
      </c>
      <c r="D175" s="10">
        <f ca="1"/>
        <v>14.508583825299539</v>
      </c>
      <c r="E175" s="10">
        <f t="shared" ca="1" si="4"/>
        <v>-0.49141617470046128</v>
      </c>
      <c r="G175" s="10">
        <f t="shared" ca="1" si="5"/>
        <v>0.29547583692562635</v>
      </c>
      <c r="L175" s="10"/>
    </row>
    <row r="176" spans="1:12" x14ac:dyDescent="0.2">
      <c r="A176" s="9">
        <v>16</v>
      </c>
      <c r="B176" s="9">
        <v>1</v>
      </c>
      <c r="C176" s="9">
        <f ca="1"/>
        <v>20</v>
      </c>
      <c r="D176" s="10">
        <f ca="1"/>
        <v>14.508583825299539</v>
      </c>
      <c r="E176" s="10">
        <f t="shared" ca="1" si="4"/>
        <v>-1.4914161747004613</v>
      </c>
      <c r="G176" s="10">
        <f t="shared" ca="1" si="5"/>
        <v>0.15661561802916329</v>
      </c>
      <c r="L176" s="10"/>
    </row>
    <row r="177" spans="1:12" x14ac:dyDescent="0.2">
      <c r="A177" s="9">
        <v>15</v>
      </c>
      <c r="B177" s="9">
        <v>1</v>
      </c>
      <c r="C177" s="9">
        <f ca="1"/>
        <v>19</v>
      </c>
      <c r="D177" s="10">
        <f ca="1"/>
        <v>13.825364713647479</v>
      </c>
      <c r="E177" s="10">
        <f t="shared" ca="1" si="4"/>
        <v>-1.1746352863525207</v>
      </c>
      <c r="G177" s="10">
        <f t="shared" ca="1" si="5"/>
        <v>0.20523871008550823</v>
      </c>
      <c r="L177" s="10"/>
    </row>
    <row r="178" spans="1:12" x14ac:dyDescent="0.2">
      <c r="A178" s="9">
        <v>15</v>
      </c>
      <c r="B178" s="9">
        <v>1</v>
      </c>
      <c r="C178" s="9">
        <f ca="1"/>
        <v>17</v>
      </c>
      <c r="D178" s="10">
        <f ca="1"/>
        <v>12.458926490343359</v>
      </c>
      <c r="E178" s="10">
        <f t="shared" ca="1" si="4"/>
        <v>-2.5410735096566412</v>
      </c>
      <c r="G178" s="10">
        <f t="shared" ca="1" si="5"/>
        <v>4.0395128664178985E-2</v>
      </c>
      <c r="L178" s="10"/>
    </row>
    <row r="179" spans="1:12" x14ac:dyDescent="0.2">
      <c r="A179" s="9">
        <v>16</v>
      </c>
      <c r="B179" s="9">
        <v>1</v>
      </c>
      <c r="C179" s="9">
        <f ca="1"/>
        <v>20</v>
      </c>
      <c r="D179" s="10">
        <f ca="1"/>
        <v>14.508583825299539</v>
      </c>
      <c r="E179" s="10">
        <f t="shared" ca="1" si="4"/>
        <v>-1.4914161747004613</v>
      </c>
      <c r="G179" s="10">
        <f t="shared" ca="1" si="5"/>
        <v>0.15661561802916329</v>
      </c>
      <c r="L179" s="10"/>
    </row>
    <row r="180" spans="1:12" x14ac:dyDescent="0.2">
      <c r="A180" s="9">
        <v>14</v>
      </c>
      <c r="B180" s="9">
        <v>1</v>
      </c>
      <c r="C180" s="9">
        <f ca="1"/>
        <v>17</v>
      </c>
      <c r="D180" s="10">
        <f ca="1"/>
        <v>12.458926490343359</v>
      </c>
      <c r="E180" s="10">
        <f t="shared" ca="1" si="4"/>
        <v>-1.5410735096566412</v>
      </c>
      <c r="G180" s="10">
        <f t="shared" ca="1" si="5"/>
        <v>0.14924443441661395</v>
      </c>
      <c r="L180" s="10"/>
    </row>
    <row r="181" spans="1:12" x14ac:dyDescent="0.2">
      <c r="A181" s="9">
        <v>21</v>
      </c>
      <c r="B181" s="9">
        <v>1</v>
      </c>
      <c r="C181" s="9">
        <f ca="1"/>
        <v>29</v>
      </c>
      <c r="D181" s="10">
        <f ca="1"/>
        <v>20.657555830168075</v>
      </c>
      <c r="E181" s="10">
        <f t="shared" ca="1" si="4"/>
        <v>-0.34244416983192494</v>
      </c>
      <c r="G181" s="10">
        <f t="shared" ca="1" si="5"/>
        <v>0.30746337812452051</v>
      </c>
      <c r="L181" s="10"/>
    </row>
    <row r="182" spans="1:12" x14ac:dyDescent="0.2">
      <c r="A182" s="9">
        <v>21</v>
      </c>
      <c r="B182" s="9">
        <v>1</v>
      </c>
      <c r="C182" s="9">
        <f ca="1"/>
        <v>27</v>
      </c>
      <c r="D182" s="10">
        <f ca="1"/>
        <v>19.291117606863956</v>
      </c>
      <c r="E182" s="10">
        <f t="shared" ca="1" si="4"/>
        <v>-1.7088823931360437</v>
      </c>
      <c r="G182" s="10">
        <f t="shared" ca="1" si="5"/>
        <v>0.12533471414208935</v>
      </c>
      <c r="L182" s="10"/>
    </row>
    <row r="183" spans="1:12" x14ac:dyDescent="0.2">
      <c r="A183" s="9">
        <v>21</v>
      </c>
      <c r="B183" s="9">
        <v>1</v>
      </c>
      <c r="C183" s="9">
        <f ca="1"/>
        <v>31</v>
      </c>
      <c r="D183" s="10">
        <f ca="1"/>
        <v>22.023994053472194</v>
      </c>
      <c r="E183" s="10">
        <f t="shared" ca="1" si="4"/>
        <v>1.0239940534721939</v>
      </c>
      <c r="G183" s="10">
        <f t="shared" ca="1" si="5"/>
        <v>0.22819645484299309</v>
      </c>
      <c r="L183" s="10"/>
    </row>
    <row r="184" spans="1:12" x14ac:dyDescent="0.2">
      <c r="A184" s="9">
        <v>21</v>
      </c>
      <c r="B184" s="9">
        <v>1</v>
      </c>
      <c r="C184" s="9">
        <f ca="1"/>
        <v>31</v>
      </c>
      <c r="D184" s="10">
        <f ca="1"/>
        <v>22.023994053472194</v>
      </c>
      <c r="E184" s="10">
        <f t="shared" ca="1" si="4"/>
        <v>1.0239940534721939</v>
      </c>
      <c r="G184" s="10">
        <f t="shared" ca="1" si="5"/>
        <v>0.22819645484299309</v>
      </c>
      <c r="L184" s="10"/>
    </row>
    <row r="185" spans="1:12" x14ac:dyDescent="0.2">
      <c r="A185" s="9">
        <v>18</v>
      </c>
      <c r="B185" s="9">
        <v>1</v>
      </c>
      <c r="C185" s="9">
        <f ca="1"/>
        <v>26</v>
      </c>
      <c r="D185" s="10">
        <f ca="1"/>
        <v>18.607898495211895</v>
      </c>
      <c r="E185" s="10">
        <f t="shared" ca="1" si="4"/>
        <v>0.6078984952118951</v>
      </c>
      <c r="G185" s="10">
        <f t="shared" ca="1" si="5"/>
        <v>0.28360781451993688</v>
      </c>
      <c r="L185" s="10"/>
    </row>
    <row r="186" spans="1:12" x14ac:dyDescent="0.2">
      <c r="A186" s="9">
        <v>18</v>
      </c>
      <c r="B186" s="9">
        <v>1</v>
      </c>
      <c r="C186" s="9">
        <f ca="1"/>
        <v>26</v>
      </c>
      <c r="D186" s="10">
        <f ca="1"/>
        <v>18.607898495211895</v>
      </c>
      <c r="E186" s="10">
        <f t="shared" ca="1" si="4"/>
        <v>0.6078984952118951</v>
      </c>
      <c r="G186" s="10">
        <f t="shared" ca="1" si="5"/>
        <v>0.28360781451993688</v>
      </c>
      <c r="L186" s="10"/>
    </row>
    <row r="187" spans="1:12" x14ac:dyDescent="0.2">
      <c r="A187" s="9">
        <v>19</v>
      </c>
      <c r="B187" s="9">
        <v>1</v>
      </c>
      <c r="C187" s="9">
        <f ca="1"/>
        <v>28</v>
      </c>
      <c r="D187" s="10">
        <f ca="1"/>
        <v>19.974336718516017</v>
      </c>
      <c r="E187" s="10">
        <f t="shared" ca="1" si="4"/>
        <v>0.97433671851601744</v>
      </c>
      <c r="G187" s="10">
        <f t="shared" ca="1" si="5"/>
        <v>0.23556229359930655</v>
      </c>
      <c r="L187" s="10"/>
    </row>
    <row r="188" spans="1:12" x14ac:dyDescent="0.2">
      <c r="A188" s="9">
        <v>21</v>
      </c>
      <c r="B188" s="9">
        <v>1</v>
      </c>
      <c r="C188" s="9">
        <f ca="1"/>
        <v>27</v>
      </c>
      <c r="D188" s="10">
        <f ca="1"/>
        <v>19.291117606863956</v>
      </c>
      <c r="E188" s="10">
        <f t="shared" ca="1" si="4"/>
        <v>-1.7088823931360437</v>
      </c>
      <c r="G188" s="10">
        <f t="shared" ca="1" si="5"/>
        <v>0.12533471414208935</v>
      </c>
      <c r="L188" s="10"/>
    </row>
    <row r="189" spans="1:12" x14ac:dyDescent="0.2">
      <c r="A189" s="9">
        <v>21</v>
      </c>
      <c r="B189" s="9">
        <v>1</v>
      </c>
      <c r="C189" s="9">
        <f ca="1"/>
        <v>29</v>
      </c>
      <c r="D189" s="10">
        <f ca="1"/>
        <v>20.657555830168075</v>
      </c>
      <c r="E189" s="10">
        <f t="shared" ca="1" si="4"/>
        <v>-0.34244416983192494</v>
      </c>
      <c r="G189" s="10">
        <f t="shared" ca="1" si="5"/>
        <v>0.30746337812452051</v>
      </c>
      <c r="L189" s="10"/>
    </row>
    <row r="190" spans="1:12" x14ac:dyDescent="0.2">
      <c r="A190" s="9">
        <v>21</v>
      </c>
      <c r="B190" s="9">
        <v>1</v>
      </c>
      <c r="C190" s="9">
        <f ca="1"/>
        <v>31</v>
      </c>
      <c r="D190" s="10">
        <f ca="1"/>
        <v>22.023994053472194</v>
      </c>
      <c r="E190" s="10">
        <f t="shared" ca="1" si="4"/>
        <v>1.0239940534721939</v>
      </c>
      <c r="G190" s="10">
        <f t="shared" ca="1" si="5"/>
        <v>0.22819645484299309</v>
      </c>
      <c r="L190" s="10"/>
    </row>
    <row r="191" spans="1:12" x14ac:dyDescent="0.2">
      <c r="A191" s="9">
        <v>22</v>
      </c>
      <c r="B191" s="9">
        <v>1</v>
      </c>
      <c r="C191" s="9">
        <f ca="1"/>
        <v>31</v>
      </c>
      <c r="D191" s="10">
        <f ca="1"/>
        <v>22.023994053472194</v>
      </c>
      <c r="E191" s="10">
        <f t="shared" ca="1" si="4"/>
        <v>2.3994053472193855E-2</v>
      </c>
      <c r="G191" s="10">
        <f t="shared" ca="1" si="5"/>
        <v>0.31916696345814999</v>
      </c>
      <c r="L191" s="10"/>
    </row>
    <row r="192" spans="1:12" x14ac:dyDescent="0.2">
      <c r="A192" s="9">
        <v>18</v>
      </c>
      <c r="B192" s="9">
        <v>1</v>
      </c>
      <c r="C192" s="9">
        <f ca="1"/>
        <v>26</v>
      </c>
      <c r="D192" s="10">
        <f ca="1"/>
        <v>18.607898495211895</v>
      </c>
      <c r="E192" s="10">
        <f t="shared" ca="1" si="4"/>
        <v>0.6078984952118951</v>
      </c>
      <c r="G192" s="10">
        <f t="shared" ca="1" si="5"/>
        <v>0.28360781451993688</v>
      </c>
      <c r="L192" s="10"/>
    </row>
    <row r="193" spans="1:12" x14ac:dyDescent="0.2">
      <c r="A193" s="9">
        <v>18</v>
      </c>
      <c r="B193" s="9">
        <v>1</v>
      </c>
      <c r="C193" s="9">
        <f ca="1"/>
        <v>26</v>
      </c>
      <c r="D193" s="10">
        <f ca="1"/>
        <v>18.607898495211895</v>
      </c>
      <c r="E193" s="10">
        <f t="shared" ca="1" si="4"/>
        <v>0.6078984952118951</v>
      </c>
      <c r="G193" s="10">
        <f t="shared" ca="1" si="5"/>
        <v>0.28360781451993688</v>
      </c>
      <c r="L193" s="10"/>
    </row>
    <row r="194" spans="1:12" x14ac:dyDescent="0.2">
      <c r="A194" s="9">
        <v>18</v>
      </c>
      <c r="B194" s="9">
        <v>1</v>
      </c>
      <c r="C194" s="9">
        <f ca="1"/>
        <v>27</v>
      </c>
      <c r="D194" s="10">
        <f ca="1"/>
        <v>19.291117606863956</v>
      </c>
      <c r="E194" s="10">
        <f t="shared" ca="1" si="4"/>
        <v>1.2911176068639563</v>
      </c>
      <c r="G194" s="10">
        <f t="shared" ca="1" si="5"/>
        <v>0.18720849951963059</v>
      </c>
      <c r="L194" s="10"/>
    </row>
    <row r="195" spans="1:12" x14ac:dyDescent="0.2">
      <c r="A195" s="9">
        <v>24</v>
      </c>
      <c r="B195" s="9">
        <v>1</v>
      </c>
      <c r="C195" s="9">
        <f ca="1"/>
        <v>30</v>
      </c>
      <c r="D195" s="10">
        <f ca="1"/>
        <v>21.340774941820136</v>
      </c>
      <c r="E195" s="10">
        <f t="shared" ref="E195:E235" ca="1" si="6">D195-A195</f>
        <v>-2.6592250581798638</v>
      </c>
      <c r="G195" s="10">
        <f t="shared" ref="G195:G235" ca="1" si="7">_xlfn.NORM.DIST(E195,0,$F$2,FALSE)</f>
        <v>3.3181916685722804E-2</v>
      </c>
      <c r="L195" s="10"/>
    </row>
    <row r="196" spans="1:12" x14ac:dyDescent="0.2">
      <c r="A196" s="9">
        <v>24</v>
      </c>
      <c r="B196" s="9">
        <v>1</v>
      </c>
      <c r="C196" s="9">
        <f ca="1"/>
        <v>33</v>
      </c>
      <c r="D196" s="10">
        <f ca="1"/>
        <v>23.390432276776316</v>
      </c>
      <c r="E196" s="10">
        <f t="shared" ca="1" si="6"/>
        <v>-0.6095677232236838</v>
      </c>
      <c r="G196" s="10">
        <f t="shared" ca="1" si="7"/>
        <v>0.28342335743776725</v>
      </c>
      <c r="L196" s="10"/>
    </row>
    <row r="197" spans="1:12" x14ac:dyDescent="0.2">
      <c r="A197" s="9">
        <v>26</v>
      </c>
      <c r="B197" s="9">
        <v>1</v>
      </c>
      <c r="C197" s="9">
        <f ca="1"/>
        <v>35</v>
      </c>
      <c r="D197" s="10">
        <f ca="1"/>
        <v>24.756870500080435</v>
      </c>
      <c r="E197" s="10">
        <f t="shared" ca="1" si="6"/>
        <v>-1.243129499919565</v>
      </c>
      <c r="G197" s="10">
        <f t="shared" ca="1" si="7"/>
        <v>0.19464101454310373</v>
      </c>
      <c r="L197" s="10"/>
    </row>
    <row r="198" spans="1:12" x14ac:dyDescent="0.2">
      <c r="A198" s="9">
        <v>28</v>
      </c>
      <c r="B198" s="9">
        <v>1</v>
      </c>
      <c r="C198" s="9">
        <f ca="1"/>
        <v>37</v>
      </c>
      <c r="D198" s="10">
        <f ca="1"/>
        <v>26.123308723384554</v>
      </c>
      <c r="E198" s="10">
        <f t="shared" ca="1" si="6"/>
        <v>-1.8766912766154462</v>
      </c>
      <c r="G198" s="10">
        <f t="shared" ca="1" si="7"/>
        <v>0.10337466032027857</v>
      </c>
      <c r="L198" s="10"/>
    </row>
    <row r="199" spans="1:12" x14ac:dyDescent="0.2">
      <c r="A199" s="9">
        <v>26</v>
      </c>
      <c r="B199" s="9">
        <v>1</v>
      </c>
      <c r="C199" s="9">
        <f ca="1"/>
        <v>35</v>
      </c>
      <c r="D199" s="10">
        <f ca="1"/>
        <v>24.756870500080435</v>
      </c>
      <c r="E199" s="10">
        <f t="shared" ca="1" si="6"/>
        <v>-1.243129499919565</v>
      </c>
      <c r="G199" s="10">
        <f t="shared" ca="1" si="7"/>
        <v>0.19464101454310373</v>
      </c>
      <c r="L199" s="10"/>
    </row>
    <row r="200" spans="1:12" x14ac:dyDescent="0.2">
      <c r="A200" s="9">
        <v>11</v>
      </c>
      <c r="B200" s="9">
        <v>1</v>
      </c>
      <c r="C200" s="9">
        <f ca="1"/>
        <v>15</v>
      </c>
      <c r="D200" s="10">
        <f ca="1"/>
        <v>11.09248826703924</v>
      </c>
      <c r="E200" s="10">
        <f t="shared" ca="1" si="6"/>
        <v>9.2488267039239958E-2</v>
      </c>
      <c r="G200" s="10">
        <f t="shared" ca="1" si="7"/>
        <v>0.31835277839425191</v>
      </c>
      <c r="L200" s="10"/>
    </row>
    <row r="201" spans="1:12" x14ac:dyDescent="0.2">
      <c r="A201" s="9">
        <v>13</v>
      </c>
      <c r="B201" s="9">
        <v>1</v>
      </c>
      <c r="C201" s="9">
        <f ca="1"/>
        <v>18</v>
      </c>
      <c r="D201" s="10">
        <f ca="1"/>
        <v>13.142145601995418</v>
      </c>
      <c r="E201" s="10">
        <f t="shared" ca="1" si="6"/>
        <v>0.14214560199541815</v>
      </c>
      <c r="G201" s="10">
        <f t="shared" ca="1" si="7"/>
        <v>0.31716750413300532</v>
      </c>
      <c r="L201" s="10"/>
    </row>
    <row r="202" spans="1:12" x14ac:dyDescent="0.2">
      <c r="A202" s="9">
        <v>15</v>
      </c>
      <c r="B202" s="9">
        <v>1</v>
      </c>
      <c r="C202" s="9">
        <f ca="1"/>
        <v>20</v>
      </c>
      <c r="D202" s="10">
        <f ca="1"/>
        <v>14.508583825299539</v>
      </c>
      <c r="E202" s="10">
        <f t="shared" ca="1" si="6"/>
        <v>-0.49141617470046128</v>
      </c>
      <c r="G202" s="10">
        <f t="shared" ca="1" si="7"/>
        <v>0.29547583692562635</v>
      </c>
      <c r="L202" s="10"/>
    </row>
    <row r="203" spans="1:12" x14ac:dyDescent="0.2">
      <c r="A203" s="9">
        <v>16</v>
      </c>
      <c r="B203" s="9">
        <v>1</v>
      </c>
      <c r="C203" s="9">
        <f ca="1"/>
        <v>20</v>
      </c>
      <c r="D203" s="10">
        <f ca="1"/>
        <v>14.508583825299539</v>
      </c>
      <c r="E203" s="10">
        <f t="shared" ca="1" si="6"/>
        <v>-1.4914161747004613</v>
      </c>
      <c r="G203" s="10">
        <f t="shared" ca="1" si="7"/>
        <v>0.15661561802916329</v>
      </c>
      <c r="L203" s="10"/>
    </row>
    <row r="204" spans="1:12" x14ac:dyDescent="0.2">
      <c r="A204" s="9">
        <v>17</v>
      </c>
      <c r="B204" s="9">
        <v>1</v>
      </c>
      <c r="C204" s="9">
        <f ca="1"/>
        <v>22</v>
      </c>
      <c r="D204" s="10">
        <f ca="1"/>
        <v>15.875022048603658</v>
      </c>
      <c r="E204" s="10">
        <f t="shared" ca="1" si="6"/>
        <v>-1.1249779513963425</v>
      </c>
      <c r="G204" s="10">
        <f t="shared" ca="1" si="7"/>
        <v>0.21288069180319472</v>
      </c>
      <c r="L204" s="10"/>
    </row>
    <row r="205" spans="1:12" x14ac:dyDescent="0.2">
      <c r="A205" s="9">
        <v>15</v>
      </c>
      <c r="B205" s="9">
        <v>1</v>
      </c>
      <c r="C205" s="9">
        <f ca="1"/>
        <v>17</v>
      </c>
      <c r="D205" s="10">
        <f ca="1"/>
        <v>12.458926490343359</v>
      </c>
      <c r="E205" s="10">
        <f t="shared" ca="1" si="6"/>
        <v>-2.5410735096566412</v>
      </c>
      <c r="G205" s="10">
        <f t="shared" ca="1" si="7"/>
        <v>4.0395128664178985E-2</v>
      </c>
      <c r="L205" s="10"/>
    </row>
    <row r="206" spans="1:12" x14ac:dyDescent="0.2">
      <c r="A206" s="9">
        <v>15</v>
      </c>
      <c r="B206" s="9">
        <v>1</v>
      </c>
      <c r="C206" s="9">
        <f ca="1"/>
        <v>19</v>
      </c>
      <c r="D206" s="10">
        <f ca="1"/>
        <v>13.825364713647479</v>
      </c>
      <c r="E206" s="10">
        <f t="shared" ca="1" si="6"/>
        <v>-1.1746352863525207</v>
      </c>
      <c r="G206" s="10">
        <f t="shared" ca="1" si="7"/>
        <v>0.20523871008550823</v>
      </c>
      <c r="L206" s="10"/>
    </row>
    <row r="207" spans="1:12" x14ac:dyDescent="0.2">
      <c r="A207" s="9">
        <v>15</v>
      </c>
      <c r="B207" s="9">
        <v>1</v>
      </c>
      <c r="C207" s="9">
        <f ca="1"/>
        <v>18</v>
      </c>
      <c r="D207" s="10">
        <f ca="1"/>
        <v>13.142145601995418</v>
      </c>
      <c r="E207" s="10">
        <f t="shared" ca="1" si="6"/>
        <v>-1.8578543980045819</v>
      </c>
      <c r="G207" s="10">
        <f t="shared" ca="1" si="7"/>
        <v>0.10572920124505396</v>
      </c>
      <c r="L207" s="10"/>
    </row>
    <row r="208" spans="1:12" x14ac:dyDescent="0.2">
      <c r="A208" s="9">
        <v>16</v>
      </c>
      <c r="B208" s="9">
        <v>1</v>
      </c>
      <c r="C208" s="9">
        <f ca="1"/>
        <v>20</v>
      </c>
      <c r="D208" s="10">
        <f ca="1"/>
        <v>14.508583825299539</v>
      </c>
      <c r="E208" s="10">
        <f t="shared" ca="1" si="6"/>
        <v>-1.4914161747004613</v>
      </c>
      <c r="G208" s="10">
        <f t="shared" ca="1" si="7"/>
        <v>0.15661561802916329</v>
      </c>
      <c r="L208" s="10"/>
    </row>
    <row r="209" spans="1:12" x14ac:dyDescent="0.2">
      <c r="A209" s="9">
        <v>21</v>
      </c>
      <c r="B209" s="9">
        <v>1</v>
      </c>
      <c r="C209" s="9">
        <f ca="1"/>
        <v>29</v>
      </c>
      <c r="D209" s="10">
        <f ca="1"/>
        <v>20.657555830168075</v>
      </c>
      <c r="E209" s="10">
        <f t="shared" ca="1" si="6"/>
        <v>-0.34244416983192494</v>
      </c>
      <c r="G209" s="10">
        <f t="shared" ca="1" si="7"/>
        <v>0.30746337812452051</v>
      </c>
      <c r="L209" s="10"/>
    </row>
    <row r="210" spans="1:12" x14ac:dyDescent="0.2">
      <c r="A210" s="9">
        <v>19</v>
      </c>
      <c r="B210" s="9">
        <v>1</v>
      </c>
      <c r="C210" s="9">
        <f ca="1"/>
        <v>26</v>
      </c>
      <c r="D210" s="10">
        <f ca="1"/>
        <v>18.607898495211895</v>
      </c>
      <c r="E210" s="10">
        <f t="shared" ca="1" si="6"/>
        <v>-0.3921015047881049</v>
      </c>
      <c r="G210" s="10">
        <f t="shared" ca="1" si="7"/>
        <v>0.30389387162696274</v>
      </c>
      <c r="L210" s="10"/>
    </row>
    <row r="211" spans="1:12" x14ac:dyDescent="0.2">
      <c r="A211" s="9">
        <v>21</v>
      </c>
      <c r="B211" s="9">
        <v>1</v>
      </c>
      <c r="C211" s="9">
        <f ca="1"/>
        <v>29</v>
      </c>
      <c r="D211" s="10">
        <f ca="1"/>
        <v>20.657555830168075</v>
      </c>
      <c r="E211" s="10">
        <f t="shared" ca="1" si="6"/>
        <v>-0.34244416983192494</v>
      </c>
      <c r="G211" s="10">
        <f t="shared" ca="1" si="7"/>
        <v>0.30746337812452051</v>
      </c>
      <c r="L211" s="10"/>
    </row>
    <row r="212" spans="1:12" x14ac:dyDescent="0.2">
      <c r="A212" s="9">
        <v>22</v>
      </c>
      <c r="B212" s="9">
        <v>1</v>
      </c>
      <c r="C212" s="9">
        <f ca="1"/>
        <v>29</v>
      </c>
      <c r="D212" s="10">
        <f ca="1"/>
        <v>20.657555830168075</v>
      </c>
      <c r="E212" s="10">
        <f t="shared" ca="1" si="6"/>
        <v>-1.3424441698319249</v>
      </c>
      <c r="G212" s="10">
        <f t="shared" ca="1" si="7"/>
        <v>0.17927994451859014</v>
      </c>
      <c r="L212" s="10"/>
    </row>
    <row r="213" spans="1:12" x14ac:dyDescent="0.2">
      <c r="A213" s="9">
        <v>17</v>
      </c>
      <c r="B213" s="9">
        <v>1</v>
      </c>
      <c r="C213" s="9">
        <f ca="1"/>
        <v>24</v>
      </c>
      <c r="D213" s="10">
        <f ca="1"/>
        <v>17.241460271907776</v>
      </c>
      <c r="E213" s="10">
        <f t="shared" ca="1" si="6"/>
        <v>0.2414602719077763</v>
      </c>
      <c r="G213" s="10">
        <f t="shared" ca="1" si="7"/>
        <v>0.31332258364370175</v>
      </c>
      <c r="L213" s="10"/>
    </row>
    <row r="214" spans="1:12" x14ac:dyDescent="0.2">
      <c r="A214" s="9">
        <v>33</v>
      </c>
      <c r="B214" s="9">
        <v>1</v>
      </c>
      <c r="C214" s="9">
        <f ca="1"/>
        <v>44</v>
      </c>
      <c r="D214" s="10">
        <f ca="1"/>
        <v>30.905842504948971</v>
      </c>
      <c r="E214" s="10">
        <f t="shared" ca="1" si="6"/>
        <v>-2.0941574950510287</v>
      </c>
      <c r="G214" s="10">
        <f t="shared" ca="1" si="7"/>
        <v>7.8406519233685218E-2</v>
      </c>
      <c r="L214" s="10"/>
    </row>
    <row r="215" spans="1:12" x14ac:dyDescent="0.2">
      <c r="A215" s="9">
        <v>21</v>
      </c>
      <c r="B215" s="9">
        <v>1</v>
      </c>
      <c r="C215" s="9">
        <f ca="1"/>
        <v>29</v>
      </c>
      <c r="D215" s="10">
        <f ca="1"/>
        <v>20.657555830168075</v>
      </c>
      <c r="E215" s="10">
        <f t="shared" ca="1" si="6"/>
        <v>-0.34244416983192494</v>
      </c>
      <c r="G215" s="10">
        <f t="shared" ca="1" si="7"/>
        <v>0.30746337812452051</v>
      </c>
      <c r="L215" s="10"/>
    </row>
    <row r="216" spans="1:12" x14ac:dyDescent="0.2">
      <c r="A216" s="9">
        <v>19</v>
      </c>
      <c r="B216" s="9">
        <v>1</v>
      </c>
      <c r="C216" s="9">
        <f ca="1"/>
        <v>26</v>
      </c>
      <c r="D216" s="10">
        <f ca="1"/>
        <v>18.607898495211895</v>
      </c>
      <c r="E216" s="10">
        <f t="shared" ca="1" si="6"/>
        <v>-0.3921015047881049</v>
      </c>
      <c r="G216" s="10">
        <f t="shared" ca="1" si="7"/>
        <v>0.30389387162696274</v>
      </c>
      <c r="L216" s="10"/>
    </row>
    <row r="217" spans="1:12" x14ac:dyDescent="0.2">
      <c r="A217" s="9">
        <v>22</v>
      </c>
      <c r="B217" s="9">
        <v>1</v>
      </c>
      <c r="C217" s="9">
        <f ca="1"/>
        <v>29</v>
      </c>
      <c r="D217" s="10">
        <f ca="1"/>
        <v>20.657555830168075</v>
      </c>
      <c r="E217" s="10">
        <f t="shared" ca="1" si="6"/>
        <v>-1.3424441698319249</v>
      </c>
      <c r="G217" s="10">
        <f t="shared" ca="1" si="7"/>
        <v>0.17927994451859014</v>
      </c>
      <c r="L217" s="10"/>
    </row>
    <row r="218" spans="1:12" x14ac:dyDescent="0.2">
      <c r="A218" s="9">
        <v>21</v>
      </c>
      <c r="B218" s="9">
        <v>1</v>
      </c>
      <c r="C218" s="9">
        <f ca="1"/>
        <v>29</v>
      </c>
      <c r="D218" s="10">
        <f ca="1"/>
        <v>20.657555830168075</v>
      </c>
      <c r="E218" s="10">
        <f t="shared" ca="1" si="6"/>
        <v>-0.34244416983192494</v>
      </c>
      <c r="G218" s="10">
        <f t="shared" ca="1" si="7"/>
        <v>0.30746337812452051</v>
      </c>
      <c r="L218" s="10"/>
    </row>
    <row r="219" spans="1:12" x14ac:dyDescent="0.2">
      <c r="A219" s="9">
        <v>21</v>
      </c>
      <c r="B219" s="9">
        <v>1</v>
      </c>
      <c r="C219" s="9">
        <f ca="1"/>
        <v>29</v>
      </c>
      <c r="D219" s="10">
        <f ca="1"/>
        <v>20.657555830168075</v>
      </c>
      <c r="E219" s="10">
        <f t="shared" ca="1" si="6"/>
        <v>-0.34244416983192494</v>
      </c>
      <c r="G219" s="10">
        <f t="shared" ca="1" si="7"/>
        <v>0.30746337812452051</v>
      </c>
      <c r="L219" s="10"/>
    </row>
    <row r="220" spans="1:12" x14ac:dyDescent="0.2">
      <c r="A220" s="9">
        <v>21</v>
      </c>
      <c r="B220" s="9">
        <v>1</v>
      </c>
      <c r="C220" s="9">
        <f ca="1"/>
        <v>29</v>
      </c>
      <c r="D220" s="10">
        <f ca="1"/>
        <v>20.657555830168075</v>
      </c>
      <c r="E220" s="10">
        <f t="shared" ca="1" si="6"/>
        <v>-0.34244416983192494</v>
      </c>
      <c r="G220" s="10">
        <f t="shared" ca="1" si="7"/>
        <v>0.30746337812452051</v>
      </c>
      <c r="L220" s="10"/>
    </row>
    <row r="221" spans="1:12" x14ac:dyDescent="0.2">
      <c r="A221" s="9">
        <v>16</v>
      </c>
      <c r="B221" s="9">
        <v>1</v>
      </c>
      <c r="C221" s="9">
        <f ca="1"/>
        <v>23</v>
      </c>
      <c r="D221" s="10">
        <f ca="1"/>
        <v>16.558241160255715</v>
      </c>
      <c r="E221" s="10">
        <f t="shared" ca="1" si="6"/>
        <v>0.55824116025571513</v>
      </c>
      <c r="G221" s="10">
        <f t="shared" ca="1" si="7"/>
        <v>0.28891457937292003</v>
      </c>
      <c r="L221" s="10"/>
    </row>
    <row r="222" spans="1:12" x14ac:dyDescent="0.2">
      <c r="A222" s="9">
        <v>17</v>
      </c>
      <c r="B222" s="9">
        <v>1</v>
      </c>
      <c r="C222" s="9">
        <f ca="1"/>
        <v>24</v>
      </c>
      <c r="D222" s="10">
        <f ca="1"/>
        <v>17.241460271907776</v>
      </c>
      <c r="E222" s="10">
        <f t="shared" ca="1" si="6"/>
        <v>0.2414602719077763</v>
      </c>
      <c r="G222" s="10">
        <f t="shared" ca="1" si="7"/>
        <v>0.31332258364370175</v>
      </c>
      <c r="L222" s="10"/>
    </row>
    <row r="223" spans="1:12" x14ac:dyDescent="0.2">
      <c r="A223" s="9">
        <v>35</v>
      </c>
      <c r="B223" s="9">
        <v>1</v>
      </c>
      <c r="C223" s="9">
        <f ca="1"/>
        <v>44</v>
      </c>
      <c r="D223" s="10">
        <f ca="1"/>
        <v>30.905842504948971</v>
      </c>
      <c r="E223" s="10">
        <f t="shared" ca="1" si="6"/>
        <v>-4.0941574950510287</v>
      </c>
      <c r="G223" s="10">
        <f t="shared" ca="1" si="7"/>
        <v>1.4912266665311721E-3</v>
      </c>
      <c r="L223" s="10"/>
    </row>
    <row r="224" spans="1:12" x14ac:dyDescent="0.2">
      <c r="A224" s="9">
        <v>29</v>
      </c>
      <c r="B224" s="9">
        <v>1</v>
      </c>
      <c r="C224" s="9">
        <f ca="1"/>
        <v>41</v>
      </c>
      <c r="D224" s="10">
        <f ca="1"/>
        <v>28.856185169992791</v>
      </c>
      <c r="E224" s="10">
        <f t="shared" ca="1" si="6"/>
        <v>-0.14381483000720863</v>
      </c>
      <c r="G224" s="10">
        <f t="shared" ca="1" si="7"/>
        <v>0.31711903972216288</v>
      </c>
      <c r="L224" s="10"/>
    </row>
    <row r="225" spans="1:12" x14ac:dyDescent="0.2">
      <c r="A225" s="9">
        <v>21</v>
      </c>
      <c r="B225" s="9">
        <v>1</v>
      </c>
      <c r="C225" s="9">
        <f ca="1"/>
        <v>29</v>
      </c>
      <c r="D225" s="10">
        <f ca="1"/>
        <v>20.657555830168075</v>
      </c>
      <c r="E225" s="10">
        <f t="shared" ca="1" si="6"/>
        <v>-0.34244416983192494</v>
      </c>
      <c r="G225" s="10">
        <f t="shared" ca="1" si="7"/>
        <v>0.30746337812452051</v>
      </c>
      <c r="L225" s="10"/>
    </row>
    <row r="226" spans="1:12" x14ac:dyDescent="0.2">
      <c r="A226" s="9">
        <v>19</v>
      </c>
      <c r="B226" s="9">
        <v>1</v>
      </c>
      <c r="C226" s="9">
        <f ca="1"/>
        <v>26</v>
      </c>
      <c r="D226" s="10">
        <f ca="1"/>
        <v>18.607898495211895</v>
      </c>
      <c r="E226" s="10">
        <f t="shared" ca="1" si="6"/>
        <v>-0.3921015047881049</v>
      </c>
      <c r="G226" s="10">
        <f t="shared" ca="1" si="7"/>
        <v>0.30389387162696274</v>
      </c>
      <c r="L226" s="10"/>
    </row>
    <row r="227" spans="1:12" x14ac:dyDescent="0.2">
      <c r="A227" s="9">
        <v>20</v>
      </c>
      <c r="B227" s="9">
        <v>1</v>
      </c>
      <c r="C227" s="9">
        <f ca="1"/>
        <v>28</v>
      </c>
      <c r="D227" s="10">
        <f ca="1"/>
        <v>19.974336718516017</v>
      </c>
      <c r="E227" s="10">
        <f t="shared" ca="1" si="6"/>
        <v>-2.5663281483982558E-2</v>
      </c>
      <c r="G227" s="10">
        <f t="shared" ca="1" si="7"/>
        <v>0.31915849397187074</v>
      </c>
      <c r="L227" s="10"/>
    </row>
    <row r="228" spans="1:12" x14ac:dyDescent="0.2">
      <c r="A228" s="9">
        <v>20</v>
      </c>
      <c r="B228" s="9">
        <v>1</v>
      </c>
      <c r="C228" s="9">
        <f ca="1"/>
        <v>29</v>
      </c>
      <c r="D228" s="10">
        <f ca="1"/>
        <v>20.657555830168075</v>
      </c>
      <c r="E228" s="10">
        <f t="shared" ca="1" si="6"/>
        <v>0.65755583016807506</v>
      </c>
      <c r="G228" s="10">
        <f t="shared" ca="1" si="7"/>
        <v>0.2779593195039412</v>
      </c>
      <c r="L228" s="10"/>
    </row>
    <row r="229" spans="1:12" x14ac:dyDescent="0.2">
      <c r="A229" s="9">
        <v>21</v>
      </c>
      <c r="B229" s="9">
        <v>1</v>
      </c>
      <c r="C229" s="9">
        <f ca="1"/>
        <v>29</v>
      </c>
      <c r="D229" s="10">
        <f ca="1"/>
        <v>20.657555830168075</v>
      </c>
      <c r="E229" s="10">
        <f t="shared" ca="1" si="6"/>
        <v>-0.34244416983192494</v>
      </c>
      <c r="G229" s="10">
        <f t="shared" ca="1" si="7"/>
        <v>0.30746337812452051</v>
      </c>
      <c r="L229" s="10"/>
    </row>
    <row r="230" spans="1:12" x14ac:dyDescent="0.2">
      <c r="A230" s="9">
        <v>18</v>
      </c>
      <c r="B230" s="9">
        <v>1</v>
      </c>
      <c r="C230" s="9">
        <f ca="1"/>
        <v>29</v>
      </c>
      <c r="D230" s="10">
        <f ca="1"/>
        <v>20.657555830168075</v>
      </c>
      <c r="E230" s="10">
        <f t="shared" ca="1" si="6"/>
        <v>2.6575558301680751</v>
      </c>
      <c r="G230" s="10">
        <f t="shared" ca="1" si="7"/>
        <v>3.327632904268165E-2</v>
      </c>
      <c r="L230" s="10"/>
    </row>
    <row r="231" spans="1:12" x14ac:dyDescent="0.2">
      <c r="A231" s="9">
        <v>19</v>
      </c>
      <c r="B231" s="9">
        <v>1</v>
      </c>
      <c r="C231" s="9">
        <f ca="1"/>
        <v>28</v>
      </c>
      <c r="D231" s="10">
        <f ca="1"/>
        <v>19.974336718516017</v>
      </c>
      <c r="E231" s="10">
        <f t="shared" ca="1" si="6"/>
        <v>0.97433671851601744</v>
      </c>
      <c r="G231" s="10">
        <f t="shared" ca="1" si="7"/>
        <v>0.23556229359930655</v>
      </c>
      <c r="L231" s="10"/>
    </row>
    <row r="232" spans="1:12" x14ac:dyDescent="0.2">
      <c r="A232" s="9">
        <v>21</v>
      </c>
      <c r="B232" s="9">
        <v>1</v>
      </c>
      <c r="C232" s="9">
        <f ca="1"/>
        <v>29</v>
      </c>
      <c r="D232" s="10">
        <f ca="1"/>
        <v>20.657555830168075</v>
      </c>
      <c r="E232" s="10">
        <f t="shared" ca="1" si="6"/>
        <v>-0.34244416983192494</v>
      </c>
      <c r="G232" s="10">
        <f t="shared" ca="1" si="7"/>
        <v>0.30746337812452051</v>
      </c>
      <c r="L232" s="10"/>
    </row>
    <row r="233" spans="1:12" x14ac:dyDescent="0.2">
      <c r="A233" s="9">
        <v>16</v>
      </c>
      <c r="B233" s="9">
        <v>1</v>
      </c>
      <c r="C233" s="9">
        <f ca="1"/>
        <v>26</v>
      </c>
      <c r="D233" s="10">
        <f ca="1"/>
        <v>18.607898495211895</v>
      </c>
      <c r="E233" s="10">
        <f t="shared" ca="1" si="6"/>
        <v>2.6078984952118951</v>
      </c>
      <c r="G233" s="10">
        <f t="shared" ca="1" si="7"/>
        <v>3.6181717224349638E-2</v>
      </c>
      <c r="L233" s="10"/>
    </row>
    <row r="234" spans="1:12" x14ac:dyDescent="0.2">
      <c r="A234" s="9">
        <v>18</v>
      </c>
      <c r="B234" s="9">
        <v>1</v>
      </c>
      <c r="C234" s="9">
        <f ca="1"/>
        <v>26</v>
      </c>
      <c r="D234" s="10">
        <f ca="1"/>
        <v>18.607898495211895</v>
      </c>
      <c r="E234" s="10">
        <f t="shared" ca="1" si="6"/>
        <v>0.6078984952118951</v>
      </c>
      <c r="G234" s="10">
        <f t="shared" ca="1" si="7"/>
        <v>0.28360781451993688</v>
      </c>
      <c r="L234" s="10"/>
    </row>
    <row r="235" spans="1:12" x14ac:dyDescent="0.2">
      <c r="A235" s="9">
        <v>17</v>
      </c>
      <c r="B235" s="9">
        <v>1</v>
      </c>
      <c r="C235" s="9">
        <f ca="1"/>
        <v>26</v>
      </c>
      <c r="D235" s="10">
        <f ca="1"/>
        <v>18.607898495211895</v>
      </c>
      <c r="E235" s="10">
        <f t="shared" ca="1" si="6"/>
        <v>1.6078984952118951</v>
      </c>
      <c r="G235" s="10">
        <f t="shared" ca="1" si="7"/>
        <v>0.13952132892333158</v>
      </c>
      <c r="L235" s="10"/>
    </row>
  </sheetData>
  <hyperlinks>
    <hyperlink ref="K23" r:id="rId1" xr:uid="{E06C1CAE-B55D-9141-9EAD-5E16EECAAF1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9B2E-FA0D-8C48-8DAC-A4AD9E158130}">
  <sheetPr codeName="Sheet7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209</v>
      </c>
    </row>
    <row r="2" spans="1:1" x14ac:dyDescent="0.3">
      <c r="A2" s="1" t="s">
        <v>208</v>
      </c>
    </row>
    <row r="3" spans="1:1" x14ac:dyDescent="0.3">
      <c r="A3" s="1" t="s">
        <v>207</v>
      </c>
    </row>
    <row r="4" spans="1:1" x14ac:dyDescent="0.3">
      <c r="A4" s="1" t="s">
        <v>206</v>
      </c>
    </row>
    <row r="5" spans="1:1" x14ac:dyDescent="0.3">
      <c r="A5" s="1" t="s">
        <v>205</v>
      </c>
    </row>
    <row r="6" spans="1:1" x14ac:dyDescent="0.3">
      <c r="A6" s="1" t="s">
        <v>204</v>
      </c>
    </row>
    <row r="7" spans="1:1" x14ac:dyDescent="0.3">
      <c r="A7" s="1" t="s">
        <v>203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9B715-3A50-B144-921F-7C125AD12030}">
  <sheetPr codeName="Sheet8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1</v>
      </c>
      <c r="E2" s="8">
        <v>1</v>
      </c>
      <c r="F2" s="8">
        <v>1</v>
      </c>
      <c r="G2" s="8">
        <v>1</v>
      </c>
    </row>
    <row r="3" spans="2:7" x14ac:dyDescent="0.2">
      <c r="B3" s="8" t="s">
        <v>216</v>
      </c>
      <c r="C3" s="8">
        <v>10</v>
      </c>
      <c r="D3" s="8">
        <v>20</v>
      </c>
      <c r="E3" s="8">
        <v>30</v>
      </c>
      <c r="F3" s="8">
        <v>40</v>
      </c>
      <c r="G3" s="8">
        <v>50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13.685828191406859</v>
      </c>
      <c r="D5" s="25">
        <f t="shared" ca="1" si="0"/>
        <v>21.276508222964637</v>
      </c>
      <c r="E5" s="25">
        <f t="shared" ca="1" si="0"/>
        <v>32.963121879696835</v>
      </c>
      <c r="F5" s="25">
        <f t="shared" ca="1" si="0"/>
        <v>46.432935638360661</v>
      </c>
      <c r="G5" s="25">
        <f t="shared" ca="1" si="0"/>
        <v>44.471635024738703</v>
      </c>
    </row>
    <row r="6" spans="2:7" x14ac:dyDescent="0.2">
      <c r="B6" s="26">
        <v>2</v>
      </c>
      <c r="C6" s="25">
        <f t="shared" ca="1" si="0"/>
        <v>7.4698874117110972</v>
      </c>
      <c r="D6" s="25">
        <f t="shared" ca="1" si="0"/>
        <v>24.791045909455153</v>
      </c>
      <c r="E6" s="25">
        <f t="shared" ca="1" si="0"/>
        <v>37.150219681102435</v>
      </c>
      <c r="F6" s="25">
        <f t="shared" ca="1" si="0"/>
        <v>47.332936721483705</v>
      </c>
      <c r="G6" s="25">
        <f t="shared" ca="1" si="0"/>
        <v>52.639120516639466</v>
      </c>
    </row>
    <row r="7" spans="2:7" x14ac:dyDescent="0.2">
      <c r="B7" s="26">
        <v>3</v>
      </c>
      <c r="C7" s="25">
        <f t="shared" ca="1" si="0"/>
        <v>11.534469089336854</v>
      </c>
      <c r="D7" s="25">
        <f t="shared" ca="1" si="0"/>
        <v>23.59900883435775</v>
      </c>
      <c r="E7" s="25">
        <f t="shared" ca="1" si="0"/>
        <v>34.258814522286677</v>
      </c>
      <c r="F7" s="25">
        <f t="shared" ca="1" si="0"/>
        <v>38.759024679211926</v>
      </c>
      <c r="G7" s="25">
        <f t="shared" ca="1" si="0"/>
        <v>46.801145189880685</v>
      </c>
    </row>
    <row r="8" spans="2:7" x14ac:dyDescent="0.2">
      <c r="B8" s="26">
        <v>4</v>
      </c>
      <c r="C8" s="25">
        <f t="shared" ca="1" si="0"/>
        <v>8.9230255555701188</v>
      </c>
      <c r="D8" s="25">
        <f t="shared" ca="1" si="0"/>
        <v>26.545602158056163</v>
      </c>
      <c r="E8" s="25">
        <f t="shared" ca="1" si="0"/>
        <v>35.216203564360121</v>
      </c>
      <c r="F8" s="25">
        <f t="shared" ca="1" si="0"/>
        <v>42.302744123932264</v>
      </c>
      <c r="G8" s="25">
        <f t="shared" ca="1" si="0"/>
        <v>60.841298027356544</v>
      </c>
    </row>
    <row r="9" spans="2:7" x14ac:dyDescent="0.2">
      <c r="B9" s="26">
        <v>5</v>
      </c>
      <c r="C9" s="25">
        <f t="shared" ca="1" si="0"/>
        <v>22.371732563823159</v>
      </c>
      <c r="D9" s="25">
        <f t="shared" ca="1" si="0"/>
        <v>30.099109227287478</v>
      </c>
      <c r="E9" s="25">
        <f t="shared" ca="1" si="0"/>
        <v>38.567738246443554</v>
      </c>
      <c r="F9" s="25">
        <f t="shared" ca="1" si="0"/>
        <v>48.51965865727054</v>
      </c>
      <c r="G9" s="25">
        <f t="shared" ca="1" si="0"/>
        <v>58.733517029672583</v>
      </c>
    </row>
    <row r="10" spans="2:7" x14ac:dyDescent="0.2">
      <c r="B10" s="26">
        <v>6</v>
      </c>
      <c r="C10" s="25">
        <f t="shared" ca="1" si="0"/>
        <v>12.767563988141838</v>
      </c>
      <c r="D10" s="25">
        <f t="shared" ca="1" si="0"/>
        <v>26.94961330305874</v>
      </c>
      <c r="E10" s="25">
        <f t="shared" ca="1" si="0"/>
        <v>37.841041988687103</v>
      </c>
      <c r="F10" s="25">
        <f t="shared" ca="1" si="0"/>
        <v>42.299726994982457</v>
      </c>
      <c r="G10" s="25">
        <f t="shared" ca="1" si="0"/>
        <v>67.644014738661028</v>
      </c>
    </row>
    <row r="11" spans="2:7" x14ac:dyDescent="0.2">
      <c r="B11" s="26">
        <v>7</v>
      </c>
      <c r="C11" s="25">
        <f t="shared" ca="1" si="0"/>
        <v>19.100425568927104</v>
      </c>
      <c r="D11" s="25">
        <f t="shared" ca="1" si="0"/>
        <v>23.195252946835073</v>
      </c>
      <c r="E11" s="25">
        <f t="shared" ca="1" si="0"/>
        <v>38.574623429740249</v>
      </c>
      <c r="F11" s="25">
        <f t="shared" ca="1" si="0"/>
        <v>46.790528734718855</v>
      </c>
      <c r="G11" s="25">
        <f t="shared" ca="1" si="0"/>
        <v>57.057062073980397</v>
      </c>
    </row>
    <row r="12" spans="2:7" x14ac:dyDescent="0.2">
      <c r="B12" s="26">
        <v>8</v>
      </c>
      <c r="C12" s="25">
        <f t="shared" ca="1" si="0"/>
        <v>20.7040577906231</v>
      </c>
      <c r="D12" s="25">
        <f t="shared" ca="1" si="0"/>
        <v>31.342201516688352</v>
      </c>
      <c r="E12" s="25">
        <f t="shared" ca="1" si="0"/>
        <v>32.846541288694084</v>
      </c>
      <c r="F12" s="25">
        <f t="shared" ca="1" si="0"/>
        <v>51.475845070195419</v>
      </c>
      <c r="G12" s="25">
        <f t="shared" ca="1" si="0"/>
        <v>60.498308041424309</v>
      </c>
    </row>
    <row r="13" spans="2:7" x14ac:dyDescent="0.2">
      <c r="B13" s="26">
        <v>9</v>
      </c>
      <c r="C13" s="25">
        <f t="shared" ca="1" si="0"/>
        <v>15.871771084094387</v>
      </c>
      <c r="D13" s="25">
        <f t="shared" ca="1" si="0"/>
        <v>24.245769394116159</v>
      </c>
      <c r="E13" s="25">
        <f t="shared" ca="1" si="0"/>
        <v>41.839850832053713</v>
      </c>
      <c r="F13" s="25">
        <f t="shared" ca="1" si="0"/>
        <v>46.450775084233079</v>
      </c>
      <c r="G13" s="25">
        <f t="shared" ca="1" si="0"/>
        <v>54.850860017938452</v>
      </c>
    </row>
    <row r="14" spans="2:7" x14ac:dyDescent="0.2">
      <c r="B14" s="26">
        <v>10</v>
      </c>
      <c r="C14" s="25">
        <f t="shared" ca="1" si="0"/>
        <v>19.393157510356392</v>
      </c>
      <c r="D14" s="25">
        <f t="shared" ca="1" si="0"/>
        <v>26.178807696629065</v>
      </c>
      <c r="E14" s="25">
        <f t="shared" ca="1" si="0"/>
        <v>40.936822642019735</v>
      </c>
      <c r="F14" s="25">
        <f t="shared" ca="1" si="0"/>
        <v>46.086143167799193</v>
      </c>
      <c r="G14" s="25">
        <f t="shared" ca="1" si="0"/>
        <v>55.006232350237418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15.884302257188549</v>
      </c>
      <c r="D15" s="25">
        <f t="shared" ca="1" si="1"/>
        <v>26.126620843521067</v>
      </c>
      <c r="E15" s="25">
        <f t="shared" ca="1" si="1"/>
        <v>39.252146762165964</v>
      </c>
      <c r="F15" s="25">
        <f t="shared" ca="1" si="1"/>
        <v>52.27061241917491</v>
      </c>
      <c r="G15" s="25">
        <f t="shared" ca="1" si="1"/>
        <v>59.950666302264189</v>
      </c>
    </row>
    <row r="16" spans="2:7" x14ac:dyDescent="0.2">
      <c r="B16" s="26">
        <v>12</v>
      </c>
      <c r="C16" s="25">
        <f t="shared" ca="1" si="1"/>
        <v>28.576366255027651</v>
      </c>
      <c r="D16" s="25">
        <f t="shared" ca="1" si="1"/>
        <v>31.950557022953181</v>
      </c>
      <c r="E16" s="25">
        <f t="shared" ca="1" si="1"/>
        <v>43.653222984380541</v>
      </c>
      <c r="F16" s="25">
        <f t="shared" ca="1" si="1"/>
        <v>48.813652980885458</v>
      </c>
      <c r="G16" s="25">
        <f t="shared" ca="1" si="1"/>
        <v>59.049109544949864</v>
      </c>
    </row>
    <row r="17" spans="2:7" x14ac:dyDescent="0.2">
      <c r="B17" s="26">
        <v>13</v>
      </c>
      <c r="C17" s="25">
        <f t="shared" ca="1" si="1"/>
        <v>23.229454775447635</v>
      </c>
      <c r="D17" s="25">
        <f t="shared" ca="1" si="1"/>
        <v>30.486175077853691</v>
      </c>
      <c r="E17" s="25">
        <f t="shared" ca="1" si="1"/>
        <v>49.225526277642473</v>
      </c>
      <c r="F17" s="25">
        <f t="shared" ca="1" si="1"/>
        <v>55.647967787520862</v>
      </c>
      <c r="G17" s="25">
        <f t="shared" ca="1" si="1"/>
        <v>65.327104753326921</v>
      </c>
    </row>
    <row r="18" spans="2:7" x14ac:dyDescent="0.2">
      <c r="B18" s="26">
        <v>14</v>
      </c>
      <c r="C18" s="25">
        <f t="shared" ca="1" si="1"/>
        <v>13.708706401427115</v>
      </c>
      <c r="D18" s="25">
        <f t="shared" ca="1" si="1"/>
        <v>35.903157320135769</v>
      </c>
      <c r="E18" s="25">
        <f t="shared" ca="1" si="1"/>
        <v>45.102345957127483</v>
      </c>
      <c r="F18" s="25">
        <f t="shared" ca="1" si="1"/>
        <v>56.16856633620867</v>
      </c>
      <c r="G18" s="25">
        <f t="shared" ca="1" si="1"/>
        <v>54.577087127240056</v>
      </c>
    </row>
    <row r="19" spans="2:7" x14ac:dyDescent="0.2">
      <c r="B19" s="26">
        <v>15</v>
      </c>
      <c r="C19" s="25">
        <f t="shared" ca="1" si="1"/>
        <v>28.43102634514182</v>
      </c>
      <c r="D19" s="25">
        <f t="shared" ca="1" si="1"/>
        <v>40.785688092451437</v>
      </c>
      <c r="E19" s="25">
        <f t="shared" ca="1" si="1"/>
        <v>46.590947009935974</v>
      </c>
      <c r="F19" s="25">
        <f t="shared" ca="1" si="1"/>
        <v>56.310499365106608</v>
      </c>
      <c r="G19" s="25">
        <f t="shared" ca="1" si="1"/>
        <v>63.408992697857592</v>
      </c>
    </row>
    <row r="20" spans="2:7" x14ac:dyDescent="0.2">
      <c r="B20" s="26">
        <v>16</v>
      </c>
      <c r="C20" s="25">
        <f t="shared" ca="1" si="1"/>
        <v>22.536233472626144</v>
      </c>
      <c r="D20" s="25">
        <f t="shared" ca="1" si="1"/>
        <v>33.136919807618185</v>
      </c>
      <c r="E20" s="25">
        <f t="shared" ca="1" si="1"/>
        <v>50.014710665116667</v>
      </c>
      <c r="F20" s="25">
        <f t="shared" ca="1" si="1"/>
        <v>51.949197475509429</v>
      </c>
      <c r="G20" s="25">
        <f t="shared" ca="1" si="1"/>
        <v>61.339457262271033</v>
      </c>
    </row>
    <row r="21" spans="2:7" x14ac:dyDescent="0.2">
      <c r="B21" s="26">
        <v>17</v>
      </c>
      <c r="C21" s="25">
        <f t="shared" ca="1" si="1"/>
        <v>27.742721178741409</v>
      </c>
      <c r="D21" s="25">
        <f t="shared" ca="1" si="1"/>
        <v>36.63201015970624</v>
      </c>
      <c r="E21" s="25">
        <f t="shared" ca="1" si="1"/>
        <v>48.487573128661765</v>
      </c>
      <c r="F21" s="25">
        <f t="shared" ca="1" si="1"/>
        <v>65.431077975625925</v>
      </c>
      <c r="G21" s="25">
        <f t="shared" ca="1" si="1"/>
        <v>66.817940506633889</v>
      </c>
    </row>
    <row r="22" spans="2:7" x14ac:dyDescent="0.2">
      <c r="B22" s="26">
        <v>18</v>
      </c>
      <c r="C22" s="25">
        <f t="shared" ca="1" si="1"/>
        <v>22.808484652016247</v>
      </c>
      <c r="D22" s="25">
        <f t="shared" ca="1" si="1"/>
        <v>29.77754713502793</v>
      </c>
      <c r="E22" s="25">
        <f t="shared" ca="1" si="1"/>
        <v>46.316690351282901</v>
      </c>
      <c r="F22" s="25">
        <f t="shared" ca="1" si="1"/>
        <v>61.485018697514377</v>
      </c>
      <c r="G22" s="25">
        <f t="shared" ca="1" si="1"/>
        <v>69.127024188709797</v>
      </c>
    </row>
    <row r="23" spans="2:7" x14ac:dyDescent="0.2">
      <c r="B23" s="26">
        <v>19</v>
      </c>
      <c r="C23" s="25">
        <f t="shared" ca="1" si="1"/>
        <v>30.502036579577975</v>
      </c>
      <c r="D23" s="25">
        <f t="shared" ca="1" si="1"/>
        <v>33.872708908375756</v>
      </c>
      <c r="E23" s="25">
        <f t="shared" ca="1" si="1"/>
        <v>39.200952108042415</v>
      </c>
      <c r="F23" s="25">
        <f t="shared" ca="1" si="1"/>
        <v>55.004714270936219</v>
      </c>
      <c r="G23" s="25">
        <f t="shared" ca="1" si="1"/>
        <v>68.044029649709884</v>
      </c>
    </row>
    <row r="24" spans="2:7" x14ac:dyDescent="0.2">
      <c r="B24" s="26">
        <v>20</v>
      </c>
      <c r="C24" s="25">
        <f t="shared" ca="1" si="1"/>
        <v>26.442092692476326</v>
      </c>
      <c r="D24" s="25">
        <f t="shared" ca="1" si="1"/>
        <v>34.695176420761697</v>
      </c>
      <c r="E24" s="25">
        <f t="shared" ca="1" si="1"/>
        <v>49.284490292893786</v>
      </c>
      <c r="F24" s="25">
        <f t="shared" ca="1" si="1"/>
        <v>67.657271495083663</v>
      </c>
      <c r="G24" s="25">
        <f t="shared" ca="1" si="1"/>
        <v>71.223622332875962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31.113008295725177</v>
      </c>
      <c r="D25" s="25">
        <f t="shared" ca="1" si="2"/>
        <v>31.57913169419632</v>
      </c>
      <c r="E25" s="25">
        <f t="shared" ca="1" si="2"/>
        <v>56.134717702111914</v>
      </c>
      <c r="F25" s="25">
        <f t="shared" ca="1" si="2"/>
        <v>63.487616430671899</v>
      </c>
      <c r="G25" s="25">
        <f t="shared" ca="1" si="2"/>
        <v>73.091332494622947</v>
      </c>
    </row>
    <row r="26" spans="2:7" x14ac:dyDescent="0.2">
      <c r="B26" s="26">
        <v>22</v>
      </c>
      <c r="C26" s="25">
        <f t="shared" ca="1" si="2"/>
        <v>33.57283865067923</v>
      </c>
      <c r="D26" s="25">
        <f t="shared" ca="1" si="2"/>
        <v>43.604126961601459</v>
      </c>
      <c r="E26" s="25">
        <f t="shared" ca="1" si="2"/>
        <v>53.712813625066516</v>
      </c>
      <c r="F26" s="25">
        <f t="shared" ca="1" si="2"/>
        <v>59.87489072850709</v>
      </c>
      <c r="G26" s="25">
        <f t="shared" ca="1" si="2"/>
        <v>76.065319394023405</v>
      </c>
    </row>
    <row r="27" spans="2:7" x14ac:dyDescent="0.2">
      <c r="B27" s="26">
        <v>23</v>
      </c>
      <c r="C27" s="25">
        <f t="shared" ca="1" si="2"/>
        <v>33.409524514420752</v>
      </c>
      <c r="D27" s="25">
        <f t="shared" ca="1" si="2"/>
        <v>40.297629494598745</v>
      </c>
      <c r="E27" s="25">
        <f t="shared" ca="1" si="2"/>
        <v>54.268721395966836</v>
      </c>
      <c r="F27" s="25">
        <f t="shared" ca="1" si="2"/>
        <v>66.541624366022432</v>
      </c>
      <c r="G27" s="25">
        <f t="shared" ca="1" si="2"/>
        <v>74.24723800871638</v>
      </c>
    </row>
    <row r="28" spans="2:7" x14ac:dyDescent="0.2">
      <c r="B28" s="26">
        <v>24</v>
      </c>
      <c r="C28" s="25">
        <f t="shared" ca="1" si="2"/>
        <v>37.041416819588569</v>
      </c>
      <c r="D28" s="25">
        <f t="shared" ca="1" si="2"/>
        <v>52.942263191921072</v>
      </c>
      <c r="E28" s="25">
        <f t="shared" ca="1" si="2"/>
        <v>55.820166746315913</v>
      </c>
      <c r="F28" s="25">
        <f t="shared" ca="1" si="2"/>
        <v>69.616322106616238</v>
      </c>
      <c r="G28" s="25">
        <f t="shared" ca="1" si="2"/>
        <v>68.706247732834854</v>
      </c>
    </row>
    <row r="29" spans="2:7" x14ac:dyDescent="0.2">
      <c r="B29" s="26">
        <v>25</v>
      </c>
      <c r="C29" s="25">
        <f t="shared" ca="1" si="2"/>
        <v>32.028890592661206</v>
      </c>
      <c r="D29" s="25">
        <f t="shared" ca="1" si="2"/>
        <v>42.809330069836108</v>
      </c>
      <c r="E29" s="25">
        <f t="shared" ca="1" si="2"/>
        <v>59.620647848137452</v>
      </c>
      <c r="F29" s="25">
        <f t="shared" ca="1" si="2"/>
        <v>62.619361339484136</v>
      </c>
      <c r="G29" s="25">
        <f t="shared" ca="1" si="2"/>
        <v>72.171961578039159</v>
      </c>
    </row>
    <row r="30" spans="2:7" x14ac:dyDescent="0.2">
      <c r="B30" s="26">
        <v>26</v>
      </c>
      <c r="C30" s="25">
        <f t="shared" ca="1" si="2"/>
        <v>31.203342256400347</v>
      </c>
      <c r="D30" s="25">
        <f t="shared" ca="1" si="2"/>
        <v>46.203923768556287</v>
      </c>
      <c r="E30" s="25">
        <f t="shared" ca="1" si="2"/>
        <v>50.146616678884413</v>
      </c>
      <c r="F30" s="25">
        <f t="shared" ca="1" si="2"/>
        <v>68.801081161433189</v>
      </c>
      <c r="G30" s="25">
        <f t="shared" ca="1" si="2"/>
        <v>80.016555552648072</v>
      </c>
    </row>
    <row r="31" spans="2:7" x14ac:dyDescent="0.2">
      <c r="B31" s="26">
        <v>27</v>
      </c>
      <c r="C31" s="25">
        <f t="shared" ca="1" si="2"/>
        <v>35.470209550043151</v>
      </c>
      <c r="D31" s="25">
        <f t="shared" ca="1" si="2"/>
        <v>46.841129256818007</v>
      </c>
      <c r="E31" s="25">
        <f t="shared" ca="1" si="2"/>
        <v>48.046407878027402</v>
      </c>
      <c r="F31" s="25">
        <f t="shared" ca="1" si="2"/>
        <v>66.676032580591283</v>
      </c>
      <c r="G31" s="25">
        <f t="shared" ca="1" si="2"/>
        <v>76.630736882097423</v>
      </c>
    </row>
    <row r="32" spans="2:7" x14ac:dyDescent="0.2">
      <c r="B32" s="26">
        <v>28</v>
      </c>
      <c r="C32" s="25">
        <f t="shared" ca="1" si="2"/>
        <v>40.337582336379462</v>
      </c>
      <c r="D32" s="25">
        <f t="shared" ca="1" si="2"/>
        <v>51.868133669869579</v>
      </c>
      <c r="E32" s="25">
        <f t="shared" ca="1" si="2"/>
        <v>61.293512412593849</v>
      </c>
      <c r="F32" s="25">
        <f t="shared" ca="1" si="2"/>
        <v>63.890831432329776</v>
      </c>
      <c r="G32" s="25">
        <f t="shared" ca="1" si="2"/>
        <v>80.302329431166825</v>
      </c>
    </row>
    <row r="33" spans="2:7" x14ac:dyDescent="0.2">
      <c r="B33" s="26">
        <v>29</v>
      </c>
      <c r="C33" s="25">
        <f t="shared" ca="1" si="2"/>
        <v>41.791321759750481</v>
      </c>
      <c r="D33" s="25">
        <f t="shared" ca="1" si="2"/>
        <v>47.020888451142262</v>
      </c>
      <c r="E33" s="25">
        <f t="shared" ca="1" si="2"/>
        <v>58.01855725292733</v>
      </c>
      <c r="F33" s="25">
        <f t="shared" ca="1" si="2"/>
        <v>74.299913844677747</v>
      </c>
      <c r="G33" s="25">
        <f t="shared" ca="1" si="2"/>
        <v>76.320229147645449</v>
      </c>
    </row>
    <row r="34" spans="2:7" x14ac:dyDescent="0.2">
      <c r="B34" s="26">
        <v>30</v>
      </c>
      <c r="C34" s="25">
        <f t="shared" ca="1" si="2"/>
        <v>38.680242094349424</v>
      </c>
      <c r="D34" s="25">
        <f t="shared" ca="1" si="2"/>
        <v>43.438185166173682</v>
      </c>
      <c r="E34" s="25">
        <f t="shared" ca="1" si="2"/>
        <v>59.504952222855302</v>
      </c>
      <c r="F34" s="25">
        <f t="shared" ca="1" si="2"/>
        <v>67.878534536286296</v>
      </c>
      <c r="G34" s="25">
        <f t="shared" ca="1" si="2"/>
        <v>82.164433549127352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766A3-B94B-DD49-9103-603342D8BDA3}">
  <sheetPr codeName="Sheet9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2</v>
      </c>
      <c r="E2" s="8">
        <v>3</v>
      </c>
      <c r="F2" s="8">
        <v>4</v>
      </c>
      <c r="G2" s="8">
        <v>5</v>
      </c>
    </row>
    <row r="3" spans="2:7" x14ac:dyDescent="0.2">
      <c r="B3" s="8" t="s">
        <v>216</v>
      </c>
      <c r="C3" s="8">
        <v>1</v>
      </c>
      <c r="D3" s="8">
        <v>1</v>
      </c>
      <c r="E3" s="8">
        <v>1</v>
      </c>
      <c r="F3" s="8">
        <v>1</v>
      </c>
      <c r="G3" s="8">
        <v>1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4.1410340763690003</v>
      </c>
      <c r="D5" s="25">
        <f t="shared" ca="1" si="0"/>
        <v>1.2975514141899493</v>
      </c>
      <c r="E5" s="25">
        <f t="shared" ca="1" si="0"/>
        <v>2.1810256226844973</v>
      </c>
      <c r="F5" s="25">
        <f t="shared" ca="1" si="0"/>
        <v>6.383477994127535</v>
      </c>
      <c r="G5" s="25">
        <f t="shared" ca="1" si="0"/>
        <v>2.7125324412261462</v>
      </c>
    </row>
    <row r="6" spans="2:7" x14ac:dyDescent="0.2">
      <c r="B6" s="26">
        <v>2</v>
      </c>
      <c r="C6" s="25">
        <f t="shared" ca="1" si="0"/>
        <v>0.45948311021198496</v>
      </c>
      <c r="D6" s="25">
        <f t="shared" ca="1" si="0"/>
        <v>4.6026865105676613</v>
      </c>
      <c r="E6" s="25">
        <f t="shared" ca="1" si="0"/>
        <v>3.0113015904546794</v>
      </c>
      <c r="F6" s="25">
        <f t="shared" ca="1" si="0"/>
        <v>5.8253813148444742</v>
      </c>
      <c r="G6" s="25">
        <f t="shared" ca="1" si="0"/>
        <v>22.464113607796726</v>
      </c>
    </row>
    <row r="7" spans="2:7" x14ac:dyDescent="0.2">
      <c r="B7" s="26">
        <v>3</v>
      </c>
      <c r="C7" s="25">
        <f t="shared" ca="1" si="0"/>
        <v>-1.8390799002533118</v>
      </c>
      <c r="D7" s="25">
        <f t="shared" ca="1" si="0"/>
        <v>6.9349784534430192E-2</v>
      </c>
      <c r="E7" s="25">
        <f t="shared" ca="1" si="0"/>
        <v>-2.3873739189850074</v>
      </c>
      <c r="F7" s="25">
        <f t="shared" ca="1" si="0"/>
        <v>19.618796487396295</v>
      </c>
      <c r="G7" s="25">
        <f t="shared" ca="1" si="0"/>
        <v>14.873856185047988</v>
      </c>
    </row>
    <row r="8" spans="2:7" x14ac:dyDescent="0.2">
      <c r="B8" s="26">
        <v>4</v>
      </c>
      <c r="C8" s="25">
        <f t="shared" ca="1" si="0"/>
        <v>4.3029746906741222</v>
      </c>
      <c r="D8" s="25">
        <f t="shared" ca="1" si="0"/>
        <v>12.57243707476465</v>
      </c>
      <c r="E8" s="25">
        <f t="shared" ca="1" si="0"/>
        <v>12.696314951443089</v>
      </c>
      <c r="F8" s="25">
        <f t="shared" ca="1" si="0"/>
        <v>22.716298167947031</v>
      </c>
      <c r="G8" s="25">
        <f t="shared" ca="1" si="0"/>
        <v>15.990763462651859</v>
      </c>
    </row>
    <row r="9" spans="2:7" x14ac:dyDescent="0.2">
      <c r="B9" s="26">
        <v>5</v>
      </c>
      <c r="C9" s="25">
        <f t="shared" ca="1" si="0"/>
        <v>3.4779701249194175</v>
      </c>
      <c r="D9" s="25">
        <f t="shared" ca="1" si="0"/>
        <v>4.9383425772326692</v>
      </c>
      <c r="E9" s="25">
        <f t="shared" ca="1" si="0"/>
        <v>24.407315509288384</v>
      </c>
      <c r="F9" s="25">
        <f t="shared" ca="1" si="0"/>
        <v>25.21316464330517</v>
      </c>
      <c r="G9" s="25">
        <f t="shared" ca="1" si="0"/>
        <v>29.340952775869901</v>
      </c>
    </row>
    <row r="10" spans="2:7" x14ac:dyDescent="0.2">
      <c r="B10" s="26">
        <v>6</v>
      </c>
      <c r="C10" s="25">
        <f t="shared" ca="1" si="0"/>
        <v>-0.57867262410370213</v>
      </c>
      <c r="D10" s="25">
        <f t="shared" ca="1" si="0"/>
        <v>20.303420972062526</v>
      </c>
      <c r="E10" s="25">
        <f t="shared" ca="1" si="0"/>
        <v>24.89119447978841</v>
      </c>
      <c r="F10" s="25">
        <f t="shared" ca="1" si="0"/>
        <v>35.173879780164768</v>
      </c>
      <c r="G10" s="25">
        <f t="shared" ca="1" si="0"/>
        <v>26.744462348497727</v>
      </c>
    </row>
    <row r="11" spans="2:7" x14ac:dyDescent="0.2">
      <c r="B11" s="26">
        <v>7</v>
      </c>
      <c r="C11" s="25">
        <f t="shared" ca="1" si="0"/>
        <v>6.9857640296663952</v>
      </c>
      <c r="D11" s="25">
        <f t="shared" ca="1" si="0"/>
        <v>20.885942634650782</v>
      </c>
      <c r="E11" s="25">
        <f t="shared" ca="1" si="0"/>
        <v>30.501985162930431</v>
      </c>
      <c r="F11" s="25">
        <f t="shared" ca="1" si="0"/>
        <v>33.346628064756977</v>
      </c>
      <c r="G11" s="25">
        <f t="shared" ca="1" si="0"/>
        <v>42.561973607965903</v>
      </c>
    </row>
    <row r="12" spans="2:7" x14ac:dyDescent="0.2">
      <c r="B12" s="26">
        <v>8</v>
      </c>
      <c r="C12" s="25">
        <f t="shared" ca="1" si="0"/>
        <v>13.226228624209739</v>
      </c>
      <c r="D12" s="25">
        <f t="shared" ca="1" si="0"/>
        <v>22.457973243212528</v>
      </c>
      <c r="E12" s="25">
        <f t="shared" ca="1" si="0"/>
        <v>32.330848930910633</v>
      </c>
      <c r="F12" s="25">
        <f t="shared" ca="1" si="0"/>
        <v>29.185995459298415</v>
      </c>
      <c r="G12" s="25">
        <f t="shared" ca="1" si="0"/>
        <v>35.384024868647231</v>
      </c>
    </row>
    <row r="13" spans="2:7" x14ac:dyDescent="0.2">
      <c r="B13" s="26">
        <v>9</v>
      </c>
      <c r="C13" s="25">
        <f t="shared" ca="1" si="0"/>
        <v>5.334448504911272</v>
      </c>
      <c r="D13" s="25">
        <f t="shared" ca="1" si="0"/>
        <v>11.17042338448427</v>
      </c>
      <c r="E13" s="25">
        <f t="shared" ca="1" si="0"/>
        <v>19.874878679506544</v>
      </c>
      <c r="F13" s="25">
        <f t="shared" ca="1" si="0"/>
        <v>45.496397659168821</v>
      </c>
      <c r="G13" s="25">
        <f t="shared" ca="1" si="0"/>
        <v>42.449625026652932</v>
      </c>
    </row>
    <row r="14" spans="2:7" x14ac:dyDescent="0.2">
      <c r="B14" s="26">
        <v>10</v>
      </c>
      <c r="C14" s="25">
        <f t="shared" ca="1" si="0"/>
        <v>12.008465400867957</v>
      </c>
      <c r="D14" s="25">
        <f t="shared" ca="1" si="0"/>
        <v>11.447856039139372</v>
      </c>
      <c r="E14" s="25">
        <f t="shared" ca="1" si="0"/>
        <v>26.50675808327232</v>
      </c>
      <c r="F14" s="25">
        <f t="shared" ca="1" si="0"/>
        <v>40.359346834375167</v>
      </c>
      <c r="G14" s="25">
        <f t="shared" ca="1" si="0"/>
        <v>61.157210734962412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12.752377420667202</v>
      </c>
      <c r="D15" s="25">
        <f t="shared" ca="1" si="1"/>
        <v>25.114892752130721</v>
      </c>
      <c r="E15" s="25">
        <f t="shared" ca="1" si="1"/>
        <v>39.192972287427594</v>
      </c>
      <c r="F15" s="25">
        <f t="shared" ca="1" si="1"/>
        <v>43.806971788436414</v>
      </c>
      <c r="G15" s="25">
        <f t="shared" ca="1" si="1"/>
        <v>66.115259513349258</v>
      </c>
    </row>
    <row r="16" spans="2:7" x14ac:dyDescent="0.2">
      <c r="B16" s="26">
        <v>12</v>
      </c>
      <c r="C16" s="25">
        <f t="shared" ca="1" si="1"/>
        <v>5.0232738512793489</v>
      </c>
      <c r="D16" s="25">
        <f t="shared" ca="1" si="1"/>
        <v>19.777114409065721</v>
      </c>
      <c r="E16" s="25">
        <f t="shared" ca="1" si="1"/>
        <v>52.937905498425337</v>
      </c>
      <c r="F16" s="25">
        <f t="shared" ca="1" si="1"/>
        <v>57.607146622535957</v>
      </c>
      <c r="G16" s="25">
        <f t="shared" ca="1" si="1"/>
        <v>59.405779938241231</v>
      </c>
    </row>
    <row r="17" spans="2:7" x14ac:dyDescent="0.2">
      <c r="B17" s="26">
        <v>13</v>
      </c>
      <c r="C17" s="25">
        <f t="shared" ca="1" si="1"/>
        <v>7.2063003797875274</v>
      </c>
      <c r="D17" s="25">
        <f t="shared" ca="1" si="1"/>
        <v>27.71309420235632</v>
      </c>
      <c r="E17" s="25">
        <f t="shared" ca="1" si="1"/>
        <v>23.836882274084388</v>
      </c>
      <c r="F17" s="25">
        <f t="shared" ca="1" si="1"/>
        <v>51.192017616013906</v>
      </c>
      <c r="G17" s="25">
        <f t="shared" ca="1" si="1"/>
        <v>49.707508964611264</v>
      </c>
    </row>
    <row r="18" spans="2:7" x14ac:dyDescent="0.2">
      <c r="B18" s="26">
        <v>14</v>
      </c>
      <c r="C18" s="25">
        <f t="shared" ca="1" si="1"/>
        <v>20.128622086216225</v>
      </c>
      <c r="D18" s="25">
        <f t="shared" ca="1" si="1"/>
        <v>24.325227254548469</v>
      </c>
      <c r="E18" s="25">
        <f t="shared" ca="1" si="1"/>
        <v>34.233250477140331</v>
      </c>
      <c r="F18" s="25">
        <f t="shared" ca="1" si="1"/>
        <v>72.737350386887513</v>
      </c>
      <c r="G18" s="25">
        <f t="shared" ca="1" si="1"/>
        <v>77.542467314657117</v>
      </c>
    </row>
    <row r="19" spans="2:7" x14ac:dyDescent="0.2">
      <c r="B19" s="26">
        <v>15</v>
      </c>
      <c r="C19" s="25">
        <f t="shared" ca="1" si="1"/>
        <v>9.1855948120560313</v>
      </c>
      <c r="D19" s="25">
        <f t="shared" ca="1" si="1"/>
        <v>30.339810509249503</v>
      </c>
      <c r="E19" s="25">
        <f t="shared" ca="1" si="1"/>
        <v>39.46728287568213</v>
      </c>
      <c r="F19" s="25">
        <f t="shared" ca="1" si="1"/>
        <v>57.074814647843084</v>
      </c>
      <c r="G19" s="25">
        <f t="shared" ca="1" si="1"/>
        <v>70.888270477892831</v>
      </c>
    </row>
    <row r="20" spans="2:7" x14ac:dyDescent="0.2">
      <c r="B20" s="26">
        <v>16</v>
      </c>
      <c r="C20" s="25">
        <f t="shared" ca="1" si="1"/>
        <v>10.997034231311094</v>
      </c>
      <c r="D20" s="25">
        <f t="shared" ca="1" si="1"/>
        <v>33.053848369800313</v>
      </c>
      <c r="E20" s="25">
        <f t="shared" ca="1" si="1"/>
        <v>58.104184286780502</v>
      </c>
      <c r="F20" s="25">
        <f t="shared" ca="1" si="1"/>
        <v>66.758860986317643</v>
      </c>
      <c r="G20" s="25">
        <f t="shared" ca="1" si="1"/>
        <v>89.333868879062507</v>
      </c>
    </row>
    <row r="21" spans="2:7" x14ac:dyDescent="0.2">
      <c r="B21" s="26">
        <v>17</v>
      </c>
      <c r="C21" s="25">
        <f t="shared" ca="1" si="1"/>
        <v>23.831236376189977</v>
      </c>
      <c r="D21" s="25">
        <f t="shared" ca="1" si="1"/>
        <v>40.775198917582529</v>
      </c>
      <c r="E21" s="25">
        <f t="shared" ca="1" si="1"/>
        <v>41.669892358518055</v>
      </c>
      <c r="F21" s="25">
        <f t="shared" ca="1" si="1"/>
        <v>68.962286786132935</v>
      </c>
      <c r="G21" s="25">
        <f t="shared" ca="1" si="1"/>
        <v>94.193922920543258</v>
      </c>
    </row>
    <row r="22" spans="2:7" x14ac:dyDescent="0.2">
      <c r="B22" s="26">
        <v>18</v>
      </c>
      <c r="C22" s="25">
        <f t="shared" ca="1" si="1"/>
        <v>30.380083639580619</v>
      </c>
      <c r="D22" s="25">
        <f t="shared" ca="1" si="1"/>
        <v>39.834078520341748</v>
      </c>
      <c r="E22" s="25">
        <f t="shared" ca="1" si="1"/>
        <v>61.287029079587995</v>
      </c>
      <c r="F22" s="25">
        <f t="shared" ca="1" si="1"/>
        <v>70.906986068886965</v>
      </c>
      <c r="G22" s="25">
        <f t="shared" ca="1" si="1"/>
        <v>94.613626818335419</v>
      </c>
    </row>
    <row r="23" spans="2:7" x14ac:dyDescent="0.2">
      <c r="B23" s="26">
        <v>19</v>
      </c>
      <c r="C23" s="25">
        <f t="shared" ca="1" si="1"/>
        <v>19.137001404701937</v>
      </c>
      <c r="D23" s="25">
        <f t="shared" ca="1" si="1"/>
        <v>51.843368661327993</v>
      </c>
      <c r="E23" s="25">
        <f t="shared" ca="1" si="1"/>
        <v>56.925321964236367</v>
      </c>
      <c r="F23" s="25">
        <f t="shared" ca="1" si="1"/>
        <v>89.434682245759944</v>
      </c>
      <c r="G23" s="25">
        <f t="shared" ca="1" si="1"/>
        <v>95.491614570361847</v>
      </c>
    </row>
    <row r="24" spans="2:7" x14ac:dyDescent="0.2">
      <c r="B24" s="26">
        <v>20</v>
      </c>
      <c r="C24" s="25">
        <f t="shared" ca="1" si="1"/>
        <v>22.605495516375367</v>
      </c>
      <c r="D24" s="25">
        <f t="shared" ca="1" si="1"/>
        <v>41.99847159113417</v>
      </c>
      <c r="E24" s="25">
        <f t="shared" ca="1" si="1"/>
        <v>55.890322872718286</v>
      </c>
      <c r="F24" s="25">
        <f t="shared" ca="1" si="1"/>
        <v>84.673231217560158</v>
      </c>
      <c r="G24" s="25">
        <f t="shared" ca="1" si="1"/>
        <v>90.851563974745517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20.325168976866912</v>
      </c>
      <c r="D25" s="25">
        <f t="shared" ca="1" si="2"/>
        <v>49.564246240295944</v>
      </c>
      <c r="E25" s="25">
        <f t="shared" ca="1" si="2"/>
        <v>65.323179900304169</v>
      </c>
      <c r="F25" s="25">
        <f t="shared" ca="1" si="2"/>
        <v>87.968375970201976</v>
      </c>
      <c r="G25" s="25">
        <f t="shared" ca="1" si="2"/>
        <v>108.45456224578554</v>
      </c>
    </row>
    <row r="26" spans="2:7" x14ac:dyDescent="0.2">
      <c r="B26" s="26">
        <v>22</v>
      </c>
      <c r="C26" s="25">
        <f t="shared" ca="1" si="2"/>
        <v>23.17030358268309</v>
      </c>
      <c r="D26" s="25">
        <f t="shared" ca="1" si="2"/>
        <v>38.133817980538403</v>
      </c>
      <c r="E26" s="25">
        <f t="shared" ca="1" si="2"/>
        <v>69.531629954413333</v>
      </c>
      <c r="F26" s="25">
        <f t="shared" ca="1" si="2"/>
        <v>82.667296022023208</v>
      </c>
      <c r="G26" s="25">
        <f t="shared" ca="1" si="2"/>
        <v>101.34744410325222</v>
      </c>
    </row>
    <row r="27" spans="2:7" x14ac:dyDescent="0.2">
      <c r="B27" s="26">
        <v>23</v>
      </c>
      <c r="C27" s="25">
        <f t="shared" ca="1" si="2"/>
        <v>30.507600336122032</v>
      </c>
      <c r="D27" s="25">
        <f t="shared" ca="1" si="2"/>
        <v>55.135654950070752</v>
      </c>
      <c r="E27" s="25">
        <f t="shared" ca="1" si="2"/>
        <v>59.421201598392109</v>
      </c>
      <c r="F27" s="25">
        <f t="shared" ca="1" si="2"/>
        <v>83.668435781291379</v>
      </c>
      <c r="G27" s="25">
        <f t="shared" ca="1" si="2"/>
        <v>125.42948003627318</v>
      </c>
    </row>
    <row r="28" spans="2:7" x14ac:dyDescent="0.2">
      <c r="B28" s="26">
        <v>24</v>
      </c>
      <c r="C28" s="25">
        <f t="shared" ca="1" si="2"/>
        <v>34.587996395749968</v>
      </c>
      <c r="D28" s="25">
        <f t="shared" ca="1" si="2"/>
        <v>41.77553894135783</v>
      </c>
      <c r="E28" s="25">
        <f t="shared" ca="1" si="2"/>
        <v>68.550732277558424</v>
      </c>
      <c r="F28" s="25">
        <f t="shared" ca="1" si="2"/>
        <v>94.263567693711508</v>
      </c>
      <c r="G28" s="25">
        <f t="shared" ca="1" si="2"/>
        <v>125.38928004624748</v>
      </c>
    </row>
    <row r="29" spans="2:7" x14ac:dyDescent="0.2">
      <c r="B29" s="26">
        <v>25</v>
      </c>
      <c r="C29" s="25">
        <f t="shared" ca="1" si="2"/>
        <v>21.639264668010256</v>
      </c>
      <c r="D29" s="25">
        <f t="shared" ca="1" si="2"/>
        <v>46.027739442566563</v>
      </c>
      <c r="E29" s="25">
        <f t="shared" ca="1" si="2"/>
        <v>78.913114021346885</v>
      </c>
      <c r="F29" s="25">
        <f t="shared" ca="1" si="2"/>
        <v>100.49037319617914</v>
      </c>
      <c r="G29" s="25">
        <f t="shared" ca="1" si="2"/>
        <v>124.44966255207115</v>
      </c>
    </row>
    <row r="30" spans="2:7" x14ac:dyDescent="0.2">
      <c r="B30" s="26">
        <v>26</v>
      </c>
      <c r="C30" s="25">
        <f t="shared" ca="1" si="2"/>
        <v>18.652156681573018</v>
      </c>
      <c r="D30" s="25">
        <f t="shared" ca="1" si="2"/>
        <v>60.092668566559091</v>
      </c>
      <c r="E30" s="25">
        <f t="shared" ca="1" si="2"/>
        <v>91.254395237107289</v>
      </c>
      <c r="F30" s="25">
        <f t="shared" ca="1" si="2"/>
        <v>115.81196398101902</v>
      </c>
      <c r="G30" s="25">
        <f t="shared" ca="1" si="2"/>
        <v>133.50279023269266</v>
      </c>
    </row>
    <row r="31" spans="2:7" x14ac:dyDescent="0.2">
      <c r="B31" s="26">
        <v>27</v>
      </c>
      <c r="C31" s="25">
        <f t="shared" ca="1" si="2"/>
        <v>30.112523205336288</v>
      </c>
      <c r="D31" s="25">
        <f t="shared" ca="1" si="2"/>
        <v>53.978944101387995</v>
      </c>
      <c r="E31" s="25">
        <f t="shared" ca="1" si="2"/>
        <v>76.482431542737302</v>
      </c>
      <c r="F31" s="25">
        <f t="shared" ca="1" si="2"/>
        <v>112.92935923300426</v>
      </c>
      <c r="G31" s="25">
        <f t="shared" ca="1" si="2"/>
        <v>135.40479598706682</v>
      </c>
    </row>
    <row r="32" spans="2:7" x14ac:dyDescent="0.2">
      <c r="B32" s="26">
        <v>28</v>
      </c>
      <c r="C32" s="25">
        <f t="shared" ca="1" si="2"/>
        <v>28.170206185300074</v>
      </c>
      <c r="D32" s="25">
        <f t="shared" ca="1" si="2"/>
        <v>53.592318666289195</v>
      </c>
      <c r="E32" s="25">
        <f t="shared" ca="1" si="2"/>
        <v>82.61369918658275</v>
      </c>
      <c r="F32" s="25">
        <f t="shared" ca="1" si="2"/>
        <v>106.98700570096889</v>
      </c>
      <c r="G32" s="25">
        <f t="shared" ca="1" si="2"/>
        <v>133.92450897114617</v>
      </c>
    </row>
    <row r="33" spans="2:7" x14ac:dyDescent="0.2">
      <c r="B33" s="26">
        <v>29</v>
      </c>
      <c r="C33" s="25">
        <f t="shared" ca="1" si="2"/>
        <v>33.469620796451693</v>
      </c>
      <c r="D33" s="25">
        <f t="shared" ca="1" si="2"/>
        <v>50.737071547760145</v>
      </c>
      <c r="E33" s="25">
        <f t="shared" ca="1" si="2"/>
        <v>83.381056023501259</v>
      </c>
      <c r="F33" s="25">
        <f t="shared" ca="1" si="2"/>
        <v>121.43486346982765</v>
      </c>
      <c r="G33" s="25">
        <f t="shared" ca="1" si="2"/>
        <v>157.81485401938178</v>
      </c>
    </row>
    <row r="34" spans="2:7" x14ac:dyDescent="0.2">
      <c r="B34" s="26">
        <v>30</v>
      </c>
      <c r="C34" s="25">
        <f t="shared" ca="1" si="2"/>
        <v>36.560371462327304</v>
      </c>
      <c r="D34" s="25">
        <f t="shared" ca="1" si="2"/>
        <v>57.478244681470699</v>
      </c>
      <c r="E34" s="25">
        <f t="shared" ca="1" si="2"/>
        <v>95.525312112085743</v>
      </c>
      <c r="F34" s="25">
        <f t="shared" ca="1" si="2"/>
        <v>129.08071846858869</v>
      </c>
      <c r="G34" s="25">
        <f t="shared" ca="1" si="2"/>
        <v>154.7033243108649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E1425-102F-AD40-BCB2-D53BA7F0FC22}">
  <sheetPr codeName="Sheet10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2</v>
      </c>
      <c r="E2" s="8">
        <v>3</v>
      </c>
      <c r="F2" s="8">
        <v>4</v>
      </c>
      <c r="G2" s="8">
        <v>5</v>
      </c>
    </row>
    <row r="3" spans="2:7" x14ac:dyDescent="0.2">
      <c r="B3" s="8" t="s">
        <v>216</v>
      </c>
      <c r="C3" s="8">
        <v>10</v>
      </c>
      <c r="D3" s="8">
        <v>20</v>
      </c>
      <c r="E3" s="8">
        <v>30</v>
      </c>
      <c r="F3" s="8">
        <v>40</v>
      </c>
      <c r="G3" s="8">
        <v>50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6.0818839529616096</v>
      </c>
      <c r="D5" s="25">
        <f t="shared" ca="1" si="0"/>
        <v>16.021453588269221</v>
      </c>
      <c r="E5" s="25">
        <f t="shared" ca="1" si="0"/>
        <v>38.310937230480093</v>
      </c>
      <c r="F5" s="25">
        <f t="shared" ca="1" si="0"/>
        <v>37.529911892515756</v>
      </c>
      <c r="G5" s="25">
        <f t="shared" ca="1" si="0"/>
        <v>55.515551351344726</v>
      </c>
    </row>
    <row r="6" spans="2:7" x14ac:dyDescent="0.2">
      <c r="B6" s="26">
        <v>2</v>
      </c>
      <c r="C6" s="25">
        <f t="shared" ca="1" si="0"/>
        <v>4.4301229376181119</v>
      </c>
      <c r="D6" s="25">
        <f t="shared" ca="1" si="0"/>
        <v>17.903631848580673</v>
      </c>
      <c r="E6" s="25">
        <f t="shared" ca="1" si="0"/>
        <v>31.02929524134311</v>
      </c>
      <c r="F6" s="25">
        <f t="shared" ca="1" si="0"/>
        <v>47.840057602191571</v>
      </c>
      <c r="G6" s="25">
        <f t="shared" ca="1" si="0"/>
        <v>59.212172658227452</v>
      </c>
    </row>
    <row r="7" spans="2:7" x14ac:dyDescent="0.2">
      <c r="B7" s="26">
        <v>3</v>
      </c>
      <c r="C7" s="25">
        <f t="shared" ca="1" si="0"/>
        <v>12.645661869753964</v>
      </c>
      <c r="D7" s="25">
        <f t="shared" ca="1" si="0"/>
        <v>24.903889957973924</v>
      </c>
      <c r="E7" s="25">
        <f t="shared" ca="1" si="0"/>
        <v>38.031347919964233</v>
      </c>
      <c r="F7" s="25">
        <f t="shared" ca="1" si="0"/>
        <v>45.554192293618264</v>
      </c>
      <c r="G7" s="25">
        <f t="shared" ca="1" si="0"/>
        <v>47.830550074488492</v>
      </c>
    </row>
    <row r="8" spans="2:7" x14ac:dyDescent="0.2">
      <c r="B8" s="26">
        <v>4</v>
      </c>
      <c r="C8" s="25">
        <f t="shared" ca="1" si="0"/>
        <v>7.2889597386515836</v>
      </c>
      <c r="D8" s="25">
        <f t="shared" ca="1" si="0"/>
        <v>29.086483040824543</v>
      </c>
      <c r="E8" s="25">
        <f t="shared" ca="1" si="0"/>
        <v>40.948400502320823</v>
      </c>
      <c r="F8" s="25">
        <f t="shared" ca="1" si="0"/>
        <v>46.338056162697086</v>
      </c>
      <c r="G8" s="25">
        <f t="shared" ca="1" si="0"/>
        <v>71.389500049654117</v>
      </c>
    </row>
    <row r="9" spans="2:7" x14ac:dyDescent="0.2">
      <c r="B9" s="26">
        <v>5</v>
      </c>
      <c r="C9" s="25">
        <f t="shared" ca="1" si="0"/>
        <v>17.039379059580519</v>
      </c>
      <c r="D9" s="25">
        <f t="shared" ca="1" si="0"/>
        <v>49.93727628317658</v>
      </c>
      <c r="E9" s="25">
        <f t="shared" ca="1" si="0"/>
        <v>55.158263873004962</v>
      </c>
      <c r="F9" s="25">
        <f t="shared" ca="1" si="0"/>
        <v>56.421770381891726</v>
      </c>
      <c r="G9" s="25">
        <f t="shared" ca="1" si="0"/>
        <v>68.990995151958558</v>
      </c>
    </row>
    <row r="10" spans="2:7" x14ac:dyDescent="0.2">
      <c r="B10" s="26">
        <v>6</v>
      </c>
      <c r="C10" s="25">
        <f t="shared" ca="1" si="0"/>
        <v>24.534120839874475</v>
      </c>
      <c r="D10" s="25">
        <f t="shared" ca="1" si="0"/>
        <v>41.03723755054196</v>
      </c>
      <c r="E10" s="25">
        <f t="shared" ca="1" si="0"/>
        <v>47.890709687590693</v>
      </c>
      <c r="F10" s="25">
        <f t="shared" ca="1" si="0"/>
        <v>71.432267970227144</v>
      </c>
      <c r="G10" s="25">
        <f t="shared" ca="1" si="0"/>
        <v>79.841640605181624</v>
      </c>
    </row>
    <row r="11" spans="2:7" x14ac:dyDescent="0.2">
      <c r="B11" s="26">
        <v>7</v>
      </c>
      <c r="C11" s="25">
        <f t="shared" ca="1" si="0"/>
        <v>25.481530361319635</v>
      </c>
      <c r="D11" s="25">
        <f t="shared" ca="1" si="0"/>
        <v>20.607083411609722</v>
      </c>
      <c r="E11" s="25">
        <f t="shared" ca="1" si="0"/>
        <v>48.741752086566237</v>
      </c>
      <c r="F11" s="25">
        <f t="shared" ca="1" si="0"/>
        <v>69.481543273346873</v>
      </c>
      <c r="G11" s="25">
        <f t="shared" ca="1" si="0"/>
        <v>91.703007050905327</v>
      </c>
    </row>
    <row r="12" spans="2:7" x14ac:dyDescent="0.2">
      <c r="B12" s="26">
        <v>8</v>
      </c>
      <c r="C12" s="25">
        <f t="shared" ca="1" si="0"/>
        <v>23.338051746587329</v>
      </c>
      <c r="D12" s="25">
        <f t="shared" ca="1" si="0"/>
        <v>43.660930360066232</v>
      </c>
      <c r="E12" s="25">
        <f t="shared" ca="1" si="0"/>
        <v>64.751480092667052</v>
      </c>
      <c r="F12" s="25">
        <f t="shared" ca="1" si="0"/>
        <v>66.55296373809459</v>
      </c>
      <c r="G12" s="25">
        <f t="shared" ca="1" si="0"/>
        <v>86.220160582643771</v>
      </c>
    </row>
    <row r="13" spans="2:7" x14ac:dyDescent="0.2">
      <c r="B13" s="26">
        <v>9</v>
      </c>
      <c r="C13" s="25">
        <f t="shared" ca="1" si="0"/>
        <v>10.327106634502448</v>
      </c>
      <c r="D13" s="25">
        <f t="shared" ca="1" si="0"/>
        <v>36.50813050186683</v>
      </c>
      <c r="E13" s="25">
        <f t="shared" ca="1" si="0"/>
        <v>63.826943599023622</v>
      </c>
      <c r="F13" s="25">
        <f t="shared" ca="1" si="0"/>
        <v>77.432969155146807</v>
      </c>
      <c r="G13" s="25">
        <f t="shared" ca="1" si="0"/>
        <v>97.247075330544192</v>
      </c>
    </row>
    <row r="14" spans="2:7" x14ac:dyDescent="0.2">
      <c r="B14" s="26">
        <v>10</v>
      </c>
      <c r="C14" s="25">
        <f t="shared" ca="1" si="0"/>
        <v>21.653549411537057</v>
      </c>
      <c r="D14" s="25">
        <f t="shared" ca="1" si="0"/>
        <v>37.742914698465803</v>
      </c>
      <c r="E14" s="25">
        <f t="shared" ca="1" si="0"/>
        <v>56.923326093835179</v>
      </c>
      <c r="F14" s="25">
        <f t="shared" ca="1" si="0"/>
        <v>68.089814089338631</v>
      </c>
      <c r="G14" s="25">
        <f t="shared" ca="1" si="0"/>
        <v>95.714528559190612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11.009275442629168</v>
      </c>
      <c r="D15" s="25">
        <f t="shared" ca="1" si="1"/>
        <v>46.800849357298702</v>
      </c>
      <c r="E15" s="25">
        <f t="shared" ca="1" si="1"/>
        <v>54.85116763135651</v>
      </c>
      <c r="F15" s="25">
        <f t="shared" ca="1" si="1"/>
        <v>88.619269184675076</v>
      </c>
      <c r="G15" s="25">
        <f t="shared" ca="1" si="1"/>
        <v>111.20096933075479</v>
      </c>
    </row>
    <row r="16" spans="2:7" x14ac:dyDescent="0.2">
      <c r="B16" s="26">
        <v>12</v>
      </c>
      <c r="C16" s="25">
        <f t="shared" ca="1" si="1"/>
        <v>24.967078627261252</v>
      </c>
      <c r="D16" s="25">
        <f t="shared" ca="1" si="1"/>
        <v>43.730094257441529</v>
      </c>
      <c r="E16" s="25">
        <f t="shared" ca="1" si="1"/>
        <v>74.818339644600499</v>
      </c>
      <c r="F16" s="25">
        <f t="shared" ca="1" si="1"/>
        <v>89.899487851043432</v>
      </c>
      <c r="G16" s="25">
        <f t="shared" ca="1" si="1"/>
        <v>102.0720832364198</v>
      </c>
    </row>
    <row r="17" spans="2:7" x14ac:dyDescent="0.2">
      <c r="B17" s="26">
        <v>13</v>
      </c>
      <c r="C17" s="25">
        <f t="shared" ca="1" si="1"/>
        <v>27.931382744943431</v>
      </c>
      <c r="D17" s="25">
        <f t="shared" ca="1" si="1"/>
        <v>52.890839750220827</v>
      </c>
      <c r="E17" s="25">
        <f t="shared" ca="1" si="1"/>
        <v>75.726737868078331</v>
      </c>
      <c r="F17" s="25">
        <f t="shared" ca="1" si="1"/>
        <v>99.67611060411987</v>
      </c>
      <c r="G17" s="25">
        <f t="shared" ca="1" si="1"/>
        <v>115.37653278763818</v>
      </c>
    </row>
    <row r="18" spans="2:7" x14ac:dyDescent="0.2">
      <c r="B18" s="26">
        <v>14</v>
      </c>
      <c r="C18" s="25">
        <f t="shared" ca="1" si="1"/>
        <v>18.533758083063603</v>
      </c>
      <c r="D18" s="25">
        <f t="shared" ca="1" si="1"/>
        <v>53.433561871625031</v>
      </c>
      <c r="E18" s="25">
        <f t="shared" ca="1" si="1"/>
        <v>72.706239934760418</v>
      </c>
      <c r="F18" s="25">
        <f t="shared" ca="1" si="1"/>
        <v>102.84492308506593</v>
      </c>
      <c r="G18" s="25">
        <f t="shared" ca="1" si="1"/>
        <v>124.50927839617744</v>
      </c>
    </row>
    <row r="19" spans="2:7" x14ac:dyDescent="0.2">
      <c r="B19" s="26">
        <v>15</v>
      </c>
      <c r="C19" s="25">
        <f t="shared" ca="1" si="1"/>
        <v>20.944320066736605</v>
      </c>
      <c r="D19" s="25">
        <f t="shared" ca="1" si="1"/>
        <v>42.125925223316294</v>
      </c>
      <c r="E19" s="25">
        <f t="shared" ca="1" si="1"/>
        <v>72.380316576403018</v>
      </c>
      <c r="F19" s="25">
        <f t="shared" ca="1" si="1"/>
        <v>99.979049778314121</v>
      </c>
      <c r="G19" s="25">
        <f t="shared" ca="1" si="1"/>
        <v>122.30763356625154</v>
      </c>
    </row>
    <row r="20" spans="2:7" x14ac:dyDescent="0.2">
      <c r="B20" s="26">
        <v>16</v>
      </c>
      <c r="C20" s="25">
        <f t="shared" ca="1" si="1"/>
        <v>35.799756776160919</v>
      </c>
      <c r="D20" s="25">
        <f t="shared" ca="1" si="1"/>
        <v>53.597384630496578</v>
      </c>
      <c r="E20" s="25">
        <f t="shared" ca="1" si="1"/>
        <v>82.077751637550335</v>
      </c>
      <c r="F20" s="25">
        <f t="shared" ca="1" si="1"/>
        <v>92.668486569823614</v>
      </c>
      <c r="G20" s="25">
        <f t="shared" ca="1" si="1"/>
        <v>114.24546757819189</v>
      </c>
    </row>
    <row r="21" spans="2:7" x14ac:dyDescent="0.2">
      <c r="B21" s="26">
        <v>17</v>
      </c>
      <c r="C21" s="25">
        <f t="shared" ca="1" si="1"/>
        <v>23.859350712337545</v>
      </c>
      <c r="D21" s="25">
        <f t="shared" ca="1" si="1"/>
        <v>43.611095671992189</v>
      </c>
      <c r="E21" s="25">
        <f t="shared" ca="1" si="1"/>
        <v>79.946108415103637</v>
      </c>
      <c r="F21" s="25">
        <f t="shared" ca="1" si="1"/>
        <v>104.84412635138042</v>
      </c>
      <c r="G21" s="25">
        <f t="shared" ca="1" si="1"/>
        <v>124.1988809787502</v>
      </c>
    </row>
    <row r="22" spans="2:7" x14ac:dyDescent="0.2">
      <c r="B22" s="26">
        <v>18</v>
      </c>
      <c r="C22" s="25">
        <f t="shared" ca="1" si="1"/>
        <v>28.376240619423299</v>
      </c>
      <c r="D22" s="25">
        <f t="shared" ca="1" si="1"/>
        <v>53.10062618074258</v>
      </c>
      <c r="E22" s="25">
        <f t="shared" ca="1" si="1"/>
        <v>83.613968221262411</v>
      </c>
      <c r="F22" s="25">
        <f t="shared" ca="1" si="1"/>
        <v>114.60035135846832</v>
      </c>
      <c r="G22" s="25">
        <f t="shared" ca="1" si="1"/>
        <v>150.46196270889573</v>
      </c>
    </row>
    <row r="23" spans="2:7" x14ac:dyDescent="0.2">
      <c r="B23" s="26">
        <v>19</v>
      </c>
      <c r="C23" s="25">
        <f t="shared" ca="1" si="1"/>
        <v>28.656624244250057</v>
      </c>
      <c r="D23" s="25">
        <f t="shared" ca="1" si="1"/>
        <v>62.903287288872185</v>
      </c>
      <c r="E23" s="25">
        <f t="shared" ca="1" si="1"/>
        <v>87.15591539264959</v>
      </c>
      <c r="F23" s="25">
        <f t="shared" ca="1" si="1"/>
        <v>118.31249769900256</v>
      </c>
      <c r="G23" s="25">
        <f t="shared" ca="1" si="1"/>
        <v>149.10665885674874</v>
      </c>
    </row>
    <row r="24" spans="2:7" x14ac:dyDescent="0.2">
      <c r="B24" s="26">
        <v>20</v>
      </c>
      <c r="C24" s="25">
        <f t="shared" ca="1" si="1"/>
        <v>30.461960585890449</v>
      </c>
      <c r="D24" s="25">
        <f t="shared" ca="1" si="1"/>
        <v>62.155099433478291</v>
      </c>
      <c r="E24" s="25">
        <f t="shared" ca="1" si="1"/>
        <v>90.66316405144039</v>
      </c>
      <c r="F24" s="25">
        <f t="shared" ca="1" si="1"/>
        <v>116.38108369909114</v>
      </c>
      <c r="G24" s="25">
        <f t="shared" ca="1" si="1"/>
        <v>153.17163275549515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24.19261154975564</v>
      </c>
      <c r="D25" s="25">
        <f t="shared" ca="1" si="2"/>
        <v>67.462265540692741</v>
      </c>
      <c r="E25" s="25">
        <f t="shared" ca="1" si="2"/>
        <v>98.721468269109948</v>
      </c>
      <c r="F25" s="25">
        <f t="shared" ca="1" si="2"/>
        <v>114.1412691565948</v>
      </c>
      <c r="G25" s="25">
        <f t="shared" ca="1" si="2"/>
        <v>149.40072231294235</v>
      </c>
    </row>
    <row r="26" spans="2:7" x14ac:dyDescent="0.2">
      <c r="B26" s="26">
        <v>22</v>
      </c>
      <c r="C26" s="25">
        <f t="shared" ca="1" si="2"/>
        <v>31.60902761173833</v>
      </c>
      <c r="D26" s="25">
        <f t="shared" ca="1" si="2"/>
        <v>65.246225986271185</v>
      </c>
      <c r="E26" s="25">
        <f t="shared" ca="1" si="2"/>
        <v>99.589907934886298</v>
      </c>
      <c r="F26" s="25">
        <f t="shared" ca="1" si="2"/>
        <v>133.90094262944089</v>
      </c>
      <c r="G26" s="25">
        <f t="shared" ca="1" si="2"/>
        <v>160.0271409531955</v>
      </c>
    </row>
    <row r="27" spans="2:7" x14ac:dyDescent="0.2">
      <c r="B27" s="26">
        <v>23</v>
      </c>
      <c r="C27" s="25">
        <f t="shared" ca="1" si="2"/>
        <v>30.608051984236837</v>
      </c>
      <c r="D27" s="25">
        <f t="shared" ca="1" si="2"/>
        <v>64.480753025211044</v>
      </c>
      <c r="E27" s="25">
        <f t="shared" ca="1" si="2"/>
        <v>102.92949584898383</v>
      </c>
      <c r="F27" s="25">
        <f t="shared" ca="1" si="2"/>
        <v>120.90720374759817</v>
      </c>
      <c r="G27" s="25">
        <f t="shared" ca="1" si="2"/>
        <v>162.67793638097893</v>
      </c>
    </row>
    <row r="28" spans="2:7" x14ac:dyDescent="0.2">
      <c r="B28" s="26">
        <v>24</v>
      </c>
      <c r="C28" s="25">
        <f t="shared" ca="1" si="2"/>
        <v>23.804490488390154</v>
      </c>
      <c r="D28" s="25">
        <f t="shared" ca="1" si="2"/>
        <v>57.803391485980477</v>
      </c>
      <c r="E28" s="25">
        <f t="shared" ca="1" si="2"/>
        <v>100.51212404898526</v>
      </c>
      <c r="F28" s="25">
        <f t="shared" ca="1" si="2"/>
        <v>133.43772573918034</v>
      </c>
      <c r="G28" s="25">
        <f t="shared" ca="1" si="2"/>
        <v>165.15491533053418</v>
      </c>
    </row>
    <row r="29" spans="2:7" x14ac:dyDescent="0.2">
      <c r="B29" s="26">
        <v>25</v>
      </c>
      <c r="C29" s="25">
        <f t="shared" ca="1" si="2"/>
        <v>34.954421801924035</v>
      </c>
      <c r="D29" s="25">
        <f t="shared" ca="1" si="2"/>
        <v>69.795920293604723</v>
      </c>
      <c r="E29" s="25">
        <f t="shared" ca="1" si="2"/>
        <v>107.41911085467153</v>
      </c>
      <c r="F29" s="25">
        <f t="shared" ca="1" si="2"/>
        <v>143.15893104294702</v>
      </c>
      <c r="G29" s="25">
        <f t="shared" ca="1" si="2"/>
        <v>172.29862851476216</v>
      </c>
    </row>
    <row r="30" spans="2:7" x14ac:dyDescent="0.2">
      <c r="B30" s="26">
        <v>26</v>
      </c>
      <c r="C30" s="25">
        <f t="shared" ca="1" si="2"/>
        <v>48.351151946133228</v>
      </c>
      <c r="D30" s="25">
        <f t="shared" ca="1" si="2"/>
        <v>78.849896600577694</v>
      </c>
      <c r="E30" s="25">
        <f t="shared" ca="1" si="2"/>
        <v>98.644270968773853</v>
      </c>
      <c r="F30" s="25">
        <f t="shared" ca="1" si="2"/>
        <v>142.64766773826349</v>
      </c>
      <c r="G30" s="25">
        <f t="shared" ca="1" si="2"/>
        <v>181.57009837371828</v>
      </c>
    </row>
    <row r="31" spans="2:7" x14ac:dyDescent="0.2">
      <c r="B31" s="26">
        <v>27</v>
      </c>
      <c r="C31" s="25">
        <f t="shared" ca="1" si="2"/>
        <v>48.737053870361592</v>
      </c>
      <c r="D31" s="25">
        <f t="shared" ca="1" si="2"/>
        <v>66.180334601019695</v>
      </c>
      <c r="E31" s="25">
        <f t="shared" ca="1" si="2"/>
        <v>101.08852381860122</v>
      </c>
      <c r="F31" s="25">
        <f t="shared" ca="1" si="2"/>
        <v>139.3968300691582</v>
      </c>
      <c r="G31" s="25">
        <f t="shared" ca="1" si="2"/>
        <v>184.6585012314529</v>
      </c>
    </row>
    <row r="32" spans="2:7" x14ac:dyDescent="0.2">
      <c r="B32" s="26">
        <v>28</v>
      </c>
      <c r="C32" s="25">
        <f t="shared" ca="1" si="2"/>
        <v>31.747005454093085</v>
      </c>
      <c r="D32" s="25">
        <f t="shared" ca="1" si="2"/>
        <v>84.794788517274029</v>
      </c>
      <c r="E32" s="25">
        <f t="shared" ca="1" si="2"/>
        <v>123.19484500218985</v>
      </c>
      <c r="F32" s="25">
        <f t="shared" ca="1" si="2"/>
        <v>151.8955503712063</v>
      </c>
      <c r="G32" s="25">
        <f t="shared" ca="1" si="2"/>
        <v>187.8506933724164</v>
      </c>
    </row>
    <row r="33" spans="2:7" x14ac:dyDescent="0.2">
      <c r="B33" s="26">
        <v>29</v>
      </c>
      <c r="C33" s="25">
        <f t="shared" ca="1" si="2"/>
        <v>38.190512740042756</v>
      </c>
      <c r="D33" s="25">
        <f t="shared" ca="1" si="2"/>
        <v>71.45178098444778</v>
      </c>
      <c r="E33" s="25">
        <f t="shared" ca="1" si="2"/>
        <v>122.10344043264493</v>
      </c>
      <c r="F33" s="25">
        <f t="shared" ca="1" si="2"/>
        <v>151.20486275724028</v>
      </c>
      <c r="G33" s="25">
        <f t="shared" ca="1" si="2"/>
        <v>193.62110162562061</v>
      </c>
    </row>
    <row r="34" spans="2:7" x14ac:dyDescent="0.2">
      <c r="B34" s="26">
        <v>30</v>
      </c>
      <c r="C34" s="25">
        <f t="shared" ca="1" si="2"/>
        <v>37.859813375772141</v>
      </c>
      <c r="D34" s="25">
        <f t="shared" ca="1" si="2"/>
        <v>74.732568673184616</v>
      </c>
      <c r="E34" s="25">
        <f t="shared" ca="1" si="2"/>
        <v>117.27353992785677</v>
      </c>
      <c r="F34" s="25">
        <f t="shared" ca="1" si="2"/>
        <v>158.07749788733619</v>
      </c>
      <c r="G34" s="25">
        <f t="shared" ca="1" si="2"/>
        <v>205.42103597888595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915F7-576F-2B4C-8947-D211CBB5E2B7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AFF89-3BDD-8548-B249-A192766FB9B4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7C4B0-9D61-FA43-9E2D-37DFACA1DB98}">
  <sheetPr codeName="Sheet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C3382-4104-5C4E-BE0D-BB30DCBCC393}">
  <sheetPr codeName="Sheet3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8FF7C-34EA-D746-90BD-EB1BEBC4F9E2}">
  <sheetPr codeName="Sheet31">
    <tabColor rgb="FF002060"/>
  </sheetPr>
  <dimension ref="A1:A6"/>
  <sheetViews>
    <sheetView workbookViewId="0"/>
  </sheetViews>
  <sheetFormatPr baseColWidth="10" defaultRowHeight="21" x14ac:dyDescent="0.25"/>
  <cols>
    <col min="1" max="2" width="10.83203125" style="5"/>
    <col min="3" max="3" width="15.6640625" style="5" bestFit="1" customWidth="1"/>
    <col min="4" max="4" width="12.1640625" style="5" bestFit="1" customWidth="1"/>
    <col min="5" max="16384" width="10.83203125" style="5"/>
  </cols>
  <sheetData>
    <row r="1" spans="1:1" x14ac:dyDescent="0.25">
      <c r="A1" s="5" t="s">
        <v>222</v>
      </c>
    </row>
    <row r="2" spans="1:1" x14ac:dyDescent="0.25">
      <c r="A2" s="5" t="s">
        <v>185</v>
      </c>
    </row>
    <row r="3" spans="1:1" x14ac:dyDescent="0.25">
      <c r="A3" s="5" t="s">
        <v>221</v>
      </c>
    </row>
    <row r="4" spans="1:1" x14ac:dyDescent="0.25">
      <c r="A4" s="5" t="s">
        <v>220</v>
      </c>
    </row>
    <row r="5" spans="1:1" x14ac:dyDescent="0.25">
      <c r="A5" s="5" t="s">
        <v>219</v>
      </c>
    </row>
    <row r="6" spans="1:1" x14ac:dyDescent="0.25">
      <c r="A6" s="5" t="s">
        <v>218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2D81D-5C3F-4341-B864-7BAAD0872C78}">
  <sheetPr codeName="Sheet32">
    <tabColor rgb="FFC00000"/>
  </sheetPr>
  <dimension ref="B2:E27"/>
  <sheetViews>
    <sheetView topLeftCell="B1" workbookViewId="0"/>
  </sheetViews>
  <sheetFormatPr baseColWidth="10" defaultRowHeight="21" x14ac:dyDescent="0.25"/>
  <cols>
    <col min="1" max="1" width="10.83203125" style="5"/>
    <col min="2" max="2" width="15.6640625" style="5" bestFit="1" customWidth="1"/>
    <col min="3" max="3" width="12.1640625" style="5" bestFit="1" customWidth="1"/>
    <col min="4" max="7" width="10.83203125" style="5"/>
    <col min="8" max="8" width="15.6640625" style="5" bestFit="1" customWidth="1"/>
    <col min="9" max="9" width="12.1640625" style="5" bestFit="1" customWidth="1"/>
    <col min="10" max="16384" width="10.83203125" style="5"/>
  </cols>
  <sheetData>
    <row r="2" spans="2:5" x14ac:dyDescent="0.25">
      <c r="B2" s="5" t="s">
        <v>222</v>
      </c>
    </row>
    <row r="3" spans="2:5" x14ac:dyDescent="0.25">
      <c r="B3" s="6" t="s">
        <v>225</v>
      </c>
      <c r="C3" s="6"/>
    </row>
    <row r="4" spans="2:5" x14ac:dyDescent="0.25">
      <c r="B4" s="5" t="s">
        <v>224</v>
      </c>
    </row>
    <row r="5" spans="2:5" x14ac:dyDescent="0.25">
      <c r="B5" s="5" t="s">
        <v>223</v>
      </c>
    </row>
    <row r="7" spans="2:5" x14ac:dyDescent="0.25">
      <c r="B7" s="7" t="s">
        <v>9</v>
      </c>
      <c r="C7" s="7" t="s">
        <v>10</v>
      </c>
      <c r="E7" s="7" t="s">
        <v>222</v>
      </c>
    </row>
    <row r="8" spans="2:5" x14ac:dyDescent="0.25">
      <c r="B8" s="5" t="s">
        <v>11</v>
      </c>
      <c r="C8" s="5" t="s">
        <v>11</v>
      </c>
      <c r="E8" s="5" cm="1">
        <f t="array" ref="E8">SUM((B8:B27=C8:C27)*(C8:C27="Sick"))/SUM((C8:C27="Sick")*1)</f>
        <v>0.66666666666666663</v>
      </c>
    </row>
    <row r="9" spans="2:5" x14ac:dyDescent="0.25">
      <c r="B9" s="5" t="s">
        <v>12</v>
      </c>
      <c r="C9" s="5" t="s">
        <v>11</v>
      </c>
    </row>
    <row r="10" spans="2:5" x14ac:dyDescent="0.25">
      <c r="B10" s="5" t="s">
        <v>12</v>
      </c>
      <c r="C10" s="5" t="s">
        <v>11</v>
      </c>
    </row>
    <row r="11" spans="2:5" x14ac:dyDescent="0.25">
      <c r="B11" s="5" t="s">
        <v>12</v>
      </c>
      <c r="C11" s="5" t="s">
        <v>12</v>
      </c>
    </row>
    <row r="12" spans="2:5" x14ac:dyDescent="0.25">
      <c r="B12" s="5" t="s">
        <v>11</v>
      </c>
      <c r="C12" s="5" t="s">
        <v>12</v>
      </c>
    </row>
    <row r="13" spans="2:5" x14ac:dyDescent="0.25">
      <c r="B13" s="5" t="s">
        <v>12</v>
      </c>
      <c r="C13" s="5" t="s">
        <v>12</v>
      </c>
    </row>
    <row r="14" spans="2:5" x14ac:dyDescent="0.25">
      <c r="B14" s="5" t="s">
        <v>11</v>
      </c>
      <c r="C14" s="5" t="s">
        <v>11</v>
      </c>
    </row>
    <row r="15" spans="2:5" x14ac:dyDescent="0.25">
      <c r="B15" s="5" t="s">
        <v>12</v>
      </c>
      <c r="C15" s="5" t="s">
        <v>12</v>
      </c>
    </row>
    <row r="16" spans="2:5" x14ac:dyDescent="0.25">
      <c r="B16" s="5" t="s">
        <v>11</v>
      </c>
      <c r="C16" s="5" t="s">
        <v>11</v>
      </c>
    </row>
    <row r="17" spans="2:3" x14ac:dyDescent="0.25">
      <c r="B17" s="5" t="s">
        <v>12</v>
      </c>
      <c r="C17" s="5" t="s">
        <v>11</v>
      </c>
    </row>
    <row r="18" spans="2:3" x14ac:dyDescent="0.25">
      <c r="B18" s="5" t="s">
        <v>11</v>
      </c>
      <c r="C18" s="5" t="s">
        <v>11</v>
      </c>
    </row>
    <row r="19" spans="2:3" x14ac:dyDescent="0.25">
      <c r="B19" s="5" t="s">
        <v>11</v>
      </c>
      <c r="C19" s="5" t="s">
        <v>11</v>
      </c>
    </row>
    <row r="20" spans="2:3" x14ac:dyDescent="0.25">
      <c r="B20" s="5" t="s">
        <v>11</v>
      </c>
      <c r="C20" s="5" t="s">
        <v>12</v>
      </c>
    </row>
    <row r="21" spans="2:3" x14ac:dyDescent="0.25">
      <c r="B21" s="5" t="s">
        <v>12</v>
      </c>
      <c r="C21" s="5" t="s">
        <v>12</v>
      </c>
    </row>
    <row r="22" spans="2:3" x14ac:dyDescent="0.25">
      <c r="B22" s="5" t="s">
        <v>12</v>
      </c>
      <c r="C22" s="5" t="s">
        <v>11</v>
      </c>
    </row>
    <row r="23" spans="2:3" x14ac:dyDescent="0.25">
      <c r="B23" s="5" t="s">
        <v>11</v>
      </c>
      <c r="C23" s="5" t="s">
        <v>11</v>
      </c>
    </row>
    <row r="24" spans="2:3" x14ac:dyDescent="0.25">
      <c r="B24" s="5" t="s">
        <v>12</v>
      </c>
      <c r="C24" s="5" t="s">
        <v>12</v>
      </c>
    </row>
    <row r="25" spans="2:3" x14ac:dyDescent="0.25">
      <c r="B25" s="5" t="s">
        <v>12</v>
      </c>
      <c r="C25" s="5" t="s">
        <v>12</v>
      </c>
    </row>
    <row r="26" spans="2:3" x14ac:dyDescent="0.25">
      <c r="B26" s="5" t="s">
        <v>11</v>
      </c>
      <c r="C26" s="5" t="s">
        <v>11</v>
      </c>
    </row>
    <row r="27" spans="2:3" x14ac:dyDescent="0.25">
      <c r="B27" s="5" t="s">
        <v>11</v>
      </c>
      <c r="C27" s="5" t="s">
        <v>11</v>
      </c>
    </row>
  </sheetData>
  <hyperlinks>
    <hyperlink ref="B3" r:id="rId1" xr:uid="{319662B4-2618-ED4B-BA39-563B921AE1BE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3CF7-7360-994A-9F98-E367897BBFFD}">
  <sheetPr codeName="Sheet33">
    <tabColor rgb="FFC00000"/>
  </sheetPr>
  <dimension ref="B2:K27"/>
  <sheetViews>
    <sheetView workbookViewId="0"/>
  </sheetViews>
  <sheetFormatPr baseColWidth="10" defaultRowHeight="21" x14ac:dyDescent="0.25"/>
  <cols>
    <col min="1" max="1" width="10.83203125" style="5"/>
    <col min="2" max="2" width="15.6640625" style="5" bestFit="1" customWidth="1"/>
    <col min="3" max="3" width="12.1640625" style="5" bestFit="1" customWidth="1"/>
    <col min="4" max="7" width="10.83203125" style="5"/>
    <col min="8" max="8" width="15.6640625" style="5" bestFit="1" customWidth="1"/>
    <col min="9" max="9" width="12.1640625" style="5" bestFit="1" customWidth="1"/>
    <col min="10" max="16384" width="10.83203125" style="5"/>
  </cols>
  <sheetData>
    <row r="2" spans="2:11" x14ac:dyDescent="0.25">
      <c r="B2" s="5" t="s">
        <v>185</v>
      </c>
    </row>
    <row r="3" spans="2:11" x14ac:dyDescent="0.25">
      <c r="B3" s="6" t="s">
        <v>187</v>
      </c>
      <c r="C3" s="6"/>
    </row>
    <row r="4" spans="2:11" x14ac:dyDescent="0.25">
      <c r="B4" s="5" t="s">
        <v>188</v>
      </c>
    </row>
    <row r="5" spans="2:11" x14ac:dyDescent="0.25">
      <c r="B5" s="5" t="s">
        <v>189</v>
      </c>
    </row>
    <row r="7" spans="2:11" x14ac:dyDescent="0.25">
      <c r="B7" s="7" t="s">
        <v>9</v>
      </c>
      <c r="C7" s="7" t="s">
        <v>10</v>
      </c>
      <c r="E7" s="7" t="s">
        <v>185</v>
      </c>
    </row>
    <row r="8" spans="2:11" x14ac:dyDescent="0.25">
      <c r="B8" s="5" t="s">
        <v>11</v>
      </c>
      <c r="C8" s="5" t="s">
        <v>11</v>
      </c>
      <c r="E8" s="5" cm="1">
        <f t="array" ref="E8">SUM((B8:B27=C8:C27)*(C8:C27="Healthy"))/SUM((C8:C27="Healthy")*1)</f>
        <v>0.77777777777777779</v>
      </c>
    </row>
    <row r="9" spans="2:11" x14ac:dyDescent="0.25">
      <c r="B9" s="5" t="s">
        <v>12</v>
      </c>
      <c r="C9" s="5" t="s">
        <v>11</v>
      </c>
    </row>
    <row r="10" spans="2:11" x14ac:dyDescent="0.25">
      <c r="B10" s="5" t="s">
        <v>11</v>
      </c>
      <c r="C10" s="5" t="s">
        <v>11</v>
      </c>
    </row>
    <row r="11" spans="2:11" x14ac:dyDescent="0.25">
      <c r="B11" s="5" t="s">
        <v>12</v>
      </c>
      <c r="C11" s="5" t="s">
        <v>12</v>
      </c>
      <c r="K11" s="5" t="s">
        <v>193</v>
      </c>
    </row>
    <row r="12" spans="2:11" x14ac:dyDescent="0.25">
      <c r="B12" s="5" t="s">
        <v>11</v>
      </c>
      <c r="C12" s="5" t="s">
        <v>12</v>
      </c>
    </row>
    <row r="13" spans="2:11" x14ac:dyDescent="0.25">
      <c r="B13" s="5" t="s">
        <v>12</v>
      </c>
      <c r="C13" s="5" t="s">
        <v>12</v>
      </c>
    </row>
    <row r="14" spans="2:11" x14ac:dyDescent="0.25">
      <c r="B14" s="5" t="s">
        <v>11</v>
      </c>
      <c r="C14" s="5" t="s">
        <v>11</v>
      </c>
    </row>
    <row r="15" spans="2:11" x14ac:dyDescent="0.25">
      <c r="B15" s="5" t="s">
        <v>12</v>
      </c>
      <c r="C15" s="5" t="s">
        <v>12</v>
      </c>
    </row>
    <row r="16" spans="2:11" x14ac:dyDescent="0.25">
      <c r="B16" s="5" t="s">
        <v>11</v>
      </c>
      <c r="C16" s="5" t="s">
        <v>11</v>
      </c>
    </row>
    <row r="17" spans="2:3" x14ac:dyDescent="0.25">
      <c r="B17" s="5" t="s">
        <v>12</v>
      </c>
      <c r="C17" s="5" t="s">
        <v>11</v>
      </c>
    </row>
    <row r="18" spans="2:3" x14ac:dyDescent="0.25">
      <c r="B18" s="5" t="s">
        <v>11</v>
      </c>
      <c r="C18" s="5" t="s">
        <v>11</v>
      </c>
    </row>
    <row r="19" spans="2:3" x14ac:dyDescent="0.25">
      <c r="B19" s="5" t="s">
        <v>11</v>
      </c>
      <c r="C19" s="5" t="s">
        <v>11</v>
      </c>
    </row>
    <row r="20" spans="2:3" x14ac:dyDescent="0.25">
      <c r="B20" s="5" t="s">
        <v>11</v>
      </c>
      <c r="C20" s="5" t="s">
        <v>12</v>
      </c>
    </row>
    <row r="21" spans="2:3" x14ac:dyDescent="0.25">
      <c r="B21" s="5" t="s">
        <v>12</v>
      </c>
      <c r="C21" s="5" t="s">
        <v>12</v>
      </c>
    </row>
    <row r="22" spans="2:3" x14ac:dyDescent="0.25">
      <c r="B22" s="5" t="s">
        <v>12</v>
      </c>
      <c r="C22" s="5" t="s">
        <v>11</v>
      </c>
    </row>
    <row r="23" spans="2:3" x14ac:dyDescent="0.25">
      <c r="B23" s="5" t="s">
        <v>11</v>
      </c>
      <c r="C23" s="5" t="s">
        <v>11</v>
      </c>
    </row>
    <row r="24" spans="2:3" x14ac:dyDescent="0.25">
      <c r="B24" s="5" t="s">
        <v>12</v>
      </c>
      <c r="C24" s="5" t="s">
        <v>12</v>
      </c>
    </row>
    <row r="25" spans="2:3" x14ac:dyDescent="0.25">
      <c r="B25" s="5" t="s">
        <v>12</v>
      </c>
      <c r="C25" s="5" t="s">
        <v>12</v>
      </c>
    </row>
    <row r="26" spans="2:3" x14ac:dyDescent="0.25">
      <c r="B26" s="5" t="s">
        <v>11</v>
      </c>
      <c r="C26" s="5" t="s">
        <v>11</v>
      </c>
    </row>
    <row r="27" spans="2:3" x14ac:dyDescent="0.25">
      <c r="B27" s="5" t="s">
        <v>12</v>
      </c>
      <c r="C27" s="5" t="s">
        <v>12</v>
      </c>
    </row>
  </sheetData>
  <hyperlinks>
    <hyperlink ref="B3" r:id="rId1" xr:uid="{3A288EAF-BB22-6A4C-AA07-FE4A9D89FE53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39FCA-E055-B04A-97BB-901107AAD899}">
  <sheetPr codeName="Sheet34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27"/>
    <col min="12" max="16384" width="10.83203125" style="2"/>
  </cols>
  <sheetData>
    <row r="2" spans="1:11" x14ac:dyDescent="0.2">
      <c r="B2" s="27" t="s">
        <v>231</v>
      </c>
      <c r="C2" s="27" t="s">
        <v>10</v>
      </c>
      <c r="J2" s="30" t="s">
        <v>228</v>
      </c>
      <c r="K2" s="30" t="s">
        <v>229</v>
      </c>
    </row>
    <row r="3" spans="1:11" x14ac:dyDescent="0.2">
      <c r="A3" s="27">
        <v>1</v>
      </c>
      <c r="B3" s="27">
        <f t="shared" ref="B3:B66" ca="1" si="0">IF(C3="Bomb",_xlfn.NORM.INV(RAND(),0.7,0.1),_xlfn.NORM.INV(RAND(),0.6,0.15))</f>
        <v>0.76290306464696855</v>
      </c>
      <c r="C3" s="27" t="str">
        <f ca="1">IF(RAND()&lt;0.5,"Bomb","Bird")</f>
        <v>Bird</v>
      </c>
      <c r="E3" s="27" t="s">
        <v>230</v>
      </c>
      <c r="J3" s="28">
        <f ca="1">F7</f>
        <v>1.9455252918287938E-3</v>
      </c>
      <c r="K3" s="28">
        <f ca="1">E7</f>
        <v>1</v>
      </c>
    </row>
    <row r="4" spans="1:11" x14ac:dyDescent="0.2">
      <c r="A4" s="27">
        <v>2</v>
      </c>
      <c r="B4" s="27">
        <f t="shared" ca="1" si="0"/>
        <v>0.71515693717470441</v>
      </c>
      <c r="C4" s="27" t="s">
        <v>227</v>
      </c>
      <c r="E4" s="28">
        <v>0.03</v>
      </c>
      <c r="I4" s="28">
        <v>0.03</v>
      </c>
      <c r="J4" s="29">
        <f t="dataTable" ref="J4:K36" dt2D="0" dtr="0" r1="E4" ca="1"/>
        <v>0</v>
      </c>
      <c r="K4" s="29">
        <v>1</v>
      </c>
    </row>
    <row r="5" spans="1:11" x14ac:dyDescent="0.2">
      <c r="A5" s="27">
        <v>3</v>
      </c>
      <c r="B5" s="27">
        <f t="shared" ca="1" si="0"/>
        <v>0.46610913532783882</v>
      </c>
      <c r="C5" s="27" t="s">
        <v>226</v>
      </c>
      <c r="I5" s="28">
        <v>0.06</v>
      </c>
      <c r="J5" s="29">
        <v>0</v>
      </c>
      <c r="K5" s="29">
        <v>1</v>
      </c>
    </row>
    <row r="6" spans="1:11" x14ac:dyDescent="0.2">
      <c r="A6" s="27">
        <v>4</v>
      </c>
      <c r="B6" s="27">
        <f t="shared" ca="1" si="0"/>
        <v>0.58037406798391866</v>
      </c>
      <c r="C6" s="27" t="s">
        <v>227</v>
      </c>
      <c r="E6" s="30" t="s">
        <v>229</v>
      </c>
      <c r="F6" s="30" t="s">
        <v>228</v>
      </c>
      <c r="I6" s="28">
        <v>0.09</v>
      </c>
      <c r="J6" s="29">
        <v>0</v>
      </c>
      <c r="K6" s="29">
        <v>1</v>
      </c>
    </row>
    <row r="7" spans="1:11" x14ac:dyDescent="0.2">
      <c r="A7" s="27">
        <v>5</v>
      </c>
      <c r="B7" s="27">
        <f t="shared" ca="1" si="0"/>
        <v>0.64073027018686113</v>
      </c>
      <c r="C7" s="27" t="s">
        <v>227</v>
      </c>
      <c r="E7" s="29">
        <f ca="1">COUNTIFS(B:B,"&gt;" &amp;E4,C:C,"="&amp;"Bomb")/COUNTIFS(C:C,"="&amp;"Bomb")</f>
        <v>1</v>
      </c>
      <c r="F7" s="29">
        <f ca="1">COUNTIFS(B:B,"&lt;" &amp;E4,C:C,"="&amp;"Bird")/COUNTIFS(C:C,"="&amp;"Bird")</f>
        <v>1.9455252918287938E-3</v>
      </c>
      <c r="I7" s="28">
        <v>0.12</v>
      </c>
      <c r="J7" s="29">
        <v>0</v>
      </c>
      <c r="K7" s="29">
        <v>1</v>
      </c>
    </row>
    <row r="8" spans="1:11" x14ac:dyDescent="0.2">
      <c r="A8" s="27">
        <v>6</v>
      </c>
      <c r="B8" s="27">
        <f t="shared" ca="1" si="0"/>
        <v>0.65246754880573643</v>
      </c>
      <c r="C8" s="27" t="s">
        <v>227</v>
      </c>
      <c r="I8" s="28">
        <v>0.15</v>
      </c>
      <c r="J8" s="29">
        <v>0</v>
      </c>
      <c r="K8" s="29">
        <v>1</v>
      </c>
    </row>
    <row r="9" spans="1:11" x14ac:dyDescent="0.2">
      <c r="A9" s="27">
        <v>7</v>
      </c>
      <c r="B9" s="27">
        <f t="shared" ca="1" si="0"/>
        <v>0.71924555288770786</v>
      </c>
      <c r="C9" s="27" t="s">
        <v>227</v>
      </c>
      <c r="I9" s="28">
        <v>0.18</v>
      </c>
      <c r="J9" s="29">
        <v>1.9455252918287938E-3</v>
      </c>
      <c r="K9" s="29">
        <v>1</v>
      </c>
    </row>
    <row r="10" spans="1:11" x14ac:dyDescent="0.2">
      <c r="A10" s="27">
        <v>8</v>
      </c>
      <c r="B10" s="27">
        <f t="shared" ca="1" si="0"/>
        <v>0.52147597990369343</v>
      </c>
      <c r="C10" s="27" t="s">
        <v>226</v>
      </c>
      <c r="I10" s="28">
        <v>0.21</v>
      </c>
      <c r="J10" s="29">
        <v>5.8479532163742687E-3</v>
      </c>
      <c r="K10" s="29">
        <v>1</v>
      </c>
    </row>
    <row r="11" spans="1:11" x14ac:dyDescent="0.2">
      <c r="A11" s="27">
        <v>9</v>
      </c>
      <c r="B11" s="27">
        <f t="shared" ca="1" si="0"/>
        <v>0.22733638965345832</v>
      </c>
      <c r="C11" s="27" t="s">
        <v>226</v>
      </c>
      <c r="I11" s="28">
        <v>0.24</v>
      </c>
      <c r="J11" s="29">
        <v>9.7465886939571145E-3</v>
      </c>
      <c r="K11" s="29">
        <v>1</v>
      </c>
    </row>
    <row r="12" spans="1:11" x14ac:dyDescent="0.2">
      <c r="A12" s="27">
        <v>10</v>
      </c>
      <c r="B12" s="27">
        <f t="shared" ca="1" si="0"/>
        <v>0.82406785315350528</v>
      </c>
      <c r="C12" s="27" t="s">
        <v>226</v>
      </c>
      <c r="I12" s="28">
        <v>0.27</v>
      </c>
      <c r="J12" s="29">
        <v>1.7509727626459144E-2</v>
      </c>
      <c r="K12" s="29">
        <v>1</v>
      </c>
    </row>
    <row r="13" spans="1:11" x14ac:dyDescent="0.2">
      <c r="A13" s="27">
        <v>11</v>
      </c>
      <c r="B13" s="27">
        <f t="shared" ca="1" si="0"/>
        <v>0.77392620000215251</v>
      </c>
      <c r="C13" s="27" t="s">
        <v>226</v>
      </c>
      <c r="I13" s="28">
        <v>0.3</v>
      </c>
      <c r="J13" s="29">
        <v>2.7237354085603113E-2</v>
      </c>
      <c r="K13" s="29">
        <v>1</v>
      </c>
    </row>
    <row r="14" spans="1:11" x14ac:dyDescent="0.2">
      <c r="A14" s="27">
        <v>12</v>
      </c>
      <c r="B14" s="27">
        <f t="shared" ca="1" si="0"/>
        <v>0.91899041661068348</v>
      </c>
      <c r="C14" s="27" t="s">
        <v>226</v>
      </c>
      <c r="I14" s="28">
        <v>0.33</v>
      </c>
      <c r="J14" s="29">
        <v>4.4834307992202727E-2</v>
      </c>
      <c r="K14" s="29">
        <v>1</v>
      </c>
    </row>
    <row r="15" spans="1:11" x14ac:dyDescent="0.2">
      <c r="A15" s="27">
        <v>13</v>
      </c>
      <c r="B15" s="27">
        <f t="shared" ca="1" si="0"/>
        <v>0.70533986475692334</v>
      </c>
      <c r="C15" s="27" t="s">
        <v>227</v>
      </c>
      <c r="I15" s="28">
        <v>0.36</v>
      </c>
      <c r="J15" s="29">
        <v>5.2631578947368418E-2</v>
      </c>
      <c r="K15" s="29">
        <v>1</v>
      </c>
    </row>
    <row r="16" spans="1:11" x14ac:dyDescent="0.2">
      <c r="A16" s="27">
        <v>14</v>
      </c>
      <c r="B16" s="27">
        <f t="shared" ca="1" si="0"/>
        <v>0.70711447593877619</v>
      </c>
      <c r="C16" s="27" t="s">
        <v>227</v>
      </c>
      <c r="I16" s="28">
        <v>0.39</v>
      </c>
      <c r="J16" s="29">
        <v>0.10721247563352826</v>
      </c>
      <c r="K16" s="29">
        <v>0.99794661190965095</v>
      </c>
    </row>
    <row r="17" spans="1:11" x14ac:dyDescent="0.2">
      <c r="A17" s="27">
        <v>15</v>
      </c>
      <c r="B17" s="27">
        <f t="shared" ca="1" si="0"/>
        <v>0.75316335416891111</v>
      </c>
      <c r="C17" s="27" t="s">
        <v>227</v>
      </c>
      <c r="I17" s="28">
        <v>0.42</v>
      </c>
      <c r="J17" s="29">
        <v>0.12062256809338522</v>
      </c>
      <c r="K17" s="29">
        <v>0.99588477366255146</v>
      </c>
    </row>
    <row r="18" spans="1:11" x14ac:dyDescent="0.2">
      <c r="A18" s="27">
        <v>16</v>
      </c>
      <c r="B18" s="27">
        <f t="shared" ca="1" si="0"/>
        <v>0.64722061358520899</v>
      </c>
      <c r="C18" s="27" t="s">
        <v>226</v>
      </c>
      <c r="I18" s="28">
        <v>0.45</v>
      </c>
      <c r="J18" s="29">
        <v>0.14814814814814814</v>
      </c>
      <c r="K18" s="29">
        <v>0.99383983572895274</v>
      </c>
    </row>
    <row r="19" spans="1:11" x14ac:dyDescent="0.2">
      <c r="A19" s="27">
        <v>17</v>
      </c>
      <c r="B19" s="27">
        <f t="shared" ca="1" si="0"/>
        <v>0.56526628328773532</v>
      </c>
      <c r="C19" s="27" t="s">
        <v>227</v>
      </c>
      <c r="I19" s="28">
        <v>0.48</v>
      </c>
      <c r="J19" s="29">
        <v>0.19649805447470817</v>
      </c>
      <c r="K19" s="29">
        <v>0.98765432098765427</v>
      </c>
    </row>
    <row r="20" spans="1:11" x14ac:dyDescent="0.2">
      <c r="A20" s="27">
        <v>18</v>
      </c>
      <c r="B20" s="27">
        <f t="shared" ca="1" si="0"/>
        <v>0.38454546552426261</v>
      </c>
      <c r="C20" s="27" t="s">
        <v>226</v>
      </c>
      <c r="I20" s="28">
        <v>0.51</v>
      </c>
      <c r="J20" s="29">
        <v>0.28015564202334631</v>
      </c>
      <c r="K20" s="29">
        <v>0.97942386831275718</v>
      </c>
    </row>
    <row r="21" spans="1:11" x14ac:dyDescent="0.2">
      <c r="A21" s="27">
        <v>19</v>
      </c>
      <c r="B21" s="27">
        <f t="shared" ca="1" si="0"/>
        <v>0.73553215181512943</v>
      </c>
      <c r="C21" s="27" t="s">
        <v>227</v>
      </c>
      <c r="I21" s="28">
        <v>0.54</v>
      </c>
      <c r="J21" s="29">
        <v>0.35282651072124754</v>
      </c>
      <c r="K21" s="29">
        <v>0.97125256673511295</v>
      </c>
    </row>
    <row r="22" spans="1:11" x14ac:dyDescent="0.2">
      <c r="A22" s="27">
        <v>20</v>
      </c>
      <c r="B22" s="27">
        <f t="shared" ca="1" si="0"/>
        <v>0.57683961406095896</v>
      </c>
      <c r="C22" s="27" t="s">
        <v>227</v>
      </c>
      <c r="I22" s="28">
        <v>0.56999999999999995</v>
      </c>
      <c r="J22" s="29">
        <v>0.43274853801169588</v>
      </c>
      <c r="K22" s="29">
        <v>0.90965092402464065</v>
      </c>
    </row>
    <row r="23" spans="1:11" x14ac:dyDescent="0.2">
      <c r="A23" s="27">
        <v>21</v>
      </c>
      <c r="B23" s="27">
        <f t="shared" ca="1" si="0"/>
        <v>0.75444120722743302</v>
      </c>
      <c r="C23" s="27" t="s">
        <v>227</v>
      </c>
      <c r="I23" s="28">
        <v>0.6</v>
      </c>
      <c r="J23" s="29">
        <v>0.48054474708171208</v>
      </c>
      <c r="K23" s="29">
        <v>0.85390946502057619</v>
      </c>
    </row>
    <row r="24" spans="1:11" x14ac:dyDescent="0.2">
      <c r="A24" s="27">
        <v>22</v>
      </c>
      <c r="B24" s="27">
        <f t="shared" ca="1" si="0"/>
        <v>0.5368415756620365</v>
      </c>
      <c r="C24" s="27" t="s">
        <v>226</v>
      </c>
      <c r="I24" s="28">
        <v>0.63</v>
      </c>
      <c r="J24" s="29">
        <v>0.54191033138401556</v>
      </c>
      <c r="K24" s="29">
        <v>0.78028747433264889</v>
      </c>
    </row>
    <row r="25" spans="1:11" x14ac:dyDescent="0.2">
      <c r="A25" s="27">
        <v>23</v>
      </c>
      <c r="B25" s="27">
        <f t="shared" ca="1" si="0"/>
        <v>0.76132321249923107</v>
      </c>
      <c r="C25" s="27" t="s">
        <v>227</v>
      </c>
      <c r="I25" s="28">
        <v>0.66</v>
      </c>
      <c r="J25" s="29">
        <v>0.65886939571150094</v>
      </c>
      <c r="K25" s="29">
        <v>0.66735112936344965</v>
      </c>
    </row>
    <row r="26" spans="1:11" x14ac:dyDescent="0.2">
      <c r="A26" s="27">
        <v>24</v>
      </c>
      <c r="B26" s="27">
        <f t="shared" ca="1" si="0"/>
        <v>0.84079818246330573</v>
      </c>
      <c r="C26" s="27" t="s">
        <v>227</v>
      </c>
      <c r="I26" s="28">
        <v>0.69</v>
      </c>
      <c r="J26" s="29">
        <v>0.71789883268482491</v>
      </c>
      <c r="K26" s="29">
        <v>0.56995884773662553</v>
      </c>
    </row>
    <row r="27" spans="1:11" x14ac:dyDescent="0.2">
      <c r="A27" s="27">
        <v>25</v>
      </c>
      <c r="B27" s="27">
        <f t="shared" ca="1" si="0"/>
        <v>0.67204699927838207</v>
      </c>
      <c r="C27" s="27" t="s">
        <v>227</v>
      </c>
      <c r="I27" s="28">
        <v>0.72</v>
      </c>
      <c r="J27" s="29">
        <v>0.82846003898635479</v>
      </c>
      <c r="K27" s="29">
        <v>0.40657084188911702</v>
      </c>
    </row>
    <row r="28" spans="1:11" x14ac:dyDescent="0.2">
      <c r="A28" s="27">
        <v>26</v>
      </c>
      <c r="B28" s="27">
        <f t="shared" ca="1" si="0"/>
        <v>0.5943382818854166</v>
      </c>
      <c r="C28" s="27" t="s">
        <v>227</v>
      </c>
      <c r="I28" s="28">
        <v>0.75</v>
      </c>
      <c r="J28" s="29">
        <v>0.83852140077821014</v>
      </c>
      <c r="K28" s="29">
        <v>0.30864197530864196</v>
      </c>
    </row>
    <row r="29" spans="1:11" x14ac:dyDescent="0.2">
      <c r="A29" s="27">
        <v>27</v>
      </c>
      <c r="B29" s="27">
        <f t="shared" ca="1" si="0"/>
        <v>0.49901121365525197</v>
      </c>
      <c r="C29" s="27" t="s">
        <v>226</v>
      </c>
      <c r="I29" s="28">
        <v>0.78</v>
      </c>
      <c r="J29" s="29">
        <v>0.87329434697855746</v>
      </c>
      <c r="K29" s="29">
        <v>0.20944558521560575</v>
      </c>
    </row>
    <row r="30" spans="1:11" x14ac:dyDescent="0.2">
      <c r="A30" s="27">
        <v>28</v>
      </c>
      <c r="B30" s="27">
        <f t="shared" ca="1" si="0"/>
        <v>0.77144173575435637</v>
      </c>
      <c r="C30" s="27" t="s">
        <v>227</v>
      </c>
      <c r="I30" s="28">
        <v>0.81</v>
      </c>
      <c r="J30" s="29">
        <v>0.91245136186770426</v>
      </c>
      <c r="K30" s="29">
        <v>0.12551440329218108</v>
      </c>
    </row>
    <row r="31" spans="1:11" x14ac:dyDescent="0.2">
      <c r="A31" s="27">
        <v>29</v>
      </c>
      <c r="B31" s="27">
        <f t="shared" ca="1" si="0"/>
        <v>0.34527866465874285</v>
      </c>
      <c r="C31" s="27" t="s">
        <v>226</v>
      </c>
      <c r="I31" s="28">
        <v>0.84</v>
      </c>
      <c r="J31" s="29">
        <v>0.92982456140350878</v>
      </c>
      <c r="K31" s="29">
        <v>6.9815195071868577E-2</v>
      </c>
    </row>
    <row r="32" spans="1:11" x14ac:dyDescent="0.2">
      <c r="A32" s="27">
        <v>30</v>
      </c>
      <c r="B32" s="27">
        <f t="shared" ca="1" si="0"/>
        <v>0.89090585655824039</v>
      </c>
      <c r="C32" s="27" t="s">
        <v>227</v>
      </c>
      <c r="I32" s="28">
        <v>0.87</v>
      </c>
      <c r="J32" s="29">
        <v>0.94346978557504868</v>
      </c>
      <c r="K32" s="29">
        <v>4.9281314168377825E-2</v>
      </c>
    </row>
    <row r="33" spans="1:11" x14ac:dyDescent="0.2">
      <c r="A33" s="27">
        <v>31</v>
      </c>
      <c r="B33" s="27">
        <f t="shared" ca="1" si="0"/>
        <v>0.69730376673557148</v>
      </c>
      <c r="C33" s="27" t="s">
        <v>227</v>
      </c>
      <c r="I33" s="28">
        <v>0.9</v>
      </c>
      <c r="J33" s="29">
        <v>0.97859922178988323</v>
      </c>
      <c r="K33" s="29">
        <v>2.6748971193415638E-2</v>
      </c>
    </row>
    <row r="34" spans="1:11" x14ac:dyDescent="0.2">
      <c r="A34" s="27">
        <v>32</v>
      </c>
      <c r="B34" s="27">
        <f t="shared" ca="1" si="0"/>
        <v>0.59752158153937984</v>
      </c>
      <c r="C34" s="27" t="s">
        <v>226</v>
      </c>
      <c r="I34" s="28">
        <v>0.93</v>
      </c>
      <c r="J34" s="29">
        <v>0.98638132295719849</v>
      </c>
      <c r="K34" s="29">
        <v>8.23045267489712E-3</v>
      </c>
    </row>
    <row r="35" spans="1:11" x14ac:dyDescent="0.2">
      <c r="A35" s="27">
        <v>33</v>
      </c>
      <c r="B35" s="27">
        <f t="shared" ca="1" si="0"/>
        <v>0.57938096362802194</v>
      </c>
      <c r="C35" s="27" t="s">
        <v>226</v>
      </c>
      <c r="I35" s="28">
        <v>0.96</v>
      </c>
      <c r="J35" s="29">
        <v>0.99220272904483431</v>
      </c>
      <c r="K35" s="29">
        <v>2.0533880903490761E-3</v>
      </c>
    </row>
    <row r="36" spans="1:11" x14ac:dyDescent="0.2">
      <c r="A36" s="27">
        <v>34</v>
      </c>
      <c r="B36" s="27">
        <f t="shared" ca="1" si="0"/>
        <v>0.70667768464846503</v>
      </c>
      <c r="C36" s="27" t="s">
        <v>226</v>
      </c>
      <c r="I36" s="28">
        <v>0.99</v>
      </c>
      <c r="J36" s="29">
        <v>0.99610136452241715</v>
      </c>
      <c r="K36" s="29">
        <v>0</v>
      </c>
    </row>
    <row r="37" spans="1:11" x14ac:dyDescent="0.2">
      <c r="A37" s="27">
        <v>35</v>
      </c>
      <c r="B37" s="27">
        <f t="shared" ca="1" si="0"/>
        <v>0.67652577668669767</v>
      </c>
      <c r="C37" s="27" t="s">
        <v>227</v>
      </c>
      <c r="I37" s="28"/>
    </row>
    <row r="38" spans="1:11" x14ac:dyDescent="0.2">
      <c r="A38" s="27">
        <v>36</v>
      </c>
      <c r="B38" s="27">
        <f t="shared" ca="1" si="0"/>
        <v>0.77064280206847702</v>
      </c>
      <c r="C38" s="27" t="s">
        <v>226</v>
      </c>
    </row>
    <row r="39" spans="1:11" x14ac:dyDescent="0.2">
      <c r="A39" s="27">
        <v>37</v>
      </c>
      <c r="B39" s="27">
        <f t="shared" ca="1" si="0"/>
        <v>0.63346853018353499</v>
      </c>
      <c r="C39" s="27" t="s">
        <v>226</v>
      </c>
    </row>
    <row r="40" spans="1:11" x14ac:dyDescent="0.2">
      <c r="A40" s="27">
        <v>38</v>
      </c>
      <c r="B40" s="27">
        <f t="shared" ca="1" si="0"/>
        <v>0.7161638203488383</v>
      </c>
      <c r="C40" s="27" t="s">
        <v>227</v>
      </c>
    </row>
    <row r="41" spans="1:11" x14ac:dyDescent="0.2">
      <c r="A41" s="27">
        <v>39</v>
      </c>
      <c r="B41" s="27">
        <f t="shared" ca="1" si="0"/>
        <v>0.57824115288187816</v>
      </c>
      <c r="C41" s="27" t="s">
        <v>226</v>
      </c>
    </row>
    <row r="42" spans="1:11" x14ac:dyDescent="0.2">
      <c r="A42" s="27">
        <v>40</v>
      </c>
      <c r="B42" s="27">
        <f t="shared" ca="1" si="0"/>
        <v>0.81201144297037176</v>
      </c>
      <c r="C42" s="27" t="s">
        <v>227</v>
      </c>
    </row>
    <row r="43" spans="1:11" x14ac:dyDescent="0.2">
      <c r="A43" s="27">
        <v>41</v>
      </c>
      <c r="B43" s="27">
        <f t="shared" ca="1" si="0"/>
        <v>0.62884810519637813</v>
      </c>
      <c r="C43" s="27" t="s">
        <v>226</v>
      </c>
    </row>
    <row r="44" spans="1:11" x14ac:dyDescent="0.2">
      <c r="A44" s="27">
        <v>42</v>
      </c>
      <c r="B44" s="27">
        <f t="shared" ca="1" si="0"/>
        <v>0.45969025255858276</v>
      </c>
      <c r="C44" s="27" t="s">
        <v>226</v>
      </c>
    </row>
    <row r="45" spans="1:11" x14ac:dyDescent="0.2">
      <c r="A45" s="27">
        <v>43</v>
      </c>
      <c r="B45" s="27">
        <f t="shared" ca="1" si="0"/>
        <v>0.63582474416271628</v>
      </c>
      <c r="C45" s="27" t="s">
        <v>226</v>
      </c>
    </row>
    <row r="46" spans="1:11" x14ac:dyDescent="0.2">
      <c r="A46" s="27">
        <v>44</v>
      </c>
      <c r="B46" s="27">
        <f t="shared" ca="1" si="0"/>
        <v>0.61999838741973257</v>
      </c>
      <c r="C46" s="27" t="s">
        <v>226</v>
      </c>
    </row>
    <row r="47" spans="1:11" x14ac:dyDescent="0.2">
      <c r="A47" s="27">
        <v>45</v>
      </c>
      <c r="B47" s="27">
        <f t="shared" ca="1" si="0"/>
        <v>0.67261376566542319</v>
      </c>
      <c r="C47" s="27" t="s">
        <v>226</v>
      </c>
    </row>
    <row r="48" spans="1:11" x14ac:dyDescent="0.2">
      <c r="A48" s="27">
        <v>46</v>
      </c>
      <c r="B48" s="27">
        <f t="shared" ca="1" si="0"/>
        <v>0.73925603895417547</v>
      </c>
      <c r="C48" s="27" t="s">
        <v>227</v>
      </c>
    </row>
    <row r="49" spans="1:3" x14ac:dyDescent="0.2">
      <c r="A49" s="27">
        <v>47</v>
      </c>
      <c r="B49" s="27">
        <f t="shared" ca="1" si="0"/>
        <v>0.77836586024918786</v>
      </c>
      <c r="C49" s="27" t="s">
        <v>227</v>
      </c>
    </row>
    <row r="50" spans="1:3" x14ac:dyDescent="0.2">
      <c r="A50" s="27">
        <v>48</v>
      </c>
      <c r="B50" s="27">
        <f t="shared" ca="1" si="0"/>
        <v>0.48567120304307787</v>
      </c>
      <c r="C50" s="27" t="s">
        <v>226</v>
      </c>
    </row>
    <row r="51" spans="1:3" x14ac:dyDescent="0.2">
      <c r="A51" s="27">
        <v>49</v>
      </c>
      <c r="B51" s="27">
        <f t="shared" ca="1" si="0"/>
        <v>0.748120679353795</v>
      </c>
      <c r="C51" s="27" t="s">
        <v>227</v>
      </c>
    </row>
    <row r="52" spans="1:3" x14ac:dyDescent="0.2">
      <c r="A52" s="27">
        <v>50</v>
      </c>
      <c r="B52" s="27">
        <f t="shared" ca="1" si="0"/>
        <v>0.88114551891679649</v>
      </c>
      <c r="C52" s="27" t="s">
        <v>227</v>
      </c>
    </row>
    <row r="53" spans="1:3" x14ac:dyDescent="0.2">
      <c r="A53" s="27">
        <v>51</v>
      </c>
      <c r="B53" s="27">
        <f t="shared" ca="1" si="0"/>
        <v>0.59176255551130441</v>
      </c>
      <c r="C53" s="27" t="s">
        <v>227</v>
      </c>
    </row>
    <row r="54" spans="1:3" x14ac:dyDescent="0.2">
      <c r="A54" s="27">
        <v>52</v>
      </c>
      <c r="B54" s="27">
        <f t="shared" ca="1" si="0"/>
        <v>0.53174536090125413</v>
      </c>
      <c r="C54" s="27" t="s">
        <v>226</v>
      </c>
    </row>
    <row r="55" spans="1:3" x14ac:dyDescent="0.2">
      <c r="A55" s="27">
        <v>53</v>
      </c>
      <c r="B55" s="27">
        <f t="shared" ca="1" si="0"/>
        <v>0.59061986345112072</v>
      </c>
      <c r="C55" s="27" t="s">
        <v>226</v>
      </c>
    </row>
    <row r="56" spans="1:3" x14ac:dyDescent="0.2">
      <c r="A56" s="27">
        <v>54</v>
      </c>
      <c r="B56" s="27">
        <f t="shared" ca="1" si="0"/>
        <v>0.61017443016852335</v>
      </c>
      <c r="C56" s="27" t="s">
        <v>227</v>
      </c>
    </row>
    <row r="57" spans="1:3" x14ac:dyDescent="0.2">
      <c r="A57" s="27">
        <v>55</v>
      </c>
      <c r="B57" s="27">
        <f t="shared" ca="1" si="0"/>
        <v>0.75080967187079584</v>
      </c>
      <c r="C57" s="27" t="s">
        <v>227</v>
      </c>
    </row>
    <row r="58" spans="1:3" x14ac:dyDescent="0.2">
      <c r="A58" s="27">
        <v>56</v>
      </c>
      <c r="B58" s="27">
        <f t="shared" ca="1" si="0"/>
        <v>0.60175454007144635</v>
      </c>
      <c r="C58" s="27" t="s">
        <v>227</v>
      </c>
    </row>
    <row r="59" spans="1:3" x14ac:dyDescent="0.2">
      <c r="A59" s="27">
        <v>57</v>
      </c>
      <c r="B59" s="27">
        <f t="shared" ca="1" si="0"/>
        <v>0.62714861509596587</v>
      </c>
      <c r="C59" s="27" t="s">
        <v>226</v>
      </c>
    </row>
    <row r="60" spans="1:3" x14ac:dyDescent="0.2">
      <c r="A60" s="27">
        <v>58</v>
      </c>
      <c r="B60" s="27">
        <f t="shared" ca="1" si="0"/>
        <v>0.82510740550438855</v>
      </c>
      <c r="C60" s="27" t="s">
        <v>227</v>
      </c>
    </row>
    <row r="61" spans="1:3" x14ac:dyDescent="0.2">
      <c r="A61" s="27">
        <v>59</v>
      </c>
      <c r="B61" s="27">
        <f t="shared" ca="1" si="0"/>
        <v>0.7290179436301758</v>
      </c>
      <c r="C61" s="27" t="s">
        <v>227</v>
      </c>
    </row>
    <row r="62" spans="1:3" x14ac:dyDescent="0.2">
      <c r="A62" s="27">
        <v>60</v>
      </c>
      <c r="B62" s="27">
        <f t="shared" ca="1" si="0"/>
        <v>0.67743811530123244</v>
      </c>
      <c r="C62" s="27" t="s">
        <v>226</v>
      </c>
    </row>
    <row r="63" spans="1:3" x14ac:dyDescent="0.2">
      <c r="A63" s="27">
        <v>61</v>
      </c>
      <c r="B63" s="27">
        <f t="shared" ca="1" si="0"/>
        <v>0.53341305903659064</v>
      </c>
      <c r="C63" s="27" t="s">
        <v>226</v>
      </c>
    </row>
    <row r="64" spans="1:3" x14ac:dyDescent="0.2">
      <c r="A64" s="27">
        <v>62</v>
      </c>
      <c r="B64" s="27">
        <f t="shared" ca="1" si="0"/>
        <v>0.80300705858395838</v>
      </c>
      <c r="C64" s="27" t="s">
        <v>226</v>
      </c>
    </row>
    <row r="65" spans="1:3" x14ac:dyDescent="0.2">
      <c r="A65" s="27">
        <v>63</v>
      </c>
      <c r="B65" s="27">
        <f t="shared" ca="1" si="0"/>
        <v>0.54079873318676885</v>
      </c>
      <c r="C65" s="27" t="s">
        <v>227</v>
      </c>
    </row>
    <row r="66" spans="1:3" x14ac:dyDescent="0.2">
      <c r="A66" s="27">
        <v>64</v>
      </c>
      <c r="B66" s="27">
        <f t="shared" ca="1" si="0"/>
        <v>0.69467167865439028</v>
      </c>
      <c r="C66" s="27" t="s">
        <v>227</v>
      </c>
    </row>
    <row r="67" spans="1:3" x14ac:dyDescent="0.2">
      <c r="A67" s="27">
        <v>65</v>
      </c>
      <c r="B67" s="27">
        <f t="shared" ref="B67:B130" ca="1" si="1">IF(C67="Bomb",_xlfn.NORM.INV(RAND(),0.7,0.1),_xlfn.NORM.INV(RAND(),0.6,0.15))</f>
        <v>0.66988415799545575</v>
      </c>
      <c r="C67" s="27" t="s">
        <v>227</v>
      </c>
    </row>
    <row r="68" spans="1:3" x14ac:dyDescent="0.2">
      <c r="A68" s="27">
        <v>66</v>
      </c>
      <c r="B68" s="27">
        <f t="shared" ca="1" si="1"/>
        <v>0.60896937324741962</v>
      </c>
      <c r="C68" s="27" t="s">
        <v>227</v>
      </c>
    </row>
    <row r="69" spans="1:3" x14ac:dyDescent="0.2">
      <c r="A69" s="27">
        <v>67</v>
      </c>
      <c r="B69" s="27">
        <f t="shared" ca="1" si="1"/>
        <v>0.68386736228318801</v>
      </c>
      <c r="C69" s="27" t="s">
        <v>227</v>
      </c>
    </row>
    <row r="70" spans="1:3" x14ac:dyDescent="0.2">
      <c r="A70" s="27">
        <v>68</v>
      </c>
      <c r="B70" s="27">
        <f t="shared" ca="1" si="1"/>
        <v>0.66324313851750649</v>
      </c>
      <c r="C70" s="27" t="s">
        <v>226</v>
      </c>
    </row>
    <row r="71" spans="1:3" x14ac:dyDescent="0.2">
      <c r="A71" s="27">
        <v>69</v>
      </c>
      <c r="B71" s="27">
        <f t="shared" ca="1" si="1"/>
        <v>0.7228403284369852</v>
      </c>
      <c r="C71" s="27" t="s">
        <v>226</v>
      </c>
    </row>
    <row r="72" spans="1:3" x14ac:dyDescent="0.2">
      <c r="A72" s="27">
        <v>70</v>
      </c>
      <c r="B72" s="27">
        <f t="shared" ca="1" si="1"/>
        <v>0.68761051053289179</v>
      </c>
      <c r="C72" s="27" t="s">
        <v>226</v>
      </c>
    </row>
    <row r="73" spans="1:3" x14ac:dyDescent="0.2">
      <c r="A73" s="27">
        <v>71</v>
      </c>
      <c r="B73" s="27">
        <f t="shared" ca="1" si="1"/>
        <v>0.6169886604552175</v>
      </c>
      <c r="C73" s="27" t="s">
        <v>226</v>
      </c>
    </row>
    <row r="74" spans="1:3" x14ac:dyDescent="0.2">
      <c r="A74" s="27">
        <v>72</v>
      </c>
      <c r="B74" s="27">
        <f t="shared" ca="1" si="1"/>
        <v>0.29790215566898459</v>
      </c>
      <c r="C74" s="27" t="s">
        <v>226</v>
      </c>
    </row>
    <row r="75" spans="1:3" x14ac:dyDescent="0.2">
      <c r="A75" s="27">
        <v>73</v>
      </c>
      <c r="B75" s="27">
        <f t="shared" ca="1" si="1"/>
        <v>0.62132493141260481</v>
      </c>
      <c r="C75" s="27" t="s">
        <v>227</v>
      </c>
    </row>
    <row r="76" spans="1:3" x14ac:dyDescent="0.2">
      <c r="A76" s="27">
        <v>74</v>
      </c>
      <c r="B76" s="27">
        <f t="shared" ca="1" si="1"/>
        <v>0.80036416063938554</v>
      </c>
      <c r="C76" s="27" t="s">
        <v>227</v>
      </c>
    </row>
    <row r="77" spans="1:3" x14ac:dyDescent="0.2">
      <c r="A77" s="27">
        <v>75</v>
      </c>
      <c r="B77" s="27">
        <f t="shared" ca="1" si="1"/>
        <v>0.72911497242247769</v>
      </c>
      <c r="C77" s="27" t="s">
        <v>227</v>
      </c>
    </row>
    <row r="78" spans="1:3" x14ac:dyDescent="0.2">
      <c r="A78" s="27">
        <v>76</v>
      </c>
      <c r="B78" s="27">
        <f t="shared" ca="1" si="1"/>
        <v>0.67414580910148802</v>
      </c>
      <c r="C78" s="27" t="s">
        <v>227</v>
      </c>
    </row>
    <row r="79" spans="1:3" x14ac:dyDescent="0.2">
      <c r="A79" s="27">
        <v>77</v>
      </c>
      <c r="B79" s="27">
        <f t="shared" ca="1" si="1"/>
        <v>0.64102983529556579</v>
      </c>
      <c r="C79" s="27" t="s">
        <v>226</v>
      </c>
    </row>
    <row r="80" spans="1:3" x14ac:dyDescent="0.2">
      <c r="A80" s="27">
        <v>78</v>
      </c>
      <c r="B80" s="27">
        <f t="shared" ca="1" si="1"/>
        <v>0.6133654619705895</v>
      </c>
      <c r="C80" s="27" t="s">
        <v>227</v>
      </c>
    </row>
    <row r="81" spans="1:3" x14ac:dyDescent="0.2">
      <c r="A81" s="27">
        <v>79</v>
      </c>
      <c r="B81" s="27">
        <f t="shared" ca="1" si="1"/>
        <v>0.48727706878010235</v>
      </c>
      <c r="C81" s="27" t="s">
        <v>226</v>
      </c>
    </row>
    <row r="82" spans="1:3" x14ac:dyDescent="0.2">
      <c r="A82" s="27">
        <v>80</v>
      </c>
      <c r="B82" s="27">
        <f t="shared" ca="1" si="1"/>
        <v>0.69467762142326506</v>
      </c>
      <c r="C82" s="27" t="s">
        <v>227</v>
      </c>
    </row>
    <row r="83" spans="1:3" x14ac:dyDescent="0.2">
      <c r="A83" s="27">
        <v>81</v>
      </c>
      <c r="B83" s="27">
        <f t="shared" ca="1" si="1"/>
        <v>0.79492046502309499</v>
      </c>
      <c r="C83" s="27" t="s">
        <v>227</v>
      </c>
    </row>
    <row r="84" spans="1:3" x14ac:dyDescent="0.2">
      <c r="A84" s="27">
        <v>82</v>
      </c>
      <c r="B84" s="27">
        <f t="shared" ca="1" si="1"/>
        <v>0.69835516944537124</v>
      </c>
      <c r="C84" s="27" t="s">
        <v>226</v>
      </c>
    </row>
    <row r="85" spans="1:3" x14ac:dyDescent="0.2">
      <c r="A85" s="27">
        <v>83</v>
      </c>
      <c r="B85" s="27">
        <f t="shared" ca="1" si="1"/>
        <v>0.70062147837690103</v>
      </c>
      <c r="C85" s="27" t="s">
        <v>227</v>
      </c>
    </row>
    <row r="86" spans="1:3" x14ac:dyDescent="0.2">
      <c r="A86" s="27">
        <v>84</v>
      </c>
      <c r="B86" s="27">
        <f t="shared" ca="1" si="1"/>
        <v>0.64130961574991541</v>
      </c>
      <c r="C86" s="27" t="s">
        <v>227</v>
      </c>
    </row>
    <row r="87" spans="1:3" x14ac:dyDescent="0.2">
      <c r="A87" s="27">
        <v>85</v>
      </c>
      <c r="B87" s="27">
        <f t="shared" ca="1" si="1"/>
        <v>0.43199111584648953</v>
      </c>
      <c r="C87" s="27" t="s">
        <v>226</v>
      </c>
    </row>
    <row r="88" spans="1:3" x14ac:dyDescent="0.2">
      <c r="A88" s="27">
        <v>86</v>
      </c>
      <c r="B88" s="27">
        <f t="shared" ca="1" si="1"/>
        <v>0.47537225788703763</v>
      </c>
      <c r="C88" s="27" t="s">
        <v>226</v>
      </c>
    </row>
    <row r="89" spans="1:3" x14ac:dyDescent="0.2">
      <c r="A89" s="27">
        <v>87</v>
      </c>
      <c r="B89" s="27">
        <f t="shared" ca="1" si="1"/>
        <v>0.65991999041365146</v>
      </c>
      <c r="C89" s="27" t="s">
        <v>226</v>
      </c>
    </row>
    <row r="90" spans="1:3" x14ac:dyDescent="0.2">
      <c r="A90" s="27">
        <v>88</v>
      </c>
      <c r="B90" s="27">
        <f t="shared" ca="1" si="1"/>
        <v>0.6745306911632295</v>
      </c>
      <c r="C90" s="27" t="s">
        <v>226</v>
      </c>
    </row>
    <row r="91" spans="1:3" x14ac:dyDescent="0.2">
      <c r="A91" s="27">
        <v>89</v>
      </c>
      <c r="B91" s="27">
        <f t="shared" ca="1" si="1"/>
        <v>0.65742904123946477</v>
      </c>
      <c r="C91" s="27" t="s">
        <v>226</v>
      </c>
    </row>
    <row r="92" spans="1:3" x14ac:dyDescent="0.2">
      <c r="A92" s="27">
        <v>90</v>
      </c>
      <c r="B92" s="27">
        <f t="shared" ca="1" si="1"/>
        <v>0.59860478404194661</v>
      </c>
      <c r="C92" s="27" t="s">
        <v>227</v>
      </c>
    </row>
    <row r="93" spans="1:3" x14ac:dyDescent="0.2">
      <c r="A93" s="27">
        <v>91</v>
      </c>
      <c r="B93" s="27">
        <f t="shared" ca="1" si="1"/>
        <v>0.64693715670014595</v>
      </c>
      <c r="C93" s="27" t="s">
        <v>227</v>
      </c>
    </row>
    <row r="94" spans="1:3" x14ac:dyDescent="0.2">
      <c r="A94" s="27">
        <v>92</v>
      </c>
      <c r="B94" s="27">
        <f t="shared" ca="1" si="1"/>
        <v>0.60334610119631704</v>
      </c>
      <c r="C94" s="27" t="s">
        <v>226</v>
      </c>
    </row>
    <row r="95" spans="1:3" x14ac:dyDescent="0.2">
      <c r="A95" s="27">
        <v>93</v>
      </c>
      <c r="B95" s="27">
        <f t="shared" ca="1" si="1"/>
        <v>0.70413606031498921</v>
      </c>
      <c r="C95" s="27" t="s">
        <v>227</v>
      </c>
    </row>
    <row r="96" spans="1:3" x14ac:dyDescent="0.2">
      <c r="A96" s="27">
        <v>94</v>
      </c>
      <c r="B96" s="27">
        <f t="shared" ca="1" si="1"/>
        <v>0.70377757959662801</v>
      </c>
      <c r="C96" s="27" t="s">
        <v>227</v>
      </c>
    </row>
    <row r="97" spans="1:3" x14ac:dyDescent="0.2">
      <c r="A97" s="27">
        <v>95</v>
      </c>
      <c r="B97" s="27">
        <f t="shared" ca="1" si="1"/>
        <v>0.4508710903983042</v>
      </c>
      <c r="C97" s="27" t="s">
        <v>226</v>
      </c>
    </row>
    <row r="98" spans="1:3" x14ac:dyDescent="0.2">
      <c r="A98" s="27">
        <v>96</v>
      </c>
      <c r="B98" s="27">
        <f t="shared" ca="1" si="1"/>
        <v>0.570371975209093</v>
      </c>
      <c r="C98" s="27" t="s">
        <v>226</v>
      </c>
    </row>
    <row r="99" spans="1:3" x14ac:dyDescent="0.2">
      <c r="A99" s="27">
        <v>97</v>
      </c>
      <c r="B99" s="27">
        <f t="shared" ca="1" si="1"/>
        <v>0.74902205131433397</v>
      </c>
      <c r="C99" s="27" t="s">
        <v>227</v>
      </c>
    </row>
    <row r="100" spans="1:3" x14ac:dyDescent="0.2">
      <c r="A100" s="27">
        <v>98</v>
      </c>
      <c r="B100" s="27">
        <f t="shared" ca="1" si="1"/>
        <v>0.6519057070243397</v>
      </c>
      <c r="C100" s="27" t="s">
        <v>227</v>
      </c>
    </row>
    <row r="101" spans="1:3" x14ac:dyDescent="0.2">
      <c r="A101" s="27">
        <v>99</v>
      </c>
      <c r="B101" s="27">
        <f t="shared" ca="1" si="1"/>
        <v>0.71731856572314934</v>
      </c>
      <c r="C101" s="27" t="s">
        <v>227</v>
      </c>
    </row>
    <row r="102" spans="1:3" x14ac:dyDescent="0.2">
      <c r="A102" s="27">
        <v>100</v>
      </c>
      <c r="B102" s="27">
        <f t="shared" ca="1" si="1"/>
        <v>0.61718228856695923</v>
      </c>
      <c r="C102" s="27" t="s">
        <v>226</v>
      </c>
    </row>
    <row r="103" spans="1:3" x14ac:dyDescent="0.2">
      <c r="A103" s="27">
        <v>101</v>
      </c>
      <c r="B103" s="27">
        <f t="shared" ca="1" si="1"/>
        <v>0.7281772894500399</v>
      </c>
      <c r="C103" s="27" t="s">
        <v>227</v>
      </c>
    </row>
    <row r="104" spans="1:3" x14ac:dyDescent="0.2">
      <c r="A104" s="27">
        <v>102</v>
      </c>
      <c r="B104" s="27">
        <f t="shared" ca="1" si="1"/>
        <v>0.76144830460113067</v>
      </c>
      <c r="C104" s="27" t="s">
        <v>226</v>
      </c>
    </row>
    <row r="105" spans="1:3" x14ac:dyDescent="0.2">
      <c r="A105" s="27">
        <v>103</v>
      </c>
      <c r="B105" s="27">
        <f t="shared" ca="1" si="1"/>
        <v>0.92064408018621302</v>
      </c>
      <c r="C105" s="27" t="s">
        <v>226</v>
      </c>
    </row>
    <row r="106" spans="1:3" x14ac:dyDescent="0.2">
      <c r="A106" s="27">
        <v>104</v>
      </c>
      <c r="B106" s="27">
        <f t="shared" ca="1" si="1"/>
        <v>0.60784821408715095</v>
      </c>
      <c r="C106" s="27" t="s">
        <v>226</v>
      </c>
    </row>
    <row r="107" spans="1:3" x14ac:dyDescent="0.2">
      <c r="A107" s="27">
        <v>105</v>
      </c>
      <c r="B107" s="27">
        <f t="shared" ca="1" si="1"/>
        <v>0.77621732038450553</v>
      </c>
      <c r="C107" s="27" t="s">
        <v>227</v>
      </c>
    </row>
    <row r="108" spans="1:3" x14ac:dyDescent="0.2">
      <c r="A108" s="27">
        <v>106</v>
      </c>
      <c r="B108" s="27">
        <f t="shared" ca="1" si="1"/>
        <v>0.5939987326284345</v>
      </c>
      <c r="C108" s="27" t="s">
        <v>226</v>
      </c>
    </row>
    <row r="109" spans="1:3" x14ac:dyDescent="0.2">
      <c r="A109" s="27">
        <v>107</v>
      </c>
      <c r="B109" s="27">
        <f t="shared" ca="1" si="1"/>
        <v>0.72495710497901533</v>
      </c>
      <c r="C109" s="27" t="s">
        <v>226</v>
      </c>
    </row>
    <row r="110" spans="1:3" x14ac:dyDescent="0.2">
      <c r="A110" s="27">
        <v>108</v>
      </c>
      <c r="B110" s="27">
        <f t="shared" ca="1" si="1"/>
        <v>0.44185390300044758</v>
      </c>
      <c r="C110" s="27" t="s">
        <v>226</v>
      </c>
    </row>
    <row r="111" spans="1:3" x14ac:dyDescent="0.2">
      <c r="A111" s="27">
        <v>109</v>
      </c>
      <c r="B111" s="27">
        <f t="shared" ca="1" si="1"/>
        <v>0.61401724419553838</v>
      </c>
      <c r="C111" s="27" t="s">
        <v>226</v>
      </c>
    </row>
    <row r="112" spans="1:3" x14ac:dyDescent="0.2">
      <c r="A112" s="27">
        <v>110</v>
      </c>
      <c r="B112" s="27">
        <f t="shared" ca="1" si="1"/>
        <v>0.78288804611468987</v>
      </c>
      <c r="C112" s="27" t="s">
        <v>226</v>
      </c>
    </row>
    <row r="113" spans="1:3" x14ac:dyDescent="0.2">
      <c r="A113" s="27">
        <v>111</v>
      </c>
      <c r="B113" s="27">
        <f t="shared" ca="1" si="1"/>
        <v>0.8354933590915089</v>
      </c>
      <c r="C113" s="27" t="s">
        <v>227</v>
      </c>
    </row>
    <row r="114" spans="1:3" x14ac:dyDescent="0.2">
      <c r="A114" s="27">
        <v>112</v>
      </c>
      <c r="B114" s="27">
        <f t="shared" ca="1" si="1"/>
        <v>0.44126652470754091</v>
      </c>
      <c r="C114" s="27" t="s">
        <v>226</v>
      </c>
    </row>
    <row r="115" spans="1:3" x14ac:dyDescent="0.2">
      <c r="A115" s="27">
        <v>113</v>
      </c>
      <c r="B115" s="27">
        <f t="shared" ca="1" si="1"/>
        <v>0.48536979278273545</v>
      </c>
      <c r="C115" s="27" t="s">
        <v>226</v>
      </c>
    </row>
    <row r="116" spans="1:3" x14ac:dyDescent="0.2">
      <c r="A116" s="27">
        <v>114</v>
      </c>
      <c r="B116" s="27">
        <f t="shared" ca="1" si="1"/>
        <v>0.51583431331463192</v>
      </c>
      <c r="C116" s="27" t="s">
        <v>226</v>
      </c>
    </row>
    <row r="117" spans="1:3" x14ac:dyDescent="0.2">
      <c r="A117" s="27">
        <v>115</v>
      </c>
      <c r="B117" s="27">
        <f t="shared" ca="1" si="1"/>
        <v>0.86494270543536622</v>
      </c>
      <c r="C117" s="27" t="s">
        <v>226</v>
      </c>
    </row>
    <row r="118" spans="1:3" x14ac:dyDescent="0.2">
      <c r="A118" s="27">
        <v>116</v>
      </c>
      <c r="B118" s="27">
        <f t="shared" ca="1" si="1"/>
        <v>0.39344691346531124</v>
      </c>
      <c r="C118" s="27" t="s">
        <v>226</v>
      </c>
    </row>
    <row r="119" spans="1:3" x14ac:dyDescent="0.2">
      <c r="A119" s="27">
        <v>117</v>
      </c>
      <c r="B119" s="27">
        <f t="shared" ca="1" si="1"/>
        <v>0.69400116849128812</v>
      </c>
      <c r="C119" s="27" t="s">
        <v>226</v>
      </c>
    </row>
    <row r="120" spans="1:3" x14ac:dyDescent="0.2">
      <c r="A120" s="27">
        <v>118</v>
      </c>
      <c r="B120" s="27">
        <f t="shared" ca="1" si="1"/>
        <v>0.22322586401306677</v>
      </c>
      <c r="C120" s="27" t="s">
        <v>226</v>
      </c>
    </row>
    <row r="121" spans="1:3" x14ac:dyDescent="0.2">
      <c r="A121" s="27">
        <v>119</v>
      </c>
      <c r="B121" s="27">
        <f t="shared" ca="1" si="1"/>
        <v>0.51955120098208907</v>
      </c>
      <c r="C121" s="27" t="s">
        <v>226</v>
      </c>
    </row>
    <row r="122" spans="1:3" x14ac:dyDescent="0.2">
      <c r="A122" s="27">
        <v>120</v>
      </c>
      <c r="B122" s="27">
        <f t="shared" ca="1" si="1"/>
        <v>0.62255851310535559</v>
      </c>
      <c r="C122" s="27" t="s">
        <v>227</v>
      </c>
    </row>
    <row r="123" spans="1:3" x14ac:dyDescent="0.2">
      <c r="A123" s="27">
        <v>121</v>
      </c>
      <c r="B123" s="27">
        <f t="shared" ca="1" si="1"/>
        <v>0.70684039724209702</v>
      </c>
      <c r="C123" s="27" t="s">
        <v>227</v>
      </c>
    </row>
    <row r="124" spans="1:3" x14ac:dyDescent="0.2">
      <c r="A124" s="27">
        <v>122</v>
      </c>
      <c r="B124" s="27">
        <f t="shared" ca="1" si="1"/>
        <v>0.70611808721301472</v>
      </c>
      <c r="C124" s="27" t="s">
        <v>226</v>
      </c>
    </row>
    <row r="125" spans="1:3" x14ac:dyDescent="0.2">
      <c r="A125" s="27">
        <v>123</v>
      </c>
      <c r="B125" s="27">
        <f t="shared" ca="1" si="1"/>
        <v>0.68518059810564935</v>
      </c>
      <c r="C125" s="27" t="s">
        <v>227</v>
      </c>
    </row>
    <row r="126" spans="1:3" x14ac:dyDescent="0.2">
      <c r="A126" s="27">
        <v>124</v>
      </c>
      <c r="B126" s="27">
        <f t="shared" ca="1" si="1"/>
        <v>0.53744888663006596</v>
      </c>
      <c r="C126" s="27" t="s">
        <v>227</v>
      </c>
    </row>
    <row r="127" spans="1:3" x14ac:dyDescent="0.2">
      <c r="A127" s="27">
        <v>125</v>
      </c>
      <c r="B127" s="27">
        <f t="shared" ca="1" si="1"/>
        <v>0.6073319982388341</v>
      </c>
      <c r="C127" s="27" t="s">
        <v>226</v>
      </c>
    </row>
    <row r="128" spans="1:3" x14ac:dyDescent="0.2">
      <c r="A128" s="27">
        <v>126</v>
      </c>
      <c r="B128" s="27">
        <f t="shared" ca="1" si="1"/>
        <v>0.83447294228279845</v>
      </c>
      <c r="C128" s="27" t="s">
        <v>226</v>
      </c>
    </row>
    <row r="129" spans="1:3" x14ac:dyDescent="0.2">
      <c r="A129" s="27">
        <v>127</v>
      </c>
      <c r="B129" s="27">
        <f t="shared" ca="1" si="1"/>
        <v>0.73211657202936109</v>
      </c>
      <c r="C129" s="27" t="s">
        <v>226</v>
      </c>
    </row>
    <row r="130" spans="1:3" x14ac:dyDescent="0.2">
      <c r="A130" s="27">
        <v>128</v>
      </c>
      <c r="B130" s="27">
        <f t="shared" ca="1" si="1"/>
        <v>0.53733773477719249</v>
      </c>
      <c r="C130" s="27" t="s">
        <v>226</v>
      </c>
    </row>
    <row r="131" spans="1:3" x14ac:dyDescent="0.2">
      <c r="A131" s="27">
        <v>129</v>
      </c>
      <c r="B131" s="27">
        <f t="shared" ref="B131:B194" ca="1" si="2">IF(C131="Bomb",_xlfn.NORM.INV(RAND(),0.7,0.1),_xlfn.NORM.INV(RAND(),0.6,0.15))</f>
        <v>0.63354580771192737</v>
      </c>
      <c r="C131" s="27" t="s">
        <v>226</v>
      </c>
    </row>
    <row r="132" spans="1:3" x14ac:dyDescent="0.2">
      <c r="A132" s="27">
        <v>130</v>
      </c>
      <c r="B132" s="27">
        <f t="shared" ca="1" si="2"/>
        <v>0.78190232657336389</v>
      </c>
      <c r="C132" s="27" t="s">
        <v>227</v>
      </c>
    </row>
    <row r="133" spans="1:3" x14ac:dyDescent="0.2">
      <c r="A133" s="27">
        <v>131</v>
      </c>
      <c r="B133" s="27">
        <f t="shared" ca="1" si="2"/>
        <v>0.68979384435492952</v>
      </c>
      <c r="C133" s="27" t="s">
        <v>227</v>
      </c>
    </row>
    <row r="134" spans="1:3" x14ac:dyDescent="0.2">
      <c r="A134" s="27">
        <v>132</v>
      </c>
      <c r="B134" s="27">
        <f t="shared" ca="1" si="2"/>
        <v>0.71718388185047655</v>
      </c>
      <c r="C134" s="27" t="s">
        <v>227</v>
      </c>
    </row>
    <row r="135" spans="1:3" x14ac:dyDescent="0.2">
      <c r="A135" s="27">
        <v>133</v>
      </c>
      <c r="B135" s="27">
        <f t="shared" ca="1" si="2"/>
        <v>0.73423223430696538</v>
      </c>
      <c r="C135" s="27" t="s">
        <v>227</v>
      </c>
    </row>
    <row r="136" spans="1:3" x14ac:dyDescent="0.2">
      <c r="A136" s="27">
        <v>134</v>
      </c>
      <c r="B136" s="27">
        <f t="shared" ca="1" si="2"/>
        <v>0.57764943906219934</v>
      </c>
      <c r="C136" s="27" t="s">
        <v>226</v>
      </c>
    </row>
    <row r="137" spans="1:3" x14ac:dyDescent="0.2">
      <c r="A137" s="27">
        <v>135</v>
      </c>
      <c r="B137" s="27">
        <f t="shared" ca="1" si="2"/>
        <v>0.72240506406846916</v>
      </c>
      <c r="C137" s="27" t="s">
        <v>227</v>
      </c>
    </row>
    <row r="138" spans="1:3" x14ac:dyDescent="0.2">
      <c r="A138" s="27">
        <v>136</v>
      </c>
      <c r="B138" s="27">
        <f t="shared" ca="1" si="2"/>
        <v>0.77366798239019263</v>
      </c>
      <c r="C138" s="27" t="s">
        <v>227</v>
      </c>
    </row>
    <row r="139" spans="1:3" x14ac:dyDescent="0.2">
      <c r="A139" s="27">
        <v>137</v>
      </c>
      <c r="B139" s="27">
        <f t="shared" ca="1" si="2"/>
        <v>0.68380017885465005</v>
      </c>
      <c r="C139" s="27" t="s">
        <v>226</v>
      </c>
    </row>
    <row r="140" spans="1:3" x14ac:dyDescent="0.2">
      <c r="A140" s="27">
        <v>138</v>
      </c>
      <c r="B140" s="27">
        <f t="shared" ca="1" si="2"/>
        <v>0.76754594130734</v>
      </c>
      <c r="C140" s="27" t="s">
        <v>227</v>
      </c>
    </row>
    <row r="141" spans="1:3" x14ac:dyDescent="0.2">
      <c r="A141" s="27">
        <v>139</v>
      </c>
      <c r="B141" s="27">
        <f t="shared" ca="1" si="2"/>
        <v>0.55195083741742823</v>
      </c>
      <c r="C141" s="27" t="s">
        <v>226</v>
      </c>
    </row>
    <row r="142" spans="1:3" x14ac:dyDescent="0.2">
      <c r="A142" s="27">
        <v>140</v>
      </c>
      <c r="B142" s="27">
        <f t="shared" ca="1" si="2"/>
        <v>0.78064096962357898</v>
      </c>
      <c r="C142" s="27" t="s">
        <v>226</v>
      </c>
    </row>
    <row r="143" spans="1:3" x14ac:dyDescent="0.2">
      <c r="A143" s="27">
        <v>141</v>
      </c>
      <c r="B143" s="27">
        <f t="shared" ca="1" si="2"/>
        <v>0.69075726790227454</v>
      </c>
      <c r="C143" s="27" t="s">
        <v>226</v>
      </c>
    </row>
    <row r="144" spans="1:3" x14ac:dyDescent="0.2">
      <c r="A144" s="27">
        <v>142</v>
      </c>
      <c r="B144" s="27">
        <f t="shared" ca="1" si="2"/>
        <v>0.67634364891154231</v>
      </c>
      <c r="C144" s="27" t="s">
        <v>227</v>
      </c>
    </row>
    <row r="145" spans="1:3" x14ac:dyDescent="0.2">
      <c r="A145" s="27">
        <v>143</v>
      </c>
      <c r="B145" s="27">
        <f t="shared" ca="1" si="2"/>
        <v>0.57379711346520201</v>
      </c>
      <c r="C145" s="27" t="s">
        <v>226</v>
      </c>
    </row>
    <row r="146" spans="1:3" x14ac:dyDescent="0.2">
      <c r="A146" s="27">
        <v>144</v>
      </c>
      <c r="B146" s="27">
        <f t="shared" ca="1" si="2"/>
        <v>0.66124661853471611</v>
      </c>
      <c r="C146" s="27" t="s">
        <v>227</v>
      </c>
    </row>
    <row r="147" spans="1:3" x14ac:dyDescent="0.2">
      <c r="A147" s="27">
        <v>145</v>
      </c>
      <c r="B147" s="27">
        <f t="shared" ca="1" si="2"/>
        <v>0.83833145292120603</v>
      </c>
      <c r="C147" s="27" t="s">
        <v>226</v>
      </c>
    </row>
    <row r="148" spans="1:3" x14ac:dyDescent="0.2">
      <c r="A148" s="27">
        <v>146</v>
      </c>
      <c r="B148" s="27">
        <f t="shared" ca="1" si="2"/>
        <v>0.6881803153357281</v>
      </c>
      <c r="C148" s="27" t="s">
        <v>226</v>
      </c>
    </row>
    <row r="149" spans="1:3" x14ac:dyDescent="0.2">
      <c r="A149" s="27">
        <v>147</v>
      </c>
      <c r="B149" s="27">
        <f t="shared" ca="1" si="2"/>
        <v>0.61616381285824107</v>
      </c>
      <c r="C149" s="27" t="s">
        <v>227</v>
      </c>
    </row>
    <row r="150" spans="1:3" x14ac:dyDescent="0.2">
      <c r="A150" s="27">
        <v>148</v>
      </c>
      <c r="B150" s="27">
        <f t="shared" ca="1" si="2"/>
        <v>0.60780574777217489</v>
      </c>
      <c r="C150" s="27" t="s">
        <v>226</v>
      </c>
    </row>
    <row r="151" spans="1:3" x14ac:dyDescent="0.2">
      <c r="A151" s="27">
        <v>149</v>
      </c>
      <c r="B151" s="27">
        <f t="shared" ca="1" si="2"/>
        <v>0.58456998245303826</v>
      </c>
      <c r="C151" s="27" t="s">
        <v>226</v>
      </c>
    </row>
    <row r="152" spans="1:3" x14ac:dyDescent="0.2">
      <c r="A152" s="27">
        <v>150</v>
      </c>
      <c r="B152" s="27">
        <f t="shared" ca="1" si="2"/>
        <v>0.52708290048879525</v>
      </c>
      <c r="C152" s="27" t="s">
        <v>226</v>
      </c>
    </row>
    <row r="153" spans="1:3" x14ac:dyDescent="0.2">
      <c r="A153" s="27">
        <v>151</v>
      </c>
      <c r="B153" s="27">
        <f t="shared" ca="1" si="2"/>
        <v>0.8212533522599007</v>
      </c>
      <c r="C153" s="27" t="s">
        <v>227</v>
      </c>
    </row>
    <row r="154" spans="1:3" x14ac:dyDescent="0.2">
      <c r="A154" s="27">
        <v>152</v>
      </c>
      <c r="B154" s="27">
        <f t="shared" ca="1" si="2"/>
        <v>0.41932689570840481</v>
      </c>
      <c r="C154" s="27" t="s">
        <v>227</v>
      </c>
    </row>
    <row r="155" spans="1:3" x14ac:dyDescent="0.2">
      <c r="A155" s="27">
        <v>153</v>
      </c>
      <c r="B155" s="27">
        <f t="shared" ca="1" si="2"/>
        <v>0.60427916079270982</v>
      </c>
      <c r="C155" s="27" t="s">
        <v>227</v>
      </c>
    </row>
    <row r="156" spans="1:3" x14ac:dyDescent="0.2">
      <c r="A156" s="27">
        <v>154</v>
      </c>
      <c r="B156" s="27">
        <f t="shared" ca="1" si="2"/>
        <v>0.55629960963700298</v>
      </c>
      <c r="C156" s="27" t="s">
        <v>226</v>
      </c>
    </row>
    <row r="157" spans="1:3" x14ac:dyDescent="0.2">
      <c r="A157" s="27">
        <v>155</v>
      </c>
      <c r="B157" s="27">
        <f t="shared" ca="1" si="2"/>
        <v>0.64577717023251424</v>
      </c>
      <c r="C157" s="27" t="s">
        <v>227</v>
      </c>
    </row>
    <row r="158" spans="1:3" x14ac:dyDescent="0.2">
      <c r="A158" s="27">
        <v>156</v>
      </c>
      <c r="B158" s="27">
        <f t="shared" ca="1" si="2"/>
        <v>0.78019144719009248</v>
      </c>
      <c r="C158" s="27" t="s">
        <v>227</v>
      </c>
    </row>
    <row r="159" spans="1:3" x14ac:dyDescent="0.2">
      <c r="A159" s="27">
        <v>157</v>
      </c>
      <c r="B159" s="27">
        <f t="shared" ca="1" si="2"/>
        <v>0.51762588181368985</v>
      </c>
      <c r="C159" s="27" t="s">
        <v>226</v>
      </c>
    </row>
    <row r="160" spans="1:3" x14ac:dyDescent="0.2">
      <c r="A160" s="27">
        <v>158</v>
      </c>
      <c r="B160" s="27">
        <f t="shared" ca="1" si="2"/>
        <v>0.45327884761843618</v>
      </c>
      <c r="C160" s="27" t="s">
        <v>226</v>
      </c>
    </row>
    <row r="161" spans="1:3" x14ac:dyDescent="0.2">
      <c r="A161" s="27">
        <v>159</v>
      </c>
      <c r="B161" s="27">
        <f t="shared" ca="1" si="2"/>
        <v>0.6276736014020341</v>
      </c>
      <c r="C161" s="27" t="s">
        <v>227</v>
      </c>
    </row>
    <row r="162" spans="1:3" x14ac:dyDescent="0.2">
      <c r="A162" s="27">
        <v>160</v>
      </c>
      <c r="B162" s="27">
        <f t="shared" ca="1" si="2"/>
        <v>0.74863118264432105</v>
      </c>
      <c r="C162" s="27" t="s">
        <v>227</v>
      </c>
    </row>
    <row r="163" spans="1:3" x14ac:dyDescent="0.2">
      <c r="A163" s="27">
        <v>161</v>
      </c>
      <c r="B163" s="27">
        <f t="shared" ca="1" si="2"/>
        <v>0.69086984522731298</v>
      </c>
      <c r="C163" s="27" t="s">
        <v>227</v>
      </c>
    </row>
    <row r="164" spans="1:3" x14ac:dyDescent="0.2">
      <c r="A164" s="27">
        <v>162</v>
      </c>
      <c r="B164" s="27">
        <f t="shared" ca="1" si="2"/>
        <v>0.59300065699233928</v>
      </c>
      <c r="C164" s="27" t="s">
        <v>226</v>
      </c>
    </row>
    <row r="165" spans="1:3" x14ac:dyDescent="0.2">
      <c r="A165" s="27">
        <v>163</v>
      </c>
      <c r="B165" s="27">
        <f t="shared" ca="1" si="2"/>
        <v>0.62100653915127513</v>
      </c>
      <c r="C165" s="27" t="s">
        <v>226</v>
      </c>
    </row>
    <row r="166" spans="1:3" x14ac:dyDescent="0.2">
      <c r="A166" s="27">
        <v>164</v>
      </c>
      <c r="B166" s="27">
        <f t="shared" ca="1" si="2"/>
        <v>0.71322596659049387</v>
      </c>
      <c r="C166" s="27" t="s">
        <v>226</v>
      </c>
    </row>
    <row r="167" spans="1:3" x14ac:dyDescent="0.2">
      <c r="A167" s="27">
        <v>165</v>
      </c>
      <c r="B167" s="27">
        <f t="shared" ca="1" si="2"/>
        <v>0.59425371302207808</v>
      </c>
      <c r="C167" s="27" t="s">
        <v>226</v>
      </c>
    </row>
    <row r="168" spans="1:3" x14ac:dyDescent="0.2">
      <c r="A168" s="27">
        <v>166</v>
      </c>
      <c r="B168" s="27">
        <f t="shared" ca="1" si="2"/>
        <v>0.46991039749501112</v>
      </c>
      <c r="C168" s="27" t="s">
        <v>227</v>
      </c>
    </row>
    <row r="169" spans="1:3" x14ac:dyDescent="0.2">
      <c r="A169" s="27">
        <v>167</v>
      </c>
      <c r="B169" s="27">
        <f t="shared" ca="1" si="2"/>
        <v>0.47180289306656187</v>
      </c>
      <c r="C169" s="27" t="s">
        <v>227</v>
      </c>
    </row>
    <row r="170" spans="1:3" x14ac:dyDescent="0.2">
      <c r="A170" s="27">
        <v>168</v>
      </c>
      <c r="B170" s="27">
        <f t="shared" ca="1" si="2"/>
        <v>0.77454510395061871</v>
      </c>
      <c r="C170" s="27" t="s">
        <v>227</v>
      </c>
    </row>
    <row r="171" spans="1:3" x14ac:dyDescent="0.2">
      <c r="A171" s="27">
        <v>169</v>
      </c>
      <c r="B171" s="27">
        <f t="shared" ca="1" si="2"/>
        <v>0.85419552960198741</v>
      </c>
      <c r="C171" s="27" t="s">
        <v>226</v>
      </c>
    </row>
    <row r="172" spans="1:3" x14ac:dyDescent="0.2">
      <c r="A172" s="27">
        <v>170</v>
      </c>
      <c r="B172" s="27">
        <f t="shared" ca="1" si="2"/>
        <v>0.3593230913715233</v>
      </c>
      <c r="C172" s="27" t="s">
        <v>226</v>
      </c>
    </row>
    <row r="173" spans="1:3" x14ac:dyDescent="0.2">
      <c r="A173" s="27">
        <v>171</v>
      </c>
      <c r="B173" s="27">
        <f t="shared" ca="1" si="2"/>
        <v>0.79547426315859449</v>
      </c>
      <c r="C173" s="27" t="s">
        <v>227</v>
      </c>
    </row>
    <row r="174" spans="1:3" x14ac:dyDescent="0.2">
      <c r="A174" s="27">
        <v>172</v>
      </c>
      <c r="B174" s="27">
        <f t="shared" ca="1" si="2"/>
        <v>0.57443362780823559</v>
      </c>
      <c r="C174" s="27" t="s">
        <v>227</v>
      </c>
    </row>
    <row r="175" spans="1:3" x14ac:dyDescent="0.2">
      <c r="A175" s="27">
        <v>173</v>
      </c>
      <c r="B175" s="27">
        <f t="shared" ca="1" si="2"/>
        <v>0.90659831083588471</v>
      </c>
      <c r="C175" s="27" t="s">
        <v>227</v>
      </c>
    </row>
    <row r="176" spans="1:3" x14ac:dyDescent="0.2">
      <c r="A176" s="27">
        <v>174</v>
      </c>
      <c r="B176" s="27">
        <f t="shared" ca="1" si="2"/>
        <v>0.56443289283031473</v>
      </c>
      <c r="C176" s="27" t="s">
        <v>226</v>
      </c>
    </row>
    <row r="177" spans="1:3" x14ac:dyDescent="0.2">
      <c r="A177" s="27">
        <v>175</v>
      </c>
      <c r="B177" s="27">
        <f t="shared" ca="1" si="2"/>
        <v>0.66033692963115076</v>
      </c>
      <c r="C177" s="27" t="s">
        <v>227</v>
      </c>
    </row>
    <row r="178" spans="1:3" x14ac:dyDescent="0.2">
      <c r="A178" s="27">
        <v>176</v>
      </c>
      <c r="B178" s="27">
        <f t="shared" ca="1" si="2"/>
        <v>0.84732262258943147</v>
      </c>
      <c r="C178" s="27" t="s">
        <v>227</v>
      </c>
    </row>
    <row r="179" spans="1:3" x14ac:dyDescent="0.2">
      <c r="A179" s="27">
        <v>177</v>
      </c>
      <c r="B179" s="27">
        <f t="shared" ca="1" si="2"/>
        <v>0.4229472269295883</v>
      </c>
      <c r="C179" s="27" t="s">
        <v>226</v>
      </c>
    </row>
    <row r="180" spans="1:3" x14ac:dyDescent="0.2">
      <c r="A180" s="27">
        <v>178</v>
      </c>
      <c r="B180" s="27">
        <f t="shared" ca="1" si="2"/>
        <v>0.85474507574909775</v>
      </c>
      <c r="C180" s="27" t="s">
        <v>226</v>
      </c>
    </row>
    <row r="181" spans="1:3" x14ac:dyDescent="0.2">
      <c r="A181" s="27">
        <v>179</v>
      </c>
      <c r="B181" s="27">
        <f t="shared" ca="1" si="2"/>
        <v>0.60140754844114364</v>
      </c>
      <c r="C181" s="27" t="s">
        <v>227</v>
      </c>
    </row>
    <row r="182" spans="1:3" x14ac:dyDescent="0.2">
      <c r="A182" s="27">
        <v>180</v>
      </c>
      <c r="B182" s="27">
        <f t="shared" ca="1" si="2"/>
        <v>0.62460729730453612</v>
      </c>
      <c r="C182" s="27" t="s">
        <v>227</v>
      </c>
    </row>
    <row r="183" spans="1:3" x14ac:dyDescent="0.2">
      <c r="A183" s="27">
        <v>181</v>
      </c>
      <c r="B183" s="27">
        <f t="shared" ca="1" si="2"/>
        <v>0.59105866989727296</v>
      </c>
      <c r="C183" s="27" t="s">
        <v>227</v>
      </c>
    </row>
    <row r="184" spans="1:3" x14ac:dyDescent="0.2">
      <c r="A184" s="27">
        <v>182</v>
      </c>
      <c r="B184" s="27">
        <f t="shared" ca="1" si="2"/>
        <v>0.56494978125393192</v>
      </c>
      <c r="C184" s="27" t="s">
        <v>227</v>
      </c>
    </row>
    <row r="185" spans="1:3" x14ac:dyDescent="0.2">
      <c r="A185" s="27">
        <v>183</v>
      </c>
      <c r="B185" s="27">
        <f t="shared" ca="1" si="2"/>
        <v>0.68810237405635799</v>
      </c>
      <c r="C185" s="27" t="s">
        <v>226</v>
      </c>
    </row>
    <row r="186" spans="1:3" x14ac:dyDescent="0.2">
      <c r="A186" s="27">
        <v>184</v>
      </c>
      <c r="B186" s="27">
        <f t="shared" ca="1" si="2"/>
        <v>0.63586423299406436</v>
      </c>
      <c r="C186" s="27" t="s">
        <v>227</v>
      </c>
    </row>
    <row r="187" spans="1:3" x14ac:dyDescent="0.2">
      <c r="A187" s="27">
        <v>185</v>
      </c>
      <c r="B187" s="27">
        <f t="shared" ca="1" si="2"/>
        <v>0.62916351191195763</v>
      </c>
      <c r="C187" s="27" t="s">
        <v>226</v>
      </c>
    </row>
    <row r="188" spans="1:3" x14ac:dyDescent="0.2">
      <c r="A188" s="27">
        <v>186</v>
      </c>
      <c r="B188" s="27">
        <f t="shared" ca="1" si="2"/>
        <v>0.89942360671865051</v>
      </c>
      <c r="C188" s="27" t="s">
        <v>227</v>
      </c>
    </row>
    <row r="189" spans="1:3" x14ac:dyDescent="0.2">
      <c r="A189" s="27">
        <v>187</v>
      </c>
      <c r="B189" s="27">
        <f t="shared" ca="1" si="2"/>
        <v>0.56886433086999588</v>
      </c>
      <c r="C189" s="27" t="s">
        <v>226</v>
      </c>
    </row>
    <row r="190" spans="1:3" x14ac:dyDescent="0.2">
      <c r="A190" s="27">
        <v>188</v>
      </c>
      <c r="B190" s="27">
        <f t="shared" ca="1" si="2"/>
        <v>0.81388341346485393</v>
      </c>
      <c r="C190" s="27" t="s">
        <v>227</v>
      </c>
    </row>
    <row r="191" spans="1:3" x14ac:dyDescent="0.2">
      <c r="A191" s="27">
        <v>189</v>
      </c>
      <c r="B191" s="27">
        <f t="shared" ca="1" si="2"/>
        <v>0.73348688535412465</v>
      </c>
      <c r="C191" s="27" t="s">
        <v>227</v>
      </c>
    </row>
    <row r="192" spans="1:3" x14ac:dyDescent="0.2">
      <c r="A192" s="27">
        <v>190</v>
      </c>
      <c r="B192" s="27">
        <f t="shared" ca="1" si="2"/>
        <v>0.86794038090275238</v>
      </c>
      <c r="C192" s="27" t="s">
        <v>226</v>
      </c>
    </row>
    <row r="193" spans="1:3" x14ac:dyDescent="0.2">
      <c r="A193" s="27">
        <v>191</v>
      </c>
      <c r="B193" s="27">
        <f t="shared" ca="1" si="2"/>
        <v>0.6563363881365345</v>
      </c>
      <c r="C193" s="27" t="s">
        <v>227</v>
      </c>
    </row>
    <row r="194" spans="1:3" x14ac:dyDescent="0.2">
      <c r="A194" s="27">
        <v>192</v>
      </c>
      <c r="B194" s="27">
        <f t="shared" ca="1" si="2"/>
        <v>0.74161168483234019</v>
      </c>
      <c r="C194" s="27" t="s">
        <v>226</v>
      </c>
    </row>
    <row r="195" spans="1:3" x14ac:dyDescent="0.2">
      <c r="A195" s="27">
        <v>193</v>
      </c>
      <c r="B195" s="27">
        <f t="shared" ref="B195:B258" ca="1" si="3">IF(C195="Bomb",_xlfn.NORM.INV(RAND(),0.7,0.1),_xlfn.NORM.INV(RAND(),0.6,0.15))</f>
        <v>0.62845524597109126</v>
      </c>
      <c r="C195" s="27" t="s">
        <v>227</v>
      </c>
    </row>
    <row r="196" spans="1:3" x14ac:dyDescent="0.2">
      <c r="A196" s="27">
        <v>194</v>
      </c>
      <c r="B196" s="27">
        <f t="shared" ca="1" si="3"/>
        <v>0.52250148665185647</v>
      </c>
      <c r="C196" s="27" t="s">
        <v>226</v>
      </c>
    </row>
    <row r="197" spans="1:3" x14ac:dyDescent="0.2">
      <c r="A197" s="27">
        <v>195</v>
      </c>
      <c r="B197" s="27">
        <f t="shared" ca="1" si="3"/>
        <v>0.31150786929931534</v>
      </c>
      <c r="C197" s="27" t="s">
        <v>226</v>
      </c>
    </row>
    <row r="198" spans="1:3" x14ac:dyDescent="0.2">
      <c r="A198" s="27">
        <v>196</v>
      </c>
      <c r="B198" s="27">
        <f t="shared" ca="1" si="3"/>
        <v>0.46977920526214634</v>
      </c>
      <c r="C198" s="27" t="s">
        <v>227</v>
      </c>
    </row>
    <row r="199" spans="1:3" x14ac:dyDescent="0.2">
      <c r="A199" s="27">
        <v>197</v>
      </c>
      <c r="B199" s="27">
        <f t="shared" ca="1" si="3"/>
        <v>0.47022997405544675</v>
      </c>
      <c r="C199" s="27" t="s">
        <v>226</v>
      </c>
    </row>
    <row r="200" spans="1:3" x14ac:dyDescent="0.2">
      <c r="A200" s="27">
        <v>198</v>
      </c>
      <c r="B200" s="27">
        <f t="shared" ca="1" si="3"/>
        <v>0.66550497137841313</v>
      </c>
      <c r="C200" s="27" t="s">
        <v>227</v>
      </c>
    </row>
    <row r="201" spans="1:3" x14ac:dyDescent="0.2">
      <c r="A201" s="27">
        <v>199</v>
      </c>
      <c r="B201" s="27">
        <f t="shared" ca="1" si="3"/>
        <v>0.84803048871562847</v>
      </c>
      <c r="C201" s="27" t="s">
        <v>226</v>
      </c>
    </row>
    <row r="202" spans="1:3" x14ac:dyDescent="0.2">
      <c r="A202" s="27">
        <v>200</v>
      </c>
      <c r="B202" s="27">
        <f t="shared" ca="1" si="3"/>
        <v>0.78842600879476166</v>
      </c>
      <c r="C202" s="27" t="s">
        <v>227</v>
      </c>
    </row>
    <row r="203" spans="1:3" x14ac:dyDescent="0.2">
      <c r="A203" s="27">
        <v>201</v>
      </c>
      <c r="B203" s="27">
        <f t="shared" ca="1" si="3"/>
        <v>0.58113604213850178</v>
      </c>
      <c r="C203" s="27" t="s">
        <v>226</v>
      </c>
    </row>
    <row r="204" spans="1:3" x14ac:dyDescent="0.2">
      <c r="A204" s="27">
        <v>202</v>
      </c>
      <c r="B204" s="27">
        <f t="shared" ca="1" si="3"/>
        <v>0.67613176184644141</v>
      </c>
      <c r="C204" s="27" t="s">
        <v>227</v>
      </c>
    </row>
    <row r="205" spans="1:3" x14ac:dyDescent="0.2">
      <c r="A205" s="27">
        <v>203</v>
      </c>
      <c r="B205" s="27">
        <f t="shared" ca="1" si="3"/>
        <v>0.36643019695180445</v>
      </c>
      <c r="C205" s="27" t="s">
        <v>226</v>
      </c>
    </row>
    <row r="206" spans="1:3" x14ac:dyDescent="0.2">
      <c r="A206" s="27">
        <v>204</v>
      </c>
      <c r="B206" s="27">
        <f t="shared" ca="1" si="3"/>
        <v>0.71102271195670719</v>
      </c>
      <c r="C206" s="27" t="s">
        <v>226</v>
      </c>
    </row>
    <row r="207" spans="1:3" x14ac:dyDescent="0.2">
      <c r="A207" s="27">
        <v>205</v>
      </c>
      <c r="B207" s="27">
        <f t="shared" ca="1" si="3"/>
        <v>0.80867779621758795</v>
      </c>
      <c r="C207" s="27" t="s">
        <v>226</v>
      </c>
    </row>
    <row r="208" spans="1:3" x14ac:dyDescent="0.2">
      <c r="A208" s="27">
        <v>206</v>
      </c>
      <c r="B208" s="27">
        <f t="shared" ca="1" si="3"/>
        <v>0.71031421686804819</v>
      </c>
      <c r="C208" s="27" t="s">
        <v>227</v>
      </c>
    </row>
    <row r="209" spans="1:3" x14ac:dyDescent="0.2">
      <c r="A209" s="27">
        <v>207</v>
      </c>
      <c r="B209" s="27">
        <f t="shared" ca="1" si="3"/>
        <v>0.56518421307584554</v>
      </c>
      <c r="C209" s="27" t="s">
        <v>227</v>
      </c>
    </row>
    <row r="210" spans="1:3" x14ac:dyDescent="0.2">
      <c r="A210" s="27">
        <v>208</v>
      </c>
      <c r="B210" s="27">
        <f t="shared" ca="1" si="3"/>
        <v>0.49880498322761491</v>
      </c>
      <c r="C210" s="27" t="s">
        <v>227</v>
      </c>
    </row>
    <row r="211" spans="1:3" x14ac:dyDescent="0.2">
      <c r="A211" s="27">
        <v>209</v>
      </c>
      <c r="B211" s="27">
        <f t="shared" ca="1" si="3"/>
        <v>0.64709260892636822</v>
      </c>
      <c r="C211" s="27" t="s">
        <v>226</v>
      </c>
    </row>
    <row r="212" spans="1:3" x14ac:dyDescent="0.2">
      <c r="A212" s="27">
        <v>210</v>
      </c>
      <c r="B212" s="27">
        <f t="shared" ca="1" si="3"/>
        <v>0.62524728105390237</v>
      </c>
      <c r="C212" s="27" t="s">
        <v>226</v>
      </c>
    </row>
    <row r="213" spans="1:3" x14ac:dyDescent="0.2">
      <c r="A213" s="27">
        <v>211</v>
      </c>
      <c r="B213" s="27">
        <f t="shared" ca="1" si="3"/>
        <v>0.54504064324332424</v>
      </c>
      <c r="C213" s="27" t="s">
        <v>226</v>
      </c>
    </row>
    <row r="214" spans="1:3" x14ac:dyDescent="0.2">
      <c r="A214" s="27">
        <v>212</v>
      </c>
      <c r="B214" s="27">
        <f t="shared" ca="1" si="3"/>
        <v>0.58173607389837789</v>
      </c>
      <c r="C214" s="27" t="s">
        <v>226</v>
      </c>
    </row>
    <row r="215" spans="1:3" x14ac:dyDescent="0.2">
      <c r="A215" s="27">
        <v>213</v>
      </c>
      <c r="B215" s="27">
        <f t="shared" ca="1" si="3"/>
        <v>0.49750831023961906</v>
      </c>
      <c r="C215" s="27" t="s">
        <v>226</v>
      </c>
    </row>
    <row r="216" spans="1:3" x14ac:dyDescent="0.2">
      <c r="A216" s="27">
        <v>214</v>
      </c>
      <c r="B216" s="27">
        <f t="shared" ca="1" si="3"/>
        <v>0.71405723042783087</v>
      </c>
      <c r="C216" s="27" t="s">
        <v>226</v>
      </c>
    </row>
    <row r="217" spans="1:3" x14ac:dyDescent="0.2">
      <c r="A217" s="27">
        <v>215</v>
      </c>
      <c r="B217" s="27">
        <f t="shared" ca="1" si="3"/>
        <v>0.82651581383203687</v>
      </c>
      <c r="C217" s="27" t="s">
        <v>227</v>
      </c>
    </row>
    <row r="218" spans="1:3" x14ac:dyDescent="0.2">
      <c r="A218" s="27">
        <v>216</v>
      </c>
      <c r="B218" s="27">
        <f t="shared" ca="1" si="3"/>
        <v>0.595158854550627</v>
      </c>
      <c r="C218" s="27" t="s">
        <v>227</v>
      </c>
    </row>
    <row r="219" spans="1:3" x14ac:dyDescent="0.2">
      <c r="A219" s="27">
        <v>217</v>
      </c>
      <c r="B219" s="27">
        <f t="shared" ca="1" si="3"/>
        <v>0.71728761652310169</v>
      </c>
      <c r="C219" s="27" t="s">
        <v>227</v>
      </c>
    </row>
    <row r="220" spans="1:3" x14ac:dyDescent="0.2">
      <c r="A220" s="27">
        <v>218</v>
      </c>
      <c r="B220" s="27">
        <f t="shared" ca="1" si="3"/>
        <v>0.50358239188499598</v>
      </c>
      <c r="C220" s="27" t="s">
        <v>226</v>
      </c>
    </row>
    <row r="221" spans="1:3" x14ac:dyDescent="0.2">
      <c r="A221" s="27">
        <v>219</v>
      </c>
      <c r="B221" s="27">
        <f t="shared" ca="1" si="3"/>
        <v>0.75678453761958231</v>
      </c>
      <c r="C221" s="27" t="s">
        <v>227</v>
      </c>
    </row>
    <row r="222" spans="1:3" x14ac:dyDescent="0.2">
      <c r="A222" s="27">
        <v>220</v>
      </c>
      <c r="B222" s="27">
        <f t="shared" ca="1" si="3"/>
        <v>0.74930198433740658</v>
      </c>
      <c r="C222" s="27" t="s">
        <v>226</v>
      </c>
    </row>
    <row r="223" spans="1:3" x14ac:dyDescent="0.2">
      <c r="A223" s="27">
        <v>221</v>
      </c>
      <c r="B223" s="27">
        <f t="shared" ca="1" si="3"/>
        <v>0.84941258422187882</v>
      </c>
      <c r="C223" s="27" t="s">
        <v>227</v>
      </c>
    </row>
    <row r="224" spans="1:3" x14ac:dyDescent="0.2">
      <c r="A224" s="27">
        <v>222</v>
      </c>
      <c r="B224" s="27">
        <f t="shared" ca="1" si="3"/>
        <v>0.76610897343103901</v>
      </c>
      <c r="C224" s="27" t="s">
        <v>227</v>
      </c>
    </row>
    <row r="225" spans="1:3" x14ac:dyDescent="0.2">
      <c r="A225" s="27">
        <v>223</v>
      </c>
      <c r="B225" s="27">
        <f t="shared" ca="1" si="3"/>
        <v>0.49166510368318728</v>
      </c>
      <c r="C225" s="27" t="s">
        <v>226</v>
      </c>
    </row>
    <row r="226" spans="1:3" x14ac:dyDescent="0.2">
      <c r="A226" s="27">
        <v>224</v>
      </c>
      <c r="B226" s="27">
        <f t="shared" ca="1" si="3"/>
        <v>0.3566315871429504</v>
      </c>
      <c r="C226" s="27" t="s">
        <v>226</v>
      </c>
    </row>
    <row r="227" spans="1:3" x14ac:dyDescent="0.2">
      <c r="A227" s="27">
        <v>225</v>
      </c>
      <c r="B227" s="27">
        <f t="shared" ca="1" si="3"/>
        <v>0.6280158643254059</v>
      </c>
      <c r="C227" s="27" t="s">
        <v>227</v>
      </c>
    </row>
    <row r="228" spans="1:3" x14ac:dyDescent="0.2">
      <c r="A228" s="27">
        <v>226</v>
      </c>
      <c r="B228" s="27">
        <f t="shared" ca="1" si="3"/>
        <v>0.49236889158845681</v>
      </c>
      <c r="C228" s="27" t="s">
        <v>226</v>
      </c>
    </row>
    <row r="229" spans="1:3" x14ac:dyDescent="0.2">
      <c r="A229" s="27">
        <v>227</v>
      </c>
      <c r="B229" s="27">
        <f t="shared" ca="1" si="3"/>
        <v>0.65470462239730354</v>
      </c>
      <c r="C229" s="27" t="s">
        <v>226</v>
      </c>
    </row>
    <row r="230" spans="1:3" x14ac:dyDescent="0.2">
      <c r="A230" s="27">
        <v>228</v>
      </c>
      <c r="B230" s="27">
        <f t="shared" ca="1" si="3"/>
        <v>0.7841661120309833</v>
      </c>
      <c r="C230" s="27" t="s">
        <v>226</v>
      </c>
    </row>
    <row r="231" spans="1:3" x14ac:dyDescent="0.2">
      <c r="A231" s="27">
        <v>229</v>
      </c>
      <c r="B231" s="27">
        <f t="shared" ca="1" si="3"/>
        <v>0.6125527609049588</v>
      </c>
      <c r="C231" s="27" t="s">
        <v>226</v>
      </c>
    </row>
    <row r="232" spans="1:3" x14ac:dyDescent="0.2">
      <c r="A232" s="27">
        <v>230</v>
      </c>
      <c r="B232" s="27">
        <f t="shared" ca="1" si="3"/>
        <v>0.70005071300193178</v>
      </c>
      <c r="C232" s="27" t="s">
        <v>227</v>
      </c>
    </row>
    <row r="233" spans="1:3" x14ac:dyDescent="0.2">
      <c r="A233" s="27">
        <v>231</v>
      </c>
      <c r="B233" s="27">
        <f t="shared" ca="1" si="3"/>
        <v>0.72090146935003285</v>
      </c>
      <c r="C233" s="27" t="s">
        <v>227</v>
      </c>
    </row>
    <row r="234" spans="1:3" x14ac:dyDescent="0.2">
      <c r="A234" s="27">
        <v>232</v>
      </c>
      <c r="B234" s="27">
        <f t="shared" ca="1" si="3"/>
        <v>0.33683079527635751</v>
      </c>
      <c r="C234" s="27" t="s">
        <v>226</v>
      </c>
    </row>
    <row r="235" spans="1:3" x14ac:dyDescent="0.2">
      <c r="A235" s="27">
        <v>233</v>
      </c>
      <c r="B235" s="27">
        <f t="shared" ca="1" si="3"/>
        <v>0.5840350738676765</v>
      </c>
      <c r="C235" s="27" t="s">
        <v>226</v>
      </c>
    </row>
    <row r="236" spans="1:3" x14ac:dyDescent="0.2">
      <c r="A236" s="27">
        <v>234</v>
      </c>
      <c r="B236" s="27">
        <f t="shared" ca="1" si="3"/>
        <v>0.8124755140159784</v>
      </c>
      <c r="C236" s="27" t="s">
        <v>227</v>
      </c>
    </row>
    <row r="237" spans="1:3" x14ac:dyDescent="0.2">
      <c r="A237" s="27">
        <v>235</v>
      </c>
      <c r="B237" s="27">
        <f t="shared" ca="1" si="3"/>
        <v>0.55180554784751412</v>
      </c>
      <c r="C237" s="27" t="s">
        <v>226</v>
      </c>
    </row>
    <row r="238" spans="1:3" x14ac:dyDescent="0.2">
      <c r="A238" s="27">
        <v>236</v>
      </c>
      <c r="B238" s="27">
        <f t="shared" ca="1" si="3"/>
        <v>0.59671525285411098</v>
      </c>
      <c r="C238" s="27" t="s">
        <v>227</v>
      </c>
    </row>
    <row r="239" spans="1:3" x14ac:dyDescent="0.2">
      <c r="A239" s="27">
        <v>237</v>
      </c>
      <c r="B239" s="27">
        <f t="shared" ca="1" si="3"/>
        <v>0.77974400479061978</v>
      </c>
      <c r="C239" s="27" t="s">
        <v>226</v>
      </c>
    </row>
    <row r="240" spans="1:3" x14ac:dyDescent="0.2">
      <c r="A240" s="27">
        <v>238</v>
      </c>
      <c r="B240" s="27">
        <f t="shared" ca="1" si="3"/>
        <v>0.64832841504250804</v>
      </c>
      <c r="C240" s="27" t="s">
        <v>227</v>
      </c>
    </row>
    <row r="241" spans="1:3" x14ac:dyDescent="0.2">
      <c r="A241" s="27">
        <v>239</v>
      </c>
      <c r="B241" s="27">
        <f t="shared" ca="1" si="3"/>
        <v>0.86606746914150157</v>
      </c>
      <c r="C241" s="27" t="s">
        <v>226</v>
      </c>
    </row>
    <row r="242" spans="1:3" x14ac:dyDescent="0.2">
      <c r="A242" s="27">
        <v>240</v>
      </c>
      <c r="B242" s="27">
        <f t="shared" ca="1" si="3"/>
        <v>0.68254213680022846</v>
      </c>
      <c r="C242" s="27" t="s">
        <v>226</v>
      </c>
    </row>
    <row r="243" spans="1:3" x14ac:dyDescent="0.2">
      <c r="A243" s="27">
        <v>241</v>
      </c>
      <c r="B243" s="27">
        <f t="shared" ca="1" si="3"/>
        <v>0.89159787052436468</v>
      </c>
      <c r="C243" s="27" t="s">
        <v>227</v>
      </c>
    </row>
    <row r="244" spans="1:3" x14ac:dyDescent="0.2">
      <c r="A244" s="27">
        <v>242</v>
      </c>
      <c r="B244" s="27">
        <f t="shared" ca="1" si="3"/>
        <v>0.63355353266823988</v>
      </c>
      <c r="C244" s="27" t="s">
        <v>227</v>
      </c>
    </row>
    <row r="245" spans="1:3" x14ac:dyDescent="0.2">
      <c r="A245" s="27">
        <v>243</v>
      </c>
      <c r="B245" s="27">
        <f t="shared" ca="1" si="3"/>
        <v>0.58435560856576396</v>
      </c>
      <c r="C245" s="27" t="s">
        <v>227</v>
      </c>
    </row>
    <row r="246" spans="1:3" x14ac:dyDescent="0.2">
      <c r="A246" s="27">
        <v>244</v>
      </c>
      <c r="B246" s="27">
        <f t="shared" ca="1" si="3"/>
        <v>0.65834201262614478</v>
      </c>
      <c r="C246" s="27" t="s">
        <v>226</v>
      </c>
    </row>
    <row r="247" spans="1:3" x14ac:dyDescent="0.2">
      <c r="A247" s="27">
        <v>245</v>
      </c>
      <c r="B247" s="27">
        <f t="shared" ca="1" si="3"/>
        <v>0.67979613780786641</v>
      </c>
      <c r="C247" s="27" t="s">
        <v>227</v>
      </c>
    </row>
    <row r="248" spans="1:3" x14ac:dyDescent="0.2">
      <c r="A248" s="27">
        <v>246</v>
      </c>
      <c r="B248" s="27">
        <f t="shared" ca="1" si="3"/>
        <v>0.76866051177941208</v>
      </c>
      <c r="C248" s="27" t="s">
        <v>227</v>
      </c>
    </row>
    <row r="249" spans="1:3" x14ac:dyDescent="0.2">
      <c r="A249" s="27">
        <v>247</v>
      </c>
      <c r="B249" s="27">
        <f t="shared" ca="1" si="3"/>
        <v>0.51834188729820552</v>
      </c>
      <c r="C249" s="27" t="s">
        <v>226</v>
      </c>
    </row>
    <row r="250" spans="1:3" x14ac:dyDescent="0.2">
      <c r="A250" s="27">
        <v>248</v>
      </c>
      <c r="B250" s="27">
        <f t="shared" ca="1" si="3"/>
        <v>0.59890731641540751</v>
      </c>
      <c r="C250" s="27" t="s">
        <v>227</v>
      </c>
    </row>
    <row r="251" spans="1:3" x14ac:dyDescent="0.2">
      <c r="A251" s="27">
        <v>249</v>
      </c>
      <c r="B251" s="27">
        <f t="shared" ca="1" si="3"/>
        <v>0.68510278644161193</v>
      </c>
      <c r="C251" s="27" t="s">
        <v>226</v>
      </c>
    </row>
    <row r="252" spans="1:3" x14ac:dyDescent="0.2">
      <c r="A252" s="27">
        <v>250</v>
      </c>
      <c r="B252" s="27">
        <f t="shared" ca="1" si="3"/>
        <v>0.65441519369950096</v>
      </c>
      <c r="C252" s="27" t="s">
        <v>227</v>
      </c>
    </row>
    <row r="253" spans="1:3" x14ac:dyDescent="0.2">
      <c r="A253" s="27">
        <v>251</v>
      </c>
      <c r="B253" s="27">
        <f t="shared" ca="1" si="3"/>
        <v>0.47436592743270867</v>
      </c>
      <c r="C253" s="27" t="s">
        <v>226</v>
      </c>
    </row>
    <row r="254" spans="1:3" x14ac:dyDescent="0.2">
      <c r="A254" s="27">
        <v>252</v>
      </c>
      <c r="B254" s="27">
        <f t="shared" ca="1" si="3"/>
        <v>0.79304953723001992</v>
      </c>
      <c r="C254" s="27" t="s">
        <v>227</v>
      </c>
    </row>
    <row r="255" spans="1:3" x14ac:dyDescent="0.2">
      <c r="A255" s="27">
        <v>253</v>
      </c>
      <c r="B255" s="27">
        <f t="shared" ca="1" si="3"/>
        <v>0.68510344597267592</v>
      </c>
      <c r="C255" s="27" t="s">
        <v>227</v>
      </c>
    </row>
    <row r="256" spans="1:3" x14ac:dyDescent="0.2">
      <c r="A256" s="27">
        <v>254</v>
      </c>
      <c r="B256" s="27">
        <f t="shared" ca="1" si="3"/>
        <v>0.73553061366870653</v>
      </c>
      <c r="C256" s="27" t="s">
        <v>227</v>
      </c>
    </row>
    <row r="257" spans="1:3" x14ac:dyDescent="0.2">
      <c r="A257" s="27">
        <v>255</v>
      </c>
      <c r="B257" s="27">
        <f t="shared" ca="1" si="3"/>
        <v>0.48808614390058669</v>
      </c>
      <c r="C257" s="27" t="s">
        <v>226</v>
      </c>
    </row>
    <row r="258" spans="1:3" x14ac:dyDescent="0.2">
      <c r="A258" s="27">
        <v>256</v>
      </c>
      <c r="B258" s="27">
        <f t="shared" ca="1" si="3"/>
        <v>0.69546168266526198</v>
      </c>
      <c r="C258" s="27" t="s">
        <v>226</v>
      </c>
    </row>
    <row r="259" spans="1:3" x14ac:dyDescent="0.2">
      <c r="A259" s="27">
        <v>257</v>
      </c>
      <c r="B259" s="27">
        <f t="shared" ref="B259:B322" ca="1" si="4">IF(C259="Bomb",_xlfn.NORM.INV(RAND(),0.7,0.1),_xlfn.NORM.INV(RAND(),0.6,0.15))</f>
        <v>0.65976163425574419</v>
      </c>
      <c r="C259" s="27" t="s">
        <v>226</v>
      </c>
    </row>
    <row r="260" spans="1:3" x14ac:dyDescent="0.2">
      <c r="A260" s="27">
        <v>258</v>
      </c>
      <c r="B260" s="27">
        <f t="shared" ca="1" si="4"/>
        <v>0.57724373775874172</v>
      </c>
      <c r="C260" s="27" t="s">
        <v>226</v>
      </c>
    </row>
    <row r="261" spans="1:3" x14ac:dyDescent="0.2">
      <c r="A261" s="27">
        <v>259</v>
      </c>
      <c r="B261" s="27">
        <f t="shared" ca="1" si="4"/>
        <v>0.49545989403263097</v>
      </c>
      <c r="C261" s="27" t="s">
        <v>226</v>
      </c>
    </row>
    <row r="262" spans="1:3" x14ac:dyDescent="0.2">
      <c r="A262" s="27">
        <v>260</v>
      </c>
      <c r="B262" s="27">
        <f t="shared" ca="1" si="4"/>
        <v>0.75545727354563208</v>
      </c>
      <c r="C262" s="27" t="s">
        <v>227</v>
      </c>
    </row>
    <row r="263" spans="1:3" x14ac:dyDescent="0.2">
      <c r="A263" s="27">
        <v>261</v>
      </c>
      <c r="B263" s="27">
        <f t="shared" ca="1" si="4"/>
        <v>0.8594404433019236</v>
      </c>
      <c r="C263" s="27" t="s">
        <v>227</v>
      </c>
    </row>
    <row r="264" spans="1:3" x14ac:dyDescent="0.2">
      <c r="A264" s="27">
        <v>262</v>
      </c>
      <c r="B264" s="27">
        <f t="shared" ca="1" si="4"/>
        <v>0.7861769122303861</v>
      </c>
      <c r="C264" s="27" t="s">
        <v>227</v>
      </c>
    </row>
    <row r="265" spans="1:3" x14ac:dyDescent="0.2">
      <c r="A265" s="27">
        <v>263</v>
      </c>
      <c r="B265" s="27">
        <f t="shared" ca="1" si="4"/>
        <v>0.74632513009499968</v>
      </c>
      <c r="C265" s="27" t="s">
        <v>227</v>
      </c>
    </row>
    <row r="266" spans="1:3" x14ac:dyDescent="0.2">
      <c r="A266" s="27">
        <v>264</v>
      </c>
      <c r="B266" s="27">
        <f t="shared" ca="1" si="4"/>
        <v>0.60700542356883713</v>
      </c>
      <c r="C266" s="27" t="s">
        <v>226</v>
      </c>
    </row>
    <row r="267" spans="1:3" x14ac:dyDescent="0.2">
      <c r="A267" s="27">
        <v>265</v>
      </c>
      <c r="B267" s="27">
        <f t="shared" ca="1" si="4"/>
        <v>0.7473183159956488</v>
      </c>
      <c r="C267" s="27" t="s">
        <v>227</v>
      </c>
    </row>
    <row r="268" spans="1:3" x14ac:dyDescent="0.2">
      <c r="A268" s="27">
        <v>266</v>
      </c>
      <c r="B268" s="27">
        <f t="shared" ca="1" si="4"/>
        <v>0.79801256252893493</v>
      </c>
      <c r="C268" s="27" t="s">
        <v>227</v>
      </c>
    </row>
    <row r="269" spans="1:3" x14ac:dyDescent="0.2">
      <c r="A269" s="27">
        <v>267</v>
      </c>
      <c r="B269" s="27">
        <f t="shared" ca="1" si="4"/>
        <v>1.0093520732899515</v>
      </c>
      <c r="C269" s="27" t="s">
        <v>226</v>
      </c>
    </row>
    <row r="270" spans="1:3" x14ac:dyDescent="0.2">
      <c r="A270" s="27">
        <v>268</v>
      </c>
      <c r="B270" s="27">
        <f t="shared" ca="1" si="4"/>
        <v>0.45473645902286958</v>
      </c>
      <c r="C270" s="27" t="s">
        <v>226</v>
      </c>
    </row>
    <row r="271" spans="1:3" x14ac:dyDescent="0.2">
      <c r="A271" s="27">
        <v>269</v>
      </c>
      <c r="B271" s="27">
        <f t="shared" ca="1" si="4"/>
        <v>0.60021497458778716</v>
      </c>
      <c r="C271" s="27" t="s">
        <v>227</v>
      </c>
    </row>
    <row r="272" spans="1:3" x14ac:dyDescent="0.2">
      <c r="A272" s="27">
        <v>270</v>
      </c>
      <c r="B272" s="27">
        <f t="shared" ca="1" si="4"/>
        <v>0.86325181788764749</v>
      </c>
      <c r="C272" s="27" t="s">
        <v>227</v>
      </c>
    </row>
    <row r="273" spans="1:3" x14ac:dyDescent="0.2">
      <c r="A273" s="27">
        <v>271</v>
      </c>
      <c r="B273" s="27">
        <f t="shared" ca="1" si="4"/>
        <v>0.63798489725897334</v>
      </c>
      <c r="C273" s="27" t="s">
        <v>226</v>
      </c>
    </row>
    <row r="274" spans="1:3" x14ac:dyDescent="0.2">
      <c r="A274" s="27">
        <v>272</v>
      </c>
      <c r="B274" s="27">
        <f t="shared" ca="1" si="4"/>
        <v>0.33889424792773692</v>
      </c>
      <c r="C274" s="27" t="s">
        <v>226</v>
      </c>
    </row>
    <row r="275" spans="1:3" x14ac:dyDescent="0.2">
      <c r="A275" s="27">
        <v>273</v>
      </c>
      <c r="B275" s="27">
        <f t="shared" ca="1" si="4"/>
        <v>0.64699867169221892</v>
      </c>
      <c r="C275" s="27" t="s">
        <v>227</v>
      </c>
    </row>
    <row r="276" spans="1:3" x14ac:dyDescent="0.2">
      <c r="A276" s="27">
        <v>274</v>
      </c>
      <c r="B276" s="27">
        <f t="shared" ca="1" si="4"/>
        <v>0.49123984445863789</v>
      </c>
      <c r="C276" s="27" t="s">
        <v>226</v>
      </c>
    </row>
    <row r="277" spans="1:3" x14ac:dyDescent="0.2">
      <c r="A277" s="27">
        <v>275</v>
      </c>
      <c r="B277" s="27">
        <f t="shared" ca="1" si="4"/>
        <v>0.82432145319963712</v>
      </c>
      <c r="C277" s="27" t="s">
        <v>226</v>
      </c>
    </row>
    <row r="278" spans="1:3" x14ac:dyDescent="0.2">
      <c r="A278" s="27">
        <v>276</v>
      </c>
      <c r="B278" s="27">
        <f t="shared" ca="1" si="4"/>
        <v>0.64092249842527227</v>
      </c>
      <c r="C278" s="27" t="s">
        <v>227</v>
      </c>
    </row>
    <row r="279" spans="1:3" x14ac:dyDescent="0.2">
      <c r="A279" s="27">
        <v>277</v>
      </c>
      <c r="B279" s="27">
        <f t="shared" ca="1" si="4"/>
        <v>0.73235598250201761</v>
      </c>
      <c r="C279" s="27" t="s">
        <v>227</v>
      </c>
    </row>
    <row r="280" spans="1:3" x14ac:dyDescent="0.2">
      <c r="A280" s="27">
        <v>278</v>
      </c>
      <c r="B280" s="27">
        <f t="shared" ca="1" si="4"/>
        <v>0.60685707418058565</v>
      </c>
      <c r="C280" s="27" t="s">
        <v>226</v>
      </c>
    </row>
    <row r="281" spans="1:3" x14ac:dyDescent="0.2">
      <c r="A281" s="27">
        <v>279</v>
      </c>
      <c r="B281" s="27">
        <f t="shared" ca="1" si="4"/>
        <v>0.75390985309768754</v>
      </c>
      <c r="C281" s="27" t="s">
        <v>226</v>
      </c>
    </row>
    <row r="282" spans="1:3" x14ac:dyDescent="0.2">
      <c r="A282" s="27">
        <v>280</v>
      </c>
      <c r="B282" s="27">
        <f t="shared" ca="1" si="4"/>
        <v>0.64108128029440847</v>
      </c>
      <c r="C282" s="27" t="s">
        <v>226</v>
      </c>
    </row>
    <row r="283" spans="1:3" x14ac:dyDescent="0.2">
      <c r="A283" s="27">
        <v>281</v>
      </c>
      <c r="B283" s="27">
        <f t="shared" ca="1" si="4"/>
        <v>0.34663723491030074</v>
      </c>
      <c r="C283" s="27" t="s">
        <v>226</v>
      </c>
    </row>
    <row r="284" spans="1:3" x14ac:dyDescent="0.2">
      <c r="A284" s="27">
        <v>282</v>
      </c>
      <c r="B284" s="27">
        <f t="shared" ca="1" si="4"/>
        <v>0.56110846933775727</v>
      </c>
      <c r="C284" s="27" t="s">
        <v>227</v>
      </c>
    </row>
    <row r="285" spans="1:3" x14ac:dyDescent="0.2">
      <c r="A285" s="27">
        <v>283</v>
      </c>
      <c r="B285" s="27">
        <f t="shared" ca="1" si="4"/>
        <v>0.6700705618227818</v>
      </c>
      <c r="C285" s="27" t="s">
        <v>227</v>
      </c>
    </row>
    <row r="286" spans="1:3" x14ac:dyDescent="0.2">
      <c r="A286" s="27">
        <v>284</v>
      </c>
      <c r="B286" s="27">
        <f t="shared" ca="1" si="4"/>
        <v>0.70786145625381525</v>
      </c>
      <c r="C286" s="27" t="s">
        <v>227</v>
      </c>
    </row>
    <row r="287" spans="1:3" x14ac:dyDescent="0.2">
      <c r="A287" s="27">
        <v>285</v>
      </c>
      <c r="B287" s="27">
        <f t="shared" ca="1" si="4"/>
        <v>0.67331930699595444</v>
      </c>
      <c r="C287" s="27" t="s">
        <v>226</v>
      </c>
    </row>
    <row r="288" spans="1:3" x14ac:dyDescent="0.2">
      <c r="A288" s="27">
        <v>286</v>
      </c>
      <c r="B288" s="27">
        <f t="shared" ca="1" si="4"/>
        <v>0.84628745533127003</v>
      </c>
      <c r="C288" s="27" t="s">
        <v>227</v>
      </c>
    </row>
    <row r="289" spans="1:3" x14ac:dyDescent="0.2">
      <c r="A289" s="27">
        <v>287</v>
      </c>
      <c r="B289" s="27">
        <f t="shared" ca="1" si="4"/>
        <v>0.67400841507992304</v>
      </c>
      <c r="C289" s="27" t="s">
        <v>227</v>
      </c>
    </row>
    <row r="290" spans="1:3" x14ac:dyDescent="0.2">
      <c r="A290" s="27">
        <v>288</v>
      </c>
      <c r="B290" s="27">
        <f t="shared" ca="1" si="4"/>
        <v>0.66918862610795293</v>
      </c>
      <c r="C290" s="27" t="s">
        <v>227</v>
      </c>
    </row>
    <row r="291" spans="1:3" x14ac:dyDescent="0.2">
      <c r="A291" s="27">
        <v>289</v>
      </c>
      <c r="B291" s="27">
        <f t="shared" ca="1" si="4"/>
        <v>0.76909531561004973</v>
      </c>
      <c r="C291" s="27" t="s">
        <v>227</v>
      </c>
    </row>
    <row r="292" spans="1:3" x14ac:dyDescent="0.2">
      <c r="A292" s="27">
        <v>290</v>
      </c>
      <c r="B292" s="27">
        <f t="shared" ca="1" si="4"/>
        <v>0.69311528634581587</v>
      </c>
      <c r="C292" s="27" t="s">
        <v>226</v>
      </c>
    </row>
    <row r="293" spans="1:3" x14ac:dyDescent="0.2">
      <c r="A293" s="27">
        <v>291</v>
      </c>
      <c r="B293" s="27">
        <f t="shared" ca="1" si="4"/>
        <v>0.80602585538346461</v>
      </c>
      <c r="C293" s="27" t="s">
        <v>227</v>
      </c>
    </row>
    <row r="294" spans="1:3" x14ac:dyDescent="0.2">
      <c r="A294" s="27">
        <v>292</v>
      </c>
      <c r="B294" s="27">
        <f t="shared" ca="1" si="4"/>
        <v>0.47736653128646633</v>
      </c>
      <c r="C294" s="27" t="s">
        <v>226</v>
      </c>
    </row>
    <row r="295" spans="1:3" x14ac:dyDescent="0.2">
      <c r="A295" s="27">
        <v>293</v>
      </c>
      <c r="B295" s="27">
        <f t="shared" ca="1" si="4"/>
        <v>0.72258409747383323</v>
      </c>
      <c r="C295" s="27" t="s">
        <v>227</v>
      </c>
    </row>
    <row r="296" spans="1:3" x14ac:dyDescent="0.2">
      <c r="A296" s="27">
        <v>294</v>
      </c>
      <c r="B296" s="27">
        <f t="shared" ca="1" si="4"/>
        <v>0.92303533167212204</v>
      </c>
      <c r="C296" s="27" t="s">
        <v>226</v>
      </c>
    </row>
    <row r="297" spans="1:3" x14ac:dyDescent="0.2">
      <c r="A297" s="27">
        <v>295</v>
      </c>
      <c r="B297" s="27">
        <f t="shared" ca="1" si="4"/>
        <v>0.49866171462149017</v>
      </c>
      <c r="C297" s="27" t="s">
        <v>226</v>
      </c>
    </row>
    <row r="298" spans="1:3" x14ac:dyDescent="0.2">
      <c r="A298" s="27">
        <v>296</v>
      </c>
      <c r="B298" s="27">
        <f t="shared" ca="1" si="4"/>
        <v>0.618935987016209</v>
      </c>
      <c r="C298" s="27" t="s">
        <v>227</v>
      </c>
    </row>
    <row r="299" spans="1:3" x14ac:dyDescent="0.2">
      <c r="A299" s="27">
        <v>297</v>
      </c>
      <c r="B299" s="27">
        <f t="shared" ca="1" si="4"/>
        <v>0.7450711698978405</v>
      </c>
      <c r="C299" s="27" t="s">
        <v>227</v>
      </c>
    </row>
    <row r="300" spans="1:3" x14ac:dyDescent="0.2">
      <c r="A300" s="27">
        <v>298</v>
      </c>
      <c r="B300" s="27">
        <f t="shared" ca="1" si="4"/>
        <v>0.25840476914826727</v>
      </c>
      <c r="C300" s="27" t="s">
        <v>226</v>
      </c>
    </row>
    <row r="301" spans="1:3" x14ac:dyDescent="0.2">
      <c r="A301" s="27">
        <v>299</v>
      </c>
      <c r="B301" s="27">
        <f t="shared" ca="1" si="4"/>
        <v>0.67022027027462094</v>
      </c>
      <c r="C301" s="27" t="s">
        <v>227</v>
      </c>
    </row>
    <row r="302" spans="1:3" x14ac:dyDescent="0.2">
      <c r="A302" s="27">
        <v>300</v>
      </c>
      <c r="B302" s="27">
        <f t="shared" ca="1" si="4"/>
        <v>0.71355699278347817</v>
      </c>
      <c r="C302" s="27" t="s">
        <v>227</v>
      </c>
    </row>
    <row r="303" spans="1:3" x14ac:dyDescent="0.2">
      <c r="A303" s="27">
        <v>301</v>
      </c>
      <c r="B303" s="27">
        <f t="shared" ca="1" si="4"/>
        <v>0.70800012446541838</v>
      </c>
      <c r="C303" s="27" t="s">
        <v>227</v>
      </c>
    </row>
    <row r="304" spans="1:3" x14ac:dyDescent="0.2">
      <c r="A304" s="27">
        <v>302</v>
      </c>
      <c r="B304" s="27">
        <f t="shared" ca="1" si="4"/>
        <v>0.63599053117226456</v>
      </c>
      <c r="C304" s="27" t="s">
        <v>227</v>
      </c>
    </row>
    <row r="305" spans="1:3" x14ac:dyDescent="0.2">
      <c r="A305" s="27">
        <v>303</v>
      </c>
      <c r="B305" s="27">
        <f t="shared" ca="1" si="4"/>
        <v>0.69955280222044502</v>
      </c>
      <c r="C305" s="27" t="s">
        <v>227</v>
      </c>
    </row>
    <row r="306" spans="1:3" x14ac:dyDescent="0.2">
      <c r="A306" s="27">
        <v>304</v>
      </c>
      <c r="B306" s="27">
        <f t="shared" ca="1" si="4"/>
        <v>0.69432296889922607</v>
      </c>
      <c r="C306" s="27" t="s">
        <v>227</v>
      </c>
    </row>
    <row r="307" spans="1:3" x14ac:dyDescent="0.2">
      <c r="A307" s="27">
        <v>305</v>
      </c>
      <c r="B307" s="27">
        <f t="shared" ca="1" si="4"/>
        <v>0.38661748448412048</v>
      </c>
      <c r="C307" s="27" t="s">
        <v>226</v>
      </c>
    </row>
    <row r="308" spans="1:3" x14ac:dyDescent="0.2">
      <c r="A308" s="27">
        <v>306</v>
      </c>
      <c r="B308" s="27">
        <f t="shared" ca="1" si="4"/>
        <v>0.8961653211137568</v>
      </c>
      <c r="C308" s="27" t="s">
        <v>227</v>
      </c>
    </row>
    <row r="309" spans="1:3" x14ac:dyDescent="0.2">
      <c r="A309" s="27">
        <v>307</v>
      </c>
      <c r="B309" s="27">
        <f t="shared" ca="1" si="4"/>
        <v>0.59228739554428345</v>
      </c>
      <c r="C309" s="27" t="s">
        <v>226</v>
      </c>
    </row>
    <row r="310" spans="1:3" x14ac:dyDescent="0.2">
      <c r="A310" s="27">
        <v>308</v>
      </c>
      <c r="B310" s="27">
        <f t="shared" ca="1" si="4"/>
        <v>0.59704409501506484</v>
      </c>
      <c r="C310" s="27" t="s">
        <v>227</v>
      </c>
    </row>
    <row r="311" spans="1:3" x14ac:dyDescent="0.2">
      <c r="A311" s="27">
        <v>309</v>
      </c>
      <c r="B311" s="27">
        <f t="shared" ca="1" si="4"/>
        <v>0.70887556937315888</v>
      </c>
      <c r="C311" s="27" t="s">
        <v>227</v>
      </c>
    </row>
    <row r="312" spans="1:3" x14ac:dyDescent="0.2">
      <c r="A312" s="27">
        <v>310</v>
      </c>
      <c r="B312" s="27">
        <f t="shared" ca="1" si="4"/>
        <v>0.24089693390266892</v>
      </c>
      <c r="C312" s="27" t="s">
        <v>226</v>
      </c>
    </row>
    <row r="313" spans="1:3" x14ac:dyDescent="0.2">
      <c r="A313" s="27">
        <v>311</v>
      </c>
      <c r="B313" s="27">
        <f t="shared" ca="1" si="4"/>
        <v>0.58110394213120875</v>
      </c>
      <c r="C313" s="27" t="s">
        <v>227</v>
      </c>
    </row>
    <row r="314" spans="1:3" x14ac:dyDescent="0.2">
      <c r="A314" s="27">
        <v>312</v>
      </c>
      <c r="B314" s="27">
        <f t="shared" ca="1" si="4"/>
        <v>0.61053784253293197</v>
      </c>
      <c r="C314" s="27" t="s">
        <v>227</v>
      </c>
    </row>
    <row r="315" spans="1:3" x14ac:dyDescent="0.2">
      <c r="A315" s="27">
        <v>313</v>
      </c>
      <c r="B315" s="27">
        <f t="shared" ca="1" si="4"/>
        <v>0.6495928378642204</v>
      </c>
      <c r="C315" s="27" t="s">
        <v>226</v>
      </c>
    </row>
    <row r="316" spans="1:3" x14ac:dyDescent="0.2">
      <c r="A316" s="27">
        <v>314</v>
      </c>
      <c r="B316" s="27">
        <f t="shared" ca="1" si="4"/>
        <v>0.59796104745855139</v>
      </c>
      <c r="C316" s="27" t="s">
        <v>226</v>
      </c>
    </row>
    <row r="317" spans="1:3" x14ac:dyDescent="0.2">
      <c r="A317" s="27">
        <v>315</v>
      </c>
      <c r="B317" s="27">
        <f t="shared" ca="1" si="4"/>
        <v>0.73660883731475579</v>
      </c>
      <c r="C317" s="27" t="s">
        <v>227</v>
      </c>
    </row>
    <row r="318" spans="1:3" x14ac:dyDescent="0.2">
      <c r="A318" s="27">
        <v>316</v>
      </c>
      <c r="B318" s="27">
        <f t="shared" ca="1" si="4"/>
        <v>0.62075460117443015</v>
      </c>
      <c r="C318" s="27" t="s">
        <v>227</v>
      </c>
    </row>
    <row r="319" spans="1:3" x14ac:dyDescent="0.2">
      <c r="A319" s="27">
        <v>317</v>
      </c>
      <c r="B319" s="27">
        <f t="shared" ca="1" si="4"/>
        <v>0.37146798004520809</v>
      </c>
      <c r="C319" s="27" t="s">
        <v>226</v>
      </c>
    </row>
    <row r="320" spans="1:3" x14ac:dyDescent="0.2">
      <c r="A320" s="27">
        <v>318</v>
      </c>
      <c r="B320" s="27">
        <f t="shared" ca="1" si="4"/>
        <v>0.76430818782524035</v>
      </c>
      <c r="C320" s="27" t="s">
        <v>227</v>
      </c>
    </row>
    <row r="321" spans="1:3" x14ac:dyDescent="0.2">
      <c r="A321" s="27">
        <v>319</v>
      </c>
      <c r="B321" s="27">
        <f t="shared" ca="1" si="4"/>
        <v>0.61991160858383754</v>
      </c>
      <c r="C321" s="27" t="s">
        <v>226</v>
      </c>
    </row>
    <row r="322" spans="1:3" x14ac:dyDescent="0.2">
      <c r="A322" s="27">
        <v>320</v>
      </c>
      <c r="B322" s="27">
        <f t="shared" ca="1" si="4"/>
        <v>0.87403321651606025</v>
      </c>
      <c r="C322" s="27" t="s">
        <v>226</v>
      </c>
    </row>
    <row r="323" spans="1:3" x14ac:dyDescent="0.2">
      <c r="A323" s="27">
        <v>321</v>
      </c>
      <c r="B323" s="27">
        <f t="shared" ref="B323:B386" ca="1" si="5">IF(C323="Bomb",_xlfn.NORM.INV(RAND(),0.7,0.1),_xlfn.NORM.INV(RAND(),0.6,0.15))</f>
        <v>0.79964704007011789</v>
      </c>
      <c r="C323" s="27" t="s">
        <v>227</v>
      </c>
    </row>
    <row r="324" spans="1:3" x14ac:dyDescent="0.2">
      <c r="A324" s="27">
        <v>322</v>
      </c>
      <c r="B324" s="27">
        <f t="shared" ca="1" si="5"/>
        <v>0.64009682682757496</v>
      </c>
      <c r="C324" s="27" t="s">
        <v>227</v>
      </c>
    </row>
    <row r="325" spans="1:3" x14ac:dyDescent="0.2">
      <c r="A325" s="27">
        <v>323</v>
      </c>
      <c r="B325" s="27">
        <f t="shared" ca="1" si="5"/>
        <v>0.73888166127382127</v>
      </c>
      <c r="C325" s="27" t="s">
        <v>227</v>
      </c>
    </row>
    <row r="326" spans="1:3" x14ac:dyDescent="0.2">
      <c r="A326" s="27">
        <v>324</v>
      </c>
      <c r="B326" s="27">
        <f t="shared" ca="1" si="5"/>
        <v>0.63580990847752883</v>
      </c>
      <c r="C326" s="27" t="s">
        <v>226</v>
      </c>
    </row>
    <row r="327" spans="1:3" x14ac:dyDescent="0.2">
      <c r="A327" s="27">
        <v>325</v>
      </c>
      <c r="B327" s="27">
        <f t="shared" ca="1" si="5"/>
        <v>0.58597268930490765</v>
      </c>
      <c r="C327" s="27" t="s">
        <v>226</v>
      </c>
    </row>
    <row r="328" spans="1:3" x14ac:dyDescent="0.2">
      <c r="A328" s="27">
        <v>326</v>
      </c>
      <c r="B328" s="27">
        <f t="shared" ca="1" si="5"/>
        <v>0.76801817335625366</v>
      </c>
      <c r="C328" s="27" t="s">
        <v>227</v>
      </c>
    </row>
    <row r="329" spans="1:3" x14ac:dyDescent="0.2">
      <c r="A329" s="27">
        <v>327</v>
      </c>
      <c r="B329" s="27">
        <f t="shared" ca="1" si="5"/>
        <v>0.63077775222730215</v>
      </c>
      <c r="C329" s="27" t="s">
        <v>226</v>
      </c>
    </row>
    <row r="330" spans="1:3" x14ac:dyDescent="0.2">
      <c r="A330" s="27">
        <v>328</v>
      </c>
      <c r="B330" s="27">
        <f t="shared" ca="1" si="5"/>
        <v>0.38288764421675914</v>
      </c>
      <c r="C330" s="27" t="s">
        <v>226</v>
      </c>
    </row>
    <row r="331" spans="1:3" x14ac:dyDescent="0.2">
      <c r="A331" s="27">
        <v>329</v>
      </c>
      <c r="B331" s="27">
        <f t="shared" ca="1" si="5"/>
        <v>0.56003972079971986</v>
      </c>
      <c r="C331" s="27" t="s">
        <v>227</v>
      </c>
    </row>
    <row r="332" spans="1:3" x14ac:dyDescent="0.2">
      <c r="A332" s="27">
        <v>330</v>
      </c>
      <c r="B332" s="27">
        <f t="shared" ca="1" si="5"/>
        <v>0.69626947852078747</v>
      </c>
      <c r="C332" s="27" t="s">
        <v>226</v>
      </c>
    </row>
    <row r="333" spans="1:3" x14ac:dyDescent="0.2">
      <c r="A333" s="27">
        <v>331</v>
      </c>
      <c r="B333" s="27">
        <f t="shared" ca="1" si="5"/>
        <v>0.58360661862295371</v>
      </c>
      <c r="C333" s="27" t="s">
        <v>226</v>
      </c>
    </row>
    <row r="334" spans="1:3" x14ac:dyDescent="0.2">
      <c r="A334" s="27">
        <v>332</v>
      </c>
      <c r="B334" s="27">
        <f t="shared" ca="1" si="5"/>
        <v>0.67577085617889232</v>
      </c>
      <c r="C334" s="27" t="s">
        <v>227</v>
      </c>
    </row>
    <row r="335" spans="1:3" x14ac:dyDescent="0.2">
      <c r="A335" s="27">
        <v>333</v>
      </c>
      <c r="B335" s="27">
        <f t="shared" ca="1" si="5"/>
        <v>0.56722060465329593</v>
      </c>
      <c r="C335" s="27" t="s">
        <v>226</v>
      </c>
    </row>
    <row r="336" spans="1:3" x14ac:dyDescent="0.2">
      <c r="A336" s="27">
        <v>334</v>
      </c>
      <c r="B336" s="27">
        <f t="shared" ca="1" si="5"/>
        <v>0.54070816574961511</v>
      </c>
      <c r="C336" s="27" t="s">
        <v>226</v>
      </c>
    </row>
    <row r="337" spans="1:3" x14ac:dyDescent="0.2">
      <c r="A337" s="27">
        <v>335</v>
      </c>
      <c r="B337" s="27">
        <f t="shared" ca="1" si="5"/>
        <v>0.41201182985594165</v>
      </c>
      <c r="C337" s="27" t="s">
        <v>226</v>
      </c>
    </row>
    <row r="338" spans="1:3" x14ac:dyDescent="0.2">
      <c r="A338" s="27">
        <v>336</v>
      </c>
      <c r="B338" s="27">
        <f t="shared" ca="1" si="5"/>
        <v>0.74242319722321171</v>
      </c>
      <c r="C338" s="27" t="s">
        <v>227</v>
      </c>
    </row>
    <row r="339" spans="1:3" x14ac:dyDescent="0.2">
      <c r="A339" s="27">
        <v>337</v>
      </c>
      <c r="B339" s="27">
        <f t="shared" ca="1" si="5"/>
        <v>0.73230642237411581</v>
      </c>
      <c r="C339" s="27" t="s">
        <v>227</v>
      </c>
    </row>
    <row r="340" spans="1:3" x14ac:dyDescent="0.2">
      <c r="A340" s="27">
        <v>338</v>
      </c>
      <c r="B340" s="27">
        <f t="shared" ca="1" si="5"/>
        <v>0.72906524973970166</v>
      </c>
      <c r="C340" s="27" t="s">
        <v>227</v>
      </c>
    </row>
    <row r="341" spans="1:3" x14ac:dyDescent="0.2">
      <c r="A341" s="27">
        <v>339</v>
      </c>
      <c r="B341" s="27">
        <f t="shared" ca="1" si="5"/>
        <v>0.64108999344335804</v>
      </c>
      <c r="C341" s="27" t="s">
        <v>226</v>
      </c>
    </row>
    <row r="342" spans="1:3" x14ac:dyDescent="0.2">
      <c r="A342" s="27">
        <v>340</v>
      </c>
      <c r="B342" s="27">
        <f t="shared" ca="1" si="5"/>
        <v>0.67100097921414859</v>
      </c>
      <c r="C342" s="27" t="s">
        <v>226</v>
      </c>
    </row>
    <row r="343" spans="1:3" x14ac:dyDescent="0.2">
      <c r="A343" s="27">
        <v>341</v>
      </c>
      <c r="B343" s="27">
        <f t="shared" ca="1" si="5"/>
        <v>0.57186629024423086</v>
      </c>
      <c r="C343" s="27" t="s">
        <v>226</v>
      </c>
    </row>
    <row r="344" spans="1:3" x14ac:dyDescent="0.2">
      <c r="A344" s="27">
        <v>342</v>
      </c>
      <c r="B344" s="27">
        <f t="shared" ca="1" si="5"/>
        <v>0.57217228452487157</v>
      </c>
      <c r="C344" s="27" t="s">
        <v>226</v>
      </c>
    </row>
    <row r="345" spans="1:3" x14ac:dyDescent="0.2">
      <c r="A345" s="27">
        <v>343</v>
      </c>
      <c r="B345" s="27">
        <f t="shared" ca="1" si="5"/>
        <v>0.67077025727174489</v>
      </c>
      <c r="C345" s="27" t="s">
        <v>227</v>
      </c>
    </row>
    <row r="346" spans="1:3" x14ac:dyDescent="0.2">
      <c r="A346" s="27">
        <v>344</v>
      </c>
      <c r="B346" s="27">
        <f t="shared" ca="1" si="5"/>
        <v>0.80700735492726727</v>
      </c>
      <c r="C346" s="27" t="s">
        <v>227</v>
      </c>
    </row>
    <row r="347" spans="1:3" x14ac:dyDescent="0.2">
      <c r="A347" s="27">
        <v>345</v>
      </c>
      <c r="B347" s="27">
        <f t="shared" ca="1" si="5"/>
        <v>0.5385941988087134</v>
      </c>
      <c r="C347" s="27" t="s">
        <v>226</v>
      </c>
    </row>
    <row r="348" spans="1:3" x14ac:dyDescent="0.2">
      <c r="A348" s="27">
        <v>346</v>
      </c>
      <c r="B348" s="27">
        <f t="shared" ca="1" si="5"/>
        <v>0.73809817365850605</v>
      </c>
      <c r="C348" s="27" t="s">
        <v>227</v>
      </c>
    </row>
    <row r="349" spans="1:3" x14ac:dyDescent="0.2">
      <c r="A349" s="27">
        <v>347</v>
      </c>
      <c r="B349" s="27">
        <f t="shared" ca="1" si="5"/>
        <v>0.43224067647050118</v>
      </c>
      <c r="C349" s="27" t="s">
        <v>226</v>
      </c>
    </row>
    <row r="350" spans="1:3" x14ac:dyDescent="0.2">
      <c r="A350" s="27">
        <v>348</v>
      </c>
      <c r="B350" s="27">
        <f t="shared" ca="1" si="5"/>
        <v>0.70137662444506921</v>
      </c>
      <c r="C350" s="27" t="s">
        <v>227</v>
      </c>
    </row>
    <row r="351" spans="1:3" x14ac:dyDescent="0.2">
      <c r="A351" s="27">
        <v>349</v>
      </c>
      <c r="B351" s="27">
        <f t="shared" ca="1" si="5"/>
        <v>0.83447943823766446</v>
      </c>
      <c r="C351" s="27" t="s">
        <v>227</v>
      </c>
    </row>
    <row r="352" spans="1:3" x14ac:dyDescent="0.2">
      <c r="A352" s="27">
        <v>350</v>
      </c>
      <c r="B352" s="27">
        <f t="shared" ca="1" si="5"/>
        <v>0.52881971717367038</v>
      </c>
      <c r="C352" s="27" t="s">
        <v>226</v>
      </c>
    </row>
    <row r="353" spans="1:3" x14ac:dyDescent="0.2">
      <c r="A353" s="27">
        <v>351</v>
      </c>
      <c r="B353" s="27">
        <f t="shared" ca="1" si="5"/>
        <v>0.50647877995682289</v>
      </c>
      <c r="C353" s="27" t="s">
        <v>226</v>
      </c>
    </row>
    <row r="354" spans="1:3" x14ac:dyDescent="0.2">
      <c r="A354" s="27">
        <v>352</v>
      </c>
      <c r="B354" s="27">
        <f t="shared" ca="1" si="5"/>
        <v>0.58406968462077846</v>
      </c>
      <c r="C354" s="27" t="s">
        <v>226</v>
      </c>
    </row>
    <row r="355" spans="1:3" x14ac:dyDescent="0.2">
      <c r="A355" s="27">
        <v>353</v>
      </c>
      <c r="B355" s="27">
        <f t="shared" ca="1" si="5"/>
        <v>0.62486767898445483</v>
      </c>
      <c r="C355" s="27" t="s">
        <v>227</v>
      </c>
    </row>
    <row r="356" spans="1:3" x14ac:dyDescent="0.2">
      <c r="A356" s="27">
        <v>354</v>
      </c>
      <c r="B356" s="27">
        <f t="shared" ca="1" si="5"/>
        <v>0.62131653378330809</v>
      </c>
      <c r="C356" s="27" t="s">
        <v>227</v>
      </c>
    </row>
    <row r="357" spans="1:3" x14ac:dyDescent="0.2">
      <c r="A357" s="27">
        <v>355</v>
      </c>
      <c r="B357" s="27">
        <f t="shared" ca="1" si="5"/>
        <v>0.57330813610469766</v>
      </c>
      <c r="C357" s="27" t="s">
        <v>227</v>
      </c>
    </row>
    <row r="358" spans="1:3" x14ac:dyDescent="0.2">
      <c r="A358" s="27">
        <v>356</v>
      </c>
      <c r="B358" s="27">
        <f t="shared" ca="1" si="5"/>
        <v>0.87252042369792882</v>
      </c>
      <c r="C358" s="27" t="s">
        <v>227</v>
      </c>
    </row>
    <row r="359" spans="1:3" x14ac:dyDescent="0.2">
      <c r="A359" s="27">
        <v>357</v>
      </c>
      <c r="B359" s="27">
        <f t="shared" ca="1" si="5"/>
        <v>0.64372454654683597</v>
      </c>
      <c r="C359" s="27" t="s">
        <v>226</v>
      </c>
    </row>
    <row r="360" spans="1:3" x14ac:dyDescent="0.2">
      <c r="A360" s="27">
        <v>358</v>
      </c>
      <c r="B360" s="27">
        <f t="shared" ca="1" si="5"/>
        <v>0.77997697403609201</v>
      </c>
      <c r="C360" s="27" t="s">
        <v>227</v>
      </c>
    </row>
    <row r="361" spans="1:3" x14ac:dyDescent="0.2">
      <c r="A361" s="27">
        <v>359</v>
      </c>
      <c r="B361" s="27">
        <f t="shared" ca="1" si="5"/>
        <v>0.51894885527795087</v>
      </c>
      <c r="C361" s="27" t="s">
        <v>226</v>
      </c>
    </row>
    <row r="362" spans="1:3" x14ac:dyDescent="0.2">
      <c r="A362" s="27">
        <v>360</v>
      </c>
      <c r="B362" s="27">
        <f t="shared" ca="1" si="5"/>
        <v>0.60607102691725845</v>
      </c>
      <c r="C362" s="27" t="s">
        <v>226</v>
      </c>
    </row>
    <row r="363" spans="1:3" x14ac:dyDescent="0.2">
      <c r="A363" s="27">
        <v>361</v>
      </c>
      <c r="B363" s="27">
        <f t="shared" ca="1" si="5"/>
        <v>0.79779506453216653</v>
      </c>
      <c r="C363" s="27" t="s">
        <v>227</v>
      </c>
    </row>
    <row r="364" spans="1:3" x14ac:dyDescent="0.2">
      <c r="A364" s="27">
        <v>362</v>
      </c>
      <c r="B364" s="27">
        <f t="shared" ca="1" si="5"/>
        <v>0.66966584491437497</v>
      </c>
      <c r="C364" s="27" t="s">
        <v>227</v>
      </c>
    </row>
    <row r="365" spans="1:3" x14ac:dyDescent="0.2">
      <c r="A365" s="27">
        <v>363</v>
      </c>
      <c r="B365" s="27">
        <f t="shared" ca="1" si="5"/>
        <v>0.60484686018640432</v>
      </c>
      <c r="C365" s="27" t="s">
        <v>226</v>
      </c>
    </row>
    <row r="366" spans="1:3" x14ac:dyDescent="0.2">
      <c r="A366" s="27">
        <v>364</v>
      </c>
      <c r="B366" s="27">
        <f t="shared" ca="1" si="5"/>
        <v>0.67873433656314774</v>
      </c>
      <c r="C366" s="27" t="s">
        <v>227</v>
      </c>
    </row>
    <row r="367" spans="1:3" x14ac:dyDescent="0.2">
      <c r="A367" s="27">
        <v>365</v>
      </c>
      <c r="B367" s="27">
        <f t="shared" ca="1" si="5"/>
        <v>0.74918999755064009</v>
      </c>
      <c r="C367" s="27" t="s">
        <v>226</v>
      </c>
    </row>
    <row r="368" spans="1:3" x14ac:dyDescent="0.2">
      <c r="A368" s="27">
        <v>366</v>
      </c>
      <c r="B368" s="27">
        <f t="shared" ca="1" si="5"/>
        <v>0.4484692060394741</v>
      </c>
      <c r="C368" s="27" t="s">
        <v>226</v>
      </c>
    </row>
    <row r="369" spans="1:3" x14ac:dyDescent="0.2">
      <c r="A369" s="27">
        <v>367</v>
      </c>
      <c r="B369" s="27">
        <f t="shared" ca="1" si="5"/>
        <v>0.59687827177065356</v>
      </c>
      <c r="C369" s="27" t="s">
        <v>227</v>
      </c>
    </row>
    <row r="370" spans="1:3" x14ac:dyDescent="0.2">
      <c r="A370" s="27">
        <v>368</v>
      </c>
      <c r="B370" s="27">
        <f t="shared" ca="1" si="5"/>
        <v>0.83683216750301281</v>
      </c>
      <c r="C370" s="27" t="s">
        <v>227</v>
      </c>
    </row>
    <row r="371" spans="1:3" x14ac:dyDescent="0.2">
      <c r="A371" s="27">
        <v>369</v>
      </c>
      <c r="B371" s="27">
        <f t="shared" ca="1" si="5"/>
        <v>0.87565829214359114</v>
      </c>
      <c r="C371" s="27" t="s">
        <v>226</v>
      </c>
    </row>
    <row r="372" spans="1:3" x14ac:dyDescent="0.2">
      <c r="A372" s="27">
        <v>370</v>
      </c>
      <c r="B372" s="27">
        <f t="shared" ca="1" si="5"/>
        <v>0.75875283905714852</v>
      </c>
      <c r="C372" s="27" t="s">
        <v>227</v>
      </c>
    </row>
    <row r="373" spans="1:3" x14ac:dyDescent="0.2">
      <c r="A373" s="27">
        <v>371</v>
      </c>
      <c r="B373" s="27">
        <f t="shared" ca="1" si="5"/>
        <v>0.62036211093022098</v>
      </c>
      <c r="C373" s="27" t="s">
        <v>227</v>
      </c>
    </row>
    <row r="374" spans="1:3" x14ac:dyDescent="0.2">
      <c r="A374" s="27">
        <v>372</v>
      </c>
      <c r="B374" s="27">
        <f t="shared" ca="1" si="5"/>
        <v>0.65284353088172631</v>
      </c>
      <c r="C374" s="27" t="s">
        <v>226</v>
      </c>
    </row>
    <row r="375" spans="1:3" x14ac:dyDescent="0.2">
      <c r="A375" s="27">
        <v>373</v>
      </c>
      <c r="B375" s="27">
        <f t="shared" ca="1" si="5"/>
        <v>0.78581987716064927</v>
      </c>
      <c r="C375" s="27" t="s">
        <v>227</v>
      </c>
    </row>
    <row r="376" spans="1:3" x14ac:dyDescent="0.2">
      <c r="A376" s="27">
        <v>374</v>
      </c>
      <c r="B376" s="27">
        <f t="shared" ca="1" si="5"/>
        <v>0.69515640452428462</v>
      </c>
      <c r="C376" s="27" t="s">
        <v>227</v>
      </c>
    </row>
    <row r="377" spans="1:3" x14ac:dyDescent="0.2">
      <c r="A377" s="27">
        <v>375</v>
      </c>
      <c r="B377" s="27">
        <f t="shared" ca="1" si="5"/>
        <v>0.61522434409546101</v>
      </c>
      <c r="C377" s="27" t="s">
        <v>226</v>
      </c>
    </row>
    <row r="378" spans="1:3" x14ac:dyDescent="0.2">
      <c r="A378" s="27">
        <v>376</v>
      </c>
      <c r="B378" s="27">
        <f t="shared" ca="1" si="5"/>
        <v>0.74676864402867771</v>
      </c>
      <c r="C378" s="27" t="s">
        <v>227</v>
      </c>
    </row>
    <row r="379" spans="1:3" x14ac:dyDescent="0.2">
      <c r="A379" s="27">
        <v>377</v>
      </c>
      <c r="B379" s="27">
        <f t="shared" ca="1" si="5"/>
        <v>0.95734770628100363</v>
      </c>
      <c r="C379" s="27" t="s">
        <v>227</v>
      </c>
    </row>
    <row r="380" spans="1:3" x14ac:dyDescent="0.2">
      <c r="A380" s="27">
        <v>378</v>
      </c>
      <c r="B380" s="27">
        <f t="shared" ca="1" si="5"/>
        <v>0.64834292109987646</v>
      </c>
      <c r="C380" s="27" t="s">
        <v>227</v>
      </c>
    </row>
    <row r="381" spans="1:3" x14ac:dyDescent="0.2">
      <c r="A381" s="27">
        <v>379</v>
      </c>
      <c r="B381" s="27">
        <f t="shared" ca="1" si="5"/>
        <v>0.74048313061160953</v>
      </c>
      <c r="C381" s="27" t="s">
        <v>227</v>
      </c>
    </row>
    <row r="382" spans="1:3" x14ac:dyDescent="0.2">
      <c r="A382" s="27">
        <v>380</v>
      </c>
      <c r="B382" s="27">
        <f t="shared" ca="1" si="5"/>
        <v>0.65419611679851419</v>
      </c>
      <c r="C382" s="27" t="s">
        <v>227</v>
      </c>
    </row>
    <row r="383" spans="1:3" x14ac:dyDescent="0.2">
      <c r="A383" s="27">
        <v>381</v>
      </c>
      <c r="B383" s="27">
        <f t="shared" ca="1" si="5"/>
        <v>0.75466726926658134</v>
      </c>
      <c r="C383" s="27" t="s">
        <v>227</v>
      </c>
    </row>
    <row r="384" spans="1:3" x14ac:dyDescent="0.2">
      <c r="A384" s="27">
        <v>382</v>
      </c>
      <c r="B384" s="27">
        <f t="shared" ca="1" si="5"/>
        <v>0.78027653592352031</v>
      </c>
      <c r="C384" s="27" t="s">
        <v>227</v>
      </c>
    </row>
    <row r="385" spans="1:3" x14ac:dyDescent="0.2">
      <c r="A385" s="27">
        <v>383</v>
      </c>
      <c r="B385" s="27">
        <f t="shared" ca="1" si="5"/>
        <v>0.67167427245616251</v>
      </c>
      <c r="C385" s="27" t="s">
        <v>226</v>
      </c>
    </row>
    <row r="386" spans="1:3" x14ac:dyDescent="0.2">
      <c r="A386" s="27">
        <v>384</v>
      </c>
      <c r="B386" s="27">
        <f t="shared" ca="1" si="5"/>
        <v>0.49145586376419342</v>
      </c>
      <c r="C386" s="27" t="s">
        <v>227</v>
      </c>
    </row>
    <row r="387" spans="1:3" x14ac:dyDescent="0.2">
      <c r="A387" s="27">
        <v>385</v>
      </c>
      <c r="B387" s="27">
        <f t="shared" ref="B387:B450" ca="1" si="6">IF(C387="Bomb",_xlfn.NORM.INV(RAND(),0.7,0.1),_xlfn.NORM.INV(RAND(),0.6,0.15))</f>
        <v>0.64419413820821181</v>
      </c>
      <c r="C387" s="27" t="s">
        <v>226</v>
      </c>
    </row>
    <row r="388" spans="1:3" x14ac:dyDescent="0.2">
      <c r="A388" s="27">
        <v>386</v>
      </c>
      <c r="B388" s="27">
        <f t="shared" ca="1" si="6"/>
        <v>0.6676751865077335</v>
      </c>
      <c r="C388" s="27" t="s">
        <v>226</v>
      </c>
    </row>
    <row r="389" spans="1:3" x14ac:dyDescent="0.2">
      <c r="A389" s="27">
        <v>387</v>
      </c>
      <c r="B389" s="27">
        <f t="shared" ca="1" si="6"/>
        <v>0.85950586733332235</v>
      </c>
      <c r="C389" s="27" t="s">
        <v>226</v>
      </c>
    </row>
    <row r="390" spans="1:3" x14ac:dyDescent="0.2">
      <c r="A390" s="27">
        <v>388</v>
      </c>
      <c r="B390" s="27">
        <f t="shared" ca="1" si="6"/>
        <v>0.84496368135349531</v>
      </c>
      <c r="C390" s="27" t="s">
        <v>226</v>
      </c>
    </row>
    <row r="391" spans="1:3" x14ac:dyDescent="0.2">
      <c r="A391" s="27">
        <v>389</v>
      </c>
      <c r="B391" s="27">
        <f t="shared" ca="1" si="6"/>
        <v>0.35366038910663689</v>
      </c>
      <c r="C391" s="27" t="s">
        <v>226</v>
      </c>
    </row>
    <row r="392" spans="1:3" x14ac:dyDescent="0.2">
      <c r="A392" s="27">
        <v>390</v>
      </c>
      <c r="B392" s="27">
        <f t="shared" ca="1" si="6"/>
        <v>0.71575137078311502</v>
      </c>
      <c r="C392" s="27" t="s">
        <v>227</v>
      </c>
    </row>
    <row r="393" spans="1:3" x14ac:dyDescent="0.2">
      <c r="A393" s="27">
        <v>391</v>
      </c>
      <c r="B393" s="27">
        <f t="shared" ca="1" si="6"/>
        <v>0.6491235017938457</v>
      </c>
      <c r="C393" s="27" t="s">
        <v>227</v>
      </c>
    </row>
    <row r="394" spans="1:3" x14ac:dyDescent="0.2">
      <c r="A394" s="27">
        <v>392</v>
      </c>
      <c r="B394" s="27">
        <f t="shared" ca="1" si="6"/>
        <v>0.70048037808311614</v>
      </c>
      <c r="C394" s="27" t="s">
        <v>226</v>
      </c>
    </row>
    <row r="395" spans="1:3" x14ac:dyDescent="0.2">
      <c r="A395" s="27">
        <v>393</v>
      </c>
      <c r="B395" s="27">
        <f t="shared" ca="1" si="6"/>
        <v>0.64791808864734635</v>
      </c>
      <c r="C395" s="27" t="s">
        <v>226</v>
      </c>
    </row>
    <row r="396" spans="1:3" x14ac:dyDescent="0.2">
      <c r="A396" s="27">
        <v>394</v>
      </c>
      <c r="B396" s="27">
        <f t="shared" ca="1" si="6"/>
        <v>0.81210138252220332</v>
      </c>
      <c r="C396" s="27" t="s">
        <v>226</v>
      </c>
    </row>
    <row r="397" spans="1:3" x14ac:dyDescent="0.2">
      <c r="A397" s="27">
        <v>395</v>
      </c>
      <c r="B397" s="27">
        <f t="shared" ca="1" si="6"/>
        <v>0.78635027257813706</v>
      </c>
      <c r="C397" s="27" t="s">
        <v>227</v>
      </c>
    </row>
    <row r="398" spans="1:3" x14ac:dyDescent="0.2">
      <c r="A398" s="27">
        <v>396</v>
      </c>
      <c r="B398" s="27">
        <f t="shared" ca="1" si="6"/>
        <v>0.63065496256432396</v>
      </c>
      <c r="C398" s="27" t="s">
        <v>227</v>
      </c>
    </row>
    <row r="399" spans="1:3" x14ac:dyDescent="0.2">
      <c r="A399" s="27">
        <v>397</v>
      </c>
      <c r="B399" s="27">
        <f t="shared" ca="1" si="6"/>
        <v>0.49175803946648489</v>
      </c>
      <c r="C399" s="27" t="s">
        <v>226</v>
      </c>
    </row>
    <row r="400" spans="1:3" x14ac:dyDescent="0.2">
      <c r="A400" s="27">
        <v>398</v>
      </c>
      <c r="B400" s="27">
        <f t="shared" ca="1" si="6"/>
        <v>0.66995695732299054</v>
      </c>
      <c r="C400" s="27" t="s">
        <v>227</v>
      </c>
    </row>
    <row r="401" spans="1:3" x14ac:dyDescent="0.2">
      <c r="A401" s="27">
        <v>399</v>
      </c>
      <c r="B401" s="27">
        <f t="shared" ca="1" si="6"/>
        <v>0.38853252777436109</v>
      </c>
      <c r="C401" s="27" t="s">
        <v>226</v>
      </c>
    </row>
    <row r="402" spans="1:3" x14ac:dyDescent="0.2">
      <c r="A402" s="27">
        <v>400</v>
      </c>
      <c r="B402" s="27">
        <f t="shared" ca="1" si="6"/>
        <v>0.72982259060801835</v>
      </c>
      <c r="C402" s="27" t="s">
        <v>227</v>
      </c>
    </row>
    <row r="403" spans="1:3" x14ac:dyDescent="0.2">
      <c r="A403" s="27">
        <v>401</v>
      </c>
      <c r="B403" s="27">
        <f t="shared" ca="1" si="6"/>
        <v>0.56147384804729561</v>
      </c>
      <c r="C403" s="27" t="s">
        <v>226</v>
      </c>
    </row>
    <row r="404" spans="1:3" x14ac:dyDescent="0.2">
      <c r="A404" s="27">
        <v>402</v>
      </c>
      <c r="B404" s="27">
        <f t="shared" ca="1" si="6"/>
        <v>0.57393855807215932</v>
      </c>
      <c r="C404" s="27" t="s">
        <v>226</v>
      </c>
    </row>
    <row r="405" spans="1:3" x14ac:dyDescent="0.2">
      <c r="A405" s="27">
        <v>403</v>
      </c>
      <c r="B405" s="27">
        <f t="shared" ca="1" si="6"/>
        <v>0.67116140793724866</v>
      </c>
      <c r="C405" s="27" t="s">
        <v>226</v>
      </c>
    </row>
    <row r="406" spans="1:3" x14ac:dyDescent="0.2">
      <c r="A406" s="27">
        <v>404</v>
      </c>
      <c r="B406" s="27">
        <f t="shared" ca="1" si="6"/>
        <v>0.48171382712691302</v>
      </c>
      <c r="C406" s="27" t="s">
        <v>227</v>
      </c>
    </row>
    <row r="407" spans="1:3" x14ac:dyDescent="0.2">
      <c r="A407" s="27">
        <v>405</v>
      </c>
      <c r="B407" s="27">
        <f t="shared" ca="1" si="6"/>
        <v>0.93717601746304369</v>
      </c>
      <c r="C407" s="27" t="s">
        <v>227</v>
      </c>
    </row>
    <row r="408" spans="1:3" x14ac:dyDescent="0.2">
      <c r="A408" s="27">
        <v>406</v>
      </c>
      <c r="B408" s="27">
        <f t="shared" ca="1" si="6"/>
        <v>0.69007103545472503</v>
      </c>
      <c r="C408" s="27" t="s">
        <v>226</v>
      </c>
    </row>
    <row r="409" spans="1:3" x14ac:dyDescent="0.2">
      <c r="A409" s="27">
        <v>407</v>
      </c>
      <c r="B409" s="27">
        <f t="shared" ca="1" si="6"/>
        <v>0.41520526183258549</v>
      </c>
      <c r="C409" s="27" t="s">
        <v>226</v>
      </c>
    </row>
    <row r="410" spans="1:3" x14ac:dyDescent="0.2">
      <c r="A410" s="27">
        <v>408</v>
      </c>
      <c r="B410" s="27">
        <f t="shared" ca="1" si="6"/>
        <v>0.69920821268089706</v>
      </c>
      <c r="C410" s="27" t="s">
        <v>227</v>
      </c>
    </row>
    <row r="411" spans="1:3" x14ac:dyDescent="0.2">
      <c r="A411" s="27">
        <v>409</v>
      </c>
      <c r="B411" s="27">
        <f t="shared" ca="1" si="6"/>
        <v>0.83113945119972243</v>
      </c>
      <c r="C411" s="27" t="s">
        <v>227</v>
      </c>
    </row>
    <row r="412" spans="1:3" x14ac:dyDescent="0.2">
      <c r="A412" s="27">
        <v>410</v>
      </c>
      <c r="B412" s="27">
        <f t="shared" ca="1" si="6"/>
        <v>0.68449907129635301</v>
      </c>
      <c r="C412" s="27" t="s">
        <v>227</v>
      </c>
    </row>
    <row r="413" spans="1:3" x14ac:dyDescent="0.2">
      <c r="A413" s="27">
        <v>411</v>
      </c>
      <c r="B413" s="27">
        <f t="shared" ca="1" si="6"/>
        <v>0.64086781743603638</v>
      </c>
      <c r="C413" s="27" t="s">
        <v>226</v>
      </c>
    </row>
    <row r="414" spans="1:3" x14ac:dyDescent="0.2">
      <c r="A414" s="27">
        <v>412</v>
      </c>
      <c r="B414" s="27">
        <f t="shared" ca="1" si="6"/>
        <v>0.46873890060470164</v>
      </c>
      <c r="C414" s="27" t="s">
        <v>226</v>
      </c>
    </row>
    <row r="415" spans="1:3" x14ac:dyDescent="0.2">
      <c r="A415" s="27">
        <v>413</v>
      </c>
      <c r="B415" s="27">
        <f t="shared" ca="1" si="6"/>
        <v>0.84024543619424463</v>
      </c>
      <c r="C415" s="27" t="s">
        <v>227</v>
      </c>
    </row>
    <row r="416" spans="1:3" x14ac:dyDescent="0.2">
      <c r="A416" s="27">
        <v>414</v>
      </c>
      <c r="B416" s="27">
        <f t="shared" ca="1" si="6"/>
        <v>0.67763733727393438</v>
      </c>
      <c r="C416" s="27" t="s">
        <v>227</v>
      </c>
    </row>
    <row r="417" spans="1:3" x14ac:dyDescent="0.2">
      <c r="A417" s="27">
        <v>415</v>
      </c>
      <c r="B417" s="27">
        <f t="shared" ca="1" si="6"/>
        <v>0.5286512332762805</v>
      </c>
      <c r="C417" s="27" t="s">
        <v>226</v>
      </c>
    </row>
    <row r="418" spans="1:3" x14ac:dyDescent="0.2">
      <c r="A418" s="27">
        <v>416</v>
      </c>
      <c r="B418" s="27">
        <f t="shared" ca="1" si="6"/>
        <v>0.61426674355833188</v>
      </c>
      <c r="C418" s="27" t="s">
        <v>227</v>
      </c>
    </row>
    <row r="419" spans="1:3" x14ac:dyDescent="0.2">
      <c r="A419" s="27">
        <v>417</v>
      </c>
      <c r="B419" s="27">
        <f t="shared" ca="1" si="6"/>
        <v>0.5854517505658885</v>
      </c>
      <c r="C419" s="27" t="s">
        <v>227</v>
      </c>
    </row>
    <row r="420" spans="1:3" x14ac:dyDescent="0.2">
      <c r="A420" s="27">
        <v>418</v>
      </c>
      <c r="B420" s="27">
        <f t="shared" ca="1" si="6"/>
        <v>0.73670862182103014</v>
      </c>
      <c r="C420" s="27" t="s">
        <v>226</v>
      </c>
    </row>
    <row r="421" spans="1:3" x14ac:dyDescent="0.2">
      <c r="A421" s="27">
        <v>419</v>
      </c>
      <c r="B421" s="27">
        <f t="shared" ca="1" si="6"/>
        <v>0.64152597172343606</v>
      </c>
      <c r="C421" s="27" t="s">
        <v>226</v>
      </c>
    </row>
    <row r="422" spans="1:3" x14ac:dyDescent="0.2">
      <c r="A422" s="27">
        <v>420</v>
      </c>
      <c r="B422" s="27">
        <f t="shared" ca="1" si="6"/>
        <v>0.68001027875377007</v>
      </c>
      <c r="C422" s="27" t="s">
        <v>227</v>
      </c>
    </row>
    <row r="423" spans="1:3" x14ac:dyDescent="0.2">
      <c r="A423" s="27">
        <v>421</v>
      </c>
      <c r="B423" s="27">
        <f t="shared" ca="1" si="6"/>
        <v>0.78460926113262919</v>
      </c>
      <c r="C423" s="27" t="s">
        <v>227</v>
      </c>
    </row>
    <row r="424" spans="1:3" x14ac:dyDescent="0.2">
      <c r="A424" s="27">
        <v>422</v>
      </c>
      <c r="B424" s="27">
        <f t="shared" ca="1" si="6"/>
        <v>0.58341285119044439</v>
      </c>
      <c r="C424" s="27" t="s">
        <v>226</v>
      </c>
    </row>
    <row r="425" spans="1:3" x14ac:dyDescent="0.2">
      <c r="A425" s="27">
        <v>423</v>
      </c>
      <c r="B425" s="27">
        <f t="shared" ca="1" si="6"/>
        <v>0.61323786110128264</v>
      </c>
      <c r="C425" s="27" t="s">
        <v>226</v>
      </c>
    </row>
    <row r="426" spans="1:3" x14ac:dyDescent="0.2">
      <c r="A426" s="27">
        <v>424</v>
      </c>
      <c r="B426" s="27">
        <f t="shared" ca="1" si="6"/>
        <v>0.4797811562790737</v>
      </c>
      <c r="C426" s="27" t="s">
        <v>226</v>
      </c>
    </row>
    <row r="427" spans="1:3" x14ac:dyDescent="0.2">
      <c r="A427" s="27">
        <v>425</v>
      </c>
      <c r="B427" s="27">
        <f t="shared" ca="1" si="6"/>
        <v>0.71174767047453047</v>
      </c>
      <c r="C427" s="27" t="s">
        <v>227</v>
      </c>
    </row>
    <row r="428" spans="1:3" x14ac:dyDescent="0.2">
      <c r="A428" s="27">
        <v>426</v>
      </c>
      <c r="B428" s="27">
        <f t="shared" ca="1" si="6"/>
        <v>0.76011165035342954</v>
      </c>
      <c r="C428" s="27" t="s">
        <v>226</v>
      </c>
    </row>
    <row r="429" spans="1:3" x14ac:dyDescent="0.2">
      <c r="A429" s="27">
        <v>427</v>
      </c>
      <c r="B429" s="27">
        <f t="shared" ca="1" si="6"/>
        <v>0.82016015536699549</v>
      </c>
      <c r="C429" s="27" t="s">
        <v>227</v>
      </c>
    </row>
    <row r="430" spans="1:3" x14ac:dyDescent="0.2">
      <c r="A430" s="27">
        <v>428</v>
      </c>
      <c r="B430" s="27">
        <f t="shared" ca="1" si="6"/>
        <v>0.5414894312455627</v>
      </c>
      <c r="C430" s="27" t="s">
        <v>226</v>
      </c>
    </row>
    <row r="431" spans="1:3" x14ac:dyDescent="0.2">
      <c r="A431" s="27">
        <v>429</v>
      </c>
      <c r="B431" s="27">
        <f t="shared" ca="1" si="6"/>
        <v>0.53226255720440774</v>
      </c>
      <c r="C431" s="27" t="s">
        <v>226</v>
      </c>
    </row>
    <row r="432" spans="1:3" x14ac:dyDescent="0.2">
      <c r="A432" s="27">
        <v>430</v>
      </c>
      <c r="B432" s="27">
        <f t="shared" ca="1" si="6"/>
        <v>0.75452564326852267</v>
      </c>
      <c r="C432" s="27" t="s">
        <v>227</v>
      </c>
    </row>
    <row r="433" spans="1:3" x14ac:dyDescent="0.2">
      <c r="A433" s="27">
        <v>431</v>
      </c>
      <c r="B433" s="27">
        <f t="shared" ca="1" si="6"/>
        <v>0.63645526500839422</v>
      </c>
      <c r="C433" s="27" t="s">
        <v>227</v>
      </c>
    </row>
    <row r="434" spans="1:3" x14ac:dyDescent="0.2">
      <c r="A434" s="27">
        <v>432</v>
      </c>
      <c r="B434" s="27">
        <f t="shared" ca="1" si="6"/>
        <v>0.8257793563162642</v>
      </c>
      <c r="C434" s="27" t="s">
        <v>226</v>
      </c>
    </row>
    <row r="435" spans="1:3" x14ac:dyDescent="0.2">
      <c r="A435" s="27">
        <v>433</v>
      </c>
      <c r="B435" s="27">
        <f t="shared" ca="1" si="6"/>
        <v>0.70835704998530702</v>
      </c>
      <c r="C435" s="27" t="s">
        <v>227</v>
      </c>
    </row>
    <row r="436" spans="1:3" x14ac:dyDescent="0.2">
      <c r="A436" s="27">
        <v>434</v>
      </c>
      <c r="B436" s="27">
        <f t="shared" ca="1" si="6"/>
        <v>0.59540689076311504</v>
      </c>
      <c r="C436" s="27" t="s">
        <v>226</v>
      </c>
    </row>
    <row r="437" spans="1:3" x14ac:dyDescent="0.2">
      <c r="A437" s="27">
        <v>435</v>
      </c>
      <c r="B437" s="27">
        <f t="shared" ca="1" si="6"/>
        <v>0.65551120579604505</v>
      </c>
      <c r="C437" s="27" t="s">
        <v>227</v>
      </c>
    </row>
    <row r="438" spans="1:3" x14ac:dyDescent="0.2">
      <c r="A438" s="27">
        <v>436</v>
      </c>
      <c r="B438" s="27">
        <f t="shared" ca="1" si="6"/>
        <v>0.72194903766057283</v>
      </c>
      <c r="C438" s="27" t="s">
        <v>227</v>
      </c>
    </row>
    <row r="439" spans="1:3" x14ac:dyDescent="0.2">
      <c r="A439" s="27">
        <v>437</v>
      </c>
      <c r="B439" s="27">
        <f t="shared" ca="1" si="6"/>
        <v>0.645936928841501</v>
      </c>
      <c r="C439" s="27" t="s">
        <v>226</v>
      </c>
    </row>
    <row r="440" spans="1:3" x14ac:dyDescent="0.2">
      <c r="A440" s="27">
        <v>438</v>
      </c>
      <c r="B440" s="27">
        <f t="shared" ca="1" si="6"/>
        <v>0.76860032004938761</v>
      </c>
      <c r="C440" s="27" t="s">
        <v>227</v>
      </c>
    </row>
    <row r="441" spans="1:3" x14ac:dyDescent="0.2">
      <c r="A441" s="27">
        <v>439</v>
      </c>
      <c r="B441" s="27">
        <f t="shared" ca="1" si="6"/>
        <v>0.75657583440707565</v>
      </c>
      <c r="C441" s="27" t="s">
        <v>227</v>
      </c>
    </row>
    <row r="442" spans="1:3" x14ac:dyDescent="0.2">
      <c r="A442" s="27">
        <v>440</v>
      </c>
      <c r="B442" s="27">
        <f t="shared" ca="1" si="6"/>
        <v>0.84381263076696633</v>
      </c>
      <c r="C442" s="27" t="s">
        <v>227</v>
      </c>
    </row>
    <row r="443" spans="1:3" x14ac:dyDescent="0.2">
      <c r="A443" s="27">
        <v>441</v>
      </c>
      <c r="B443" s="27">
        <f t="shared" ca="1" si="6"/>
        <v>0.75685708146680986</v>
      </c>
      <c r="C443" s="27" t="s">
        <v>227</v>
      </c>
    </row>
    <row r="444" spans="1:3" x14ac:dyDescent="0.2">
      <c r="A444" s="27">
        <v>442</v>
      </c>
      <c r="B444" s="27">
        <f t="shared" ca="1" si="6"/>
        <v>0.64986723980209804</v>
      </c>
      <c r="C444" s="27" t="s">
        <v>227</v>
      </c>
    </row>
    <row r="445" spans="1:3" x14ac:dyDescent="0.2">
      <c r="A445" s="27">
        <v>443</v>
      </c>
      <c r="B445" s="27">
        <f t="shared" ca="1" si="6"/>
        <v>0.6611708858481703</v>
      </c>
      <c r="C445" s="27" t="s">
        <v>227</v>
      </c>
    </row>
    <row r="446" spans="1:3" x14ac:dyDescent="0.2">
      <c r="A446" s="27">
        <v>444</v>
      </c>
      <c r="B446" s="27">
        <f t="shared" ca="1" si="6"/>
        <v>0.67672048938657758</v>
      </c>
      <c r="C446" s="27" t="s">
        <v>226</v>
      </c>
    </row>
    <row r="447" spans="1:3" x14ac:dyDescent="0.2">
      <c r="A447" s="27">
        <v>445</v>
      </c>
      <c r="B447" s="27">
        <f t="shared" ca="1" si="6"/>
        <v>-2.8431278395389392E-2</v>
      </c>
      <c r="C447" s="27" t="s">
        <v>226</v>
      </c>
    </row>
    <row r="448" spans="1:3" x14ac:dyDescent="0.2">
      <c r="A448" s="27">
        <v>446</v>
      </c>
      <c r="B448" s="27">
        <f t="shared" ca="1" si="6"/>
        <v>0.77624309271217939</v>
      </c>
      <c r="C448" s="27" t="s">
        <v>227</v>
      </c>
    </row>
    <row r="449" spans="1:3" x14ac:dyDescent="0.2">
      <c r="A449" s="27">
        <v>447</v>
      </c>
      <c r="B449" s="27">
        <f t="shared" ca="1" si="6"/>
        <v>0.74044491560690306</v>
      </c>
      <c r="C449" s="27" t="s">
        <v>226</v>
      </c>
    </row>
    <row r="450" spans="1:3" x14ac:dyDescent="0.2">
      <c r="A450" s="27">
        <v>448</v>
      </c>
      <c r="B450" s="27">
        <f t="shared" ca="1" si="6"/>
        <v>0.67888756564484032</v>
      </c>
      <c r="C450" s="27" t="s">
        <v>227</v>
      </c>
    </row>
    <row r="451" spans="1:3" x14ac:dyDescent="0.2">
      <c r="A451" s="27">
        <v>449</v>
      </c>
      <c r="B451" s="27">
        <f t="shared" ref="B451:B514" ca="1" si="7">IF(C451="Bomb",_xlfn.NORM.INV(RAND(),0.7,0.1),_xlfn.NORM.INV(RAND(),0.6,0.15))</f>
        <v>0.64522127954753494</v>
      </c>
      <c r="C451" s="27" t="s">
        <v>227</v>
      </c>
    </row>
    <row r="452" spans="1:3" x14ac:dyDescent="0.2">
      <c r="A452" s="27">
        <v>450</v>
      </c>
      <c r="B452" s="27">
        <f t="shared" ca="1" si="7"/>
        <v>0.91464442049339456</v>
      </c>
      <c r="C452" s="27" t="s">
        <v>226</v>
      </c>
    </row>
    <row r="453" spans="1:3" x14ac:dyDescent="0.2">
      <c r="A453" s="27">
        <v>451</v>
      </c>
      <c r="B453" s="27">
        <f t="shared" ca="1" si="7"/>
        <v>0.7556568778549545</v>
      </c>
      <c r="C453" s="27" t="s">
        <v>227</v>
      </c>
    </row>
    <row r="454" spans="1:3" x14ac:dyDescent="0.2">
      <c r="A454" s="27">
        <v>452</v>
      </c>
      <c r="B454" s="27">
        <f t="shared" ca="1" si="7"/>
        <v>0.86459812541871151</v>
      </c>
      <c r="C454" s="27" t="s">
        <v>227</v>
      </c>
    </row>
    <row r="455" spans="1:3" x14ac:dyDescent="0.2">
      <c r="A455" s="27">
        <v>453</v>
      </c>
      <c r="B455" s="27">
        <f t="shared" ca="1" si="7"/>
        <v>0.63289630564226007</v>
      </c>
      <c r="C455" s="27" t="s">
        <v>226</v>
      </c>
    </row>
    <row r="456" spans="1:3" x14ac:dyDescent="0.2">
      <c r="A456" s="27">
        <v>454</v>
      </c>
      <c r="B456" s="27">
        <f t="shared" ca="1" si="7"/>
        <v>0.80827665281588035</v>
      </c>
      <c r="C456" s="27" t="s">
        <v>227</v>
      </c>
    </row>
    <row r="457" spans="1:3" x14ac:dyDescent="0.2">
      <c r="A457" s="27">
        <v>455</v>
      </c>
      <c r="B457" s="27">
        <f t="shared" ca="1" si="7"/>
        <v>0.52050157494174598</v>
      </c>
      <c r="C457" s="27" t="s">
        <v>226</v>
      </c>
    </row>
    <row r="458" spans="1:3" x14ac:dyDescent="0.2">
      <c r="A458" s="27">
        <v>456</v>
      </c>
      <c r="B458" s="27">
        <f t="shared" ca="1" si="7"/>
        <v>0.57390843883221676</v>
      </c>
      <c r="C458" s="27" t="s">
        <v>226</v>
      </c>
    </row>
    <row r="459" spans="1:3" x14ac:dyDescent="0.2">
      <c r="A459" s="27">
        <v>457</v>
      </c>
      <c r="B459" s="27">
        <f t="shared" ca="1" si="7"/>
        <v>0.78071740587366711</v>
      </c>
      <c r="C459" s="27" t="s">
        <v>226</v>
      </c>
    </row>
    <row r="460" spans="1:3" x14ac:dyDescent="0.2">
      <c r="A460" s="27">
        <v>458</v>
      </c>
      <c r="B460" s="27">
        <f t="shared" ca="1" si="7"/>
        <v>0.41633125161203344</v>
      </c>
      <c r="C460" s="27" t="s">
        <v>226</v>
      </c>
    </row>
    <row r="461" spans="1:3" x14ac:dyDescent="0.2">
      <c r="A461" s="27">
        <v>459</v>
      </c>
      <c r="B461" s="27">
        <f t="shared" ca="1" si="7"/>
        <v>0.73474935818075149</v>
      </c>
      <c r="C461" s="27" t="s">
        <v>227</v>
      </c>
    </row>
    <row r="462" spans="1:3" x14ac:dyDescent="0.2">
      <c r="A462" s="27">
        <v>460</v>
      </c>
      <c r="B462" s="27">
        <f t="shared" ca="1" si="7"/>
        <v>0.65160447507487029</v>
      </c>
      <c r="C462" s="27" t="s">
        <v>227</v>
      </c>
    </row>
    <row r="463" spans="1:3" x14ac:dyDescent="0.2">
      <c r="A463" s="27">
        <v>461</v>
      </c>
      <c r="B463" s="27">
        <f t="shared" ca="1" si="7"/>
        <v>0.59738774944032091</v>
      </c>
      <c r="C463" s="27" t="s">
        <v>226</v>
      </c>
    </row>
    <row r="464" spans="1:3" x14ac:dyDescent="0.2">
      <c r="A464" s="27">
        <v>462</v>
      </c>
      <c r="B464" s="27">
        <f t="shared" ca="1" si="7"/>
        <v>0.70715409605169754</v>
      </c>
      <c r="C464" s="27" t="s">
        <v>227</v>
      </c>
    </row>
    <row r="465" spans="1:3" x14ac:dyDescent="0.2">
      <c r="A465" s="27">
        <v>463</v>
      </c>
      <c r="B465" s="27">
        <f t="shared" ca="1" si="7"/>
        <v>0.56928916839776511</v>
      </c>
      <c r="C465" s="27" t="s">
        <v>227</v>
      </c>
    </row>
    <row r="466" spans="1:3" x14ac:dyDescent="0.2">
      <c r="A466" s="27">
        <v>464</v>
      </c>
      <c r="B466" s="27">
        <f t="shared" ca="1" si="7"/>
        <v>0.73498721342888573</v>
      </c>
      <c r="C466" s="27" t="s">
        <v>227</v>
      </c>
    </row>
    <row r="467" spans="1:3" x14ac:dyDescent="0.2">
      <c r="A467" s="27">
        <v>465</v>
      </c>
      <c r="B467" s="27">
        <f t="shared" ca="1" si="7"/>
        <v>0.79262177287622593</v>
      </c>
      <c r="C467" s="27" t="s">
        <v>227</v>
      </c>
    </row>
    <row r="468" spans="1:3" x14ac:dyDescent="0.2">
      <c r="A468" s="27">
        <v>466</v>
      </c>
      <c r="B468" s="27">
        <f t="shared" ca="1" si="7"/>
        <v>0.3607343613583131</v>
      </c>
      <c r="C468" s="27" t="s">
        <v>226</v>
      </c>
    </row>
    <row r="469" spans="1:3" x14ac:dyDescent="0.2">
      <c r="A469" s="27">
        <v>467</v>
      </c>
      <c r="B469" s="27">
        <f t="shared" ca="1" si="7"/>
        <v>0.54998971377578654</v>
      </c>
      <c r="C469" s="27" t="s">
        <v>226</v>
      </c>
    </row>
    <row r="470" spans="1:3" x14ac:dyDescent="0.2">
      <c r="A470" s="27">
        <v>468</v>
      </c>
      <c r="B470" s="27">
        <f t="shared" ca="1" si="7"/>
        <v>0.74743367764376978</v>
      </c>
      <c r="C470" s="27" t="s">
        <v>226</v>
      </c>
    </row>
    <row r="471" spans="1:3" x14ac:dyDescent="0.2">
      <c r="A471" s="27">
        <v>469</v>
      </c>
      <c r="B471" s="27">
        <f t="shared" ca="1" si="7"/>
        <v>0.86931070854749559</v>
      </c>
      <c r="C471" s="27" t="s">
        <v>227</v>
      </c>
    </row>
    <row r="472" spans="1:3" x14ac:dyDescent="0.2">
      <c r="A472" s="27">
        <v>470</v>
      </c>
      <c r="B472" s="27">
        <f t="shared" ca="1" si="7"/>
        <v>0.67063118308486314</v>
      </c>
      <c r="C472" s="27" t="s">
        <v>226</v>
      </c>
    </row>
    <row r="473" spans="1:3" x14ac:dyDescent="0.2">
      <c r="A473" s="27">
        <v>471</v>
      </c>
      <c r="B473" s="27">
        <f t="shared" ca="1" si="7"/>
        <v>0.77205114788900531</v>
      </c>
      <c r="C473" s="27" t="s">
        <v>227</v>
      </c>
    </row>
    <row r="474" spans="1:3" x14ac:dyDescent="0.2">
      <c r="A474" s="27">
        <v>472</v>
      </c>
      <c r="B474" s="27">
        <f t="shared" ca="1" si="7"/>
        <v>0.51982564697523415</v>
      </c>
      <c r="C474" s="27" t="s">
        <v>227</v>
      </c>
    </row>
    <row r="475" spans="1:3" x14ac:dyDescent="0.2">
      <c r="A475" s="27">
        <v>473</v>
      </c>
      <c r="B475" s="27">
        <f t="shared" ca="1" si="7"/>
        <v>0.62098203468152435</v>
      </c>
      <c r="C475" s="27" t="s">
        <v>227</v>
      </c>
    </row>
    <row r="476" spans="1:3" x14ac:dyDescent="0.2">
      <c r="A476" s="27">
        <v>474</v>
      </c>
      <c r="B476" s="27">
        <f t="shared" ca="1" si="7"/>
        <v>0.67293752829554443</v>
      </c>
      <c r="C476" s="27" t="s">
        <v>226</v>
      </c>
    </row>
    <row r="477" spans="1:3" x14ac:dyDescent="0.2">
      <c r="A477" s="27">
        <v>475</v>
      </c>
      <c r="B477" s="27">
        <f t="shared" ca="1" si="7"/>
        <v>0.59713506100037195</v>
      </c>
      <c r="C477" s="27" t="s">
        <v>227</v>
      </c>
    </row>
    <row r="478" spans="1:3" x14ac:dyDescent="0.2">
      <c r="A478" s="27">
        <v>476</v>
      </c>
      <c r="B478" s="27">
        <f t="shared" ca="1" si="7"/>
        <v>0.83886899952088978</v>
      </c>
      <c r="C478" s="27" t="s">
        <v>227</v>
      </c>
    </row>
    <row r="479" spans="1:3" x14ac:dyDescent="0.2">
      <c r="A479" s="27">
        <v>477</v>
      </c>
      <c r="B479" s="27">
        <f t="shared" ca="1" si="7"/>
        <v>0.84467066999116625</v>
      </c>
      <c r="C479" s="27" t="s">
        <v>226</v>
      </c>
    </row>
    <row r="480" spans="1:3" x14ac:dyDescent="0.2">
      <c r="A480" s="27">
        <v>478</v>
      </c>
      <c r="B480" s="27">
        <f t="shared" ca="1" si="7"/>
        <v>0.85959760456107281</v>
      </c>
      <c r="C480" s="27" t="s">
        <v>226</v>
      </c>
    </row>
    <row r="481" spans="1:3" x14ac:dyDescent="0.2">
      <c r="A481" s="27">
        <v>479</v>
      </c>
      <c r="B481" s="27">
        <f t="shared" ca="1" si="7"/>
        <v>0.78577846461729206</v>
      </c>
      <c r="C481" s="27" t="s">
        <v>227</v>
      </c>
    </row>
    <row r="482" spans="1:3" x14ac:dyDescent="0.2">
      <c r="A482" s="27">
        <v>480</v>
      </c>
      <c r="B482" s="27">
        <f t="shared" ca="1" si="7"/>
        <v>0.66553291230742551</v>
      </c>
      <c r="C482" s="27" t="s">
        <v>227</v>
      </c>
    </row>
    <row r="483" spans="1:3" x14ac:dyDescent="0.2">
      <c r="A483" s="27">
        <v>481</v>
      </c>
      <c r="B483" s="27">
        <f t="shared" ca="1" si="7"/>
        <v>0.67674182828708029</v>
      </c>
      <c r="C483" s="27" t="s">
        <v>226</v>
      </c>
    </row>
    <row r="484" spans="1:3" x14ac:dyDescent="0.2">
      <c r="A484" s="27">
        <v>482</v>
      </c>
      <c r="B484" s="27">
        <f t="shared" ca="1" si="7"/>
        <v>0.69658950677422238</v>
      </c>
      <c r="C484" s="27" t="s">
        <v>226</v>
      </c>
    </row>
    <row r="485" spans="1:3" x14ac:dyDescent="0.2">
      <c r="A485" s="27">
        <v>483</v>
      </c>
      <c r="B485" s="27">
        <f t="shared" ca="1" si="7"/>
        <v>0.62491940740869045</v>
      </c>
      <c r="C485" s="27" t="s">
        <v>227</v>
      </c>
    </row>
    <row r="486" spans="1:3" x14ac:dyDescent="0.2">
      <c r="A486" s="27">
        <v>484</v>
      </c>
      <c r="B486" s="27">
        <f t="shared" ca="1" si="7"/>
        <v>0.8159173139379895</v>
      </c>
      <c r="C486" s="27" t="s">
        <v>227</v>
      </c>
    </row>
    <row r="487" spans="1:3" x14ac:dyDescent="0.2">
      <c r="A487" s="27">
        <v>485</v>
      </c>
      <c r="B487" s="27">
        <f t="shared" ca="1" si="7"/>
        <v>0.88372540401866373</v>
      </c>
      <c r="C487" s="27" t="s">
        <v>227</v>
      </c>
    </row>
    <row r="488" spans="1:3" x14ac:dyDescent="0.2">
      <c r="A488" s="27">
        <v>486</v>
      </c>
      <c r="B488" s="27">
        <f t="shared" ca="1" si="7"/>
        <v>0.54021960857082818</v>
      </c>
      <c r="C488" s="27" t="s">
        <v>226</v>
      </c>
    </row>
    <row r="489" spans="1:3" x14ac:dyDescent="0.2">
      <c r="A489" s="27">
        <v>487</v>
      </c>
      <c r="B489" s="27">
        <f t="shared" ca="1" si="7"/>
        <v>0.74859611787891178</v>
      </c>
      <c r="C489" s="27" t="s">
        <v>227</v>
      </c>
    </row>
    <row r="490" spans="1:3" x14ac:dyDescent="0.2">
      <c r="A490" s="27">
        <v>488</v>
      </c>
      <c r="B490" s="27">
        <f t="shared" ca="1" si="7"/>
        <v>0.60504742296166425</v>
      </c>
      <c r="C490" s="27" t="s">
        <v>226</v>
      </c>
    </row>
    <row r="491" spans="1:3" x14ac:dyDescent="0.2">
      <c r="A491" s="27">
        <v>489</v>
      </c>
      <c r="B491" s="27">
        <f t="shared" ca="1" si="7"/>
        <v>0.67655822904283924</v>
      </c>
      <c r="C491" s="27" t="s">
        <v>226</v>
      </c>
    </row>
    <row r="492" spans="1:3" x14ac:dyDescent="0.2">
      <c r="A492" s="27">
        <v>490</v>
      </c>
      <c r="B492" s="27">
        <f t="shared" ca="1" si="7"/>
        <v>0.79307771312391462</v>
      </c>
      <c r="C492" s="27" t="s">
        <v>227</v>
      </c>
    </row>
    <row r="493" spans="1:3" x14ac:dyDescent="0.2">
      <c r="A493" s="27">
        <v>491</v>
      </c>
      <c r="B493" s="27">
        <f t="shared" ca="1" si="7"/>
        <v>0.67101768952944552</v>
      </c>
      <c r="C493" s="27" t="s">
        <v>226</v>
      </c>
    </row>
    <row r="494" spans="1:3" x14ac:dyDescent="0.2">
      <c r="A494" s="27">
        <v>492</v>
      </c>
      <c r="B494" s="27">
        <f t="shared" ca="1" si="7"/>
        <v>0.77629493484255974</v>
      </c>
      <c r="C494" s="27" t="s">
        <v>227</v>
      </c>
    </row>
    <row r="495" spans="1:3" x14ac:dyDescent="0.2">
      <c r="A495" s="27">
        <v>493</v>
      </c>
      <c r="B495" s="27">
        <f t="shared" ca="1" si="7"/>
        <v>0.42544567269766675</v>
      </c>
      <c r="C495" s="27" t="s">
        <v>226</v>
      </c>
    </row>
    <row r="496" spans="1:3" x14ac:dyDescent="0.2">
      <c r="A496" s="27">
        <v>494</v>
      </c>
      <c r="B496" s="27">
        <f t="shared" ca="1" si="7"/>
        <v>0.77944833892419663</v>
      </c>
      <c r="C496" s="27" t="s">
        <v>226</v>
      </c>
    </row>
    <row r="497" spans="1:3" x14ac:dyDescent="0.2">
      <c r="A497" s="27">
        <v>495</v>
      </c>
      <c r="B497" s="27">
        <f t="shared" ca="1" si="7"/>
        <v>0.59486275462098381</v>
      </c>
      <c r="C497" s="27" t="s">
        <v>227</v>
      </c>
    </row>
    <row r="498" spans="1:3" x14ac:dyDescent="0.2">
      <c r="A498" s="27">
        <v>496</v>
      </c>
      <c r="B498" s="27">
        <f t="shared" ca="1" si="7"/>
        <v>0.70152602504932748</v>
      </c>
      <c r="C498" s="27" t="s">
        <v>227</v>
      </c>
    </row>
    <row r="499" spans="1:3" x14ac:dyDescent="0.2">
      <c r="A499" s="27">
        <v>497</v>
      </c>
      <c r="B499" s="27">
        <f t="shared" ca="1" si="7"/>
        <v>0.8451847259463926</v>
      </c>
      <c r="C499" s="27" t="s">
        <v>227</v>
      </c>
    </row>
    <row r="500" spans="1:3" x14ac:dyDescent="0.2">
      <c r="A500" s="27">
        <v>498</v>
      </c>
      <c r="B500" s="27">
        <f t="shared" ca="1" si="7"/>
        <v>0.69091231918508356</v>
      </c>
      <c r="C500" s="27" t="s">
        <v>226</v>
      </c>
    </row>
    <row r="501" spans="1:3" x14ac:dyDescent="0.2">
      <c r="A501" s="27">
        <v>499</v>
      </c>
      <c r="B501" s="27">
        <f t="shared" ca="1" si="7"/>
        <v>0.80222958408852751</v>
      </c>
      <c r="C501" s="27" t="s">
        <v>227</v>
      </c>
    </row>
    <row r="502" spans="1:3" x14ac:dyDescent="0.2">
      <c r="A502" s="27">
        <v>500</v>
      </c>
      <c r="B502" s="27">
        <f t="shared" ca="1" si="7"/>
        <v>0.5481853003516185</v>
      </c>
      <c r="C502" s="27" t="s">
        <v>227</v>
      </c>
    </row>
    <row r="503" spans="1:3" x14ac:dyDescent="0.2">
      <c r="A503" s="27">
        <v>501</v>
      </c>
      <c r="B503" s="27">
        <f t="shared" ca="1" si="7"/>
        <v>0.50630872213713463</v>
      </c>
      <c r="C503" s="27" t="s">
        <v>226</v>
      </c>
    </row>
    <row r="504" spans="1:3" x14ac:dyDescent="0.2">
      <c r="A504" s="27">
        <v>502</v>
      </c>
      <c r="B504" s="27">
        <f t="shared" ca="1" si="7"/>
        <v>0.42564377795113967</v>
      </c>
      <c r="C504" s="27" t="s">
        <v>226</v>
      </c>
    </row>
    <row r="505" spans="1:3" x14ac:dyDescent="0.2">
      <c r="A505" s="27">
        <v>503</v>
      </c>
      <c r="B505" s="27">
        <f t="shared" ca="1" si="7"/>
        <v>0.14530398546703727</v>
      </c>
      <c r="C505" s="27" t="s">
        <v>226</v>
      </c>
    </row>
    <row r="506" spans="1:3" x14ac:dyDescent="0.2">
      <c r="A506" s="27">
        <v>504</v>
      </c>
      <c r="B506" s="27">
        <f t="shared" ca="1" si="7"/>
        <v>0.56455298865684544</v>
      </c>
      <c r="C506" s="27" t="s">
        <v>226</v>
      </c>
    </row>
    <row r="507" spans="1:3" x14ac:dyDescent="0.2">
      <c r="A507" s="27">
        <v>505</v>
      </c>
      <c r="B507" s="27">
        <f t="shared" ca="1" si="7"/>
        <v>0.59004859344396776</v>
      </c>
      <c r="C507" s="27" t="s">
        <v>227</v>
      </c>
    </row>
    <row r="508" spans="1:3" x14ac:dyDescent="0.2">
      <c r="A508" s="27">
        <v>506</v>
      </c>
      <c r="B508" s="27">
        <f t="shared" ca="1" si="7"/>
        <v>0.74468393290770052</v>
      </c>
      <c r="C508" s="27" t="s">
        <v>227</v>
      </c>
    </row>
    <row r="509" spans="1:3" x14ac:dyDescent="0.2">
      <c r="A509" s="27">
        <v>507</v>
      </c>
      <c r="B509" s="27">
        <f t="shared" ca="1" si="7"/>
        <v>0.74167174862368812</v>
      </c>
      <c r="C509" s="27" t="s">
        <v>227</v>
      </c>
    </row>
    <row r="510" spans="1:3" x14ac:dyDescent="0.2">
      <c r="A510" s="27">
        <v>508</v>
      </c>
      <c r="B510" s="27">
        <f t="shared" ca="1" si="7"/>
        <v>0.5351956883080462</v>
      </c>
      <c r="C510" s="27" t="s">
        <v>226</v>
      </c>
    </row>
    <row r="511" spans="1:3" x14ac:dyDescent="0.2">
      <c r="A511" s="27">
        <v>509</v>
      </c>
      <c r="B511" s="27">
        <f t="shared" ca="1" si="7"/>
        <v>0.72814371713209247</v>
      </c>
      <c r="C511" s="27" t="s">
        <v>227</v>
      </c>
    </row>
    <row r="512" spans="1:3" x14ac:dyDescent="0.2">
      <c r="A512" s="27">
        <v>510</v>
      </c>
      <c r="B512" s="27">
        <f t="shared" ca="1" si="7"/>
        <v>0.70716096527990313</v>
      </c>
      <c r="C512" s="27" t="s">
        <v>227</v>
      </c>
    </row>
    <row r="513" spans="1:3" x14ac:dyDescent="0.2">
      <c r="A513" s="27">
        <v>511</v>
      </c>
      <c r="B513" s="27">
        <f t="shared" ca="1" si="7"/>
        <v>0.60205446533425866</v>
      </c>
      <c r="C513" s="27" t="s">
        <v>227</v>
      </c>
    </row>
    <row r="514" spans="1:3" x14ac:dyDescent="0.2">
      <c r="A514" s="27">
        <v>512</v>
      </c>
      <c r="B514" s="27">
        <f t="shared" ca="1" si="7"/>
        <v>0.70210488401768256</v>
      </c>
      <c r="C514" s="27" t="s">
        <v>227</v>
      </c>
    </row>
    <row r="515" spans="1:3" x14ac:dyDescent="0.2">
      <c r="A515" s="27">
        <v>513</v>
      </c>
      <c r="B515" s="27">
        <f t="shared" ref="B515:B578" ca="1" si="8">IF(C515="Bomb",_xlfn.NORM.INV(RAND(),0.7,0.1),_xlfn.NORM.INV(RAND(),0.6,0.15))</f>
        <v>0.77058473625287793</v>
      </c>
      <c r="C515" s="27" t="s">
        <v>227</v>
      </c>
    </row>
    <row r="516" spans="1:3" x14ac:dyDescent="0.2">
      <c r="A516" s="27">
        <v>514</v>
      </c>
      <c r="B516" s="27">
        <f t="shared" ca="1" si="8"/>
        <v>0.56671193836770417</v>
      </c>
      <c r="C516" s="27" t="s">
        <v>226</v>
      </c>
    </row>
    <row r="517" spans="1:3" x14ac:dyDescent="0.2">
      <c r="A517" s="27">
        <v>515</v>
      </c>
      <c r="B517" s="27">
        <f t="shared" ca="1" si="8"/>
        <v>0.86997179331211205</v>
      </c>
      <c r="C517" s="27" t="s">
        <v>227</v>
      </c>
    </row>
    <row r="518" spans="1:3" x14ac:dyDescent="0.2">
      <c r="A518" s="27">
        <v>516</v>
      </c>
      <c r="B518" s="27">
        <f t="shared" ca="1" si="8"/>
        <v>0.79457318700724888</v>
      </c>
      <c r="C518" s="27" t="s">
        <v>227</v>
      </c>
    </row>
    <row r="519" spans="1:3" x14ac:dyDescent="0.2">
      <c r="A519" s="27">
        <v>517</v>
      </c>
      <c r="B519" s="27">
        <f t="shared" ca="1" si="8"/>
        <v>0.70429846257467688</v>
      </c>
      <c r="C519" s="27" t="s">
        <v>227</v>
      </c>
    </row>
    <row r="520" spans="1:3" x14ac:dyDescent="0.2">
      <c r="A520" s="27">
        <v>518</v>
      </c>
      <c r="B520" s="27">
        <f t="shared" ca="1" si="8"/>
        <v>0.69146461479416432</v>
      </c>
      <c r="C520" s="27" t="s">
        <v>226</v>
      </c>
    </row>
    <row r="521" spans="1:3" x14ac:dyDescent="0.2">
      <c r="A521" s="27">
        <v>519</v>
      </c>
      <c r="B521" s="27">
        <f t="shared" ca="1" si="8"/>
        <v>0.5918062319023818</v>
      </c>
      <c r="C521" s="27" t="s">
        <v>227</v>
      </c>
    </row>
    <row r="522" spans="1:3" x14ac:dyDescent="0.2">
      <c r="A522" s="27">
        <v>520</v>
      </c>
      <c r="B522" s="27">
        <f t="shared" ca="1" si="8"/>
        <v>0.50654405687925919</v>
      </c>
      <c r="C522" s="27" t="s">
        <v>226</v>
      </c>
    </row>
    <row r="523" spans="1:3" x14ac:dyDescent="0.2">
      <c r="A523" s="27">
        <v>521</v>
      </c>
      <c r="B523" s="27">
        <f t="shared" ca="1" si="8"/>
        <v>0.50594495426274</v>
      </c>
      <c r="C523" s="27" t="s">
        <v>226</v>
      </c>
    </row>
    <row r="524" spans="1:3" x14ac:dyDescent="0.2">
      <c r="A524" s="27">
        <v>522</v>
      </c>
      <c r="B524" s="27">
        <f t="shared" ca="1" si="8"/>
        <v>0.74064085837997273</v>
      </c>
      <c r="C524" s="27" t="s">
        <v>227</v>
      </c>
    </row>
    <row r="525" spans="1:3" x14ac:dyDescent="0.2">
      <c r="A525" s="27">
        <v>523</v>
      </c>
      <c r="B525" s="27">
        <f t="shared" ca="1" si="8"/>
        <v>0.62942381627686339</v>
      </c>
      <c r="C525" s="27" t="s">
        <v>227</v>
      </c>
    </row>
    <row r="526" spans="1:3" x14ac:dyDescent="0.2">
      <c r="A526" s="27">
        <v>524</v>
      </c>
      <c r="B526" s="27">
        <f t="shared" ca="1" si="8"/>
        <v>0.71142552186353725</v>
      </c>
      <c r="C526" s="27" t="s">
        <v>226</v>
      </c>
    </row>
    <row r="527" spans="1:3" x14ac:dyDescent="0.2">
      <c r="A527" s="27">
        <v>525</v>
      </c>
      <c r="B527" s="27">
        <f t="shared" ca="1" si="8"/>
        <v>0.748183490776688</v>
      </c>
      <c r="C527" s="27" t="s">
        <v>227</v>
      </c>
    </row>
    <row r="528" spans="1:3" x14ac:dyDescent="0.2">
      <c r="A528" s="27">
        <v>526</v>
      </c>
      <c r="B528" s="27">
        <f t="shared" ca="1" si="8"/>
        <v>0.55256358297136499</v>
      </c>
      <c r="C528" s="27" t="s">
        <v>226</v>
      </c>
    </row>
    <row r="529" spans="1:3" x14ac:dyDescent="0.2">
      <c r="A529" s="27">
        <v>527</v>
      </c>
      <c r="B529" s="27">
        <f t="shared" ca="1" si="8"/>
        <v>1.0395342916063683</v>
      </c>
      <c r="C529" s="27" t="s">
        <v>226</v>
      </c>
    </row>
    <row r="530" spans="1:3" x14ac:dyDescent="0.2">
      <c r="A530" s="27">
        <v>528</v>
      </c>
      <c r="B530" s="27">
        <f t="shared" ca="1" si="8"/>
        <v>0.75424184928882287</v>
      </c>
      <c r="C530" s="27" t="s">
        <v>227</v>
      </c>
    </row>
    <row r="531" spans="1:3" x14ac:dyDescent="0.2">
      <c r="A531" s="27">
        <v>529</v>
      </c>
      <c r="B531" s="27">
        <f t="shared" ca="1" si="8"/>
        <v>0.65050710442096005</v>
      </c>
      <c r="C531" s="27" t="s">
        <v>227</v>
      </c>
    </row>
    <row r="532" spans="1:3" x14ac:dyDescent="0.2">
      <c r="A532" s="27">
        <v>530</v>
      </c>
      <c r="B532" s="27">
        <f t="shared" ca="1" si="8"/>
        <v>0.68651854358880726</v>
      </c>
      <c r="C532" s="27" t="s">
        <v>226</v>
      </c>
    </row>
    <row r="533" spans="1:3" x14ac:dyDescent="0.2">
      <c r="A533" s="27">
        <v>531</v>
      </c>
      <c r="B533" s="27">
        <f t="shared" ca="1" si="8"/>
        <v>0.83673496808950587</v>
      </c>
      <c r="C533" s="27" t="s">
        <v>227</v>
      </c>
    </row>
    <row r="534" spans="1:3" x14ac:dyDescent="0.2">
      <c r="A534" s="27">
        <v>532</v>
      </c>
      <c r="B534" s="27">
        <f t="shared" ca="1" si="8"/>
        <v>0.8946899161333346</v>
      </c>
      <c r="C534" s="27" t="s">
        <v>226</v>
      </c>
    </row>
    <row r="535" spans="1:3" x14ac:dyDescent="0.2">
      <c r="A535" s="27">
        <v>533</v>
      </c>
      <c r="B535" s="27">
        <f t="shared" ca="1" si="8"/>
        <v>0.63541034775160066</v>
      </c>
      <c r="C535" s="27" t="s">
        <v>226</v>
      </c>
    </row>
    <row r="536" spans="1:3" x14ac:dyDescent="0.2">
      <c r="A536" s="27">
        <v>534</v>
      </c>
      <c r="B536" s="27">
        <f t="shared" ca="1" si="8"/>
        <v>0.6819637191169905</v>
      </c>
      <c r="C536" s="27" t="s">
        <v>227</v>
      </c>
    </row>
    <row r="537" spans="1:3" x14ac:dyDescent="0.2">
      <c r="A537" s="27">
        <v>535</v>
      </c>
      <c r="B537" s="27">
        <f t="shared" ca="1" si="8"/>
        <v>0.81115812794930342</v>
      </c>
      <c r="C537" s="27" t="s">
        <v>226</v>
      </c>
    </row>
    <row r="538" spans="1:3" x14ac:dyDescent="0.2">
      <c r="A538" s="27">
        <v>536</v>
      </c>
      <c r="B538" s="27">
        <f t="shared" ca="1" si="8"/>
        <v>0.55058751311099874</v>
      </c>
      <c r="C538" s="27" t="s">
        <v>226</v>
      </c>
    </row>
    <row r="539" spans="1:3" x14ac:dyDescent="0.2">
      <c r="A539" s="27">
        <v>537</v>
      </c>
      <c r="B539" s="27">
        <f t="shared" ca="1" si="8"/>
        <v>0.60406094918504361</v>
      </c>
      <c r="C539" s="27" t="s">
        <v>226</v>
      </c>
    </row>
    <row r="540" spans="1:3" x14ac:dyDescent="0.2">
      <c r="A540" s="27">
        <v>538</v>
      </c>
      <c r="B540" s="27">
        <f t="shared" ca="1" si="8"/>
        <v>0.66635231717734389</v>
      </c>
      <c r="C540" s="27" t="s">
        <v>227</v>
      </c>
    </row>
    <row r="541" spans="1:3" x14ac:dyDescent="0.2">
      <c r="A541" s="27">
        <v>539</v>
      </c>
      <c r="B541" s="27">
        <f t="shared" ca="1" si="8"/>
        <v>0.64839775331581639</v>
      </c>
      <c r="C541" s="27" t="s">
        <v>226</v>
      </c>
    </row>
    <row r="542" spans="1:3" x14ac:dyDescent="0.2">
      <c r="A542" s="27">
        <v>540</v>
      </c>
      <c r="B542" s="27">
        <f t="shared" ca="1" si="8"/>
        <v>0.65694802412069797</v>
      </c>
      <c r="C542" s="27" t="s">
        <v>226</v>
      </c>
    </row>
    <row r="543" spans="1:3" x14ac:dyDescent="0.2">
      <c r="A543" s="27">
        <v>541</v>
      </c>
      <c r="B543" s="27">
        <f t="shared" ca="1" si="8"/>
        <v>0.68660409895980501</v>
      </c>
      <c r="C543" s="27" t="s">
        <v>226</v>
      </c>
    </row>
    <row r="544" spans="1:3" x14ac:dyDescent="0.2">
      <c r="A544" s="27">
        <v>542</v>
      </c>
      <c r="B544" s="27">
        <f t="shared" ca="1" si="8"/>
        <v>0.6606772979978931</v>
      </c>
      <c r="C544" s="27" t="s">
        <v>227</v>
      </c>
    </row>
    <row r="545" spans="1:3" x14ac:dyDescent="0.2">
      <c r="A545" s="27">
        <v>543</v>
      </c>
      <c r="B545" s="27">
        <f t="shared" ca="1" si="8"/>
        <v>0.909375508724244</v>
      </c>
      <c r="C545" s="27" t="s">
        <v>227</v>
      </c>
    </row>
    <row r="546" spans="1:3" x14ac:dyDescent="0.2">
      <c r="A546" s="27">
        <v>544</v>
      </c>
      <c r="B546" s="27">
        <f t="shared" ca="1" si="8"/>
        <v>0.72900289707996857</v>
      </c>
      <c r="C546" s="27" t="s">
        <v>227</v>
      </c>
    </row>
    <row r="547" spans="1:3" x14ac:dyDescent="0.2">
      <c r="A547" s="27">
        <v>545</v>
      </c>
      <c r="B547" s="27">
        <f t="shared" ca="1" si="8"/>
        <v>0.571976334267571</v>
      </c>
      <c r="C547" s="27" t="s">
        <v>226</v>
      </c>
    </row>
    <row r="548" spans="1:3" x14ac:dyDescent="0.2">
      <c r="A548" s="27">
        <v>546</v>
      </c>
      <c r="B548" s="27">
        <f t="shared" ca="1" si="8"/>
        <v>0.70649532819641936</v>
      </c>
      <c r="C548" s="27" t="s">
        <v>226</v>
      </c>
    </row>
    <row r="549" spans="1:3" x14ac:dyDescent="0.2">
      <c r="A549" s="27">
        <v>547</v>
      </c>
      <c r="B549" s="27">
        <f t="shared" ca="1" si="8"/>
        <v>0.75729794967259845</v>
      </c>
      <c r="C549" s="27" t="s">
        <v>227</v>
      </c>
    </row>
    <row r="550" spans="1:3" x14ac:dyDescent="0.2">
      <c r="A550" s="27">
        <v>548</v>
      </c>
      <c r="B550" s="27">
        <f t="shared" ca="1" si="8"/>
        <v>0.60786364017423689</v>
      </c>
      <c r="C550" s="27" t="s">
        <v>227</v>
      </c>
    </row>
    <row r="551" spans="1:3" x14ac:dyDescent="0.2">
      <c r="A551" s="27">
        <v>549</v>
      </c>
      <c r="B551" s="27">
        <f t="shared" ca="1" si="8"/>
        <v>0.78663172122491598</v>
      </c>
      <c r="C551" s="27" t="s">
        <v>226</v>
      </c>
    </row>
    <row r="552" spans="1:3" x14ac:dyDescent="0.2">
      <c r="A552" s="27">
        <v>550</v>
      </c>
      <c r="B552" s="27">
        <f t="shared" ca="1" si="8"/>
        <v>0.53903254503971243</v>
      </c>
      <c r="C552" s="27" t="s">
        <v>227</v>
      </c>
    </row>
    <row r="553" spans="1:3" x14ac:dyDescent="0.2">
      <c r="A553" s="27">
        <v>551</v>
      </c>
      <c r="B553" s="27">
        <f t="shared" ca="1" si="8"/>
        <v>0.55134322714409656</v>
      </c>
      <c r="C553" s="27" t="s">
        <v>226</v>
      </c>
    </row>
    <row r="554" spans="1:3" x14ac:dyDescent="0.2">
      <c r="A554" s="27">
        <v>552</v>
      </c>
      <c r="B554" s="27">
        <f t="shared" ca="1" si="8"/>
        <v>0.57685343517190657</v>
      </c>
      <c r="C554" s="27" t="s">
        <v>226</v>
      </c>
    </row>
    <row r="555" spans="1:3" x14ac:dyDescent="0.2">
      <c r="A555" s="27">
        <v>553</v>
      </c>
      <c r="B555" s="27">
        <f t="shared" ca="1" si="8"/>
        <v>0.35610605639056969</v>
      </c>
      <c r="C555" s="27" t="s">
        <v>226</v>
      </c>
    </row>
    <row r="556" spans="1:3" x14ac:dyDescent="0.2">
      <c r="A556" s="27">
        <v>554</v>
      </c>
      <c r="B556" s="27">
        <f t="shared" ca="1" si="8"/>
        <v>0.59452862492870473</v>
      </c>
      <c r="C556" s="27" t="s">
        <v>227</v>
      </c>
    </row>
    <row r="557" spans="1:3" x14ac:dyDescent="0.2">
      <c r="A557" s="27">
        <v>555</v>
      </c>
      <c r="B557" s="27">
        <f t="shared" ca="1" si="8"/>
        <v>0.58250958875204739</v>
      </c>
      <c r="C557" s="27" t="s">
        <v>226</v>
      </c>
    </row>
    <row r="558" spans="1:3" x14ac:dyDescent="0.2">
      <c r="A558" s="27">
        <v>556</v>
      </c>
      <c r="B558" s="27">
        <f t="shared" ca="1" si="8"/>
        <v>0.70933179140533908</v>
      </c>
      <c r="C558" s="27" t="s">
        <v>227</v>
      </c>
    </row>
    <row r="559" spans="1:3" x14ac:dyDescent="0.2">
      <c r="A559" s="27">
        <v>557</v>
      </c>
      <c r="B559" s="27">
        <f t="shared" ca="1" si="8"/>
        <v>0.54009250342352788</v>
      </c>
      <c r="C559" s="27" t="s">
        <v>227</v>
      </c>
    </row>
    <row r="560" spans="1:3" x14ac:dyDescent="0.2">
      <c r="A560" s="27">
        <v>558</v>
      </c>
      <c r="B560" s="27">
        <f t="shared" ca="1" si="8"/>
        <v>0.70789092449689539</v>
      </c>
      <c r="C560" s="27" t="s">
        <v>226</v>
      </c>
    </row>
    <row r="561" spans="1:3" x14ac:dyDescent="0.2">
      <c r="A561" s="27">
        <v>559</v>
      </c>
      <c r="B561" s="27">
        <f t="shared" ca="1" si="8"/>
        <v>0.66215907810851082</v>
      </c>
      <c r="C561" s="27" t="s">
        <v>227</v>
      </c>
    </row>
    <row r="562" spans="1:3" x14ac:dyDescent="0.2">
      <c r="A562" s="27">
        <v>560</v>
      </c>
      <c r="B562" s="27">
        <f t="shared" ca="1" si="8"/>
        <v>0.6499891663020797</v>
      </c>
      <c r="C562" s="27" t="s">
        <v>226</v>
      </c>
    </row>
    <row r="563" spans="1:3" x14ac:dyDescent="0.2">
      <c r="A563" s="27">
        <v>561</v>
      </c>
      <c r="B563" s="27">
        <f t="shared" ca="1" si="8"/>
        <v>0.52539767035704033</v>
      </c>
      <c r="C563" s="27" t="s">
        <v>226</v>
      </c>
    </row>
    <row r="564" spans="1:3" x14ac:dyDescent="0.2">
      <c r="A564" s="27">
        <v>562</v>
      </c>
      <c r="B564" s="27">
        <f t="shared" ca="1" si="8"/>
        <v>0.64515866859851656</v>
      </c>
      <c r="C564" s="27" t="s">
        <v>226</v>
      </c>
    </row>
    <row r="565" spans="1:3" x14ac:dyDescent="0.2">
      <c r="A565" s="27">
        <v>563</v>
      </c>
      <c r="B565" s="27">
        <f t="shared" ca="1" si="8"/>
        <v>0.4792770783352801</v>
      </c>
      <c r="C565" s="27" t="s">
        <v>226</v>
      </c>
    </row>
    <row r="566" spans="1:3" x14ac:dyDescent="0.2">
      <c r="A566" s="27">
        <v>564</v>
      </c>
      <c r="B566" s="27">
        <f t="shared" ca="1" si="8"/>
        <v>0.64086640074572199</v>
      </c>
      <c r="C566" s="27" t="s">
        <v>226</v>
      </c>
    </row>
    <row r="567" spans="1:3" x14ac:dyDescent="0.2">
      <c r="A567" s="27">
        <v>565</v>
      </c>
      <c r="B567" s="27">
        <f t="shared" ca="1" si="8"/>
        <v>0.86330623861021061</v>
      </c>
      <c r="C567" s="27" t="s">
        <v>226</v>
      </c>
    </row>
    <row r="568" spans="1:3" x14ac:dyDescent="0.2">
      <c r="A568" s="27">
        <v>566</v>
      </c>
      <c r="B568" s="27">
        <f t="shared" ca="1" si="8"/>
        <v>0.6161975235835575</v>
      </c>
      <c r="C568" s="27" t="s">
        <v>227</v>
      </c>
    </row>
    <row r="569" spans="1:3" x14ac:dyDescent="0.2">
      <c r="A569" s="27">
        <v>567</v>
      </c>
      <c r="B569" s="27">
        <f t="shared" ca="1" si="8"/>
        <v>0.62225464068463576</v>
      </c>
      <c r="C569" s="27" t="s">
        <v>227</v>
      </c>
    </row>
    <row r="570" spans="1:3" x14ac:dyDescent="0.2">
      <c r="A570" s="27">
        <v>568</v>
      </c>
      <c r="B570" s="27">
        <f t="shared" ca="1" si="8"/>
        <v>0.60778222235330404</v>
      </c>
      <c r="C570" s="27" t="s">
        <v>227</v>
      </c>
    </row>
    <row r="571" spans="1:3" x14ac:dyDescent="0.2">
      <c r="A571" s="27">
        <v>569</v>
      </c>
      <c r="B571" s="27">
        <f t="shared" ca="1" si="8"/>
        <v>0.71363269153878928</v>
      </c>
      <c r="C571" s="27" t="s">
        <v>226</v>
      </c>
    </row>
    <row r="572" spans="1:3" x14ac:dyDescent="0.2">
      <c r="A572" s="27">
        <v>570</v>
      </c>
      <c r="B572" s="27">
        <f t="shared" ca="1" si="8"/>
        <v>0.57829799040348018</v>
      </c>
      <c r="C572" s="27" t="s">
        <v>227</v>
      </c>
    </row>
    <row r="573" spans="1:3" x14ac:dyDescent="0.2">
      <c r="A573" s="27">
        <v>571</v>
      </c>
      <c r="B573" s="27">
        <f t="shared" ca="1" si="8"/>
        <v>0.30591922907904245</v>
      </c>
      <c r="C573" s="27" t="s">
        <v>226</v>
      </c>
    </row>
    <row r="574" spans="1:3" x14ac:dyDescent="0.2">
      <c r="A574" s="27">
        <v>572</v>
      </c>
      <c r="B574" s="27">
        <f t="shared" ca="1" si="8"/>
        <v>0.6793913535621654</v>
      </c>
      <c r="C574" s="27" t="s">
        <v>227</v>
      </c>
    </row>
    <row r="575" spans="1:3" x14ac:dyDescent="0.2">
      <c r="A575" s="27">
        <v>573</v>
      </c>
      <c r="B575" s="27">
        <f t="shared" ca="1" si="8"/>
        <v>0.7179234790577711</v>
      </c>
      <c r="C575" s="27" t="s">
        <v>227</v>
      </c>
    </row>
    <row r="576" spans="1:3" x14ac:dyDescent="0.2">
      <c r="A576" s="27">
        <v>574</v>
      </c>
      <c r="B576" s="27">
        <f t="shared" ca="1" si="8"/>
        <v>0.8587156188136178</v>
      </c>
      <c r="C576" s="27" t="s">
        <v>227</v>
      </c>
    </row>
    <row r="577" spans="1:3" x14ac:dyDescent="0.2">
      <c r="A577" s="27">
        <v>575</v>
      </c>
      <c r="B577" s="27">
        <f t="shared" ca="1" si="8"/>
        <v>0.70643067346940369</v>
      </c>
      <c r="C577" s="27" t="s">
        <v>226</v>
      </c>
    </row>
    <row r="578" spans="1:3" x14ac:dyDescent="0.2">
      <c r="A578" s="27">
        <v>576</v>
      </c>
      <c r="B578" s="27">
        <f t="shared" ca="1" si="8"/>
        <v>0.60879587317308592</v>
      </c>
      <c r="C578" s="27" t="s">
        <v>226</v>
      </c>
    </row>
    <row r="579" spans="1:3" x14ac:dyDescent="0.2">
      <c r="A579" s="27">
        <v>577</v>
      </c>
      <c r="B579" s="27">
        <f t="shared" ref="B579:B642" ca="1" si="9">IF(C579="Bomb",_xlfn.NORM.INV(RAND(),0.7,0.1),_xlfn.NORM.INV(RAND(),0.6,0.15))</f>
        <v>0.60765811368885536</v>
      </c>
      <c r="C579" s="27" t="s">
        <v>226</v>
      </c>
    </row>
    <row r="580" spans="1:3" x14ac:dyDescent="0.2">
      <c r="A580" s="27">
        <v>578</v>
      </c>
      <c r="B580" s="27">
        <f t="shared" ca="1" si="9"/>
        <v>0.48714057317185877</v>
      </c>
      <c r="C580" s="27" t="s">
        <v>227</v>
      </c>
    </row>
    <row r="581" spans="1:3" x14ac:dyDescent="0.2">
      <c r="A581" s="27">
        <v>579</v>
      </c>
      <c r="B581" s="27">
        <f t="shared" ca="1" si="9"/>
        <v>0.8118836968223222</v>
      </c>
      <c r="C581" s="27" t="s">
        <v>227</v>
      </c>
    </row>
    <row r="582" spans="1:3" x14ac:dyDescent="0.2">
      <c r="A582" s="27">
        <v>580</v>
      </c>
      <c r="B582" s="27">
        <f t="shared" ca="1" si="9"/>
        <v>0.66031837245907188</v>
      </c>
      <c r="C582" s="27" t="s">
        <v>227</v>
      </c>
    </row>
    <row r="583" spans="1:3" x14ac:dyDescent="0.2">
      <c r="A583" s="27">
        <v>581</v>
      </c>
      <c r="B583" s="27">
        <f t="shared" ca="1" si="9"/>
        <v>0.56844141563218376</v>
      </c>
      <c r="C583" s="27" t="s">
        <v>226</v>
      </c>
    </row>
    <row r="584" spans="1:3" x14ac:dyDescent="0.2">
      <c r="A584" s="27">
        <v>582</v>
      </c>
      <c r="B584" s="27">
        <f t="shared" ca="1" si="9"/>
        <v>0.66285249686530501</v>
      </c>
      <c r="C584" s="27" t="s">
        <v>227</v>
      </c>
    </row>
    <row r="585" spans="1:3" x14ac:dyDescent="0.2">
      <c r="A585" s="27">
        <v>583</v>
      </c>
      <c r="B585" s="27">
        <f t="shared" ca="1" si="9"/>
        <v>0.43997974374362803</v>
      </c>
      <c r="C585" s="27" t="s">
        <v>226</v>
      </c>
    </row>
    <row r="586" spans="1:3" x14ac:dyDescent="0.2">
      <c r="A586" s="27">
        <v>584</v>
      </c>
      <c r="B586" s="27">
        <f t="shared" ca="1" si="9"/>
        <v>0.74619374441450292</v>
      </c>
      <c r="C586" s="27" t="s">
        <v>227</v>
      </c>
    </row>
    <row r="587" spans="1:3" x14ac:dyDescent="0.2">
      <c r="A587" s="27">
        <v>585</v>
      </c>
      <c r="B587" s="27">
        <f t="shared" ca="1" si="9"/>
        <v>0.59472393260130774</v>
      </c>
      <c r="C587" s="27" t="s">
        <v>226</v>
      </c>
    </row>
    <row r="588" spans="1:3" x14ac:dyDescent="0.2">
      <c r="A588" s="27">
        <v>586</v>
      </c>
      <c r="B588" s="27">
        <f t="shared" ca="1" si="9"/>
        <v>0.92822580951507294</v>
      </c>
      <c r="C588" s="27" t="s">
        <v>226</v>
      </c>
    </row>
    <row r="589" spans="1:3" x14ac:dyDescent="0.2">
      <c r="A589" s="27">
        <v>587</v>
      </c>
      <c r="B589" s="27">
        <f t="shared" ca="1" si="9"/>
        <v>0.67451686865252491</v>
      </c>
      <c r="C589" s="27" t="s">
        <v>227</v>
      </c>
    </row>
    <row r="590" spans="1:3" x14ac:dyDescent="0.2">
      <c r="A590" s="27">
        <v>588</v>
      </c>
      <c r="B590" s="27">
        <f t="shared" ca="1" si="9"/>
        <v>0.57014724643366022</v>
      </c>
      <c r="C590" s="27" t="s">
        <v>226</v>
      </c>
    </row>
    <row r="591" spans="1:3" x14ac:dyDescent="0.2">
      <c r="A591" s="27">
        <v>589</v>
      </c>
      <c r="B591" s="27">
        <f t="shared" ca="1" si="9"/>
        <v>0.90092875052311805</v>
      </c>
      <c r="C591" s="27" t="s">
        <v>226</v>
      </c>
    </row>
    <row r="592" spans="1:3" x14ac:dyDescent="0.2">
      <c r="A592" s="27">
        <v>590</v>
      </c>
      <c r="B592" s="27">
        <f t="shared" ca="1" si="9"/>
        <v>0.69904018962547265</v>
      </c>
      <c r="C592" s="27" t="s">
        <v>227</v>
      </c>
    </row>
    <row r="593" spans="1:3" x14ac:dyDescent="0.2">
      <c r="A593" s="27">
        <v>591</v>
      </c>
      <c r="B593" s="27">
        <f t="shared" ca="1" si="9"/>
        <v>0.40977114273924486</v>
      </c>
      <c r="C593" s="27" t="s">
        <v>226</v>
      </c>
    </row>
    <row r="594" spans="1:3" x14ac:dyDescent="0.2">
      <c r="A594" s="27">
        <v>592</v>
      </c>
      <c r="B594" s="27">
        <f t="shared" ca="1" si="9"/>
        <v>0.59942058421062938</v>
      </c>
      <c r="C594" s="27" t="s">
        <v>227</v>
      </c>
    </row>
    <row r="595" spans="1:3" x14ac:dyDescent="0.2">
      <c r="A595" s="27">
        <v>593</v>
      </c>
      <c r="B595" s="27">
        <f t="shared" ca="1" si="9"/>
        <v>0.72123471121586524</v>
      </c>
      <c r="C595" s="27" t="s">
        <v>226</v>
      </c>
    </row>
    <row r="596" spans="1:3" x14ac:dyDescent="0.2">
      <c r="A596" s="27">
        <v>594</v>
      </c>
      <c r="B596" s="27">
        <f t="shared" ca="1" si="9"/>
        <v>0.65732858954133588</v>
      </c>
      <c r="C596" s="27" t="s">
        <v>227</v>
      </c>
    </row>
    <row r="597" spans="1:3" x14ac:dyDescent="0.2">
      <c r="A597" s="27">
        <v>595</v>
      </c>
      <c r="B597" s="27">
        <f t="shared" ca="1" si="9"/>
        <v>0.8073561364695756</v>
      </c>
      <c r="C597" s="27" t="s">
        <v>227</v>
      </c>
    </row>
    <row r="598" spans="1:3" x14ac:dyDescent="0.2">
      <c r="A598" s="27">
        <v>596</v>
      </c>
      <c r="B598" s="27">
        <f t="shared" ca="1" si="9"/>
        <v>0.71560609660324126</v>
      </c>
      <c r="C598" s="27" t="s">
        <v>227</v>
      </c>
    </row>
    <row r="599" spans="1:3" x14ac:dyDescent="0.2">
      <c r="A599" s="27">
        <v>597</v>
      </c>
      <c r="B599" s="27">
        <f t="shared" ca="1" si="9"/>
        <v>0.85427158531162795</v>
      </c>
      <c r="C599" s="27" t="s">
        <v>227</v>
      </c>
    </row>
    <row r="600" spans="1:3" x14ac:dyDescent="0.2">
      <c r="A600" s="27">
        <v>598</v>
      </c>
      <c r="B600" s="27">
        <f t="shared" ca="1" si="9"/>
        <v>0.35988914535587679</v>
      </c>
      <c r="C600" s="27" t="s">
        <v>226</v>
      </c>
    </row>
    <row r="601" spans="1:3" x14ac:dyDescent="0.2">
      <c r="A601" s="27">
        <v>599</v>
      </c>
      <c r="B601" s="27">
        <f t="shared" ca="1" si="9"/>
        <v>0.62961656606146366</v>
      </c>
      <c r="C601" s="27" t="s">
        <v>227</v>
      </c>
    </row>
    <row r="602" spans="1:3" x14ac:dyDescent="0.2">
      <c r="A602" s="27">
        <v>600</v>
      </c>
      <c r="B602" s="27">
        <f t="shared" ca="1" si="9"/>
        <v>0.84609206878518906</v>
      </c>
      <c r="C602" s="27" t="s">
        <v>227</v>
      </c>
    </row>
    <row r="603" spans="1:3" x14ac:dyDescent="0.2">
      <c r="A603" s="27">
        <v>601</v>
      </c>
      <c r="B603" s="27">
        <f t="shared" ca="1" si="9"/>
        <v>0.78142623027216274</v>
      </c>
      <c r="C603" s="27" t="s">
        <v>226</v>
      </c>
    </row>
    <row r="604" spans="1:3" x14ac:dyDescent="0.2">
      <c r="A604" s="27">
        <v>602</v>
      </c>
      <c r="B604" s="27">
        <f t="shared" ca="1" si="9"/>
        <v>0.29818739323705173</v>
      </c>
      <c r="C604" s="27" t="s">
        <v>226</v>
      </c>
    </row>
    <row r="605" spans="1:3" x14ac:dyDescent="0.2">
      <c r="A605" s="27">
        <v>603</v>
      </c>
      <c r="B605" s="27">
        <f t="shared" ca="1" si="9"/>
        <v>0.61364931407879075</v>
      </c>
      <c r="C605" s="27" t="s">
        <v>226</v>
      </c>
    </row>
    <row r="606" spans="1:3" x14ac:dyDescent="0.2">
      <c r="A606" s="27">
        <v>604</v>
      </c>
      <c r="B606" s="27">
        <f t="shared" ca="1" si="9"/>
        <v>0.70741174677090168</v>
      </c>
      <c r="C606" s="27" t="s">
        <v>227</v>
      </c>
    </row>
    <row r="607" spans="1:3" x14ac:dyDescent="0.2">
      <c r="A607" s="27">
        <v>605</v>
      </c>
      <c r="B607" s="27">
        <f t="shared" ca="1" si="9"/>
        <v>0.67088621746765909</v>
      </c>
      <c r="C607" s="27" t="s">
        <v>226</v>
      </c>
    </row>
    <row r="608" spans="1:3" x14ac:dyDescent="0.2">
      <c r="A608" s="27">
        <v>606</v>
      </c>
      <c r="B608" s="27">
        <f t="shared" ca="1" si="9"/>
        <v>0.6422851556260375</v>
      </c>
      <c r="C608" s="27" t="s">
        <v>227</v>
      </c>
    </row>
    <row r="609" spans="1:3" x14ac:dyDescent="0.2">
      <c r="A609" s="27">
        <v>607</v>
      </c>
      <c r="B609" s="27">
        <f t="shared" ca="1" si="9"/>
        <v>0.66696353321962998</v>
      </c>
      <c r="C609" s="27" t="s">
        <v>226</v>
      </c>
    </row>
    <row r="610" spans="1:3" x14ac:dyDescent="0.2">
      <c r="A610" s="27">
        <v>608</v>
      </c>
      <c r="B610" s="27">
        <f t="shared" ca="1" si="9"/>
        <v>0.81820143954782176</v>
      </c>
      <c r="C610" s="27" t="s">
        <v>227</v>
      </c>
    </row>
    <row r="611" spans="1:3" x14ac:dyDescent="0.2">
      <c r="A611" s="27">
        <v>609</v>
      </c>
      <c r="B611" s="27">
        <f t="shared" ca="1" si="9"/>
        <v>0.71184386639926367</v>
      </c>
      <c r="C611" s="27" t="s">
        <v>226</v>
      </c>
    </row>
    <row r="612" spans="1:3" x14ac:dyDescent="0.2">
      <c r="A612" s="27">
        <v>610</v>
      </c>
      <c r="B612" s="27">
        <f t="shared" ca="1" si="9"/>
        <v>0.70645239127351778</v>
      </c>
      <c r="C612" s="27" t="s">
        <v>226</v>
      </c>
    </row>
    <row r="613" spans="1:3" x14ac:dyDescent="0.2">
      <c r="A613" s="27">
        <v>611</v>
      </c>
      <c r="B613" s="27">
        <f t="shared" ca="1" si="9"/>
        <v>0.76614005154686582</v>
      </c>
      <c r="C613" s="27" t="s">
        <v>227</v>
      </c>
    </row>
    <row r="614" spans="1:3" x14ac:dyDescent="0.2">
      <c r="A614" s="27">
        <v>612</v>
      </c>
      <c r="B614" s="27">
        <f t="shared" ca="1" si="9"/>
        <v>0.61480476716753152</v>
      </c>
      <c r="C614" s="27" t="s">
        <v>227</v>
      </c>
    </row>
    <row r="615" spans="1:3" x14ac:dyDescent="0.2">
      <c r="A615" s="27">
        <v>613</v>
      </c>
      <c r="B615" s="27">
        <f t="shared" ca="1" si="9"/>
        <v>0.43696442873028329</v>
      </c>
      <c r="C615" s="27" t="s">
        <v>226</v>
      </c>
    </row>
    <row r="616" spans="1:3" x14ac:dyDescent="0.2">
      <c r="A616" s="27">
        <v>614</v>
      </c>
      <c r="B616" s="27">
        <f t="shared" ca="1" si="9"/>
        <v>0.4798195002215368</v>
      </c>
      <c r="C616" s="27" t="s">
        <v>226</v>
      </c>
    </row>
    <row r="617" spans="1:3" x14ac:dyDescent="0.2">
      <c r="A617" s="27">
        <v>615</v>
      </c>
      <c r="B617" s="27">
        <f t="shared" ca="1" si="9"/>
        <v>0.54932965082508789</v>
      </c>
      <c r="C617" s="27" t="s">
        <v>226</v>
      </c>
    </row>
    <row r="618" spans="1:3" x14ac:dyDescent="0.2">
      <c r="A618" s="27">
        <v>616</v>
      </c>
      <c r="B618" s="27">
        <f t="shared" ca="1" si="9"/>
        <v>0.61969801743994546</v>
      </c>
      <c r="C618" s="27" t="s">
        <v>227</v>
      </c>
    </row>
    <row r="619" spans="1:3" x14ac:dyDescent="0.2">
      <c r="A619" s="27">
        <v>617</v>
      </c>
      <c r="B619" s="27">
        <f t="shared" ca="1" si="9"/>
        <v>0.70135591288197763</v>
      </c>
      <c r="C619" s="27" t="s">
        <v>227</v>
      </c>
    </row>
    <row r="620" spans="1:3" x14ac:dyDescent="0.2">
      <c r="A620" s="27">
        <v>618</v>
      </c>
      <c r="B620" s="27">
        <f t="shared" ca="1" si="9"/>
        <v>0.78891466876377281</v>
      </c>
      <c r="C620" s="27" t="s">
        <v>227</v>
      </c>
    </row>
    <row r="621" spans="1:3" x14ac:dyDescent="0.2">
      <c r="A621" s="27">
        <v>619</v>
      </c>
      <c r="B621" s="27">
        <f t="shared" ca="1" si="9"/>
        <v>0.62868733996418613</v>
      </c>
      <c r="C621" s="27" t="s">
        <v>226</v>
      </c>
    </row>
    <row r="622" spans="1:3" x14ac:dyDescent="0.2">
      <c r="A622" s="27">
        <v>620</v>
      </c>
      <c r="B622" s="27">
        <f t="shared" ca="1" si="9"/>
        <v>0.77218242878097509</v>
      </c>
      <c r="C622" s="27" t="s">
        <v>226</v>
      </c>
    </row>
    <row r="623" spans="1:3" x14ac:dyDescent="0.2">
      <c r="A623" s="27">
        <v>621</v>
      </c>
      <c r="B623" s="27">
        <f t="shared" ca="1" si="9"/>
        <v>0.63939443416130315</v>
      </c>
      <c r="C623" s="27" t="s">
        <v>227</v>
      </c>
    </row>
    <row r="624" spans="1:3" x14ac:dyDescent="0.2">
      <c r="A624" s="27">
        <v>622</v>
      </c>
      <c r="B624" s="27">
        <f t="shared" ca="1" si="9"/>
        <v>0.71743293509190975</v>
      </c>
      <c r="C624" s="27" t="s">
        <v>227</v>
      </c>
    </row>
    <row r="625" spans="1:3" x14ac:dyDescent="0.2">
      <c r="A625" s="27">
        <v>623</v>
      </c>
      <c r="B625" s="27">
        <f t="shared" ca="1" si="9"/>
        <v>0.70898301075016967</v>
      </c>
      <c r="C625" s="27" t="s">
        <v>227</v>
      </c>
    </row>
    <row r="626" spans="1:3" x14ac:dyDescent="0.2">
      <c r="A626" s="27">
        <v>624</v>
      </c>
      <c r="B626" s="27">
        <f t="shared" ca="1" si="9"/>
        <v>0.8772561974094264</v>
      </c>
      <c r="C626" s="27" t="s">
        <v>226</v>
      </c>
    </row>
    <row r="627" spans="1:3" x14ac:dyDescent="0.2">
      <c r="A627" s="27">
        <v>625</v>
      </c>
      <c r="B627" s="27">
        <f t="shared" ca="1" si="9"/>
        <v>0.81784113463366437</v>
      </c>
      <c r="C627" s="27" t="s">
        <v>227</v>
      </c>
    </row>
    <row r="628" spans="1:3" x14ac:dyDescent="0.2">
      <c r="A628" s="27">
        <v>626</v>
      </c>
      <c r="B628" s="27">
        <f t="shared" ca="1" si="9"/>
        <v>0.78749557459927166</v>
      </c>
      <c r="C628" s="27" t="s">
        <v>226</v>
      </c>
    </row>
    <row r="629" spans="1:3" x14ac:dyDescent="0.2">
      <c r="A629" s="27">
        <v>627</v>
      </c>
      <c r="B629" s="27">
        <f t="shared" ca="1" si="9"/>
        <v>0.5323672456224412</v>
      </c>
      <c r="C629" s="27" t="s">
        <v>226</v>
      </c>
    </row>
    <row r="630" spans="1:3" x14ac:dyDescent="0.2">
      <c r="A630" s="27">
        <v>628</v>
      </c>
      <c r="B630" s="27">
        <f t="shared" ca="1" si="9"/>
        <v>0.4163131389064022</v>
      </c>
      <c r="C630" s="27" t="s">
        <v>226</v>
      </c>
    </row>
    <row r="631" spans="1:3" x14ac:dyDescent="0.2">
      <c r="A631" s="27">
        <v>629</v>
      </c>
      <c r="B631" s="27">
        <f t="shared" ca="1" si="9"/>
        <v>0.81998292253416616</v>
      </c>
      <c r="C631" s="27" t="s">
        <v>226</v>
      </c>
    </row>
    <row r="632" spans="1:3" x14ac:dyDescent="0.2">
      <c r="A632" s="27">
        <v>630</v>
      </c>
      <c r="B632" s="27">
        <f t="shared" ca="1" si="9"/>
        <v>0.74379301902540551</v>
      </c>
      <c r="C632" s="27" t="s">
        <v>227</v>
      </c>
    </row>
    <row r="633" spans="1:3" x14ac:dyDescent="0.2">
      <c r="A633" s="27">
        <v>631</v>
      </c>
      <c r="B633" s="27">
        <f t="shared" ca="1" si="9"/>
        <v>0.51327047065532938</v>
      </c>
      <c r="C633" s="27" t="s">
        <v>227</v>
      </c>
    </row>
    <row r="634" spans="1:3" x14ac:dyDescent="0.2">
      <c r="A634" s="27">
        <v>632</v>
      </c>
      <c r="B634" s="27">
        <f t="shared" ca="1" si="9"/>
        <v>0.47493332260894983</v>
      </c>
      <c r="C634" s="27" t="s">
        <v>226</v>
      </c>
    </row>
    <row r="635" spans="1:3" x14ac:dyDescent="0.2">
      <c r="A635" s="27">
        <v>633</v>
      </c>
      <c r="B635" s="27">
        <f t="shared" ca="1" si="9"/>
        <v>0.51121916850461924</v>
      </c>
      <c r="C635" s="27" t="s">
        <v>227</v>
      </c>
    </row>
    <row r="636" spans="1:3" x14ac:dyDescent="0.2">
      <c r="A636" s="27">
        <v>634</v>
      </c>
      <c r="B636" s="27">
        <f t="shared" ca="1" si="9"/>
        <v>0.52975819935997559</v>
      </c>
      <c r="C636" s="27" t="s">
        <v>227</v>
      </c>
    </row>
    <row r="637" spans="1:3" x14ac:dyDescent="0.2">
      <c r="A637" s="27">
        <v>635</v>
      </c>
      <c r="B637" s="27">
        <f t="shared" ca="1" si="9"/>
        <v>0.60057907975436486</v>
      </c>
      <c r="C637" s="27" t="s">
        <v>227</v>
      </c>
    </row>
    <row r="638" spans="1:3" x14ac:dyDescent="0.2">
      <c r="A638" s="27">
        <v>636</v>
      </c>
      <c r="B638" s="27">
        <f t="shared" ca="1" si="9"/>
        <v>0.69927329011391637</v>
      </c>
      <c r="C638" s="27" t="s">
        <v>226</v>
      </c>
    </row>
    <row r="639" spans="1:3" x14ac:dyDescent="0.2">
      <c r="A639" s="27">
        <v>637</v>
      </c>
      <c r="B639" s="27">
        <f t="shared" ca="1" si="9"/>
        <v>0.90371058016627825</v>
      </c>
      <c r="C639" s="27" t="s">
        <v>226</v>
      </c>
    </row>
    <row r="640" spans="1:3" x14ac:dyDescent="0.2">
      <c r="A640" s="27">
        <v>638</v>
      </c>
      <c r="B640" s="27">
        <f t="shared" ca="1" si="9"/>
        <v>0.6891523477010133</v>
      </c>
      <c r="C640" s="27" t="s">
        <v>227</v>
      </c>
    </row>
    <row r="641" spans="1:3" x14ac:dyDescent="0.2">
      <c r="A641" s="27">
        <v>639</v>
      </c>
      <c r="B641" s="27">
        <f t="shared" ca="1" si="9"/>
        <v>0.51809227417042103</v>
      </c>
      <c r="C641" s="27" t="s">
        <v>226</v>
      </c>
    </row>
    <row r="642" spans="1:3" x14ac:dyDescent="0.2">
      <c r="A642" s="27">
        <v>640</v>
      </c>
      <c r="B642" s="27">
        <f t="shared" ca="1" si="9"/>
        <v>0.66595710419134468</v>
      </c>
      <c r="C642" s="27" t="s">
        <v>227</v>
      </c>
    </row>
    <row r="643" spans="1:3" x14ac:dyDescent="0.2">
      <c r="A643" s="27">
        <v>641</v>
      </c>
      <c r="B643" s="27">
        <f t="shared" ref="B643:B706" ca="1" si="10">IF(C643="Bomb",_xlfn.NORM.INV(RAND(),0.7,0.1),_xlfn.NORM.INV(RAND(),0.6,0.15))</f>
        <v>0.67169468773873575</v>
      </c>
      <c r="C643" s="27" t="s">
        <v>227</v>
      </c>
    </row>
    <row r="644" spans="1:3" x14ac:dyDescent="0.2">
      <c r="A644" s="27">
        <v>642</v>
      </c>
      <c r="B644" s="27">
        <f t="shared" ca="1" si="10"/>
        <v>0.63024700932519895</v>
      </c>
      <c r="C644" s="27" t="s">
        <v>226</v>
      </c>
    </row>
    <row r="645" spans="1:3" x14ac:dyDescent="0.2">
      <c r="A645" s="27">
        <v>643</v>
      </c>
      <c r="B645" s="27">
        <f t="shared" ca="1" si="10"/>
        <v>0.42977072086098839</v>
      </c>
      <c r="C645" s="27" t="s">
        <v>227</v>
      </c>
    </row>
    <row r="646" spans="1:3" x14ac:dyDescent="0.2">
      <c r="A646" s="27">
        <v>644</v>
      </c>
      <c r="B646" s="27">
        <f t="shared" ca="1" si="10"/>
        <v>0.65104468755554135</v>
      </c>
      <c r="C646" s="27" t="s">
        <v>226</v>
      </c>
    </row>
    <row r="647" spans="1:3" x14ac:dyDescent="0.2">
      <c r="A647" s="27">
        <v>645</v>
      </c>
      <c r="B647" s="27">
        <f t="shared" ca="1" si="10"/>
        <v>0.6278814923174858</v>
      </c>
      <c r="C647" s="27" t="s">
        <v>226</v>
      </c>
    </row>
    <row r="648" spans="1:3" x14ac:dyDescent="0.2">
      <c r="A648" s="27">
        <v>646</v>
      </c>
      <c r="B648" s="27">
        <f t="shared" ca="1" si="10"/>
        <v>0.51175119692993243</v>
      </c>
      <c r="C648" s="27" t="s">
        <v>226</v>
      </c>
    </row>
    <row r="649" spans="1:3" x14ac:dyDescent="0.2">
      <c r="A649" s="27">
        <v>647</v>
      </c>
      <c r="B649" s="27">
        <f t="shared" ca="1" si="10"/>
        <v>0.81673360677357609</v>
      </c>
      <c r="C649" s="27" t="s">
        <v>227</v>
      </c>
    </row>
    <row r="650" spans="1:3" x14ac:dyDescent="0.2">
      <c r="A650" s="27">
        <v>648</v>
      </c>
      <c r="B650" s="27">
        <f t="shared" ca="1" si="10"/>
        <v>0.76694914452318486</v>
      </c>
      <c r="C650" s="27" t="s">
        <v>227</v>
      </c>
    </row>
    <row r="651" spans="1:3" x14ac:dyDescent="0.2">
      <c r="A651" s="27">
        <v>649</v>
      </c>
      <c r="B651" s="27">
        <f t="shared" ca="1" si="10"/>
        <v>0.76527163875563742</v>
      </c>
      <c r="C651" s="27" t="s">
        <v>227</v>
      </c>
    </row>
    <row r="652" spans="1:3" x14ac:dyDescent="0.2">
      <c r="A652" s="27">
        <v>650</v>
      </c>
      <c r="B652" s="27">
        <f t="shared" ca="1" si="10"/>
        <v>0.70498258111452849</v>
      </c>
      <c r="C652" s="27" t="s">
        <v>227</v>
      </c>
    </row>
    <row r="653" spans="1:3" x14ac:dyDescent="0.2">
      <c r="A653" s="27">
        <v>651</v>
      </c>
      <c r="B653" s="27">
        <f t="shared" ca="1" si="10"/>
        <v>0.57045967821853305</v>
      </c>
      <c r="C653" s="27" t="s">
        <v>226</v>
      </c>
    </row>
    <row r="654" spans="1:3" x14ac:dyDescent="0.2">
      <c r="A654" s="27">
        <v>652</v>
      </c>
      <c r="B654" s="27">
        <f t="shared" ca="1" si="10"/>
        <v>0.53163084214066192</v>
      </c>
      <c r="C654" s="27" t="s">
        <v>226</v>
      </c>
    </row>
    <row r="655" spans="1:3" x14ac:dyDescent="0.2">
      <c r="A655" s="27">
        <v>653</v>
      </c>
      <c r="B655" s="27">
        <f t="shared" ca="1" si="10"/>
        <v>0.47311008908389784</v>
      </c>
      <c r="C655" s="27" t="s">
        <v>226</v>
      </c>
    </row>
    <row r="656" spans="1:3" x14ac:dyDescent="0.2">
      <c r="A656" s="27">
        <v>654</v>
      </c>
      <c r="B656" s="27">
        <f t="shared" ca="1" si="10"/>
        <v>0.46722990975136569</v>
      </c>
      <c r="C656" s="27" t="s">
        <v>226</v>
      </c>
    </row>
    <row r="657" spans="1:3" x14ac:dyDescent="0.2">
      <c r="A657" s="27">
        <v>655</v>
      </c>
      <c r="B657" s="27">
        <f t="shared" ca="1" si="10"/>
        <v>0.64083436967529517</v>
      </c>
      <c r="C657" s="27" t="s">
        <v>226</v>
      </c>
    </row>
    <row r="658" spans="1:3" x14ac:dyDescent="0.2">
      <c r="A658" s="27">
        <v>656</v>
      </c>
      <c r="B658" s="27">
        <f t="shared" ca="1" si="10"/>
        <v>0.6740515959198613</v>
      </c>
      <c r="C658" s="27" t="s">
        <v>226</v>
      </c>
    </row>
    <row r="659" spans="1:3" x14ac:dyDescent="0.2">
      <c r="A659" s="27">
        <v>657</v>
      </c>
      <c r="B659" s="27">
        <f t="shared" ca="1" si="10"/>
        <v>0.7696417778128265</v>
      </c>
      <c r="C659" s="27" t="s">
        <v>227</v>
      </c>
    </row>
    <row r="660" spans="1:3" x14ac:dyDescent="0.2">
      <c r="A660" s="27">
        <v>658</v>
      </c>
      <c r="B660" s="27">
        <f t="shared" ca="1" si="10"/>
        <v>0.75044754925171442</v>
      </c>
      <c r="C660" s="27" t="s">
        <v>226</v>
      </c>
    </row>
    <row r="661" spans="1:3" x14ac:dyDescent="0.2">
      <c r="A661" s="27">
        <v>659</v>
      </c>
      <c r="B661" s="27">
        <f t="shared" ca="1" si="10"/>
        <v>0.49918726550218551</v>
      </c>
      <c r="C661" s="27" t="s">
        <v>227</v>
      </c>
    </row>
    <row r="662" spans="1:3" x14ac:dyDescent="0.2">
      <c r="A662" s="27">
        <v>660</v>
      </c>
      <c r="B662" s="27">
        <f t="shared" ca="1" si="10"/>
        <v>0.51624680812189727</v>
      </c>
      <c r="C662" s="27" t="s">
        <v>226</v>
      </c>
    </row>
    <row r="663" spans="1:3" x14ac:dyDescent="0.2">
      <c r="A663" s="27">
        <v>661</v>
      </c>
      <c r="B663" s="27">
        <f t="shared" ca="1" si="10"/>
        <v>0.69876789819880414</v>
      </c>
      <c r="C663" s="27" t="s">
        <v>227</v>
      </c>
    </row>
    <row r="664" spans="1:3" x14ac:dyDescent="0.2">
      <c r="A664" s="27">
        <v>662</v>
      </c>
      <c r="B664" s="27">
        <f t="shared" ca="1" si="10"/>
        <v>0.80097293095101074</v>
      </c>
      <c r="C664" s="27" t="s">
        <v>226</v>
      </c>
    </row>
    <row r="665" spans="1:3" x14ac:dyDescent="0.2">
      <c r="A665" s="27">
        <v>663</v>
      </c>
      <c r="B665" s="27">
        <f t="shared" ca="1" si="10"/>
        <v>0.52907050486229457</v>
      </c>
      <c r="C665" s="27" t="s">
        <v>226</v>
      </c>
    </row>
    <row r="666" spans="1:3" x14ac:dyDescent="0.2">
      <c r="A666" s="27">
        <v>664</v>
      </c>
      <c r="B666" s="27">
        <f t="shared" ca="1" si="10"/>
        <v>0.72398775702616525</v>
      </c>
      <c r="C666" s="27" t="s">
        <v>227</v>
      </c>
    </row>
    <row r="667" spans="1:3" x14ac:dyDescent="0.2">
      <c r="A667" s="27">
        <v>665</v>
      </c>
      <c r="B667" s="27">
        <f t="shared" ca="1" si="10"/>
        <v>0.55073726635791187</v>
      </c>
      <c r="C667" s="27" t="s">
        <v>226</v>
      </c>
    </row>
    <row r="668" spans="1:3" x14ac:dyDescent="0.2">
      <c r="A668" s="27">
        <v>666</v>
      </c>
      <c r="B668" s="27">
        <f t="shared" ca="1" si="10"/>
        <v>0.50117591858274202</v>
      </c>
      <c r="C668" s="27" t="s">
        <v>226</v>
      </c>
    </row>
    <row r="669" spans="1:3" x14ac:dyDescent="0.2">
      <c r="A669" s="27">
        <v>667</v>
      </c>
      <c r="B669" s="27">
        <f t="shared" ca="1" si="10"/>
        <v>0.61655191550237165</v>
      </c>
      <c r="C669" s="27" t="s">
        <v>227</v>
      </c>
    </row>
    <row r="670" spans="1:3" x14ac:dyDescent="0.2">
      <c r="A670" s="27">
        <v>668</v>
      </c>
      <c r="B670" s="27">
        <f t="shared" ca="1" si="10"/>
        <v>0.58750002267352353</v>
      </c>
      <c r="C670" s="27" t="s">
        <v>226</v>
      </c>
    </row>
    <row r="671" spans="1:3" x14ac:dyDescent="0.2">
      <c r="A671" s="27">
        <v>669</v>
      </c>
      <c r="B671" s="27">
        <f t="shared" ca="1" si="10"/>
        <v>0.67826384916026172</v>
      </c>
      <c r="C671" s="27" t="s">
        <v>226</v>
      </c>
    </row>
    <row r="672" spans="1:3" x14ac:dyDescent="0.2">
      <c r="A672" s="27">
        <v>670</v>
      </c>
      <c r="B672" s="27">
        <f t="shared" ca="1" si="10"/>
        <v>0.44151048950584371</v>
      </c>
      <c r="C672" s="27" t="s">
        <v>226</v>
      </c>
    </row>
    <row r="673" spans="1:3" x14ac:dyDescent="0.2">
      <c r="A673" s="27">
        <v>671</v>
      </c>
      <c r="B673" s="27">
        <f t="shared" ca="1" si="10"/>
        <v>0.58335310871291779</v>
      </c>
      <c r="C673" s="27" t="s">
        <v>226</v>
      </c>
    </row>
    <row r="674" spans="1:3" x14ac:dyDescent="0.2">
      <c r="A674" s="27">
        <v>672</v>
      </c>
      <c r="B674" s="27">
        <f t="shared" ca="1" si="10"/>
        <v>0.54127302100525088</v>
      </c>
      <c r="C674" s="27" t="s">
        <v>226</v>
      </c>
    </row>
    <row r="675" spans="1:3" x14ac:dyDescent="0.2">
      <c r="A675" s="27">
        <v>673</v>
      </c>
      <c r="B675" s="27">
        <f t="shared" ca="1" si="10"/>
        <v>0.35574285709300657</v>
      </c>
      <c r="C675" s="27" t="s">
        <v>226</v>
      </c>
    </row>
    <row r="676" spans="1:3" x14ac:dyDescent="0.2">
      <c r="A676" s="27">
        <v>674</v>
      </c>
      <c r="B676" s="27">
        <f t="shared" ca="1" si="10"/>
        <v>0.81852660556707102</v>
      </c>
      <c r="C676" s="27" t="s">
        <v>227</v>
      </c>
    </row>
    <row r="677" spans="1:3" x14ac:dyDescent="0.2">
      <c r="A677" s="27">
        <v>675</v>
      </c>
      <c r="B677" s="27">
        <f t="shared" ca="1" si="10"/>
        <v>0.55372285846243219</v>
      </c>
      <c r="C677" s="27" t="s">
        <v>226</v>
      </c>
    </row>
    <row r="678" spans="1:3" x14ac:dyDescent="0.2">
      <c r="A678" s="27">
        <v>676</v>
      </c>
      <c r="B678" s="27">
        <f t="shared" ca="1" si="10"/>
        <v>0.65126012487889484</v>
      </c>
      <c r="C678" s="27" t="s">
        <v>227</v>
      </c>
    </row>
    <row r="679" spans="1:3" x14ac:dyDescent="0.2">
      <c r="A679" s="27">
        <v>677</v>
      </c>
      <c r="B679" s="27">
        <f t="shared" ca="1" si="10"/>
        <v>0.67493520627434278</v>
      </c>
      <c r="C679" s="27" t="s">
        <v>226</v>
      </c>
    </row>
    <row r="680" spans="1:3" x14ac:dyDescent="0.2">
      <c r="A680" s="27">
        <v>678</v>
      </c>
      <c r="B680" s="27">
        <f t="shared" ca="1" si="10"/>
        <v>0.86575199667191383</v>
      </c>
      <c r="C680" s="27" t="s">
        <v>227</v>
      </c>
    </row>
    <row r="681" spans="1:3" x14ac:dyDescent="0.2">
      <c r="A681" s="27">
        <v>679</v>
      </c>
      <c r="B681" s="27">
        <f t="shared" ca="1" si="10"/>
        <v>0.52279101732562894</v>
      </c>
      <c r="C681" s="27" t="s">
        <v>226</v>
      </c>
    </row>
    <row r="682" spans="1:3" x14ac:dyDescent="0.2">
      <c r="A682" s="27">
        <v>680</v>
      </c>
      <c r="B682" s="27">
        <f t="shared" ca="1" si="10"/>
        <v>0.74710829888355057</v>
      </c>
      <c r="C682" s="27" t="s">
        <v>226</v>
      </c>
    </row>
    <row r="683" spans="1:3" x14ac:dyDescent="0.2">
      <c r="A683" s="27">
        <v>681</v>
      </c>
      <c r="B683" s="27">
        <f t="shared" ca="1" si="10"/>
        <v>0.61562826108012458</v>
      </c>
      <c r="C683" s="27" t="s">
        <v>226</v>
      </c>
    </row>
    <row r="684" spans="1:3" x14ac:dyDescent="0.2">
      <c r="A684" s="27">
        <v>682</v>
      </c>
      <c r="B684" s="27">
        <f t="shared" ca="1" si="10"/>
        <v>0.56260730753901822</v>
      </c>
      <c r="C684" s="27" t="s">
        <v>226</v>
      </c>
    </row>
    <row r="685" spans="1:3" x14ac:dyDescent="0.2">
      <c r="A685" s="27">
        <v>683</v>
      </c>
      <c r="B685" s="27">
        <f t="shared" ca="1" si="10"/>
        <v>0.45297186768844866</v>
      </c>
      <c r="C685" s="27" t="s">
        <v>226</v>
      </c>
    </row>
    <row r="686" spans="1:3" x14ac:dyDescent="0.2">
      <c r="A686" s="27">
        <v>684</v>
      </c>
      <c r="B686" s="27">
        <f t="shared" ca="1" si="10"/>
        <v>0.55192083123075453</v>
      </c>
      <c r="C686" s="27" t="s">
        <v>226</v>
      </c>
    </row>
    <row r="687" spans="1:3" x14ac:dyDescent="0.2">
      <c r="A687" s="27">
        <v>685</v>
      </c>
      <c r="B687" s="27">
        <f t="shared" ca="1" si="10"/>
        <v>0.85315158472598496</v>
      </c>
      <c r="C687" s="27" t="s">
        <v>227</v>
      </c>
    </row>
    <row r="688" spans="1:3" x14ac:dyDescent="0.2">
      <c r="A688" s="27">
        <v>686</v>
      </c>
      <c r="B688" s="27">
        <f t="shared" ca="1" si="10"/>
        <v>0.67399751883898151</v>
      </c>
      <c r="C688" s="27" t="s">
        <v>226</v>
      </c>
    </row>
    <row r="689" spans="1:3" x14ac:dyDescent="0.2">
      <c r="A689" s="27">
        <v>687</v>
      </c>
      <c r="B689" s="27">
        <f t="shared" ca="1" si="10"/>
        <v>0.55791887314140831</v>
      </c>
      <c r="C689" s="27" t="s">
        <v>226</v>
      </c>
    </row>
    <row r="690" spans="1:3" x14ac:dyDescent="0.2">
      <c r="A690" s="27">
        <v>688</v>
      </c>
      <c r="B690" s="27">
        <f t="shared" ca="1" si="10"/>
        <v>0.55883294163712838</v>
      </c>
      <c r="C690" s="27" t="s">
        <v>226</v>
      </c>
    </row>
    <row r="691" spans="1:3" x14ac:dyDescent="0.2">
      <c r="A691" s="27">
        <v>689</v>
      </c>
      <c r="B691" s="27">
        <f t="shared" ca="1" si="10"/>
        <v>0.59343879040586833</v>
      </c>
      <c r="C691" s="27" t="s">
        <v>226</v>
      </c>
    </row>
    <row r="692" spans="1:3" x14ac:dyDescent="0.2">
      <c r="A692" s="27">
        <v>690</v>
      </c>
      <c r="B692" s="27">
        <f t="shared" ca="1" si="10"/>
        <v>0.55735517667429046</v>
      </c>
      <c r="C692" s="27" t="s">
        <v>227</v>
      </c>
    </row>
    <row r="693" spans="1:3" x14ac:dyDescent="0.2">
      <c r="A693" s="27">
        <v>691</v>
      </c>
      <c r="B693" s="27">
        <f t="shared" ca="1" si="10"/>
        <v>0.75371896622356527</v>
      </c>
      <c r="C693" s="27" t="s">
        <v>227</v>
      </c>
    </row>
    <row r="694" spans="1:3" x14ac:dyDescent="0.2">
      <c r="A694" s="27">
        <v>692</v>
      </c>
      <c r="B694" s="27">
        <f t="shared" ca="1" si="10"/>
        <v>0.73030225272252536</v>
      </c>
      <c r="C694" s="27" t="s">
        <v>227</v>
      </c>
    </row>
    <row r="695" spans="1:3" x14ac:dyDescent="0.2">
      <c r="A695" s="27">
        <v>693</v>
      </c>
      <c r="B695" s="27">
        <f t="shared" ca="1" si="10"/>
        <v>0.77616634325916045</v>
      </c>
      <c r="C695" s="27" t="s">
        <v>227</v>
      </c>
    </row>
    <row r="696" spans="1:3" x14ac:dyDescent="0.2">
      <c r="A696" s="27">
        <v>694</v>
      </c>
      <c r="B696" s="27">
        <f t="shared" ca="1" si="10"/>
        <v>0.73412888781357699</v>
      </c>
      <c r="C696" s="27" t="s">
        <v>226</v>
      </c>
    </row>
    <row r="697" spans="1:3" x14ac:dyDescent="0.2">
      <c r="A697" s="27">
        <v>695</v>
      </c>
      <c r="B697" s="27">
        <f t="shared" ca="1" si="10"/>
        <v>0.86269234133388251</v>
      </c>
      <c r="C697" s="27" t="s">
        <v>226</v>
      </c>
    </row>
    <row r="698" spans="1:3" x14ac:dyDescent="0.2">
      <c r="A698" s="27">
        <v>696</v>
      </c>
      <c r="B698" s="27">
        <f t="shared" ca="1" si="10"/>
        <v>0.55849287473480524</v>
      </c>
      <c r="C698" s="27" t="s">
        <v>226</v>
      </c>
    </row>
    <row r="699" spans="1:3" x14ac:dyDescent="0.2">
      <c r="A699" s="27">
        <v>697</v>
      </c>
      <c r="B699" s="27">
        <f t="shared" ca="1" si="10"/>
        <v>0.4602047343344432</v>
      </c>
      <c r="C699" s="27" t="s">
        <v>226</v>
      </c>
    </row>
    <row r="700" spans="1:3" x14ac:dyDescent="0.2">
      <c r="A700" s="27">
        <v>698</v>
      </c>
      <c r="B700" s="27">
        <f t="shared" ca="1" si="10"/>
        <v>0.54149795760643471</v>
      </c>
      <c r="C700" s="27" t="s">
        <v>227</v>
      </c>
    </row>
    <row r="701" spans="1:3" x14ac:dyDescent="0.2">
      <c r="A701" s="27">
        <v>699</v>
      </c>
      <c r="B701" s="27">
        <f t="shared" ca="1" si="10"/>
        <v>0.79602294620058733</v>
      </c>
      <c r="C701" s="27" t="s">
        <v>226</v>
      </c>
    </row>
    <row r="702" spans="1:3" x14ac:dyDescent="0.2">
      <c r="A702" s="27">
        <v>700</v>
      </c>
      <c r="B702" s="27">
        <f t="shared" ca="1" si="10"/>
        <v>0.62177463783914932</v>
      </c>
      <c r="C702" s="27" t="s">
        <v>226</v>
      </c>
    </row>
    <row r="703" spans="1:3" x14ac:dyDescent="0.2">
      <c r="A703" s="27">
        <v>701</v>
      </c>
      <c r="B703" s="27">
        <f t="shared" ca="1" si="10"/>
        <v>0.4167625541742575</v>
      </c>
      <c r="C703" s="27" t="s">
        <v>226</v>
      </c>
    </row>
    <row r="704" spans="1:3" x14ac:dyDescent="0.2">
      <c r="A704" s="27">
        <v>702</v>
      </c>
      <c r="B704" s="27">
        <f t="shared" ca="1" si="10"/>
        <v>0.39577202108230625</v>
      </c>
      <c r="C704" s="27" t="s">
        <v>226</v>
      </c>
    </row>
    <row r="705" spans="1:3" x14ac:dyDescent="0.2">
      <c r="A705" s="27">
        <v>703</v>
      </c>
      <c r="B705" s="27">
        <f t="shared" ca="1" si="10"/>
        <v>0.76996280238487591</v>
      </c>
      <c r="C705" s="27" t="s">
        <v>227</v>
      </c>
    </row>
    <row r="706" spans="1:3" x14ac:dyDescent="0.2">
      <c r="A706" s="27">
        <v>704</v>
      </c>
      <c r="B706" s="27">
        <f t="shared" ca="1" si="10"/>
        <v>0.66251353338060859</v>
      </c>
      <c r="C706" s="27" t="s">
        <v>227</v>
      </c>
    </row>
    <row r="707" spans="1:3" x14ac:dyDescent="0.2">
      <c r="A707" s="27">
        <v>705</v>
      </c>
      <c r="B707" s="27">
        <f t="shared" ref="B707:B770" ca="1" si="11">IF(C707="Bomb",_xlfn.NORM.INV(RAND(),0.7,0.1),_xlfn.NORM.INV(RAND(),0.6,0.15))</f>
        <v>0.62007635342734591</v>
      </c>
      <c r="C707" s="27" t="s">
        <v>226</v>
      </c>
    </row>
    <row r="708" spans="1:3" x14ac:dyDescent="0.2">
      <c r="A708" s="27">
        <v>706</v>
      </c>
      <c r="B708" s="27">
        <f t="shared" ca="1" si="11"/>
        <v>0.64834714498845325</v>
      </c>
      <c r="C708" s="27" t="s">
        <v>226</v>
      </c>
    </row>
    <row r="709" spans="1:3" x14ac:dyDescent="0.2">
      <c r="A709" s="27">
        <v>707</v>
      </c>
      <c r="B709" s="27">
        <f t="shared" ca="1" si="11"/>
        <v>0.56835669428153635</v>
      </c>
      <c r="C709" s="27" t="s">
        <v>226</v>
      </c>
    </row>
    <row r="710" spans="1:3" x14ac:dyDescent="0.2">
      <c r="A710" s="27">
        <v>708</v>
      </c>
      <c r="B710" s="27">
        <f t="shared" ca="1" si="11"/>
        <v>0.61119271069688952</v>
      </c>
      <c r="C710" s="27" t="s">
        <v>227</v>
      </c>
    </row>
    <row r="711" spans="1:3" x14ac:dyDescent="0.2">
      <c r="A711" s="27">
        <v>709</v>
      </c>
      <c r="B711" s="27">
        <f t="shared" ca="1" si="11"/>
        <v>0.62677086285857209</v>
      </c>
      <c r="C711" s="27" t="s">
        <v>227</v>
      </c>
    </row>
    <row r="712" spans="1:3" x14ac:dyDescent="0.2">
      <c r="A712" s="27">
        <v>710</v>
      </c>
      <c r="B712" s="27">
        <f t="shared" ca="1" si="11"/>
        <v>0.82892870862778112</v>
      </c>
      <c r="C712" s="27" t="s">
        <v>227</v>
      </c>
    </row>
    <row r="713" spans="1:3" x14ac:dyDescent="0.2">
      <c r="A713" s="27">
        <v>711</v>
      </c>
      <c r="B713" s="27">
        <f t="shared" ca="1" si="11"/>
        <v>0.66136772881077366</v>
      </c>
      <c r="C713" s="27" t="s">
        <v>226</v>
      </c>
    </row>
    <row r="714" spans="1:3" x14ac:dyDescent="0.2">
      <c r="A714" s="27">
        <v>712</v>
      </c>
      <c r="B714" s="27">
        <f t="shared" ca="1" si="11"/>
        <v>0.76056445740176515</v>
      </c>
      <c r="C714" s="27" t="s">
        <v>227</v>
      </c>
    </row>
    <row r="715" spans="1:3" x14ac:dyDescent="0.2">
      <c r="A715" s="27">
        <v>713</v>
      </c>
      <c r="B715" s="27">
        <f t="shared" ca="1" si="11"/>
        <v>0.42405375451462224</v>
      </c>
      <c r="C715" s="27" t="s">
        <v>226</v>
      </c>
    </row>
    <row r="716" spans="1:3" x14ac:dyDescent="0.2">
      <c r="A716" s="27">
        <v>714</v>
      </c>
      <c r="B716" s="27">
        <f t="shared" ca="1" si="11"/>
        <v>0.65985252412758388</v>
      </c>
      <c r="C716" s="27" t="s">
        <v>226</v>
      </c>
    </row>
    <row r="717" spans="1:3" x14ac:dyDescent="0.2">
      <c r="A717" s="27">
        <v>715</v>
      </c>
      <c r="B717" s="27">
        <f t="shared" ca="1" si="11"/>
        <v>0.58365066510265862</v>
      </c>
      <c r="C717" s="27" t="s">
        <v>226</v>
      </c>
    </row>
    <row r="718" spans="1:3" x14ac:dyDescent="0.2">
      <c r="A718" s="27">
        <v>716</v>
      </c>
      <c r="B718" s="27">
        <f t="shared" ca="1" si="11"/>
        <v>0.54839546127707028</v>
      </c>
      <c r="C718" s="27" t="s">
        <v>227</v>
      </c>
    </row>
    <row r="719" spans="1:3" x14ac:dyDescent="0.2">
      <c r="A719" s="27">
        <v>717</v>
      </c>
      <c r="B719" s="27">
        <f t="shared" ca="1" si="11"/>
        <v>0.49459888880510228</v>
      </c>
      <c r="C719" s="27" t="s">
        <v>226</v>
      </c>
    </row>
    <row r="720" spans="1:3" x14ac:dyDescent="0.2">
      <c r="A720" s="27">
        <v>718</v>
      </c>
      <c r="B720" s="27">
        <f t="shared" ca="1" si="11"/>
        <v>0.74091360268488327</v>
      </c>
      <c r="C720" s="27" t="s">
        <v>226</v>
      </c>
    </row>
    <row r="721" spans="1:3" x14ac:dyDescent="0.2">
      <c r="A721" s="27">
        <v>719</v>
      </c>
      <c r="B721" s="27">
        <f t="shared" ca="1" si="11"/>
        <v>0.48317622926165527</v>
      </c>
      <c r="C721" s="27" t="s">
        <v>226</v>
      </c>
    </row>
    <row r="722" spans="1:3" x14ac:dyDescent="0.2">
      <c r="A722" s="27">
        <v>720</v>
      </c>
      <c r="B722" s="27">
        <f t="shared" ca="1" si="11"/>
        <v>0.58243025950580274</v>
      </c>
      <c r="C722" s="27" t="s">
        <v>226</v>
      </c>
    </row>
    <row r="723" spans="1:3" x14ac:dyDescent="0.2">
      <c r="A723" s="27">
        <v>721</v>
      </c>
      <c r="B723" s="27">
        <f t="shared" ca="1" si="11"/>
        <v>0.61420088628717318</v>
      </c>
      <c r="C723" s="27" t="s">
        <v>227</v>
      </c>
    </row>
    <row r="724" spans="1:3" x14ac:dyDescent="0.2">
      <c r="A724" s="27">
        <v>722</v>
      </c>
      <c r="B724" s="27">
        <f t="shared" ca="1" si="11"/>
        <v>0.47416990854286811</v>
      </c>
      <c r="C724" s="27" t="s">
        <v>226</v>
      </c>
    </row>
    <row r="725" spans="1:3" x14ac:dyDescent="0.2">
      <c r="A725" s="27">
        <v>723</v>
      </c>
      <c r="B725" s="27">
        <f t="shared" ca="1" si="11"/>
        <v>0.70194499057864002</v>
      </c>
      <c r="C725" s="27" t="s">
        <v>227</v>
      </c>
    </row>
    <row r="726" spans="1:3" x14ac:dyDescent="0.2">
      <c r="A726" s="27">
        <v>724</v>
      </c>
      <c r="B726" s="27">
        <f t="shared" ca="1" si="11"/>
        <v>0.70272454115485294</v>
      </c>
      <c r="C726" s="27" t="s">
        <v>227</v>
      </c>
    </row>
    <row r="727" spans="1:3" x14ac:dyDescent="0.2">
      <c r="A727" s="27">
        <v>725</v>
      </c>
      <c r="B727" s="27">
        <f t="shared" ca="1" si="11"/>
        <v>0.59250925400234999</v>
      </c>
      <c r="C727" s="27" t="s">
        <v>226</v>
      </c>
    </row>
    <row r="728" spans="1:3" x14ac:dyDescent="0.2">
      <c r="A728" s="27">
        <v>726</v>
      </c>
      <c r="B728" s="27">
        <f t="shared" ca="1" si="11"/>
        <v>0.47225079454530416</v>
      </c>
      <c r="C728" s="27" t="s">
        <v>226</v>
      </c>
    </row>
    <row r="729" spans="1:3" x14ac:dyDescent="0.2">
      <c r="A729" s="27">
        <v>727</v>
      </c>
      <c r="B729" s="27">
        <f t="shared" ca="1" si="11"/>
        <v>0.57520262445110037</v>
      </c>
      <c r="C729" s="27" t="s">
        <v>227</v>
      </c>
    </row>
    <row r="730" spans="1:3" x14ac:dyDescent="0.2">
      <c r="A730" s="27">
        <v>728</v>
      </c>
      <c r="B730" s="27">
        <f t="shared" ca="1" si="11"/>
        <v>0.47735087209384341</v>
      </c>
      <c r="C730" s="27" t="s">
        <v>226</v>
      </c>
    </row>
    <row r="731" spans="1:3" x14ac:dyDescent="0.2">
      <c r="A731" s="27">
        <v>729</v>
      </c>
      <c r="B731" s="27">
        <f t="shared" ca="1" si="11"/>
        <v>0.50497928499605926</v>
      </c>
      <c r="C731" s="27" t="s">
        <v>227</v>
      </c>
    </row>
    <row r="732" spans="1:3" x14ac:dyDescent="0.2">
      <c r="A732" s="27">
        <v>730</v>
      </c>
      <c r="B732" s="27">
        <f t="shared" ca="1" si="11"/>
        <v>0.61638139439112094</v>
      </c>
      <c r="C732" s="27" t="s">
        <v>227</v>
      </c>
    </row>
    <row r="733" spans="1:3" x14ac:dyDescent="0.2">
      <c r="A733" s="27">
        <v>731</v>
      </c>
      <c r="B733" s="27">
        <f t="shared" ca="1" si="11"/>
        <v>0.68480740683371299</v>
      </c>
      <c r="C733" s="27" t="s">
        <v>227</v>
      </c>
    </row>
    <row r="734" spans="1:3" x14ac:dyDescent="0.2">
      <c r="A734" s="27">
        <v>732</v>
      </c>
      <c r="B734" s="27">
        <f t="shared" ca="1" si="11"/>
        <v>0.53967492830190811</v>
      </c>
      <c r="C734" s="27" t="s">
        <v>226</v>
      </c>
    </row>
    <row r="735" spans="1:3" x14ac:dyDescent="0.2">
      <c r="A735" s="27">
        <v>733</v>
      </c>
      <c r="B735" s="27">
        <f t="shared" ca="1" si="11"/>
        <v>0.64778579034386097</v>
      </c>
      <c r="C735" s="27" t="s">
        <v>226</v>
      </c>
    </row>
    <row r="736" spans="1:3" x14ac:dyDescent="0.2">
      <c r="A736" s="27">
        <v>734</v>
      </c>
      <c r="B736" s="27">
        <f t="shared" ca="1" si="11"/>
        <v>0.47192009232321741</v>
      </c>
      <c r="C736" s="27" t="s">
        <v>226</v>
      </c>
    </row>
    <row r="737" spans="1:3" x14ac:dyDescent="0.2">
      <c r="A737" s="27">
        <v>735</v>
      </c>
      <c r="B737" s="27">
        <f t="shared" ca="1" si="11"/>
        <v>0.59174584142076814</v>
      </c>
      <c r="C737" s="27" t="s">
        <v>227</v>
      </c>
    </row>
    <row r="738" spans="1:3" x14ac:dyDescent="0.2">
      <c r="A738" s="27">
        <v>736</v>
      </c>
      <c r="B738" s="27">
        <f t="shared" ca="1" si="11"/>
        <v>0.7035351118361155</v>
      </c>
      <c r="C738" s="27" t="s">
        <v>227</v>
      </c>
    </row>
    <row r="739" spans="1:3" x14ac:dyDescent="0.2">
      <c r="A739" s="27">
        <v>737</v>
      </c>
      <c r="B739" s="27">
        <f t="shared" ca="1" si="11"/>
        <v>0.56762730462465627</v>
      </c>
      <c r="C739" s="27" t="s">
        <v>226</v>
      </c>
    </row>
    <row r="740" spans="1:3" x14ac:dyDescent="0.2">
      <c r="A740" s="27">
        <v>738</v>
      </c>
      <c r="B740" s="27">
        <f t="shared" ca="1" si="11"/>
        <v>0.65864556906888283</v>
      </c>
      <c r="C740" s="27" t="s">
        <v>226</v>
      </c>
    </row>
    <row r="741" spans="1:3" x14ac:dyDescent="0.2">
      <c r="A741" s="27">
        <v>739</v>
      </c>
      <c r="B741" s="27">
        <f t="shared" ca="1" si="11"/>
        <v>0.84227273493981591</v>
      </c>
      <c r="C741" s="27" t="s">
        <v>227</v>
      </c>
    </row>
    <row r="742" spans="1:3" x14ac:dyDescent="0.2">
      <c r="A742" s="27">
        <v>740</v>
      </c>
      <c r="B742" s="27">
        <f t="shared" ca="1" si="11"/>
        <v>0.64180140591709356</v>
      </c>
      <c r="C742" s="27" t="s">
        <v>226</v>
      </c>
    </row>
    <row r="743" spans="1:3" x14ac:dyDescent="0.2">
      <c r="A743" s="27">
        <v>741</v>
      </c>
      <c r="B743" s="27">
        <f t="shared" ca="1" si="11"/>
        <v>0.47549706937081532</v>
      </c>
      <c r="C743" s="27" t="s">
        <v>226</v>
      </c>
    </row>
    <row r="744" spans="1:3" x14ac:dyDescent="0.2">
      <c r="A744" s="27">
        <v>742</v>
      </c>
      <c r="B744" s="27">
        <f t="shared" ca="1" si="11"/>
        <v>0.745487624518827</v>
      </c>
      <c r="C744" s="27" t="s">
        <v>226</v>
      </c>
    </row>
    <row r="745" spans="1:3" x14ac:dyDescent="0.2">
      <c r="A745" s="27">
        <v>743</v>
      </c>
      <c r="B745" s="27">
        <f t="shared" ca="1" si="11"/>
        <v>0.3217055383787325</v>
      </c>
      <c r="C745" s="27" t="s">
        <v>226</v>
      </c>
    </row>
    <row r="746" spans="1:3" x14ac:dyDescent="0.2">
      <c r="A746" s="27">
        <v>744</v>
      </c>
      <c r="B746" s="27">
        <f t="shared" ca="1" si="11"/>
        <v>0.39624285429971345</v>
      </c>
      <c r="C746" s="27" t="s">
        <v>226</v>
      </c>
    </row>
    <row r="747" spans="1:3" x14ac:dyDescent="0.2">
      <c r="A747" s="27">
        <v>745</v>
      </c>
      <c r="B747" s="27">
        <f t="shared" ca="1" si="11"/>
        <v>0.55941607757045564</v>
      </c>
      <c r="C747" s="27" t="s">
        <v>226</v>
      </c>
    </row>
    <row r="748" spans="1:3" x14ac:dyDescent="0.2">
      <c r="A748" s="27">
        <v>746</v>
      </c>
      <c r="B748" s="27">
        <f t="shared" ca="1" si="11"/>
        <v>0.59872860562249075</v>
      </c>
      <c r="C748" s="27" t="s">
        <v>227</v>
      </c>
    </row>
    <row r="749" spans="1:3" x14ac:dyDescent="0.2">
      <c r="A749" s="27">
        <v>747</v>
      </c>
      <c r="B749" s="27">
        <f t="shared" ca="1" si="11"/>
        <v>0.75454475097493834</v>
      </c>
      <c r="C749" s="27" t="s">
        <v>227</v>
      </c>
    </row>
    <row r="750" spans="1:3" x14ac:dyDescent="0.2">
      <c r="A750" s="27">
        <v>748</v>
      </c>
      <c r="B750" s="27">
        <f t="shared" ca="1" si="11"/>
        <v>0.46281011794016519</v>
      </c>
      <c r="C750" s="27" t="s">
        <v>226</v>
      </c>
    </row>
    <row r="751" spans="1:3" x14ac:dyDescent="0.2">
      <c r="A751" s="27">
        <v>749</v>
      </c>
      <c r="B751" s="27">
        <f t="shared" ca="1" si="11"/>
        <v>0.74823474519592947</v>
      </c>
      <c r="C751" s="27" t="s">
        <v>227</v>
      </c>
    </row>
    <row r="752" spans="1:3" x14ac:dyDescent="0.2">
      <c r="A752" s="27">
        <v>750</v>
      </c>
      <c r="B752" s="27">
        <f t="shared" ca="1" si="11"/>
        <v>0.51542388820596097</v>
      </c>
      <c r="C752" s="27" t="s">
        <v>226</v>
      </c>
    </row>
    <row r="753" spans="1:3" x14ac:dyDescent="0.2">
      <c r="A753" s="27">
        <v>751</v>
      </c>
      <c r="B753" s="27">
        <f t="shared" ca="1" si="11"/>
        <v>0.91378365555045382</v>
      </c>
      <c r="C753" s="27" t="s">
        <v>227</v>
      </c>
    </row>
    <row r="754" spans="1:3" x14ac:dyDescent="0.2">
      <c r="A754" s="27">
        <v>752</v>
      </c>
      <c r="B754" s="27">
        <f t="shared" ca="1" si="11"/>
        <v>0.64979801931257952</v>
      </c>
      <c r="C754" s="27" t="s">
        <v>227</v>
      </c>
    </row>
    <row r="755" spans="1:3" x14ac:dyDescent="0.2">
      <c r="A755" s="27">
        <v>753</v>
      </c>
      <c r="B755" s="27">
        <f t="shared" ca="1" si="11"/>
        <v>0.59148437301549728</v>
      </c>
      <c r="C755" s="27" t="s">
        <v>227</v>
      </c>
    </row>
    <row r="756" spans="1:3" x14ac:dyDescent="0.2">
      <c r="A756" s="27">
        <v>754</v>
      </c>
      <c r="B756" s="27">
        <f t="shared" ca="1" si="11"/>
        <v>0.71203108774078527</v>
      </c>
      <c r="C756" s="27" t="s">
        <v>227</v>
      </c>
    </row>
    <row r="757" spans="1:3" x14ac:dyDescent="0.2">
      <c r="A757" s="27">
        <v>755</v>
      </c>
      <c r="B757" s="27">
        <f t="shared" ca="1" si="11"/>
        <v>0.57352333692214097</v>
      </c>
      <c r="C757" s="27" t="s">
        <v>226</v>
      </c>
    </row>
    <row r="758" spans="1:3" x14ac:dyDescent="0.2">
      <c r="A758" s="27">
        <v>756</v>
      </c>
      <c r="B758" s="27">
        <f t="shared" ca="1" si="11"/>
        <v>0.85825792373461296</v>
      </c>
      <c r="C758" s="27" t="s">
        <v>227</v>
      </c>
    </row>
    <row r="759" spans="1:3" x14ac:dyDescent="0.2">
      <c r="A759" s="27">
        <v>757</v>
      </c>
      <c r="B759" s="27">
        <f t="shared" ca="1" si="11"/>
        <v>0.65851025839409827</v>
      </c>
      <c r="C759" s="27" t="s">
        <v>227</v>
      </c>
    </row>
    <row r="760" spans="1:3" x14ac:dyDescent="0.2">
      <c r="A760" s="27">
        <v>758</v>
      </c>
      <c r="B760" s="27">
        <f t="shared" ca="1" si="11"/>
        <v>0.60038163954303347</v>
      </c>
      <c r="C760" s="27" t="s">
        <v>227</v>
      </c>
    </row>
    <row r="761" spans="1:3" x14ac:dyDescent="0.2">
      <c r="A761" s="27">
        <v>759</v>
      </c>
      <c r="B761" s="27">
        <f t="shared" ca="1" si="11"/>
        <v>0.5471380210746376</v>
      </c>
      <c r="C761" s="27" t="s">
        <v>226</v>
      </c>
    </row>
    <row r="762" spans="1:3" x14ac:dyDescent="0.2">
      <c r="A762" s="27">
        <v>760</v>
      </c>
      <c r="B762" s="27">
        <f t="shared" ca="1" si="11"/>
        <v>0.66565439653485048</v>
      </c>
      <c r="C762" s="27" t="s">
        <v>227</v>
      </c>
    </row>
    <row r="763" spans="1:3" x14ac:dyDescent="0.2">
      <c r="A763" s="27">
        <v>761</v>
      </c>
      <c r="B763" s="27">
        <f t="shared" ca="1" si="11"/>
        <v>0.25642793182182938</v>
      </c>
      <c r="C763" s="27" t="s">
        <v>226</v>
      </c>
    </row>
    <row r="764" spans="1:3" x14ac:dyDescent="0.2">
      <c r="A764" s="27">
        <v>762</v>
      </c>
      <c r="B764" s="27">
        <f t="shared" ca="1" si="11"/>
        <v>0.42242798470880738</v>
      </c>
      <c r="C764" s="27" t="s">
        <v>226</v>
      </c>
    </row>
    <row r="765" spans="1:3" x14ac:dyDescent="0.2">
      <c r="A765" s="27">
        <v>763</v>
      </c>
      <c r="B765" s="27">
        <f t="shared" ca="1" si="11"/>
        <v>0.595093807536902</v>
      </c>
      <c r="C765" s="27" t="s">
        <v>226</v>
      </c>
    </row>
    <row r="766" spans="1:3" x14ac:dyDescent="0.2">
      <c r="A766" s="27">
        <v>764</v>
      </c>
      <c r="B766" s="27">
        <f t="shared" ca="1" si="11"/>
        <v>0.66614315934977719</v>
      </c>
      <c r="C766" s="27" t="s">
        <v>226</v>
      </c>
    </row>
    <row r="767" spans="1:3" x14ac:dyDescent="0.2">
      <c r="A767" s="27">
        <v>765</v>
      </c>
      <c r="B767" s="27">
        <f t="shared" ca="1" si="11"/>
        <v>0.49473397723091994</v>
      </c>
      <c r="C767" s="27" t="s">
        <v>226</v>
      </c>
    </row>
    <row r="768" spans="1:3" x14ac:dyDescent="0.2">
      <c r="A768" s="27">
        <v>766</v>
      </c>
      <c r="B768" s="27">
        <f t="shared" ca="1" si="11"/>
        <v>0.60140096309327917</v>
      </c>
      <c r="C768" s="27" t="s">
        <v>226</v>
      </c>
    </row>
    <row r="769" spans="1:3" x14ac:dyDescent="0.2">
      <c r="A769" s="27">
        <v>767</v>
      </c>
      <c r="B769" s="27">
        <f t="shared" ca="1" si="11"/>
        <v>0.80900271732642748</v>
      </c>
      <c r="C769" s="27" t="s">
        <v>227</v>
      </c>
    </row>
    <row r="770" spans="1:3" x14ac:dyDescent="0.2">
      <c r="A770" s="27">
        <v>768</v>
      </c>
      <c r="B770" s="27">
        <f t="shared" ca="1" si="11"/>
        <v>0.71554011180055299</v>
      </c>
      <c r="C770" s="27" t="s">
        <v>227</v>
      </c>
    </row>
    <row r="771" spans="1:3" x14ac:dyDescent="0.2">
      <c r="A771" s="27">
        <v>769</v>
      </c>
      <c r="B771" s="27">
        <f t="shared" ref="B771:B834" ca="1" si="12">IF(C771="Bomb",_xlfn.NORM.INV(RAND(),0.7,0.1),_xlfn.NORM.INV(RAND(),0.6,0.15))</f>
        <v>0.6267835280430869</v>
      </c>
      <c r="C771" s="27" t="s">
        <v>226</v>
      </c>
    </row>
    <row r="772" spans="1:3" x14ac:dyDescent="0.2">
      <c r="A772" s="27">
        <v>770</v>
      </c>
      <c r="B772" s="27">
        <f t="shared" ca="1" si="12"/>
        <v>0.58165666441104924</v>
      </c>
      <c r="C772" s="27" t="s">
        <v>227</v>
      </c>
    </row>
    <row r="773" spans="1:3" x14ac:dyDescent="0.2">
      <c r="A773" s="27">
        <v>771</v>
      </c>
      <c r="B773" s="27">
        <f t="shared" ca="1" si="12"/>
        <v>0.44468995656440968</v>
      </c>
      <c r="C773" s="27" t="s">
        <v>226</v>
      </c>
    </row>
    <row r="774" spans="1:3" x14ac:dyDescent="0.2">
      <c r="A774" s="27">
        <v>772</v>
      </c>
      <c r="B774" s="27">
        <f t="shared" ca="1" si="12"/>
        <v>0.65052486086639105</v>
      </c>
      <c r="C774" s="27" t="s">
        <v>226</v>
      </c>
    </row>
    <row r="775" spans="1:3" x14ac:dyDescent="0.2">
      <c r="A775" s="27">
        <v>773</v>
      </c>
      <c r="B775" s="27">
        <f t="shared" ca="1" si="12"/>
        <v>0.54534267277716986</v>
      </c>
      <c r="C775" s="27" t="s">
        <v>226</v>
      </c>
    </row>
    <row r="776" spans="1:3" x14ac:dyDescent="0.2">
      <c r="A776" s="27">
        <v>774</v>
      </c>
      <c r="B776" s="27">
        <f t="shared" ca="1" si="12"/>
        <v>0.5533781351049194</v>
      </c>
      <c r="C776" s="27" t="s">
        <v>226</v>
      </c>
    </row>
    <row r="777" spans="1:3" x14ac:dyDescent="0.2">
      <c r="A777" s="27">
        <v>775</v>
      </c>
      <c r="B777" s="27">
        <f t="shared" ca="1" si="12"/>
        <v>0.74317005650464019</v>
      </c>
      <c r="C777" s="27" t="s">
        <v>227</v>
      </c>
    </row>
    <row r="778" spans="1:3" x14ac:dyDescent="0.2">
      <c r="A778" s="27">
        <v>776</v>
      </c>
      <c r="B778" s="27">
        <f t="shared" ca="1" si="12"/>
        <v>0.45820095470856104</v>
      </c>
      <c r="C778" s="27" t="s">
        <v>226</v>
      </c>
    </row>
    <row r="779" spans="1:3" x14ac:dyDescent="0.2">
      <c r="A779" s="27">
        <v>777</v>
      </c>
      <c r="B779" s="27">
        <f t="shared" ca="1" si="12"/>
        <v>0.76343308810965071</v>
      </c>
      <c r="C779" s="27" t="s">
        <v>227</v>
      </c>
    </row>
    <row r="780" spans="1:3" x14ac:dyDescent="0.2">
      <c r="A780" s="27">
        <v>778</v>
      </c>
      <c r="B780" s="27">
        <f t="shared" ca="1" si="12"/>
        <v>0.59731106374080012</v>
      </c>
      <c r="C780" s="27" t="s">
        <v>227</v>
      </c>
    </row>
    <row r="781" spans="1:3" x14ac:dyDescent="0.2">
      <c r="A781" s="27">
        <v>779</v>
      </c>
      <c r="B781" s="27">
        <f t="shared" ca="1" si="12"/>
        <v>0.75311883967113968</v>
      </c>
      <c r="C781" s="27" t="s">
        <v>227</v>
      </c>
    </row>
    <row r="782" spans="1:3" x14ac:dyDescent="0.2">
      <c r="A782" s="27">
        <v>780</v>
      </c>
      <c r="B782" s="27">
        <f t="shared" ca="1" si="12"/>
        <v>0.50181677674631842</v>
      </c>
      <c r="C782" s="27" t="s">
        <v>227</v>
      </c>
    </row>
    <row r="783" spans="1:3" x14ac:dyDescent="0.2">
      <c r="A783" s="27">
        <v>781</v>
      </c>
      <c r="B783" s="27">
        <f t="shared" ca="1" si="12"/>
        <v>0.80028520702830153</v>
      </c>
      <c r="C783" s="27" t="s">
        <v>227</v>
      </c>
    </row>
    <row r="784" spans="1:3" x14ac:dyDescent="0.2">
      <c r="A784" s="27">
        <v>782</v>
      </c>
      <c r="B784" s="27">
        <f t="shared" ca="1" si="12"/>
        <v>0.67525070812957766</v>
      </c>
      <c r="C784" s="27" t="s">
        <v>227</v>
      </c>
    </row>
    <row r="785" spans="1:3" x14ac:dyDescent="0.2">
      <c r="A785" s="27">
        <v>783</v>
      </c>
      <c r="B785" s="27">
        <f t="shared" ca="1" si="12"/>
        <v>0.49666808774249638</v>
      </c>
      <c r="C785" s="27" t="s">
        <v>227</v>
      </c>
    </row>
    <row r="786" spans="1:3" x14ac:dyDescent="0.2">
      <c r="A786" s="27">
        <v>784</v>
      </c>
      <c r="B786" s="27">
        <f t="shared" ca="1" si="12"/>
        <v>0.65437820063113905</v>
      </c>
      <c r="C786" s="27" t="s">
        <v>226</v>
      </c>
    </row>
    <row r="787" spans="1:3" x14ac:dyDescent="0.2">
      <c r="A787" s="27">
        <v>785</v>
      </c>
      <c r="B787" s="27">
        <f t="shared" ca="1" si="12"/>
        <v>0.54515510946144796</v>
      </c>
      <c r="C787" s="27" t="s">
        <v>226</v>
      </c>
    </row>
    <row r="788" spans="1:3" x14ac:dyDescent="0.2">
      <c r="A788" s="27">
        <v>786</v>
      </c>
      <c r="B788" s="27">
        <f t="shared" ca="1" si="12"/>
        <v>0.62492437444622828</v>
      </c>
      <c r="C788" s="27" t="s">
        <v>226</v>
      </c>
    </row>
    <row r="789" spans="1:3" x14ac:dyDescent="0.2">
      <c r="A789" s="27">
        <v>787</v>
      </c>
      <c r="B789" s="27">
        <f t="shared" ca="1" si="12"/>
        <v>0.7187721471032894</v>
      </c>
      <c r="C789" s="27" t="s">
        <v>227</v>
      </c>
    </row>
    <row r="790" spans="1:3" x14ac:dyDescent="0.2">
      <c r="A790" s="27">
        <v>788</v>
      </c>
      <c r="B790" s="27">
        <f t="shared" ca="1" si="12"/>
        <v>0.54811102917763055</v>
      </c>
      <c r="C790" s="27" t="s">
        <v>226</v>
      </c>
    </row>
    <row r="791" spans="1:3" x14ac:dyDescent="0.2">
      <c r="A791" s="27">
        <v>789</v>
      </c>
      <c r="B791" s="27">
        <f t="shared" ca="1" si="12"/>
        <v>0.63775975592519574</v>
      </c>
      <c r="C791" s="27" t="s">
        <v>227</v>
      </c>
    </row>
    <row r="792" spans="1:3" x14ac:dyDescent="0.2">
      <c r="A792" s="27">
        <v>790</v>
      </c>
      <c r="B792" s="27">
        <f t="shared" ca="1" si="12"/>
        <v>0.46701331236056509</v>
      </c>
      <c r="C792" s="27" t="s">
        <v>227</v>
      </c>
    </row>
    <row r="793" spans="1:3" x14ac:dyDescent="0.2">
      <c r="A793" s="27">
        <v>791</v>
      </c>
      <c r="B793" s="27">
        <f t="shared" ca="1" si="12"/>
        <v>0.86110333010789963</v>
      </c>
      <c r="C793" s="27" t="s">
        <v>226</v>
      </c>
    </row>
    <row r="794" spans="1:3" x14ac:dyDescent="0.2">
      <c r="A794" s="27">
        <v>792</v>
      </c>
      <c r="B794" s="27">
        <f t="shared" ca="1" si="12"/>
        <v>0.72089128085364407</v>
      </c>
      <c r="C794" s="27" t="s">
        <v>226</v>
      </c>
    </row>
    <row r="795" spans="1:3" x14ac:dyDescent="0.2">
      <c r="A795" s="27">
        <v>793</v>
      </c>
      <c r="B795" s="27">
        <f t="shared" ca="1" si="12"/>
        <v>0.69570787802829614</v>
      </c>
      <c r="C795" s="27" t="s">
        <v>227</v>
      </c>
    </row>
    <row r="796" spans="1:3" x14ac:dyDescent="0.2">
      <c r="A796" s="27">
        <v>794</v>
      </c>
      <c r="B796" s="27">
        <f t="shared" ca="1" si="12"/>
        <v>0.51205807419541727</v>
      </c>
      <c r="C796" s="27" t="s">
        <v>226</v>
      </c>
    </row>
    <row r="797" spans="1:3" x14ac:dyDescent="0.2">
      <c r="A797" s="27">
        <v>795</v>
      </c>
      <c r="B797" s="27">
        <f t="shared" ca="1" si="12"/>
        <v>0.53122373355504005</v>
      </c>
      <c r="C797" s="27" t="s">
        <v>226</v>
      </c>
    </row>
    <row r="798" spans="1:3" x14ac:dyDescent="0.2">
      <c r="A798" s="27">
        <v>796</v>
      </c>
      <c r="B798" s="27">
        <f t="shared" ca="1" si="12"/>
        <v>0.47888551896887716</v>
      </c>
      <c r="C798" s="27" t="s">
        <v>226</v>
      </c>
    </row>
    <row r="799" spans="1:3" x14ac:dyDescent="0.2">
      <c r="A799" s="27">
        <v>797</v>
      </c>
      <c r="B799" s="27">
        <f t="shared" ca="1" si="12"/>
        <v>0.40999614777495907</v>
      </c>
      <c r="C799" s="27" t="s">
        <v>226</v>
      </c>
    </row>
    <row r="800" spans="1:3" x14ac:dyDescent="0.2">
      <c r="A800" s="27">
        <v>798</v>
      </c>
      <c r="B800" s="27">
        <f t="shared" ca="1" si="12"/>
        <v>0.7416976387507328</v>
      </c>
      <c r="C800" s="27" t="s">
        <v>227</v>
      </c>
    </row>
    <row r="801" spans="1:3" x14ac:dyDescent="0.2">
      <c r="A801" s="27">
        <v>799</v>
      </c>
      <c r="B801" s="27">
        <f t="shared" ca="1" si="12"/>
        <v>0.28159895643511396</v>
      </c>
      <c r="C801" s="27" t="s">
        <v>226</v>
      </c>
    </row>
    <row r="802" spans="1:3" x14ac:dyDescent="0.2">
      <c r="A802" s="27">
        <v>800</v>
      </c>
      <c r="B802" s="27">
        <f t="shared" ca="1" si="12"/>
        <v>0.76458616931723089</v>
      </c>
      <c r="C802" s="27" t="s">
        <v>226</v>
      </c>
    </row>
    <row r="803" spans="1:3" x14ac:dyDescent="0.2">
      <c r="A803" s="27">
        <v>801</v>
      </c>
      <c r="B803" s="27">
        <f t="shared" ca="1" si="12"/>
        <v>0.62820939767503259</v>
      </c>
      <c r="C803" s="27" t="s">
        <v>226</v>
      </c>
    </row>
    <row r="804" spans="1:3" x14ac:dyDescent="0.2">
      <c r="A804" s="27">
        <v>802</v>
      </c>
      <c r="B804" s="27">
        <f t="shared" ca="1" si="12"/>
        <v>0.64433979136626518</v>
      </c>
      <c r="C804" s="27" t="s">
        <v>226</v>
      </c>
    </row>
    <row r="805" spans="1:3" x14ac:dyDescent="0.2">
      <c r="A805" s="27">
        <v>803</v>
      </c>
      <c r="B805" s="27">
        <f t="shared" ca="1" si="12"/>
        <v>0.80216929248791335</v>
      </c>
      <c r="C805" s="27" t="s">
        <v>227</v>
      </c>
    </row>
    <row r="806" spans="1:3" x14ac:dyDescent="0.2">
      <c r="A806" s="27">
        <v>804</v>
      </c>
      <c r="B806" s="27">
        <f t="shared" ca="1" si="12"/>
        <v>0.48917006293944382</v>
      </c>
      <c r="C806" s="27" t="s">
        <v>226</v>
      </c>
    </row>
    <row r="807" spans="1:3" x14ac:dyDescent="0.2">
      <c r="A807" s="27">
        <v>805</v>
      </c>
      <c r="B807" s="27">
        <f t="shared" ca="1" si="12"/>
        <v>0.59318055123349833</v>
      </c>
      <c r="C807" s="27" t="s">
        <v>227</v>
      </c>
    </row>
    <row r="808" spans="1:3" x14ac:dyDescent="0.2">
      <c r="A808" s="27">
        <v>806</v>
      </c>
      <c r="B808" s="27">
        <f t="shared" ca="1" si="12"/>
        <v>0.78230550233158203</v>
      </c>
      <c r="C808" s="27" t="s">
        <v>226</v>
      </c>
    </row>
    <row r="809" spans="1:3" x14ac:dyDescent="0.2">
      <c r="A809" s="27">
        <v>807</v>
      </c>
      <c r="B809" s="27">
        <f t="shared" ca="1" si="12"/>
        <v>0.66046023947201937</v>
      </c>
      <c r="C809" s="27" t="s">
        <v>227</v>
      </c>
    </row>
    <row r="810" spans="1:3" x14ac:dyDescent="0.2">
      <c r="A810" s="27">
        <v>808</v>
      </c>
      <c r="B810" s="27">
        <f t="shared" ca="1" si="12"/>
        <v>0.69516983645408115</v>
      </c>
      <c r="C810" s="27" t="s">
        <v>227</v>
      </c>
    </row>
    <row r="811" spans="1:3" x14ac:dyDescent="0.2">
      <c r="A811" s="27">
        <v>809</v>
      </c>
      <c r="B811" s="27">
        <f t="shared" ca="1" si="12"/>
        <v>0.72419082595209394</v>
      </c>
      <c r="C811" s="27" t="s">
        <v>227</v>
      </c>
    </row>
    <row r="812" spans="1:3" x14ac:dyDescent="0.2">
      <c r="A812" s="27">
        <v>810</v>
      </c>
      <c r="B812" s="27">
        <f t="shared" ca="1" si="12"/>
        <v>0.65553162468937887</v>
      </c>
      <c r="C812" s="27" t="s">
        <v>227</v>
      </c>
    </row>
    <row r="813" spans="1:3" x14ac:dyDescent="0.2">
      <c r="A813" s="27">
        <v>811</v>
      </c>
      <c r="B813" s="27">
        <f t="shared" ca="1" si="12"/>
        <v>0.74209903957535361</v>
      </c>
      <c r="C813" s="27" t="s">
        <v>226</v>
      </c>
    </row>
    <row r="814" spans="1:3" x14ac:dyDescent="0.2">
      <c r="A814" s="27">
        <v>812</v>
      </c>
      <c r="B814" s="27">
        <f t="shared" ca="1" si="12"/>
        <v>0.72859263334348157</v>
      </c>
      <c r="C814" s="27" t="s">
        <v>227</v>
      </c>
    </row>
    <row r="815" spans="1:3" x14ac:dyDescent="0.2">
      <c r="A815" s="27">
        <v>813</v>
      </c>
      <c r="B815" s="27">
        <f t="shared" ca="1" si="12"/>
        <v>0.63544766615541848</v>
      </c>
      <c r="C815" s="27" t="s">
        <v>227</v>
      </c>
    </row>
    <row r="816" spans="1:3" x14ac:dyDescent="0.2">
      <c r="A816" s="27">
        <v>814</v>
      </c>
      <c r="B816" s="27">
        <f t="shared" ca="1" si="12"/>
        <v>0.78466887839436328</v>
      </c>
      <c r="C816" s="27" t="s">
        <v>226</v>
      </c>
    </row>
    <row r="817" spans="1:3" x14ac:dyDescent="0.2">
      <c r="A817" s="27">
        <v>815</v>
      </c>
      <c r="B817" s="27">
        <f t="shared" ca="1" si="12"/>
        <v>0.70210410286672431</v>
      </c>
      <c r="C817" s="27" t="s">
        <v>226</v>
      </c>
    </row>
    <row r="818" spans="1:3" x14ac:dyDescent="0.2">
      <c r="A818" s="27">
        <v>816</v>
      </c>
      <c r="B818" s="27">
        <f t="shared" ca="1" si="12"/>
        <v>0.77163922624662684</v>
      </c>
      <c r="C818" s="27" t="s">
        <v>226</v>
      </c>
    </row>
    <row r="819" spans="1:3" x14ac:dyDescent="0.2">
      <c r="A819" s="27">
        <v>817</v>
      </c>
      <c r="B819" s="27">
        <f t="shared" ca="1" si="12"/>
        <v>0.35999696719549129</v>
      </c>
      <c r="C819" s="27" t="s">
        <v>226</v>
      </c>
    </row>
    <row r="820" spans="1:3" x14ac:dyDescent="0.2">
      <c r="A820" s="27">
        <v>818</v>
      </c>
      <c r="B820" s="27">
        <f t="shared" ca="1" si="12"/>
        <v>0.55667832281141927</v>
      </c>
      <c r="C820" s="27" t="s">
        <v>226</v>
      </c>
    </row>
    <row r="821" spans="1:3" x14ac:dyDescent="0.2">
      <c r="A821" s="27">
        <v>819</v>
      </c>
      <c r="B821" s="27">
        <f t="shared" ca="1" si="12"/>
        <v>0.56421993137701354</v>
      </c>
      <c r="C821" s="27" t="s">
        <v>226</v>
      </c>
    </row>
    <row r="822" spans="1:3" x14ac:dyDescent="0.2">
      <c r="A822" s="27">
        <v>820</v>
      </c>
      <c r="B822" s="27">
        <f t="shared" ca="1" si="12"/>
        <v>0.78785398820453645</v>
      </c>
      <c r="C822" s="27" t="s">
        <v>226</v>
      </c>
    </row>
    <row r="823" spans="1:3" x14ac:dyDescent="0.2">
      <c r="A823" s="27">
        <v>821</v>
      </c>
      <c r="B823" s="27">
        <f t="shared" ca="1" si="12"/>
        <v>0.81931083200162369</v>
      </c>
      <c r="C823" s="27" t="s">
        <v>227</v>
      </c>
    </row>
    <row r="824" spans="1:3" x14ac:dyDescent="0.2">
      <c r="A824" s="27">
        <v>822</v>
      </c>
      <c r="B824" s="27">
        <f t="shared" ca="1" si="12"/>
        <v>0.68759405871740509</v>
      </c>
      <c r="C824" s="27" t="s">
        <v>226</v>
      </c>
    </row>
    <row r="825" spans="1:3" x14ac:dyDescent="0.2">
      <c r="A825" s="27">
        <v>823</v>
      </c>
      <c r="B825" s="27">
        <f t="shared" ca="1" si="12"/>
        <v>0.64096989014482952</v>
      </c>
      <c r="C825" s="27" t="s">
        <v>227</v>
      </c>
    </row>
    <row r="826" spans="1:3" x14ac:dyDescent="0.2">
      <c r="A826" s="27">
        <v>824</v>
      </c>
      <c r="B826" s="27">
        <f t="shared" ca="1" si="12"/>
        <v>0.70344419561784521</v>
      </c>
      <c r="C826" s="27" t="s">
        <v>227</v>
      </c>
    </row>
    <row r="827" spans="1:3" x14ac:dyDescent="0.2">
      <c r="A827" s="27">
        <v>825</v>
      </c>
      <c r="B827" s="27">
        <f t="shared" ca="1" si="12"/>
        <v>0.7341614506085048</v>
      </c>
      <c r="C827" s="27" t="s">
        <v>227</v>
      </c>
    </row>
    <row r="828" spans="1:3" x14ac:dyDescent="0.2">
      <c r="A828" s="27">
        <v>826</v>
      </c>
      <c r="B828" s="27">
        <f t="shared" ca="1" si="12"/>
        <v>0.36742075603151936</v>
      </c>
      <c r="C828" s="27" t="s">
        <v>226</v>
      </c>
    </row>
    <row r="829" spans="1:3" x14ac:dyDescent="0.2">
      <c r="A829" s="27">
        <v>827</v>
      </c>
      <c r="B829" s="27">
        <f t="shared" ca="1" si="12"/>
        <v>0.62387069958260333</v>
      </c>
      <c r="C829" s="27" t="s">
        <v>226</v>
      </c>
    </row>
    <row r="830" spans="1:3" x14ac:dyDescent="0.2">
      <c r="A830" s="27">
        <v>828</v>
      </c>
      <c r="B830" s="27">
        <f t="shared" ca="1" si="12"/>
        <v>0.76001896839373706</v>
      </c>
      <c r="C830" s="27" t="s">
        <v>226</v>
      </c>
    </row>
    <row r="831" spans="1:3" x14ac:dyDescent="0.2">
      <c r="A831" s="27">
        <v>829</v>
      </c>
      <c r="B831" s="27">
        <f t="shared" ca="1" si="12"/>
        <v>0.70090438595673266</v>
      </c>
      <c r="C831" s="27" t="s">
        <v>227</v>
      </c>
    </row>
    <row r="832" spans="1:3" x14ac:dyDescent="0.2">
      <c r="A832" s="27">
        <v>830</v>
      </c>
      <c r="B832" s="27">
        <f t="shared" ca="1" si="12"/>
        <v>0.53211082076278682</v>
      </c>
      <c r="C832" s="27" t="s">
        <v>226</v>
      </c>
    </row>
    <row r="833" spans="1:3" x14ac:dyDescent="0.2">
      <c r="A833" s="27">
        <v>831</v>
      </c>
      <c r="B833" s="27">
        <f t="shared" ca="1" si="12"/>
        <v>0.51787218798085544</v>
      </c>
      <c r="C833" s="27" t="s">
        <v>226</v>
      </c>
    </row>
    <row r="834" spans="1:3" x14ac:dyDescent="0.2">
      <c r="A834" s="27">
        <v>832</v>
      </c>
      <c r="B834" s="27">
        <f t="shared" ca="1" si="12"/>
        <v>0.69292802528148156</v>
      </c>
      <c r="C834" s="27" t="s">
        <v>226</v>
      </c>
    </row>
    <row r="835" spans="1:3" x14ac:dyDescent="0.2">
      <c r="A835" s="27">
        <v>833</v>
      </c>
      <c r="B835" s="27">
        <f t="shared" ref="B835:B898" ca="1" si="13">IF(C835="Bomb",_xlfn.NORM.INV(RAND(),0.7,0.1),_xlfn.NORM.INV(RAND(),0.6,0.15))</f>
        <v>0.58599351493665219</v>
      </c>
      <c r="C835" s="27" t="s">
        <v>227</v>
      </c>
    </row>
    <row r="836" spans="1:3" x14ac:dyDescent="0.2">
      <c r="A836" s="27">
        <v>834</v>
      </c>
      <c r="B836" s="27">
        <f t="shared" ca="1" si="13"/>
        <v>0.67998316978544227</v>
      </c>
      <c r="C836" s="27" t="s">
        <v>226</v>
      </c>
    </row>
    <row r="837" spans="1:3" x14ac:dyDescent="0.2">
      <c r="A837" s="27">
        <v>835</v>
      </c>
      <c r="B837" s="27">
        <f t="shared" ca="1" si="13"/>
        <v>0.81025267669363565</v>
      </c>
      <c r="C837" s="27" t="s">
        <v>227</v>
      </c>
    </row>
    <row r="838" spans="1:3" x14ac:dyDescent="0.2">
      <c r="A838" s="27">
        <v>836</v>
      </c>
      <c r="B838" s="27">
        <f t="shared" ca="1" si="13"/>
        <v>0.65901368742070821</v>
      </c>
      <c r="C838" s="27" t="s">
        <v>226</v>
      </c>
    </row>
    <row r="839" spans="1:3" x14ac:dyDescent="0.2">
      <c r="A839" s="27">
        <v>837</v>
      </c>
      <c r="B839" s="27">
        <f t="shared" ca="1" si="13"/>
        <v>0.81801135765564859</v>
      </c>
      <c r="C839" s="27" t="s">
        <v>227</v>
      </c>
    </row>
    <row r="840" spans="1:3" x14ac:dyDescent="0.2">
      <c r="A840" s="27">
        <v>838</v>
      </c>
      <c r="B840" s="27">
        <f t="shared" ca="1" si="13"/>
        <v>0.57200788716496287</v>
      </c>
      <c r="C840" s="27" t="s">
        <v>226</v>
      </c>
    </row>
    <row r="841" spans="1:3" x14ac:dyDescent="0.2">
      <c r="A841" s="27">
        <v>839</v>
      </c>
      <c r="B841" s="27">
        <f t="shared" ca="1" si="13"/>
        <v>0.85658827476903066</v>
      </c>
      <c r="C841" s="27" t="s">
        <v>227</v>
      </c>
    </row>
    <row r="842" spans="1:3" x14ac:dyDescent="0.2">
      <c r="A842" s="27">
        <v>840</v>
      </c>
      <c r="B842" s="27">
        <f t="shared" ca="1" si="13"/>
        <v>0.81184726948054764</v>
      </c>
      <c r="C842" s="27" t="s">
        <v>227</v>
      </c>
    </row>
    <row r="843" spans="1:3" x14ac:dyDescent="0.2">
      <c r="A843" s="27">
        <v>841</v>
      </c>
      <c r="B843" s="27">
        <f t="shared" ca="1" si="13"/>
        <v>0.61959218418944639</v>
      </c>
      <c r="C843" s="27" t="s">
        <v>227</v>
      </c>
    </row>
    <row r="844" spans="1:3" x14ac:dyDescent="0.2">
      <c r="A844" s="27">
        <v>842</v>
      </c>
      <c r="B844" s="27">
        <f t="shared" ca="1" si="13"/>
        <v>0.78739427501721271</v>
      </c>
      <c r="C844" s="27" t="s">
        <v>226</v>
      </c>
    </row>
    <row r="845" spans="1:3" x14ac:dyDescent="0.2">
      <c r="A845" s="27">
        <v>843</v>
      </c>
      <c r="B845" s="27">
        <f t="shared" ca="1" si="13"/>
        <v>0.5313639430599264</v>
      </c>
      <c r="C845" s="27" t="s">
        <v>226</v>
      </c>
    </row>
    <row r="846" spans="1:3" x14ac:dyDescent="0.2">
      <c r="A846" s="27">
        <v>844</v>
      </c>
      <c r="B846" s="27">
        <f t="shared" ca="1" si="13"/>
        <v>0.75305121083843973</v>
      </c>
      <c r="C846" s="27" t="s">
        <v>226</v>
      </c>
    </row>
    <row r="847" spans="1:3" x14ac:dyDescent="0.2">
      <c r="A847" s="27">
        <v>845</v>
      </c>
      <c r="B847" s="27">
        <f t="shared" ca="1" si="13"/>
        <v>0.43857075049393213</v>
      </c>
      <c r="C847" s="27" t="s">
        <v>226</v>
      </c>
    </row>
    <row r="848" spans="1:3" x14ac:dyDescent="0.2">
      <c r="A848" s="27">
        <v>846</v>
      </c>
      <c r="B848" s="27">
        <f t="shared" ca="1" si="13"/>
        <v>0.77752211161703499</v>
      </c>
      <c r="C848" s="27" t="s">
        <v>226</v>
      </c>
    </row>
    <row r="849" spans="1:3" x14ac:dyDescent="0.2">
      <c r="A849" s="27">
        <v>847</v>
      </c>
      <c r="B849" s="27">
        <f t="shared" ca="1" si="13"/>
        <v>0.61932915931248644</v>
      </c>
      <c r="C849" s="27" t="s">
        <v>227</v>
      </c>
    </row>
    <row r="850" spans="1:3" x14ac:dyDescent="0.2">
      <c r="A850" s="27">
        <v>848</v>
      </c>
      <c r="B850" s="27">
        <f t="shared" ca="1" si="13"/>
        <v>0.43848198944605499</v>
      </c>
      <c r="C850" s="27" t="s">
        <v>226</v>
      </c>
    </row>
    <row r="851" spans="1:3" x14ac:dyDescent="0.2">
      <c r="A851" s="27">
        <v>849</v>
      </c>
      <c r="B851" s="27">
        <f t="shared" ca="1" si="13"/>
        <v>0.5090213710664675</v>
      </c>
      <c r="C851" s="27" t="s">
        <v>227</v>
      </c>
    </row>
    <row r="852" spans="1:3" x14ac:dyDescent="0.2">
      <c r="A852" s="27">
        <v>850</v>
      </c>
      <c r="B852" s="27">
        <f t="shared" ca="1" si="13"/>
        <v>0.69758559019431643</v>
      </c>
      <c r="C852" s="27" t="s">
        <v>226</v>
      </c>
    </row>
    <row r="853" spans="1:3" x14ac:dyDescent="0.2">
      <c r="A853" s="27">
        <v>851</v>
      </c>
      <c r="B853" s="27">
        <f t="shared" ca="1" si="13"/>
        <v>0.54894218677870665</v>
      </c>
      <c r="C853" s="27" t="s">
        <v>226</v>
      </c>
    </row>
    <row r="854" spans="1:3" x14ac:dyDescent="0.2">
      <c r="A854" s="27">
        <v>852</v>
      </c>
      <c r="B854" s="27">
        <f t="shared" ca="1" si="13"/>
        <v>0.56466989875837348</v>
      </c>
      <c r="C854" s="27" t="s">
        <v>226</v>
      </c>
    </row>
    <row r="855" spans="1:3" x14ac:dyDescent="0.2">
      <c r="A855" s="27">
        <v>853</v>
      </c>
      <c r="B855" s="27">
        <f t="shared" ca="1" si="13"/>
        <v>0.35432536406181436</v>
      </c>
      <c r="C855" s="27" t="s">
        <v>226</v>
      </c>
    </row>
    <row r="856" spans="1:3" x14ac:dyDescent="0.2">
      <c r="A856" s="27">
        <v>854</v>
      </c>
      <c r="B856" s="27">
        <f t="shared" ca="1" si="13"/>
        <v>0.63444001827258367</v>
      </c>
      <c r="C856" s="27" t="s">
        <v>226</v>
      </c>
    </row>
    <row r="857" spans="1:3" x14ac:dyDescent="0.2">
      <c r="A857" s="27">
        <v>855</v>
      </c>
      <c r="B857" s="27">
        <f t="shared" ca="1" si="13"/>
        <v>0.75256483442300892</v>
      </c>
      <c r="C857" s="27" t="s">
        <v>227</v>
      </c>
    </row>
    <row r="858" spans="1:3" x14ac:dyDescent="0.2">
      <c r="A858" s="27">
        <v>856</v>
      </c>
      <c r="B858" s="27">
        <f t="shared" ca="1" si="13"/>
        <v>0.74821534631595998</v>
      </c>
      <c r="C858" s="27" t="s">
        <v>227</v>
      </c>
    </row>
    <row r="859" spans="1:3" x14ac:dyDescent="0.2">
      <c r="A859" s="27">
        <v>857</v>
      </c>
      <c r="B859" s="27">
        <f t="shared" ca="1" si="13"/>
        <v>0.63303323556107405</v>
      </c>
      <c r="C859" s="27" t="s">
        <v>226</v>
      </c>
    </row>
    <row r="860" spans="1:3" x14ac:dyDescent="0.2">
      <c r="A860" s="27">
        <v>858</v>
      </c>
      <c r="B860" s="27">
        <f t="shared" ca="1" si="13"/>
        <v>0.71895395534151618</v>
      </c>
      <c r="C860" s="27" t="s">
        <v>226</v>
      </c>
    </row>
    <row r="861" spans="1:3" x14ac:dyDescent="0.2">
      <c r="A861" s="27">
        <v>859</v>
      </c>
      <c r="B861" s="27">
        <f t="shared" ca="1" si="13"/>
        <v>0.70312320250539573</v>
      </c>
      <c r="C861" s="27" t="s">
        <v>226</v>
      </c>
    </row>
    <row r="862" spans="1:3" x14ac:dyDescent="0.2">
      <c r="A862" s="27">
        <v>860</v>
      </c>
      <c r="B862" s="27">
        <f t="shared" ca="1" si="13"/>
        <v>0.45958823969431467</v>
      </c>
      <c r="C862" s="27" t="s">
        <v>226</v>
      </c>
    </row>
    <row r="863" spans="1:3" x14ac:dyDescent="0.2">
      <c r="A863" s="27">
        <v>861</v>
      </c>
      <c r="B863" s="27">
        <f t="shared" ca="1" si="13"/>
        <v>0.66791573416090455</v>
      </c>
      <c r="C863" s="27" t="s">
        <v>227</v>
      </c>
    </row>
    <row r="864" spans="1:3" x14ac:dyDescent="0.2">
      <c r="A864" s="27">
        <v>862</v>
      </c>
      <c r="B864" s="27">
        <f t="shared" ca="1" si="13"/>
        <v>0.56141824024059295</v>
      </c>
      <c r="C864" s="27" t="s">
        <v>226</v>
      </c>
    </row>
    <row r="865" spans="1:3" x14ac:dyDescent="0.2">
      <c r="A865" s="27">
        <v>863</v>
      </c>
      <c r="B865" s="27">
        <f t="shared" ca="1" si="13"/>
        <v>0.64392073979212139</v>
      </c>
      <c r="C865" s="27" t="s">
        <v>226</v>
      </c>
    </row>
    <row r="866" spans="1:3" x14ac:dyDescent="0.2">
      <c r="A866" s="27">
        <v>864</v>
      </c>
      <c r="B866" s="27">
        <f t="shared" ca="1" si="13"/>
        <v>0.68760242650305115</v>
      </c>
      <c r="C866" s="27" t="s">
        <v>226</v>
      </c>
    </row>
    <row r="867" spans="1:3" x14ac:dyDescent="0.2">
      <c r="A867" s="27">
        <v>865</v>
      </c>
      <c r="B867" s="27">
        <f t="shared" ca="1" si="13"/>
        <v>0.69263544566043744</v>
      </c>
      <c r="C867" s="27" t="s">
        <v>226</v>
      </c>
    </row>
    <row r="868" spans="1:3" x14ac:dyDescent="0.2">
      <c r="A868" s="27">
        <v>866</v>
      </c>
      <c r="B868" s="27">
        <f t="shared" ca="1" si="13"/>
        <v>0.67670831900606276</v>
      </c>
      <c r="C868" s="27" t="s">
        <v>226</v>
      </c>
    </row>
    <row r="869" spans="1:3" x14ac:dyDescent="0.2">
      <c r="A869" s="27">
        <v>867</v>
      </c>
      <c r="B869" s="27">
        <f t="shared" ca="1" si="13"/>
        <v>0.39630022740856041</v>
      </c>
      <c r="C869" s="27" t="s">
        <v>226</v>
      </c>
    </row>
    <row r="870" spans="1:3" x14ac:dyDescent="0.2">
      <c r="A870" s="27">
        <v>868</v>
      </c>
      <c r="B870" s="27">
        <f t="shared" ca="1" si="13"/>
        <v>0.89891293890124202</v>
      </c>
      <c r="C870" s="27" t="s">
        <v>226</v>
      </c>
    </row>
    <row r="871" spans="1:3" x14ac:dyDescent="0.2">
      <c r="A871" s="27">
        <v>869</v>
      </c>
      <c r="B871" s="27">
        <f t="shared" ca="1" si="13"/>
        <v>0.56784638865708537</v>
      </c>
      <c r="C871" s="27" t="s">
        <v>226</v>
      </c>
    </row>
    <row r="872" spans="1:3" x14ac:dyDescent="0.2">
      <c r="A872" s="27">
        <v>870</v>
      </c>
      <c r="B872" s="27">
        <f t="shared" ca="1" si="13"/>
        <v>0.50211360448169362</v>
      </c>
      <c r="C872" s="27" t="s">
        <v>226</v>
      </c>
    </row>
    <row r="873" spans="1:3" x14ac:dyDescent="0.2">
      <c r="A873" s="27">
        <v>871</v>
      </c>
      <c r="B873" s="27">
        <f t="shared" ca="1" si="13"/>
        <v>0.67335959890923658</v>
      </c>
      <c r="C873" s="27" t="s">
        <v>227</v>
      </c>
    </row>
    <row r="874" spans="1:3" x14ac:dyDescent="0.2">
      <c r="A874" s="27">
        <v>872</v>
      </c>
      <c r="B874" s="27">
        <f t="shared" ca="1" si="13"/>
        <v>0.88521087285495326</v>
      </c>
      <c r="C874" s="27" t="s">
        <v>227</v>
      </c>
    </row>
    <row r="875" spans="1:3" x14ac:dyDescent="0.2">
      <c r="A875" s="27">
        <v>873</v>
      </c>
      <c r="B875" s="27">
        <f t="shared" ca="1" si="13"/>
        <v>0.60125117364487202</v>
      </c>
      <c r="C875" s="27" t="s">
        <v>227</v>
      </c>
    </row>
    <row r="876" spans="1:3" x14ac:dyDescent="0.2">
      <c r="A876" s="27">
        <v>874</v>
      </c>
      <c r="B876" s="27">
        <f t="shared" ca="1" si="13"/>
        <v>0.589812064490712</v>
      </c>
      <c r="C876" s="27" t="s">
        <v>226</v>
      </c>
    </row>
    <row r="877" spans="1:3" x14ac:dyDescent="0.2">
      <c r="A877" s="27">
        <v>875</v>
      </c>
      <c r="B877" s="27">
        <f t="shared" ca="1" si="13"/>
        <v>0.85836391570674553</v>
      </c>
      <c r="C877" s="27" t="s">
        <v>226</v>
      </c>
    </row>
    <row r="878" spans="1:3" x14ac:dyDescent="0.2">
      <c r="A878" s="27">
        <v>876</v>
      </c>
      <c r="B878" s="27">
        <f t="shared" ca="1" si="13"/>
        <v>0.7754421679140322</v>
      </c>
      <c r="C878" s="27" t="s">
        <v>227</v>
      </c>
    </row>
    <row r="879" spans="1:3" x14ac:dyDescent="0.2">
      <c r="A879" s="27">
        <v>877</v>
      </c>
      <c r="B879" s="27">
        <f t="shared" ca="1" si="13"/>
        <v>0.48061755708213488</v>
      </c>
      <c r="C879" s="27" t="s">
        <v>226</v>
      </c>
    </row>
    <row r="880" spans="1:3" x14ac:dyDescent="0.2">
      <c r="A880" s="27">
        <v>878</v>
      </c>
      <c r="B880" s="27">
        <f t="shared" ca="1" si="13"/>
        <v>0.99068101781430229</v>
      </c>
      <c r="C880" s="27" t="s">
        <v>226</v>
      </c>
    </row>
    <row r="881" spans="1:3" x14ac:dyDescent="0.2">
      <c r="A881" s="27">
        <v>879</v>
      </c>
      <c r="B881" s="27">
        <f t="shared" ca="1" si="13"/>
        <v>0.65155710903954267</v>
      </c>
      <c r="C881" s="27" t="s">
        <v>227</v>
      </c>
    </row>
    <row r="882" spans="1:3" x14ac:dyDescent="0.2">
      <c r="A882" s="27">
        <v>880</v>
      </c>
      <c r="B882" s="27">
        <f t="shared" ca="1" si="13"/>
        <v>0.82369318482280862</v>
      </c>
      <c r="C882" s="27" t="s">
        <v>227</v>
      </c>
    </row>
    <row r="883" spans="1:3" x14ac:dyDescent="0.2">
      <c r="A883" s="27">
        <v>881</v>
      </c>
      <c r="B883" s="27">
        <f t="shared" ca="1" si="13"/>
        <v>0.60171333543054994</v>
      </c>
      <c r="C883" s="27" t="s">
        <v>227</v>
      </c>
    </row>
    <row r="884" spans="1:3" x14ac:dyDescent="0.2">
      <c r="A884" s="27">
        <v>882</v>
      </c>
      <c r="B884" s="27">
        <f t="shared" ca="1" si="13"/>
        <v>0.69846312574458469</v>
      </c>
      <c r="C884" s="27" t="s">
        <v>227</v>
      </c>
    </row>
    <row r="885" spans="1:3" x14ac:dyDescent="0.2">
      <c r="A885" s="27">
        <v>883</v>
      </c>
      <c r="B885" s="27">
        <f t="shared" ca="1" si="13"/>
        <v>0.51137312305067761</v>
      </c>
      <c r="C885" s="27" t="s">
        <v>226</v>
      </c>
    </row>
    <row r="886" spans="1:3" x14ac:dyDescent="0.2">
      <c r="A886" s="27">
        <v>884</v>
      </c>
      <c r="B886" s="27">
        <f t="shared" ca="1" si="13"/>
        <v>0.79272223309761802</v>
      </c>
      <c r="C886" s="27" t="s">
        <v>226</v>
      </c>
    </row>
    <row r="887" spans="1:3" x14ac:dyDescent="0.2">
      <c r="A887" s="27">
        <v>885</v>
      </c>
      <c r="B887" s="27">
        <f t="shared" ca="1" si="13"/>
        <v>0.59067569591835356</v>
      </c>
      <c r="C887" s="27" t="s">
        <v>226</v>
      </c>
    </row>
    <row r="888" spans="1:3" x14ac:dyDescent="0.2">
      <c r="A888" s="27">
        <v>886</v>
      </c>
      <c r="B888" s="27">
        <f t="shared" ca="1" si="13"/>
        <v>0.61546036808382965</v>
      </c>
      <c r="C888" s="27" t="s">
        <v>227</v>
      </c>
    </row>
    <row r="889" spans="1:3" x14ac:dyDescent="0.2">
      <c r="A889" s="27">
        <v>887</v>
      </c>
      <c r="B889" s="27">
        <f t="shared" ca="1" si="13"/>
        <v>0.59568366051720112</v>
      </c>
      <c r="C889" s="27" t="s">
        <v>227</v>
      </c>
    </row>
    <row r="890" spans="1:3" x14ac:dyDescent="0.2">
      <c r="A890" s="27">
        <v>888</v>
      </c>
      <c r="B890" s="27">
        <f t="shared" ca="1" si="13"/>
        <v>0.87499418195073708</v>
      </c>
      <c r="C890" s="27" t="s">
        <v>227</v>
      </c>
    </row>
    <row r="891" spans="1:3" x14ac:dyDescent="0.2">
      <c r="A891" s="27">
        <v>889</v>
      </c>
      <c r="B891" s="27">
        <f t="shared" ca="1" si="13"/>
        <v>0.473492581311106</v>
      </c>
      <c r="C891" s="27" t="s">
        <v>226</v>
      </c>
    </row>
    <row r="892" spans="1:3" x14ac:dyDescent="0.2">
      <c r="A892" s="27">
        <v>890</v>
      </c>
      <c r="B892" s="27">
        <f t="shared" ca="1" si="13"/>
        <v>0.50170067297093557</v>
      </c>
      <c r="C892" s="27" t="s">
        <v>226</v>
      </c>
    </row>
    <row r="893" spans="1:3" x14ac:dyDescent="0.2">
      <c r="A893" s="27">
        <v>891</v>
      </c>
      <c r="B893" s="27">
        <f t="shared" ca="1" si="13"/>
        <v>0.35112859114288186</v>
      </c>
      <c r="C893" s="27" t="s">
        <v>226</v>
      </c>
    </row>
    <row r="894" spans="1:3" x14ac:dyDescent="0.2">
      <c r="A894" s="27">
        <v>892</v>
      </c>
      <c r="B894" s="27">
        <f t="shared" ca="1" si="13"/>
        <v>0.82729592364970572</v>
      </c>
      <c r="C894" s="27" t="s">
        <v>227</v>
      </c>
    </row>
    <row r="895" spans="1:3" x14ac:dyDescent="0.2">
      <c r="A895" s="27">
        <v>893</v>
      </c>
      <c r="B895" s="27">
        <f t="shared" ca="1" si="13"/>
        <v>0.59792722862707148</v>
      </c>
      <c r="C895" s="27" t="s">
        <v>226</v>
      </c>
    </row>
    <row r="896" spans="1:3" x14ac:dyDescent="0.2">
      <c r="A896" s="27">
        <v>894</v>
      </c>
      <c r="B896" s="27">
        <f t="shared" ca="1" si="13"/>
        <v>0.73187676597604689</v>
      </c>
      <c r="C896" s="27" t="s">
        <v>227</v>
      </c>
    </row>
    <row r="897" spans="1:3" x14ac:dyDescent="0.2">
      <c r="A897" s="27">
        <v>895</v>
      </c>
      <c r="B897" s="27">
        <f t="shared" ca="1" si="13"/>
        <v>0.58118796296941799</v>
      </c>
      <c r="C897" s="27" t="s">
        <v>226</v>
      </c>
    </row>
    <row r="898" spans="1:3" x14ac:dyDescent="0.2">
      <c r="A898" s="27">
        <v>896</v>
      </c>
      <c r="B898" s="27">
        <f t="shared" ca="1" si="13"/>
        <v>0.60484742520122137</v>
      </c>
      <c r="C898" s="27" t="s">
        <v>227</v>
      </c>
    </row>
    <row r="899" spans="1:3" x14ac:dyDescent="0.2">
      <c r="A899" s="27">
        <v>897</v>
      </c>
      <c r="B899" s="27">
        <f t="shared" ref="B899:B962" ca="1" si="14">IF(C899="Bomb",_xlfn.NORM.INV(RAND(),0.7,0.1),_xlfn.NORM.INV(RAND(),0.6,0.15))</f>
        <v>0.76448819131329415</v>
      </c>
      <c r="C899" s="27" t="s">
        <v>227</v>
      </c>
    </row>
    <row r="900" spans="1:3" x14ac:dyDescent="0.2">
      <c r="A900" s="27">
        <v>898</v>
      </c>
      <c r="B900" s="27">
        <f t="shared" ca="1" si="14"/>
        <v>0.66734563840428485</v>
      </c>
      <c r="C900" s="27" t="s">
        <v>227</v>
      </c>
    </row>
    <row r="901" spans="1:3" x14ac:dyDescent="0.2">
      <c r="A901" s="27">
        <v>899</v>
      </c>
      <c r="B901" s="27">
        <f t="shared" ca="1" si="14"/>
        <v>0.68673154007237436</v>
      </c>
      <c r="C901" s="27" t="s">
        <v>226</v>
      </c>
    </row>
    <row r="902" spans="1:3" x14ac:dyDescent="0.2">
      <c r="A902" s="27">
        <v>900</v>
      </c>
      <c r="B902" s="27">
        <f t="shared" ca="1" si="14"/>
        <v>0.67589445171793761</v>
      </c>
      <c r="C902" s="27" t="s">
        <v>227</v>
      </c>
    </row>
    <row r="903" spans="1:3" x14ac:dyDescent="0.2">
      <c r="A903" s="27">
        <v>901</v>
      </c>
      <c r="B903" s="27">
        <f t="shared" ca="1" si="14"/>
        <v>0.6112729321705751</v>
      </c>
      <c r="C903" s="27" t="s">
        <v>227</v>
      </c>
    </row>
    <row r="904" spans="1:3" x14ac:dyDescent="0.2">
      <c r="A904" s="27">
        <v>902</v>
      </c>
      <c r="B904" s="27">
        <f t="shared" ca="1" si="14"/>
        <v>0.74122099510809303</v>
      </c>
      <c r="C904" s="27" t="s">
        <v>227</v>
      </c>
    </row>
    <row r="905" spans="1:3" x14ac:dyDescent="0.2">
      <c r="A905" s="27">
        <v>903</v>
      </c>
      <c r="B905" s="27">
        <f t="shared" ca="1" si="14"/>
        <v>0.82929216033577113</v>
      </c>
      <c r="C905" s="27" t="s">
        <v>227</v>
      </c>
    </row>
    <row r="906" spans="1:3" x14ac:dyDescent="0.2">
      <c r="A906" s="27">
        <v>904</v>
      </c>
      <c r="B906" s="27">
        <f t="shared" ca="1" si="14"/>
        <v>0.56186944487440893</v>
      </c>
      <c r="C906" s="27" t="s">
        <v>227</v>
      </c>
    </row>
    <row r="907" spans="1:3" x14ac:dyDescent="0.2">
      <c r="A907" s="27">
        <v>905</v>
      </c>
      <c r="B907" s="27">
        <f t="shared" ca="1" si="14"/>
        <v>0.64975695131102207</v>
      </c>
      <c r="C907" s="27" t="s">
        <v>226</v>
      </c>
    </row>
    <row r="908" spans="1:3" x14ac:dyDescent="0.2">
      <c r="A908" s="27">
        <v>906</v>
      </c>
      <c r="B908" s="27">
        <f t="shared" ca="1" si="14"/>
        <v>0.61959227605206546</v>
      </c>
      <c r="C908" s="27" t="s">
        <v>226</v>
      </c>
    </row>
    <row r="909" spans="1:3" x14ac:dyDescent="0.2">
      <c r="A909" s="27">
        <v>907</v>
      </c>
      <c r="B909" s="27">
        <f t="shared" ca="1" si="14"/>
        <v>0.50348690142221486</v>
      </c>
      <c r="C909" s="27" t="s">
        <v>226</v>
      </c>
    </row>
    <row r="910" spans="1:3" x14ac:dyDescent="0.2">
      <c r="A910" s="27">
        <v>908</v>
      </c>
      <c r="B910" s="27">
        <f t="shared" ca="1" si="14"/>
        <v>0.60579506951029083</v>
      </c>
      <c r="C910" s="27" t="s">
        <v>226</v>
      </c>
    </row>
    <row r="911" spans="1:3" x14ac:dyDescent="0.2">
      <c r="A911" s="27">
        <v>909</v>
      </c>
      <c r="B911" s="27">
        <f t="shared" ca="1" si="14"/>
        <v>0.55697618700033336</v>
      </c>
      <c r="C911" s="27" t="s">
        <v>226</v>
      </c>
    </row>
    <row r="912" spans="1:3" x14ac:dyDescent="0.2">
      <c r="A912" s="27">
        <v>910</v>
      </c>
      <c r="B912" s="27">
        <f t="shared" ca="1" si="14"/>
        <v>0.73896860563939137</v>
      </c>
      <c r="C912" s="27" t="s">
        <v>227</v>
      </c>
    </row>
    <row r="913" spans="1:3" x14ac:dyDescent="0.2">
      <c r="A913" s="27">
        <v>911</v>
      </c>
      <c r="B913" s="27">
        <f t="shared" ca="1" si="14"/>
        <v>0.84641810084879476</v>
      </c>
      <c r="C913" s="27" t="s">
        <v>226</v>
      </c>
    </row>
    <row r="914" spans="1:3" x14ac:dyDescent="0.2">
      <c r="A914" s="27">
        <v>912</v>
      </c>
      <c r="B914" s="27">
        <f t="shared" ca="1" si="14"/>
        <v>0.29439249294043163</v>
      </c>
      <c r="C914" s="27" t="s">
        <v>226</v>
      </c>
    </row>
    <row r="915" spans="1:3" x14ac:dyDescent="0.2">
      <c r="A915" s="27">
        <v>913</v>
      </c>
      <c r="B915" s="27">
        <f t="shared" ca="1" si="14"/>
        <v>0.54400111702033871</v>
      </c>
      <c r="C915" s="27" t="s">
        <v>226</v>
      </c>
    </row>
    <row r="916" spans="1:3" x14ac:dyDescent="0.2">
      <c r="A916" s="27">
        <v>914</v>
      </c>
      <c r="B916" s="27">
        <f t="shared" ca="1" si="14"/>
        <v>0.79225106932828426</v>
      </c>
      <c r="C916" s="27" t="s">
        <v>227</v>
      </c>
    </row>
    <row r="917" spans="1:3" x14ac:dyDescent="0.2">
      <c r="A917" s="27">
        <v>915</v>
      </c>
      <c r="B917" s="27">
        <f t="shared" ca="1" si="14"/>
        <v>0.80013167856795753</v>
      </c>
      <c r="C917" s="27" t="s">
        <v>226</v>
      </c>
    </row>
    <row r="918" spans="1:3" x14ac:dyDescent="0.2">
      <c r="A918" s="27">
        <v>916</v>
      </c>
      <c r="B918" s="27">
        <f t="shared" ca="1" si="14"/>
        <v>0.78627091948860661</v>
      </c>
      <c r="C918" s="27" t="s">
        <v>227</v>
      </c>
    </row>
    <row r="919" spans="1:3" x14ac:dyDescent="0.2">
      <c r="A919" s="27">
        <v>917</v>
      </c>
      <c r="B919" s="27">
        <f t="shared" ca="1" si="14"/>
        <v>0.46151241506278007</v>
      </c>
      <c r="C919" s="27" t="s">
        <v>226</v>
      </c>
    </row>
    <row r="920" spans="1:3" x14ac:dyDescent="0.2">
      <c r="A920" s="27">
        <v>918</v>
      </c>
      <c r="B920" s="27">
        <f t="shared" ca="1" si="14"/>
        <v>0.78475146383114436</v>
      </c>
      <c r="C920" s="27" t="s">
        <v>227</v>
      </c>
    </row>
    <row r="921" spans="1:3" x14ac:dyDescent="0.2">
      <c r="A921" s="27">
        <v>919</v>
      </c>
      <c r="B921" s="27">
        <f t="shared" ca="1" si="14"/>
        <v>0.7108789357438402</v>
      </c>
      <c r="C921" s="27" t="s">
        <v>226</v>
      </c>
    </row>
    <row r="922" spans="1:3" x14ac:dyDescent="0.2">
      <c r="A922" s="27">
        <v>920</v>
      </c>
      <c r="B922" s="27">
        <f t="shared" ca="1" si="14"/>
        <v>0.91987144257204689</v>
      </c>
      <c r="C922" s="27" t="s">
        <v>227</v>
      </c>
    </row>
    <row r="923" spans="1:3" x14ac:dyDescent="0.2">
      <c r="A923" s="27">
        <v>921</v>
      </c>
      <c r="B923" s="27">
        <f t="shared" ca="1" si="14"/>
        <v>0.73271682543878225</v>
      </c>
      <c r="C923" s="27" t="s">
        <v>227</v>
      </c>
    </row>
    <row r="924" spans="1:3" x14ac:dyDescent="0.2">
      <c r="A924" s="27">
        <v>922</v>
      </c>
      <c r="B924" s="27">
        <f t="shared" ca="1" si="14"/>
        <v>0.46170243502336406</v>
      </c>
      <c r="C924" s="27" t="s">
        <v>226</v>
      </c>
    </row>
    <row r="925" spans="1:3" x14ac:dyDescent="0.2">
      <c r="A925" s="27">
        <v>923</v>
      </c>
      <c r="B925" s="27">
        <f t="shared" ca="1" si="14"/>
        <v>0.25864777824881063</v>
      </c>
      <c r="C925" s="27" t="s">
        <v>226</v>
      </c>
    </row>
    <row r="926" spans="1:3" x14ac:dyDescent="0.2">
      <c r="A926" s="27">
        <v>924</v>
      </c>
      <c r="B926" s="27">
        <f t="shared" ca="1" si="14"/>
        <v>0.66037440273260262</v>
      </c>
      <c r="C926" s="27" t="s">
        <v>226</v>
      </c>
    </row>
    <row r="927" spans="1:3" x14ac:dyDescent="0.2">
      <c r="A927" s="27">
        <v>925</v>
      </c>
      <c r="B927" s="27">
        <f t="shared" ca="1" si="14"/>
        <v>0.65750909158057724</v>
      </c>
      <c r="C927" s="27" t="s">
        <v>227</v>
      </c>
    </row>
    <row r="928" spans="1:3" x14ac:dyDescent="0.2">
      <c r="A928" s="27">
        <v>926</v>
      </c>
      <c r="B928" s="27">
        <f t="shared" ca="1" si="14"/>
        <v>0.6727635494523021</v>
      </c>
      <c r="C928" s="27" t="s">
        <v>227</v>
      </c>
    </row>
    <row r="929" spans="1:3" x14ac:dyDescent="0.2">
      <c r="A929" s="27">
        <v>927</v>
      </c>
      <c r="B929" s="27">
        <f t="shared" ca="1" si="14"/>
        <v>0.68913578662877095</v>
      </c>
      <c r="C929" s="27" t="s">
        <v>227</v>
      </c>
    </row>
    <row r="930" spans="1:3" x14ac:dyDescent="0.2">
      <c r="A930" s="27">
        <v>928</v>
      </c>
      <c r="B930" s="27">
        <f t="shared" ca="1" si="14"/>
        <v>0.76208821359523882</v>
      </c>
      <c r="C930" s="27" t="s">
        <v>227</v>
      </c>
    </row>
    <row r="931" spans="1:3" x14ac:dyDescent="0.2">
      <c r="A931" s="27">
        <v>929</v>
      </c>
      <c r="B931" s="27">
        <f t="shared" ca="1" si="14"/>
        <v>0.64468171978985223</v>
      </c>
      <c r="C931" s="27" t="s">
        <v>227</v>
      </c>
    </row>
    <row r="932" spans="1:3" x14ac:dyDescent="0.2">
      <c r="A932" s="27">
        <v>930</v>
      </c>
      <c r="B932" s="27">
        <f t="shared" ca="1" si="14"/>
        <v>0.71214716574501258</v>
      </c>
      <c r="C932" s="27" t="s">
        <v>227</v>
      </c>
    </row>
    <row r="933" spans="1:3" x14ac:dyDescent="0.2">
      <c r="A933" s="27">
        <v>931</v>
      </c>
      <c r="B933" s="27">
        <f t="shared" ca="1" si="14"/>
        <v>0.72497103227746118</v>
      </c>
      <c r="C933" s="27" t="s">
        <v>226</v>
      </c>
    </row>
    <row r="934" spans="1:3" x14ac:dyDescent="0.2">
      <c r="A934" s="27">
        <v>932</v>
      </c>
      <c r="B934" s="27">
        <f t="shared" ca="1" si="14"/>
        <v>0.75148333066207584</v>
      </c>
      <c r="C934" s="27" t="s">
        <v>227</v>
      </c>
    </row>
    <row r="935" spans="1:3" x14ac:dyDescent="0.2">
      <c r="A935" s="27">
        <v>933</v>
      </c>
      <c r="B935" s="27">
        <f t="shared" ca="1" si="14"/>
        <v>0.73397359359790926</v>
      </c>
      <c r="C935" s="27" t="s">
        <v>226</v>
      </c>
    </row>
    <row r="936" spans="1:3" x14ac:dyDescent="0.2">
      <c r="A936" s="27">
        <v>934</v>
      </c>
      <c r="B936" s="27">
        <f t="shared" ca="1" si="14"/>
        <v>0.78104597681047794</v>
      </c>
      <c r="C936" s="27" t="s">
        <v>227</v>
      </c>
    </row>
    <row r="937" spans="1:3" x14ac:dyDescent="0.2">
      <c r="A937" s="27">
        <v>935</v>
      </c>
      <c r="B937" s="27">
        <f t="shared" ca="1" si="14"/>
        <v>0.67620080073100863</v>
      </c>
      <c r="C937" s="27" t="s">
        <v>227</v>
      </c>
    </row>
    <row r="938" spans="1:3" x14ac:dyDescent="0.2">
      <c r="A938" s="27">
        <v>936</v>
      </c>
      <c r="B938" s="27">
        <f t="shared" ca="1" si="14"/>
        <v>0.67654623511142598</v>
      </c>
      <c r="C938" s="27" t="s">
        <v>226</v>
      </c>
    </row>
    <row r="939" spans="1:3" x14ac:dyDescent="0.2">
      <c r="A939" s="27">
        <v>937</v>
      </c>
      <c r="B939" s="27">
        <f t="shared" ca="1" si="14"/>
        <v>0.81829852527292501</v>
      </c>
      <c r="C939" s="27" t="s">
        <v>226</v>
      </c>
    </row>
    <row r="940" spans="1:3" x14ac:dyDescent="0.2">
      <c r="A940" s="27">
        <v>938</v>
      </c>
      <c r="B940" s="27">
        <f t="shared" ca="1" si="14"/>
        <v>0.58419214373072748</v>
      </c>
      <c r="C940" s="27" t="s">
        <v>227</v>
      </c>
    </row>
    <row r="941" spans="1:3" x14ac:dyDescent="0.2">
      <c r="A941" s="27">
        <v>939</v>
      </c>
      <c r="B941" s="27">
        <f t="shared" ca="1" si="14"/>
        <v>0.59888202032230931</v>
      </c>
      <c r="C941" s="27" t="s">
        <v>227</v>
      </c>
    </row>
    <row r="942" spans="1:3" x14ac:dyDescent="0.2">
      <c r="A942" s="27">
        <v>940</v>
      </c>
      <c r="B942" s="27">
        <f t="shared" ca="1" si="14"/>
        <v>0.6720376879818013</v>
      </c>
      <c r="C942" s="27" t="s">
        <v>226</v>
      </c>
    </row>
    <row r="943" spans="1:3" x14ac:dyDescent="0.2">
      <c r="A943" s="27">
        <v>941</v>
      </c>
      <c r="B943" s="27">
        <f t="shared" ca="1" si="14"/>
        <v>0.64608453805762112</v>
      </c>
      <c r="C943" s="27" t="s">
        <v>226</v>
      </c>
    </row>
    <row r="944" spans="1:3" x14ac:dyDescent="0.2">
      <c r="A944" s="27">
        <v>942</v>
      </c>
      <c r="B944" s="27">
        <f t="shared" ca="1" si="14"/>
        <v>0.87620528863714342</v>
      </c>
      <c r="C944" s="27" t="s">
        <v>226</v>
      </c>
    </row>
    <row r="945" spans="1:3" x14ac:dyDescent="0.2">
      <c r="A945" s="27">
        <v>943</v>
      </c>
      <c r="B945" s="27">
        <f t="shared" ca="1" si="14"/>
        <v>0.45643065384365511</v>
      </c>
      <c r="C945" s="27" t="s">
        <v>226</v>
      </c>
    </row>
    <row r="946" spans="1:3" x14ac:dyDescent="0.2">
      <c r="A946" s="27">
        <v>944</v>
      </c>
      <c r="B946" s="27">
        <f t="shared" ca="1" si="14"/>
        <v>0.71757137921188563</v>
      </c>
      <c r="C946" s="27" t="s">
        <v>226</v>
      </c>
    </row>
    <row r="947" spans="1:3" x14ac:dyDescent="0.2">
      <c r="A947" s="27">
        <v>945</v>
      </c>
      <c r="B947" s="27">
        <f t="shared" ca="1" si="14"/>
        <v>0.63026039220785834</v>
      </c>
      <c r="C947" s="27" t="s">
        <v>227</v>
      </c>
    </row>
    <row r="948" spans="1:3" x14ac:dyDescent="0.2">
      <c r="A948" s="27">
        <v>946</v>
      </c>
      <c r="B948" s="27">
        <f t="shared" ca="1" si="14"/>
        <v>0.50394065387859277</v>
      </c>
      <c r="C948" s="27" t="s">
        <v>226</v>
      </c>
    </row>
    <row r="949" spans="1:3" x14ac:dyDescent="0.2">
      <c r="A949" s="27">
        <v>947</v>
      </c>
      <c r="B949" s="27">
        <f t="shared" ca="1" si="14"/>
        <v>0.71106798736592514</v>
      </c>
      <c r="C949" s="27" t="s">
        <v>227</v>
      </c>
    </row>
    <row r="950" spans="1:3" x14ac:dyDescent="0.2">
      <c r="A950" s="27">
        <v>948</v>
      </c>
      <c r="B950" s="27">
        <f t="shared" ca="1" si="14"/>
        <v>0.67266314890796086</v>
      </c>
      <c r="C950" s="27" t="s">
        <v>226</v>
      </c>
    </row>
    <row r="951" spans="1:3" x14ac:dyDescent="0.2">
      <c r="A951" s="27">
        <v>949</v>
      </c>
      <c r="B951" s="27">
        <f t="shared" ca="1" si="14"/>
        <v>0.79101883320307498</v>
      </c>
      <c r="C951" s="27" t="s">
        <v>227</v>
      </c>
    </row>
    <row r="952" spans="1:3" x14ac:dyDescent="0.2">
      <c r="A952" s="27">
        <v>950</v>
      </c>
      <c r="B952" s="27">
        <f t="shared" ca="1" si="14"/>
        <v>0.71766823838163529</v>
      </c>
      <c r="C952" s="27" t="s">
        <v>227</v>
      </c>
    </row>
    <row r="953" spans="1:3" x14ac:dyDescent="0.2">
      <c r="A953" s="27">
        <v>951</v>
      </c>
      <c r="B953" s="27">
        <f t="shared" ca="1" si="14"/>
        <v>0.75041572031049597</v>
      </c>
      <c r="C953" s="27" t="s">
        <v>226</v>
      </c>
    </row>
    <row r="954" spans="1:3" x14ac:dyDescent="0.2">
      <c r="A954" s="27">
        <v>952</v>
      </c>
      <c r="B954" s="27">
        <f t="shared" ca="1" si="14"/>
        <v>0.52765646478283568</v>
      </c>
      <c r="C954" s="27" t="s">
        <v>226</v>
      </c>
    </row>
    <row r="955" spans="1:3" x14ac:dyDescent="0.2">
      <c r="A955" s="27">
        <v>953</v>
      </c>
      <c r="B955" s="27">
        <f t="shared" ca="1" si="14"/>
        <v>0.51073739324522449</v>
      </c>
      <c r="C955" s="27" t="s">
        <v>227</v>
      </c>
    </row>
    <row r="956" spans="1:3" x14ac:dyDescent="0.2">
      <c r="A956" s="27">
        <v>954</v>
      </c>
      <c r="B956" s="27">
        <f t="shared" ca="1" si="14"/>
        <v>0.5959037714602925</v>
      </c>
      <c r="C956" s="27" t="s">
        <v>226</v>
      </c>
    </row>
    <row r="957" spans="1:3" x14ac:dyDescent="0.2">
      <c r="A957" s="27">
        <v>955</v>
      </c>
      <c r="B957" s="27">
        <f t="shared" ca="1" si="14"/>
        <v>0.67550902996728523</v>
      </c>
      <c r="C957" s="27" t="s">
        <v>227</v>
      </c>
    </row>
    <row r="958" spans="1:3" x14ac:dyDescent="0.2">
      <c r="A958" s="27">
        <v>956</v>
      </c>
      <c r="B958" s="27">
        <f t="shared" ca="1" si="14"/>
        <v>0.66758235426937462</v>
      </c>
      <c r="C958" s="27" t="s">
        <v>227</v>
      </c>
    </row>
    <row r="959" spans="1:3" x14ac:dyDescent="0.2">
      <c r="A959" s="27">
        <v>957</v>
      </c>
      <c r="B959" s="27">
        <f t="shared" ca="1" si="14"/>
        <v>0.4100297293370837</v>
      </c>
      <c r="C959" s="27" t="s">
        <v>226</v>
      </c>
    </row>
    <row r="960" spans="1:3" x14ac:dyDescent="0.2">
      <c r="A960" s="27">
        <v>958</v>
      </c>
      <c r="B960" s="27">
        <f t="shared" ca="1" si="14"/>
        <v>0.6878207539633685</v>
      </c>
      <c r="C960" s="27" t="s">
        <v>227</v>
      </c>
    </row>
    <row r="961" spans="1:3" x14ac:dyDescent="0.2">
      <c r="A961" s="27">
        <v>959</v>
      </c>
      <c r="B961" s="27">
        <f t="shared" ca="1" si="14"/>
        <v>0.59295427603230588</v>
      </c>
      <c r="C961" s="27" t="s">
        <v>226</v>
      </c>
    </row>
    <row r="962" spans="1:3" x14ac:dyDescent="0.2">
      <c r="A962" s="27">
        <v>960</v>
      </c>
      <c r="B962" s="27">
        <f t="shared" ca="1" si="14"/>
        <v>0.74231182318193278</v>
      </c>
      <c r="C962" s="27" t="s">
        <v>226</v>
      </c>
    </row>
    <row r="963" spans="1:3" x14ac:dyDescent="0.2">
      <c r="A963" s="27">
        <v>961</v>
      </c>
      <c r="B963" s="27">
        <f t="shared" ref="B963:B1002" ca="1" si="15">IF(C963="Bomb",_xlfn.NORM.INV(RAND(),0.7,0.1),_xlfn.NORM.INV(RAND(),0.6,0.15))</f>
        <v>0.72471729661379647</v>
      </c>
      <c r="C963" s="27" t="s">
        <v>227</v>
      </c>
    </row>
    <row r="964" spans="1:3" x14ac:dyDescent="0.2">
      <c r="A964" s="27">
        <v>962</v>
      </c>
      <c r="B964" s="27">
        <f t="shared" ca="1" si="15"/>
        <v>0.75004320021846316</v>
      </c>
      <c r="C964" s="27" t="s">
        <v>227</v>
      </c>
    </row>
    <row r="965" spans="1:3" x14ac:dyDescent="0.2">
      <c r="A965" s="27">
        <v>963</v>
      </c>
      <c r="B965" s="27">
        <f t="shared" ca="1" si="15"/>
        <v>0.65101562708650984</v>
      </c>
      <c r="C965" s="27" t="s">
        <v>227</v>
      </c>
    </row>
    <row r="966" spans="1:3" x14ac:dyDescent="0.2">
      <c r="A966" s="27">
        <v>964</v>
      </c>
      <c r="B966" s="27">
        <f t="shared" ca="1" si="15"/>
        <v>0.72602057215246052</v>
      </c>
      <c r="C966" s="27" t="s">
        <v>227</v>
      </c>
    </row>
    <row r="967" spans="1:3" x14ac:dyDescent="0.2">
      <c r="A967" s="27">
        <v>965</v>
      </c>
      <c r="B967" s="27">
        <f t="shared" ca="1" si="15"/>
        <v>0.66022012240363304</v>
      </c>
      <c r="C967" s="27" t="s">
        <v>227</v>
      </c>
    </row>
    <row r="968" spans="1:3" x14ac:dyDescent="0.2">
      <c r="A968" s="27">
        <v>966</v>
      </c>
      <c r="B968" s="27">
        <f t="shared" ca="1" si="15"/>
        <v>0.71117483923284608</v>
      </c>
      <c r="C968" s="27" t="s">
        <v>227</v>
      </c>
    </row>
    <row r="969" spans="1:3" x14ac:dyDescent="0.2">
      <c r="A969" s="27">
        <v>967</v>
      </c>
      <c r="B969" s="27">
        <f t="shared" ca="1" si="15"/>
        <v>0.80730986368240409</v>
      </c>
      <c r="C969" s="27" t="s">
        <v>227</v>
      </c>
    </row>
    <row r="970" spans="1:3" x14ac:dyDescent="0.2">
      <c r="A970" s="27">
        <v>968</v>
      </c>
      <c r="B970" s="27">
        <f t="shared" ca="1" si="15"/>
        <v>0.61371183335186197</v>
      </c>
      <c r="C970" s="27" t="s">
        <v>227</v>
      </c>
    </row>
    <row r="971" spans="1:3" x14ac:dyDescent="0.2">
      <c r="A971" s="27">
        <v>969</v>
      </c>
      <c r="B971" s="27">
        <f t="shared" ca="1" si="15"/>
        <v>0.3870635529418347</v>
      </c>
      <c r="C971" s="27" t="s">
        <v>226</v>
      </c>
    </row>
    <row r="972" spans="1:3" x14ac:dyDescent="0.2">
      <c r="A972" s="27">
        <v>970</v>
      </c>
      <c r="B972" s="27">
        <f t="shared" ca="1" si="15"/>
        <v>0.47934727775581798</v>
      </c>
      <c r="C972" s="27" t="s">
        <v>226</v>
      </c>
    </row>
    <row r="973" spans="1:3" x14ac:dyDescent="0.2">
      <c r="A973" s="27">
        <v>971</v>
      </c>
      <c r="B973" s="27">
        <f t="shared" ca="1" si="15"/>
        <v>0.71997662490799996</v>
      </c>
      <c r="C973" s="27" t="s">
        <v>227</v>
      </c>
    </row>
    <row r="974" spans="1:3" x14ac:dyDescent="0.2">
      <c r="A974" s="27">
        <v>972</v>
      </c>
      <c r="B974" s="27">
        <f t="shared" ca="1" si="15"/>
        <v>0.44414739460709385</v>
      </c>
      <c r="C974" s="27" t="s">
        <v>226</v>
      </c>
    </row>
    <row r="975" spans="1:3" x14ac:dyDescent="0.2">
      <c r="A975" s="27">
        <v>973</v>
      </c>
      <c r="B975" s="27">
        <f t="shared" ca="1" si="15"/>
        <v>0.56196352871139932</v>
      </c>
      <c r="C975" s="27" t="s">
        <v>227</v>
      </c>
    </row>
    <row r="976" spans="1:3" x14ac:dyDescent="0.2">
      <c r="A976" s="27">
        <v>974</v>
      </c>
      <c r="B976" s="27">
        <f t="shared" ca="1" si="15"/>
        <v>0.7200941484500909</v>
      </c>
      <c r="C976" s="27" t="s">
        <v>227</v>
      </c>
    </row>
    <row r="977" spans="1:3" x14ac:dyDescent="0.2">
      <c r="A977" s="27">
        <v>975</v>
      </c>
      <c r="B977" s="27">
        <f t="shared" ca="1" si="15"/>
        <v>0.57702604682741543</v>
      </c>
      <c r="C977" s="27" t="s">
        <v>227</v>
      </c>
    </row>
    <row r="978" spans="1:3" x14ac:dyDescent="0.2">
      <c r="A978" s="27">
        <v>976</v>
      </c>
      <c r="B978" s="27">
        <f t="shared" ca="1" si="15"/>
        <v>0.60590025932668146</v>
      </c>
      <c r="C978" s="27" t="s">
        <v>227</v>
      </c>
    </row>
    <row r="979" spans="1:3" x14ac:dyDescent="0.2">
      <c r="A979" s="27">
        <v>977</v>
      </c>
      <c r="B979" s="27">
        <f t="shared" ca="1" si="15"/>
        <v>0.67834951204244831</v>
      </c>
      <c r="C979" s="27" t="s">
        <v>227</v>
      </c>
    </row>
    <row r="980" spans="1:3" x14ac:dyDescent="0.2">
      <c r="A980" s="27">
        <v>978</v>
      </c>
      <c r="B980" s="27">
        <f t="shared" ca="1" si="15"/>
        <v>0.58296734200910927</v>
      </c>
      <c r="C980" s="27" t="s">
        <v>227</v>
      </c>
    </row>
    <row r="981" spans="1:3" x14ac:dyDescent="0.2">
      <c r="A981" s="27">
        <v>979</v>
      </c>
      <c r="B981" s="27">
        <f t="shared" ca="1" si="15"/>
        <v>0.74940948260887608</v>
      </c>
      <c r="C981" s="27" t="s">
        <v>227</v>
      </c>
    </row>
    <row r="982" spans="1:3" x14ac:dyDescent="0.2">
      <c r="A982" s="27">
        <v>980</v>
      </c>
      <c r="B982" s="27">
        <f t="shared" ca="1" si="15"/>
        <v>0.47465191986978372</v>
      </c>
      <c r="C982" s="27" t="s">
        <v>226</v>
      </c>
    </row>
    <row r="983" spans="1:3" x14ac:dyDescent="0.2">
      <c r="A983" s="27">
        <v>981</v>
      </c>
      <c r="B983" s="27">
        <f t="shared" ca="1" si="15"/>
        <v>0.51384200493135312</v>
      </c>
      <c r="C983" s="27" t="s">
        <v>226</v>
      </c>
    </row>
    <row r="984" spans="1:3" x14ac:dyDescent="0.2">
      <c r="A984" s="27">
        <v>982</v>
      </c>
      <c r="B984" s="27">
        <f t="shared" ca="1" si="15"/>
        <v>0.72874178801279976</v>
      </c>
      <c r="C984" s="27" t="s">
        <v>227</v>
      </c>
    </row>
    <row r="985" spans="1:3" x14ac:dyDescent="0.2">
      <c r="A985" s="27">
        <v>983</v>
      </c>
      <c r="B985" s="27">
        <f t="shared" ca="1" si="15"/>
        <v>0.65956386680444823</v>
      </c>
      <c r="C985" s="27" t="s">
        <v>227</v>
      </c>
    </row>
    <row r="986" spans="1:3" x14ac:dyDescent="0.2">
      <c r="A986" s="27">
        <v>984</v>
      </c>
      <c r="B986" s="27">
        <f t="shared" ca="1" si="15"/>
        <v>0.63593895156415425</v>
      </c>
      <c r="C986" s="27" t="s">
        <v>226</v>
      </c>
    </row>
    <row r="987" spans="1:3" x14ac:dyDescent="0.2">
      <c r="A987" s="27">
        <v>985</v>
      </c>
      <c r="B987" s="27">
        <f t="shared" ca="1" si="15"/>
        <v>0.51201927992393659</v>
      </c>
      <c r="C987" s="27" t="s">
        <v>226</v>
      </c>
    </row>
    <row r="988" spans="1:3" x14ac:dyDescent="0.2">
      <c r="A988" s="27">
        <v>986</v>
      </c>
      <c r="B988" s="27">
        <f t="shared" ca="1" si="15"/>
        <v>0.73571734624776297</v>
      </c>
      <c r="C988" s="27" t="s">
        <v>227</v>
      </c>
    </row>
    <row r="989" spans="1:3" x14ac:dyDescent="0.2">
      <c r="A989" s="27">
        <v>987</v>
      </c>
      <c r="B989" s="27">
        <f t="shared" ca="1" si="15"/>
        <v>0.67878495723356369</v>
      </c>
      <c r="C989" s="27" t="s">
        <v>226</v>
      </c>
    </row>
    <row r="990" spans="1:3" x14ac:dyDescent="0.2">
      <c r="A990" s="27">
        <v>988</v>
      </c>
      <c r="B990" s="27">
        <f t="shared" ca="1" si="15"/>
        <v>0.64731706827702684</v>
      </c>
      <c r="C990" s="27" t="s">
        <v>226</v>
      </c>
    </row>
    <row r="991" spans="1:3" x14ac:dyDescent="0.2">
      <c r="A991" s="27">
        <v>989</v>
      </c>
      <c r="B991" s="27">
        <f t="shared" ca="1" si="15"/>
        <v>0.80289276358608608</v>
      </c>
      <c r="C991" s="27" t="s">
        <v>227</v>
      </c>
    </row>
    <row r="992" spans="1:3" x14ac:dyDescent="0.2">
      <c r="A992" s="27">
        <v>990</v>
      </c>
      <c r="B992" s="27">
        <f t="shared" ca="1" si="15"/>
        <v>0.73736287754392671</v>
      </c>
      <c r="C992" s="27" t="s">
        <v>226</v>
      </c>
    </row>
    <row r="993" spans="1:3" x14ac:dyDescent="0.2">
      <c r="A993" s="27">
        <v>991</v>
      </c>
      <c r="B993" s="27">
        <f t="shared" ca="1" si="15"/>
        <v>0.73340248618908865</v>
      </c>
      <c r="C993" s="27" t="s">
        <v>227</v>
      </c>
    </row>
    <row r="994" spans="1:3" x14ac:dyDescent="0.2">
      <c r="A994" s="27">
        <v>992</v>
      </c>
      <c r="B994" s="27">
        <f t="shared" ca="1" si="15"/>
        <v>0.76059565045381461</v>
      </c>
      <c r="C994" s="27" t="s">
        <v>226</v>
      </c>
    </row>
    <row r="995" spans="1:3" x14ac:dyDescent="0.2">
      <c r="A995" s="27">
        <v>993</v>
      </c>
      <c r="B995" s="27">
        <f t="shared" ca="1" si="15"/>
        <v>0.8709002433482651</v>
      </c>
      <c r="C995" s="27" t="s">
        <v>227</v>
      </c>
    </row>
    <row r="996" spans="1:3" x14ac:dyDescent="0.2">
      <c r="A996" s="27">
        <v>994</v>
      </c>
      <c r="B996" s="27">
        <f t="shared" ca="1" si="15"/>
        <v>0.68082106410740062</v>
      </c>
      <c r="C996" s="27" t="s">
        <v>227</v>
      </c>
    </row>
    <row r="997" spans="1:3" x14ac:dyDescent="0.2">
      <c r="A997" s="27">
        <v>995</v>
      </c>
      <c r="B997" s="27">
        <f t="shared" ca="1" si="15"/>
        <v>0.55043189116638847</v>
      </c>
      <c r="C997" s="27" t="s">
        <v>226</v>
      </c>
    </row>
    <row r="998" spans="1:3" x14ac:dyDescent="0.2">
      <c r="A998" s="27">
        <v>996</v>
      </c>
      <c r="B998" s="27">
        <f t="shared" ca="1" si="15"/>
        <v>0.81073103709485572</v>
      </c>
      <c r="C998" s="27" t="s">
        <v>227</v>
      </c>
    </row>
    <row r="999" spans="1:3" x14ac:dyDescent="0.2">
      <c r="A999" s="27">
        <v>997</v>
      </c>
      <c r="B999" s="27">
        <f t="shared" ca="1" si="15"/>
        <v>0.41442967121952301</v>
      </c>
      <c r="C999" s="27" t="s">
        <v>226</v>
      </c>
    </row>
    <row r="1000" spans="1:3" x14ac:dyDescent="0.2">
      <c r="A1000" s="27">
        <v>998</v>
      </c>
      <c r="B1000" s="27">
        <f t="shared" ca="1" si="15"/>
        <v>0.35954347485816002</v>
      </c>
      <c r="C1000" s="27" t="s">
        <v>226</v>
      </c>
    </row>
    <row r="1001" spans="1:3" x14ac:dyDescent="0.2">
      <c r="A1001" s="27">
        <v>999</v>
      </c>
      <c r="B1001" s="27">
        <f t="shared" ca="1" si="15"/>
        <v>0.74516876731663406</v>
      </c>
      <c r="C1001" s="27" t="s">
        <v>226</v>
      </c>
    </row>
    <row r="1002" spans="1:3" x14ac:dyDescent="0.2">
      <c r="A1002" s="27">
        <v>1000</v>
      </c>
      <c r="B1002" s="27">
        <f t="shared" ca="1" si="15"/>
        <v>0.38530599111670955</v>
      </c>
      <c r="C1002" s="27" t="s">
        <v>226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EA94-405C-C54C-B1FA-407F65640D5D}">
  <sheetPr codeName="Sheet4">
    <tabColor rgb="FFFF0000"/>
  </sheetPr>
  <dimension ref="A2:K1002"/>
  <sheetViews>
    <sheetView workbookViewId="0">
      <selection activeCell="E7" sqref="E7"/>
    </sheetView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231</v>
      </c>
      <c r="C2" s="2" t="s">
        <v>10</v>
      </c>
      <c r="J2" s="4" t="s">
        <v>228</v>
      </c>
      <c r="K2" s="4" t="s">
        <v>229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0.65989724707708042</v>
      </c>
      <c r="C3" s="2" t="str">
        <f ca="1">IF(RAND()&lt;0.5,"Bomb","Bird")</f>
        <v>Bomb</v>
      </c>
      <c r="E3" s="2" t="s">
        <v>230</v>
      </c>
      <c r="J3" s="31">
        <f ca="1">F7</f>
        <v>0</v>
      </c>
      <c r="K3" s="31">
        <f ca="1">E7</f>
        <v>1</v>
      </c>
    </row>
    <row r="4" spans="1:11" x14ac:dyDescent="0.2">
      <c r="A4" s="2">
        <v>2</v>
      </c>
      <c r="B4" s="2">
        <f t="shared" ca="1" si="0"/>
        <v>0.79905330356339066</v>
      </c>
      <c r="C4" s="2" t="s">
        <v>227</v>
      </c>
      <c r="E4" s="31">
        <v>0.03</v>
      </c>
      <c r="I4" s="31">
        <v>0.03</v>
      </c>
      <c r="J4" s="32">
        <f t="dataTable" ref="J4:K36" dt2D="0" dtr="0" r1="E4" ca="1"/>
        <v>0</v>
      </c>
      <c r="K4" s="32">
        <v>1</v>
      </c>
    </row>
    <row r="5" spans="1:11" x14ac:dyDescent="0.2">
      <c r="A5" s="2">
        <v>3</v>
      </c>
      <c r="B5" s="2">
        <f t="shared" ca="1" si="0"/>
        <v>0.7912984617251767</v>
      </c>
      <c r="C5" s="2" t="s">
        <v>226</v>
      </c>
      <c r="I5" s="31">
        <v>0.06</v>
      </c>
      <c r="J5" s="32">
        <v>0</v>
      </c>
      <c r="K5" s="32">
        <v>1</v>
      </c>
    </row>
    <row r="6" spans="1:11" x14ac:dyDescent="0.2">
      <c r="A6" s="2">
        <v>4</v>
      </c>
      <c r="B6" s="2">
        <f t="shared" ca="1" si="0"/>
        <v>0.71485192010127097</v>
      </c>
      <c r="C6" s="2" t="s">
        <v>227</v>
      </c>
      <c r="E6" s="4" t="s">
        <v>229</v>
      </c>
      <c r="F6" s="4" t="s">
        <v>228</v>
      </c>
      <c r="I6" s="31">
        <v>0.09</v>
      </c>
      <c r="J6" s="32">
        <v>0</v>
      </c>
      <c r="K6" s="32">
        <v>1</v>
      </c>
    </row>
    <row r="7" spans="1:11" x14ac:dyDescent="0.2">
      <c r="A7" s="2">
        <v>5</v>
      </c>
      <c r="B7" s="2">
        <f t="shared" ca="1" si="0"/>
        <v>0.68858724647695946</v>
      </c>
      <c r="C7" s="2" t="s">
        <v>227</v>
      </c>
      <c r="E7" s="32">
        <f ca="1">COUNTIFS(B:B,"&gt;" &amp;E4,C:C,"="&amp;"Bomb")/COUNTIFS(C:C,"="&amp;"Bomb")</f>
        <v>1</v>
      </c>
      <c r="F7" s="32">
        <f ca="1">COUNTIFS(B:B,"&lt;" &amp;E4,C:C,"="&amp;"Bird")/COUNTIFS(C:C,"="&amp;"Bird")</f>
        <v>0</v>
      </c>
      <c r="I7" s="31">
        <v>0.12</v>
      </c>
      <c r="J7" s="32">
        <v>1.9493177387914229E-3</v>
      </c>
      <c r="K7" s="32">
        <v>1</v>
      </c>
    </row>
    <row r="8" spans="1:11" x14ac:dyDescent="0.2">
      <c r="A8" s="2">
        <v>6</v>
      </c>
      <c r="B8" s="2">
        <f t="shared" ca="1" si="0"/>
        <v>0.53218635108588563</v>
      </c>
      <c r="C8" s="2" t="s">
        <v>227</v>
      </c>
      <c r="I8" s="31">
        <v>0.15</v>
      </c>
      <c r="J8" s="32">
        <v>0</v>
      </c>
      <c r="K8" s="32">
        <v>1</v>
      </c>
    </row>
    <row r="9" spans="1:11" x14ac:dyDescent="0.2">
      <c r="A9" s="2">
        <v>7</v>
      </c>
      <c r="B9" s="2">
        <f t="shared" ca="1" si="0"/>
        <v>0.55036756601191716</v>
      </c>
      <c r="C9" s="2" t="s">
        <v>227</v>
      </c>
      <c r="I9" s="31">
        <v>0.18</v>
      </c>
      <c r="J9" s="32">
        <v>3.8910505836575876E-3</v>
      </c>
      <c r="K9" s="32">
        <v>1</v>
      </c>
    </row>
    <row r="10" spans="1:11" x14ac:dyDescent="0.2">
      <c r="A10" s="2">
        <v>8</v>
      </c>
      <c r="B10" s="2">
        <f t="shared" ca="1" si="0"/>
        <v>0.23176200155002408</v>
      </c>
      <c r="C10" s="2" t="s">
        <v>226</v>
      </c>
      <c r="I10" s="31">
        <v>0.21</v>
      </c>
      <c r="J10" s="32">
        <v>9.7465886939571145E-3</v>
      </c>
      <c r="K10" s="32">
        <v>1</v>
      </c>
    </row>
    <row r="11" spans="1:11" x14ac:dyDescent="0.2">
      <c r="A11" s="2">
        <v>9</v>
      </c>
      <c r="B11" s="2">
        <f t="shared" ca="1" si="0"/>
        <v>0.5906832822093282</v>
      </c>
      <c r="C11" s="2" t="s">
        <v>226</v>
      </c>
      <c r="I11" s="31">
        <v>0.24</v>
      </c>
      <c r="J11" s="32">
        <v>7.7972709551656916E-3</v>
      </c>
      <c r="K11" s="32">
        <v>1</v>
      </c>
    </row>
    <row r="12" spans="1:11" x14ac:dyDescent="0.2">
      <c r="A12" s="2">
        <v>10</v>
      </c>
      <c r="B12" s="2">
        <f t="shared" ca="1" si="0"/>
        <v>0.67693155646581515</v>
      </c>
      <c r="C12" s="2" t="s">
        <v>226</v>
      </c>
      <c r="I12" s="31">
        <v>0.27</v>
      </c>
      <c r="J12" s="32">
        <v>1.364522417153996E-2</v>
      </c>
      <c r="K12" s="32">
        <v>1</v>
      </c>
    </row>
    <row r="13" spans="1:11" x14ac:dyDescent="0.2">
      <c r="A13" s="2">
        <v>11</v>
      </c>
      <c r="B13" s="2">
        <f t="shared" ca="1" si="0"/>
        <v>0.42793232999128467</v>
      </c>
      <c r="C13" s="2" t="s">
        <v>226</v>
      </c>
      <c r="I13" s="31">
        <v>0.3</v>
      </c>
      <c r="J13" s="32">
        <v>1.1695906432748537E-2</v>
      </c>
      <c r="K13" s="32">
        <v>1</v>
      </c>
    </row>
    <row r="14" spans="1:11" x14ac:dyDescent="0.2">
      <c r="A14" s="2">
        <v>12</v>
      </c>
      <c r="B14" s="2">
        <f t="shared" ca="1" si="0"/>
        <v>0.55165807576315951</v>
      </c>
      <c r="C14" s="2" t="s">
        <v>226</v>
      </c>
      <c r="I14" s="31">
        <v>0.33</v>
      </c>
      <c r="J14" s="32">
        <v>3.3073929961089495E-2</v>
      </c>
      <c r="K14" s="32">
        <v>1</v>
      </c>
    </row>
    <row r="15" spans="1:11" x14ac:dyDescent="0.2">
      <c r="A15" s="2">
        <v>13</v>
      </c>
      <c r="B15" s="2">
        <f t="shared" ca="1" si="0"/>
        <v>0.67515795401493572</v>
      </c>
      <c r="C15" s="2" t="s">
        <v>227</v>
      </c>
      <c r="I15" s="31">
        <v>0.36</v>
      </c>
      <c r="J15" s="32">
        <v>4.2801556420233464E-2</v>
      </c>
      <c r="K15" s="32">
        <v>1</v>
      </c>
    </row>
    <row r="16" spans="1:11" x14ac:dyDescent="0.2">
      <c r="A16" s="2">
        <v>14</v>
      </c>
      <c r="B16" s="2">
        <f t="shared" ca="1" si="0"/>
        <v>0.67120208091034195</v>
      </c>
      <c r="C16" s="2" t="s">
        <v>227</v>
      </c>
      <c r="I16" s="31">
        <v>0.39</v>
      </c>
      <c r="J16" s="32">
        <v>6.6147859922178989E-2</v>
      </c>
      <c r="K16" s="32">
        <v>0.99588477366255146</v>
      </c>
    </row>
    <row r="17" spans="1:11" x14ac:dyDescent="0.2">
      <c r="A17" s="2">
        <v>15</v>
      </c>
      <c r="B17" s="2">
        <f t="shared" ca="1" si="0"/>
        <v>0.6062489407496412</v>
      </c>
      <c r="C17" s="2" t="s">
        <v>227</v>
      </c>
      <c r="I17" s="31">
        <v>0.42</v>
      </c>
      <c r="J17" s="32">
        <v>0.14230019493177387</v>
      </c>
      <c r="K17" s="32">
        <v>0.99794661190965095</v>
      </c>
    </row>
    <row r="18" spans="1:11" x14ac:dyDescent="0.2">
      <c r="A18" s="2">
        <v>16</v>
      </c>
      <c r="B18" s="2">
        <f t="shared" ca="1" si="0"/>
        <v>0.48327326152898142</v>
      </c>
      <c r="C18" s="2" t="s">
        <v>226</v>
      </c>
      <c r="I18" s="31">
        <v>0.45</v>
      </c>
      <c r="J18" s="32">
        <v>0.16536964980544747</v>
      </c>
      <c r="K18" s="32">
        <v>0.99176954732510292</v>
      </c>
    </row>
    <row r="19" spans="1:11" x14ac:dyDescent="0.2">
      <c r="A19" s="2">
        <v>17</v>
      </c>
      <c r="B19" s="2">
        <f t="shared" ca="1" si="0"/>
        <v>0.73026096800306051</v>
      </c>
      <c r="C19" s="2" t="s">
        <v>227</v>
      </c>
      <c r="I19" s="31">
        <v>0.48</v>
      </c>
      <c r="J19" s="32">
        <v>0.21206225680933852</v>
      </c>
      <c r="K19" s="32">
        <v>0.97942386831275718</v>
      </c>
    </row>
    <row r="20" spans="1:11" x14ac:dyDescent="0.2">
      <c r="A20" s="2">
        <v>18</v>
      </c>
      <c r="B20" s="2">
        <f t="shared" ca="1" si="0"/>
        <v>0.5657838402321439</v>
      </c>
      <c r="C20" s="2" t="s">
        <v>226</v>
      </c>
      <c r="I20" s="31">
        <v>0.51</v>
      </c>
      <c r="J20" s="32">
        <v>0.27290448343079921</v>
      </c>
      <c r="K20" s="32">
        <v>0.97125256673511295</v>
      </c>
    </row>
    <row r="21" spans="1:11" x14ac:dyDescent="0.2">
      <c r="A21" s="2">
        <v>19</v>
      </c>
      <c r="B21" s="2">
        <f t="shared" ca="1" si="0"/>
        <v>0.67365084490838867</v>
      </c>
      <c r="C21" s="2" t="s">
        <v>227</v>
      </c>
      <c r="I21" s="31">
        <v>0.54</v>
      </c>
      <c r="J21" s="32">
        <v>0.38011695906432746</v>
      </c>
      <c r="K21" s="32">
        <v>0.95277207392197127</v>
      </c>
    </row>
    <row r="22" spans="1:11" x14ac:dyDescent="0.2">
      <c r="A22" s="2">
        <v>20</v>
      </c>
      <c r="B22" s="2">
        <f t="shared" ca="1" si="0"/>
        <v>0.74437144311672587</v>
      </c>
      <c r="C22" s="2" t="s">
        <v>227</v>
      </c>
      <c r="I22" s="31">
        <v>0.56999999999999995</v>
      </c>
      <c r="J22" s="32">
        <v>0.4066147859922179</v>
      </c>
      <c r="K22" s="32">
        <v>0.89917695473251025</v>
      </c>
    </row>
    <row r="23" spans="1:11" x14ac:dyDescent="0.2">
      <c r="A23" s="2">
        <v>21</v>
      </c>
      <c r="B23" s="2">
        <f t="shared" ca="1" si="0"/>
        <v>0.62773039850419732</v>
      </c>
      <c r="C23" s="2" t="s">
        <v>227</v>
      </c>
      <c r="I23" s="31">
        <v>0.6</v>
      </c>
      <c r="J23" s="32">
        <v>0.51750972762645919</v>
      </c>
      <c r="K23" s="32">
        <v>0.8559670781893004</v>
      </c>
    </row>
    <row r="24" spans="1:11" x14ac:dyDescent="0.2">
      <c r="A24" s="2">
        <v>22</v>
      </c>
      <c r="B24" s="2">
        <f t="shared" ca="1" si="0"/>
        <v>0.43728467338541399</v>
      </c>
      <c r="C24" s="2" t="s">
        <v>226</v>
      </c>
      <c r="I24" s="31">
        <v>0.63</v>
      </c>
      <c r="J24" s="32">
        <v>0.57198443579766534</v>
      </c>
      <c r="K24" s="32">
        <v>0.78395061728395066</v>
      </c>
    </row>
    <row r="25" spans="1:11" x14ac:dyDescent="0.2">
      <c r="A25" s="2">
        <v>23</v>
      </c>
      <c r="B25" s="2">
        <f t="shared" ca="1" si="0"/>
        <v>0.80965887416141002</v>
      </c>
      <c r="C25" s="2" t="s">
        <v>227</v>
      </c>
      <c r="I25" s="31">
        <v>0.66</v>
      </c>
      <c r="J25" s="32">
        <v>0.64396887159533078</v>
      </c>
      <c r="K25" s="32">
        <v>0.62139917695473246</v>
      </c>
    </row>
    <row r="26" spans="1:11" x14ac:dyDescent="0.2">
      <c r="A26" s="2">
        <v>24</v>
      </c>
      <c r="B26" s="2">
        <f t="shared" ca="1" si="0"/>
        <v>0.4964458091359264</v>
      </c>
      <c r="C26" s="2" t="s">
        <v>227</v>
      </c>
      <c r="I26" s="31">
        <v>0.69</v>
      </c>
      <c r="J26" s="32">
        <v>0.72709551656920079</v>
      </c>
      <c r="K26" s="32">
        <v>0.5420944558521561</v>
      </c>
    </row>
    <row r="27" spans="1:11" x14ac:dyDescent="0.2">
      <c r="A27" s="2">
        <v>25</v>
      </c>
      <c r="B27" s="2">
        <f t="shared" ca="1" si="0"/>
        <v>0.95685736293393786</v>
      </c>
      <c r="C27" s="2" t="s">
        <v>227</v>
      </c>
      <c r="I27" s="31">
        <v>0.72</v>
      </c>
      <c r="J27" s="32">
        <v>0.79182879377431903</v>
      </c>
      <c r="K27" s="32">
        <v>0.43621399176954734</v>
      </c>
    </row>
    <row r="28" spans="1:11" x14ac:dyDescent="0.2">
      <c r="A28" s="2">
        <v>26</v>
      </c>
      <c r="B28" s="2">
        <f t="shared" ca="1" si="0"/>
        <v>0.61776014433247972</v>
      </c>
      <c r="C28" s="2" t="s">
        <v>227</v>
      </c>
      <c r="I28" s="31">
        <v>0.75</v>
      </c>
      <c r="J28" s="32">
        <v>0.84795321637426901</v>
      </c>
      <c r="K28" s="32">
        <v>0.31416837782340862</v>
      </c>
    </row>
    <row r="29" spans="1:11" x14ac:dyDescent="0.2">
      <c r="A29" s="2">
        <v>27</v>
      </c>
      <c r="B29" s="2">
        <f t="shared" ca="1" si="0"/>
        <v>0.50126178977716829</v>
      </c>
      <c r="C29" s="2" t="s">
        <v>226</v>
      </c>
      <c r="I29" s="31">
        <v>0.78</v>
      </c>
      <c r="J29" s="32">
        <v>0.88326848249027234</v>
      </c>
      <c r="K29" s="32">
        <v>0.21193415637860083</v>
      </c>
    </row>
    <row r="30" spans="1:11" x14ac:dyDescent="0.2">
      <c r="A30" s="2">
        <v>28</v>
      </c>
      <c r="B30" s="2">
        <f t="shared" ca="1" si="0"/>
        <v>0.82007985703837882</v>
      </c>
      <c r="C30" s="2" t="s">
        <v>227</v>
      </c>
      <c r="I30" s="31">
        <v>0.81</v>
      </c>
      <c r="J30" s="32">
        <v>0.92412451361867709</v>
      </c>
      <c r="K30" s="32">
        <v>0.13786008230452676</v>
      </c>
    </row>
    <row r="31" spans="1:11" x14ac:dyDescent="0.2">
      <c r="A31" s="2">
        <v>29</v>
      </c>
      <c r="B31" s="2">
        <f t="shared" ca="1" si="0"/>
        <v>0.6432909811388946</v>
      </c>
      <c r="C31" s="2" t="s">
        <v>226</v>
      </c>
      <c r="I31" s="31">
        <v>0.84</v>
      </c>
      <c r="J31" s="32">
        <v>0.93579766536964981</v>
      </c>
      <c r="K31" s="32">
        <v>9.6707818930041156E-2</v>
      </c>
    </row>
    <row r="32" spans="1:11" x14ac:dyDescent="0.2">
      <c r="A32" s="2">
        <v>30</v>
      </c>
      <c r="B32" s="2">
        <f t="shared" ca="1" si="0"/>
        <v>0.70133925493595317</v>
      </c>
      <c r="C32" s="2" t="s">
        <v>227</v>
      </c>
      <c r="I32" s="31">
        <v>0.87</v>
      </c>
      <c r="J32" s="32">
        <v>0.95914396887159536</v>
      </c>
      <c r="K32" s="32">
        <v>3.4979423868312758E-2</v>
      </c>
    </row>
    <row r="33" spans="1:11" x14ac:dyDescent="0.2">
      <c r="A33" s="2">
        <v>31</v>
      </c>
      <c r="B33" s="2">
        <f t="shared" ca="1" si="0"/>
        <v>0.64260309783009917</v>
      </c>
      <c r="C33" s="2" t="s">
        <v>227</v>
      </c>
      <c r="I33" s="31">
        <v>0.9</v>
      </c>
      <c r="J33" s="32">
        <v>0.99027237354085607</v>
      </c>
      <c r="K33" s="32">
        <v>2.2633744855967079E-2</v>
      </c>
    </row>
    <row r="34" spans="1:11" x14ac:dyDescent="0.2">
      <c r="A34" s="2">
        <v>32</v>
      </c>
      <c r="B34" s="2">
        <f t="shared" ca="1" si="0"/>
        <v>0.70024212399757857</v>
      </c>
      <c r="C34" s="2" t="s">
        <v>226</v>
      </c>
      <c r="I34" s="31">
        <v>0.93</v>
      </c>
      <c r="J34" s="32">
        <v>0.98832684824902728</v>
      </c>
      <c r="K34" s="32">
        <v>1.2345679012345678E-2</v>
      </c>
    </row>
    <row r="35" spans="1:11" x14ac:dyDescent="0.2">
      <c r="A35" s="2">
        <v>33</v>
      </c>
      <c r="B35" s="2">
        <f t="shared" ca="1" si="0"/>
        <v>0.70327863480761299</v>
      </c>
      <c r="C35" s="2" t="s">
        <v>226</v>
      </c>
      <c r="I35" s="31">
        <v>0.96</v>
      </c>
      <c r="J35" s="32">
        <v>0.99610136452241715</v>
      </c>
      <c r="K35" s="32">
        <v>2.0533880903490761E-3</v>
      </c>
    </row>
    <row r="36" spans="1:11" x14ac:dyDescent="0.2">
      <c r="A36" s="2">
        <v>34</v>
      </c>
      <c r="B36" s="2">
        <f t="shared" ca="1" si="0"/>
        <v>0.48539902721012518</v>
      </c>
      <c r="C36" s="2" t="s">
        <v>226</v>
      </c>
      <c r="I36" s="31">
        <v>0.99</v>
      </c>
      <c r="J36" s="32">
        <v>0.99805068226120852</v>
      </c>
      <c r="K36" s="32">
        <v>2.0533880903490761E-3</v>
      </c>
    </row>
    <row r="37" spans="1:11" x14ac:dyDescent="0.2">
      <c r="A37" s="2">
        <v>35</v>
      </c>
      <c r="B37" s="2">
        <f t="shared" ca="1" si="0"/>
        <v>0.67274996278312882</v>
      </c>
      <c r="C37" s="2" t="s">
        <v>227</v>
      </c>
      <c r="I37" s="31"/>
    </row>
    <row r="38" spans="1:11" x14ac:dyDescent="0.2">
      <c r="A38" s="2">
        <v>36</v>
      </c>
      <c r="B38" s="2">
        <f t="shared" ca="1" si="0"/>
        <v>0.77611952248267801</v>
      </c>
      <c r="C38" s="2" t="s">
        <v>226</v>
      </c>
    </row>
    <row r="39" spans="1:11" x14ac:dyDescent="0.2">
      <c r="A39" s="2">
        <v>37</v>
      </c>
      <c r="B39" s="2">
        <f t="shared" ca="1" si="0"/>
        <v>0.89440434854075312</v>
      </c>
      <c r="C39" s="2" t="s">
        <v>226</v>
      </c>
    </row>
    <row r="40" spans="1:11" x14ac:dyDescent="0.2">
      <c r="A40" s="2">
        <v>38</v>
      </c>
      <c r="B40" s="2">
        <f t="shared" ca="1" si="0"/>
        <v>0.60768516596015754</v>
      </c>
      <c r="C40" s="2" t="s">
        <v>227</v>
      </c>
    </row>
    <row r="41" spans="1:11" x14ac:dyDescent="0.2">
      <c r="A41" s="2">
        <v>39</v>
      </c>
      <c r="B41" s="2">
        <f t="shared" ca="1" si="0"/>
        <v>0.53306003623300835</v>
      </c>
      <c r="C41" s="2" t="s">
        <v>226</v>
      </c>
    </row>
    <row r="42" spans="1:11" x14ac:dyDescent="0.2">
      <c r="A42" s="2">
        <v>40</v>
      </c>
      <c r="B42" s="2">
        <f t="shared" ca="1" si="0"/>
        <v>0.5165156248514694</v>
      </c>
      <c r="C42" s="2" t="s">
        <v>227</v>
      </c>
    </row>
    <row r="43" spans="1:11" x14ac:dyDescent="0.2">
      <c r="A43" s="2">
        <v>41</v>
      </c>
      <c r="B43" s="2">
        <f t="shared" ca="1" si="0"/>
        <v>0.47405596115010057</v>
      </c>
      <c r="C43" s="2" t="s">
        <v>226</v>
      </c>
    </row>
    <row r="44" spans="1:11" x14ac:dyDescent="0.2">
      <c r="A44" s="2">
        <v>42</v>
      </c>
      <c r="B44" s="2">
        <f t="shared" ca="1" si="0"/>
        <v>0.68316772531478587</v>
      </c>
      <c r="C44" s="2" t="s">
        <v>226</v>
      </c>
    </row>
    <row r="45" spans="1:11" x14ac:dyDescent="0.2">
      <c r="A45" s="2">
        <v>43</v>
      </c>
      <c r="B45" s="2">
        <f t="shared" ca="1" si="0"/>
        <v>0.62596269921288972</v>
      </c>
      <c r="C45" s="2" t="s">
        <v>226</v>
      </c>
    </row>
    <row r="46" spans="1:11" x14ac:dyDescent="0.2">
      <c r="A46" s="2">
        <v>44</v>
      </c>
      <c r="B46" s="2">
        <f t="shared" ca="1" si="0"/>
        <v>0.59409432829050846</v>
      </c>
      <c r="C46" s="2" t="s">
        <v>226</v>
      </c>
    </row>
    <row r="47" spans="1:11" x14ac:dyDescent="0.2">
      <c r="A47" s="2">
        <v>45</v>
      </c>
      <c r="B47" s="2">
        <f t="shared" ca="1" si="0"/>
        <v>0.48207676907711827</v>
      </c>
      <c r="C47" s="2" t="s">
        <v>226</v>
      </c>
    </row>
    <row r="48" spans="1:11" x14ac:dyDescent="0.2">
      <c r="A48" s="2">
        <v>46</v>
      </c>
      <c r="B48" s="2">
        <f t="shared" ca="1" si="0"/>
        <v>0.9135176895907432</v>
      </c>
      <c r="C48" s="2" t="s">
        <v>227</v>
      </c>
    </row>
    <row r="49" spans="1:3" x14ac:dyDescent="0.2">
      <c r="A49" s="2">
        <v>47</v>
      </c>
      <c r="B49" s="2">
        <f t="shared" ca="1" si="0"/>
        <v>0.78961000069484588</v>
      </c>
      <c r="C49" s="2" t="s">
        <v>227</v>
      </c>
    </row>
    <row r="50" spans="1:3" x14ac:dyDescent="0.2">
      <c r="A50" s="2">
        <v>48</v>
      </c>
      <c r="B50" s="2">
        <f t="shared" ca="1" si="0"/>
        <v>0.70480091969084335</v>
      </c>
      <c r="C50" s="2" t="s">
        <v>226</v>
      </c>
    </row>
    <row r="51" spans="1:3" x14ac:dyDescent="0.2">
      <c r="A51" s="2">
        <v>49</v>
      </c>
      <c r="B51" s="2">
        <f t="shared" ca="1" si="0"/>
        <v>0.7689098123638014</v>
      </c>
      <c r="C51" s="2" t="s">
        <v>227</v>
      </c>
    </row>
    <row r="52" spans="1:3" x14ac:dyDescent="0.2">
      <c r="A52" s="2">
        <v>50</v>
      </c>
      <c r="B52" s="2">
        <f t="shared" ca="1" si="0"/>
        <v>0.46410726997467555</v>
      </c>
      <c r="C52" s="2" t="s">
        <v>227</v>
      </c>
    </row>
    <row r="53" spans="1:3" x14ac:dyDescent="0.2">
      <c r="A53" s="2">
        <v>51</v>
      </c>
      <c r="B53" s="2">
        <f t="shared" ca="1" si="0"/>
        <v>0.7416427517843851</v>
      </c>
      <c r="C53" s="2" t="s">
        <v>227</v>
      </c>
    </row>
    <row r="54" spans="1:3" x14ac:dyDescent="0.2">
      <c r="A54" s="2">
        <v>52</v>
      </c>
      <c r="B54" s="2">
        <f t="shared" ca="1" si="0"/>
        <v>0.59915447969456315</v>
      </c>
      <c r="C54" s="2" t="s">
        <v>226</v>
      </c>
    </row>
    <row r="55" spans="1:3" x14ac:dyDescent="0.2">
      <c r="A55" s="2">
        <v>53</v>
      </c>
      <c r="B55" s="2">
        <f t="shared" ca="1" si="0"/>
        <v>0.59653488803455379</v>
      </c>
      <c r="C55" s="2" t="s">
        <v>226</v>
      </c>
    </row>
    <row r="56" spans="1:3" x14ac:dyDescent="0.2">
      <c r="A56" s="2">
        <v>54</v>
      </c>
      <c r="B56" s="2">
        <f t="shared" ca="1" si="0"/>
        <v>0.59585328581251584</v>
      </c>
      <c r="C56" s="2" t="s">
        <v>227</v>
      </c>
    </row>
    <row r="57" spans="1:3" x14ac:dyDescent="0.2">
      <c r="A57" s="2">
        <v>55</v>
      </c>
      <c r="B57" s="2">
        <f t="shared" ca="1" si="0"/>
        <v>0.89733662086797117</v>
      </c>
      <c r="C57" s="2" t="s">
        <v>227</v>
      </c>
    </row>
    <row r="58" spans="1:3" x14ac:dyDescent="0.2">
      <c r="A58" s="2">
        <v>56</v>
      </c>
      <c r="B58" s="2">
        <f t="shared" ca="1" si="0"/>
        <v>0.70055673026076226</v>
      </c>
      <c r="C58" s="2" t="s">
        <v>227</v>
      </c>
    </row>
    <row r="59" spans="1:3" x14ac:dyDescent="0.2">
      <c r="A59" s="2">
        <v>57</v>
      </c>
      <c r="B59" s="2">
        <f t="shared" ca="1" si="0"/>
        <v>0.53616983061739776</v>
      </c>
      <c r="C59" s="2" t="s">
        <v>226</v>
      </c>
    </row>
    <row r="60" spans="1:3" x14ac:dyDescent="0.2">
      <c r="A60" s="2">
        <v>58</v>
      </c>
      <c r="B60" s="2">
        <f t="shared" ca="1" si="0"/>
        <v>0.72872082192435728</v>
      </c>
      <c r="C60" s="2" t="s">
        <v>227</v>
      </c>
    </row>
    <row r="61" spans="1:3" x14ac:dyDescent="0.2">
      <c r="A61" s="2">
        <v>59</v>
      </c>
      <c r="B61" s="2">
        <f t="shared" ca="1" si="0"/>
        <v>0.71713553431569543</v>
      </c>
      <c r="C61" s="2" t="s">
        <v>227</v>
      </c>
    </row>
    <row r="62" spans="1:3" x14ac:dyDescent="0.2">
      <c r="A62" s="2">
        <v>60</v>
      </c>
      <c r="B62" s="2">
        <f t="shared" ca="1" si="0"/>
        <v>0.60238677094828608</v>
      </c>
      <c r="C62" s="2" t="s">
        <v>226</v>
      </c>
    </row>
    <row r="63" spans="1:3" x14ac:dyDescent="0.2">
      <c r="A63" s="2">
        <v>61</v>
      </c>
      <c r="B63" s="2">
        <f t="shared" ca="1" si="0"/>
        <v>0.77139415247426091</v>
      </c>
      <c r="C63" s="2" t="s">
        <v>226</v>
      </c>
    </row>
    <row r="64" spans="1:3" x14ac:dyDescent="0.2">
      <c r="A64" s="2">
        <v>62</v>
      </c>
      <c r="B64" s="2">
        <f t="shared" ca="1" si="0"/>
        <v>0.53042523765889182</v>
      </c>
      <c r="C64" s="2" t="s">
        <v>226</v>
      </c>
    </row>
    <row r="65" spans="1:3" x14ac:dyDescent="0.2">
      <c r="A65" s="2">
        <v>63</v>
      </c>
      <c r="B65" s="2">
        <f t="shared" ca="1" si="0"/>
        <v>0.69348952406324882</v>
      </c>
      <c r="C65" s="2" t="s">
        <v>227</v>
      </c>
    </row>
    <row r="66" spans="1:3" x14ac:dyDescent="0.2">
      <c r="A66" s="2">
        <v>64</v>
      </c>
      <c r="B66" s="2">
        <f t="shared" ca="1" si="0"/>
        <v>0.47062137255807712</v>
      </c>
      <c r="C66" s="2" t="s">
        <v>227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0.73972329152624128</v>
      </c>
      <c r="C67" s="2" t="s">
        <v>227</v>
      </c>
    </row>
    <row r="68" spans="1:3" x14ac:dyDescent="0.2">
      <c r="A68" s="2">
        <v>66</v>
      </c>
      <c r="B68" s="2">
        <f t="shared" ca="1" si="1"/>
        <v>0.82811649086210992</v>
      </c>
      <c r="C68" s="2" t="s">
        <v>227</v>
      </c>
    </row>
    <row r="69" spans="1:3" x14ac:dyDescent="0.2">
      <c r="A69" s="2">
        <v>67</v>
      </c>
      <c r="B69" s="2">
        <f t="shared" ca="1" si="1"/>
        <v>0.48072866650347335</v>
      </c>
      <c r="C69" s="2" t="s">
        <v>227</v>
      </c>
    </row>
    <row r="70" spans="1:3" x14ac:dyDescent="0.2">
      <c r="A70" s="2">
        <v>68</v>
      </c>
      <c r="B70" s="2">
        <f t="shared" ca="1" si="1"/>
        <v>0.6693311680182803</v>
      </c>
      <c r="C70" s="2" t="s">
        <v>226</v>
      </c>
    </row>
    <row r="71" spans="1:3" x14ac:dyDescent="0.2">
      <c r="A71" s="2">
        <v>69</v>
      </c>
      <c r="B71" s="2">
        <f t="shared" ca="1" si="1"/>
        <v>0.69410907666587851</v>
      </c>
      <c r="C71" s="2" t="s">
        <v>226</v>
      </c>
    </row>
    <row r="72" spans="1:3" x14ac:dyDescent="0.2">
      <c r="A72" s="2">
        <v>70</v>
      </c>
      <c r="B72" s="2">
        <f t="shared" ca="1" si="1"/>
        <v>0.83247188040248621</v>
      </c>
      <c r="C72" s="2" t="s">
        <v>226</v>
      </c>
    </row>
    <row r="73" spans="1:3" x14ac:dyDescent="0.2">
      <c r="A73" s="2">
        <v>71</v>
      </c>
      <c r="B73" s="2">
        <f t="shared" ca="1" si="1"/>
        <v>0.55749611327420701</v>
      </c>
      <c r="C73" s="2" t="s">
        <v>226</v>
      </c>
    </row>
    <row r="74" spans="1:3" x14ac:dyDescent="0.2">
      <c r="A74" s="2">
        <v>72</v>
      </c>
      <c r="B74" s="2">
        <f t="shared" ca="1" si="1"/>
        <v>0.83208570602596854</v>
      </c>
      <c r="C74" s="2" t="s">
        <v>226</v>
      </c>
    </row>
    <row r="75" spans="1:3" x14ac:dyDescent="0.2">
      <c r="A75" s="2">
        <v>73</v>
      </c>
      <c r="B75" s="2">
        <f t="shared" ca="1" si="1"/>
        <v>0.74598055216110737</v>
      </c>
      <c r="C75" s="2" t="s">
        <v>227</v>
      </c>
    </row>
    <row r="76" spans="1:3" x14ac:dyDescent="0.2">
      <c r="A76" s="2">
        <v>74</v>
      </c>
      <c r="B76" s="2">
        <f t="shared" ca="1" si="1"/>
        <v>0.82094169519980098</v>
      </c>
      <c r="C76" s="2" t="s">
        <v>227</v>
      </c>
    </row>
    <row r="77" spans="1:3" x14ac:dyDescent="0.2">
      <c r="A77" s="2">
        <v>75</v>
      </c>
      <c r="B77" s="2">
        <f t="shared" ca="1" si="1"/>
        <v>0.59390527699184881</v>
      </c>
      <c r="C77" s="2" t="s">
        <v>227</v>
      </c>
    </row>
    <row r="78" spans="1:3" x14ac:dyDescent="0.2">
      <c r="A78" s="2">
        <v>76</v>
      </c>
      <c r="B78" s="2">
        <f t="shared" ca="1" si="1"/>
        <v>0.77033118260458966</v>
      </c>
      <c r="C78" s="2" t="s">
        <v>227</v>
      </c>
    </row>
    <row r="79" spans="1:3" x14ac:dyDescent="0.2">
      <c r="A79" s="2">
        <v>77</v>
      </c>
      <c r="B79" s="2">
        <f t="shared" ca="1" si="1"/>
        <v>0.55079062983901161</v>
      </c>
      <c r="C79" s="2" t="s">
        <v>226</v>
      </c>
    </row>
    <row r="80" spans="1:3" x14ac:dyDescent="0.2">
      <c r="A80" s="2">
        <v>78</v>
      </c>
      <c r="B80" s="2">
        <f t="shared" ca="1" si="1"/>
        <v>0.71071119898677337</v>
      </c>
      <c r="C80" s="2" t="s">
        <v>227</v>
      </c>
    </row>
    <row r="81" spans="1:3" x14ac:dyDescent="0.2">
      <c r="A81" s="2">
        <v>79</v>
      </c>
      <c r="B81" s="2">
        <f t="shared" ca="1" si="1"/>
        <v>0.77970851658338824</v>
      </c>
      <c r="C81" s="2" t="s">
        <v>226</v>
      </c>
    </row>
    <row r="82" spans="1:3" x14ac:dyDescent="0.2">
      <c r="A82" s="2">
        <v>80</v>
      </c>
      <c r="B82" s="2">
        <f t="shared" ca="1" si="1"/>
        <v>0.67353446069229039</v>
      </c>
      <c r="C82" s="2" t="s">
        <v>227</v>
      </c>
    </row>
    <row r="83" spans="1:3" x14ac:dyDescent="0.2">
      <c r="A83" s="2">
        <v>81</v>
      </c>
      <c r="B83" s="2">
        <f t="shared" ca="1" si="1"/>
        <v>0.42508596370335833</v>
      </c>
      <c r="C83" s="2" t="s">
        <v>227</v>
      </c>
    </row>
    <row r="84" spans="1:3" x14ac:dyDescent="0.2">
      <c r="A84" s="2">
        <v>82</v>
      </c>
      <c r="B84" s="2">
        <f t="shared" ca="1" si="1"/>
        <v>0.76581838755112486</v>
      </c>
      <c r="C84" s="2" t="s">
        <v>226</v>
      </c>
    </row>
    <row r="85" spans="1:3" x14ac:dyDescent="0.2">
      <c r="A85" s="2">
        <v>83</v>
      </c>
      <c r="B85" s="2">
        <f t="shared" ca="1" si="1"/>
        <v>0.66578001380414842</v>
      </c>
      <c r="C85" s="2" t="s">
        <v>227</v>
      </c>
    </row>
    <row r="86" spans="1:3" x14ac:dyDescent="0.2">
      <c r="A86" s="2">
        <v>84</v>
      </c>
      <c r="B86" s="2">
        <f t="shared" ca="1" si="1"/>
        <v>0.84668030034531006</v>
      </c>
      <c r="C86" s="2" t="s">
        <v>227</v>
      </c>
    </row>
    <row r="87" spans="1:3" x14ac:dyDescent="0.2">
      <c r="A87" s="2">
        <v>85</v>
      </c>
      <c r="B87" s="2">
        <f t="shared" ca="1" si="1"/>
        <v>0.56637161627231769</v>
      </c>
      <c r="C87" s="2" t="s">
        <v>226</v>
      </c>
    </row>
    <row r="88" spans="1:3" x14ac:dyDescent="0.2">
      <c r="A88" s="2">
        <v>86</v>
      </c>
      <c r="B88" s="2">
        <f t="shared" ca="1" si="1"/>
        <v>0.87612404022294665</v>
      </c>
      <c r="C88" s="2" t="s">
        <v>226</v>
      </c>
    </row>
    <row r="89" spans="1:3" x14ac:dyDescent="0.2">
      <c r="A89" s="2">
        <v>87</v>
      </c>
      <c r="B89" s="2">
        <f t="shared" ca="1" si="1"/>
        <v>0.6661726869961544</v>
      </c>
      <c r="C89" s="2" t="s">
        <v>226</v>
      </c>
    </row>
    <row r="90" spans="1:3" x14ac:dyDescent="0.2">
      <c r="A90" s="2">
        <v>88</v>
      </c>
      <c r="B90" s="2">
        <f t="shared" ca="1" si="1"/>
        <v>0.58802462976300696</v>
      </c>
      <c r="C90" s="2" t="s">
        <v>226</v>
      </c>
    </row>
    <row r="91" spans="1:3" x14ac:dyDescent="0.2">
      <c r="A91" s="2">
        <v>89</v>
      </c>
      <c r="B91" s="2">
        <f t="shared" ca="1" si="1"/>
        <v>0.63267612513793492</v>
      </c>
      <c r="C91" s="2" t="s">
        <v>226</v>
      </c>
    </row>
    <row r="92" spans="1:3" x14ac:dyDescent="0.2">
      <c r="A92" s="2">
        <v>90</v>
      </c>
      <c r="B92" s="2">
        <f t="shared" ca="1" si="1"/>
        <v>0.75665439638932697</v>
      </c>
      <c r="C92" s="2" t="s">
        <v>227</v>
      </c>
    </row>
    <row r="93" spans="1:3" x14ac:dyDescent="0.2">
      <c r="A93" s="2">
        <v>91</v>
      </c>
      <c r="B93" s="2">
        <f t="shared" ca="1" si="1"/>
        <v>0.68761634431078567</v>
      </c>
      <c r="C93" s="2" t="s">
        <v>227</v>
      </c>
    </row>
    <row r="94" spans="1:3" x14ac:dyDescent="0.2">
      <c r="A94" s="2">
        <v>92</v>
      </c>
      <c r="B94" s="2">
        <f t="shared" ca="1" si="1"/>
        <v>0.1450230428035007</v>
      </c>
      <c r="C94" s="2" t="s">
        <v>226</v>
      </c>
    </row>
    <row r="95" spans="1:3" x14ac:dyDescent="0.2">
      <c r="A95" s="2">
        <v>93</v>
      </c>
      <c r="B95" s="2">
        <f t="shared" ca="1" si="1"/>
        <v>0.42465551538615093</v>
      </c>
      <c r="C95" s="2" t="s">
        <v>227</v>
      </c>
    </row>
    <row r="96" spans="1:3" x14ac:dyDescent="0.2">
      <c r="A96" s="2">
        <v>94</v>
      </c>
      <c r="B96" s="2">
        <f t="shared" ca="1" si="1"/>
        <v>0.60778797805132545</v>
      </c>
      <c r="C96" s="2" t="s">
        <v>227</v>
      </c>
    </row>
    <row r="97" spans="1:3" x14ac:dyDescent="0.2">
      <c r="A97" s="2">
        <v>95</v>
      </c>
      <c r="B97" s="2">
        <f t="shared" ca="1" si="1"/>
        <v>0.80188485304916446</v>
      </c>
      <c r="C97" s="2" t="s">
        <v>226</v>
      </c>
    </row>
    <row r="98" spans="1:3" x14ac:dyDescent="0.2">
      <c r="A98" s="2">
        <v>96</v>
      </c>
      <c r="B98" s="2">
        <f t="shared" ca="1" si="1"/>
        <v>0.51743464693486585</v>
      </c>
      <c r="C98" s="2" t="s">
        <v>226</v>
      </c>
    </row>
    <row r="99" spans="1:3" x14ac:dyDescent="0.2">
      <c r="A99" s="2">
        <v>97</v>
      </c>
      <c r="B99" s="2">
        <f t="shared" ca="1" si="1"/>
        <v>0.83026141542505227</v>
      </c>
      <c r="C99" s="2" t="s">
        <v>227</v>
      </c>
    </row>
    <row r="100" spans="1:3" x14ac:dyDescent="0.2">
      <c r="A100" s="2">
        <v>98</v>
      </c>
      <c r="B100" s="2">
        <f t="shared" ca="1" si="1"/>
        <v>0.56641764190338084</v>
      </c>
      <c r="C100" s="2" t="s">
        <v>227</v>
      </c>
    </row>
    <row r="101" spans="1:3" x14ac:dyDescent="0.2">
      <c r="A101" s="2">
        <v>99</v>
      </c>
      <c r="B101" s="2">
        <f t="shared" ca="1" si="1"/>
        <v>0.63335856727925566</v>
      </c>
      <c r="C101" s="2" t="s">
        <v>227</v>
      </c>
    </row>
    <row r="102" spans="1:3" x14ac:dyDescent="0.2">
      <c r="A102" s="2">
        <v>100</v>
      </c>
      <c r="B102" s="2">
        <f t="shared" ca="1" si="1"/>
        <v>0.53804142874857386</v>
      </c>
      <c r="C102" s="2" t="s">
        <v>226</v>
      </c>
    </row>
    <row r="103" spans="1:3" x14ac:dyDescent="0.2">
      <c r="A103" s="2">
        <v>101</v>
      </c>
      <c r="B103" s="2">
        <f t="shared" ca="1" si="1"/>
        <v>0.5714556765758767</v>
      </c>
      <c r="C103" s="2" t="s">
        <v>227</v>
      </c>
    </row>
    <row r="104" spans="1:3" x14ac:dyDescent="0.2">
      <c r="A104" s="2">
        <v>102</v>
      </c>
      <c r="B104" s="2">
        <f t="shared" ca="1" si="1"/>
        <v>0.47245972334414088</v>
      </c>
      <c r="C104" s="2" t="s">
        <v>226</v>
      </c>
    </row>
    <row r="105" spans="1:3" x14ac:dyDescent="0.2">
      <c r="A105" s="2">
        <v>103</v>
      </c>
      <c r="B105" s="2">
        <f t="shared" ca="1" si="1"/>
        <v>0.63129773214003393</v>
      </c>
      <c r="C105" s="2" t="s">
        <v>226</v>
      </c>
    </row>
    <row r="106" spans="1:3" x14ac:dyDescent="0.2">
      <c r="A106" s="2">
        <v>104</v>
      </c>
      <c r="B106" s="2">
        <f t="shared" ca="1" si="1"/>
        <v>0.43345363481715615</v>
      </c>
      <c r="C106" s="2" t="s">
        <v>226</v>
      </c>
    </row>
    <row r="107" spans="1:3" x14ac:dyDescent="0.2">
      <c r="A107" s="2">
        <v>105</v>
      </c>
      <c r="B107" s="2">
        <f t="shared" ca="1" si="1"/>
        <v>0.71232653782589717</v>
      </c>
      <c r="C107" s="2" t="s">
        <v>227</v>
      </c>
    </row>
    <row r="108" spans="1:3" x14ac:dyDescent="0.2">
      <c r="A108" s="2">
        <v>106</v>
      </c>
      <c r="B108" s="2">
        <f t="shared" ca="1" si="1"/>
        <v>0.42599055163717037</v>
      </c>
      <c r="C108" s="2" t="s">
        <v>226</v>
      </c>
    </row>
    <row r="109" spans="1:3" x14ac:dyDescent="0.2">
      <c r="A109" s="2">
        <v>107</v>
      </c>
      <c r="B109" s="2">
        <f t="shared" ca="1" si="1"/>
        <v>0.61097149306093823</v>
      </c>
      <c r="C109" s="2" t="s">
        <v>226</v>
      </c>
    </row>
    <row r="110" spans="1:3" x14ac:dyDescent="0.2">
      <c r="A110" s="2">
        <v>108</v>
      </c>
      <c r="B110" s="2">
        <f t="shared" ca="1" si="1"/>
        <v>0.34611865576192929</v>
      </c>
      <c r="C110" s="2" t="s">
        <v>226</v>
      </c>
    </row>
    <row r="111" spans="1:3" x14ac:dyDescent="0.2">
      <c r="A111" s="2">
        <v>109</v>
      </c>
      <c r="B111" s="2">
        <f t="shared" ca="1" si="1"/>
        <v>0.75820947297473529</v>
      </c>
      <c r="C111" s="2" t="s">
        <v>226</v>
      </c>
    </row>
    <row r="112" spans="1:3" x14ac:dyDescent="0.2">
      <c r="A112" s="2">
        <v>110</v>
      </c>
      <c r="B112" s="2">
        <f t="shared" ca="1" si="1"/>
        <v>0.69782229390576445</v>
      </c>
      <c r="C112" s="2" t="s">
        <v>226</v>
      </c>
    </row>
    <row r="113" spans="1:3" x14ac:dyDescent="0.2">
      <c r="A113" s="2">
        <v>111</v>
      </c>
      <c r="B113" s="2">
        <f t="shared" ca="1" si="1"/>
        <v>0.73116111723245103</v>
      </c>
      <c r="C113" s="2" t="s">
        <v>227</v>
      </c>
    </row>
    <row r="114" spans="1:3" x14ac:dyDescent="0.2">
      <c r="A114" s="2">
        <v>112</v>
      </c>
      <c r="B114" s="2">
        <f t="shared" ca="1" si="1"/>
        <v>0.68097157862569213</v>
      </c>
      <c r="C114" s="2" t="s">
        <v>226</v>
      </c>
    </row>
    <row r="115" spans="1:3" x14ac:dyDescent="0.2">
      <c r="A115" s="2">
        <v>113</v>
      </c>
      <c r="B115" s="2">
        <f t="shared" ca="1" si="1"/>
        <v>0.56147057949594448</v>
      </c>
      <c r="C115" s="2" t="s">
        <v>226</v>
      </c>
    </row>
    <row r="116" spans="1:3" x14ac:dyDescent="0.2">
      <c r="A116" s="2">
        <v>114</v>
      </c>
      <c r="B116" s="2">
        <f t="shared" ca="1" si="1"/>
        <v>0.45388382298302532</v>
      </c>
      <c r="C116" s="2" t="s">
        <v>226</v>
      </c>
    </row>
    <row r="117" spans="1:3" x14ac:dyDescent="0.2">
      <c r="A117" s="2">
        <v>115</v>
      </c>
      <c r="B117" s="2">
        <f t="shared" ca="1" si="1"/>
        <v>0.50365117005522109</v>
      </c>
      <c r="C117" s="2" t="s">
        <v>226</v>
      </c>
    </row>
    <row r="118" spans="1:3" x14ac:dyDescent="0.2">
      <c r="A118" s="2">
        <v>116</v>
      </c>
      <c r="B118" s="2">
        <f t="shared" ca="1" si="1"/>
        <v>0.68386497297337945</v>
      </c>
      <c r="C118" s="2" t="s">
        <v>226</v>
      </c>
    </row>
    <row r="119" spans="1:3" x14ac:dyDescent="0.2">
      <c r="A119" s="2">
        <v>117</v>
      </c>
      <c r="B119" s="2">
        <f t="shared" ca="1" si="1"/>
        <v>0.73388829687015888</v>
      </c>
      <c r="C119" s="2" t="s">
        <v>226</v>
      </c>
    </row>
    <row r="120" spans="1:3" x14ac:dyDescent="0.2">
      <c r="A120" s="2">
        <v>118</v>
      </c>
      <c r="B120" s="2">
        <f t="shared" ca="1" si="1"/>
        <v>0.69803489692244935</v>
      </c>
      <c r="C120" s="2" t="s">
        <v>226</v>
      </c>
    </row>
    <row r="121" spans="1:3" x14ac:dyDescent="0.2">
      <c r="A121" s="2">
        <v>119</v>
      </c>
      <c r="B121" s="2">
        <f t="shared" ca="1" si="1"/>
        <v>0.54144720331358498</v>
      </c>
      <c r="C121" s="2" t="s">
        <v>226</v>
      </c>
    </row>
    <row r="122" spans="1:3" x14ac:dyDescent="0.2">
      <c r="A122" s="2">
        <v>120</v>
      </c>
      <c r="B122" s="2">
        <f t="shared" ca="1" si="1"/>
        <v>0.76102826450084793</v>
      </c>
      <c r="C122" s="2" t="s">
        <v>227</v>
      </c>
    </row>
    <row r="123" spans="1:3" x14ac:dyDescent="0.2">
      <c r="A123" s="2">
        <v>121</v>
      </c>
      <c r="B123" s="2">
        <f t="shared" ca="1" si="1"/>
        <v>0.78643128151991193</v>
      </c>
      <c r="C123" s="2" t="s">
        <v>227</v>
      </c>
    </row>
    <row r="124" spans="1:3" x14ac:dyDescent="0.2">
      <c r="A124" s="2">
        <v>122</v>
      </c>
      <c r="B124" s="2">
        <f t="shared" ca="1" si="1"/>
        <v>0.84130717909425656</v>
      </c>
      <c r="C124" s="2" t="s">
        <v>226</v>
      </c>
    </row>
    <row r="125" spans="1:3" x14ac:dyDescent="0.2">
      <c r="A125" s="2">
        <v>123</v>
      </c>
      <c r="B125" s="2">
        <f t="shared" ca="1" si="1"/>
        <v>0.82079905105635664</v>
      </c>
      <c r="C125" s="2" t="s">
        <v>227</v>
      </c>
    </row>
    <row r="126" spans="1:3" x14ac:dyDescent="0.2">
      <c r="A126" s="2">
        <v>124</v>
      </c>
      <c r="B126" s="2">
        <f t="shared" ca="1" si="1"/>
        <v>0.72306161596815643</v>
      </c>
      <c r="C126" s="2" t="s">
        <v>227</v>
      </c>
    </row>
    <row r="127" spans="1:3" x14ac:dyDescent="0.2">
      <c r="A127" s="2">
        <v>125</v>
      </c>
      <c r="B127" s="2">
        <f t="shared" ca="1" si="1"/>
        <v>0.47709460308910229</v>
      </c>
      <c r="C127" s="2" t="s">
        <v>226</v>
      </c>
    </row>
    <row r="128" spans="1:3" x14ac:dyDescent="0.2">
      <c r="A128" s="2">
        <v>126</v>
      </c>
      <c r="B128" s="2">
        <f t="shared" ca="1" si="1"/>
        <v>0.61535296253547001</v>
      </c>
      <c r="C128" s="2" t="s">
        <v>226</v>
      </c>
    </row>
    <row r="129" spans="1:3" x14ac:dyDescent="0.2">
      <c r="A129" s="2">
        <v>127</v>
      </c>
      <c r="B129" s="2">
        <f t="shared" ca="1" si="1"/>
        <v>0.53899302705244767</v>
      </c>
      <c r="C129" s="2" t="s">
        <v>226</v>
      </c>
    </row>
    <row r="130" spans="1:3" x14ac:dyDescent="0.2">
      <c r="A130" s="2">
        <v>128</v>
      </c>
      <c r="B130" s="2">
        <f t="shared" ca="1" si="1"/>
        <v>0.62127487070245158</v>
      </c>
      <c r="C130" s="2" t="s">
        <v>226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0.59941551669346727</v>
      </c>
      <c r="C131" s="2" t="s">
        <v>226</v>
      </c>
    </row>
    <row r="132" spans="1:3" x14ac:dyDescent="0.2">
      <c r="A132" s="2">
        <v>130</v>
      </c>
      <c r="B132" s="2">
        <f t="shared" ca="1" si="2"/>
        <v>0.66239507354697325</v>
      </c>
      <c r="C132" s="2" t="s">
        <v>227</v>
      </c>
    </row>
    <row r="133" spans="1:3" x14ac:dyDescent="0.2">
      <c r="A133" s="2">
        <v>131</v>
      </c>
      <c r="B133" s="2">
        <f t="shared" ca="1" si="2"/>
        <v>0.81781652387386317</v>
      </c>
      <c r="C133" s="2" t="s">
        <v>227</v>
      </c>
    </row>
    <row r="134" spans="1:3" x14ac:dyDescent="0.2">
      <c r="A134" s="2">
        <v>132</v>
      </c>
      <c r="B134" s="2">
        <f t="shared" ca="1" si="2"/>
        <v>0.60409653870630886</v>
      </c>
      <c r="C134" s="2" t="s">
        <v>227</v>
      </c>
    </row>
    <row r="135" spans="1:3" x14ac:dyDescent="0.2">
      <c r="A135" s="2">
        <v>133</v>
      </c>
      <c r="B135" s="2">
        <f t="shared" ca="1" si="2"/>
        <v>0.75578039811439957</v>
      </c>
      <c r="C135" s="2" t="s">
        <v>227</v>
      </c>
    </row>
    <row r="136" spans="1:3" x14ac:dyDescent="0.2">
      <c r="A136" s="2">
        <v>134</v>
      </c>
      <c r="B136" s="2">
        <f t="shared" ca="1" si="2"/>
        <v>0.47746217292059112</v>
      </c>
      <c r="C136" s="2" t="s">
        <v>226</v>
      </c>
    </row>
    <row r="137" spans="1:3" x14ac:dyDescent="0.2">
      <c r="A137" s="2">
        <v>135</v>
      </c>
      <c r="B137" s="2">
        <f t="shared" ca="1" si="2"/>
        <v>0.76192184424212606</v>
      </c>
      <c r="C137" s="2" t="s">
        <v>227</v>
      </c>
    </row>
    <row r="138" spans="1:3" x14ac:dyDescent="0.2">
      <c r="A138" s="2">
        <v>136</v>
      </c>
      <c r="B138" s="2">
        <f t="shared" ca="1" si="2"/>
        <v>0.63126325264327188</v>
      </c>
      <c r="C138" s="2" t="s">
        <v>227</v>
      </c>
    </row>
    <row r="139" spans="1:3" x14ac:dyDescent="0.2">
      <c r="A139" s="2">
        <v>137</v>
      </c>
      <c r="B139" s="2">
        <f t="shared" ca="1" si="2"/>
        <v>0.49550900656846009</v>
      </c>
      <c r="C139" s="2" t="s">
        <v>226</v>
      </c>
    </row>
    <row r="140" spans="1:3" x14ac:dyDescent="0.2">
      <c r="A140" s="2">
        <v>138</v>
      </c>
      <c r="B140" s="2">
        <f t="shared" ca="1" si="2"/>
        <v>0.66008995820410798</v>
      </c>
      <c r="C140" s="2" t="s">
        <v>227</v>
      </c>
    </row>
    <row r="141" spans="1:3" x14ac:dyDescent="0.2">
      <c r="A141" s="2">
        <v>139</v>
      </c>
      <c r="B141" s="2">
        <f t="shared" ca="1" si="2"/>
        <v>0.65591276632208473</v>
      </c>
      <c r="C141" s="2" t="s">
        <v>226</v>
      </c>
    </row>
    <row r="142" spans="1:3" x14ac:dyDescent="0.2">
      <c r="A142" s="2">
        <v>140</v>
      </c>
      <c r="B142" s="2">
        <f t="shared" ca="1" si="2"/>
        <v>0.77105373826034718</v>
      </c>
      <c r="C142" s="2" t="s">
        <v>226</v>
      </c>
    </row>
    <row r="143" spans="1:3" x14ac:dyDescent="0.2">
      <c r="A143" s="2">
        <v>141</v>
      </c>
      <c r="B143" s="2">
        <f t="shared" ca="1" si="2"/>
        <v>0.64656860605750455</v>
      </c>
      <c r="C143" s="2" t="s">
        <v>226</v>
      </c>
    </row>
    <row r="144" spans="1:3" x14ac:dyDescent="0.2">
      <c r="A144" s="2">
        <v>142</v>
      </c>
      <c r="B144" s="2">
        <f t="shared" ca="1" si="2"/>
        <v>1.080781444241518</v>
      </c>
      <c r="C144" s="2" t="s">
        <v>227</v>
      </c>
    </row>
    <row r="145" spans="1:3" x14ac:dyDescent="0.2">
      <c r="A145" s="2">
        <v>143</v>
      </c>
      <c r="B145" s="2">
        <f t="shared" ca="1" si="2"/>
        <v>0.56729212940695017</v>
      </c>
      <c r="C145" s="2" t="s">
        <v>226</v>
      </c>
    </row>
    <row r="146" spans="1:3" x14ac:dyDescent="0.2">
      <c r="A146" s="2">
        <v>144</v>
      </c>
      <c r="B146" s="2">
        <f t="shared" ca="1" si="2"/>
        <v>0.7905855286798249</v>
      </c>
      <c r="C146" s="2" t="s">
        <v>227</v>
      </c>
    </row>
    <row r="147" spans="1:3" x14ac:dyDescent="0.2">
      <c r="A147" s="2">
        <v>145</v>
      </c>
      <c r="B147" s="2">
        <f t="shared" ca="1" si="2"/>
        <v>0.59487497881386198</v>
      </c>
      <c r="C147" s="2" t="s">
        <v>226</v>
      </c>
    </row>
    <row r="148" spans="1:3" x14ac:dyDescent="0.2">
      <c r="A148" s="2">
        <v>146</v>
      </c>
      <c r="B148" s="2">
        <f t="shared" ca="1" si="2"/>
        <v>0.7176131397916552</v>
      </c>
      <c r="C148" s="2" t="s">
        <v>226</v>
      </c>
    </row>
    <row r="149" spans="1:3" x14ac:dyDescent="0.2">
      <c r="A149" s="2">
        <v>147</v>
      </c>
      <c r="B149" s="2">
        <f t="shared" ca="1" si="2"/>
        <v>0.86452961399068473</v>
      </c>
      <c r="C149" s="2" t="s">
        <v>227</v>
      </c>
    </row>
    <row r="150" spans="1:3" x14ac:dyDescent="0.2">
      <c r="A150" s="2">
        <v>148</v>
      </c>
      <c r="B150" s="2">
        <f t="shared" ca="1" si="2"/>
        <v>0.5453080187908399</v>
      </c>
      <c r="C150" s="2" t="s">
        <v>226</v>
      </c>
    </row>
    <row r="151" spans="1:3" x14ac:dyDescent="0.2">
      <c r="A151" s="2">
        <v>149</v>
      </c>
      <c r="B151" s="2">
        <f t="shared" ca="1" si="2"/>
        <v>0.49705397905017484</v>
      </c>
      <c r="C151" s="2" t="s">
        <v>226</v>
      </c>
    </row>
    <row r="152" spans="1:3" x14ac:dyDescent="0.2">
      <c r="A152" s="2">
        <v>150</v>
      </c>
      <c r="B152" s="2">
        <f t="shared" ca="1" si="2"/>
        <v>0.7096107632701435</v>
      </c>
      <c r="C152" s="2" t="s">
        <v>226</v>
      </c>
    </row>
    <row r="153" spans="1:3" x14ac:dyDescent="0.2">
      <c r="A153" s="2">
        <v>151</v>
      </c>
      <c r="B153" s="2">
        <f t="shared" ca="1" si="2"/>
        <v>0.70386935902487247</v>
      </c>
      <c r="C153" s="2" t="s">
        <v>227</v>
      </c>
    </row>
    <row r="154" spans="1:3" x14ac:dyDescent="0.2">
      <c r="A154" s="2">
        <v>152</v>
      </c>
      <c r="B154" s="2">
        <f t="shared" ca="1" si="2"/>
        <v>0.70155779826004327</v>
      </c>
      <c r="C154" s="2" t="s">
        <v>227</v>
      </c>
    </row>
    <row r="155" spans="1:3" x14ac:dyDescent="0.2">
      <c r="A155" s="2">
        <v>153</v>
      </c>
      <c r="B155" s="2">
        <f t="shared" ca="1" si="2"/>
        <v>0.6943119818622171</v>
      </c>
      <c r="C155" s="2" t="s">
        <v>227</v>
      </c>
    </row>
    <row r="156" spans="1:3" x14ac:dyDescent="0.2">
      <c r="A156" s="2">
        <v>154</v>
      </c>
      <c r="B156" s="2">
        <f t="shared" ca="1" si="2"/>
        <v>0.66356855471474929</v>
      </c>
      <c r="C156" s="2" t="s">
        <v>226</v>
      </c>
    </row>
    <row r="157" spans="1:3" x14ac:dyDescent="0.2">
      <c r="A157" s="2">
        <v>155</v>
      </c>
      <c r="B157" s="2">
        <f t="shared" ca="1" si="2"/>
        <v>0.82083644570660319</v>
      </c>
      <c r="C157" s="2" t="s">
        <v>227</v>
      </c>
    </row>
    <row r="158" spans="1:3" x14ac:dyDescent="0.2">
      <c r="A158" s="2">
        <v>156</v>
      </c>
      <c r="B158" s="2">
        <f t="shared" ca="1" si="2"/>
        <v>0.72148086393857835</v>
      </c>
      <c r="C158" s="2" t="s">
        <v>227</v>
      </c>
    </row>
    <row r="159" spans="1:3" x14ac:dyDescent="0.2">
      <c r="A159" s="2">
        <v>157</v>
      </c>
      <c r="B159" s="2">
        <f t="shared" ca="1" si="2"/>
        <v>0.45423897036933991</v>
      </c>
      <c r="C159" s="2" t="s">
        <v>226</v>
      </c>
    </row>
    <row r="160" spans="1:3" x14ac:dyDescent="0.2">
      <c r="A160" s="2">
        <v>158</v>
      </c>
      <c r="B160" s="2">
        <f t="shared" ca="1" si="2"/>
        <v>0.63310855393912002</v>
      </c>
      <c r="C160" s="2" t="s">
        <v>226</v>
      </c>
    </row>
    <row r="161" spans="1:3" x14ac:dyDescent="0.2">
      <c r="A161" s="2">
        <v>159</v>
      </c>
      <c r="B161" s="2">
        <f t="shared" ca="1" si="2"/>
        <v>0.66081168204216933</v>
      </c>
      <c r="C161" s="2" t="s">
        <v>227</v>
      </c>
    </row>
    <row r="162" spans="1:3" x14ac:dyDescent="0.2">
      <c r="A162" s="2">
        <v>160</v>
      </c>
      <c r="B162" s="2">
        <f t="shared" ca="1" si="2"/>
        <v>0.64667472153568617</v>
      </c>
      <c r="C162" s="2" t="s">
        <v>227</v>
      </c>
    </row>
    <row r="163" spans="1:3" x14ac:dyDescent="0.2">
      <c r="A163" s="2">
        <v>161</v>
      </c>
      <c r="B163" s="2">
        <f t="shared" ca="1" si="2"/>
        <v>0.64645339945314695</v>
      </c>
      <c r="C163" s="2" t="s">
        <v>227</v>
      </c>
    </row>
    <row r="164" spans="1:3" x14ac:dyDescent="0.2">
      <c r="A164" s="2">
        <v>162</v>
      </c>
      <c r="B164" s="2">
        <f t="shared" ca="1" si="2"/>
        <v>0.51009199492494917</v>
      </c>
      <c r="C164" s="2" t="s">
        <v>226</v>
      </c>
    </row>
    <row r="165" spans="1:3" x14ac:dyDescent="0.2">
      <c r="A165" s="2">
        <v>163</v>
      </c>
      <c r="B165" s="2">
        <f t="shared" ca="1" si="2"/>
        <v>0.7975287511866842</v>
      </c>
      <c r="C165" s="2" t="s">
        <v>226</v>
      </c>
    </row>
    <row r="166" spans="1:3" x14ac:dyDescent="0.2">
      <c r="A166" s="2">
        <v>164</v>
      </c>
      <c r="B166" s="2">
        <f t="shared" ca="1" si="2"/>
        <v>0.49856129529737225</v>
      </c>
      <c r="C166" s="2" t="s">
        <v>226</v>
      </c>
    </row>
    <row r="167" spans="1:3" x14ac:dyDescent="0.2">
      <c r="A167" s="2">
        <v>165</v>
      </c>
      <c r="B167" s="2">
        <f t="shared" ca="1" si="2"/>
        <v>0.77859663386984446</v>
      </c>
      <c r="C167" s="2" t="s">
        <v>226</v>
      </c>
    </row>
    <row r="168" spans="1:3" x14ac:dyDescent="0.2">
      <c r="A168" s="2">
        <v>166</v>
      </c>
      <c r="B168" s="2">
        <f t="shared" ca="1" si="2"/>
        <v>0.7555831295108939</v>
      </c>
      <c r="C168" s="2" t="s">
        <v>227</v>
      </c>
    </row>
    <row r="169" spans="1:3" x14ac:dyDescent="0.2">
      <c r="A169" s="2">
        <v>167</v>
      </c>
      <c r="B169" s="2">
        <f t="shared" ca="1" si="2"/>
        <v>0.84330328807032662</v>
      </c>
      <c r="C169" s="2" t="s">
        <v>227</v>
      </c>
    </row>
    <row r="170" spans="1:3" x14ac:dyDescent="0.2">
      <c r="A170" s="2">
        <v>168</v>
      </c>
      <c r="B170" s="2">
        <f t="shared" ca="1" si="2"/>
        <v>0.71928541956031666</v>
      </c>
      <c r="C170" s="2" t="s">
        <v>227</v>
      </c>
    </row>
    <row r="171" spans="1:3" x14ac:dyDescent="0.2">
      <c r="A171" s="2">
        <v>169</v>
      </c>
      <c r="B171" s="2">
        <f t="shared" ca="1" si="2"/>
        <v>0.58637201179389953</v>
      </c>
      <c r="C171" s="2" t="s">
        <v>226</v>
      </c>
    </row>
    <row r="172" spans="1:3" x14ac:dyDescent="0.2">
      <c r="A172" s="2">
        <v>170</v>
      </c>
      <c r="B172" s="2">
        <f t="shared" ca="1" si="2"/>
        <v>0.57497567586346554</v>
      </c>
      <c r="C172" s="2" t="s">
        <v>226</v>
      </c>
    </row>
    <row r="173" spans="1:3" x14ac:dyDescent="0.2">
      <c r="A173" s="2">
        <v>171</v>
      </c>
      <c r="B173" s="2">
        <f t="shared" ca="1" si="2"/>
        <v>0.57988064961219643</v>
      </c>
      <c r="C173" s="2" t="s">
        <v>227</v>
      </c>
    </row>
    <row r="174" spans="1:3" x14ac:dyDescent="0.2">
      <c r="A174" s="2">
        <v>172</v>
      </c>
      <c r="B174" s="2">
        <f t="shared" ca="1" si="2"/>
        <v>0.78463797761445975</v>
      </c>
      <c r="C174" s="2" t="s">
        <v>227</v>
      </c>
    </row>
    <row r="175" spans="1:3" x14ac:dyDescent="0.2">
      <c r="A175" s="2">
        <v>173</v>
      </c>
      <c r="B175" s="2">
        <f t="shared" ca="1" si="2"/>
        <v>0.80800756495184167</v>
      </c>
      <c r="C175" s="2" t="s">
        <v>227</v>
      </c>
    </row>
    <row r="176" spans="1:3" x14ac:dyDescent="0.2">
      <c r="A176" s="2">
        <v>174</v>
      </c>
      <c r="B176" s="2">
        <f t="shared" ca="1" si="2"/>
        <v>0.41444114015693678</v>
      </c>
      <c r="C176" s="2" t="s">
        <v>226</v>
      </c>
    </row>
    <row r="177" spans="1:3" x14ac:dyDescent="0.2">
      <c r="A177" s="2">
        <v>175</v>
      </c>
      <c r="B177" s="2">
        <f t="shared" ca="1" si="2"/>
        <v>0.75295487636540837</v>
      </c>
      <c r="C177" s="2" t="s">
        <v>227</v>
      </c>
    </row>
    <row r="178" spans="1:3" x14ac:dyDescent="0.2">
      <c r="A178" s="2">
        <v>176</v>
      </c>
      <c r="B178" s="2">
        <f t="shared" ca="1" si="2"/>
        <v>0.62583738159500613</v>
      </c>
      <c r="C178" s="2" t="s">
        <v>227</v>
      </c>
    </row>
    <row r="179" spans="1:3" x14ac:dyDescent="0.2">
      <c r="A179" s="2">
        <v>177</v>
      </c>
      <c r="B179" s="2">
        <f t="shared" ca="1" si="2"/>
        <v>0.84273055386995765</v>
      </c>
      <c r="C179" s="2" t="s">
        <v>226</v>
      </c>
    </row>
    <row r="180" spans="1:3" x14ac:dyDescent="0.2">
      <c r="A180" s="2">
        <v>178</v>
      </c>
      <c r="B180" s="2">
        <f t="shared" ca="1" si="2"/>
        <v>0.49062492838664296</v>
      </c>
      <c r="C180" s="2" t="s">
        <v>226</v>
      </c>
    </row>
    <row r="181" spans="1:3" x14ac:dyDescent="0.2">
      <c r="A181" s="2">
        <v>179</v>
      </c>
      <c r="B181" s="2">
        <f t="shared" ca="1" si="2"/>
        <v>0.78129952723570439</v>
      </c>
      <c r="C181" s="2" t="s">
        <v>227</v>
      </c>
    </row>
    <row r="182" spans="1:3" x14ac:dyDescent="0.2">
      <c r="A182" s="2">
        <v>180</v>
      </c>
      <c r="B182" s="2">
        <f t="shared" ca="1" si="2"/>
        <v>0.84790964294271287</v>
      </c>
      <c r="C182" s="2" t="s">
        <v>227</v>
      </c>
    </row>
    <row r="183" spans="1:3" x14ac:dyDescent="0.2">
      <c r="A183" s="2">
        <v>181</v>
      </c>
      <c r="B183" s="2">
        <f t="shared" ca="1" si="2"/>
        <v>0.73122671774303749</v>
      </c>
      <c r="C183" s="2" t="s">
        <v>227</v>
      </c>
    </row>
    <row r="184" spans="1:3" x14ac:dyDescent="0.2">
      <c r="A184" s="2">
        <v>182</v>
      </c>
      <c r="B184" s="2">
        <f t="shared" ca="1" si="2"/>
        <v>0.75521374222167603</v>
      </c>
      <c r="C184" s="2" t="s">
        <v>227</v>
      </c>
    </row>
    <row r="185" spans="1:3" x14ac:dyDescent="0.2">
      <c r="A185" s="2">
        <v>183</v>
      </c>
      <c r="B185" s="2">
        <f t="shared" ca="1" si="2"/>
        <v>0.73050373850202077</v>
      </c>
      <c r="C185" s="2" t="s">
        <v>226</v>
      </c>
    </row>
    <row r="186" spans="1:3" x14ac:dyDescent="0.2">
      <c r="A186" s="2">
        <v>184</v>
      </c>
      <c r="B186" s="2">
        <f t="shared" ca="1" si="2"/>
        <v>0.68584575037202966</v>
      </c>
      <c r="C186" s="2" t="s">
        <v>227</v>
      </c>
    </row>
    <row r="187" spans="1:3" x14ac:dyDescent="0.2">
      <c r="A187" s="2">
        <v>185</v>
      </c>
      <c r="B187" s="2">
        <f t="shared" ca="1" si="2"/>
        <v>0.50135432478848274</v>
      </c>
      <c r="C187" s="2" t="s">
        <v>226</v>
      </c>
    </row>
    <row r="188" spans="1:3" x14ac:dyDescent="0.2">
      <c r="A188" s="2">
        <v>186</v>
      </c>
      <c r="B188" s="2">
        <f t="shared" ca="1" si="2"/>
        <v>0.6147394182942405</v>
      </c>
      <c r="C188" s="2" t="s">
        <v>227</v>
      </c>
    </row>
    <row r="189" spans="1:3" x14ac:dyDescent="0.2">
      <c r="A189" s="2">
        <v>187</v>
      </c>
      <c r="B189" s="2">
        <f t="shared" ca="1" si="2"/>
        <v>0.37541170397985446</v>
      </c>
      <c r="C189" s="2" t="s">
        <v>226</v>
      </c>
    </row>
    <row r="190" spans="1:3" x14ac:dyDescent="0.2">
      <c r="A190" s="2">
        <v>188</v>
      </c>
      <c r="B190" s="2">
        <f t="shared" ca="1" si="2"/>
        <v>0.71078499734218903</v>
      </c>
      <c r="C190" s="2" t="s">
        <v>227</v>
      </c>
    </row>
    <row r="191" spans="1:3" x14ac:dyDescent="0.2">
      <c r="A191" s="2">
        <v>189</v>
      </c>
      <c r="B191" s="2">
        <f t="shared" ca="1" si="2"/>
        <v>0.52314126025681851</v>
      </c>
      <c r="C191" s="2" t="s">
        <v>227</v>
      </c>
    </row>
    <row r="192" spans="1:3" x14ac:dyDescent="0.2">
      <c r="A192" s="2">
        <v>190</v>
      </c>
      <c r="B192" s="2">
        <f t="shared" ca="1" si="2"/>
        <v>0.70528910509637899</v>
      </c>
      <c r="C192" s="2" t="s">
        <v>226</v>
      </c>
    </row>
    <row r="193" spans="1:3" x14ac:dyDescent="0.2">
      <c r="A193" s="2">
        <v>191</v>
      </c>
      <c r="B193" s="2">
        <f t="shared" ca="1" si="2"/>
        <v>0.80363572002606898</v>
      </c>
      <c r="C193" s="2" t="s">
        <v>227</v>
      </c>
    </row>
    <row r="194" spans="1:3" x14ac:dyDescent="0.2">
      <c r="A194" s="2">
        <v>192</v>
      </c>
      <c r="B194" s="2">
        <f t="shared" ca="1" si="2"/>
        <v>0.79023924961952929</v>
      </c>
      <c r="C194" s="2" t="s">
        <v>226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0.7294745041318349</v>
      </c>
      <c r="C195" s="2" t="s">
        <v>227</v>
      </c>
    </row>
    <row r="196" spans="1:3" x14ac:dyDescent="0.2">
      <c r="A196" s="2">
        <v>194</v>
      </c>
      <c r="B196" s="2">
        <f t="shared" ca="1" si="3"/>
        <v>0.39369134818138096</v>
      </c>
      <c r="C196" s="2" t="s">
        <v>226</v>
      </c>
    </row>
    <row r="197" spans="1:3" x14ac:dyDescent="0.2">
      <c r="A197" s="2">
        <v>195</v>
      </c>
      <c r="B197" s="2">
        <f t="shared" ca="1" si="3"/>
        <v>0.40875156835072313</v>
      </c>
      <c r="C197" s="2" t="s">
        <v>226</v>
      </c>
    </row>
    <row r="198" spans="1:3" x14ac:dyDescent="0.2">
      <c r="A198" s="2">
        <v>196</v>
      </c>
      <c r="B198" s="2">
        <f t="shared" ca="1" si="3"/>
        <v>0.70000187845860606</v>
      </c>
      <c r="C198" s="2" t="s">
        <v>227</v>
      </c>
    </row>
    <row r="199" spans="1:3" x14ac:dyDescent="0.2">
      <c r="A199" s="2">
        <v>197</v>
      </c>
      <c r="B199" s="2">
        <f t="shared" ca="1" si="3"/>
        <v>0.51831360112554192</v>
      </c>
      <c r="C199" s="2" t="s">
        <v>226</v>
      </c>
    </row>
    <row r="200" spans="1:3" x14ac:dyDescent="0.2">
      <c r="A200" s="2">
        <v>198</v>
      </c>
      <c r="B200" s="2">
        <f t="shared" ca="1" si="3"/>
        <v>0.7294213479971573</v>
      </c>
      <c r="C200" s="2" t="s">
        <v>227</v>
      </c>
    </row>
    <row r="201" spans="1:3" x14ac:dyDescent="0.2">
      <c r="A201" s="2">
        <v>199</v>
      </c>
      <c r="B201" s="2">
        <f t="shared" ca="1" si="3"/>
        <v>0.8770053000339465</v>
      </c>
      <c r="C201" s="2" t="s">
        <v>226</v>
      </c>
    </row>
    <row r="202" spans="1:3" x14ac:dyDescent="0.2">
      <c r="A202" s="2">
        <v>200</v>
      </c>
      <c r="B202" s="2">
        <f t="shared" ca="1" si="3"/>
        <v>0.69167897470947504</v>
      </c>
      <c r="C202" s="2" t="s">
        <v>227</v>
      </c>
    </row>
    <row r="203" spans="1:3" x14ac:dyDescent="0.2">
      <c r="A203" s="2">
        <v>201</v>
      </c>
      <c r="B203" s="2">
        <f t="shared" ca="1" si="3"/>
        <v>0.5378750566160827</v>
      </c>
      <c r="C203" s="2" t="s">
        <v>226</v>
      </c>
    </row>
    <row r="204" spans="1:3" x14ac:dyDescent="0.2">
      <c r="A204" s="2">
        <v>202</v>
      </c>
      <c r="B204" s="2">
        <f t="shared" ca="1" si="3"/>
        <v>0.65238382833574859</v>
      </c>
      <c r="C204" s="2" t="s">
        <v>227</v>
      </c>
    </row>
    <row r="205" spans="1:3" x14ac:dyDescent="0.2">
      <c r="A205" s="2">
        <v>203</v>
      </c>
      <c r="B205" s="2">
        <f t="shared" ca="1" si="3"/>
        <v>0.6507566800628356</v>
      </c>
      <c r="C205" s="2" t="s">
        <v>226</v>
      </c>
    </row>
    <row r="206" spans="1:3" x14ac:dyDescent="0.2">
      <c r="A206" s="2">
        <v>204</v>
      </c>
      <c r="B206" s="2">
        <f t="shared" ca="1" si="3"/>
        <v>0.61345940463570636</v>
      </c>
      <c r="C206" s="2" t="s">
        <v>226</v>
      </c>
    </row>
    <row r="207" spans="1:3" x14ac:dyDescent="0.2">
      <c r="A207" s="2">
        <v>205</v>
      </c>
      <c r="B207" s="2">
        <f t="shared" ca="1" si="3"/>
        <v>0.71805830224524381</v>
      </c>
      <c r="C207" s="2" t="s">
        <v>226</v>
      </c>
    </row>
    <row r="208" spans="1:3" x14ac:dyDescent="0.2">
      <c r="A208" s="2">
        <v>206</v>
      </c>
      <c r="B208" s="2">
        <f t="shared" ca="1" si="3"/>
        <v>0.80667262033069687</v>
      </c>
      <c r="C208" s="2" t="s">
        <v>227</v>
      </c>
    </row>
    <row r="209" spans="1:3" x14ac:dyDescent="0.2">
      <c r="A209" s="2">
        <v>207</v>
      </c>
      <c r="B209" s="2">
        <f t="shared" ca="1" si="3"/>
        <v>0.69190926009407638</v>
      </c>
      <c r="C209" s="2" t="s">
        <v>227</v>
      </c>
    </row>
    <row r="210" spans="1:3" x14ac:dyDescent="0.2">
      <c r="A210" s="2">
        <v>208</v>
      </c>
      <c r="B210" s="2">
        <f t="shared" ca="1" si="3"/>
        <v>0.77133447907999098</v>
      </c>
      <c r="C210" s="2" t="s">
        <v>227</v>
      </c>
    </row>
    <row r="211" spans="1:3" x14ac:dyDescent="0.2">
      <c r="A211" s="2">
        <v>209</v>
      </c>
      <c r="B211" s="2">
        <f t="shared" ca="1" si="3"/>
        <v>0.6889231247020513</v>
      </c>
      <c r="C211" s="2" t="s">
        <v>226</v>
      </c>
    </row>
    <row r="212" spans="1:3" x14ac:dyDescent="0.2">
      <c r="A212" s="2">
        <v>210</v>
      </c>
      <c r="B212" s="2">
        <f t="shared" ca="1" si="3"/>
        <v>0.4458438000376389</v>
      </c>
      <c r="C212" s="2" t="s">
        <v>226</v>
      </c>
    </row>
    <row r="213" spans="1:3" x14ac:dyDescent="0.2">
      <c r="A213" s="2">
        <v>211</v>
      </c>
      <c r="B213" s="2">
        <f t="shared" ca="1" si="3"/>
        <v>0.39256607708467006</v>
      </c>
      <c r="C213" s="2" t="s">
        <v>226</v>
      </c>
    </row>
    <row r="214" spans="1:3" x14ac:dyDescent="0.2">
      <c r="A214" s="2">
        <v>212</v>
      </c>
      <c r="B214" s="2">
        <f t="shared" ca="1" si="3"/>
        <v>0.35527312754567542</v>
      </c>
      <c r="C214" s="2" t="s">
        <v>226</v>
      </c>
    </row>
    <row r="215" spans="1:3" x14ac:dyDescent="0.2">
      <c r="A215" s="2">
        <v>213</v>
      </c>
      <c r="B215" s="2">
        <f t="shared" ca="1" si="3"/>
        <v>0.47271838355303597</v>
      </c>
      <c r="C215" s="2" t="s">
        <v>226</v>
      </c>
    </row>
    <row r="216" spans="1:3" x14ac:dyDescent="0.2">
      <c r="A216" s="2">
        <v>214</v>
      </c>
      <c r="B216" s="2">
        <f t="shared" ca="1" si="3"/>
        <v>0.44552827795809447</v>
      </c>
      <c r="C216" s="2" t="s">
        <v>226</v>
      </c>
    </row>
    <row r="217" spans="1:3" x14ac:dyDescent="0.2">
      <c r="A217" s="2">
        <v>215</v>
      </c>
      <c r="B217" s="2">
        <f t="shared" ca="1" si="3"/>
        <v>0.63310508509353203</v>
      </c>
      <c r="C217" s="2" t="s">
        <v>227</v>
      </c>
    </row>
    <row r="218" spans="1:3" x14ac:dyDescent="0.2">
      <c r="A218" s="2">
        <v>216</v>
      </c>
      <c r="B218" s="2">
        <f t="shared" ca="1" si="3"/>
        <v>0.70541822609296878</v>
      </c>
      <c r="C218" s="2" t="s">
        <v>227</v>
      </c>
    </row>
    <row r="219" spans="1:3" x14ac:dyDescent="0.2">
      <c r="A219" s="2">
        <v>217</v>
      </c>
      <c r="B219" s="2">
        <f t="shared" ca="1" si="3"/>
        <v>0.53931828121168768</v>
      </c>
      <c r="C219" s="2" t="s">
        <v>227</v>
      </c>
    </row>
    <row r="220" spans="1:3" x14ac:dyDescent="0.2">
      <c r="A220" s="2">
        <v>218</v>
      </c>
      <c r="B220" s="2">
        <f t="shared" ca="1" si="3"/>
        <v>0.73452445073344275</v>
      </c>
      <c r="C220" s="2" t="s">
        <v>226</v>
      </c>
    </row>
    <row r="221" spans="1:3" x14ac:dyDescent="0.2">
      <c r="A221" s="2">
        <v>219</v>
      </c>
      <c r="B221" s="2">
        <f t="shared" ca="1" si="3"/>
        <v>0.77640568025405243</v>
      </c>
      <c r="C221" s="2" t="s">
        <v>227</v>
      </c>
    </row>
    <row r="222" spans="1:3" x14ac:dyDescent="0.2">
      <c r="A222" s="2">
        <v>220</v>
      </c>
      <c r="B222" s="2">
        <f t="shared" ca="1" si="3"/>
        <v>0.56880944277477885</v>
      </c>
      <c r="C222" s="2" t="s">
        <v>226</v>
      </c>
    </row>
    <row r="223" spans="1:3" x14ac:dyDescent="0.2">
      <c r="A223" s="2">
        <v>221</v>
      </c>
      <c r="B223" s="2">
        <f t="shared" ca="1" si="3"/>
        <v>0.81364480772620051</v>
      </c>
      <c r="C223" s="2" t="s">
        <v>227</v>
      </c>
    </row>
    <row r="224" spans="1:3" x14ac:dyDescent="0.2">
      <c r="A224" s="2">
        <v>222</v>
      </c>
      <c r="B224" s="2">
        <f t="shared" ca="1" si="3"/>
        <v>0.88279552455766797</v>
      </c>
      <c r="C224" s="2" t="s">
        <v>227</v>
      </c>
    </row>
    <row r="225" spans="1:3" x14ac:dyDescent="0.2">
      <c r="A225" s="2">
        <v>223</v>
      </c>
      <c r="B225" s="2">
        <f t="shared" ca="1" si="3"/>
        <v>0.49178388769427417</v>
      </c>
      <c r="C225" s="2" t="s">
        <v>226</v>
      </c>
    </row>
    <row r="226" spans="1:3" x14ac:dyDescent="0.2">
      <c r="A226" s="2">
        <v>224</v>
      </c>
      <c r="B226" s="2">
        <f t="shared" ca="1" si="3"/>
        <v>0.7191891128620751</v>
      </c>
      <c r="C226" s="2" t="s">
        <v>226</v>
      </c>
    </row>
    <row r="227" spans="1:3" x14ac:dyDescent="0.2">
      <c r="A227" s="2">
        <v>225</v>
      </c>
      <c r="B227" s="2">
        <f t="shared" ca="1" si="3"/>
        <v>0.59329582207771447</v>
      </c>
      <c r="C227" s="2" t="s">
        <v>227</v>
      </c>
    </row>
    <row r="228" spans="1:3" x14ac:dyDescent="0.2">
      <c r="A228" s="2">
        <v>226</v>
      </c>
      <c r="B228" s="2">
        <f t="shared" ca="1" si="3"/>
        <v>0.77663773021520466</v>
      </c>
      <c r="C228" s="2" t="s">
        <v>226</v>
      </c>
    </row>
    <row r="229" spans="1:3" x14ac:dyDescent="0.2">
      <c r="A229" s="2">
        <v>227</v>
      </c>
      <c r="B229" s="2">
        <f t="shared" ca="1" si="3"/>
        <v>0.65132260251244645</v>
      </c>
      <c r="C229" s="2" t="s">
        <v>226</v>
      </c>
    </row>
    <row r="230" spans="1:3" x14ac:dyDescent="0.2">
      <c r="A230" s="2">
        <v>228</v>
      </c>
      <c r="B230" s="2">
        <f t="shared" ca="1" si="3"/>
        <v>0.80391986242165414</v>
      </c>
      <c r="C230" s="2" t="s">
        <v>226</v>
      </c>
    </row>
    <row r="231" spans="1:3" x14ac:dyDescent="0.2">
      <c r="A231" s="2">
        <v>229</v>
      </c>
      <c r="B231" s="2">
        <f t="shared" ca="1" si="3"/>
        <v>0.55454643284411176</v>
      </c>
      <c r="C231" s="2" t="s">
        <v>226</v>
      </c>
    </row>
    <row r="232" spans="1:3" x14ac:dyDescent="0.2">
      <c r="A232" s="2">
        <v>230</v>
      </c>
      <c r="B232" s="2">
        <f t="shared" ca="1" si="3"/>
        <v>0.73478777161612963</v>
      </c>
      <c r="C232" s="2" t="s">
        <v>227</v>
      </c>
    </row>
    <row r="233" spans="1:3" x14ac:dyDescent="0.2">
      <c r="A233" s="2">
        <v>231</v>
      </c>
      <c r="B233" s="2">
        <f t="shared" ca="1" si="3"/>
        <v>0.71172429748808241</v>
      </c>
      <c r="C233" s="2" t="s">
        <v>227</v>
      </c>
    </row>
    <row r="234" spans="1:3" x14ac:dyDescent="0.2">
      <c r="A234" s="2">
        <v>232</v>
      </c>
      <c r="B234" s="2">
        <f t="shared" ca="1" si="3"/>
        <v>0.90692868478794786</v>
      </c>
      <c r="C234" s="2" t="s">
        <v>226</v>
      </c>
    </row>
    <row r="235" spans="1:3" x14ac:dyDescent="0.2">
      <c r="A235" s="2">
        <v>233</v>
      </c>
      <c r="B235" s="2">
        <f t="shared" ca="1" si="3"/>
        <v>0.4460511755457528</v>
      </c>
      <c r="C235" s="2" t="s">
        <v>226</v>
      </c>
    </row>
    <row r="236" spans="1:3" x14ac:dyDescent="0.2">
      <c r="A236" s="2">
        <v>234</v>
      </c>
      <c r="B236" s="2">
        <f t="shared" ca="1" si="3"/>
        <v>0.77273669861987448</v>
      </c>
      <c r="C236" s="2" t="s">
        <v>227</v>
      </c>
    </row>
    <row r="237" spans="1:3" x14ac:dyDescent="0.2">
      <c r="A237" s="2">
        <v>235</v>
      </c>
      <c r="B237" s="2">
        <f t="shared" ca="1" si="3"/>
        <v>0.86830935622042293</v>
      </c>
      <c r="C237" s="2" t="s">
        <v>226</v>
      </c>
    </row>
    <row r="238" spans="1:3" x14ac:dyDescent="0.2">
      <c r="A238" s="2">
        <v>236</v>
      </c>
      <c r="B238" s="2">
        <f t="shared" ca="1" si="3"/>
        <v>0.76277519978842789</v>
      </c>
      <c r="C238" s="2" t="s">
        <v>227</v>
      </c>
    </row>
    <row r="239" spans="1:3" x14ac:dyDescent="0.2">
      <c r="A239" s="2">
        <v>237</v>
      </c>
      <c r="B239" s="2">
        <f t="shared" ca="1" si="3"/>
        <v>0.53906403972244976</v>
      </c>
      <c r="C239" s="2" t="s">
        <v>226</v>
      </c>
    </row>
    <row r="240" spans="1:3" x14ac:dyDescent="0.2">
      <c r="A240" s="2">
        <v>238</v>
      </c>
      <c r="B240" s="2">
        <f t="shared" ca="1" si="3"/>
        <v>0.70764558370928221</v>
      </c>
      <c r="C240" s="2" t="s">
        <v>227</v>
      </c>
    </row>
    <row r="241" spans="1:3" x14ac:dyDescent="0.2">
      <c r="A241" s="2">
        <v>239</v>
      </c>
      <c r="B241" s="2">
        <f t="shared" ca="1" si="3"/>
        <v>0.65636453198659672</v>
      </c>
      <c r="C241" s="2" t="s">
        <v>226</v>
      </c>
    </row>
    <row r="242" spans="1:3" x14ac:dyDescent="0.2">
      <c r="A242" s="2">
        <v>240</v>
      </c>
      <c r="B242" s="2">
        <f t="shared" ca="1" si="3"/>
        <v>0.55024108278717843</v>
      </c>
      <c r="C242" s="2" t="s">
        <v>226</v>
      </c>
    </row>
    <row r="243" spans="1:3" x14ac:dyDescent="0.2">
      <c r="A243" s="2">
        <v>241</v>
      </c>
      <c r="B243" s="2">
        <f t="shared" ca="1" si="3"/>
        <v>0.7185142937797121</v>
      </c>
      <c r="C243" s="2" t="s">
        <v>227</v>
      </c>
    </row>
    <row r="244" spans="1:3" x14ac:dyDescent="0.2">
      <c r="A244" s="2">
        <v>242</v>
      </c>
      <c r="B244" s="2">
        <f t="shared" ca="1" si="3"/>
        <v>0.78880404842360519</v>
      </c>
      <c r="C244" s="2" t="s">
        <v>227</v>
      </c>
    </row>
    <row r="245" spans="1:3" x14ac:dyDescent="0.2">
      <c r="A245" s="2">
        <v>243</v>
      </c>
      <c r="B245" s="2">
        <f t="shared" ca="1" si="3"/>
        <v>0.759768555475</v>
      </c>
      <c r="C245" s="2" t="s">
        <v>227</v>
      </c>
    </row>
    <row r="246" spans="1:3" x14ac:dyDescent="0.2">
      <c r="A246" s="2">
        <v>244</v>
      </c>
      <c r="B246" s="2">
        <f t="shared" ca="1" si="3"/>
        <v>0.53193649771980611</v>
      </c>
      <c r="C246" s="2" t="s">
        <v>226</v>
      </c>
    </row>
    <row r="247" spans="1:3" x14ac:dyDescent="0.2">
      <c r="A247" s="2">
        <v>245</v>
      </c>
      <c r="B247" s="2">
        <f t="shared" ca="1" si="3"/>
        <v>0.74882974064549124</v>
      </c>
      <c r="C247" s="2" t="s">
        <v>227</v>
      </c>
    </row>
    <row r="248" spans="1:3" x14ac:dyDescent="0.2">
      <c r="A248" s="2">
        <v>246</v>
      </c>
      <c r="B248" s="2">
        <f t="shared" ca="1" si="3"/>
        <v>0.66852222608806744</v>
      </c>
      <c r="C248" s="2" t="s">
        <v>227</v>
      </c>
    </row>
    <row r="249" spans="1:3" x14ac:dyDescent="0.2">
      <c r="A249" s="2">
        <v>247</v>
      </c>
      <c r="B249" s="2">
        <f t="shared" ca="1" si="3"/>
        <v>0.50019220820489241</v>
      </c>
      <c r="C249" s="2" t="s">
        <v>226</v>
      </c>
    </row>
    <row r="250" spans="1:3" x14ac:dyDescent="0.2">
      <c r="A250" s="2">
        <v>248</v>
      </c>
      <c r="B250" s="2">
        <f t="shared" ca="1" si="3"/>
        <v>0.83670873515630706</v>
      </c>
      <c r="C250" s="2" t="s">
        <v>227</v>
      </c>
    </row>
    <row r="251" spans="1:3" x14ac:dyDescent="0.2">
      <c r="A251" s="2">
        <v>249</v>
      </c>
      <c r="B251" s="2">
        <f t="shared" ca="1" si="3"/>
        <v>0.45454425175953073</v>
      </c>
      <c r="C251" s="2" t="s">
        <v>226</v>
      </c>
    </row>
    <row r="252" spans="1:3" x14ac:dyDescent="0.2">
      <c r="A252" s="2">
        <v>250</v>
      </c>
      <c r="B252" s="2">
        <f t="shared" ca="1" si="3"/>
        <v>0.65769409225694797</v>
      </c>
      <c r="C252" s="2" t="s">
        <v>227</v>
      </c>
    </row>
    <row r="253" spans="1:3" x14ac:dyDescent="0.2">
      <c r="A253" s="2">
        <v>251</v>
      </c>
      <c r="B253" s="2">
        <f t="shared" ca="1" si="3"/>
        <v>0.55790834317601534</v>
      </c>
      <c r="C253" s="2" t="s">
        <v>226</v>
      </c>
    </row>
    <row r="254" spans="1:3" x14ac:dyDescent="0.2">
      <c r="A254" s="2">
        <v>252</v>
      </c>
      <c r="B254" s="2">
        <f t="shared" ca="1" si="3"/>
        <v>0.79117319177778667</v>
      </c>
      <c r="C254" s="2" t="s">
        <v>227</v>
      </c>
    </row>
    <row r="255" spans="1:3" x14ac:dyDescent="0.2">
      <c r="A255" s="2">
        <v>253</v>
      </c>
      <c r="B255" s="2">
        <f t="shared" ca="1" si="3"/>
        <v>0.77043990878645408</v>
      </c>
      <c r="C255" s="2" t="s">
        <v>227</v>
      </c>
    </row>
    <row r="256" spans="1:3" x14ac:dyDescent="0.2">
      <c r="A256" s="2">
        <v>254</v>
      </c>
      <c r="B256" s="2">
        <f t="shared" ca="1" si="3"/>
        <v>0.67472738433613244</v>
      </c>
      <c r="C256" s="2" t="s">
        <v>227</v>
      </c>
    </row>
    <row r="257" spans="1:3" x14ac:dyDescent="0.2">
      <c r="A257" s="2">
        <v>255</v>
      </c>
      <c r="B257" s="2">
        <f t="shared" ca="1" si="3"/>
        <v>0.57872229221891647</v>
      </c>
      <c r="C257" s="2" t="s">
        <v>226</v>
      </c>
    </row>
    <row r="258" spans="1:3" x14ac:dyDescent="0.2">
      <c r="A258" s="2">
        <v>256</v>
      </c>
      <c r="B258" s="2">
        <f t="shared" ca="1" si="3"/>
        <v>0.54734689007968074</v>
      </c>
      <c r="C258" s="2" t="s">
        <v>226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0.48016919424096127</v>
      </c>
      <c r="C259" s="2" t="s">
        <v>226</v>
      </c>
    </row>
    <row r="260" spans="1:3" x14ac:dyDescent="0.2">
      <c r="A260" s="2">
        <v>258</v>
      </c>
      <c r="B260" s="2">
        <f t="shared" ca="1" si="4"/>
        <v>0.4669650344567895</v>
      </c>
      <c r="C260" s="2" t="s">
        <v>226</v>
      </c>
    </row>
    <row r="261" spans="1:3" x14ac:dyDescent="0.2">
      <c r="A261" s="2">
        <v>259</v>
      </c>
      <c r="B261" s="2">
        <f t="shared" ca="1" si="4"/>
        <v>0.44129862204665127</v>
      </c>
      <c r="C261" s="2" t="s">
        <v>226</v>
      </c>
    </row>
    <row r="262" spans="1:3" x14ac:dyDescent="0.2">
      <c r="A262" s="2">
        <v>260</v>
      </c>
      <c r="B262" s="2">
        <f t="shared" ca="1" si="4"/>
        <v>0.72305749598245106</v>
      </c>
      <c r="C262" s="2" t="s">
        <v>227</v>
      </c>
    </row>
    <row r="263" spans="1:3" x14ac:dyDescent="0.2">
      <c r="A263" s="2">
        <v>261</v>
      </c>
      <c r="B263" s="2">
        <f t="shared" ca="1" si="4"/>
        <v>0.95701282393909226</v>
      </c>
      <c r="C263" s="2" t="s">
        <v>227</v>
      </c>
    </row>
    <row r="264" spans="1:3" x14ac:dyDescent="0.2">
      <c r="A264" s="2">
        <v>262</v>
      </c>
      <c r="B264" s="2">
        <f t="shared" ca="1" si="4"/>
        <v>0.45828396880402322</v>
      </c>
      <c r="C264" s="2" t="s">
        <v>227</v>
      </c>
    </row>
    <row r="265" spans="1:3" x14ac:dyDescent="0.2">
      <c r="A265" s="2">
        <v>263</v>
      </c>
      <c r="B265" s="2">
        <f t="shared" ca="1" si="4"/>
        <v>0.92270667860260258</v>
      </c>
      <c r="C265" s="2" t="s">
        <v>227</v>
      </c>
    </row>
    <row r="266" spans="1:3" x14ac:dyDescent="0.2">
      <c r="A266" s="2">
        <v>264</v>
      </c>
      <c r="B266" s="2">
        <f t="shared" ca="1" si="4"/>
        <v>0.79289365220272012</v>
      </c>
      <c r="C266" s="2" t="s">
        <v>226</v>
      </c>
    </row>
    <row r="267" spans="1:3" x14ac:dyDescent="0.2">
      <c r="A267" s="2">
        <v>265</v>
      </c>
      <c r="B267" s="2">
        <f t="shared" ca="1" si="4"/>
        <v>0.70233044745214668</v>
      </c>
      <c r="C267" s="2" t="s">
        <v>227</v>
      </c>
    </row>
    <row r="268" spans="1:3" x14ac:dyDescent="0.2">
      <c r="A268" s="2">
        <v>266</v>
      </c>
      <c r="B268" s="2">
        <f t="shared" ca="1" si="4"/>
        <v>0.85707559149851176</v>
      </c>
      <c r="C268" s="2" t="s">
        <v>227</v>
      </c>
    </row>
    <row r="269" spans="1:3" x14ac:dyDescent="0.2">
      <c r="A269" s="2">
        <v>267</v>
      </c>
      <c r="B269" s="2">
        <f t="shared" ca="1" si="4"/>
        <v>0.33562230512472485</v>
      </c>
      <c r="C269" s="2" t="s">
        <v>226</v>
      </c>
    </row>
    <row r="270" spans="1:3" x14ac:dyDescent="0.2">
      <c r="A270" s="2">
        <v>268</v>
      </c>
      <c r="B270" s="2">
        <f t="shared" ca="1" si="4"/>
        <v>0.80925471424785766</v>
      </c>
      <c r="C270" s="2" t="s">
        <v>226</v>
      </c>
    </row>
    <row r="271" spans="1:3" x14ac:dyDescent="0.2">
      <c r="A271" s="2">
        <v>269</v>
      </c>
      <c r="B271" s="2">
        <f t="shared" ca="1" si="4"/>
        <v>0.75993964430035676</v>
      </c>
      <c r="C271" s="2" t="s">
        <v>227</v>
      </c>
    </row>
    <row r="272" spans="1:3" x14ac:dyDescent="0.2">
      <c r="A272" s="2">
        <v>270</v>
      </c>
      <c r="B272" s="2">
        <f t="shared" ca="1" si="4"/>
        <v>0.7122893767241788</v>
      </c>
      <c r="C272" s="2" t="s">
        <v>227</v>
      </c>
    </row>
    <row r="273" spans="1:3" x14ac:dyDescent="0.2">
      <c r="A273" s="2">
        <v>271</v>
      </c>
      <c r="B273" s="2">
        <f t="shared" ca="1" si="4"/>
        <v>0.48801037007859577</v>
      </c>
      <c r="C273" s="2" t="s">
        <v>226</v>
      </c>
    </row>
    <row r="274" spans="1:3" x14ac:dyDescent="0.2">
      <c r="A274" s="2">
        <v>272</v>
      </c>
      <c r="B274" s="2">
        <f t="shared" ca="1" si="4"/>
        <v>0.50961603375229325</v>
      </c>
      <c r="C274" s="2" t="s">
        <v>226</v>
      </c>
    </row>
    <row r="275" spans="1:3" x14ac:dyDescent="0.2">
      <c r="A275" s="2">
        <v>273</v>
      </c>
      <c r="B275" s="2">
        <f t="shared" ca="1" si="4"/>
        <v>0.72044800069137238</v>
      </c>
      <c r="C275" s="2" t="s">
        <v>227</v>
      </c>
    </row>
    <row r="276" spans="1:3" x14ac:dyDescent="0.2">
      <c r="A276" s="2">
        <v>274</v>
      </c>
      <c r="B276" s="2">
        <f t="shared" ca="1" si="4"/>
        <v>0.75633433039992426</v>
      </c>
      <c r="C276" s="2" t="s">
        <v>226</v>
      </c>
    </row>
    <row r="277" spans="1:3" x14ac:dyDescent="0.2">
      <c r="A277" s="2">
        <v>275</v>
      </c>
      <c r="B277" s="2">
        <f t="shared" ca="1" si="4"/>
        <v>0.57247309909528188</v>
      </c>
      <c r="C277" s="2" t="s">
        <v>226</v>
      </c>
    </row>
    <row r="278" spans="1:3" x14ac:dyDescent="0.2">
      <c r="A278" s="2">
        <v>276</v>
      </c>
      <c r="B278" s="2">
        <f t="shared" ca="1" si="4"/>
        <v>0.83911388563861111</v>
      </c>
      <c r="C278" s="2" t="s">
        <v>227</v>
      </c>
    </row>
    <row r="279" spans="1:3" x14ac:dyDescent="0.2">
      <c r="A279" s="2">
        <v>277</v>
      </c>
      <c r="B279" s="2">
        <f t="shared" ca="1" si="4"/>
        <v>0.89877844730131184</v>
      </c>
      <c r="C279" s="2" t="s">
        <v>227</v>
      </c>
    </row>
    <row r="280" spans="1:3" x14ac:dyDescent="0.2">
      <c r="A280" s="2">
        <v>278</v>
      </c>
      <c r="B280" s="2">
        <f t="shared" ca="1" si="4"/>
        <v>0.42419984736335353</v>
      </c>
      <c r="C280" s="2" t="s">
        <v>226</v>
      </c>
    </row>
    <row r="281" spans="1:3" x14ac:dyDescent="0.2">
      <c r="A281" s="2">
        <v>279</v>
      </c>
      <c r="B281" s="2">
        <f t="shared" ca="1" si="4"/>
        <v>0.68144639744689184</v>
      </c>
      <c r="C281" s="2" t="s">
        <v>226</v>
      </c>
    </row>
    <row r="282" spans="1:3" x14ac:dyDescent="0.2">
      <c r="A282" s="2">
        <v>280</v>
      </c>
      <c r="B282" s="2">
        <f t="shared" ca="1" si="4"/>
        <v>0.39340494985615793</v>
      </c>
      <c r="C282" s="2" t="s">
        <v>226</v>
      </c>
    </row>
    <row r="283" spans="1:3" x14ac:dyDescent="0.2">
      <c r="A283" s="2">
        <v>281</v>
      </c>
      <c r="B283" s="2">
        <f t="shared" ca="1" si="4"/>
        <v>0.57590003754300279</v>
      </c>
      <c r="C283" s="2" t="s">
        <v>226</v>
      </c>
    </row>
    <row r="284" spans="1:3" x14ac:dyDescent="0.2">
      <c r="A284" s="2">
        <v>282</v>
      </c>
      <c r="B284" s="2">
        <f t="shared" ca="1" si="4"/>
        <v>0.57689407151634642</v>
      </c>
      <c r="C284" s="2" t="s">
        <v>227</v>
      </c>
    </row>
    <row r="285" spans="1:3" x14ac:dyDescent="0.2">
      <c r="A285" s="2">
        <v>283</v>
      </c>
      <c r="B285" s="2">
        <f t="shared" ca="1" si="4"/>
        <v>0.65267964043495408</v>
      </c>
      <c r="C285" s="2" t="s">
        <v>227</v>
      </c>
    </row>
    <row r="286" spans="1:3" x14ac:dyDescent="0.2">
      <c r="A286" s="2">
        <v>284</v>
      </c>
      <c r="B286" s="2">
        <f t="shared" ca="1" si="4"/>
        <v>0.69629398506227613</v>
      </c>
      <c r="C286" s="2" t="s">
        <v>227</v>
      </c>
    </row>
    <row r="287" spans="1:3" x14ac:dyDescent="0.2">
      <c r="A287" s="2">
        <v>285</v>
      </c>
      <c r="B287" s="2">
        <f t="shared" ca="1" si="4"/>
        <v>0.47949245396339224</v>
      </c>
      <c r="C287" s="2" t="s">
        <v>226</v>
      </c>
    </row>
    <row r="288" spans="1:3" x14ac:dyDescent="0.2">
      <c r="A288" s="2">
        <v>286</v>
      </c>
      <c r="B288" s="2">
        <f t="shared" ca="1" si="4"/>
        <v>0.89227976580317447</v>
      </c>
      <c r="C288" s="2" t="s">
        <v>227</v>
      </c>
    </row>
    <row r="289" spans="1:3" x14ac:dyDescent="0.2">
      <c r="A289" s="2">
        <v>287</v>
      </c>
      <c r="B289" s="2">
        <f t="shared" ca="1" si="4"/>
        <v>0.7658297589612526</v>
      </c>
      <c r="C289" s="2" t="s">
        <v>227</v>
      </c>
    </row>
    <row r="290" spans="1:3" x14ac:dyDescent="0.2">
      <c r="A290" s="2">
        <v>288</v>
      </c>
      <c r="B290" s="2">
        <f t="shared" ca="1" si="4"/>
        <v>0.60672698127520819</v>
      </c>
      <c r="C290" s="2" t="s">
        <v>227</v>
      </c>
    </row>
    <row r="291" spans="1:3" x14ac:dyDescent="0.2">
      <c r="A291" s="2">
        <v>289</v>
      </c>
      <c r="B291" s="2">
        <f t="shared" ca="1" si="4"/>
        <v>0.63069415065779377</v>
      </c>
      <c r="C291" s="2" t="s">
        <v>227</v>
      </c>
    </row>
    <row r="292" spans="1:3" x14ac:dyDescent="0.2">
      <c r="A292" s="2">
        <v>290</v>
      </c>
      <c r="B292" s="2">
        <f t="shared" ca="1" si="4"/>
        <v>0.65777543593666343</v>
      </c>
      <c r="C292" s="2" t="s">
        <v>226</v>
      </c>
    </row>
    <row r="293" spans="1:3" x14ac:dyDescent="0.2">
      <c r="A293" s="2">
        <v>291</v>
      </c>
      <c r="B293" s="2">
        <f t="shared" ca="1" si="4"/>
        <v>0.8051092510528487</v>
      </c>
      <c r="C293" s="2" t="s">
        <v>227</v>
      </c>
    </row>
    <row r="294" spans="1:3" x14ac:dyDescent="0.2">
      <c r="A294" s="2">
        <v>292</v>
      </c>
      <c r="B294" s="2">
        <f t="shared" ca="1" si="4"/>
        <v>0.49975536304069162</v>
      </c>
      <c r="C294" s="2" t="s">
        <v>226</v>
      </c>
    </row>
    <row r="295" spans="1:3" x14ac:dyDescent="0.2">
      <c r="A295" s="2">
        <v>293</v>
      </c>
      <c r="B295" s="2">
        <f t="shared" ca="1" si="4"/>
        <v>0.68446384671981431</v>
      </c>
      <c r="C295" s="2" t="s">
        <v>227</v>
      </c>
    </row>
    <row r="296" spans="1:3" x14ac:dyDescent="0.2">
      <c r="A296" s="2">
        <v>294</v>
      </c>
      <c r="B296" s="2">
        <f t="shared" ca="1" si="4"/>
        <v>0.58573874727867714</v>
      </c>
      <c r="C296" s="2" t="s">
        <v>226</v>
      </c>
    </row>
    <row r="297" spans="1:3" x14ac:dyDescent="0.2">
      <c r="A297" s="2">
        <v>295</v>
      </c>
      <c r="B297" s="2">
        <f t="shared" ca="1" si="4"/>
        <v>0.78731489200928517</v>
      </c>
      <c r="C297" s="2" t="s">
        <v>226</v>
      </c>
    </row>
    <row r="298" spans="1:3" x14ac:dyDescent="0.2">
      <c r="A298" s="2">
        <v>296</v>
      </c>
      <c r="B298" s="2">
        <f t="shared" ca="1" si="4"/>
        <v>0.80525564235461433</v>
      </c>
      <c r="C298" s="2" t="s">
        <v>227</v>
      </c>
    </row>
    <row r="299" spans="1:3" x14ac:dyDescent="0.2">
      <c r="A299" s="2">
        <v>297</v>
      </c>
      <c r="B299" s="2">
        <f t="shared" ca="1" si="4"/>
        <v>0.58799985875761696</v>
      </c>
      <c r="C299" s="2" t="s">
        <v>227</v>
      </c>
    </row>
    <row r="300" spans="1:3" x14ac:dyDescent="0.2">
      <c r="A300" s="2">
        <v>298</v>
      </c>
      <c r="B300" s="2">
        <f t="shared" ca="1" si="4"/>
        <v>0.63531823143656618</v>
      </c>
      <c r="C300" s="2" t="s">
        <v>226</v>
      </c>
    </row>
    <row r="301" spans="1:3" x14ac:dyDescent="0.2">
      <c r="A301" s="2">
        <v>299</v>
      </c>
      <c r="B301" s="2">
        <f t="shared" ca="1" si="4"/>
        <v>0.69597584032743132</v>
      </c>
      <c r="C301" s="2" t="s">
        <v>227</v>
      </c>
    </row>
    <row r="302" spans="1:3" x14ac:dyDescent="0.2">
      <c r="A302" s="2">
        <v>300</v>
      </c>
      <c r="B302" s="2">
        <f t="shared" ca="1" si="4"/>
        <v>0.59246359816614569</v>
      </c>
      <c r="C302" s="2" t="s">
        <v>227</v>
      </c>
    </row>
    <row r="303" spans="1:3" x14ac:dyDescent="0.2">
      <c r="A303" s="2">
        <v>301</v>
      </c>
      <c r="B303" s="2">
        <f t="shared" ca="1" si="4"/>
        <v>0.75583057610065574</v>
      </c>
      <c r="C303" s="2" t="s">
        <v>227</v>
      </c>
    </row>
    <row r="304" spans="1:3" x14ac:dyDescent="0.2">
      <c r="A304" s="2">
        <v>302</v>
      </c>
      <c r="B304" s="2">
        <f t="shared" ca="1" si="4"/>
        <v>0.78150756849170244</v>
      </c>
      <c r="C304" s="2" t="s">
        <v>227</v>
      </c>
    </row>
    <row r="305" spans="1:3" x14ac:dyDescent="0.2">
      <c r="A305" s="2">
        <v>303</v>
      </c>
      <c r="B305" s="2">
        <f t="shared" ca="1" si="4"/>
        <v>0.68139464169771691</v>
      </c>
      <c r="C305" s="2" t="s">
        <v>227</v>
      </c>
    </row>
    <row r="306" spans="1:3" x14ac:dyDescent="0.2">
      <c r="A306" s="2">
        <v>304</v>
      </c>
      <c r="B306" s="2">
        <f t="shared" ca="1" si="4"/>
        <v>0.71620219488837666</v>
      </c>
      <c r="C306" s="2" t="s">
        <v>227</v>
      </c>
    </row>
    <row r="307" spans="1:3" x14ac:dyDescent="0.2">
      <c r="A307" s="2">
        <v>305</v>
      </c>
      <c r="B307" s="2">
        <f t="shared" ca="1" si="4"/>
        <v>0.71627220296150462</v>
      </c>
      <c r="C307" s="2" t="s">
        <v>226</v>
      </c>
    </row>
    <row r="308" spans="1:3" x14ac:dyDescent="0.2">
      <c r="A308" s="2">
        <v>306</v>
      </c>
      <c r="B308" s="2">
        <f t="shared" ca="1" si="4"/>
        <v>0.75706815539248207</v>
      </c>
      <c r="C308" s="2" t="s">
        <v>227</v>
      </c>
    </row>
    <row r="309" spans="1:3" x14ac:dyDescent="0.2">
      <c r="A309" s="2">
        <v>307</v>
      </c>
      <c r="B309" s="2">
        <f t="shared" ca="1" si="4"/>
        <v>0.3744817309820424</v>
      </c>
      <c r="C309" s="2" t="s">
        <v>226</v>
      </c>
    </row>
    <row r="310" spans="1:3" x14ac:dyDescent="0.2">
      <c r="A310" s="2">
        <v>308</v>
      </c>
      <c r="B310" s="2">
        <f t="shared" ca="1" si="4"/>
        <v>0.71521702707251744</v>
      </c>
      <c r="C310" s="2" t="s">
        <v>227</v>
      </c>
    </row>
    <row r="311" spans="1:3" x14ac:dyDescent="0.2">
      <c r="A311" s="2">
        <v>309</v>
      </c>
      <c r="B311" s="2">
        <f t="shared" ca="1" si="4"/>
        <v>0.90795093763088797</v>
      </c>
      <c r="C311" s="2" t="s">
        <v>227</v>
      </c>
    </row>
    <row r="312" spans="1:3" x14ac:dyDescent="0.2">
      <c r="A312" s="2">
        <v>310</v>
      </c>
      <c r="B312" s="2">
        <f t="shared" ca="1" si="4"/>
        <v>0.53669692452680817</v>
      </c>
      <c r="C312" s="2" t="s">
        <v>226</v>
      </c>
    </row>
    <row r="313" spans="1:3" x14ac:dyDescent="0.2">
      <c r="A313" s="2">
        <v>311</v>
      </c>
      <c r="B313" s="2">
        <f t="shared" ca="1" si="4"/>
        <v>0.78008772806175242</v>
      </c>
      <c r="C313" s="2" t="s">
        <v>227</v>
      </c>
    </row>
    <row r="314" spans="1:3" x14ac:dyDescent="0.2">
      <c r="A314" s="2">
        <v>312</v>
      </c>
      <c r="B314" s="2">
        <f t="shared" ca="1" si="4"/>
        <v>0.69872756291279514</v>
      </c>
      <c r="C314" s="2" t="s">
        <v>227</v>
      </c>
    </row>
    <row r="315" spans="1:3" x14ac:dyDescent="0.2">
      <c r="A315" s="2">
        <v>313</v>
      </c>
      <c r="B315" s="2">
        <f t="shared" ca="1" si="4"/>
        <v>0.70726914297683563</v>
      </c>
      <c r="C315" s="2" t="s">
        <v>226</v>
      </c>
    </row>
    <row r="316" spans="1:3" x14ac:dyDescent="0.2">
      <c r="A316" s="2">
        <v>314</v>
      </c>
      <c r="B316" s="2">
        <f t="shared" ca="1" si="4"/>
        <v>0.52295259019118068</v>
      </c>
      <c r="C316" s="2" t="s">
        <v>226</v>
      </c>
    </row>
    <row r="317" spans="1:3" x14ac:dyDescent="0.2">
      <c r="A317" s="2">
        <v>315</v>
      </c>
      <c r="B317" s="2">
        <f t="shared" ca="1" si="4"/>
        <v>0.58285173515899413</v>
      </c>
      <c r="C317" s="2" t="s">
        <v>227</v>
      </c>
    </row>
    <row r="318" spans="1:3" x14ac:dyDescent="0.2">
      <c r="A318" s="2">
        <v>316</v>
      </c>
      <c r="B318" s="2">
        <f t="shared" ca="1" si="4"/>
        <v>0.65710078148471152</v>
      </c>
      <c r="C318" s="2" t="s">
        <v>227</v>
      </c>
    </row>
    <row r="319" spans="1:3" x14ac:dyDescent="0.2">
      <c r="A319" s="2">
        <v>317</v>
      </c>
      <c r="B319" s="2">
        <f t="shared" ca="1" si="4"/>
        <v>0.51399732309902357</v>
      </c>
      <c r="C319" s="2" t="s">
        <v>226</v>
      </c>
    </row>
    <row r="320" spans="1:3" x14ac:dyDescent="0.2">
      <c r="A320" s="2">
        <v>318</v>
      </c>
      <c r="B320" s="2">
        <f t="shared" ca="1" si="4"/>
        <v>0.87665724068817341</v>
      </c>
      <c r="C320" s="2" t="s">
        <v>227</v>
      </c>
    </row>
    <row r="321" spans="1:3" x14ac:dyDescent="0.2">
      <c r="A321" s="2">
        <v>319</v>
      </c>
      <c r="B321" s="2">
        <f t="shared" ca="1" si="4"/>
        <v>0.59205509208227736</v>
      </c>
      <c r="C321" s="2" t="s">
        <v>226</v>
      </c>
    </row>
    <row r="322" spans="1:3" x14ac:dyDescent="0.2">
      <c r="A322" s="2">
        <v>320</v>
      </c>
      <c r="B322" s="2">
        <f t="shared" ca="1" si="4"/>
        <v>0.61709217058619692</v>
      </c>
      <c r="C322" s="2" t="s">
        <v>226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0.67413647988767311</v>
      </c>
      <c r="C323" s="2" t="s">
        <v>227</v>
      </c>
    </row>
    <row r="324" spans="1:3" x14ac:dyDescent="0.2">
      <c r="A324" s="2">
        <v>322</v>
      </c>
      <c r="B324" s="2">
        <f t="shared" ca="1" si="5"/>
        <v>0.6662102701631768</v>
      </c>
      <c r="C324" s="2" t="s">
        <v>227</v>
      </c>
    </row>
    <row r="325" spans="1:3" x14ac:dyDescent="0.2">
      <c r="A325" s="2">
        <v>323</v>
      </c>
      <c r="B325" s="2">
        <f t="shared" ca="1" si="5"/>
        <v>0.85810142842275283</v>
      </c>
      <c r="C325" s="2" t="s">
        <v>227</v>
      </c>
    </row>
    <row r="326" spans="1:3" x14ac:dyDescent="0.2">
      <c r="A326" s="2">
        <v>324</v>
      </c>
      <c r="B326" s="2">
        <f t="shared" ca="1" si="5"/>
        <v>0.69829960655211543</v>
      </c>
      <c r="C326" s="2" t="s">
        <v>226</v>
      </c>
    </row>
    <row r="327" spans="1:3" x14ac:dyDescent="0.2">
      <c r="A327" s="2">
        <v>325</v>
      </c>
      <c r="B327" s="2">
        <f t="shared" ca="1" si="5"/>
        <v>0.6641729308628731</v>
      </c>
      <c r="C327" s="2" t="s">
        <v>226</v>
      </c>
    </row>
    <row r="328" spans="1:3" x14ac:dyDescent="0.2">
      <c r="A328" s="2">
        <v>326</v>
      </c>
      <c r="B328" s="2">
        <f t="shared" ca="1" si="5"/>
        <v>0.77241298747607179</v>
      </c>
      <c r="C328" s="2" t="s">
        <v>227</v>
      </c>
    </row>
    <row r="329" spans="1:3" x14ac:dyDescent="0.2">
      <c r="A329" s="2">
        <v>327</v>
      </c>
      <c r="B329" s="2">
        <f t="shared" ca="1" si="5"/>
        <v>0.59420370977469661</v>
      </c>
      <c r="C329" s="2" t="s">
        <v>226</v>
      </c>
    </row>
    <row r="330" spans="1:3" x14ac:dyDescent="0.2">
      <c r="A330" s="2">
        <v>328</v>
      </c>
      <c r="B330" s="2">
        <f t="shared" ca="1" si="5"/>
        <v>0.36179449886049503</v>
      </c>
      <c r="C330" s="2" t="s">
        <v>226</v>
      </c>
    </row>
    <row r="331" spans="1:3" x14ac:dyDescent="0.2">
      <c r="A331" s="2">
        <v>329</v>
      </c>
      <c r="B331" s="2">
        <f t="shared" ca="1" si="5"/>
        <v>0.74315070416503448</v>
      </c>
      <c r="C331" s="2" t="s">
        <v>227</v>
      </c>
    </row>
    <row r="332" spans="1:3" x14ac:dyDescent="0.2">
      <c r="A332" s="2">
        <v>330</v>
      </c>
      <c r="B332" s="2">
        <f t="shared" ca="1" si="5"/>
        <v>0.30763052838583826</v>
      </c>
      <c r="C332" s="2" t="s">
        <v>226</v>
      </c>
    </row>
    <row r="333" spans="1:3" x14ac:dyDescent="0.2">
      <c r="A333" s="2">
        <v>331</v>
      </c>
      <c r="B333" s="2">
        <f t="shared" ca="1" si="5"/>
        <v>0.38260003536705567</v>
      </c>
      <c r="C333" s="2" t="s">
        <v>226</v>
      </c>
    </row>
    <row r="334" spans="1:3" x14ac:dyDescent="0.2">
      <c r="A334" s="2">
        <v>332</v>
      </c>
      <c r="B334" s="2">
        <f t="shared" ca="1" si="5"/>
        <v>0.75456492845088485</v>
      </c>
      <c r="C334" s="2" t="s">
        <v>227</v>
      </c>
    </row>
    <row r="335" spans="1:3" x14ac:dyDescent="0.2">
      <c r="A335" s="2">
        <v>333</v>
      </c>
      <c r="B335" s="2">
        <f t="shared" ca="1" si="5"/>
        <v>0.61008115300017451</v>
      </c>
      <c r="C335" s="2" t="s">
        <v>226</v>
      </c>
    </row>
    <row r="336" spans="1:3" x14ac:dyDescent="0.2">
      <c r="A336" s="2">
        <v>334</v>
      </c>
      <c r="B336" s="2">
        <f t="shared" ca="1" si="5"/>
        <v>0.7855709797072038</v>
      </c>
      <c r="C336" s="2" t="s">
        <v>226</v>
      </c>
    </row>
    <row r="337" spans="1:3" x14ac:dyDescent="0.2">
      <c r="A337" s="2">
        <v>335</v>
      </c>
      <c r="B337" s="2">
        <f t="shared" ca="1" si="5"/>
        <v>0.63649192870566962</v>
      </c>
      <c r="C337" s="2" t="s">
        <v>226</v>
      </c>
    </row>
    <row r="338" spans="1:3" x14ac:dyDescent="0.2">
      <c r="A338" s="2">
        <v>336</v>
      </c>
      <c r="B338" s="2">
        <f t="shared" ca="1" si="5"/>
        <v>0.6362740464423311</v>
      </c>
      <c r="C338" s="2" t="s">
        <v>227</v>
      </c>
    </row>
    <row r="339" spans="1:3" x14ac:dyDescent="0.2">
      <c r="A339" s="2">
        <v>337</v>
      </c>
      <c r="B339" s="2">
        <f t="shared" ca="1" si="5"/>
        <v>0.85944900373471533</v>
      </c>
      <c r="C339" s="2" t="s">
        <v>227</v>
      </c>
    </row>
    <row r="340" spans="1:3" x14ac:dyDescent="0.2">
      <c r="A340" s="2">
        <v>338</v>
      </c>
      <c r="B340" s="2">
        <f t="shared" ca="1" si="5"/>
        <v>0.57058712153508107</v>
      </c>
      <c r="C340" s="2" t="s">
        <v>227</v>
      </c>
    </row>
    <row r="341" spans="1:3" x14ac:dyDescent="0.2">
      <c r="A341" s="2">
        <v>339</v>
      </c>
      <c r="B341" s="2">
        <f t="shared" ca="1" si="5"/>
        <v>0.5699365431048905</v>
      </c>
      <c r="C341" s="2" t="s">
        <v>226</v>
      </c>
    </row>
    <row r="342" spans="1:3" x14ac:dyDescent="0.2">
      <c r="A342" s="2">
        <v>340</v>
      </c>
      <c r="B342" s="2">
        <f t="shared" ca="1" si="5"/>
        <v>0.54972304544686179</v>
      </c>
      <c r="C342" s="2" t="s">
        <v>226</v>
      </c>
    </row>
    <row r="343" spans="1:3" x14ac:dyDescent="0.2">
      <c r="A343" s="2">
        <v>341</v>
      </c>
      <c r="B343" s="2">
        <f t="shared" ca="1" si="5"/>
        <v>0.50421301495356807</v>
      </c>
      <c r="C343" s="2" t="s">
        <v>226</v>
      </c>
    </row>
    <row r="344" spans="1:3" x14ac:dyDescent="0.2">
      <c r="A344" s="2">
        <v>342</v>
      </c>
      <c r="B344" s="2">
        <f t="shared" ca="1" si="5"/>
        <v>0.58746144562059932</v>
      </c>
      <c r="C344" s="2" t="s">
        <v>226</v>
      </c>
    </row>
    <row r="345" spans="1:3" x14ac:dyDescent="0.2">
      <c r="A345" s="2">
        <v>343</v>
      </c>
      <c r="B345" s="2">
        <f t="shared" ca="1" si="5"/>
        <v>0.57537608883091318</v>
      </c>
      <c r="C345" s="2" t="s">
        <v>227</v>
      </c>
    </row>
    <row r="346" spans="1:3" x14ac:dyDescent="0.2">
      <c r="A346" s="2">
        <v>344</v>
      </c>
      <c r="B346" s="2">
        <f t="shared" ca="1" si="5"/>
        <v>0.62149816834625082</v>
      </c>
      <c r="C346" s="2" t="s">
        <v>227</v>
      </c>
    </row>
    <row r="347" spans="1:3" x14ac:dyDescent="0.2">
      <c r="A347" s="2">
        <v>345</v>
      </c>
      <c r="B347" s="2">
        <f t="shared" ca="1" si="5"/>
        <v>0.71597891795777113</v>
      </c>
      <c r="C347" s="2" t="s">
        <v>226</v>
      </c>
    </row>
    <row r="348" spans="1:3" x14ac:dyDescent="0.2">
      <c r="A348" s="2">
        <v>346</v>
      </c>
      <c r="B348" s="2">
        <f t="shared" ca="1" si="5"/>
        <v>0.68396244311216203</v>
      </c>
      <c r="C348" s="2" t="s">
        <v>227</v>
      </c>
    </row>
    <row r="349" spans="1:3" x14ac:dyDescent="0.2">
      <c r="A349" s="2">
        <v>347</v>
      </c>
      <c r="B349" s="2">
        <f t="shared" ca="1" si="5"/>
        <v>0.30143111978274045</v>
      </c>
      <c r="C349" s="2" t="s">
        <v>226</v>
      </c>
    </row>
    <row r="350" spans="1:3" x14ac:dyDescent="0.2">
      <c r="A350" s="2">
        <v>348</v>
      </c>
      <c r="B350" s="2">
        <f t="shared" ca="1" si="5"/>
        <v>0.67296690026887274</v>
      </c>
      <c r="C350" s="2" t="s">
        <v>227</v>
      </c>
    </row>
    <row r="351" spans="1:3" x14ac:dyDescent="0.2">
      <c r="A351" s="2">
        <v>349</v>
      </c>
      <c r="B351" s="2">
        <f t="shared" ca="1" si="5"/>
        <v>0.68397526453945645</v>
      </c>
      <c r="C351" s="2" t="s">
        <v>227</v>
      </c>
    </row>
    <row r="352" spans="1:3" x14ac:dyDescent="0.2">
      <c r="A352" s="2">
        <v>350</v>
      </c>
      <c r="B352" s="2">
        <f t="shared" ca="1" si="5"/>
        <v>0.79649315111955854</v>
      </c>
      <c r="C352" s="2" t="s">
        <v>226</v>
      </c>
    </row>
    <row r="353" spans="1:3" x14ac:dyDescent="0.2">
      <c r="A353" s="2">
        <v>351</v>
      </c>
      <c r="B353" s="2">
        <f t="shared" ca="1" si="5"/>
        <v>0.54966736637904001</v>
      </c>
      <c r="C353" s="2" t="s">
        <v>226</v>
      </c>
    </row>
    <row r="354" spans="1:3" x14ac:dyDescent="0.2">
      <c r="A354" s="2">
        <v>352</v>
      </c>
      <c r="B354" s="2">
        <f t="shared" ca="1" si="5"/>
        <v>0.73974532915648938</v>
      </c>
      <c r="C354" s="2" t="s">
        <v>226</v>
      </c>
    </row>
    <row r="355" spans="1:3" x14ac:dyDescent="0.2">
      <c r="A355" s="2">
        <v>353</v>
      </c>
      <c r="B355" s="2">
        <f t="shared" ca="1" si="5"/>
        <v>0.66512749132326943</v>
      </c>
      <c r="C355" s="2" t="s">
        <v>227</v>
      </c>
    </row>
    <row r="356" spans="1:3" x14ac:dyDescent="0.2">
      <c r="A356" s="2">
        <v>354</v>
      </c>
      <c r="B356" s="2">
        <f t="shared" ca="1" si="5"/>
        <v>0.678357752789704</v>
      </c>
      <c r="C356" s="2" t="s">
        <v>227</v>
      </c>
    </row>
    <row r="357" spans="1:3" x14ac:dyDescent="0.2">
      <c r="A357" s="2">
        <v>355</v>
      </c>
      <c r="B357" s="2">
        <f t="shared" ca="1" si="5"/>
        <v>0.53547091293256066</v>
      </c>
      <c r="C357" s="2" t="s">
        <v>227</v>
      </c>
    </row>
    <row r="358" spans="1:3" x14ac:dyDescent="0.2">
      <c r="A358" s="2">
        <v>356</v>
      </c>
      <c r="B358" s="2">
        <f t="shared" ca="1" si="5"/>
        <v>0.72311792426880617</v>
      </c>
      <c r="C358" s="2" t="s">
        <v>227</v>
      </c>
    </row>
    <row r="359" spans="1:3" x14ac:dyDescent="0.2">
      <c r="A359" s="2">
        <v>357</v>
      </c>
      <c r="B359" s="2">
        <f t="shared" ca="1" si="5"/>
        <v>0.73205121510931725</v>
      </c>
      <c r="C359" s="2" t="s">
        <v>226</v>
      </c>
    </row>
    <row r="360" spans="1:3" x14ac:dyDescent="0.2">
      <c r="A360" s="2">
        <v>358</v>
      </c>
      <c r="B360" s="2">
        <f t="shared" ca="1" si="5"/>
        <v>0.76456340768774766</v>
      </c>
      <c r="C360" s="2" t="s">
        <v>227</v>
      </c>
    </row>
    <row r="361" spans="1:3" x14ac:dyDescent="0.2">
      <c r="A361" s="2">
        <v>359</v>
      </c>
      <c r="B361" s="2">
        <f t="shared" ca="1" si="5"/>
        <v>0.5960122286097127</v>
      </c>
      <c r="C361" s="2" t="s">
        <v>226</v>
      </c>
    </row>
    <row r="362" spans="1:3" x14ac:dyDescent="0.2">
      <c r="A362" s="2">
        <v>360</v>
      </c>
      <c r="B362" s="2">
        <f t="shared" ca="1" si="5"/>
        <v>0.66193648991573228</v>
      </c>
      <c r="C362" s="2" t="s">
        <v>226</v>
      </c>
    </row>
    <row r="363" spans="1:3" x14ac:dyDescent="0.2">
      <c r="A363" s="2">
        <v>361</v>
      </c>
      <c r="B363" s="2">
        <f t="shared" ca="1" si="5"/>
        <v>0.75281444981848489</v>
      </c>
      <c r="C363" s="2" t="s">
        <v>227</v>
      </c>
    </row>
    <row r="364" spans="1:3" x14ac:dyDescent="0.2">
      <c r="A364" s="2">
        <v>362</v>
      </c>
      <c r="B364" s="2">
        <f t="shared" ca="1" si="5"/>
        <v>0.63802357231003015</v>
      </c>
      <c r="C364" s="2" t="s">
        <v>227</v>
      </c>
    </row>
    <row r="365" spans="1:3" x14ac:dyDescent="0.2">
      <c r="A365" s="2">
        <v>363</v>
      </c>
      <c r="B365" s="2">
        <f t="shared" ca="1" si="5"/>
        <v>0.4626137458180557</v>
      </c>
      <c r="C365" s="2" t="s">
        <v>226</v>
      </c>
    </row>
    <row r="366" spans="1:3" x14ac:dyDescent="0.2">
      <c r="A366" s="2">
        <v>364</v>
      </c>
      <c r="B366" s="2">
        <f t="shared" ca="1" si="5"/>
        <v>0.66413151771498491</v>
      </c>
      <c r="C366" s="2" t="s">
        <v>227</v>
      </c>
    </row>
    <row r="367" spans="1:3" x14ac:dyDescent="0.2">
      <c r="A367" s="2">
        <v>365</v>
      </c>
      <c r="B367" s="2">
        <f t="shared" ca="1" si="5"/>
        <v>0.79586006245787289</v>
      </c>
      <c r="C367" s="2" t="s">
        <v>226</v>
      </c>
    </row>
    <row r="368" spans="1:3" x14ac:dyDescent="0.2">
      <c r="A368" s="2">
        <v>366</v>
      </c>
      <c r="B368" s="2">
        <f t="shared" ca="1" si="5"/>
        <v>0.60499598528099063</v>
      </c>
      <c r="C368" s="2" t="s">
        <v>226</v>
      </c>
    </row>
    <row r="369" spans="1:3" x14ac:dyDescent="0.2">
      <c r="A369" s="2">
        <v>367</v>
      </c>
      <c r="B369" s="2">
        <f t="shared" ca="1" si="5"/>
        <v>0.49867638988751611</v>
      </c>
      <c r="C369" s="2" t="s">
        <v>227</v>
      </c>
    </row>
    <row r="370" spans="1:3" x14ac:dyDescent="0.2">
      <c r="A370" s="2">
        <v>368</v>
      </c>
      <c r="B370" s="2">
        <f t="shared" ca="1" si="5"/>
        <v>0.67066557570366037</v>
      </c>
      <c r="C370" s="2" t="s">
        <v>227</v>
      </c>
    </row>
    <row r="371" spans="1:3" x14ac:dyDescent="0.2">
      <c r="A371" s="2">
        <v>369</v>
      </c>
      <c r="B371" s="2">
        <f t="shared" ca="1" si="5"/>
        <v>0.72939690278725866</v>
      </c>
      <c r="C371" s="2" t="s">
        <v>226</v>
      </c>
    </row>
    <row r="372" spans="1:3" x14ac:dyDescent="0.2">
      <c r="A372" s="2">
        <v>370</v>
      </c>
      <c r="B372" s="2">
        <f t="shared" ca="1" si="5"/>
        <v>0.46540762597279173</v>
      </c>
      <c r="C372" s="2" t="s">
        <v>227</v>
      </c>
    </row>
    <row r="373" spans="1:3" x14ac:dyDescent="0.2">
      <c r="A373" s="2">
        <v>371</v>
      </c>
      <c r="B373" s="2">
        <f t="shared" ca="1" si="5"/>
        <v>0.63128412562814584</v>
      </c>
      <c r="C373" s="2" t="s">
        <v>227</v>
      </c>
    </row>
    <row r="374" spans="1:3" x14ac:dyDescent="0.2">
      <c r="A374" s="2">
        <v>372</v>
      </c>
      <c r="B374" s="2">
        <f t="shared" ca="1" si="5"/>
        <v>0.67236448438673801</v>
      </c>
      <c r="C374" s="2" t="s">
        <v>226</v>
      </c>
    </row>
    <row r="375" spans="1:3" x14ac:dyDescent="0.2">
      <c r="A375" s="2">
        <v>373</v>
      </c>
      <c r="B375" s="2">
        <f t="shared" ca="1" si="5"/>
        <v>0.94116239397853807</v>
      </c>
      <c r="C375" s="2" t="s">
        <v>227</v>
      </c>
    </row>
    <row r="376" spans="1:3" x14ac:dyDescent="0.2">
      <c r="A376" s="2">
        <v>374</v>
      </c>
      <c r="B376" s="2">
        <f t="shared" ca="1" si="5"/>
        <v>0.65358232687269713</v>
      </c>
      <c r="C376" s="2" t="s">
        <v>227</v>
      </c>
    </row>
    <row r="377" spans="1:3" x14ac:dyDescent="0.2">
      <c r="A377" s="2">
        <v>375</v>
      </c>
      <c r="B377" s="2">
        <f t="shared" ca="1" si="5"/>
        <v>0.54973371075974298</v>
      </c>
      <c r="C377" s="2" t="s">
        <v>226</v>
      </c>
    </row>
    <row r="378" spans="1:3" x14ac:dyDescent="0.2">
      <c r="A378" s="2">
        <v>376</v>
      </c>
      <c r="B378" s="2">
        <f t="shared" ca="1" si="5"/>
        <v>0.80107917220718927</v>
      </c>
      <c r="C378" s="2" t="s">
        <v>227</v>
      </c>
    </row>
    <row r="379" spans="1:3" x14ac:dyDescent="0.2">
      <c r="A379" s="2">
        <v>377</v>
      </c>
      <c r="B379" s="2">
        <f t="shared" ca="1" si="5"/>
        <v>0.86722695663123139</v>
      </c>
      <c r="C379" s="2" t="s">
        <v>227</v>
      </c>
    </row>
    <row r="380" spans="1:3" x14ac:dyDescent="0.2">
      <c r="A380" s="2">
        <v>378</v>
      </c>
      <c r="B380" s="2">
        <f t="shared" ca="1" si="5"/>
        <v>0.50954587630011827</v>
      </c>
      <c r="C380" s="2" t="s">
        <v>227</v>
      </c>
    </row>
    <row r="381" spans="1:3" x14ac:dyDescent="0.2">
      <c r="A381" s="2">
        <v>379</v>
      </c>
      <c r="B381" s="2">
        <f t="shared" ca="1" si="5"/>
        <v>0.71692097592643234</v>
      </c>
      <c r="C381" s="2" t="s">
        <v>227</v>
      </c>
    </row>
    <row r="382" spans="1:3" x14ac:dyDescent="0.2">
      <c r="A382" s="2">
        <v>380</v>
      </c>
      <c r="B382" s="2">
        <f t="shared" ca="1" si="5"/>
        <v>0.71732017651828994</v>
      </c>
      <c r="C382" s="2" t="s">
        <v>227</v>
      </c>
    </row>
    <row r="383" spans="1:3" x14ac:dyDescent="0.2">
      <c r="A383" s="2">
        <v>381</v>
      </c>
      <c r="B383" s="2">
        <f t="shared" ca="1" si="5"/>
        <v>0.65234179689272065</v>
      </c>
      <c r="C383" s="2" t="s">
        <v>227</v>
      </c>
    </row>
    <row r="384" spans="1:3" x14ac:dyDescent="0.2">
      <c r="A384" s="2">
        <v>382</v>
      </c>
      <c r="B384" s="2">
        <f t="shared" ca="1" si="5"/>
        <v>0.62975202908101613</v>
      </c>
      <c r="C384" s="2" t="s">
        <v>227</v>
      </c>
    </row>
    <row r="385" spans="1:3" x14ac:dyDescent="0.2">
      <c r="A385" s="2">
        <v>383</v>
      </c>
      <c r="B385" s="2">
        <f t="shared" ca="1" si="5"/>
        <v>0.60451419322526101</v>
      </c>
      <c r="C385" s="2" t="s">
        <v>226</v>
      </c>
    </row>
    <row r="386" spans="1:3" x14ac:dyDescent="0.2">
      <c r="A386" s="2">
        <v>384</v>
      </c>
      <c r="B386" s="2">
        <f t="shared" ca="1" si="5"/>
        <v>0.61231493334109055</v>
      </c>
      <c r="C386" s="2" t="s">
        <v>227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0.42290110900732991</v>
      </c>
      <c r="C387" s="2" t="s">
        <v>226</v>
      </c>
    </row>
    <row r="388" spans="1:3" x14ac:dyDescent="0.2">
      <c r="A388" s="2">
        <v>386</v>
      </c>
      <c r="B388" s="2">
        <f t="shared" ca="1" si="6"/>
        <v>0.64735046927765705</v>
      </c>
      <c r="C388" s="2" t="s">
        <v>226</v>
      </c>
    </row>
    <row r="389" spans="1:3" x14ac:dyDescent="0.2">
      <c r="A389" s="2">
        <v>387</v>
      </c>
      <c r="B389" s="2">
        <f t="shared" ca="1" si="6"/>
        <v>0.56358158041444073</v>
      </c>
      <c r="C389" s="2" t="s">
        <v>226</v>
      </c>
    </row>
    <row r="390" spans="1:3" x14ac:dyDescent="0.2">
      <c r="A390" s="2">
        <v>388</v>
      </c>
      <c r="B390" s="2">
        <f t="shared" ca="1" si="6"/>
        <v>0.57545064434662974</v>
      </c>
      <c r="C390" s="2" t="s">
        <v>226</v>
      </c>
    </row>
    <row r="391" spans="1:3" x14ac:dyDescent="0.2">
      <c r="A391" s="2">
        <v>389</v>
      </c>
      <c r="B391" s="2">
        <f t="shared" ca="1" si="6"/>
        <v>0.42141239307251632</v>
      </c>
      <c r="C391" s="2" t="s">
        <v>226</v>
      </c>
    </row>
    <row r="392" spans="1:3" x14ac:dyDescent="0.2">
      <c r="A392" s="2">
        <v>390</v>
      </c>
      <c r="B392" s="2">
        <f t="shared" ca="1" si="6"/>
        <v>0.67319922108519226</v>
      </c>
      <c r="C392" s="2" t="s">
        <v>227</v>
      </c>
    </row>
    <row r="393" spans="1:3" x14ac:dyDescent="0.2">
      <c r="A393" s="2">
        <v>391</v>
      </c>
      <c r="B393" s="2">
        <f t="shared" ca="1" si="6"/>
        <v>0.71074931331310243</v>
      </c>
      <c r="C393" s="2" t="s">
        <v>227</v>
      </c>
    </row>
    <row r="394" spans="1:3" x14ac:dyDescent="0.2">
      <c r="A394" s="2">
        <v>392</v>
      </c>
      <c r="B394" s="2">
        <f t="shared" ca="1" si="6"/>
        <v>0.83902901328004953</v>
      </c>
      <c r="C394" s="2" t="s">
        <v>226</v>
      </c>
    </row>
    <row r="395" spans="1:3" x14ac:dyDescent="0.2">
      <c r="A395" s="2">
        <v>393</v>
      </c>
      <c r="B395" s="2">
        <f t="shared" ca="1" si="6"/>
        <v>0.616307181987372</v>
      </c>
      <c r="C395" s="2" t="s">
        <v>226</v>
      </c>
    </row>
    <row r="396" spans="1:3" x14ac:dyDescent="0.2">
      <c r="A396" s="2">
        <v>394</v>
      </c>
      <c r="B396" s="2">
        <f t="shared" ca="1" si="6"/>
        <v>0.45632608696299215</v>
      </c>
      <c r="C396" s="2" t="s">
        <v>226</v>
      </c>
    </row>
    <row r="397" spans="1:3" x14ac:dyDescent="0.2">
      <c r="A397" s="2">
        <v>395</v>
      </c>
      <c r="B397" s="2">
        <f t="shared" ca="1" si="6"/>
        <v>0.68396025326671706</v>
      </c>
      <c r="C397" s="2" t="s">
        <v>227</v>
      </c>
    </row>
    <row r="398" spans="1:3" x14ac:dyDescent="0.2">
      <c r="A398" s="2">
        <v>396</v>
      </c>
      <c r="B398" s="2">
        <f t="shared" ca="1" si="6"/>
        <v>0.6321767001257419</v>
      </c>
      <c r="C398" s="2" t="s">
        <v>227</v>
      </c>
    </row>
    <row r="399" spans="1:3" x14ac:dyDescent="0.2">
      <c r="A399" s="2">
        <v>397</v>
      </c>
      <c r="B399" s="2">
        <f t="shared" ca="1" si="6"/>
        <v>0.76634935724844788</v>
      </c>
      <c r="C399" s="2" t="s">
        <v>226</v>
      </c>
    </row>
    <row r="400" spans="1:3" x14ac:dyDescent="0.2">
      <c r="A400" s="2">
        <v>398</v>
      </c>
      <c r="B400" s="2">
        <f t="shared" ca="1" si="6"/>
        <v>0.58845260908576114</v>
      </c>
      <c r="C400" s="2" t="s">
        <v>227</v>
      </c>
    </row>
    <row r="401" spans="1:3" x14ac:dyDescent="0.2">
      <c r="A401" s="2">
        <v>399</v>
      </c>
      <c r="B401" s="2">
        <f t="shared" ca="1" si="6"/>
        <v>0.45049018101894989</v>
      </c>
      <c r="C401" s="2" t="s">
        <v>226</v>
      </c>
    </row>
    <row r="402" spans="1:3" x14ac:dyDescent="0.2">
      <c r="A402" s="2">
        <v>400</v>
      </c>
      <c r="B402" s="2">
        <f t="shared" ca="1" si="6"/>
        <v>0.66036763498942574</v>
      </c>
      <c r="C402" s="2" t="s">
        <v>227</v>
      </c>
    </row>
    <row r="403" spans="1:3" x14ac:dyDescent="0.2">
      <c r="A403" s="2">
        <v>401</v>
      </c>
      <c r="B403" s="2">
        <f t="shared" ca="1" si="6"/>
        <v>0.62101157066521329</v>
      </c>
      <c r="C403" s="2" t="s">
        <v>226</v>
      </c>
    </row>
    <row r="404" spans="1:3" x14ac:dyDescent="0.2">
      <c r="A404" s="2">
        <v>402</v>
      </c>
      <c r="B404" s="2">
        <f t="shared" ca="1" si="6"/>
        <v>0.52996364866663881</v>
      </c>
      <c r="C404" s="2" t="s">
        <v>226</v>
      </c>
    </row>
    <row r="405" spans="1:3" x14ac:dyDescent="0.2">
      <c r="A405" s="2">
        <v>403</v>
      </c>
      <c r="B405" s="2">
        <f t="shared" ca="1" si="6"/>
        <v>0.67715682965982116</v>
      </c>
      <c r="C405" s="2" t="s">
        <v>226</v>
      </c>
    </row>
    <row r="406" spans="1:3" x14ac:dyDescent="0.2">
      <c r="A406" s="2">
        <v>404</v>
      </c>
      <c r="B406" s="2">
        <f t="shared" ca="1" si="6"/>
        <v>0.68666144828887399</v>
      </c>
      <c r="C406" s="2" t="s">
        <v>227</v>
      </c>
    </row>
    <row r="407" spans="1:3" x14ac:dyDescent="0.2">
      <c r="A407" s="2">
        <v>405</v>
      </c>
      <c r="B407" s="2">
        <f t="shared" ca="1" si="6"/>
        <v>0.67708243101061516</v>
      </c>
      <c r="C407" s="2" t="s">
        <v>227</v>
      </c>
    </row>
    <row r="408" spans="1:3" x14ac:dyDescent="0.2">
      <c r="A408" s="2">
        <v>406</v>
      </c>
      <c r="B408" s="2">
        <f t="shared" ca="1" si="6"/>
        <v>0.58147695819901823</v>
      </c>
      <c r="C408" s="2" t="s">
        <v>226</v>
      </c>
    </row>
    <row r="409" spans="1:3" x14ac:dyDescent="0.2">
      <c r="A409" s="2">
        <v>407</v>
      </c>
      <c r="B409" s="2">
        <f t="shared" ca="1" si="6"/>
        <v>0.8017750791452527</v>
      </c>
      <c r="C409" s="2" t="s">
        <v>226</v>
      </c>
    </row>
    <row r="410" spans="1:3" x14ac:dyDescent="0.2">
      <c r="A410" s="2">
        <v>408</v>
      </c>
      <c r="B410" s="2">
        <f t="shared" ca="1" si="6"/>
        <v>0.67756555990351963</v>
      </c>
      <c r="C410" s="2" t="s">
        <v>227</v>
      </c>
    </row>
    <row r="411" spans="1:3" x14ac:dyDescent="0.2">
      <c r="A411" s="2">
        <v>409</v>
      </c>
      <c r="B411" s="2">
        <f t="shared" ca="1" si="6"/>
        <v>0.74931918518279028</v>
      </c>
      <c r="C411" s="2" t="s">
        <v>227</v>
      </c>
    </row>
    <row r="412" spans="1:3" x14ac:dyDescent="0.2">
      <c r="A412" s="2">
        <v>410</v>
      </c>
      <c r="B412" s="2">
        <f t="shared" ca="1" si="6"/>
        <v>0.68750238895747717</v>
      </c>
      <c r="C412" s="2" t="s">
        <v>227</v>
      </c>
    </row>
    <row r="413" spans="1:3" x14ac:dyDescent="0.2">
      <c r="A413" s="2">
        <v>411</v>
      </c>
      <c r="B413" s="2">
        <f t="shared" ca="1" si="6"/>
        <v>0.74988882585237226</v>
      </c>
      <c r="C413" s="2" t="s">
        <v>226</v>
      </c>
    </row>
    <row r="414" spans="1:3" x14ac:dyDescent="0.2">
      <c r="A414" s="2">
        <v>412</v>
      </c>
      <c r="B414" s="2">
        <f t="shared" ca="1" si="6"/>
        <v>0.70440053967245009</v>
      </c>
      <c r="C414" s="2" t="s">
        <v>226</v>
      </c>
    </row>
    <row r="415" spans="1:3" x14ac:dyDescent="0.2">
      <c r="A415" s="2">
        <v>413</v>
      </c>
      <c r="B415" s="2">
        <f t="shared" ca="1" si="6"/>
        <v>0.57938278146626598</v>
      </c>
      <c r="C415" s="2" t="s">
        <v>227</v>
      </c>
    </row>
    <row r="416" spans="1:3" x14ac:dyDescent="0.2">
      <c r="A416" s="2">
        <v>414</v>
      </c>
      <c r="B416" s="2">
        <f t="shared" ca="1" si="6"/>
        <v>0.73865114107611252</v>
      </c>
      <c r="C416" s="2" t="s">
        <v>227</v>
      </c>
    </row>
    <row r="417" spans="1:3" x14ac:dyDescent="0.2">
      <c r="A417" s="2">
        <v>415</v>
      </c>
      <c r="B417" s="2">
        <f t="shared" ca="1" si="6"/>
        <v>0.37668994883075496</v>
      </c>
      <c r="C417" s="2" t="s">
        <v>226</v>
      </c>
    </row>
    <row r="418" spans="1:3" x14ac:dyDescent="0.2">
      <c r="A418" s="2">
        <v>416</v>
      </c>
      <c r="B418" s="2">
        <f t="shared" ca="1" si="6"/>
        <v>0.78563259472056479</v>
      </c>
      <c r="C418" s="2" t="s">
        <v>227</v>
      </c>
    </row>
    <row r="419" spans="1:3" x14ac:dyDescent="0.2">
      <c r="A419" s="2">
        <v>417</v>
      </c>
      <c r="B419" s="2">
        <f t="shared" ca="1" si="6"/>
        <v>0.68070929104953037</v>
      </c>
      <c r="C419" s="2" t="s">
        <v>227</v>
      </c>
    </row>
    <row r="420" spans="1:3" x14ac:dyDescent="0.2">
      <c r="A420" s="2">
        <v>418</v>
      </c>
      <c r="B420" s="2">
        <f t="shared" ca="1" si="6"/>
        <v>0.67886425704698938</v>
      </c>
      <c r="C420" s="2" t="s">
        <v>226</v>
      </c>
    </row>
    <row r="421" spans="1:3" x14ac:dyDescent="0.2">
      <c r="A421" s="2">
        <v>419</v>
      </c>
      <c r="B421" s="2">
        <f t="shared" ca="1" si="6"/>
        <v>0.61154411218952942</v>
      </c>
      <c r="C421" s="2" t="s">
        <v>226</v>
      </c>
    </row>
    <row r="422" spans="1:3" x14ac:dyDescent="0.2">
      <c r="A422" s="2">
        <v>420</v>
      </c>
      <c r="B422" s="2">
        <f t="shared" ca="1" si="6"/>
        <v>0.57837054717615755</v>
      </c>
      <c r="C422" s="2" t="s">
        <v>227</v>
      </c>
    </row>
    <row r="423" spans="1:3" x14ac:dyDescent="0.2">
      <c r="A423" s="2">
        <v>421</v>
      </c>
      <c r="B423" s="2">
        <f t="shared" ca="1" si="6"/>
        <v>0.56258636072383383</v>
      </c>
      <c r="C423" s="2" t="s">
        <v>227</v>
      </c>
    </row>
    <row r="424" spans="1:3" x14ac:dyDescent="0.2">
      <c r="A424" s="2">
        <v>422</v>
      </c>
      <c r="B424" s="2">
        <f t="shared" ca="1" si="6"/>
        <v>0.45081124818122725</v>
      </c>
      <c r="C424" s="2" t="s">
        <v>226</v>
      </c>
    </row>
    <row r="425" spans="1:3" x14ac:dyDescent="0.2">
      <c r="A425" s="2">
        <v>423</v>
      </c>
      <c r="B425" s="2">
        <f t="shared" ca="1" si="6"/>
        <v>0.68076132392294209</v>
      </c>
      <c r="C425" s="2" t="s">
        <v>226</v>
      </c>
    </row>
    <row r="426" spans="1:3" x14ac:dyDescent="0.2">
      <c r="A426" s="2">
        <v>424</v>
      </c>
      <c r="B426" s="2">
        <f t="shared" ca="1" si="6"/>
        <v>0.70331084302856672</v>
      </c>
      <c r="C426" s="2" t="s">
        <v>226</v>
      </c>
    </row>
    <row r="427" spans="1:3" x14ac:dyDescent="0.2">
      <c r="A427" s="2">
        <v>425</v>
      </c>
      <c r="B427" s="2">
        <f t="shared" ca="1" si="6"/>
        <v>0.77277267958482643</v>
      </c>
      <c r="C427" s="2" t="s">
        <v>227</v>
      </c>
    </row>
    <row r="428" spans="1:3" x14ac:dyDescent="0.2">
      <c r="A428" s="2">
        <v>426</v>
      </c>
      <c r="B428" s="2">
        <f t="shared" ca="1" si="6"/>
        <v>0.66852701744226528</v>
      </c>
      <c r="C428" s="2" t="s">
        <v>226</v>
      </c>
    </row>
    <row r="429" spans="1:3" x14ac:dyDescent="0.2">
      <c r="A429" s="2">
        <v>427</v>
      </c>
      <c r="B429" s="2">
        <f t="shared" ca="1" si="6"/>
        <v>0.62381135203665417</v>
      </c>
      <c r="C429" s="2" t="s">
        <v>227</v>
      </c>
    </row>
    <row r="430" spans="1:3" x14ac:dyDescent="0.2">
      <c r="A430" s="2">
        <v>428</v>
      </c>
      <c r="B430" s="2">
        <f t="shared" ca="1" si="6"/>
        <v>0.653293802734777</v>
      </c>
      <c r="C430" s="2" t="s">
        <v>226</v>
      </c>
    </row>
    <row r="431" spans="1:3" x14ac:dyDescent="0.2">
      <c r="A431" s="2">
        <v>429</v>
      </c>
      <c r="B431" s="2">
        <f t="shared" ca="1" si="6"/>
        <v>0.696198805459876</v>
      </c>
      <c r="C431" s="2" t="s">
        <v>226</v>
      </c>
    </row>
    <row r="432" spans="1:3" x14ac:dyDescent="0.2">
      <c r="A432" s="2">
        <v>430</v>
      </c>
      <c r="B432" s="2">
        <f t="shared" ca="1" si="6"/>
        <v>0.68752492876364657</v>
      </c>
      <c r="C432" s="2" t="s">
        <v>227</v>
      </c>
    </row>
    <row r="433" spans="1:3" x14ac:dyDescent="0.2">
      <c r="A433" s="2">
        <v>431</v>
      </c>
      <c r="B433" s="2">
        <f t="shared" ca="1" si="6"/>
        <v>0.75764335065657451</v>
      </c>
      <c r="C433" s="2" t="s">
        <v>227</v>
      </c>
    </row>
    <row r="434" spans="1:3" x14ac:dyDescent="0.2">
      <c r="A434" s="2">
        <v>432</v>
      </c>
      <c r="B434" s="2">
        <f t="shared" ca="1" si="6"/>
        <v>0.68366532037813033</v>
      </c>
      <c r="C434" s="2" t="s">
        <v>226</v>
      </c>
    </row>
    <row r="435" spans="1:3" x14ac:dyDescent="0.2">
      <c r="A435" s="2">
        <v>433</v>
      </c>
      <c r="B435" s="2">
        <f t="shared" ca="1" si="6"/>
        <v>0.63535249031650631</v>
      </c>
      <c r="C435" s="2" t="s">
        <v>227</v>
      </c>
    </row>
    <row r="436" spans="1:3" x14ac:dyDescent="0.2">
      <c r="A436" s="2">
        <v>434</v>
      </c>
      <c r="B436" s="2">
        <f t="shared" ca="1" si="6"/>
        <v>0.73963927046928757</v>
      </c>
      <c r="C436" s="2" t="s">
        <v>226</v>
      </c>
    </row>
    <row r="437" spans="1:3" x14ac:dyDescent="0.2">
      <c r="A437" s="2">
        <v>435</v>
      </c>
      <c r="B437" s="2">
        <f t="shared" ca="1" si="6"/>
        <v>0.73052996225069733</v>
      </c>
      <c r="C437" s="2" t="s">
        <v>227</v>
      </c>
    </row>
    <row r="438" spans="1:3" x14ac:dyDescent="0.2">
      <c r="A438" s="2">
        <v>436</v>
      </c>
      <c r="B438" s="2">
        <f t="shared" ca="1" si="6"/>
        <v>0.83034821681624438</v>
      </c>
      <c r="C438" s="2" t="s">
        <v>227</v>
      </c>
    </row>
    <row r="439" spans="1:3" x14ac:dyDescent="0.2">
      <c r="A439" s="2">
        <v>437</v>
      </c>
      <c r="B439" s="2">
        <f t="shared" ca="1" si="6"/>
        <v>0.58389907129188301</v>
      </c>
      <c r="C439" s="2" t="s">
        <v>226</v>
      </c>
    </row>
    <row r="440" spans="1:3" x14ac:dyDescent="0.2">
      <c r="A440" s="2">
        <v>438</v>
      </c>
      <c r="B440" s="2">
        <f t="shared" ca="1" si="6"/>
        <v>0.79905842871041677</v>
      </c>
      <c r="C440" s="2" t="s">
        <v>227</v>
      </c>
    </row>
    <row r="441" spans="1:3" x14ac:dyDescent="0.2">
      <c r="A441" s="2">
        <v>439</v>
      </c>
      <c r="B441" s="2">
        <f t="shared" ca="1" si="6"/>
        <v>0.60885836403294502</v>
      </c>
      <c r="C441" s="2" t="s">
        <v>227</v>
      </c>
    </row>
    <row r="442" spans="1:3" x14ac:dyDescent="0.2">
      <c r="A442" s="2">
        <v>440</v>
      </c>
      <c r="B442" s="2">
        <f t="shared" ca="1" si="6"/>
        <v>0.67115995408799667</v>
      </c>
      <c r="C442" s="2" t="s">
        <v>227</v>
      </c>
    </row>
    <row r="443" spans="1:3" x14ac:dyDescent="0.2">
      <c r="A443" s="2">
        <v>441</v>
      </c>
      <c r="B443" s="2">
        <f t="shared" ca="1" si="6"/>
        <v>0.55523785316962571</v>
      </c>
      <c r="C443" s="2" t="s">
        <v>227</v>
      </c>
    </row>
    <row r="444" spans="1:3" x14ac:dyDescent="0.2">
      <c r="A444" s="2">
        <v>442</v>
      </c>
      <c r="B444" s="2">
        <f t="shared" ca="1" si="6"/>
        <v>0.67859103265884779</v>
      </c>
      <c r="C444" s="2" t="s">
        <v>227</v>
      </c>
    </row>
    <row r="445" spans="1:3" x14ac:dyDescent="0.2">
      <c r="A445" s="2">
        <v>443</v>
      </c>
      <c r="B445" s="2">
        <f t="shared" ca="1" si="6"/>
        <v>0.61401436128244891</v>
      </c>
      <c r="C445" s="2" t="s">
        <v>227</v>
      </c>
    </row>
    <row r="446" spans="1:3" x14ac:dyDescent="0.2">
      <c r="A446" s="2">
        <v>444</v>
      </c>
      <c r="B446" s="2">
        <f t="shared" ca="1" si="6"/>
        <v>0.56375340393436224</v>
      </c>
      <c r="C446" s="2" t="s">
        <v>226</v>
      </c>
    </row>
    <row r="447" spans="1:3" x14ac:dyDescent="0.2">
      <c r="A447" s="2">
        <v>445</v>
      </c>
      <c r="B447" s="2">
        <f t="shared" ca="1" si="6"/>
        <v>0.70343830439399291</v>
      </c>
      <c r="C447" s="2" t="s">
        <v>226</v>
      </c>
    </row>
    <row r="448" spans="1:3" x14ac:dyDescent="0.2">
      <c r="A448" s="2">
        <v>446</v>
      </c>
      <c r="B448" s="2">
        <f t="shared" ca="1" si="6"/>
        <v>0.75983123401047536</v>
      </c>
      <c r="C448" s="2" t="s">
        <v>227</v>
      </c>
    </row>
    <row r="449" spans="1:3" x14ac:dyDescent="0.2">
      <c r="A449" s="2">
        <v>447</v>
      </c>
      <c r="B449" s="2">
        <f t="shared" ca="1" si="6"/>
        <v>0.59419339981610209</v>
      </c>
      <c r="C449" s="2" t="s">
        <v>226</v>
      </c>
    </row>
    <row r="450" spans="1:3" x14ac:dyDescent="0.2">
      <c r="A450" s="2">
        <v>448</v>
      </c>
      <c r="B450" s="2">
        <f t="shared" ca="1" si="6"/>
        <v>0.74355962178517176</v>
      </c>
      <c r="C450" s="2" t="s">
        <v>227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0.84445607695326097</v>
      </c>
      <c r="C451" s="2" t="s">
        <v>227</v>
      </c>
    </row>
    <row r="452" spans="1:3" x14ac:dyDescent="0.2">
      <c r="A452" s="2">
        <v>450</v>
      </c>
      <c r="B452" s="2">
        <f t="shared" ca="1" si="7"/>
        <v>0.71150820841833928</v>
      </c>
      <c r="C452" s="2" t="s">
        <v>226</v>
      </c>
    </row>
    <row r="453" spans="1:3" x14ac:dyDescent="0.2">
      <c r="A453" s="2">
        <v>451</v>
      </c>
      <c r="B453" s="2">
        <f t="shared" ca="1" si="7"/>
        <v>0.79057493701479309</v>
      </c>
      <c r="C453" s="2" t="s">
        <v>227</v>
      </c>
    </row>
    <row r="454" spans="1:3" x14ac:dyDescent="0.2">
      <c r="A454" s="2">
        <v>452</v>
      </c>
      <c r="B454" s="2">
        <f t="shared" ca="1" si="7"/>
        <v>0.84763459995851076</v>
      </c>
      <c r="C454" s="2" t="s">
        <v>227</v>
      </c>
    </row>
    <row r="455" spans="1:3" x14ac:dyDescent="0.2">
      <c r="A455" s="2">
        <v>453</v>
      </c>
      <c r="B455" s="2">
        <f t="shared" ca="1" si="7"/>
        <v>0.60486398491088023</v>
      </c>
      <c r="C455" s="2" t="s">
        <v>226</v>
      </c>
    </row>
    <row r="456" spans="1:3" x14ac:dyDescent="0.2">
      <c r="A456" s="2">
        <v>454</v>
      </c>
      <c r="B456" s="2">
        <f t="shared" ca="1" si="7"/>
        <v>0.59509366000456076</v>
      </c>
      <c r="C456" s="2" t="s">
        <v>227</v>
      </c>
    </row>
    <row r="457" spans="1:3" x14ac:dyDescent="0.2">
      <c r="A457" s="2">
        <v>455</v>
      </c>
      <c r="B457" s="2">
        <f t="shared" ca="1" si="7"/>
        <v>0.59900931563358284</v>
      </c>
      <c r="C457" s="2" t="s">
        <v>226</v>
      </c>
    </row>
    <row r="458" spans="1:3" x14ac:dyDescent="0.2">
      <c r="A458" s="2">
        <v>456</v>
      </c>
      <c r="B458" s="2">
        <f t="shared" ca="1" si="7"/>
        <v>0.63256998713475965</v>
      </c>
      <c r="C458" s="2" t="s">
        <v>226</v>
      </c>
    </row>
    <row r="459" spans="1:3" x14ac:dyDescent="0.2">
      <c r="A459" s="2">
        <v>457</v>
      </c>
      <c r="B459" s="2">
        <f t="shared" ca="1" si="7"/>
        <v>0.54870261055453762</v>
      </c>
      <c r="C459" s="2" t="s">
        <v>226</v>
      </c>
    </row>
    <row r="460" spans="1:3" x14ac:dyDescent="0.2">
      <c r="A460" s="2">
        <v>458</v>
      </c>
      <c r="B460" s="2">
        <f t="shared" ca="1" si="7"/>
        <v>0.83194788957385812</v>
      </c>
      <c r="C460" s="2" t="s">
        <v>226</v>
      </c>
    </row>
    <row r="461" spans="1:3" x14ac:dyDescent="0.2">
      <c r="A461" s="2">
        <v>459</v>
      </c>
      <c r="B461" s="2">
        <f t="shared" ca="1" si="7"/>
        <v>0.69634057083306033</v>
      </c>
      <c r="C461" s="2" t="s">
        <v>227</v>
      </c>
    </row>
    <row r="462" spans="1:3" x14ac:dyDescent="0.2">
      <c r="A462" s="2">
        <v>460</v>
      </c>
      <c r="B462" s="2">
        <f t="shared" ca="1" si="7"/>
        <v>0.78770192982071452</v>
      </c>
      <c r="C462" s="2" t="s">
        <v>227</v>
      </c>
    </row>
    <row r="463" spans="1:3" x14ac:dyDescent="0.2">
      <c r="A463" s="2">
        <v>461</v>
      </c>
      <c r="B463" s="2">
        <f t="shared" ca="1" si="7"/>
        <v>0.26365050905469484</v>
      </c>
      <c r="C463" s="2" t="s">
        <v>226</v>
      </c>
    </row>
    <row r="464" spans="1:3" x14ac:dyDescent="0.2">
      <c r="A464" s="2">
        <v>462</v>
      </c>
      <c r="B464" s="2">
        <f t="shared" ca="1" si="7"/>
        <v>0.83589703175693253</v>
      </c>
      <c r="C464" s="2" t="s">
        <v>227</v>
      </c>
    </row>
    <row r="465" spans="1:3" x14ac:dyDescent="0.2">
      <c r="A465" s="2">
        <v>463</v>
      </c>
      <c r="B465" s="2">
        <f t="shared" ca="1" si="7"/>
        <v>0.75253863540666077</v>
      </c>
      <c r="C465" s="2" t="s">
        <v>227</v>
      </c>
    </row>
    <row r="466" spans="1:3" x14ac:dyDescent="0.2">
      <c r="A466" s="2">
        <v>464</v>
      </c>
      <c r="B466" s="2">
        <f t="shared" ca="1" si="7"/>
        <v>0.69475241460495918</v>
      </c>
      <c r="C466" s="2" t="s">
        <v>227</v>
      </c>
    </row>
    <row r="467" spans="1:3" x14ac:dyDescent="0.2">
      <c r="A467" s="2">
        <v>465</v>
      </c>
      <c r="B467" s="2">
        <f t="shared" ca="1" si="7"/>
        <v>0.64041033240250633</v>
      </c>
      <c r="C467" s="2" t="s">
        <v>227</v>
      </c>
    </row>
    <row r="468" spans="1:3" x14ac:dyDescent="0.2">
      <c r="A468" s="2">
        <v>466</v>
      </c>
      <c r="B468" s="2">
        <f t="shared" ca="1" si="7"/>
        <v>0.76151151739411738</v>
      </c>
      <c r="C468" s="2" t="s">
        <v>226</v>
      </c>
    </row>
    <row r="469" spans="1:3" x14ac:dyDescent="0.2">
      <c r="A469" s="2">
        <v>467</v>
      </c>
      <c r="B469" s="2">
        <f t="shared" ca="1" si="7"/>
        <v>0.77017109612884127</v>
      </c>
      <c r="C469" s="2" t="s">
        <v>226</v>
      </c>
    </row>
    <row r="470" spans="1:3" x14ac:dyDescent="0.2">
      <c r="A470" s="2">
        <v>468</v>
      </c>
      <c r="B470" s="2">
        <f t="shared" ca="1" si="7"/>
        <v>0.49893532362346649</v>
      </c>
      <c r="C470" s="2" t="s">
        <v>226</v>
      </c>
    </row>
    <row r="471" spans="1:3" x14ac:dyDescent="0.2">
      <c r="A471" s="2">
        <v>469</v>
      </c>
      <c r="B471" s="2">
        <f t="shared" ca="1" si="7"/>
        <v>0.76010908300977953</v>
      </c>
      <c r="C471" s="2" t="s">
        <v>227</v>
      </c>
    </row>
    <row r="472" spans="1:3" x14ac:dyDescent="0.2">
      <c r="A472" s="2">
        <v>470</v>
      </c>
      <c r="B472" s="2">
        <f t="shared" ca="1" si="7"/>
        <v>0.86157844759893543</v>
      </c>
      <c r="C472" s="2" t="s">
        <v>226</v>
      </c>
    </row>
    <row r="473" spans="1:3" x14ac:dyDescent="0.2">
      <c r="A473" s="2">
        <v>471</v>
      </c>
      <c r="B473" s="2">
        <f t="shared" ca="1" si="7"/>
        <v>0.67351751596883969</v>
      </c>
      <c r="C473" s="2" t="s">
        <v>227</v>
      </c>
    </row>
    <row r="474" spans="1:3" x14ac:dyDescent="0.2">
      <c r="A474" s="2">
        <v>472</v>
      </c>
      <c r="B474" s="2">
        <f t="shared" ca="1" si="7"/>
        <v>0.72229696847479119</v>
      </c>
      <c r="C474" s="2" t="s">
        <v>227</v>
      </c>
    </row>
    <row r="475" spans="1:3" x14ac:dyDescent="0.2">
      <c r="A475" s="2">
        <v>473</v>
      </c>
      <c r="B475" s="2">
        <f t="shared" ca="1" si="7"/>
        <v>0.7804755451708798</v>
      </c>
      <c r="C475" s="2" t="s">
        <v>227</v>
      </c>
    </row>
    <row r="476" spans="1:3" x14ac:dyDescent="0.2">
      <c r="A476" s="2">
        <v>474</v>
      </c>
      <c r="B476" s="2">
        <f t="shared" ca="1" si="7"/>
        <v>0.48891772106405623</v>
      </c>
      <c r="C476" s="2" t="s">
        <v>226</v>
      </c>
    </row>
    <row r="477" spans="1:3" x14ac:dyDescent="0.2">
      <c r="A477" s="2">
        <v>475</v>
      </c>
      <c r="B477" s="2">
        <f t="shared" ca="1" si="7"/>
        <v>0.54470960737061924</v>
      </c>
      <c r="C477" s="2" t="s">
        <v>227</v>
      </c>
    </row>
    <row r="478" spans="1:3" x14ac:dyDescent="0.2">
      <c r="A478" s="2">
        <v>476</v>
      </c>
      <c r="B478" s="2">
        <f t="shared" ca="1" si="7"/>
        <v>0.60106259003193752</v>
      </c>
      <c r="C478" s="2" t="s">
        <v>227</v>
      </c>
    </row>
    <row r="479" spans="1:3" x14ac:dyDescent="0.2">
      <c r="A479" s="2">
        <v>477</v>
      </c>
      <c r="B479" s="2">
        <f t="shared" ca="1" si="7"/>
        <v>0.72419567785328076</v>
      </c>
      <c r="C479" s="2" t="s">
        <v>226</v>
      </c>
    </row>
    <row r="480" spans="1:3" x14ac:dyDescent="0.2">
      <c r="A480" s="2">
        <v>478</v>
      </c>
      <c r="B480" s="2">
        <f t="shared" ca="1" si="7"/>
        <v>0.49023135765870296</v>
      </c>
      <c r="C480" s="2" t="s">
        <v>226</v>
      </c>
    </row>
    <row r="481" spans="1:3" x14ac:dyDescent="0.2">
      <c r="A481" s="2">
        <v>479</v>
      </c>
      <c r="B481" s="2">
        <f t="shared" ca="1" si="7"/>
        <v>0.58864825144319011</v>
      </c>
      <c r="C481" s="2" t="s">
        <v>227</v>
      </c>
    </row>
    <row r="482" spans="1:3" x14ac:dyDescent="0.2">
      <c r="A482" s="2">
        <v>480</v>
      </c>
      <c r="B482" s="2">
        <f t="shared" ca="1" si="7"/>
        <v>0.75779697990083006</v>
      </c>
      <c r="C482" s="2" t="s">
        <v>227</v>
      </c>
    </row>
    <row r="483" spans="1:3" x14ac:dyDescent="0.2">
      <c r="A483" s="2">
        <v>481</v>
      </c>
      <c r="B483" s="2">
        <f t="shared" ca="1" si="7"/>
        <v>1.0274449108617998</v>
      </c>
      <c r="C483" s="2" t="s">
        <v>226</v>
      </c>
    </row>
    <row r="484" spans="1:3" x14ac:dyDescent="0.2">
      <c r="A484" s="2">
        <v>482</v>
      </c>
      <c r="B484" s="2">
        <f t="shared" ca="1" si="7"/>
        <v>0.51455109391795839</v>
      </c>
      <c r="C484" s="2" t="s">
        <v>226</v>
      </c>
    </row>
    <row r="485" spans="1:3" x14ac:dyDescent="0.2">
      <c r="A485" s="2">
        <v>483</v>
      </c>
      <c r="B485" s="2">
        <f t="shared" ca="1" si="7"/>
        <v>0.65850012833584903</v>
      </c>
      <c r="C485" s="2" t="s">
        <v>227</v>
      </c>
    </row>
    <row r="486" spans="1:3" x14ac:dyDescent="0.2">
      <c r="A486" s="2">
        <v>484</v>
      </c>
      <c r="B486" s="2">
        <f t="shared" ca="1" si="7"/>
        <v>0.85257077582362417</v>
      </c>
      <c r="C486" s="2" t="s">
        <v>227</v>
      </c>
    </row>
    <row r="487" spans="1:3" x14ac:dyDescent="0.2">
      <c r="A487" s="2">
        <v>485</v>
      </c>
      <c r="B487" s="2">
        <f t="shared" ca="1" si="7"/>
        <v>0.68769140915987803</v>
      </c>
      <c r="C487" s="2" t="s">
        <v>227</v>
      </c>
    </row>
    <row r="488" spans="1:3" x14ac:dyDescent="0.2">
      <c r="A488" s="2">
        <v>486</v>
      </c>
      <c r="B488" s="2">
        <f t="shared" ca="1" si="7"/>
        <v>0.62715749943967225</v>
      </c>
      <c r="C488" s="2" t="s">
        <v>226</v>
      </c>
    </row>
    <row r="489" spans="1:3" x14ac:dyDescent="0.2">
      <c r="A489" s="2">
        <v>487</v>
      </c>
      <c r="B489" s="2">
        <f t="shared" ca="1" si="7"/>
        <v>0.69767208813937198</v>
      </c>
      <c r="C489" s="2" t="s">
        <v>227</v>
      </c>
    </row>
    <row r="490" spans="1:3" x14ac:dyDescent="0.2">
      <c r="A490" s="2">
        <v>488</v>
      </c>
      <c r="B490" s="2">
        <f t="shared" ca="1" si="7"/>
        <v>0.74060969875335836</v>
      </c>
      <c r="C490" s="2" t="s">
        <v>226</v>
      </c>
    </row>
    <row r="491" spans="1:3" x14ac:dyDescent="0.2">
      <c r="A491" s="2">
        <v>489</v>
      </c>
      <c r="B491" s="2">
        <f t="shared" ca="1" si="7"/>
        <v>0.57688744313097295</v>
      </c>
      <c r="C491" s="2" t="s">
        <v>226</v>
      </c>
    </row>
    <row r="492" spans="1:3" x14ac:dyDescent="0.2">
      <c r="A492" s="2">
        <v>490</v>
      </c>
      <c r="B492" s="2">
        <f t="shared" ca="1" si="7"/>
        <v>0.62443785805328733</v>
      </c>
      <c r="C492" s="2" t="s">
        <v>227</v>
      </c>
    </row>
    <row r="493" spans="1:3" x14ac:dyDescent="0.2">
      <c r="A493" s="2">
        <v>491</v>
      </c>
      <c r="B493" s="2">
        <f t="shared" ca="1" si="7"/>
        <v>0.79258947729655538</v>
      </c>
      <c r="C493" s="2" t="s">
        <v>226</v>
      </c>
    </row>
    <row r="494" spans="1:3" x14ac:dyDescent="0.2">
      <c r="A494" s="2">
        <v>492</v>
      </c>
      <c r="B494" s="2">
        <f t="shared" ca="1" si="7"/>
        <v>0.72531941401486444</v>
      </c>
      <c r="C494" s="2" t="s">
        <v>227</v>
      </c>
    </row>
    <row r="495" spans="1:3" x14ac:dyDescent="0.2">
      <c r="A495" s="2">
        <v>493</v>
      </c>
      <c r="B495" s="2">
        <f t="shared" ca="1" si="7"/>
        <v>0.53840155708607762</v>
      </c>
      <c r="C495" s="2" t="s">
        <v>226</v>
      </c>
    </row>
    <row r="496" spans="1:3" x14ac:dyDescent="0.2">
      <c r="A496" s="2">
        <v>494</v>
      </c>
      <c r="B496" s="2">
        <f t="shared" ca="1" si="7"/>
        <v>0.95766701062297976</v>
      </c>
      <c r="C496" s="2" t="s">
        <v>226</v>
      </c>
    </row>
    <row r="497" spans="1:3" x14ac:dyDescent="0.2">
      <c r="A497" s="2">
        <v>495</v>
      </c>
      <c r="B497" s="2">
        <f t="shared" ca="1" si="7"/>
        <v>0.77672221551536924</v>
      </c>
      <c r="C497" s="2" t="s">
        <v>227</v>
      </c>
    </row>
    <row r="498" spans="1:3" x14ac:dyDescent="0.2">
      <c r="A498" s="2">
        <v>496</v>
      </c>
      <c r="B498" s="2">
        <f t="shared" ca="1" si="7"/>
        <v>0.68396811401732238</v>
      </c>
      <c r="C498" s="2" t="s">
        <v>227</v>
      </c>
    </row>
    <row r="499" spans="1:3" x14ac:dyDescent="0.2">
      <c r="A499" s="2">
        <v>497</v>
      </c>
      <c r="B499" s="2">
        <f t="shared" ca="1" si="7"/>
        <v>0.66104276088020786</v>
      </c>
      <c r="C499" s="2" t="s">
        <v>227</v>
      </c>
    </row>
    <row r="500" spans="1:3" x14ac:dyDescent="0.2">
      <c r="A500" s="2">
        <v>498</v>
      </c>
      <c r="B500" s="2">
        <f t="shared" ca="1" si="7"/>
        <v>0.8010358133172516</v>
      </c>
      <c r="C500" s="2" t="s">
        <v>226</v>
      </c>
    </row>
    <row r="501" spans="1:3" x14ac:dyDescent="0.2">
      <c r="A501" s="2">
        <v>499</v>
      </c>
      <c r="B501" s="2">
        <f t="shared" ca="1" si="7"/>
        <v>0.76202522066971068</v>
      </c>
      <c r="C501" s="2" t="s">
        <v>227</v>
      </c>
    </row>
    <row r="502" spans="1:3" x14ac:dyDescent="0.2">
      <c r="A502" s="2">
        <v>500</v>
      </c>
      <c r="B502" s="2">
        <f t="shared" ca="1" si="7"/>
        <v>0.75621832799410382</v>
      </c>
      <c r="C502" s="2" t="s">
        <v>227</v>
      </c>
    </row>
    <row r="503" spans="1:3" x14ac:dyDescent="0.2">
      <c r="A503" s="2">
        <v>501</v>
      </c>
      <c r="B503" s="2">
        <f t="shared" ca="1" si="7"/>
        <v>0.53348189979814531</v>
      </c>
      <c r="C503" s="2" t="s">
        <v>226</v>
      </c>
    </row>
    <row r="504" spans="1:3" x14ac:dyDescent="0.2">
      <c r="A504" s="2">
        <v>502</v>
      </c>
      <c r="B504" s="2">
        <f t="shared" ca="1" si="7"/>
        <v>0.58967564129243799</v>
      </c>
      <c r="C504" s="2" t="s">
        <v>226</v>
      </c>
    </row>
    <row r="505" spans="1:3" x14ac:dyDescent="0.2">
      <c r="A505" s="2">
        <v>503</v>
      </c>
      <c r="B505" s="2">
        <f t="shared" ca="1" si="7"/>
        <v>0.5943001028697259</v>
      </c>
      <c r="C505" s="2" t="s">
        <v>226</v>
      </c>
    </row>
    <row r="506" spans="1:3" x14ac:dyDescent="0.2">
      <c r="A506" s="2">
        <v>504</v>
      </c>
      <c r="B506" s="2">
        <f t="shared" ca="1" si="7"/>
        <v>0.77780202484685312</v>
      </c>
      <c r="C506" s="2" t="s">
        <v>226</v>
      </c>
    </row>
    <row r="507" spans="1:3" x14ac:dyDescent="0.2">
      <c r="A507" s="2">
        <v>505</v>
      </c>
      <c r="B507" s="2">
        <f t="shared" ca="1" si="7"/>
        <v>0.75533637063604187</v>
      </c>
      <c r="C507" s="2" t="s">
        <v>227</v>
      </c>
    </row>
    <row r="508" spans="1:3" x14ac:dyDescent="0.2">
      <c r="A508" s="2">
        <v>506</v>
      </c>
      <c r="B508" s="2">
        <f t="shared" ca="1" si="7"/>
        <v>0.54296766378681027</v>
      </c>
      <c r="C508" s="2" t="s">
        <v>227</v>
      </c>
    </row>
    <row r="509" spans="1:3" x14ac:dyDescent="0.2">
      <c r="A509" s="2">
        <v>507</v>
      </c>
      <c r="B509" s="2">
        <f t="shared" ca="1" si="7"/>
        <v>0.83518959569705586</v>
      </c>
      <c r="C509" s="2" t="s">
        <v>227</v>
      </c>
    </row>
    <row r="510" spans="1:3" x14ac:dyDescent="0.2">
      <c r="A510" s="2">
        <v>508</v>
      </c>
      <c r="B510" s="2">
        <f t="shared" ca="1" si="7"/>
        <v>0.92717573692752187</v>
      </c>
      <c r="C510" s="2" t="s">
        <v>226</v>
      </c>
    </row>
    <row r="511" spans="1:3" x14ac:dyDescent="0.2">
      <c r="A511" s="2">
        <v>509</v>
      </c>
      <c r="B511" s="2">
        <f t="shared" ca="1" si="7"/>
        <v>0.78039665014667925</v>
      </c>
      <c r="C511" s="2" t="s">
        <v>227</v>
      </c>
    </row>
    <row r="512" spans="1:3" x14ac:dyDescent="0.2">
      <c r="A512" s="2">
        <v>510</v>
      </c>
      <c r="B512" s="2">
        <f t="shared" ca="1" si="7"/>
        <v>0.58024533447775961</v>
      </c>
      <c r="C512" s="2" t="s">
        <v>227</v>
      </c>
    </row>
    <row r="513" spans="1:3" x14ac:dyDescent="0.2">
      <c r="A513" s="2">
        <v>511</v>
      </c>
      <c r="B513" s="2">
        <f t="shared" ca="1" si="7"/>
        <v>0.79243927977017115</v>
      </c>
      <c r="C513" s="2" t="s">
        <v>227</v>
      </c>
    </row>
    <row r="514" spans="1:3" x14ac:dyDescent="0.2">
      <c r="A514" s="2">
        <v>512</v>
      </c>
      <c r="B514" s="2">
        <f t="shared" ca="1" si="7"/>
        <v>0.6227728199104019</v>
      </c>
      <c r="C514" s="2" t="s">
        <v>227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0.6460359941066014</v>
      </c>
      <c r="C515" s="2" t="s">
        <v>227</v>
      </c>
    </row>
    <row r="516" spans="1:3" x14ac:dyDescent="0.2">
      <c r="A516" s="2">
        <v>514</v>
      </c>
      <c r="B516" s="2">
        <f t="shared" ca="1" si="8"/>
        <v>0.54257813923568121</v>
      </c>
      <c r="C516" s="2" t="s">
        <v>226</v>
      </c>
    </row>
    <row r="517" spans="1:3" x14ac:dyDescent="0.2">
      <c r="A517" s="2">
        <v>515</v>
      </c>
      <c r="B517" s="2">
        <f t="shared" ca="1" si="8"/>
        <v>0.49772972289375195</v>
      </c>
      <c r="C517" s="2" t="s">
        <v>227</v>
      </c>
    </row>
    <row r="518" spans="1:3" x14ac:dyDescent="0.2">
      <c r="A518" s="2">
        <v>516</v>
      </c>
      <c r="B518" s="2">
        <f t="shared" ca="1" si="8"/>
        <v>0.72816309994691586</v>
      </c>
      <c r="C518" s="2" t="s">
        <v>227</v>
      </c>
    </row>
    <row r="519" spans="1:3" x14ac:dyDescent="0.2">
      <c r="A519" s="2">
        <v>517</v>
      </c>
      <c r="B519" s="2">
        <f t="shared" ca="1" si="8"/>
        <v>0.80291732146532224</v>
      </c>
      <c r="C519" s="2" t="s">
        <v>227</v>
      </c>
    </row>
    <row r="520" spans="1:3" x14ac:dyDescent="0.2">
      <c r="A520" s="2">
        <v>518</v>
      </c>
      <c r="B520" s="2">
        <f t="shared" ca="1" si="8"/>
        <v>0.73719678335461447</v>
      </c>
      <c r="C520" s="2" t="s">
        <v>226</v>
      </c>
    </row>
    <row r="521" spans="1:3" x14ac:dyDescent="0.2">
      <c r="A521" s="2">
        <v>519</v>
      </c>
      <c r="B521" s="2">
        <f t="shared" ca="1" si="8"/>
        <v>0.80040772464466281</v>
      </c>
      <c r="C521" s="2" t="s">
        <v>227</v>
      </c>
    </row>
    <row r="522" spans="1:3" x14ac:dyDescent="0.2">
      <c r="A522" s="2">
        <v>520</v>
      </c>
      <c r="B522" s="2">
        <f t="shared" ca="1" si="8"/>
        <v>0.4950445308558028</v>
      </c>
      <c r="C522" s="2" t="s">
        <v>226</v>
      </c>
    </row>
    <row r="523" spans="1:3" x14ac:dyDescent="0.2">
      <c r="A523" s="2">
        <v>521</v>
      </c>
      <c r="B523" s="2">
        <f t="shared" ca="1" si="8"/>
        <v>0.65925984079846189</v>
      </c>
      <c r="C523" s="2" t="s">
        <v>226</v>
      </c>
    </row>
    <row r="524" spans="1:3" x14ac:dyDescent="0.2">
      <c r="A524" s="2">
        <v>522</v>
      </c>
      <c r="B524" s="2">
        <f t="shared" ca="1" si="8"/>
        <v>0.63310199796511646</v>
      </c>
      <c r="C524" s="2" t="s">
        <v>227</v>
      </c>
    </row>
    <row r="525" spans="1:3" x14ac:dyDescent="0.2">
      <c r="A525" s="2">
        <v>523</v>
      </c>
      <c r="B525" s="2">
        <f t="shared" ca="1" si="8"/>
        <v>0.60962137800907712</v>
      </c>
      <c r="C525" s="2" t="s">
        <v>227</v>
      </c>
    </row>
    <row r="526" spans="1:3" x14ac:dyDescent="0.2">
      <c r="A526" s="2">
        <v>524</v>
      </c>
      <c r="B526" s="2">
        <f t="shared" ca="1" si="8"/>
        <v>0.95710096579521275</v>
      </c>
      <c r="C526" s="2" t="s">
        <v>226</v>
      </c>
    </row>
    <row r="527" spans="1:3" x14ac:dyDescent="0.2">
      <c r="A527" s="2">
        <v>525</v>
      </c>
      <c r="B527" s="2">
        <f t="shared" ca="1" si="8"/>
        <v>0.75123411827681408</v>
      </c>
      <c r="C527" s="2" t="s">
        <v>227</v>
      </c>
    </row>
    <row r="528" spans="1:3" x14ac:dyDescent="0.2">
      <c r="A528" s="2">
        <v>526</v>
      </c>
      <c r="B528" s="2">
        <f t="shared" ca="1" si="8"/>
        <v>0.73409239871321885</v>
      </c>
      <c r="C528" s="2" t="s">
        <v>226</v>
      </c>
    </row>
    <row r="529" spans="1:3" x14ac:dyDescent="0.2">
      <c r="A529" s="2">
        <v>527</v>
      </c>
      <c r="B529" s="2">
        <f t="shared" ca="1" si="8"/>
        <v>0.61401246994618031</v>
      </c>
      <c r="C529" s="2" t="s">
        <v>226</v>
      </c>
    </row>
    <row r="530" spans="1:3" x14ac:dyDescent="0.2">
      <c r="A530" s="2">
        <v>528</v>
      </c>
      <c r="B530" s="2">
        <f t="shared" ca="1" si="8"/>
        <v>0.77119491039408627</v>
      </c>
      <c r="C530" s="2" t="s">
        <v>227</v>
      </c>
    </row>
    <row r="531" spans="1:3" x14ac:dyDescent="0.2">
      <c r="A531" s="2">
        <v>529</v>
      </c>
      <c r="B531" s="2">
        <f t="shared" ca="1" si="8"/>
        <v>0.74171949297579043</v>
      </c>
      <c r="C531" s="2" t="s">
        <v>227</v>
      </c>
    </row>
    <row r="532" spans="1:3" x14ac:dyDescent="0.2">
      <c r="A532" s="2">
        <v>530</v>
      </c>
      <c r="B532" s="2">
        <f t="shared" ca="1" si="8"/>
        <v>0.61584115935059613</v>
      </c>
      <c r="C532" s="2" t="s">
        <v>226</v>
      </c>
    </row>
    <row r="533" spans="1:3" x14ac:dyDescent="0.2">
      <c r="A533" s="2">
        <v>531</v>
      </c>
      <c r="B533" s="2">
        <f t="shared" ca="1" si="8"/>
        <v>0.56435730836400877</v>
      </c>
      <c r="C533" s="2" t="s">
        <v>227</v>
      </c>
    </row>
    <row r="534" spans="1:3" x14ac:dyDescent="0.2">
      <c r="A534" s="2">
        <v>532</v>
      </c>
      <c r="B534" s="2">
        <f t="shared" ca="1" si="8"/>
        <v>0.84130972230406287</v>
      </c>
      <c r="C534" s="2" t="s">
        <v>226</v>
      </c>
    </row>
    <row r="535" spans="1:3" x14ac:dyDescent="0.2">
      <c r="A535" s="2">
        <v>533</v>
      </c>
      <c r="B535" s="2">
        <f t="shared" ca="1" si="8"/>
        <v>0.79265625149423813</v>
      </c>
      <c r="C535" s="2" t="s">
        <v>226</v>
      </c>
    </row>
    <row r="536" spans="1:3" x14ac:dyDescent="0.2">
      <c r="A536" s="2">
        <v>534</v>
      </c>
      <c r="B536" s="2">
        <f t="shared" ca="1" si="8"/>
        <v>0.57944333202217202</v>
      </c>
      <c r="C536" s="2" t="s">
        <v>227</v>
      </c>
    </row>
    <row r="537" spans="1:3" x14ac:dyDescent="0.2">
      <c r="A537" s="2">
        <v>535</v>
      </c>
      <c r="B537" s="2">
        <f t="shared" ca="1" si="8"/>
        <v>0.56005564097709282</v>
      </c>
      <c r="C537" s="2" t="s">
        <v>226</v>
      </c>
    </row>
    <row r="538" spans="1:3" x14ac:dyDescent="0.2">
      <c r="A538" s="2">
        <v>536</v>
      </c>
      <c r="B538" s="2">
        <f t="shared" ca="1" si="8"/>
        <v>0.4571795702985505</v>
      </c>
      <c r="C538" s="2" t="s">
        <v>226</v>
      </c>
    </row>
    <row r="539" spans="1:3" x14ac:dyDescent="0.2">
      <c r="A539" s="2">
        <v>537</v>
      </c>
      <c r="B539" s="2">
        <f t="shared" ca="1" si="8"/>
        <v>0.49891518808846419</v>
      </c>
      <c r="C539" s="2" t="s">
        <v>226</v>
      </c>
    </row>
    <row r="540" spans="1:3" x14ac:dyDescent="0.2">
      <c r="A540" s="2">
        <v>538</v>
      </c>
      <c r="B540" s="2">
        <f t="shared" ca="1" si="8"/>
        <v>0.93161471055737299</v>
      </c>
      <c r="C540" s="2" t="s">
        <v>227</v>
      </c>
    </row>
    <row r="541" spans="1:3" x14ac:dyDescent="0.2">
      <c r="A541" s="2">
        <v>539</v>
      </c>
      <c r="B541" s="2">
        <f t="shared" ca="1" si="8"/>
        <v>0.65792746063428864</v>
      </c>
      <c r="C541" s="2" t="s">
        <v>226</v>
      </c>
    </row>
    <row r="542" spans="1:3" x14ac:dyDescent="0.2">
      <c r="A542" s="2">
        <v>540</v>
      </c>
      <c r="B542" s="2">
        <f t="shared" ca="1" si="8"/>
        <v>0.72392764380995345</v>
      </c>
      <c r="C542" s="2" t="s">
        <v>226</v>
      </c>
    </row>
    <row r="543" spans="1:3" x14ac:dyDescent="0.2">
      <c r="A543" s="2">
        <v>541</v>
      </c>
      <c r="B543" s="2">
        <f t="shared" ca="1" si="8"/>
        <v>0.46566812069246888</v>
      </c>
      <c r="C543" s="2" t="s">
        <v>226</v>
      </c>
    </row>
    <row r="544" spans="1:3" x14ac:dyDescent="0.2">
      <c r="A544" s="2">
        <v>542</v>
      </c>
      <c r="B544" s="2">
        <f t="shared" ca="1" si="8"/>
        <v>0.62524665548729186</v>
      </c>
      <c r="C544" s="2" t="s">
        <v>227</v>
      </c>
    </row>
    <row r="545" spans="1:3" x14ac:dyDescent="0.2">
      <c r="A545" s="2">
        <v>543</v>
      </c>
      <c r="B545" s="2">
        <f t="shared" ca="1" si="8"/>
        <v>0.57692398128294453</v>
      </c>
      <c r="C545" s="2" t="s">
        <v>227</v>
      </c>
    </row>
    <row r="546" spans="1:3" x14ac:dyDescent="0.2">
      <c r="A546" s="2">
        <v>544</v>
      </c>
      <c r="B546" s="2">
        <f t="shared" ca="1" si="8"/>
        <v>0.85317342167152654</v>
      </c>
      <c r="C546" s="2" t="s">
        <v>227</v>
      </c>
    </row>
    <row r="547" spans="1:3" x14ac:dyDescent="0.2">
      <c r="A547" s="2">
        <v>545</v>
      </c>
      <c r="B547" s="2">
        <f t="shared" ca="1" si="8"/>
        <v>0.56363606744324857</v>
      </c>
      <c r="C547" s="2" t="s">
        <v>226</v>
      </c>
    </row>
    <row r="548" spans="1:3" x14ac:dyDescent="0.2">
      <c r="A548" s="2">
        <v>546</v>
      </c>
      <c r="B548" s="2">
        <f t="shared" ca="1" si="8"/>
        <v>0.62565564002590768</v>
      </c>
      <c r="C548" s="2" t="s">
        <v>226</v>
      </c>
    </row>
    <row r="549" spans="1:3" x14ac:dyDescent="0.2">
      <c r="A549" s="2">
        <v>547</v>
      </c>
      <c r="B549" s="2">
        <f t="shared" ca="1" si="8"/>
        <v>0.80547903446422509</v>
      </c>
      <c r="C549" s="2" t="s">
        <v>227</v>
      </c>
    </row>
    <row r="550" spans="1:3" x14ac:dyDescent="0.2">
      <c r="A550" s="2">
        <v>548</v>
      </c>
      <c r="B550" s="2">
        <f t="shared" ca="1" si="8"/>
        <v>0.95128224224747115</v>
      </c>
      <c r="C550" s="2" t="s">
        <v>227</v>
      </c>
    </row>
    <row r="551" spans="1:3" x14ac:dyDescent="0.2">
      <c r="A551" s="2">
        <v>549</v>
      </c>
      <c r="B551" s="2">
        <f t="shared" ca="1" si="8"/>
        <v>0.44025626651826111</v>
      </c>
      <c r="C551" s="2" t="s">
        <v>226</v>
      </c>
    </row>
    <row r="552" spans="1:3" x14ac:dyDescent="0.2">
      <c r="A552" s="2">
        <v>550</v>
      </c>
      <c r="B552" s="2">
        <f t="shared" ca="1" si="8"/>
        <v>0.73809161382550781</v>
      </c>
      <c r="C552" s="2" t="s">
        <v>227</v>
      </c>
    </row>
    <row r="553" spans="1:3" x14ac:dyDescent="0.2">
      <c r="A553" s="2">
        <v>551</v>
      </c>
      <c r="B553" s="2">
        <f t="shared" ca="1" si="8"/>
        <v>0.2997166485245123</v>
      </c>
      <c r="C553" s="2" t="s">
        <v>226</v>
      </c>
    </row>
    <row r="554" spans="1:3" x14ac:dyDescent="0.2">
      <c r="A554" s="2">
        <v>552</v>
      </c>
      <c r="B554" s="2">
        <f t="shared" ca="1" si="8"/>
        <v>0.53548146667903318</v>
      </c>
      <c r="C554" s="2" t="s">
        <v>226</v>
      </c>
    </row>
    <row r="555" spans="1:3" x14ac:dyDescent="0.2">
      <c r="A555" s="2">
        <v>553</v>
      </c>
      <c r="B555" s="2">
        <f t="shared" ca="1" si="8"/>
        <v>0.65608805423017902</v>
      </c>
      <c r="C555" s="2" t="s">
        <v>226</v>
      </c>
    </row>
    <row r="556" spans="1:3" x14ac:dyDescent="0.2">
      <c r="A556" s="2">
        <v>554</v>
      </c>
      <c r="B556" s="2">
        <f t="shared" ca="1" si="8"/>
        <v>0.81932241867461586</v>
      </c>
      <c r="C556" s="2" t="s">
        <v>227</v>
      </c>
    </row>
    <row r="557" spans="1:3" x14ac:dyDescent="0.2">
      <c r="A557" s="2">
        <v>555</v>
      </c>
      <c r="B557" s="2">
        <f t="shared" ca="1" si="8"/>
        <v>0.67884008748006752</v>
      </c>
      <c r="C557" s="2" t="s">
        <v>226</v>
      </c>
    </row>
    <row r="558" spans="1:3" x14ac:dyDescent="0.2">
      <c r="A558" s="2">
        <v>556</v>
      </c>
      <c r="B558" s="2">
        <f t="shared" ca="1" si="8"/>
        <v>0.78285132349288078</v>
      </c>
      <c r="C558" s="2" t="s">
        <v>227</v>
      </c>
    </row>
    <row r="559" spans="1:3" x14ac:dyDescent="0.2">
      <c r="A559" s="2">
        <v>557</v>
      </c>
      <c r="B559" s="2">
        <f t="shared" ca="1" si="8"/>
        <v>0.70871300213001764</v>
      </c>
      <c r="C559" s="2" t="s">
        <v>227</v>
      </c>
    </row>
    <row r="560" spans="1:3" x14ac:dyDescent="0.2">
      <c r="A560" s="2">
        <v>558</v>
      </c>
      <c r="B560" s="2">
        <f t="shared" ca="1" si="8"/>
        <v>0.5207552685790463</v>
      </c>
      <c r="C560" s="2" t="s">
        <v>226</v>
      </c>
    </row>
    <row r="561" spans="1:3" x14ac:dyDescent="0.2">
      <c r="A561" s="2">
        <v>559</v>
      </c>
      <c r="B561" s="2">
        <f t="shared" ca="1" si="8"/>
        <v>0.80510944735317513</v>
      </c>
      <c r="C561" s="2" t="s">
        <v>227</v>
      </c>
    </row>
    <row r="562" spans="1:3" x14ac:dyDescent="0.2">
      <c r="A562" s="2">
        <v>560</v>
      </c>
      <c r="B562" s="2">
        <f t="shared" ca="1" si="8"/>
        <v>0.9066211836972633</v>
      </c>
      <c r="C562" s="2" t="s">
        <v>226</v>
      </c>
    </row>
    <row r="563" spans="1:3" x14ac:dyDescent="0.2">
      <c r="A563" s="2">
        <v>561</v>
      </c>
      <c r="B563" s="2">
        <f t="shared" ca="1" si="8"/>
        <v>0.34001536466649956</v>
      </c>
      <c r="C563" s="2" t="s">
        <v>226</v>
      </c>
    </row>
    <row r="564" spans="1:3" x14ac:dyDescent="0.2">
      <c r="A564" s="2">
        <v>562</v>
      </c>
      <c r="B564" s="2">
        <f t="shared" ca="1" si="8"/>
        <v>0.88461815060431426</v>
      </c>
      <c r="C564" s="2" t="s">
        <v>226</v>
      </c>
    </row>
    <row r="565" spans="1:3" x14ac:dyDescent="0.2">
      <c r="A565" s="2">
        <v>563</v>
      </c>
      <c r="B565" s="2">
        <f t="shared" ca="1" si="8"/>
        <v>0.34809304450570072</v>
      </c>
      <c r="C565" s="2" t="s">
        <v>226</v>
      </c>
    </row>
    <row r="566" spans="1:3" x14ac:dyDescent="0.2">
      <c r="A566" s="2">
        <v>564</v>
      </c>
      <c r="B566" s="2">
        <f t="shared" ca="1" si="8"/>
        <v>0.5697677321128255</v>
      </c>
      <c r="C566" s="2" t="s">
        <v>226</v>
      </c>
    </row>
    <row r="567" spans="1:3" x14ac:dyDescent="0.2">
      <c r="A567" s="2">
        <v>565</v>
      </c>
      <c r="B567" s="2">
        <f t="shared" ca="1" si="8"/>
        <v>0.6008938951785463</v>
      </c>
      <c r="C567" s="2" t="s">
        <v>226</v>
      </c>
    </row>
    <row r="568" spans="1:3" x14ac:dyDescent="0.2">
      <c r="A568" s="2">
        <v>566</v>
      </c>
      <c r="B568" s="2">
        <f t="shared" ca="1" si="8"/>
        <v>0.63730471156486512</v>
      </c>
      <c r="C568" s="2" t="s">
        <v>227</v>
      </c>
    </row>
    <row r="569" spans="1:3" x14ac:dyDescent="0.2">
      <c r="A569" s="2">
        <v>567</v>
      </c>
      <c r="B569" s="2">
        <f t="shared" ca="1" si="8"/>
        <v>0.76507101645942199</v>
      </c>
      <c r="C569" s="2" t="s">
        <v>227</v>
      </c>
    </row>
    <row r="570" spans="1:3" x14ac:dyDescent="0.2">
      <c r="A570" s="2">
        <v>568</v>
      </c>
      <c r="B570" s="2">
        <f t="shared" ca="1" si="8"/>
        <v>0.4816027245062301</v>
      </c>
      <c r="C570" s="2" t="s">
        <v>227</v>
      </c>
    </row>
    <row r="571" spans="1:3" x14ac:dyDescent="0.2">
      <c r="A571" s="2">
        <v>569</v>
      </c>
      <c r="B571" s="2">
        <f t="shared" ca="1" si="8"/>
        <v>0.61487035679211954</v>
      </c>
      <c r="C571" s="2" t="s">
        <v>226</v>
      </c>
    </row>
    <row r="572" spans="1:3" x14ac:dyDescent="0.2">
      <c r="A572" s="2">
        <v>570</v>
      </c>
      <c r="B572" s="2">
        <f t="shared" ca="1" si="8"/>
        <v>0.72021970428538529</v>
      </c>
      <c r="C572" s="2" t="s">
        <v>227</v>
      </c>
    </row>
    <row r="573" spans="1:3" x14ac:dyDescent="0.2">
      <c r="A573" s="2">
        <v>571</v>
      </c>
      <c r="B573" s="2">
        <f t="shared" ca="1" si="8"/>
        <v>0.57405764051411057</v>
      </c>
      <c r="C573" s="2" t="s">
        <v>226</v>
      </c>
    </row>
    <row r="574" spans="1:3" x14ac:dyDescent="0.2">
      <c r="A574" s="2">
        <v>572</v>
      </c>
      <c r="B574" s="2">
        <f t="shared" ca="1" si="8"/>
        <v>0.84712883082408141</v>
      </c>
      <c r="C574" s="2" t="s">
        <v>227</v>
      </c>
    </row>
    <row r="575" spans="1:3" x14ac:dyDescent="0.2">
      <c r="A575" s="2">
        <v>573</v>
      </c>
      <c r="B575" s="2">
        <f t="shared" ca="1" si="8"/>
        <v>0.87573227576205337</v>
      </c>
      <c r="C575" s="2" t="s">
        <v>227</v>
      </c>
    </row>
    <row r="576" spans="1:3" x14ac:dyDescent="0.2">
      <c r="A576" s="2">
        <v>574</v>
      </c>
      <c r="B576" s="2">
        <f t="shared" ca="1" si="8"/>
        <v>0.66547513221012977</v>
      </c>
      <c r="C576" s="2" t="s">
        <v>227</v>
      </c>
    </row>
    <row r="577" spans="1:3" x14ac:dyDescent="0.2">
      <c r="A577" s="2">
        <v>575</v>
      </c>
      <c r="B577" s="2">
        <f t="shared" ca="1" si="8"/>
        <v>0.7931095621128692</v>
      </c>
      <c r="C577" s="2" t="s">
        <v>226</v>
      </c>
    </row>
    <row r="578" spans="1:3" x14ac:dyDescent="0.2">
      <c r="A578" s="2">
        <v>576</v>
      </c>
      <c r="B578" s="2">
        <f t="shared" ca="1" si="8"/>
        <v>0.46284538768094713</v>
      </c>
      <c r="C578" s="2" t="s">
        <v>226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0.61834320363307194</v>
      </c>
      <c r="C579" s="2" t="s">
        <v>226</v>
      </c>
    </row>
    <row r="580" spans="1:3" x14ac:dyDescent="0.2">
      <c r="A580" s="2">
        <v>578</v>
      </c>
      <c r="B580" s="2">
        <f t="shared" ca="1" si="9"/>
        <v>0.73279235545863297</v>
      </c>
      <c r="C580" s="2" t="s">
        <v>227</v>
      </c>
    </row>
    <row r="581" spans="1:3" x14ac:dyDescent="0.2">
      <c r="A581" s="2">
        <v>579</v>
      </c>
      <c r="B581" s="2">
        <f t="shared" ca="1" si="9"/>
        <v>0.71185757896307045</v>
      </c>
      <c r="C581" s="2" t="s">
        <v>227</v>
      </c>
    </row>
    <row r="582" spans="1:3" x14ac:dyDescent="0.2">
      <c r="A582" s="2">
        <v>580</v>
      </c>
      <c r="B582" s="2">
        <f t="shared" ca="1" si="9"/>
        <v>0.62720866660630703</v>
      </c>
      <c r="C582" s="2" t="s">
        <v>227</v>
      </c>
    </row>
    <row r="583" spans="1:3" x14ac:dyDescent="0.2">
      <c r="A583" s="2">
        <v>581</v>
      </c>
      <c r="B583" s="2">
        <f t="shared" ca="1" si="9"/>
        <v>0.65486757188313804</v>
      </c>
      <c r="C583" s="2" t="s">
        <v>226</v>
      </c>
    </row>
    <row r="584" spans="1:3" x14ac:dyDescent="0.2">
      <c r="A584" s="2">
        <v>582</v>
      </c>
      <c r="B584" s="2">
        <f t="shared" ca="1" si="9"/>
        <v>0.67945208990132655</v>
      </c>
      <c r="C584" s="2" t="s">
        <v>227</v>
      </c>
    </row>
    <row r="585" spans="1:3" x14ac:dyDescent="0.2">
      <c r="A585" s="2">
        <v>583</v>
      </c>
      <c r="B585" s="2">
        <f t="shared" ca="1" si="9"/>
        <v>0.63062308605468687</v>
      </c>
      <c r="C585" s="2" t="s">
        <v>226</v>
      </c>
    </row>
    <row r="586" spans="1:3" x14ac:dyDescent="0.2">
      <c r="A586" s="2">
        <v>584</v>
      </c>
      <c r="B586" s="2">
        <f t="shared" ca="1" si="9"/>
        <v>0.78773035700523897</v>
      </c>
      <c r="C586" s="2" t="s">
        <v>227</v>
      </c>
    </row>
    <row r="587" spans="1:3" x14ac:dyDescent="0.2">
      <c r="A587" s="2">
        <v>585</v>
      </c>
      <c r="B587" s="2">
        <f t="shared" ca="1" si="9"/>
        <v>0.62374341588471383</v>
      </c>
      <c r="C587" s="2" t="s">
        <v>226</v>
      </c>
    </row>
    <row r="588" spans="1:3" x14ac:dyDescent="0.2">
      <c r="A588" s="2">
        <v>586</v>
      </c>
      <c r="B588" s="2">
        <f t="shared" ca="1" si="9"/>
        <v>0.64185186960959184</v>
      </c>
      <c r="C588" s="2" t="s">
        <v>226</v>
      </c>
    </row>
    <row r="589" spans="1:3" x14ac:dyDescent="0.2">
      <c r="A589" s="2">
        <v>587</v>
      </c>
      <c r="B589" s="2">
        <f t="shared" ca="1" si="9"/>
        <v>0.69794312263763092</v>
      </c>
      <c r="C589" s="2" t="s">
        <v>227</v>
      </c>
    </row>
    <row r="590" spans="1:3" x14ac:dyDescent="0.2">
      <c r="A590" s="2">
        <v>588</v>
      </c>
      <c r="B590" s="2">
        <f t="shared" ca="1" si="9"/>
        <v>0.54816258286417285</v>
      </c>
      <c r="C590" s="2" t="s">
        <v>226</v>
      </c>
    </row>
    <row r="591" spans="1:3" x14ac:dyDescent="0.2">
      <c r="A591" s="2">
        <v>589</v>
      </c>
      <c r="B591" s="2">
        <f t="shared" ca="1" si="9"/>
        <v>0.76585823707423994</v>
      </c>
      <c r="C591" s="2" t="s">
        <v>226</v>
      </c>
    </row>
    <row r="592" spans="1:3" x14ac:dyDescent="0.2">
      <c r="A592" s="2">
        <v>590</v>
      </c>
      <c r="B592" s="2">
        <f t="shared" ca="1" si="9"/>
        <v>0.55373968422373077</v>
      </c>
      <c r="C592" s="2" t="s">
        <v>227</v>
      </c>
    </row>
    <row r="593" spans="1:3" x14ac:dyDescent="0.2">
      <c r="A593" s="2">
        <v>591</v>
      </c>
      <c r="B593" s="2">
        <f t="shared" ca="1" si="9"/>
        <v>0.40858821358010133</v>
      </c>
      <c r="C593" s="2" t="s">
        <v>226</v>
      </c>
    </row>
    <row r="594" spans="1:3" x14ac:dyDescent="0.2">
      <c r="A594" s="2">
        <v>592</v>
      </c>
      <c r="B594" s="2">
        <f t="shared" ca="1" si="9"/>
        <v>0.53408592331328597</v>
      </c>
      <c r="C594" s="2" t="s">
        <v>227</v>
      </c>
    </row>
    <row r="595" spans="1:3" x14ac:dyDescent="0.2">
      <c r="A595" s="2">
        <v>593</v>
      </c>
      <c r="B595" s="2">
        <f t="shared" ca="1" si="9"/>
        <v>0.61029716078105323</v>
      </c>
      <c r="C595" s="2" t="s">
        <v>226</v>
      </c>
    </row>
    <row r="596" spans="1:3" x14ac:dyDescent="0.2">
      <c r="A596" s="2">
        <v>594</v>
      </c>
      <c r="B596" s="2">
        <f t="shared" ca="1" si="9"/>
        <v>0.5214107158116188</v>
      </c>
      <c r="C596" s="2" t="s">
        <v>227</v>
      </c>
    </row>
    <row r="597" spans="1:3" x14ac:dyDescent="0.2">
      <c r="A597" s="2">
        <v>595</v>
      </c>
      <c r="B597" s="2">
        <f t="shared" ca="1" si="9"/>
        <v>0.87723736142499509</v>
      </c>
      <c r="C597" s="2" t="s">
        <v>227</v>
      </c>
    </row>
    <row r="598" spans="1:3" x14ac:dyDescent="0.2">
      <c r="A598" s="2">
        <v>596</v>
      </c>
      <c r="B598" s="2">
        <f t="shared" ca="1" si="9"/>
        <v>0.65623357340140342</v>
      </c>
      <c r="C598" s="2" t="s">
        <v>227</v>
      </c>
    </row>
    <row r="599" spans="1:3" x14ac:dyDescent="0.2">
      <c r="A599" s="2">
        <v>597</v>
      </c>
      <c r="B599" s="2">
        <f t="shared" ca="1" si="9"/>
        <v>0.62472786237701161</v>
      </c>
      <c r="C599" s="2" t="s">
        <v>227</v>
      </c>
    </row>
    <row r="600" spans="1:3" x14ac:dyDescent="0.2">
      <c r="A600" s="2">
        <v>598</v>
      </c>
      <c r="B600" s="2">
        <f t="shared" ca="1" si="9"/>
        <v>0.73750820503344838</v>
      </c>
      <c r="C600" s="2" t="s">
        <v>226</v>
      </c>
    </row>
    <row r="601" spans="1:3" x14ac:dyDescent="0.2">
      <c r="A601" s="2">
        <v>599</v>
      </c>
      <c r="B601" s="2">
        <f t="shared" ca="1" si="9"/>
        <v>0.60500423504924461</v>
      </c>
      <c r="C601" s="2" t="s">
        <v>227</v>
      </c>
    </row>
    <row r="602" spans="1:3" x14ac:dyDescent="0.2">
      <c r="A602" s="2">
        <v>600</v>
      </c>
      <c r="B602" s="2">
        <f t="shared" ca="1" si="9"/>
        <v>0.73229147107898773</v>
      </c>
      <c r="C602" s="2" t="s">
        <v>227</v>
      </c>
    </row>
    <row r="603" spans="1:3" x14ac:dyDescent="0.2">
      <c r="A603" s="2">
        <v>601</v>
      </c>
      <c r="B603" s="2">
        <f t="shared" ca="1" si="9"/>
        <v>0.69387097795917729</v>
      </c>
      <c r="C603" s="2" t="s">
        <v>226</v>
      </c>
    </row>
    <row r="604" spans="1:3" x14ac:dyDescent="0.2">
      <c r="A604" s="2">
        <v>602</v>
      </c>
      <c r="B604" s="2">
        <f t="shared" ca="1" si="9"/>
        <v>0.50529168697768612</v>
      </c>
      <c r="C604" s="2" t="s">
        <v>226</v>
      </c>
    </row>
    <row r="605" spans="1:3" x14ac:dyDescent="0.2">
      <c r="A605" s="2">
        <v>603</v>
      </c>
      <c r="B605" s="2">
        <f t="shared" ca="1" si="9"/>
        <v>0.70774850215324248</v>
      </c>
      <c r="C605" s="2" t="s">
        <v>226</v>
      </c>
    </row>
    <row r="606" spans="1:3" x14ac:dyDescent="0.2">
      <c r="A606" s="2">
        <v>604</v>
      </c>
      <c r="B606" s="2">
        <f t="shared" ca="1" si="9"/>
        <v>0.64579181032202682</v>
      </c>
      <c r="C606" s="2" t="s">
        <v>227</v>
      </c>
    </row>
    <row r="607" spans="1:3" x14ac:dyDescent="0.2">
      <c r="A607" s="2">
        <v>605</v>
      </c>
      <c r="B607" s="2">
        <f t="shared" ca="1" si="9"/>
        <v>0.81394763864568009</v>
      </c>
      <c r="C607" s="2" t="s">
        <v>226</v>
      </c>
    </row>
    <row r="608" spans="1:3" x14ac:dyDescent="0.2">
      <c r="A608" s="2">
        <v>606</v>
      </c>
      <c r="B608" s="2">
        <f t="shared" ca="1" si="9"/>
        <v>0.76305302696782784</v>
      </c>
      <c r="C608" s="2" t="s">
        <v>227</v>
      </c>
    </row>
    <row r="609" spans="1:3" x14ac:dyDescent="0.2">
      <c r="A609" s="2">
        <v>607</v>
      </c>
      <c r="B609" s="2">
        <f t="shared" ca="1" si="9"/>
        <v>0.6048905026228254</v>
      </c>
      <c r="C609" s="2" t="s">
        <v>226</v>
      </c>
    </row>
    <row r="610" spans="1:3" x14ac:dyDescent="0.2">
      <c r="A610" s="2">
        <v>608</v>
      </c>
      <c r="B610" s="2">
        <f t="shared" ca="1" si="9"/>
        <v>0.54767969154357565</v>
      </c>
      <c r="C610" s="2" t="s">
        <v>227</v>
      </c>
    </row>
    <row r="611" spans="1:3" x14ac:dyDescent="0.2">
      <c r="A611" s="2">
        <v>609</v>
      </c>
      <c r="B611" s="2">
        <f t="shared" ca="1" si="9"/>
        <v>0.80381094740802772</v>
      </c>
      <c r="C611" s="2" t="s">
        <v>226</v>
      </c>
    </row>
    <row r="612" spans="1:3" x14ac:dyDescent="0.2">
      <c r="A612" s="2">
        <v>610</v>
      </c>
      <c r="B612" s="2">
        <f t="shared" ca="1" si="9"/>
        <v>0.51339059674691823</v>
      </c>
      <c r="C612" s="2" t="s">
        <v>226</v>
      </c>
    </row>
    <row r="613" spans="1:3" x14ac:dyDescent="0.2">
      <c r="A613" s="2">
        <v>611</v>
      </c>
      <c r="B613" s="2">
        <f t="shared" ca="1" si="9"/>
        <v>0.73439348602468324</v>
      </c>
      <c r="C613" s="2" t="s">
        <v>227</v>
      </c>
    </row>
    <row r="614" spans="1:3" x14ac:dyDescent="0.2">
      <c r="A614" s="2">
        <v>612</v>
      </c>
      <c r="B614" s="2">
        <f t="shared" ca="1" si="9"/>
        <v>0.81970927424771656</v>
      </c>
      <c r="C614" s="2" t="s">
        <v>227</v>
      </c>
    </row>
    <row r="615" spans="1:3" x14ac:dyDescent="0.2">
      <c r="A615" s="2">
        <v>613</v>
      </c>
      <c r="B615" s="2">
        <f t="shared" ca="1" si="9"/>
        <v>0.80091277263059446</v>
      </c>
      <c r="C615" s="2" t="s">
        <v>226</v>
      </c>
    </row>
    <row r="616" spans="1:3" x14ac:dyDescent="0.2">
      <c r="A616" s="2">
        <v>614</v>
      </c>
      <c r="B616" s="2">
        <f t="shared" ca="1" si="9"/>
        <v>0.53822719238143524</v>
      </c>
      <c r="C616" s="2" t="s">
        <v>226</v>
      </c>
    </row>
    <row r="617" spans="1:3" x14ac:dyDescent="0.2">
      <c r="A617" s="2">
        <v>615</v>
      </c>
      <c r="B617" s="2">
        <f t="shared" ca="1" si="9"/>
        <v>0.59381882594954949</v>
      </c>
      <c r="C617" s="2" t="s">
        <v>226</v>
      </c>
    </row>
    <row r="618" spans="1:3" x14ac:dyDescent="0.2">
      <c r="A618" s="2">
        <v>616</v>
      </c>
      <c r="B618" s="2">
        <f t="shared" ca="1" si="9"/>
        <v>0.71113369880731969</v>
      </c>
      <c r="C618" s="2" t="s">
        <v>227</v>
      </c>
    </row>
    <row r="619" spans="1:3" x14ac:dyDescent="0.2">
      <c r="A619" s="2">
        <v>617</v>
      </c>
      <c r="B619" s="2">
        <f t="shared" ca="1" si="9"/>
        <v>0.53965378189367286</v>
      </c>
      <c r="C619" s="2" t="s">
        <v>227</v>
      </c>
    </row>
    <row r="620" spans="1:3" x14ac:dyDescent="0.2">
      <c r="A620" s="2">
        <v>618</v>
      </c>
      <c r="B620" s="2">
        <f t="shared" ca="1" si="9"/>
        <v>0.79629811026256603</v>
      </c>
      <c r="C620" s="2" t="s">
        <v>227</v>
      </c>
    </row>
    <row r="621" spans="1:3" x14ac:dyDescent="0.2">
      <c r="A621" s="2">
        <v>619</v>
      </c>
      <c r="B621" s="2">
        <f t="shared" ca="1" si="9"/>
        <v>0.5115320817314476</v>
      </c>
      <c r="C621" s="2" t="s">
        <v>226</v>
      </c>
    </row>
    <row r="622" spans="1:3" x14ac:dyDescent="0.2">
      <c r="A622" s="2">
        <v>620</v>
      </c>
      <c r="B622" s="2">
        <f t="shared" ca="1" si="9"/>
        <v>0.85843297744325842</v>
      </c>
      <c r="C622" s="2" t="s">
        <v>226</v>
      </c>
    </row>
    <row r="623" spans="1:3" x14ac:dyDescent="0.2">
      <c r="A623" s="2">
        <v>621</v>
      </c>
      <c r="B623" s="2">
        <f t="shared" ca="1" si="9"/>
        <v>0.79107273186389471</v>
      </c>
      <c r="C623" s="2" t="s">
        <v>227</v>
      </c>
    </row>
    <row r="624" spans="1:3" x14ac:dyDescent="0.2">
      <c r="A624" s="2">
        <v>622</v>
      </c>
      <c r="B624" s="2">
        <f t="shared" ca="1" si="9"/>
        <v>0.70214895159205548</v>
      </c>
      <c r="C624" s="2" t="s">
        <v>227</v>
      </c>
    </row>
    <row r="625" spans="1:3" x14ac:dyDescent="0.2">
      <c r="A625" s="2">
        <v>623</v>
      </c>
      <c r="B625" s="2">
        <f t="shared" ca="1" si="9"/>
        <v>0.70409832096683256</v>
      </c>
      <c r="C625" s="2" t="s">
        <v>227</v>
      </c>
    </row>
    <row r="626" spans="1:3" x14ac:dyDescent="0.2">
      <c r="A626" s="2">
        <v>624</v>
      </c>
      <c r="B626" s="2">
        <f t="shared" ca="1" si="9"/>
        <v>0.87741425946212526</v>
      </c>
      <c r="C626" s="2" t="s">
        <v>226</v>
      </c>
    </row>
    <row r="627" spans="1:3" x14ac:dyDescent="0.2">
      <c r="A627" s="2">
        <v>625</v>
      </c>
      <c r="B627" s="2">
        <f t="shared" ca="1" si="9"/>
        <v>0.64861653242882511</v>
      </c>
      <c r="C627" s="2" t="s">
        <v>227</v>
      </c>
    </row>
    <row r="628" spans="1:3" x14ac:dyDescent="0.2">
      <c r="A628" s="2">
        <v>626</v>
      </c>
      <c r="B628" s="2">
        <f t="shared" ca="1" si="9"/>
        <v>0.27794514006186694</v>
      </c>
      <c r="C628" s="2" t="s">
        <v>226</v>
      </c>
    </row>
    <row r="629" spans="1:3" x14ac:dyDescent="0.2">
      <c r="A629" s="2">
        <v>627</v>
      </c>
      <c r="B629" s="2">
        <f t="shared" ca="1" si="9"/>
        <v>0.66887672655068087</v>
      </c>
      <c r="C629" s="2" t="s">
        <v>226</v>
      </c>
    </row>
    <row r="630" spans="1:3" x14ac:dyDescent="0.2">
      <c r="A630" s="2">
        <v>628</v>
      </c>
      <c r="B630" s="2">
        <f t="shared" ca="1" si="9"/>
        <v>0.49700858088629796</v>
      </c>
      <c r="C630" s="2" t="s">
        <v>226</v>
      </c>
    </row>
    <row r="631" spans="1:3" x14ac:dyDescent="0.2">
      <c r="A631" s="2">
        <v>629</v>
      </c>
      <c r="B631" s="2">
        <f t="shared" ca="1" si="9"/>
        <v>0.70288310127190856</v>
      </c>
      <c r="C631" s="2" t="s">
        <v>226</v>
      </c>
    </row>
    <row r="632" spans="1:3" x14ac:dyDescent="0.2">
      <c r="A632" s="2">
        <v>630</v>
      </c>
      <c r="B632" s="2">
        <f t="shared" ca="1" si="9"/>
        <v>0.70375891994336626</v>
      </c>
      <c r="C632" s="2" t="s">
        <v>227</v>
      </c>
    </row>
    <row r="633" spans="1:3" x14ac:dyDescent="0.2">
      <c r="A633" s="2">
        <v>631</v>
      </c>
      <c r="B633" s="2">
        <f t="shared" ca="1" si="9"/>
        <v>0.79358239197284586</v>
      </c>
      <c r="C633" s="2" t="s">
        <v>227</v>
      </c>
    </row>
    <row r="634" spans="1:3" x14ac:dyDescent="0.2">
      <c r="A634" s="2">
        <v>632</v>
      </c>
      <c r="B634" s="2">
        <f t="shared" ca="1" si="9"/>
        <v>0.54176144387132752</v>
      </c>
      <c r="C634" s="2" t="s">
        <v>226</v>
      </c>
    </row>
    <row r="635" spans="1:3" x14ac:dyDescent="0.2">
      <c r="A635" s="2">
        <v>633</v>
      </c>
      <c r="B635" s="2">
        <f t="shared" ca="1" si="9"/>
        <v>0.55992592655914675</v>
      </c>
      <c r="C635" s="2" t="s">
        <v>227</v>
      </c>
    </row>
    <row r="636" spans="1:3" x14ac:dyDescent="0.2">
      <c r="A636" s="2">
        <v>634</v>
      </c>
      <c r="B636" s="2">
        <f t="shared" ca="1" si="9"/>
        <v>0.67545504620881147</v>
      </c>
      <c r="C636" s="2" t="s">
        <v>227</v>
      </c>
    </row>
    <row r="637" spans="1:3" x14ac:dyDescent="0.2">
      <c r="A637" s="2">
        <v>635</v>
      </c>
      <c r="B637" s="2">
        <f t="shared" ca="1" si="9"/>
        <v>0.59712926934799881</v>
      </c>
      <c r="C637" s="2" t="s">
        <v>227</v>
      </c>
    </row>
    <row r="638" spans="1:3" x14ac:dyDescent="0.2">
      <c r="A638" s="2">
        <v>636</v>
      </c>
      <c r="B638" s="2">
        <f t="shared" ca="1" si="9"/>
        <v>0.73074287101310242</v>
      </c>
      <c r="C638" s="2" t="s">
        <v>226</v>
      </c>
    </row>
    <row r="639" spans="1:3" x14ac:dyDescent="0.2">
      <c r="A639" s="2">
        <v>637</v>
      </c>
      <c r="B639" s="2">
        <f t="shared" ca="1" si="9"/>
        <v>0.53034375215360496</v>
      </c>
      <c r="C639" s="2" t="s">
        <v>226</v>
      </c>
    </row>
    <row r="640" spans="1:3" x14ac:dyDescent="0.2">
      <c r="A640" s="2">
        <v>638</v>
      </c>
      <c r="B640" s="2">
        <f t="shared" ca="1" si="9"/>
        <v>0.70763894816269679</v>
      </c>
      <c r="C640" s="2" t="s">
        <v>227</v>
      </c>
    </row>
    <row r="641" spans="1:3" x14ac:dyDescent="0.2">
      <c r="A641" s="2">
        <v>639</v>
      </c>
      <c r="B641" s="2">
        <f t="shared" ca="1" si="9"/>
        <v>0.73174208389208117</v>
      </c>
      <c r="C641" s="2" t="s">
        <v>226</v>
      </c>
    </row>
    <row r="642" spans="1:3" x14ac:dyDescent="0.2">
      <c r="A642" s="2">
        <v>640</v>
      </c>
      <c r="B642" s="2">
        <f t="shared" ca="1" si="9"/>
        <v>0.70506082726911501</v>
      </c>
      <c r="C642" s="2" t="s">
        <v>227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0.70611738442063809</v>
      </c>
      <c r="C643" s="2" t="s">
        <v>227</v>
      </c>
    </row>
    <row r="644" spans="1:3" x14ac:dyDescent="0.2">
      <c r="A644" s="2">
        <v>642</v>
      </c>
      <c r="B644" s="2">
        <f t="shared" ca="1" si="10"/>
        <v>0.7505681365088428</v>
      </c>
      <c r="C644" s="2" t="s">
        <v>226</v>
      </c>
    </row>
    <row r="645" spans="1:3" x14ac:dyDescent="0.2">
      <c r="A645" s="2">
        <v>643</v>
      </c>
      <c r="B645" s="2">
        <f t="shared" ca="1" si="10"/>
        <v>0.68534499694172646</v>
      </c>
      <c r="C645" s="2" t="s">
        <v>227</v>
      </c>
    </row>
    <row r="646" spans="1:3" x14ac:dyDescent="0.2">
      <c r="A646" s="2">
        <v>644</v>
      </c>
      <c r="B646" s="2">
        <f t="shared" ca="1" si="10"/>
        <v>0.47502783235983714</v>
      </c>
      <c r="C646" s="2" t="s">
        <v>226</v>
      </c>
    </row>
    <row r="647" spans="1:3" x14ac:dyDescent="0.2">
      <c r="A647" s="2">
        <v>645</v>
      </c>
      <c r="B647" s="2">
        <f t="shared" ca="1" si="10"/>
        <v>0.40400723712446812</v>
      </c>
      <c r="C647" s="2" t="s">
        <v>226</v>
      </c>
    </row>
    <row r="648" spans="1:3" x14ac:dyDescent="0.2">
      <c r="A648" s="2">
        <v>646</v>
      </c>
      <c r="B648" s="2">
        <f t="shared" ca="1" si="10"/>
        <v>0.67193247475099849</v>
      </c>
      <c r="C648" s="2" t="s">
        <v>226</v>
      </c>
    </row>
    <row r="649" spans="1:3" x14ac:dyDescent="0.2">
      <c r="A649" s="2">
        <v>647</v>
      </c>
      <c r="B649" s="2">
        <f t="shared" ca="1" si="10"/>
        <v>0.61954834818608917</v>
      </c>
      <c r="C649" s="2" t="s">
        <v>227</v>
      </c>
    </row>
    <row r="650" spans="1:3" x14ac:dyDescent="0.2">
      <c r="A650" s="2">
        <v>648</v>
      </c>
      <c r="B650" s="2">
        <f t="shared" ca="1" si="10"/>
        <v>0.62074296585206357</v>
      </c>
      <c r="C650" s="2" t="s">
        <v>227</v>
      </c>
    </row>
    <row r="651" spans="1:3" x14ac:dyDescent="0.2">
      <c r="A651" s="2">
        <v>649</v>
      </c>
      <c r="B651" s="2">
        <f t="shared" ca="1" si="10"/>
        <v>0.67376831667336579</v>
      </c>
      <c r="C651" s="2" t="s">
        <v>227</v>
      </c>
    </row>
    <row r="652" spans="1:3" x14ac:dyDescent="0.2">
      <c r="A652" s="2">
        <v>650</v>
      </c>
      <c r="B652" s="2">
        <f t="shared" ca="1" si="10"/>
        <v>0.68425705518633584</v>
      </c>
      <c r="C652" s="2" t="s">
        <v>227</v>
      </c>
    </row>
    <row r="653" spans="1:3" x14ac:dyDescent="0.2">
      <c r="A653" s="2">
        <v>651</v>
      </c>
      <c r="B653" s="2">
        <f t="shared" ca="1" si="10"/>
        <v>0.53304441427137927</v>
      </c>
      <c r="C653" s="2" t="s">
        <v>226</v>
      </c>
    </row>
    <row r="654" spans="1:3" x14ac:dyDescent="0.2">
      <c r="A654" s="2">
        <v>652</v>
      </c>
      <c r="B654" s="2">
        <f t="shared" ca="1" si="10"/>
        <v>0.54280145279207348</v>
      </c>
      <c r="C654" s="2" t="s">
        <v>226</v>
      </c>
    </row>
    <row r="655" spans="1:3" x14ac:dyDescent="0.2">
      <c r="A655" s="2">
        <v>653</v>
      </c>
      <c r="B655" s="2">
        <f t="shared" ca="1" si="10"/>
        <v>0.74593868038384459</v>
      </c>
      <c r="C655" s="2" t="s">
        <v>226</v>
      </c>
    </row>
    <row r="656" spans="1:3" x14ac:dyDescent="0.2">
      <c r="A656" s="2">
        <v>654</v>
      </c>
      <c r="B656" s="2">
        <f t="shared" ca="1" si="10"/>
        <v>0.56735945663112819</v>
      </c>
      <c r="C656" s="2" t="s">
        <v>226</v>
      </c>
    </row>
    <row r="657" spans="1:3" x14ac:dyDescent="0.2">
      <c r="A657" s="2">
        <v>655</v>
      </c>
      <c r="B657" s="2">
        <f t="shared" ca="1" si="10"/>
        <v>0.43725282462122794</v>
      </c>
      <c r="C657" s="2" t="s">
        <v>226</v>
      </c>
    </row>
    <row r="658" spans="1:3" x14ac:dyDescent="0.2">
      <c r="A658" s="2">
        <v>656</v>
      </c>
      <c r="B658" s="2">
        <f t="shared" ca="1" si="10"/>
        <v>0.61344873300029801</v>
      </c>
      <c r="C658" s="2" t="s">
        <v>226</v>
      </c>
    </row>
    <row r="659" spans="1:3" x14ac:dyDescent="0.2">
      <c r="A659" s="2">
        <v>657</v>
      </c>
      <c r="B659" s="2">
        <f t="shared" ca="1" si="10"/>
        <v>0.63999898638017205</v>
      </c>
      <c r="C659" s="2" t="s">
        <v>227</v>
      </c>
    </row>
    <row r="660" spans="1:3" x14ac:dyDescent="0.2">
      <c r="A660" s="2">
        <v>658</v>
      </c>
      <c r="B660" s="2">
        <f t="shared" ca="1" si="10"/>
        <v>0.60058573680397487</v>
      </c>
      <c r="C660" s="2" t="s">
        <v>226</v>
      </c>
    </row>
    <row r="661" spans="1:3" x14ac:dyDescent="0.2">
      <c r="A661" s="2">
        <v>659</v>
      </c>
      <c r="B661" s="2">
        <f t="shared" ca="1" si="10"/>
        <v>0.67248555652510378</v>
      </c>
      <c r="C661" s="2" t="s">
        <v>227</v>
      </c>
    </row>
    <row r="662" spans="1:3" x14ac:dyDescent="0.2">
      <c r="A662" s="2">
        <v>660</v>
      </c>
      <c r="B662" s="2">
        <f t="shared" ca="1" si="10"/>
        <v>0.7117327400650838</v>
      </c>
      <c r="C662" s="2" t="s">
        <v>226</v>
      </c>
    </row>
    <row r="663" spans="1:3" x14ac:dyDescent="0.2">
      <c r="A663" s="2">
        <v>661</v>
      </c>
      <c r="B663" s="2">
        <f t="shared" ca="1" si="10"/>
        <v>0.58222694528703733</v>
      </c>
      <c r="C663" s="2" t="s">
        <v>227</v>
      </c>
    </row>
    <row r="664" spans="1:3" x14ac:dyDescent="0.2">
      <c r="A664" s="2">
        <v>662</v>
      </c>
      <c r="B664" s="2">
        <f t="shared" ca="1" si="10"/>
        <v>0.61742623540180142</v>
      </c>
      <c r="C664" s="2" t="s">
        <v>226</v>
      </c>
    </row>
    <row r="665" spans="1:3" x14ac:dyDescent="0.2">
      <c r="A665" s="2">
        <v>663</v>
      </c>
      <c r="B665" s="2">
        <f t="shared" ca="1" si="10"/>
        <v>0.69207486681000041</v>
      </c>
      <c r="C665" s="2" t="s">
        <v>226</v>
      </c>
    </row>
    <row r="666" spans="1:3" x14ac:dyDescent="0.2">
      <c r="A666" s="2">
        <v>664</v>
      </c>
      <c r="B666" s="2">
        <f t="shared" ca="1" si="10"/>
        <v>0.64848136780979349</v>
      </c>
      <c r="C666" s="2" t="s">
        <v>227</v>
      </c>
    </row>
    <row r="667" spans="1:3" x14ac:dyDescent="0.2">
      <c r="A667" s="2">
        <v>665</v>
      </c>
      <c r="B667" s="2">
        <f t="shared" ca="1" si="10"/>
        <v>0.6639786003309428</v>
      </c>
      <c r="C667" s="2" t="s">
        <v>226</v>
      </c>
    </row>
    <row r="668" spans="1:3" x14ac:dyDescent="0.2">
      <c r="A668" s="2">
        <v>666</v>
      </c>
      <c r="B668" s="2">
        <f t="shared" ca="1" si="10"/>
        <v>0.25369053506864409</v>
      </c>
      <c r="C668" s="2" t="s">
        <v>226</v>
      </c>
    </row>
    <row r="669" spans="1:3" x14ac:dyDescent="0.2">
      <c r="A669" s="2">
        <v>667</v>
      </c>
      <c r="B669" s="2">
        <f t="shared" ca="1" si="10"/>
        <v>0.8315158420134825</v>
      </c>
      <c r="C669" s="2" t="s">
        <v>227</v>
      </c>
    </row>
    <row r="670" spans="1:3" x14ac:dyDescent="0.2">
      <c r="A670" s="2">
        <v>668</v>
      </c>
      <c r="B670" s="2">
        <f t="shared" ca="1" si="10"/>
        <v>0.77796698778604745</v>
      </c>
      <c r="C670" s="2" t="s">
        <v>226</v>
      </c>
    </row>
    <row r="671" spans="1:3" x14ac:dyDescent="0.2">
      <c r="A671" s="2">
        <v>669</v>
      </c>
      <c r="B671" s="2">
        <f t="shared" ca="1" si="10"/>
        <v>0.46280004305708428</v>
      </c>
      <c r="C671" s="2" t="s">
        <v>226</v>
      </c>
    </row>
    <row r="672" spans="1:3" x14ac:dyDescent="0.2">
      <c r="A672" s="2">
        <v>670</v>
      </c>
      <c r="B672" s="2">
        <f t="shared" ca="1" si="10"/>
        <v>0.32613585239094006</v>
      </c>
      <c r="C672" s="2" t="s">
        <v>226</v>
      </c>
    </row>
    <row r="673" spans="1:3" x14ac:dyDescent="0.2">
      <c r="A673" s="2">
        <v>671</v>
      </c>
      <c r="B673" s="2">
        <f t="shared" ca="1" si="10"/>
        <v>0.77236237452670609</v>
      </c>
      <c r="C673" s="2" t="s">
        <v>226</v>
      </c>
    </row>
    <row r="674" spans="1:3" x14ac:dyDescent="0.2">
      <c r="A674" s="2">
        <v>672</v>
      </c>
      <c r="B674" s="2">
        <f t="shared" ca="1" si="10"/>
        <v>0.44099809251964406</v>
      </c>
      <c r="C674" s="2" t="s">
        <v>226</v>
      </c>
    </row>
    <row r="675" spans="1:3" x14ac:dyDescent="0.2">
      <c r="A675" s="2">
        <v>673</v>
      </c>
      <c r="B675" s="2">
        <f t="shared" ca="1" si="10"/>
        <v>0.31211145734281825</v>
      </c>
      <c r="C675" s="2" t="s">
        <v>226</v>
      </c>
    </row>
    <row r="676" spans="1:3" x14ac:dyDescent="0.2">
      <c r="A676" s="2">
        <v>674</v>
      </c>
      <c r="B676" s="2">
        <f t="shared" ca="1" si="10"/>
        <v>0.66946347537473261</v>
      </c>
      <c r="C676" s="2" t="s">
        <v>227</v>
      </c>
    </row>
    <row r="677" spans="1:3" x14ac:dyDescent="0.2">
      <c r="A677" s="2">
        <v>675</v>
      </c>
      <c r="B677" s="2">
        <f t="shared" ca="1" si="10"/>
        <v>0.57700555620152483</v>
      </c>
      <c r="C677" s="2" t="s">
        <v>226</v>
      </c>
    </row>
    <row r="678" spans="1:3" x14ac:dyDescent="0.2">
      <c r="A678" s="2">
        <v>676</v>
      </c>
      <c r="B678" s="2">
        <f t="shared" ca="1" si="10"/>
        <v>0.65051610577563546</v>
      </c>
      <c r="C678" s="2" t="s">
        <v>227</v>
      </c>
    </row>
    <row r="679" spans="1:3" x14ac:dyDescent="0.2">
      <c r="A679" s="2">
        <v>677</v>
      </c>
      <c r="B679" s="2">
        <f t="shared" ca="1" si="10"/>
        <v>0.73324576129594299</v>
      </c>
      <c r="C679" s="2" t="s">
        <v>226</v>
      </c>
    </row>
    <row r="680" spans="1:3" x14ac:dyDescent="0.2">
      <c r="A680" s="2">
        <v>678</v>
      </c>
      <c r="B680" s="2">
        <f t="shared" ca="1" si="10"/>
        <v>0.56910022059017351</v>
      </c>
      <c r="C680" s="2" t="s">
        <v>227</v>
      </c>
    </row>
    <row r="681" spans="1:3" x14ac:dyDescent="0.2">
      <c r="A681" s="2">
        <v>679</v>
      </c>
      <c r="B681" s="2">
        <f t="shared" ca="1" si="10"/>
        <v>0.64024702530035815</v>
      </c>
      <c r="C681" s="2" t="s">
        <v>226</v>
      </c>
    </row>
    <row r="682" spans="1:3" x14ac:dyDescent="0.2">
      <c r="A682" s="2">
        <v>680</v>
      </c>
      <c r="B682" s="2">
        <f t="shared" ca="1" si="10"/>
        <v>0.47761427037549498</v>
      </c>
      <c r="C682" s="2" t="s">
        <v>226</v>
      </c>
    </row>
    <row r="683" spans="1:3" x14ac:dyDescent="0.2">
      <c r="A683" s="2">
        <v>681</v>
      </c>
      <c r="B683" s="2">
        <f t="shared" ca="1" si="10"/>
        <v>0.72257457171225403</v>
      </c>
      <c r="C683" s="2" t="s">
        <v>226</v>
      </c>
    </row>
    <row r="684" spans="1:3" x14ac:dyDescent="0.2">
      <c r="A684" s="2">
        <v>682</v>
      </c>
      <c r="B684" s="2">
        <f t="shared" ca="1" si="10"/>
        <v>0.47251702346766822</v>
      </c>
      <c r="C684" s="2" t="s">
        <v>226</v>
      </c>
    </row>
    <row r="685" spans="1:3" x14ac:dyDescent="0.2">
      <c r="A685" s="2">
        <v>683</v>
      </c>
      <c r="B685" s="2">
        <f t="shared" ca="1" si="10"/>
        <v>0.79393552959815938</v>
      </c>
      <c r="C685" s="2" t="s">
        <v>226</v>
      </c>
    </row>
    <row r="686" spans="1:3" x14ac:dyDescent="0.2">
      <c r="A686" s="2">
        <v>684</v>
      </c>
      <c r="B686" s="2">
        <f t="shared" ca="1" si="10"/>
        <v>0.71985259542689661</v>
      </c>
      <c r="C686" s="2" t="s">
        <v>226</v>
      </c>
    </row>
    <row r="687" spans="1:3" x14ac:dyDescent="0.2">
      <c r="A687" s="2">
        <v>685</v>
      </c>
      <c r="B687" s="2">
        <f t="shared" ca="1" si="10"/>
        <v>0.70431366327041811</v>
      </c>
      <c r="C687" s="2" t="s">
        <v>227</v>
      </c>
    </row>
    <row r="688" spans="1:3" x14ac:dyDescent="0.2">
      <c r="A688" s="2">
        <v>686</v>
      </c>
      <c r="B688" s="2">
        <f t="shared" ca="1" si="10"/>
        <v>0.49312829371719114</v>
      </c>
      <c r="C688" s="2" t="s">
        <v>226</v>
      </c>
    </row>
    <row r="689" spans="1:3" x14ac:dyDescent="0.2">
      <c r="A689" s="2">
        <v>687</v>
      </c>
      <c r="B689" s="2">
        <f t="shared" ca="1" si="10"/>
        <v>0.50077106068350052</v>
      </c>
      <c r="C689" s="2" t="s">
        <v>226</v>
      </c>
    </row>
    <row r="690" spans="1:3" x14ac:dyDescent="0.2">
      <c r="A690" s="2">
        <v>688</v>
      </c>
      <c r="B690" s="2">
        <f t="shared" ca="1" si="10"/>
        <v>0.41515044424690684</v>
      </c>
      <c r="C690" s="2" t="s">
        <v>226</v>
      </c>
    </row>
    <row r="691" spans="1:3" x14ac:dyDescent="0.2">
      <c r="A691" s="2">
        <v>689</v>
      </c>
      <c r="B691" s="2">
        <f t="shared" ca="1" si="10"/>
        <v>0.77333931942267764</v>
      </c>
      <c r="C691" s="2" t="s">
        <v>226</v>
      </c>
    </row>
    <row r="692" spans="1:3" x14ac:dyDescent="0.2">
      <c r="A692" s="2">
        <v>690</v>
      </c>
      <c r="B692" s="2">
        <f t="shared" ca="1" si="10"/>
        <v>0.78333996623537461</v>
      </c>
      <c r="C692" s="2" t="s">
        <v>227</v>
      </c>
    </row>
    <row r="693" spans="1:3" x14ac:dyDescent="0.2">
      <c r="A693" s="2">
        <v>691</v>
      </c>
      <c r="B693" s="2">
        <f t="shared" ca="1" si="10"/>
        <v>0.62385152166372804</v>
      </c>
      <c r="C693" s="2" t="s">
        <v>227</v>
      </c>
    </row>
    <row r="694" spans="1:3" x14ac:dyDescent="0.2">
      <c r="A694" s="2">
        <v>692</v>
      </c>
      <c r="B694" s="2">
        <f t="shared" ca="1" si="10"/>
        <v>0.60542894477895082</v>
      </c>
      <c r="C694" s="2" t="s">
        <v>227</v>
      </c>
    </row>
    <row r="695" spans="1:3" x14ac:dyDescent="0.2">
      <c r="A695" s="2">
        <v>693</v>
      </c>
      <c r="B695" s="2">
        <f t="shared" ca="1" si="10"/>
        <v>0.6410530785309394</v>
      </c>
      <c r="C695" s="2" t="s">
        <v>227</v>
      </c>
    </row>
    <row r="696" spans="1:3" x14ac:dyDescent="0.2">
      <c r="A696" s="2">
        <v>694</v>
      </c>
      <c r="B696" s="2">
        <f t="shared" ca="1" si="10"/>
        <v>0.70751011371158212</v>
      </c>
      <c r="C696" s="2" t="s">
        <v>226</v>
      </c>
    </row>
    <row r="697" spans="1:3" x14ac:dyDescent="0.2">
      <c r="A697" s="2">
        <v>695</v>
      </c>
      <c r="B697" s="2">
        <f t="shared" ca="1" si="10"/>
        <v>0.41290395227539822</v>
      </c>
      <c r="C697" s="2" t="s">
        <v>226</v>
      </c>
    </row>
    <row r="698" spans="1:3" x14ac:dyDescent="0.2">
      <c r="A698" s="2">
        <v>696</v>
      </c>
      <c r="B698" s="2">
        <f t="shared" ca="1" si="10"/>
        <v>0.50606600048711137</v>
      </c>
      <c r="C698" s="2" t="s">
        <v>226</v>
      </c>
    </row>
    <row r="699" spans="1:3" x14ac:dyDescent="0.2">
      <c r="A699" s="2">
        <v>697</v>
      </c>
      <c r="B699" s="2">
        <f t="shared" ca="1" si="10"/>
        <v>0.78368990372689473</v>
      </c>
      <c r="C699" s="2" t="s">
        <v>226</v>
      </c>
    </row>
    <row r="700" spans="1:3" x14ac:dyDescent="0.2">
      <c r="A700" s="2">
        <v>698</v>
      </c>
      <c r="B700" s="2">
        <f t="shared" ca="1" si="10"/>
        <v>0.83412758734754888</v>
      </c>
      <c r="C700" s="2" t="s">
        <v>227</v>
      </c>
    </row>
    <row r="701" spans="1:3" x14ac:dyDescent="0.2">
      <c r="A701" s="2">
        <v>699</v>
      </c>
      <c r="B701" s="2">
        <f t="shared" ca="1" si="10"/>
        <v>0.42430049170920237</v>
      </c>
      <c r="C701" s="2" t="s">
        <v>226</v>
      </c>
    </row>
    <row r="702" spans="1:3" x14ac:dyDescent="0.2">
      <c r="A702" s="2">
        <v>700</v>
      </c>
      <c r="B702" s="2">
        <f t="shared" ca="1" si="10"/>
        <v>0.96162412457079038</v>
      </c>
      <c r="C702" s="2" t="s">
        <v>226</v>
      </c>
    </row>
    <row r="703" spans="1:3" x14ac:dyDescent="0.2">
      <c r="A703" s="2">
        <v>701</v>
      </c>
      <c r="B703" s="2">
        <f t="shared" ca="1" si="10"/>
        <v>0.53544887988137879</v>
      </c>
      <c r="C703" s="2" t="s">
        <v>226</v>
      </c>
    </row>
    <row r="704" spans="1:3" x14ac:dyDescent="0.2">
      <c r="A704" s="2">
        <v>702</v>
      </c>
      <c r="B704" s="2">
        <f t="shared" ca="1" si="10"/>
        <v>0.47890091880825053</v>
      </c>
      <c r="C704" s="2" t="s">
        <v>226</v>
      </c>
    </row>
    <row r="705" spans="1:3" x14ac:dyDescent="0.2">
      <c r="A705" s="2">
        <v>703</v>
      </c>
      <c r="B705" s="2">
        <f t="shared" ca="1" si="10"/>
        <v>0.70764509344744853</v>
      </c>
      <c r="C705" s="2" t="s">
        <v>227</v>
      </c>
    </row>
    <row r="706" spans="1:3" x14ac:dyDescent="0.2">
      <c r="A706" s="2">
        <v>704</v>
      </c>
      <c r="B706" s="2">
        <f t="shared" ca="1" si="10"/>
        <v>0.74568916268893992</v>
      </c>
      <c r="C706" s="2" t="s">
        <v>227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0.49397294336044462</v>
      </c>
      <c r="C707" s="2" t="s">
        <v>226</v>
      </c>
    </row>
    <row r="708" spans="1:3" x14ac:dyDescent="0.2">
      <c r="A708" s="2">
        <v>706</v>
      </c>
      <c r="B708" s="2">
        <f t="shared" ca="1" si="11"/>
        <v>0.75561077227711781</v>
      </c>
      <c r="C708" s="2" t="s">
        <v>226</v>
      </c>
    </row>
    <row r="709" spans="1:3" x14ac:dyDescent="0.2">
      <c r="A709" s="2">
        <v>707</v>
      </c>
      <c r="B709" s="2">
        <f t="shared" ca="1" si="11"/>
        <v>0.61715118043671546</v>
      </c>
      <c r="C709" s="2" t="s">
        <v>226</v>
      </c>
    </row>
    <row r="710" spans="1:3" x14ac:dyDescent="0.2">
      <c r="A710" s="2">
        <v>708</v>
      </c>
      <c r="B710" s="2">
        <f t="shared" ca="1" si="11"/>
        <v>0.6176541981416388</v>
      </c>
      <c r="C710" s="2" t="s">
        <v>227</v>
      </c>
    </row>
    <row r="711" spans="1:3" x14ac:dyDescent="0.2">
      <c r="A711" s="2">
        <v>709</v>
      </c>
      <c r="B711" s="2">
        <f t="shared" ca="1" si="11"/>
        <v>0.55900583001787607</v>
      </c>
      <c r="C711" s="2" t="s">
        <v>227</v>
      </c>
    </row>
    <row r="712" spans="1:3" x14ac:dyDescent="0.2">
      <c r="A712" s="2">
        <v>710</v>
      </c>
      <c r="B712" s="2">
        <f t="shared" ca="1" si="11"/>
        <v>0.7162147889656848</v>
      </c>
      <c r="C712" s="2" t="s">
        <v>227</v>
      </c>
    </row>
    <row r="713" spans="1:3" x14ac:dyDescent="0.2">
      <c r="A713" s="2">
        <v>711</v>
      </c>
      <c r="B713" s="2">
        <f t="shared" ca="1" si="11"/>
        <v>0.61745696282477347</v>
      </c>
      <c r="C713" s="2" t="s">
        <v>226</v>
      </c>
    </row>
    <row r="714" spans="1:3" x14ac:dyDescent="0.2">
      <c r="A714" s="2">
        <v>712</v>
      </c>
      <c r="B714" s="2">
        <f t="shared" ca="1" si="11"/>
        <v>0.73904039731646165</v>
      </c>
      <c r="C714" s="2" t="s">
        <v>227</v>
      </c>
    </row>
    <row r="715" spans="1:3" x14ac:dyDescent="0.2">
      <c r="A715" s="2">
        <v>713</v>
      </c>
      <c r="B715" s="2">
        <f t="shared" ca="1" si="11"/>
        <v>0.51151339576192478</v>
      </c>
      <c r="C715" s="2" t="s">
        <v>226</v>
      </c>
    </row>
    <row r="716" spans="1:3" x14ac:dyDescent="0.2">
      <c r="A716" s="2">
        <v>714</v>
      </c>
      <c r="B716" s="2">
        <f t="shared" ca="1" si="11"/>
        <v>0.47706427604827328</v>
      </c>
      <c r="C716" s="2" t="s">
        <v>226</v>
      </c>
    </row>
    <row r="717" spans="1:3" x14ac:dyDescent="0.2">
      <c r="A717" s="2">
        <v>715</v>
      </c>
      <c r="B717" s="2">
        <f t="shared" ca="1" si="11"/>
        <v>0.94869914140343936</v>
      </c>
      <c r="C717" s="2" t="s">
        <v>226</v>
      </c>
    </row>
    <row r="718" spans="1:3" x14ac:dyDescent="0.2">
      <c r="A718" s="2">
        <v>716</v>
      </c>
      <c r="B718" s="2">
        <f t="shared" ca="1" si="11"/>
        <v>0.54718785171402107</v>
      </c>
      <c r="C718" s="2" t="s">
        <v>227</v>
      </c>
    </row>
    <row r="719" spans="1:3" x14ac:dyDescent="0.2">
      <c r="A719" s="2">
        <v>717</v>
      </c>
      <c r="B719" s="2">
        <f t="shared" ca="1" si="11"/>
        <v>0.84500004848463872</v>
      </c>
      <c r="C719" s="2" t="s">
        <v>226</v>
      </c>
    </row>
    <row r="720" spans="1:3" x14ac:dyDescent="0.2">
      <c r="A720" s="2">
        <v>718</v>
      </c>
      <c r="B720" s="2">
        <f t="shared" ca="1" si="11"/>
        <v>0.53870907594955841</v>
      </c>
      <c r="C720" s="2" t="s">
        <v>226</v>
      </c>
    </row>
    <row r="721" spans="1:3" x14ac:dyDescent="0.2">
      <c r="A721" s="2">
        <v>719</v>
      </c>
      <c r="B721" s="2">
        <f t="shared" ca="1" si="11"/>
        <v>0.52935508615718474</v>
      </c>
      <c r="C721" s="2" t="s">
        <v>226</v>
      </c>
    </row>
    <row r="722" spans="1:3" x14ac:dyDescent="0.2">
      <c r="A722" s="2">
        <v>720</v>
      </c>
      <c r="B722" s="2">
        <f t="shared" ca="1" si="11"/>
        <v>0.65234371237019073</v>
      </c>
      <c r="C722" s="2" t="s">
        <v>226</v>
      </c>
    </row>
    <row r="723" spans="1:3" x14ac:dyDescent="0.2">
      <c r="A723" s="2">
        <v>721</v>
      </c>
      <c r="B723" s="2">
        <f t="shared" ca="1" si="11"/>
        <v>0.48690232128403155</v>
      </c>
      <c r="C723" s="2" t="s">
        <v>227</v>
      </c>
    </row>
    <row r="724" spans="1:3" x14ac:dyDescent="0.2">
      <c r="A724" s="2">
        <v>722</v>
      </c>
      <c r="B724" s="2">
        <f t="shared" ca="1" si="11"/>
        <v>0.7073845538515402</v>
      </c>
      <c r="C724" s="2" t="s">
        <v>226</v>
      </c>
    </row>
    <row r="725" spans="1:3" x14ac:dyDescent="0.2">
      <c r="A725" s="2">
        <v>723</v>
      </c>
      <c r="B725" s="2">
        <f t="shared" ca="1" si="11"/>
        <v>0.65231520824777933</v>
      </c>
      <c r="C725" s="2" t="s">
        <v>227</v>
      </c>
    </row>
    <row r="726" spans="1:3" x14ac:dyDescent="0.2">
      <c r="A726" s="2">
        <v>724</v>
      </c>
      <c r="B726" s="2">
        <f t="shared" ca="1" si="11"/>
        <v>0.65419971357072315</v>
      </c>
      <c r="C726" s="2" t="s">
        <v>227</v>
      </c>
    </row>
    <row r="727" spans="1:3" x14ac:dyDescent="0.2">
      <c r="A727" s="2">
        <v>725</v>
      </c>
      <c r="B727" s="2">
        <f t="shared" ca="1" si="11"/>
        <v>0.7571041523919777</v>
      </c>
      <c r="C727" s="2" t="s">
        <v>226</v>
      </c>
    </row>
    <row r="728" spans="1:3" x14ac:dyDescent="0.2">
      <c r="A728" s="2">
        <v>726</v>
      </c>
      <c r="B728" s="2">
        <f t="shared" ca="1" si="11"/>
        <v>0.59249983152746055</v>
      </c>
      <c r="C728" s="2" t="s">
        <v>226</v>
      </c>
    </row>
    <row r="729" spans="1:3" x14ac:dyDescent="0.2">
      <c r="A729" s="2">
        <v>727</v>
      </c>
      <c r="B729" s="2">
        <f t="shared" ca="1" si="11"/>
        <v>0.68927984920933283</v>
      </c>
      <c r="C729" s="2" t="s">
        <v>227</v>
      </c>
    </row>
    <row r="730" spans="1:3" x14ac:dyDescent="0.2">
      <c r="A730" s="2">
        <v>728</v>
      </c>
      <c r="B730" s="2">
        <f t="shared" ca="1" si="11"/>
        <v>0.74367023255015108</v>
      </c>
      <c r="C730" s="2" t="s">
        <v>226</v>
      </c>
    </row>
    <row r="731" spans="1:3" x14ac:dyDescent="0.2">
      <c r="A731" s="2">
        <v>729</v>
      </c>
      <c r="B731" s="2">
        <f t="shared" ca="1" si="11"/>
        <v>0.71444900724645033</v>
      </c>
      <c r="C731" s="2" t="s">
        <v>227</v>
      </c>
    </row>
    <row r="732" spans="1:3" x14ac:dyDescent="0.2">
      <c r="A732" s="2">
        <v>730</v>
      </c>
      <c r="B732" s="2">
        <f t="shared" ca="1" si="11"/>
        <v>0.53752306834917796</v>
      </c>
      <c r="C732" s="2" t="s">
        <v>227</v>
      </c>
    </row>
    <row r="733" spans="1:3" x14ac:dyDescent="0.2">
      <c r="A733" s="2">
        <v>731</v>
      </c>
      <c r="B733" s="2">
        <f t="shared" ca="1" si="11"/>
        <v>0.58495006954768625</v>
      </c>
      <c r="C733" s="2" t="s">
        <v>227</v>
      </c>
    </row>
    <row r="734" spans="1:3" x14ac:dyDescent="0.2">
      <c r="A734" s="2">
        <v>732</v>
      </c>
      <c r="B734" s="2">
        <f t="shared" ca="1" si="11"/>
        <v>0.71649310159669366</v>
      </c>
      <c r="C734" s="2" t="s">
        <v>226</v>
      </c>
    </row>
    <row r="735" spans="1:3" x14ac:dyDescent="0.2">
      <c r="A735" s="2">
        <v>733</v>
      </c>
      <c r="B735" s="2">
        <f t="shared" ca="1" si="11"/>
        <v>0.65187500915042451</v>
      </c>
      <c r="C735" s="2" t="s">
        <v>226</v>
      </c>
    </row>
    <row r="736" spans="1:3" x14ac:dyDescent="0.2">
      <c r="A736" s="2">
        <v>734</v>
      </c>
      <c r="B736" s="2">
        <f t="shared" ca="1" si="11"/>
        <v>0.57771314999998402</v>
      </c>
      <c r="C736" s="2" t="s">
        <v>226</v>
      </c>
    </row>
    <row r="737" spans="1:3" x14ac:dyDescent="0.2">
      <c r="A737" s="2">
        <v>735</v>
      </c>
      <c r="B737" s="2">
        <f t="shared" ca="1" si="11"/>
        <v>0.56948651665171057</v>
      </c>
      <c r="C737" s="2" t="s">
        <v>227</v>
      </c>
    </row>
    <row r="738" spans="1:3" x14ac:dyDescent="0.2">
      <c r="A738" s="2">
        <v>736</v>
      </c>
      <c r="B738" s="2">
        <f t="shared" ca="1" si="11"/>
        <v>0.89820320615229488</v>
      </c>
      <c r="C738" s="2" t="s">
        <v>227</v>
      </c>
    </row>
    <row r="739" spans="1:3" x14ac:dyDescent="0.2">
      <c r="A739" s="2">
        <v>737</v>
      </c>
      <c r="B739" s="2">
        <f t="shared" ca="1" si="11"/>
        <v>0.59682956959545674</v>
      </c>
      <c r="C739" s="2" t="s">
        <v>226</v>
      </c>
    </row>
    <row r="740" spans="1:3" x14ac:dyDescent="0.2">
      <c r="A740" s="2">
        <v>738</v>
      </c>
      <c r="B740" s="2">
        <f t="shared" ca="1" si="11"/>
        <v>0.41012048941941193</v>
      </c>
      <c r="C740" s="2" t="s">
        <v>226</v>
      </c>
    </row>
    <row r="741" spans="1:3" x14ac:dyDescent="0.2">
      <c r="A741" s="2">
        <v>739</v>
      </c>
      <c r="B741" s="2">
        <f t="shared" ca="1" si="11"/>
        <v>0.56289341638647794</v>
      </c>
      <c r="C741" s="2" t="s">
        <v>227</v>
      </c>
    </row>
    <row r="742" spans="1:3" x14ac:dyDescent="0.2">
      <c r="A742" s="2">
        <v>740</v>
      </c>
      <c r="B742" s="2">
        <f t="shared" ca="1" si="11"/>
        <v>0.74190836902060087</v>
      </c>
      <c r="C742" s="2" t="s">
        <v>226</v>
      </c>
    </row>
    <row r="743" spans="1:3" x14ac:dyDescent="0.2">
      <c r="A743" s="2">
        <v>741</v>
      </c>
      <c r="B743" s="2">
        <f t="shared" ca="1" si="11"/>
        <v>0.59437219116636753</v>
      </c>
      <c r="C743" s="2" t="s">
        <v>226</v>
      </c>
    </row>
    <row r="744" spans="1:3" x14ac:dyDescent="0.2">
      <c r="A744" s="2">
        <v>742</v>
      </c>
      <c r="B744" s="2">
        <f t="shared" ca="1" si="11"/>
        <v>0.63389348044291949</v>
      </c>
      <c r="C744" s="2" t="s">
        <v>226</v>
      </c>
    </row>
    <row r="745" spans="1:3" x14ac:dyDescent="0.2">
      <c r="A745" s="2">
        <v>743</v>
      </c>
      <c r="B745" s="2">
        <f t="shared" ca="1" si="11"/>
        <v>0.66913728784018789</v>
      </c>
      <c r="C745" s="2" t="s">
        <v>226</v>
      </c>
    </row>
    <row r="746" spans="1:3" x14ac:dyDescent="0.2">
      <c r="A746" s="2">
        <v>744</v>
      </c>
      <c r="B746" s="2">
        <f t="shared" ca="1" si="11"/>
        <v>0.58493848848879826</v>
      </c>
      <c r="C746" s="2" t="s">
        <v>226</v>
      </c>
    </row>
    <row r="747" spans="1:3" x14ac:dyDescent="0.2">
      <c r="A747" s="2">
        <v>745</v>
      </c>
      <c r="B747" s="2">
        <f t="shared" ca="1" si="11"/>
        <v>0.45884359340402636</v>
      </c>
      <c r="C747" s="2" t="s">
        <v>226</v>
      </c>
    </row>
    <row r="748" spans="1:3" x14ac:dyDescent="0.2">
      <c r="A748" s="2">
        <v>746</v>
      </c>
      <c r="B748" s="2">
        <f t="shared" ca="1" si="11"/>
        <v>0.77088396371964818</v>
      </c>
      <c r="C748" s="2" t="s">
        <v>227</v>
      </c>
    </row>
    <row r="749" spans="1:3" x14ac:dyDescent="0.2">
      <c r="A749" s="2">
        <v>747</v>
      </c>
      <c r="B749" s="2">
        <f t="shared" ca="1" si="11"/>
        <v>0.80178131598849256</v>
      </c>
      <c r="C749" s="2" t="s">
        <v>227</v>
      </c>
    </row>
    <row r="750" spans="1:3" x14ac:dyDescent="0.2">
      <c r="A750" s="2">
        <v>748</v>
      </c>
      <c r="B750" s="2">
        <f t="shared" ca="1" si="11"/>
        <v>0.75501860270421317</v>
      </c>
      <c r="C750" s="2" t="s">
        <v>226</v>
      </c>
    </row>
    <row r="751" spans="1:3" x14ac:dyDescent="0.2">
      <c r="A751" s="2">
        <v>749</v>
      </c>
      <c r="B751" s="2">
        <f t="shared" ca="1" si="11"/>
        <v>0.5701672596709948</v>
      </c>
      <c r="C751" s="2" t="s">
        <v>227</v>
      </c>
    </row>
    <row r="752" spans="1:3" x14ac:dyDescent="0.2">
      <c r="A752" s="2">
        <v>750</v>
      </c>
      <c r="B752" s="2">
        <f t="shared" ca="1" si="11"/>
        <v>0.61171245927597917</v>
      </c>
      <c r="C752" s="2" t="s">
        <v>226</v>
      </c>
    </row>
    <row r="753" spans="1:3" x14ac:dyDescent="0.2">
      <c r="A753" s="2">
        <v>751</v>
      </c>
      <c r="B753" s="2">
        <f t="shared" ca="1" si="11"/>
        <v>0.68784288690383844</v>
      </c>
      <c r="C753" s="2" t="s">
        <v>227</v>
      </c>
    </row>
    <row r="754" spans="1:3" x14ac:dyDescent="0.2">
      <c r="A754" s="2">
        <v>752</v>
      </c>
      <c r="B754" s="2">
        <f t="shared" ca="1" si="11"/>
        <v>0.65903237668229664</v>
      </c>
      <c r="C754" s="2" t="s">
        <v>227</v>
      </c>
    </row>
    <row r="755" spans="1:3" x14ac:dyDescent="0.2">
      <c r="A755" s="2">
        <v>753</v>
      </c>
      <c r="B755" s="2">
        <f t="shared" ca="1" si="11"/>
        <v>0.75287582989289714</v>
      </c>
      <c r="C755" s="2" t="s">
        <v>227</v>
      </c>
    </row>
    <row r="756" spans="1:3" x14ac:dyDescent="0.2">
      <c r="A756" s="2">
        <v>754</v>
      </c>
      <c r="B756" s="2">
        <f t="shared" ca="1" si="11"/>
        <v>0.76279467739368834</v>
      </c>
      <c r="C756" s="2" t="s">
        <v>227</v>
      </c>
    </row>
    <row r="757" spans="1:3" x14ac:dyDescent="0.2">
      <c r="A757" s="2">
        <v>755</v>
      </c>
      <c r="B757" s="2">
        <f t="shared" ca="1" si="11"/>
        <v>0.35246216635134431</v>
      </c>
      <c r="C757" s="2" t="s">
        <v>226</v>
      </c>
    </row>
    <row r="758" spans="1:3" x14ac:dyDescent="0.2">
      <c r="A758" s="2">
        <v>756</v>
      </c>
      <c r="B758" s="2">
        <f t="shared" ca="1" si="11"/>
        <v>0.54298327838855232</v>
      </c>
      <c r="C758" s="2" t="s">
        <v>227</v>
      </c>
    </row>
    <row r="759" spans="1:3" x14ac:dyDescent="0.2">
      <c r="A759" s="2">
        <v>757</v>
      </c>
      <c r="B759" s="2">
        <f t="shared" ca="1" si="11"/>
        <v>0.51560811597615785</v>
      </c>
      <c r="C759" s="2" t="s">
        <v>227</v>
      </c>
    </row>
    <row r="760" spans="1:3" x14ac:dyDescent="0.2">
      <c r="A760" s="2">
        <v>758</v>
      </c>
      <c r="B760" s="2">
        <f t="shared" ca="1" si="11"/>
        <v>0.37727154610098346</v>
      </c>
      <c r="C760" s="2" t="s">
        <v>227</v>
      </c>
    </row>
    <row r="761" spans="1:3" x14ac:dyDescent="0.2">
      <c r="A761" s="2">
        <v>759</v>
      </c>
      <c r="B761" s="2">
        <f t="shared" ca="1" si="11"/>
        <v>0.36153118912580945</v>
      </c>
      <c r="C761" s="2" t="s">
        <v>226</v>
      </c>
    </row>
    <row r="762" spans="1:3" x14ac:dyDescent="0.2">
      <c r="A762" s="2">
        <v>760</v>
      </c>
      <c r="B762" s="2">
        <f t="shared" ca="1" si="11"/>
        <v>0.55176089280371476</v>
      </c>
      <c r="C762" s="2" t="s">
        <v>227</v>
      </c>
    </row>
    <row r="763" spans="1:3" x14ac:dyDescent="0.2">
      <c r="A763" s="2">
        <v>761</v>
      </c>
      <c r="B763" s="2">
        <f t="shared" ca="1" si="11"/>
        <v>0.418505267298526</v>
      </c>
      <c r="C763" s="2" t="s">
        <v>226</v>
      </c>
    </row>
    <row r="764" spans="1:3" x14ac:dyDescent="0.2">
      <c r="A764" s="2">
        <v>762</v>
      </c>
      <c r="B764" s="2">
        <f t="shared" ca="1" si="11"/>
        <v>0.60889962733567549</v>
      </c>
      <c r="C764" s="2" t="s">
        <v>226</v>
      </c>
    </row>
    <row r="765" spans="1:3" x14ac:dyDescent="0.2">
      <c r="A765" s="2">
        <v>763</v>
      </c>
      <c r="B765" s="2">
        <f t="shared" ca="1" si="11"/>
        <v>0.28817100516446509</v>
      </c>
      <c r="C765" s="2" t="s">
        <v>226</v>
      </c>
    </row>
    <row r="766" spans="1:3" x14ac:dyDescent="0.2">
      <c r="A766" s="2">
        <v>764</v>
      </c>
      <c r="B766" s="2">
        <f t="shared" ca="1" si="11"/>
        <v>0.61695019586781397</v>
      </c>
      <c r="C766" s="2" t="s">
        <v>226</v>
      </c>
    </row>
    <row r="767" spans="1:3" x14ac:dyDescent="0.2">
      <c r="A767" s="2">
        <v>765</v>
      </c>
      <c r="B767" s="2">
        <f t="shared" ca="1" si="11"/>
        <v>0.69234621095859183</v>
      </c>
      <c r="C767" s="2" t="s">
        <v>226</v>
      </c>
    </row>
    <row r="768" spans="1:3" x14ac:dyDescent="0.2">
      <c r="A768" s="2">
        <v>766</v>
      </c>
      <c r="B768" s="2">
        <f t="shared" ca="1" si="11"/>
        <v>0.57494342022942679</v>
      </c>
      <c r="C768" s="2" t="s">
        <v>226</v>
      </c>
    </row>
    <row r="769" spans="1:3" x14ac:dyDescent="0.2">
      <c r="A769" s="2">
        <v>767</v>
      </c>
      <c r="B769" s="2">
        <f t="shared" ca="1" si="11"/>
        <v>0.69045713169013401</v>
      </c>
      <c r="C769" s="2" t="s">
        <v>227</v>
      </c>
    </row>
    <row r="770" spans="1:3" x14ac:dyDescent="0.2">
      <c r="A770" s="2">
        <v>768</v>
      </c>
      <c r="B770" s="2">
        <f t="shared" ca="1" si="11"/>
        <v>0.58618833243498081</v>
      </c>
      <c r="C770" s="2" t="s">
        <v>227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0.37642411867829861</v>
      </c>
      <c r="C771" s="2" t="s">
        <v>226</v>
      </c>
    </row>
    <row r="772" spans="1:3" x14ac:dyDescent="0.2">
      <c r="A772" s="2">
        <v>770</v>
      </c>
      <c r="B772" s="2">
        <f t="shared" ca="1" si="12"/>
        <v>0.47087811899112375</v>
      </c>
      <c r="C772" s="2" t="s">
        <v>227</v>
      </c>
    </row>
    <row r="773" spans="1:3" x14ac:dyDescent="0.2">
      <c r="A773" s="2">
        <v>771</v>
      </c>
      <c r="B773" s="2">
        <f t="shared" ca="1" si="12"/>
        <v>0.53615121887762451</v>
      </c>
      <c r="C773" s="2" t="s">
        <v>226</v>
      </c>
    </row>
    <row r="774" spans="1:3" x14ac:dyDescent="0.2">
      <c r="A774" s="2">
        <v>772</v>
      </c>
      <c r="B774" s="2">
        <f t="shared" ca="1" si="12"/>
        <v>0.73105406994011002</v>
      </c>
      <c r="C774" s="2" t="s">
        <v>226</v>
      </c>
    </row>
    <row r="775" spans="1:3" x14ac:dyDescent="0.2">
      <c r="A775" s="2">
        <v>773</v>
      </c>
      <c r="B775" s="2">
        <f t="shared" ca="1" si="12"/>
        <v>0.71368100772564047</v>
      </c>
      <c r="C775" s="2" t="s">
        <v>226</v>
      </c>
    </row>
    <row r="776" spans="1:3" x14ac:dyDescent="0.2">
      <c r="A776" s="2">
        <v>774</v>
      </c>
      <c r="B776" s="2">
        <f t="shared" ca="1" si="12"/>
        <v>0.89660754332532266</v>
      </c>
      <c r="C776" s="2" t="s">
        <v>226</v>
      </c>
    </row>
    <row r="777" spans="1:3" x14ac:dyDescent="0.2">
      <c r="A777" s="2">
        <v>775</v>
      </c>
      <c r="B777" s="2">
        <f t="shared" ca="1" si="12"/>
        <v>0.56057356164644634</v>
      </c>
      <c r="C777" s="2" t="s">
        <v>227</v>
      </c>
    </row>
    <row r="778" spans="1:3" x14ac:dyDescent="0.2">
      <c r="A778" s="2">
        <v>776</v>
      </c>
      <c r="B778" s="2">
        <f t="shared" ca="1" si="12"/>
        <v>0.37988364173525291</v>
      </c>
      <c r="C778" s="2" t="s">
        <v>226</v>
      </c>
    </row>
    <row r="779" spans="1:3" x14ac:dyDescent="0.2">
      <c r="A779" s="2">
        <v>777</v>
      </c>
      <c r="B779" s="2">
        <f t="shared" ca="1" si="12"/>
        <v>0.58898490168889839</v>
      </c>
      <c r="C779" s="2" t="s">
        <v>227</v>
      </c>
    </row>
    <row r="780" spans="1:3" x14ac:dyDescent="0.2">
      <c r="A780" s="2">
        <v>778</v>
      </c>
      <c r="B780" s="2">
        <f t="shared" ca="1" si="12"/>
        <v>0.71875732022871452</v>
      </c>
      <c r="C780" s="2" t="s">
        <v>227</v>
      </c>
    </row>
    <row r="781" spans="1:3" x14ac:dyDescent="0.2">
      <c r="A781" s="2">
        <v>779</v>
      </c>
      <c r="B781" s="2">
        <f t="shared" ca="1" si="12"/>
        <v>0.76317331824455759</v>
      </c>
      <c r="C781" s="2" t="s">
        <v>227</v>
      </c>
    </row>
    <row r="782" spans="1:3" x14ac:dyDescent="0.2">
      <c r="A782" s="2">
        <v>780</v>
      </c>
      <c r="B782" s="2">
        <f t="shared" ca="1" si="12"/>
        <v>0.9430248855033796</v>
      </c>
      <c r="C782" s="2" t="s">
        <v>227</v>
      </c>
    </row>
    <row r="783" spans="1:3" x14ac:dyDescent="0.2">
      <c r="A783" s="2">
        <v>781</v>
      </c>
      <c r="B783" s="2">
        <f t="shared" ca="1" si="12"/>
        <v>0.5728380517425955</v>
      </c>
      <c r="C783" s="2" t="s">
        <v>227</v>
      </c>
    </row>
    <row r="784" spans="1:3" x14ac:dyDescent="0.2">
      <c r="A784" s="2">
        <v>782</v>
      </c>
      <c r="B784" s="2">
        <f t="shared" ca="1" si="12"/>
        <v>0.76306554613278488</v>
      </c>
      <c r="C784" s="2" t="s">
        <v>227</v>
      </c>
    </row>
    <row r="785" spans="1:3" x14ac:dyDescent="0.2">
      <c r="A785" s="2">
        <v>783</v>
      </c>
      <c r="B785" s="2">
        <f t="shared" ca="1" si="12"/>
        <v>0.94129098261424238</v>
      </c>
      <c r="C785" s="2" t="s">
        <v>227</v>
      </c>
    </row>
    <row r="786" spans="1:3" x14ac:dyDescent="0.2">
      <c r="A786" s="2">
        <v>784</v>
      </c>
      <c r="B786" s="2">
        <f t="shared" ca="1" si="12"/>
        <v>0.62379297335074368</v>
      </c>
      <c r="C786" s="2" t="s">
        <v>226</v>
      </c>
    </row>
    <row r="787" spans="1:3" x14ac:dyDescent="0.2">
      <c r="A787" s="2">
        <v>785</v>
      </c>
      <c r="B787" s="2">
        <f t="shared" ca="1" si="12"/>
        <v>0.69629297956880121</v>
      </c>
      <c r="C787" s="2" t="s">
        <v>226</v>
      </c>
    </row>
    <row r="788" spans="1:3" x14ac:dyDescent="0.2">
      <c r="A788" s="2">
        <v>786</v>
      </c>
      <c r="B788" s="2">
        <f t="shared" ca="1" si="12"/>
        <v>0.82167652357387</v>
      </c>
      <c r="C788" s="2" t="s">
        <v>226</v>
      </c>
    </row>
    <row r="789" spans="1:3" x14ac:dyDescent="0.2">
      <c r="A789" s="2">
        <v>787</v>
      </c>
      <c r="B789" s="2">
        <f t="shared" ca="1" si="12"/>
        <v>0.69919281597041527</v>
      </c>
      <c r="C789" s="2" t="s">
        <v>227</v>
      </c>
    </row>
    <row r="790" spans="1:3" x14ac:dyDescent="0.2">
      <c r="A790" s="2">
        <v>788</v>
      </c>
      <c r="B790" s="2">
        <f t="shared" ca="1" si="12"/>
        <v>0.54537063644613415</v>
      </c>
      <c r="C790" s="2" t="s">
        <v>226</v>
      </c>
    </row>
    <row r="791" spans="1:3" x14ac:dyDescent="0.2">
      <c r="A791" s="2">
        <v>789</v>
      </c>
      <c r="B791" s="2">
        <f t="shared" ca="1" si="12"/>
        <v>0.56411014844874052</v>
      </c>
      <c r="C791" s="2" t="s">
        <v>227</v>
      </c>
    </row>
    <row r="792" spans="1:3" x14ac:dyDescent="0.2">
      <c r="A792" s="2">
        <v>790</v>
      </c>
      <c r="B792" s="2">
        <f t="shared" ca="1" si="12"/>
        <v>0.69691967710045588</v>
      </c>
      <c r="C792" s="2" t="s">
        <v>227</v>
      </c>
    </row>
    <row r="793" spans="1:3" x14ac:dyDescent="0.2">
      <c r="A793" s="2">
        <v>791</v>
      </c>
      <c r="B793" s="2">
        <f t="shared" ca="1" si="12"/>
        <v>0.44192494109829317</v>
      </c>
      <c r="C793" s="2" t="s">
        <v>226</v>
      </c>
    </row>
    <row r="794" spans="1:3" x14ac:dyDescent="0.2">
      <c r="A794" s="2">
        <v>792</v>
      </c>
      <c r="B794" s="2">
        <f t="shared" ca="1" si="12"/>
        <v>0.23606657663784542</v>
      </c>
      <c r="C794" s="2" t="s">
        <v>226</v>
      </c>
    </row>
    <row r="795" spans="1:3" x14ac:dyDescent="0.2">
      <c r="A795" s="2">
        <v>793</v>
      </c>
      <c r="B795" s="2">
        <f t="shared" ca="1" si="12"/>
        <v>0.73800214376535533</v>
      </c>
      <c r="C795" s="2" t="s">
        <v>227</v>
      </c>
    </row>
    <row r="796" spans="1:3" x14ac:dyDescent="0.2">
      <c r="A796" s="2">
        <v>794</v>
      </c>
      <c r="B796" s="2">
        <f t="shared" ca="1" si="12"/>
        <v>0.59526197759357768</v>
      </c>
      <c r="C796" s="2" t="s">
        <v>226</v>
      </c>
    </row>
    <row r="797" spans="1:3" x14ac:dyDescent="0.2">
      <c r="A797" s="2">
        <v>795</v>
      </c>
      <c r="B797" s="2">
        <f t="shared" ca="1" si="12"/>
        <v>0.42576991581420864</v>
      </c>
      <c r="C797" s="2" t="s">
        <v>226</v>
      </c>
    </row>
    <row r="798" spans="1:3" x14ac:dyDescent="0.2">
      <c r="A798" s="2">
        <v>796</v>
      </c>
      <c r="B798" s="2">
        <f t="shared" ca="1" si="12"/>
        <v>0.80538422995497372</v>
      </c>
      <c r="C798" s="2" t="s">
        <v>226</v>
      </c>
    </row>
    <row r="799" spans="1:3" x14ac:dyDescent="0.2">
      <c r="A799" s="2">
        <v>797</v>
      </c>
      <c r="B799" s="2">
        <f t="shared" ca="1" si="12"/>
        <v>0.65408638930149876</v>
      </c>
      <c r="C799" s="2" t="s">
        <v>226</v>
      </c>
    </row>
    <row r="800" spans="1:3" x14ac:dyDescent="0.2">
      <c r="A800" s="2">
        <v>798</v>
      </c>
      <c r="B800" s="2">
        <f t="shared" ca="1" si="12"/>
        <v>0.53529730408565446</v>
      </c>
      <c r="C800" s="2" t="s">
        <v>227</v>
      </c>
    </row>
    <row r="801" spans="1:3" x14ac:dyDescent="0.2">
      <c r="A801" s="2">
        <v>799</v>
      </c>
      <c r="B801" s="2">
        <f t="shared" ca="1" si="12"/>
        <v>0.5948146361035167</v>
      </c>
      <c r="C801" s="2" t="s">
        <v>226</v>
      </c>
    </row>
    <row r="802" spans="1:3" x14ac:dyDescent="0.2">
      <c r="A802" s="2">
        <v>800</v>
      </c>
      <c r="B802" s="2">
        <f t="shared" ca="1" si="12"/>
        <v>0.87954359284639116</v>
      </c>
      <c r="C802" s="2" t="s">
        <v>226</v>
      </c>
    </row>
    <row r="803" spans="1:3" x14ac:dyDescent="0.2">
      <c r="A803" s="2">
        <v>801</v>
      </c>
      <c r="B803" s="2">
        <f t="shared" ca="1" si="12"/>
        <v>0.84088115683151998</v>
      </c>
      <c r="C803" s="2" t="s">
        <v>226</v>
      </c>
    </row>
    <row r="804" spans="1:3" x14ac:dyDescent="0.2">
      <c r="A804" s="2">
        <v>802</v>
      </c>
      <c r="B804" s="2">
        <f t="shared" ca="1" si="12"/>
        <v>0.41329374650192496</v>
      </c>
      <c r="C804" s="2" t="s">
        <v>226</v>
      </c>
    </row>
    <row r="805" spans="1:3" x14ac:dyDescent="0.2">
      <c r="A805" s="2">
        <v>803</v>
      </c>
      <c r="B805" s="2">
        <f t="shared" ca="1" si="12"/>
        <v>0.72809922504327929</v>
      </c>
      <c r="C805" s="2" t="s">
        <v>227</v>
      </c>
    </row>
    <row r="806" spans="1:3" x14ac:dyDescent="0.2">
      <c r="A806" s="2">
        <v>804</v>
      </c>
      <c r="B806" s="2">
        <f t="shared" ca="1" si="12"/>
        <v>0.40892316641589277</v>
      </c>
      <c r="C806" s="2" t="s">
        <v>226</v>
      </c>
    </row>
    <row r="807" spans="1:3" x14ac:dyDescent="0.2">
      <c r="A807" s="2">
        <v>805</v>
      </c>
      <c r="B807" s="2">
        <f t="shared" ca="1" si="12"/>
        <v>0.50340894375715006</v>
      </c>
      <c r="C807" s="2" t="s">
        <v>227</v>
      </c>
    </row>
    <row r="808" spans="1:3" x14ac:dyDescent="0.2">
      <c r="A808" s="2">
        <v>806</v>
      </c>
      <c r="B808" s="2">
        <f t="shared" ca="1" si="12"/>
        <v>0.58930026452030715</v>
      </c>
      <c r="C808" s="2" t="s">
        <v>226</v>
      </c>
    </row>
    <row r="809" spans="1:3" x14ac:dyDescent="0.2">
      <c r="A809" s="2">
        <v>807</v>
      </c>
      <c r="B809" s="2">
        <f t="shared" ca="1" si="12"/>
        <v>0.81093758300625529</v>
      </c>
      <c r="C809" s="2" t="s">
        <v>227</v>
      </c>
    </row>
    <row r="810" spans="1:3" x14ac:dyDescent="0.2">
      <c r="A810" s="2">
        <v>808</v>
      </c>
      <c r="B810" s="2">
        <f t="shared" ca="1" si="12"/>
        <v>0.61311789033297737</v>
      </c>
      <c r="C810" s="2" t="s">
        <v>227</v>
      </c>
    </row>
    <row r="811" spans="1:3" x14ac:dyDescent="0.2">
      <c r="A811" s="2">
        <v>809</v>
      </c>
      <c r="B811" s="2">
        <f t="shared" ca="1" si="12"/>
        <v>0.65373779520571529</v>
      </c>
      <c r="C811" s="2" t="s">
        <v>227</v>
      </c>
    </row>
    <row r="812" spans="1:3" x14ac:dyDescent="0.2">
      <c r="A812" s="2">
        <v>810</v>
      </c>
      <c r="B812" s="2">
        <f t="shared" ca="1" si="12"/>
        <v>0.88981909279818916</v>
      </c>
      <c r="C812" s="2" t="s">
        <v>227</v>
      </c>
    </row>
    <row r="813" spans="1:3" x14ac:dyDescent="0.2">
      <c r="A813" s="2">
        <v>811</v>
      </c>
      <c r="B813" s="2">
        <f t="shared" ca="1" si="12"/>
        <v>0.60936735161771594</v>
      </c>
      <c r="C813" s="2" t="s">
        <v>226</v>
      </c>
    </row>
    <row r="814" spans="1:3" x14ac:dyDescent="0.2">
      <c r="A814" s="2">
        <v>812</v>
      </c>
      <c r="B814" s="2">
        <f t="shared" ca="1" si="12"/>
        <v>0.76323041681659354</v>
      </c>
      <c r="C814" s="2" t="s">
        <v>227</v>
      </c>
    </row>
    <row r="815" spans="1:3" x14ac:dyDescent="0.2">
      <c r="A815" s="2">
        <v>813</v>
      </c>
      <c r="B815" s="2">
        <f t="shared" ca="1" si="12"/>
        <v>0.66490485118099218</v>
      </c>
      <c r="C815" s="2" t="s">
        <v>227</v>
      </c>
    </row>
    <row r="816" spans="1:3" x14ac:dyDescent="0.2">
      <c r="A816" s="2">
        <v>814</v>
      </c>
      <c r="B816" s="2">
        <f t="shared" ca="1" si="12"/>
        <v>0.69446474341120012</v>
      </c>
      <c r="C816" s="2" t="s">
        <v>226</v>
      </c>
    </row>
    <row r="817" spans="1:3" x14ac:dyDescent="0.2">
      <c r="A817" s="2">
        <v>815</v>
      </c>
      <c r="B817" s="2">
        <f t="shared" ca="1" si="12"/>
        <v>0.5041587199380998</v>
      </c>
      <c r="C817" s="2" t="s">
        <v>226</v>
      </c>
    </row>
    <row r="818" spans="1:3" x14ac:dyDescent="0.2">
      <c r="A818" s="2">
        <v>816</v>
      </c>
      <c r="B818" s="2">
        <f t="shared" ca="1" si="12"/>
        <v>0.55082503895703661</v>
      </c>
      <c r="C818" s="2" t="s">
        <v>226</v>
      </c>
    </row>
    <row r="819" spans="1:3" x14ac:dyDescent="0.2">
      <c r="A819" s="2">
        <v>817</v>
      </c>
      <c r="B819" s="2">
        <f t="shared" ca="1" si="12"/>
        <v>0.61203747552058896</v>
      </c>
      <c r="C819" s="2" t="s">
        <v>226</v>
      </c>
    </row>
    <row r="820" spans="1:3" x14ac:dyDescent="0.2">
      <c r="A820" s="2">
        <v>818</v>
      </c>
      <c r="B820" s="2">
        <f t="shared" ca="1" si="12"/>
        <v>0.46928545258680976</v>
      </c>
      <c r="C820" s="2" t="s">
        <v>226</v>
      </c>
    </row>
    <row r="821" spans="1:3" x14ac:dyDescent="0.2">
      <c r="A821" s="2">
        <v>819</v>
      </c>
      <c r="B821" s="2">
        <f t="shared" ca="1" si="12"/>
        <v>0.53768207944795976</v>
      </c>
      <c r="C821" s="2" t="s">
        <v>226</v>
      </c>
    </row>
    <row r="822" spans="1:3" x14ac:dyDescent="0.2">
      <c r="A822" s="2">
        <v>820</v>
      </c>
      <c r="B822" s="2">
        <f t="shared" ca="1" si="12"/>
        <v>0.81746838660510535</v>
      </c>
      <c r="C822" s="2" t="s">
        <v>226</v>
      </c>
    </row>
    <row r="823" spans="1:3" x14ac:dyDescent="0.2">
      <c r="A823" s="2">
        <v>821</v>
      </c>
      <c r="B823" s="2">
        <f t="shared" ca="1" si="12"/>
        <v>0.66783571740987813</v>
      </c>
      <c r="C823" s="2" t="s">
        <v>227</v>
      </c>
    </row>
    <row r="824" spans="1:3" x14ac:dyDescent="0.2">
      <c r="A824" s="2">
        <v>822</v>
      </c>
      <c r="B824" s="2">
        <f t="shared" ca="1" si="12"/>
        <v>0.47571500462822214</v>
      </c>
      <c r="C824" s="2" t="s">
        <v>226</v>
      </c>
    </row>
    <row r="825" spans="1:3" x14ac:dyDescent="0.2">
      <c r="A825" s="2">
        <v>823</v>
      </c>
      <c r="B825" s="2">
        <f t="shared" ca="1" si="12"/>
        <v>0.82161308645742115</v>
      </c>
      <c r="C825" s="2" t="s">
        <v>227</v>
      </c>
    </row>
    <row r="826" spans="1:3" x14ac:dyDescent="0.2">
      <c r="A826" s="2">
        <v>824</v>
      </c>
      <c r="B826" s="2">
        <f t="shared" ca="1" si="12"/>
        <v>0.75038692841987398</v>
      </c>
      <c r="C826" s="2" t="s">
        <v>227</v>
      </c>
    </row>
    <row r="827" spans="1:3" x14ac:dyDescent="0.2">
      <c r="A827" s="2">
        <v>825</v>
      </c>
      <c r="B827" s="2">
        <f t="shared" ca="1" si="12"/>
        <v>0.62239653664813233</v>
      </c>
      <c r="C827" s="2" t="s">
        <v>227</v>
      </c>
    </row>
    <row r="828" spans="1:3" x14ac:dyDescent="0.2">
      <c r="A828" s="2">
        <v>826</v>
      </c>
      <c r="B828" s="2">
        <f t="shared" ca="1" si="12"/>
        <v>0.5030330564162615</v>
      </c>
      <c r="C828" s="2" t="s">
        <v>226</v>
      </c>
    </row>
    <row r="829" spans="1:3" x14ac:dyDescent="0.2">
      <c r="A829" s="2">
        <v>827</v>
      </c>
      <c r="B829" s="2">
        <f t="shared" ca="1" si="12"/>
        <v>0.36967781872746186</v>
      </c>
      <c r="C829" s="2" t="s">
        <v>226</v>
      </c>
    </row>
    <row r="830" spans="1:3" x14ac:dyDescent="0.2">
      <c r="A830" s="2">
        <v>828</v>
      </c>
      <c r="B830" s="2">
        <f t="shared" ca="1" si="12"/>
        <v>0.69637509827877297</v>
      </c>
      <c r="C830" s="2" t="s">
        <v>226</v>
      </c>
    </row>
    <row r="831" spans="1:3" x14ac:dyDescent="0.2">
      <c r="A831" s="2">
        <v>829</v>
      </c>
      <c r="B831" s="2">
        <f t="shared" ca="1" si="12"/>
        <v>0.65297597361696069</v>
      </c>
      <c r="C831" s="2" t="s">
        <v>227</v>
      </c>
    </row>
    <row r="832" spans="1:3" x14ac:dyDescent="0.2">
      <c r="A832" s="2">
        <v>830</v>
      </c>
      <c r="B832" s="2">
        <f t="shared" ca="1" si="12"/>
        <v>0.51498400158654911</v>
      </c>
      <c r="C832" s="2" t="s">
        <v>226</v>
      </c>
    </row>
    <row r="833" spans="1:3" x14ac:dyDescent="0.2">
      <c r="A833" s="2">
        <v>831</v>
      </c>
      <c r="B833" s="2">
        <f t="shared" ca="1" si="12"/>
        <v>0.48383063777458002</v>
      </c>
      <c r="C833" s="2" t="s">
        <v>226</v>
      </c>
    </row>
    <row r="834" spans="1:3" x14ac:dyDescent="0.2">
      <c r="A834" s="2">
        <v>832</v>
      </c>
      <c r="B834" s="2">
        <f t="shared" ca="1" si="12"/>
        <v>0.78020169206853029</v>
      </c>
      <c r="C834" s="2" t="s">
        <v>226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0.45821123339800163</v>
      </c>
      <c r="C835" s="2" t="s">
        <v>227</v>
      </c>
    </row>
    <row r="836" spans="1:3" x14ac:dyDescent="0.2">
      <c r="A836" s="2">
        <v>834</v>
      </c>
      <c r="B836" s="2">
        <f t="shared" ca="1" si="13"/>
        <v>0.48992312331313226</v>
      </c>
      <c r="C836" s="2" t="s">
        <v>226</v>
      </c>
    </row>
    <row r="837" spans="1:3" x14ac:dyDescent="0.2">
      <c r="A837" s="2">
        <v>835</v>
      </c>
      <c r="B837" s="2">
        <f t="shared" ca="1" si="13"/>
        <v>0.74045419654613642</v>
      </c>
      <c r="C837" s="2" t="s">
        <v>227</v>
      </c>
    </row>
    <row r="838" spans="1:3" x14ac:dyDescent="0.2">
      <c r="A838" s="2">
        <v>836</v>
      </c>
      <c r="B838" s="2">
        <f t="shared" ca="1" si="13"/>
        <v>0.41212172172956241</v>
      </c>
      <c r="C838" s="2" t="s">
        <v>226</v>
      </c>
    </row>
    <row r="839" spans="1:3" x14ac:dyDescent="0.2">
      <c r="A839" s="2">
        <v>837</v>
      </c>
      <c r="B839" s="2">
        <f t="shared" ca="1" si="13"/>
        <v>0.69041018490242578</v>
      </c>
      <c r="C839" s="2" t="s">
        <v>227</v>
      </c>
    </row>
    <row r="840" spans="1:3" x14ac:dyDescent="0.2">
      <c r="A840" s="2">
        <v>838</v>
      </c>
      <c r="B840" s="2">
        <f t="shared" ca="1" si="13"/>
        <v>0.72794608378155523</v>
      </c>
      <c r="C840" s="2" t="s">
        <v>226</v>
      </c>
    </row>
    <row r="841" spans="1:3" x14ac:dyDescent="0.2">
      <c r="A841" s="2">
        <v>839</v>
      </c>
      <c r="B841" s="2">
        <f t="shared" ca="1" si="13"/>
        <v>0.61733540041165458</v>
      </c>
      <c r="C841" s="2" t="s">
        <v>227</v>
      </c>
    </row>
    <row r="842" spans="1:3" x14ac:dyDescent="0.2">
      <c r="A842" s="2">
        <v>840</v>
      </c>
      <c r="B842" s="2">
        <f t="shared" ca="1" si="13"/>
        <v>0.37782875496584051</v>
      </c>
      <c r="C842" s="2" t="s">
        <v>227</v>
      </c>
    </row>
    <row r="843" spans="1:3" x14ac:dyDescent="0.2">
      <c r="A843" s="2">
        <v>841</v>
      </c>
      <c r="B843" s="2">
        <f t="shared" ca="1" si="13"/>
        <v>0.68969710638035298</v>
      </c>
      <c r="C843" s="2" t="s">
        <v>227</v>
      </c>
    </row>
    <row r="844" spans="1:3" x14ac:dyDescent="0.2">
      <c r="A844" s="2">
        <v>842</v>
      </c>
      <c r="B844" s="2">
        <f t="shared" ca="1" si="13"/>
        <v>0.76466463032704601</v>
      </c>
      <c r="C844" s="2" t="s">
        <v>226</v>
      </c>
    </row>
    <row r="845" spans="1:3" x14ac:dyDescent="0.2">
      <c r="A845" s="2">
        <v>843</v>
      </c>
      <c r="B845" s="2">
        <f t="shared" ca="1" si="13"/>
        <v>0.66315539589585226</v>
      </c>
      <c r="C845" s="2" t="s">
        <v>226</v>
      </c>
    </row>
    <row r="846" spans="1:3" x14ac:dyDescent="0.2">
      <c r="A846" s="2">
        <v>844</v>
      </c>
      <c r="B846" s="2">
        <f t="shared" ca="1" si="13"/>
        <v>0.51175583963498206</v>
      </c>
      <c r="C846" s="2" t="s">
        <v>226</v>
      </c>
    </row>
    <row r="847" spans="1:3" x14ac:dyDescent="0.2">
      <c r="A847" s="2">
        <v>845</v>
      </c>
      <c r="B847" s="2">
        <f t="shared" ca="1" si="13"/>
        <v>0.75985622889438431</v>
      </c>
      <c r="C847" s="2" t="s">
        <v>226</v>
      </c>
    </row>
    <row r="848" spans="1:3" x14ac:dyDescent="0.2">
      <c r="A848" s="2">
        <v>846</v>
      </c>
      <c r="B848" s="2">
        <f t="shared" ca="1" si="13"/>
        <v>0.44173273836167437</v>
      </c>
      <c r="C848" s="2" t="s">
        <v>226</v>
      </c>
    </row>
    <row r="849" spans="1:3" x14ac:dyDescent="0.2">
      <c r="A849" s="2">
        <v>847</v>
      </c>
      <c r="B849" s="2">
        <f t="shared" ca="1" si="13"/>
        <v>0.76940920003232427</v>
      </c>
      <c r="C849" s="2" t="s">
        <v>227</v>
      </c>
    </row>
    <row r="850" spans="1:3" x14ac:dyDescent="0.2">
      <c r="A850" s="2">
        <v>848</v>
      </c>
      <c r="B850" s="2">
        <f t="shared" ca="1" si="13"/>
        <v>0.65867739835774586</v>
      </c>
      <c r="C850" s="2" t="s">
        <v>226</v>
      </c>
    </row>
    <row r="851" spans="1:3" x14ac:dyDescent="0.2">
      <c r="A851" s="2">
        <v>849</v>
      </c>
      <c r="B851" s="2">
        <f t="shared" ca="1" si="13"/>
        <v>0.65250603779988792</v>
      </c>
      <c r="C851" s="2" t="s">
        <v>227</v>
      </c>
    </row>
    <row r="852" spans="1:3" x14ac:dyDescent="0.2">
      <c r="A852" s="2">
        <v>850</v>
      </c>
      <c r="B852" s="2">
        <f t="shared" ca="1" si="13"/>
        <v>0.66051428778059318</v>
      </c>
      <c r="C852" s="2" t="s">
        <v>226</v>
      </c>
    </row>
    <row r="853" spans="1:3" x14ac:dyDescent="0.2">
      <c r="A853" s="2">
        <v>851</v>
      </c>
      <c r="B853" s="2">
        <f t="shared" ca="1" si="13"/>
        <v>0.63302440582285635</v>
      </c>
      <c r="C853" s="2" t="s">
        <v>226</v>
      </c>
    </row>
    <row r="854" spans="1:3" x14ac:dyDescent="0.2">
      <c r="A854" s="2">
        <v>852</v>
      </c>
      <c r="B854" s="2">
        <f t="shared" ca="1" si="13"/>
        <v>0.59634065786360624</v>
      </c>
      <c r="C854" s="2" t="s">
        <v>226</v>
      </c>
    </row>
    <row r="855" spans="1:3" x14ac:dyDescent="0.2">
      <c r="A855" s="2">
        <v>853</v>
      </c>
      <c r="B855" s="2">
        <f t="shared" ca="1" si="13"/>
        <v>0.63693882303669258</v>
      </c>
      <c r="C855" s="2" t="s">
        <v>226</v>
      </c>
    </row>
    <row r="856" spans="1:3" x14ac:dyDescent="0.2">
      <c r="A856" s="2">
        <v>854</v>
      </c>
      <c r="B856" s="2">
        <f t="shared" ca="1" si="13"/>
        <v>0.83553351838361856</v>
      </c>
      <c r="C856" s="2" t="s">
        <v>226</v>
      </c>
    </row>
    <row r="857" spans="1:3" x14ac:dyDescent="0.2">
      <c r="A857" s="2">
        <v>855</v>
      </c>
      <c r="B857" s="2">
        <f t="shared" ca="1" si="13"/>
        <v>0.73019377782925776</v>
      </c>
      <c r="C857" s="2" t="s">
        <v>227</v>
      </c>
    </row>
    <row r="858" spans="1:3" x14ac:dyDescent="0.2">
      <c r="A858" s="2">
        <v>856</v>
      </c>
      <c r="B858" s="2">
        <f t="shared" ca="1" si="13"/>
        <v>0.83409980395434657</v>
      </c>
      <c r="C858" s="2" t="s">
        <v>227</v>
      </c>
    </row>
    <row r="859" spans="1:3" x14ac:dyDescent="0.2">
      <c r="A859" s="2">
        <v>857</v>
      </c>
      <c r="B859" s="2">
        <f t="shared" ca="1" si="13"/>
        <v>0.82716100489532951</v>
      </c>
      <c r="C859" s="2" t="s">
        <v>226</v>
      </c>
    </row>
    <row r="860" spans="1:3" x14ac:dyDescent="0.2">
      <c r="A860" s="2">
        <v>858</v>
      </c>
      <c r="B860" s="2">
        <f t="shared" ca="1" si="13"/>
        <v>0.72592828671584342</v>
      </c>
      <c r="C860" s="2" t="s">
        <v>226</v>
      </c>
    </row>
    <row r="861" spans="1:3" x14ac:dyDescent="0.2">
      <c r="A861" s="2">
        <v>859</v>
      </c>
      <c r="B861" s="2">
        <f t="shared" ca="1" si="13"/>
        <v>0.69688525528075784</v>
      </c>
      <c r="C861" s="2" t="s">
        <v>226</v>
      </c>
    </row>
    <row r="862" spans="1:3" x14ac:dyDescent="0.2">
      <c r="A862" s="2">
        <v>860</v>
      </c>
      <c r="B862" s="2">
        <f t="shared" ca="1" si="13"/>
        <v>0.46027056256648002</v>
      </c>
      <c r="C862" s="2" t="s">
        <v>226</v>
      </c>
    </row>
    <row r="863" spans="1:3" x14ac:dyDescent="0.2">
      <c r="A863" s="2">
        <v>861</v>
      </c>
      <c r="B863" s="2">
        <f t="shared" ca="1" si="13"/>
        <v>0.66491660457905988</v>
      </c>
      <c r="C863" s="2" t="s">
        <v>227</v>
      </c>
    </row>
    <row r="864" spans="1:3" x14ac:dyDescent="0.2">
      <c r="A864" s="2">
        <v>862</v>
      </c>
      <c r="B864" s="2">
        <f t="shared" ca="1" si="13"/>
        <v>0.84019851042462834</v>
      </c>
      <c r="C864" s="2" t="s">
        <v>226</v>
      </c>
    </row>
    <row r="865" spans="1:3" x14ac:dyDescent="0.2">
      <c r="A865" s="2">
        <v>863</v>
      </c>
      <c r="B865" s="2">
        <f t="shared" ca="1" si="13"/>
        <v>0.52635395421856201</v>
      </c>
      <c r="C865" s="2" t="s">
        <v>226</v>
      </c>
    </row>
    <row r="866" spans="1:3" x14ac:dyDescent="0.2">
      <c r="A866" s="2">
        <v>864</v>
      </c>
      <c r="B866" s="2">
        <f t="shared" ca="1" si="13"/>
        <v>0.65742154810568143</v>
      </c>
      <c r="C866" s="2" t="s">
        <v>226</v>
      </c>
    </row>
    <row r="867" spans="1:3" x14ac:dyDescent="0.2">
      <c r="A867" s="2">
        <v>865</v>
      </c>
      <c r="B867" s="2">
        <f t="shared" ca="1" si="13"/>
        <v>0.84484222013003485</v>
      </c>
      <c r="C867" s="2" t="s">
        <v>226</v>
      </c>
    </row>
    <row r="868" spans="1:3" x14ac:dyDescent="0.2">
      <c r="A868" s="2">
        <v>866</v>
      </c>
      <c r="B868" s="2">
        <f t="shared" ca="1" si="13"/>
        <v>0.69680144279306633</v>
      </c>
      <c r="C868" s="2" t="s">
        <v>226</v>
      </c>
    </row>
    <row r="869" spans="1:3" x14ac:dyDescent="0.2">
      <c r="A869" s="2">
        <v>867</v>
      </c>
      <c r="B869" s="2">
        <f t="shared" ca="1" si="13"/>
        <v>0.39254127660301774</v>
      </c>
      <c r="C869" s="2" t="s">
        <v>226</v>
      </c>
    </row>
    <row r="870" spans="1:3" x14ac:dyDescent="0.2">
      <c r="A870" s="2">
        <v>868</v>
      </c>
      <c r="B870" s="2">
        <f t="shared" ca="1" si="13"/>
        <v>0.72672693412935796</v>
      </c>
      <c r="C870" s="2" t="s">
        <v>226</v>
      </c>
    </row>
    <row r="871" spans="1:3" x14ac:dyDescent="0.2">
      <c r="A871" s="2">
        <v>869</v>
      </c>
      <c r="B871" s="2">
        <f t="shared" ca="1" si="13"/>
        <v>0.39259731759130145</v>
      </c>
      <c r="C871" s="2" t="s">
        <v>226</v>
      </c>
    </row>
    <row r="872" spans="1:3" x14ac:dyDescent="0.2">
      <c r="A872" s="2">
        <v>870</v>
      </c>
      <c r="B872" s="2">
        <f t="shared" ca="1" si="13"/>
        <v>0.54987019955745642</v>
      </c>
      <c r="C872" s="2" t="s">
        <v>226</v>
      </c>
    </row>
    <row r="873" spans="1:3" x14ac:dyDescent="0.2">
      <c r="A873" s="2">
        <v>871</v>
      </c>
      <c r="B873" s="2">
        <f t="shared" ca="1" si="13"/>
        <v>0.69034254618606083</v>
      </c>
      <c r="C873" s="2" t="s">
        <v>227</v>
      </c>
    </row>
    <row r="874" spans="1:3" x14ac:dyDescent="0.2">
      <c r="A874" s="2">
        <v>872</v>
      </c>
      <c r="B874" s="2">
        <f t="shared" ca="1" si="13"/>
        <v>0.7571265249268182</v>
      </c>
      <c r="C874" s="2" t="s">
        <v>227</v>
      </c>
    </row>
    <row r="875" spans="1:3" x14ac:dyDescent="0.2">
      <c r="A875" s="2">
        <v>873</v>
      </c>
      <c r="B875" s="2">
        <f t="shared" ca="1" si="13"/>
        <v>0.74732471850948712</v>
      </c>
      <c r="C875" s="2" t="s">
        <v>227</v>
      </c>
    </row>
    <row r="876" spans="1:3" x14ac:dyDescent="0.2">
      <c r="A876" s="2">
        <v>874</v>
      </c>
      <c r="B876" s="2">
        <f t="shared" ca="1" si="13"/>
        <v>1.0728839632187777</v>
      </c>
      <c r="C876" s="2" t="s">
        <v>226</v>
      </c>
    </row>
    <row r="877" spans="1:3" x14ac:dyDescent="0.2">
      <c r="A877" s="2">
        <v>875</v>
      </c>
      <c r="B877" s="2">
        <f t="shared" ca="1" si="13"/>
        <v>0.41412653894214013</v>
      </c>
      <c r="C877" s="2" t="s">
        <v>226</v>
      </c>
    </row>
    <row r="878" spans="1:3" x14ac:dyDescent="0.2">
      <c r="A878" s="2">
        <v>876</v>
      </c>
      <c r="B878" s="2">
        <f t="shared" ca="1" si="13"/>
        <v>0.7725458142947158</v>
      </c>
      <c r="C878" s="2" t="s">
        <v>227</v>
      </c>
    </row>
    <row r="879" spans="1:3" x14ac:dyDescent="0.2">
      <c r="A879" s="2">
        <v>877</v>
      </c>
      <c r="B879" s="2">
        <f t="shared" ca="1" si="13"/>
        <v>0.68334193453035375</v>
      </c>
      <c r="C879" s="2" t="s">
        <v>226</v>
      </c>
    </row>
    <row r="880" spans="1:3" x14ac:dyDescent="0.2">
      <c r="A880" s="2">
        <v>878</v>
      </c>
      <c r="B880" s="2">
        <f t="shared" ca="1" si="13"/>
        <v>0.52644748778941697</v>
      </c>
      <c r="C880" s="2" t="s">
        <v>226</v>
      </c>
    </row>
    <row r="881" spans="1:3" x14ac:dyDescent="0.2">
      <c r="A881" s="2">
        <v>879</v>
      </c>
      <c r="B881" s="2">
        <f t="shared" ca="1" si="13"/>
        <v>0.61452065579046078</v>
      </c>
      <c r="C881" s="2" t="s">
        <v>227</v>
      </c>
    </row>
    <row r="882" spans="1:3" x14ac:dyDescent="0.2">
      <c r="A882" s="2">
        <v>880</v>
      </c>
      <c r="B882" s="2">
        <f t="shared" ca="1" si="13"/>
        <v>0.73056150361107586</v>
      </c>
      <c r="C882" s="2" t="s">
        <v>227</v>
      </c>
    </row>
    <row r="883" spans="1:3" x14ac:dyDescent="0.2">
      <c r="A883" s="2">
        <v>881</v>
      </c>
      <c r="B883" s="2">
        <f t="shared" ca="1" si="13"/>
        <v>0.71022308270871248</v>
      </c>
      <c r="C883" s="2" t="s">
        <v>227</v>
      </c>
    </row>
    <row r="884" spans="1:3" x14ac:dyDescent="0.2">
      <c r="A884" s="2">
        <v>882</v>
      </c>
      <c r="B884" s="2">
        <f t="shared" ca="1" si="13"/>
        <v>0.64296694522447972</v>
      </c>
      <c r="C884" s="2" t="s">
        <v>227</v>
      </c>
    </row>
    <row r="885" spans="1:3" x14ac:dyDescent="0.2">
      <c r="A885" s="2">
        <v>883</v>
      </c>
      <c r="B885" s="2">
        <f t="shared" ca="1" si="13"/>
        <v>0.51743341936372977</v>
      </c>
      <c r="C885" s="2" t="s">
        <v>226</v>
      </c>
    </row>
    <row r="886" spans="1:3" x14ac:dyDescent="0.2">
      <c r="A886" s="2">
        <v>884</v>
      </c>
      <c r="B886" s="2">
        <f t="shared" ca="1" si="13"/>
        <v>0.66331032113290445</v>
      </c>
      <c r="C886" s="2" t="s">
        <v>226</v>
      </c>
    </row>
    <row r="887" spans="1:3" x14ac:dyDescent="0.2">
      <c r="A887" s="2">
        <v>885</v>
      </c>
      <c r="B887" s="2">
        <f t="shared" ca="1" si="13"/>
        <v>0.48167236876633102</v>
      </c>
      <c r="C887" s="2" t="s">
        <v>226</v>
      </c>
    </row>
    <row r="888" spans="1:3" x14ac:dyDescent="0.2">
      <c r="A888" s="2">
        <v>886</v>
      </c>
      <c r="B888" s="2">
        <f t="shared" ca="1" si="13"/>
        <v>0.84325230752562153</v>
      </c>
      <c r="C888" s="2" t="s">
        <v>227</v>
      </c>
    </row>
    <row r="889" spans="1:3" x14ac:dyDescent="0.2">
      <c r="A889" s="2">
        <v>887</v>
      </c>
      <c r="B889" s="2">
        <f t="shared" ca="1" si="13"/>
        <v>0.72954967302428519</v>
      </c>
      <c r="C889" s="2" t="s">
        <v>227</v>
      </c>
    </row>
    <row r="890" spans="1:3" x14ac:dyDescent="0.2">
      <c r="A890" s="2">
        <v>888</v>
      </c>
      <c r="B890" s="2">
        <f t="shared" ca="1" si="13"/>
        <v>0.70045230578392614</v>
      </c>
      <c r="C890" s="2" t="s">
        <v>227</v>
      </c>
    </row>
    <row r="891" spans="1:3" x14ac:dyDescent="0.2">
      <c r="A891" s="2">
        <v>889</v>
      </c>
      <c r="B891" s="2">
        <f t="shared" ca="1" si="13"/>
        <v>0.66240462809503819</v>
      </c>
      <c r="C891" s="2" t="s">
        <v>226</v>
      </c>
    </row>
    <row r="892" spans="1:3" x14ac:dyDescent="0.2">
      <c r="A892" s="2">
        <v>890</v>
      </c>
      <c r="B892" s="2">
        <f t="shared" ca="1" si="13"/>
        <v>0.74202359303707843</v>
      </c>
      <c r="C892" s="2" t="s">
        <v>226</v>
      </c>
    </row>
    <row r="893" spans="1:3" x14ac:dyDescent="0.2">
      <c r="A893" s="2">
        <v>891</v>
      </c>
      <c r="B893" s="2">
        <f t="shared" ca="1" si="13"/>
        <v>0.44646501789493387</v>
      </c>
      <c r="C893" s="2" t="s">
        <v>226</v>
      </c>
    </row>
    <row r="894" spans="1:3" x14ac:dyDescent="0.2">
      <c r="A894" s="2">
        <v>892</v>
      </c>
      <c r="B894" s="2">
        <f t="shared" ca="1" si="13"/>
        <v>0.67585883999781526</v>
      </c>
      <c r="C894" s="2" t="s">
        <v>227</v>
      </c>
    </row>
    <row r="895" spans="1:3" x14ac:dyDescent="0.2">
      <c r="A895" s="2">
        <v>893</v>
      </c>
      <c r="B895" s="2">
        <f t="shared" ca="1" si="13"/>
        <v>0.37150908212627887</v>
      </c>
      <c r="C895" s="2" t="s">
        <v>226</v>
      </c>
    </row>
    <row r="896" spans="1:3" x14ac:dyDescent="0.2">
      <c r="A896" s="2">
        <v>894</v>
      </c>
      <c r="B896" s="2">
        <f t="shared" ca="1" si="13"/>
        <v>0.80762999034653027</v>
      </c>
      <c r="C896" s="2" t="s">
        <v>227</v>
      </c>
    </row>
    <row r="897" spans="1:3" x14ac:dyDescent="0.2">
      <c r="A897" s="2">
        <v>895</v>
      </c>
      <c r="B897" s="2">
        <f t="shared" ca="1" si="13"/>
        <v>0.61432202994202956</v>
      </c>
      <c r="C897" s="2" t="s">
        <v>226</v>
      </c>
    </row>
    <row r="898" spans="1:3" x14ac:dyDescent="0.2">
      <c r="A898" s="2">
        <v>896</v>
      </c>
      <c r="B898" s="2">
        <f t="shared" ca="1" si="13"/>
        <v>0.64980031802650107</v>
      </c>
      <c r="C898" s="2" t="s">
        <v>227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0.69277576779201233</v>
      </c>
      <c r="C899" s="2" t="s">
        <v>227</v>
      </c>
    </row>
    <row r="900" spans="1:3" x14ac:dyDescent="0.2">
      <c r="A900" s="2">
        <v>898</v>
      </c>
      <c r="B900" s="2">
        <f t="shared" ca="1" si="14"/>
        <v>0.58034387492780493</v>
      </c>
      <c r="C900" s="2" t="s">
        <v>227</v>
      </c>
    </row>
    <row r="901" spans="1:3" x14ac:dyDescent="0.2">
      <c r="A901" s="2">
        <v>899</v>
      </c>
      <c r="B901" s="2">
        <f t="shared" ca="1" si="14"/>
        <v>0.83447954319271067</v>
      </c>
      <c r="C901" s="2" t="s">
        <v>226</v>
      </c>
    </row>
    <row r="902" spans="1:3" x14ac:dyDescent="0.2">
      <c r="A902" s="2">
        <v>900</v>
      </c>
      <c r="B902" s="2">
        <f t="shared" ca="1" si="14"/>
        <v>0.58261263322264656</v>
      </c>
      <c r="C902" s="2" t="s">
        <v>227</v>
      </c>
    </row>
    <row r="903" spans="1:3" x14ac:dyDescent="0.2">
      <c r="A903" s="2">
        <v>901</v>
      </c>
      <c r="B903" s="2">
        <f t="shared" ca="1" si="14"/>
        <v>0.9732090398661799</v>
      </c>
      <c r="C903" s="2" t="s">
        <v>227</v>
      </c>
    </row>
    <row r="904" spans="1:3" x14ac:dyDescent="0.2">
      <c r="A904" s="2">
        <v>902</v>
      </c>
      <c r="B904" s="2">
        <f t="shared" ca="1" si="14"/>
        <v>0.67646224075898786</v>
      </c>
      <c r="C904" s="2" t="s">
        <v>227</v>
      </c>
    </row>
    <row r="905" spans="1:3" x14ac:dyDescent="0.2">
      <c r="A905" s="2">
        <v>903</v>
      </c>
      <c r="B905" s="2">
        <f t="shared" ca="1" si="14"/>
        <v>0.46804111926122344</v>
      </c>
      <c r="C905" s="2" t="s">
        <v>227</v>
      </c>
    </row>
    <row r="906" spans="1:3" x14ac:dyDescent="0.2">
      <c r="A906" s="2">
        <v>904</v>
      </c>
      <c r="B906" s="2">
        <f t="shared" ca="1" si="14"/>
        <v>0.56938921700526379</v>
      </c>
      <c r="C906" s="2" t="s">
        <v>227</v>
      </c>
    </row>
    <row r="907" spans="1:3" x14ac:dyDescent="0.2">
      <c r="A907" s="2">
        <v>905</v>
      </c>
      <c r="B907" s="2">
        <f t="shared" ca="1" si="14"/>
        <v>0.33266784245022279</v>
      </c>
      <c r="C907" s="2" t="s">
        <v>226</v>
      </c>
    </row>
    <row r="908" spans="1:3" x14ac:dyDescent="0.2">
      <c r="A908" s="2">
        <v>906</v>
      </c>
      <c r="B908" s="2">
        <f t="shared" ca="1" si="14"/>
        <v>0.78246393726295682</v>
      </c>
      <c r="C908" s="2" t="s">
        <v>226</v>
      </c>
    </row>
    <row r="909" spans="1:3" x14ac:dyDescent="0.2">
      <c r="A909" s="2">
        <v>907</v>
      </c>
      <c r="B909" s="2">
        <f t="shared" ca="1" si="14"/>
        <v>0.40970407266454051</v>
      </c>
      <c r="C909" s="2" t="s">
        <v>226</v>
      </c>
    </row>
    <row r="910" spans="1:3" x14ac:dyDescent="0.2">
      <c r="A910" s="2">
        <v>908</v>
      </c>
      <c r="B910" s="2">
        <f t="shared" ca="1" si="14"/>
        <v>0.37194273948413131</v>
      </c>
      <c r="C910" s="2" t="s">
        <v>226</v>
      </c>
    </row>
    <row r="911" spans="1:3" x14ac:dyDescent="0.2">
      <c r="A911" s="2">
        <v>909</v>
      </c>
      <c r="B911" s="2">
        <f t="shared" ca="1" si="14"/>
        <v>0.4100739970198175</v>
      </c>
      <c r="C911" s="2" t="s">
        <v>226</v>
      </c>
    </row>
    <row r="912" spans="1:3" x14ac:dyDescent="0.2">
      <c r="A912" s="2">
        <v>910</v>
      </c>
      <c r="B912" s="2">
        <f t="shared" ca="1" si="14"/>
        <v>0.84564055504643032</v>
      </c>
      <c r="C912" s="2" t="s">
        <v>227</v>
      </c>
    </row>
    <row r="913" spans="1:3" x14ac:dyDescent="0.2">
      <c r="A913" s="2">
        <v>911</v>
      </c>
      <c r="B913" s="2">
        <f t="shared" ca="1" si="14"/>
        <v>0.56335444325004624</v>
      </c>
      <c r="C913" s="2" t="s">
        <v>226</v>
      </c>
    </row>
    <row r="914" spans="1:3" x14ac:dyDescent="0.2">
      <c r="A914" s="2">
        <v>912</v>
      </c>
      <c r="B914" s="2">
        <f t="shared" ca="1" si="14"/>
        <v>0.72537458623055984</v>
      </c>
      <c r="C914" s="2" t="s">
        <v>226</v>
      </c>
    </row>
    <row r="915" spans="1:3" x14ac:dyDescent="0.2">
      <c r="A915" s="2">
        <v>913</v>
      </c>
      <c r="B915" s="2">
        <f t="shared" ca="1" si="14"/>
        <v>0.77807018486111179</v>
      </c>
      <c r="C915" s="2" t="s">
        <v>226</v>
      </c>
    </row>
    <row r="916" spans="1:3" x14ac:dyDescent="0.2">
      <c r="A916" s="2">
        <v>914</v>
      </c>
      <c r="B916" s="2">
        <f t="shared" ca="1" si="14"/>
        <v>0.56594867889261569</v>
      </c>
      <c r="C916" s="2" t="s">
        <v>227</v>
      </c>
    </row>
    <row r="917" spans="1:3" x14ac:dyDescent="0.2">
      <c r="A917" s="2">
        <v>915</v>
      </c>
      <c r="B917" s="2">
        <f t="shared" ca="1" si="14"/>
        <v>0.76499276629797974</v>
      </c>
      <c r="C917" s="2" t="s">
        <v>226</v>
      </c>
    </row>
    <row r="918" spans="1:3" x14ac:dyDescent="0.2">
      <c r="A918" s="2">
        <v>916</v>
      </c>
      <c r="B918" s="2">
        <f t="shared" ca="1" si="14"/>
        <v>0.94269751748895003</v>
      </c>
      <c r="C918" s="2" t="s">
        <v>227</v>
      </c>
    </row>
    <row r="919" spans="1:3" x14ac:dyDescent="0.2">
      <c r="A919" s="2">
        <v>917</v>
      </c>
      <c r="B919" s="2">
        <f t="shared" ca="1" si="14"/>
        <v>0.53767628736041806</v>
      </c>
      <c r="C919" s="2" t="s">
        <v>226</v>
      </c>
    </row>
    <row r="920" spans="1:3" x14ac:dyDescent="0.2">
      <c r="A920" s="2">
        <v>918</v>
      </c>
      <c r="B920" s="2">
        <f t="shared" ca="1" si="14"/>
        <v>0.6600347637434737</v>
      </c>
      <c r="C920" s="2" t="s">
        <v>227</v>
      </c>
    </row>
    <row r="921" spans="1:3" x14ac:dyDescent="0.2">
      <c r="A921" s="2">
        <v>919</v>
      </c>
      <c r="B921" s="2">
        <f t="shared" ca="1" si="14"/>
        <v>0.77080859442700733</v>
      </c>
      <c r="C921" s="2" t="s">
        <v>226</v>
      </c>
    </row>
    <row r="922" spans="1:3" x14ac:dyDescent="0.2">
      <c r="A922" s="2">
        <v>920</v>
      </c>
      <c r="B922" s="2">
        <f t="shared" ca="1" si="14"/>
        <v>0.63013670946387534</v>
      </c>
      <c r="C922" s="2" t="s">
        <v>227</v>
      </c>
    </row>
    <row r="923" spans="1:3" x14ac:dyDescent="0.2">
      <c r="A923" s="2">
        <v>921</v>
      </c>
      <c r="B923" s="2">
        <f t="shared" ca="1" si="14"/>
        <v>0.61429375504808492</v>
      </c>
      <c r="C923" s="2" t="s">
        <v>227</v>
      </c>
    </row>
    <row r="924" spans="1:3" x14ac:dyDescent="0.2">
      <c r="A924" s="2">
        <v>922</v>
      </c>
      <c r="B924" s="2">
        <f t="shared" ca="1" si="14"/>
        <v>0.71405855226777082</v>
      </c>
      <c r="C924" s="2" t="s">
        <v>226</v>
      </c>
    </row>
    <row r="925" spans="1:3" x14ac:dyDescent="0.2">
      <c r="A925" s="2">
        <v>923</v>
      </c>
      <c r="B925" s="2">
        <f t="shared" ca="1" si="14"/>
        <v>0.52931029544071095</v>
      </c>
      <c r="C925" s="2" t="s">
        <v>226</v>
      </c>
    </row>
    <row r="926" spans="1:3" x14ac:dyDescent="0.2">
      <c r="A926" s="2">
        <v>924</v>
      </c>
      <c r="B926" s="2">
        <f t="shared" ca="1" si="14"/>
        <v>0.83221347529557466</v>
      </c>
      <c r="C926" s="2" t="s">
        <v>226</v>
      </c>
    </row>
    <row r="927" spans="1:3" x14ac:dyDescent="0.2">
      <c r="A927" s="2">
        <v>925</v>
      </c>
      <c r="B927" s="2">
        <f t="shared" ca="1" si="14"/>
        <v>0.76535908073483161</v>
      </c>
      <c r="C927" s="2" t="s">
        <v>227</v>
      </c>
    </row>
    <row r="928" spans="1:3" x14ac:dyDescent="0.2">
      <c r="A928" s="2">
        <v>926</v>
      </c>
      <c r="B928" s="2">
        <f t="shared" ca="1" si="14"/>
        <v>0.69466090498716093</v>
      </c>
      <c r="C928" s="2" t="s">
        <v>227</v>
      </c>
    </row>
    <row r="929" spans="1:3" x14ac:dyDescent="0.2">
      <c r="A929" s="2">
        <v>927</v>
      </c>
      <c r="B929" s="2">
        <f t="shared" ca="1" si="14"/>
        <v>0.64990592482989906</v>
      </c>
      <c r="C929" s="2" t="s">
        <v>227</v>
      </c>
    </row>
    <row r="930" spans="1:3" x14ac:dyDescent="0.2">
      <c r="A930" s="2">
        <v>928</v>
      </c>
      <c r="B930" s="2">
        <f t="shared" ca="1" si="14"/>
        <v>0.55944415412819071</v>
      </c>
      <c r="C930" s="2" t="s">
        <v>227</v>
      </c>
    </row>
    <row r="931" spans="1:3" x14ac:dyDescent="0.2">
      <c r="A931" s="2">
        <v>929</v>
      </c>
      <c r="B931" s="2">
        <f t="shared" ca="1" si="14"/>
        <v>0.73429115626036756</v>
      </c>
      <c r="C931" s="2" t="s">
        <v>227</v>
      </c>
    </row>
    <row r="932" spans="1:3" x14ac:dyDescent="0.2">
      <c r="A932" s="2">
        <v>930</v>
      </c>
      <c r="B932" s="2">
        <f t="shared" ca="1" si="14"/>
        <v>0.91297838420063027</v>
      </c>
      <c r="C932" s="2" t="s">
        <v>227</v>
      </c>
    </row>
    <row r="933" spans="1:3" x14ac:dyDescent="0.2">
      <c r="A933" s="2">
        <v>931</v>
      </c>
      <c r="B933" s="2">
        <f t="shared" ca="1" si="14"/>
        <v>0.74527247132801056</v>
      </c>
      <c r="C933" s="2" t="s">
        <v>226</v>
      </c>
    </row>
    <row r="934" spans="1:3" x14ac:dyDescent="0.2">
      <c r="A934" s="2">
        <v>932</v>
      </c>
      <c r="B934" s="2">
        <f t="shared" ca="1" si="14"/>
        <v>0.70752906489311063</v>
      </c>
      <c r="C934" s="2" t="s">
        <v>227</v>
      </c>
    </row>
    <row r="935" spans="1:3" x14ac:dyDescent="0.2">
      <c r="A935" s="2">
        <v>933</v>
      </c>
      <c r="B935" s="2">
        <f t="shared" ca="1" si="14"/>
        <v>0.65784872280449558</v>
      </c>
      <c r="C935" s="2" t="s">
        <v>226</v>
      </c>
    </row>
    <row r="936" spans="1:3" x14ac:dyDescent="0.2">
      <c r="A936" s="2">
        <v>934</v>
      </c>
      <c r="B936" s="2">
        <f t="shared" ca="1" si="14"/>
        <v>0.85430292941675345</v>
      </c>
      <c r="C936" s="2" t="s">
        <v>227</v>
      </c>
    </row>
    <row r="937" spans="1:3" x14ac:dyDescent="0.2">
      <c r="A937" s="2">
        <v>935</v>
      </c>
      <c r="B937" s="2">
        <f t="shared" ca="1" si="14"/>
        <v>0.61386117240157001</v>
      </c>
      <c r="C937" s="2" t="s">
        <v>227</v>
      </c>
    </row>
    <row r="938" spans="1:3" x14ac:dyDescent="0.2">
      <c r="A938" s="2">
        <v>936</v>
      </c>
      <c r="B938" s="2">
        <f t="shared" ca="1" si="14"/>
        <v>0.590971004777612</v>
      </c>
      <c r="C938" s="2" t="s">
        <v>226</v>
      </c>
    </row>
    <row r="939" spans="1:3" x14ac:dyDescent="0.2">
      <c r="A939" s="2">
        <v>937</v>
      </c>
      <c r="B939" s="2">
        <f t="shared" ca="1" si="14"/>
        <v>0.72113986187481327</v>
      </c>
      <c r="C939" s="2" t="s">
        <v>226</v>
      </c>
    </row>
    <row r="940" spans="1:3" x14ac:dyDescent="0.2">
      <c r="A940" s="2">
        <v>938</v>
      </c>
      <c r="B940" s="2">
        <f t="shared" ca="1" si="14"/>
        <v>0.85107097438105761</v>
      </c>
      <c r="C940" s="2" t="s">
        <v>227</v>
      </c>
    </row>
    <row r="941" spans="1:3" x14ac:dyDescent="0.2">
      <c r="A941" s="2">
        <v>939</v>
      </c>
      <c r="B941" s="2">
        <f t="shared" ca="1" si="14"/>
        <v>0.55458979926476504</v>
      </c>
      <c r="C941" s="2" t="s">
        <v>227</v>
      </c>
    </row>
    <row r="942" spans="1:3" x14ac:dyDescent="0.2">
      <c r="A942" s="2">
        <v>940</v>
      </c>
      <c r="B942" s="2">
        <f t="shared" ca="1" si="14"/>
        <v>0.61466475474549698</v>
      </c>
      <c r="C942" s="2" t="s">
        <v>226</v>
      </c>
    </row>
    <row r="943" spans="1:3" x14ac:dyDescent="0.2">
      <c r="A943" s="2">
        <v>941</v>
      </c>
      <c r="B943" s="2">
        <f t="shared" ca="1" si="14"/>
        <v>0.61812509167950014</v>
      </c>
      <c r="C943" s="2" t="s">
        <v>226</v>
      </c>
    </row>
    <row r="944" spans="1:3" x14ac:dyDescent="0.2">
      <c r="A944" s="2">
        <v>942</v>
      </c>
      <c r="B944" s="2">
        <f t="shared" ca="1" si="14"/>
        <v>0.92706839789625806</v>
      </c>
      <c r="C944" s="2" t="s">
        <v>226</v>
      </c>
    </row>
    <row r="945" spans="1:3" x14ac:dyDescent="0.2">
      <c r="A945" s="2">
        <v>943</v>
      </c>
      <c r="B945" s="2">
        <f t="shared" ca="1" si="14"/>
        <v>0.84423820248224746</v>
      </c>
      <c r="C945" s="2" t="s">
        <v>226</v>
      </c>
    </row>
    <row r="946" spans="1:3" x14ac:dyDescent="0.2">
      <c r="A946" s="2">
        <v>944</v>
      </c>
      <c r="B946" s="2">
        <f t="shared" ca="1" si="14"/>
        <v>0.44985299725721656</v>
      </c>
      <c r="C946" s="2" t="s">
        <v>226</v>
      </c>
    </row>
    <row r="947" spans="1:3" x14ac:dyDescent="0.2">
      <c r="A947" s="2">
        <v>945</v>
      </c>
      <c r="B947" s="2">
        <f t="shared" ca="1" si="14"/>
        <v>0.85693580761026766</v>
      </c>
      <c r="C947" s="2" t="s">
        <v>227</v>
      </c>
    </row>
    <row r="948" spans="1:3" x14ac:dyDescent="0.2">
      <c r="A948" s="2">
        <v>946</v>
      </c>
      <c r="B948" s="2">
        <f t="shared" ca="1" si="14"/>
        <v>0.49840563173588182</v>
      </c>
      <c r="C948" s="2" t="s">
        <v>226</v>
      </c>
    </row>
    <row r="949" spans="1:3" x14ac:dyDescent="0.2">
      <c r="A949" s="2">
        <v>947</v>
      </c>
      <c r="B949" s="2">
        <f t="shared" ca="1" si="14"/>
        <v>0.7664822636981069</v>
      </c>
      <c r="C949" s="2" t="s">
        <v>227</v>
      </c>
    </row>
    <row r="950" spans="1:3" x14ac:dyDescent="0.2">
      <c r="A950" s="2">
        <v>948</v>
      </c>
      <c r="B950" s="2">
        <f t="shared" ca="1" si="14"/>
        <v>0.39384479120727878</v>
      </c>
      <c r="C950" s="2" t="s">
        <v>226</v>
      </c>
    </row>
    <row r="951" spans="1:3" x14ac:dyDescent="0.2">
      <c r="A951" s="2">
        <v>949</v>
      </c>
      <c r="B951" s="2">
        <f t="shared" ca="1" si="14"/>
        <v>0.73097371405567191</v>
      </c>
      <c r="C951" s="2" t="s">
        <v>227</v>
      </c>
    </row>
    <row r="952" spans="1:3" x14ac:dyDescent="0.2">
      <c r="A952" s="2">
        <v>950</v>
      </c>
      <c r="B952" s="2">
        <f t="shared" ca="1" si="14"/>
        <v>0.77180702902612475</v>
      </c>
      <c r="C952" s="2" t="s">
        <v>227</v>
      </c>
    </row>
    <row r="953" spans="1:3" x14ac:dyDescent="0.2">
      <c r="A953" s="2">
        <v>951</v>
      </c>
      <c r="B953" s="2">
        <f t="shared" ca="1" si="14"/>
        <v>0.61155330825407506</v>
      </c>
      <c r="C953" s="2" t="s">
        <v>226</v>
      </c>
    </row>
    <row r="954" spans="1:3" x14ac:dyDescent="0.2">
      <c r="A954" s="2">
        <v>952</v>
      </c>
      <c r="B954" s="2">
        <f t="shared" ca="1" si="14"/>
        <v>0.74866480466716612</v>
      </c>
      <c r="C954" s="2" t="s">
        <v>226</v>
      </c>
    </row>
    <row r="955" spans="1:3" x14ac:dyDescent="0.2">
      <c r="A955" s="2">
        <v>953</v>
      </c>
      <c r="B955" s="2">
        <f t="shared" ca="1" si="14"/>
        <v>0.78509545618971877</v>
      </c>
      <c r="C955" s="2" t="s">
        <v>227</v>
      </c>
    </row>
    <row r="956" spans="1:3" x14ac:dyDescent="0.2">
      <c r="A956" s="2">
        <v>954</v>
      </c>
      <c r="B956" s="2">
        <f t="shared" ca="1" si="14"/>
        <v>0.69801205942746913</v>
      </c>
      <c r="C956" s="2" t="s">
        <v>226</v>
      </c>
    </row>
    <row r="957" spans="1:3" x14ac:dyDescent="0.2">
      <c r="A957" s="2">
        <v>955</v>
      </c>
      <c r="B957" s="2">
        <f t="shared" ca="1" si="14"/>
        <v>0.68717750870482963</v>
      </c>
      <c r="C957" s="2" t="s">
        <v>227</v>
      </c>
    </row>
    <row r="958" spans="1:3" x14ac:dyDescent="0.2">
      <c r="A958" s="2">
        <v>956</v>
      </c>
      <c r="B958" s="2">
        <f t="shared" ca="1" si="14"/>
        <v>0.57535396361783198</v>
      </c>
      <c r="C958" s="2" t="s">
        <v>227</v>
      </c>
    </row>
    <row r="959" spans="1:3" x14ac:dyDescent="0.2">
      <c r="A959" s="2">
        <v>957</v>
      </c>
      <c r="B959" s="2">
        <f t="shared" ca="1" si="14"/>
        <v>0.45215247431176281</v>
      </c>
      <c r="C959" s="2" t="s">
        <v>226</v>
      </c>
    </row>
    <row r="960" spans="1:3" x14ac:dyDescent="0.2">
      <c r="A960" s="2">
        <v>958</v>
      </c>
      <c r="B960" s="2">
        <f t="shared" ca="1" si="14"/>
        <v>0.82919131084235298</v>
      </c>
      <c r="C960" s="2" t="s">
        <v>227</v>
      </c>
    </row>
    <row r="961" spans="1:3" x14ac:dyDescent="0.2">
      <c r="A961" s="2">
        <v>959</v>
      </c>
      <c r="B961" s="2">
        <f t="shared" ca="1" si="14"/>
        <v>0.50427264894650214</v>
      </c>
      <c r="C961" s="2" t="s">
        <v>226</v>
      </c>
    </row>
    <row r="962" spans="1:3" x14ac:dyDescent="0.2">
      <c r="A962" s="2">
        <v>960</v>
      </c>
      <c r="B962" s="2">
        <f t="shared" ca="1" si="14"/>
        <v>0.5282738852598643</v>
      </c>
      <c r="C962" s="2" t="s">
        <v>226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0.74225852885008503</v>
      </c>
      <c r="C963" s="2" t="s">
        <v>227</v>
      </c>
    </row>
    <row r="964" spans="1:3" x14ac:dyDescent="0.2">
      <c r="A964" s="2">
        <v>962</v>
      </c>
      <c r="B964" s="2">
        <f t="shared" ca="1" si="15"/>
        <v>0.75325713417350326</v>
      </c>
      <c r="C964" s="2" t="s">
        <v>227</v>
      </c>
    </row>
    <row r="965" spans="1:3" x14ac:dyDescent="0.2">
      <c r="A965" s="2">
        <v>963</v>
      </c>
      <c r="B965" s="2">
        <f t="shared" ca="1" si="15"/>
        <v>0.66504285740901448</v>
      </c>
      <c r="C965" s="2" t="s">
        <v>227</v>
      </c>
    </row>
    <row r="966" spans="1:3" x14ac:dyDescent="0.2">
      <c r="A966" s="2">
        <v>964</v>
      </c>
      <c r="B966" s="2">
        <f t="shared" ca="1" si="15"/>
        <v>0.75001178939586066</v>
      </c>
      <c r="C966" s="2" t="s">
        <v>227</v>
      </c>
    </row>
    <row r="967" spans="1:3" x14ac:dyDescent="0.2">
      <c r="A967" s="2">
        <v>965</v>
      </c>
      <c r="B967" s="2">
        <f t="shared" ca="1" si="15"/>
        <v>0.67428367792305044</v>
      </c>
      <c r="C967" s="2" t="s">
        <v>227</v>
      </c>
    </row>
    <row r="968" spans="1:3" x14ac:dyDescent="0.2">
      <c r="A968" s="2">
        <v>966</v>
      </c>
      <c r="B968" s="2">
        <f t="shared" ca="1" si="15"/>
        <v>0.59219476805260496</v>
      </c>
      <c r="C968" s="2" t="s">
        <v>227</v>
      </c>
    </row>
    <row r="969" spans="1:3" x14ac:dyDescent="0.2">
      <c r="A969" s="2">
        <v>967</v>
      </c>
      <c r="B969" s="2">
        <f t="shared" ca="1" si="15"/>
        <v>0.79709206450328929</v>
      </c>
      <c r="C969" s="2" t="s">
        <v>227</v>
      </c>
    </row>
    <row r="970" spans="1:3" x14ac:dyDescent="0.2">
      <c r="A970" s="2">
        <v>968</v>
      </c>
      <c r="B970" s="2">
        <f t="shared" ca="1" si="15"/>
        <v>0.6619724187105297</v>
      </c>
      <c r="C970" s="2" t="s">
        <v>227</v>
      </c>
    </row>
    <row r="971" spans="1:3" x14ac:dyDescent="0.2">
      <c r="A971" s="2">
        <v>969</v>
      </c>
      <c r="B971" s="2">
        <f t="shared" ca="1" si="15"/>
        <v>0.41973732304858458</v>
      </c>
      <c r="C971" s="2" t="s">
        <v>226</v>
      </c>
    </row>
    <row r="972" spans="1:3" x14ac:dyDescent="0.2">
      <c r="A972" s="2">
        <v>970</v>
      </c>
      <c r="B972" s="2">
        <f t="shared" ca="1" si="15"/>
        <v>0.53416804117940631</v>
      </c>
      <c r="C972" s="2" t="s">
        <v>226</v>
      </c>
    </row>
    <row r="973" spans="1:3" x14ac:dyDescent="0.2">
      <c r="A973" s="2">
        <v>971</v>
      </c>
      <c r="B973" s="2">
        <f t="shared" ca="1" si="15"/>
        <v>0.51915053916638643</v>
      </c>
      <c r="C973" s="2" t="s">
        <v>227</v>
      </c>
    </row>
    <row r="974" spans="1:3" x14ac:dyDescent="0.2">
      <c r="A974" s="2">
        <v>972</v>
      </c>
      <c r="B974" s="2">
        <f t="shared" ca="1" si="15"/>
        <v>0.60857122110613238</v>
      </c>
      <c r="C974" s="2" t="s">
        <v>226</v>
      </c>
    </row>
    <row r="975" spans="1:3" x14ac:dyDescent="0.2">
      <c r="A975" s="2">
        <v>973</v>
      </c>
      <c r="B975" s="2">
        <f t="shared" ca="1" si="15"/>
        <v>0.85923302225483089</v>
      </c>
      <c r="C975" s="2" t="s">
        <v>227</v>
      </c>
    </row>
    <row r="976" spans="1:3" x14ac:dyDescent="0.2">
      <c r="A976" s="2">
        <v>974</v>
      </c>
      <c r="B976" s="2">
        <f t="shared" ca="1" si="15"/>
        <v>0.67441050479441012</v>
      </c>
      <c r="C976" s="2" t="s">
        <v>227</v>
      </c>
    </row>
    <row r="977" spans="1:3" x14ac:dyDescent="0.2">
      <c r="A977" s="2">
        <v>975</v>
      </c>
      <c r="B977" s="2">
        <f t="shared" ca="1" si="15"/>
        <v>0.67266161932060642</v>
      </c>
      <c r="C977" s="2" t="s">
        <v>227</v>
      </c>
    </row>
    <row r="978" spans="1:3" x14ac:dyDescent="0.2">
      <c r="A978" s="2">
        <v>976</v>
      </c>
      <c r="B978" s="2">
        <f t="shared" ca="1" si="15"/>
        <v>0.66162869829288706</v>
      </c>
      <c r="C978" s="2" t="s">
        <v>227</v>
      </c>
    </row>
    <row r="979" spans="1:3" x14ac:dyDescent="0.2">
      <c r="A979" s="2">
        <v>977</v>
      </c>
      <c r="B979" s="2">
        <f t="shared" ca="1" si="15"/>
        <v>0.744107108064606</v>
      </c>
      <c r="C979" s="2" t="s">
        <v>227</v>
      </c>
    </row>
    <row r="980" spans="1:3" x14ac:dyDescent="0.2">
      <c r="A980" s="2">
        <v>978</v>
      </c>
      <c r="B980" s="2">
        <f t="shared" ca="1" si="15"/>
        <v>0.57371706556425706</v>
      </c>
      <c r="C980" s="2" t="s">
        <v>227</v>
      </c>
    </row>
    <row r="981" spans="1:3" x14ac:dyDescent="0.2">
      <c r="A981" s="2">
        <v>979</v>
      </c>
      <c r="B981" s="2">
        <f t="shared" ca="1" si="15"/>
        <v>0.6767721375976461</v>
      </c>
      <c r="C981" s="2" t="s">
        <v>227</v>
      </c>
    </row>
    <row r="982" spans="1:3" x14ac:dyDescent="0.2">
      <c r="A982" s="2">
        <v>980</v>
      </c>
      <c r="B982" s="2">
        <f t="shared" ca="1" si="15"/>
        <v>0.50841422254396673</v>
      </c>
      <c r="C982" s="2" t="s">
        <v>226</v>
      </c>
    </row>
    <row r="983" spans="1:3" x14ac:dyDescent="0.2">
      <c r="A983" s="2">
        <v>981</v>
      </c>
      <c r="B983" s="2">
        <f t="shared" ca="1" si="15"/>
        <v>0.90894142454044302</v>
      </c>
      <c r="C983" s="2" t="s">
        <v>226</v>
      </c>
    </row>
    <row r="984" spans="1:3" x14ac:dyDescent="0.2">
      <c r="A984" s="2">
        <v>982</v>
      </c>
      <c r="B984" s="2">
        <f t="shared" ca="1" si="15"/>
        <v>0.73701850036604444</v>
      </c>
      <c r="C984" s="2" t="s">
        <v>227</v>
      </c>
    </row>
    <row r="985" spans="1:3" x14ac:dyDescent="0.2">
      <c r="A985" s="2">
        <v>983</v>
      </c>
      <c r="B985" s="2">
        <f t="shared" ca="1" si="15"/>
        <v>0.60584505862769777</v>
      </c>
      <c r="C985" s="2" t="s">
        <v>227</v>
      </c>
    </row>
    <row r="986" spans="1:3" x14ac:dyDescent="0.2">
      <c r="A986" s="2">
        <v>984</v>
      </c>
      <c r="B986" s="2">
        <f t="shared" ca="1" si="15"/>
        <v>0.78601371333948555</v>
      </c>
      <c r="C986" s="2" t="s">
        <v>226</v>
      </c>
    </row>
    <row r="987" spans="1:3" x14ac:dyDescent="0.2">
      <c r="A987" s="2">
        <v>985</v>
      </c>
      <c r="B987" s="2">
        <f t="shared" ca="1" si="15"/>
        <v>0.56835400123276103</v>
      </c>
      <c r="C987" s="2" t="s">
        <v>226</v>
      </c>
    </row>
    <row r="988" spans="1:3" x14ac:dyDescent="0.2">
      <c r="A988" s="2">
        <v>986</v>
      </c>
      <c r="B988" s="2">
        <f t="shared" ca="1" si="15"/>
        <v>0.65657719949151572</v>
      </c>
      <c r="C988" s="2" t="s">
        <v>227</v>
      </c>
    </row>
    <row r="989" spans="1:3" x14ac:dyDescent="0.2">
      <c r="A989" s="2">
        <v>987</v>
      </c>
      <c r="B989" s="2">
        <f t="shared" ca="1" si="15"/>
        <v>0.62669278478203949</v>
      </c>
      <c r="C989" s="2" t="s">
        <v>226</v>
      </c>
    </row>
    <row r="990" spans="1:3" x14ac:dyDescent="0.2">
      <c r="A990" s="2">
        <v>988</v>
      </c>
      <c r="B990" s="2">
        <f t="shared" ca="1" si="15"/>
        <v>0.72587035933764787</v>
      </c>
      <c r="C990" s="2" t="s">
        <v>226</v>
      </c>
    </row>
    <row r="991" spans="1:3" x14ac:dyDescent="0.2">
      <c r="A991" s="2">
        <v>989</v>
      </c>
      <c r="B991" s="2">
        <f t="shared" ca="1" si="15"/>
        <v>0.64214150825974425</v>
      </c>
      <c r="C991" s="2" t="s">
        <v>227</v>
      </c>
    </row>
    <row r="992" spans="1:3" x14ac:dyDescent="0.2">
      <c r="A992" s="2">
        <v>990</v>
      </c>
      <c r="B992" s="2">
        <f t="shared" ca="1" si="15"/>
        <v>0.68838908406206922</v>
      </c>
      <c r="C992" s="2" t="s">
        <v>226</v>
      </c>
    </row>
    <row r="993" spans="1:3" x14ac:dyDescent="0.2">
      <c r="A993" s="2">
        <v>991</v>
      </c>
      <c r="B993" s="2">
        <f t="shared" ca="1" si="15"/>
        <v>0.68877306855088882</v>
      </c>
      <c r="C993" s="2" t="s">
        <v>227</v>
      </c>
    </row>
    <row r="994" spans="1:3" x14ac:dyDescent="0.2">
      <c r="A994" s="2">
        <v>992</v>
      </c>
      <c r="B994" s="2">
        <f t="shared" ca="1" si="15"/>
        <v>0.6808599882754538</v>
      </c>
      <c r="C994" s="2" t="s">
        <v>226</v>
      </c>
    </row>
    <row r="995" spans="1:3" x14ac:dyDescent="0.2">
      <c r="A995" s="2">
        <v>993</v>
      </c>
      <c r="B995" s="2">
        <f t="shared" ca="1" si="15"/>
        <v>0.66433600905195567</v>
      </c>
      <c r="C995" s="2" t="s">
        <v>227</v>
      </c>
    </row>
    <row r="996" spans="1:3" x14ac:dyDescent="0.2">
      <c r="A996" s="2">
        <v>994</v>
      </c>
      <c r="B996" s="2">
        <f t="shared" ca="1" si="15"/>
        <v>0.88081218792857718</v>
      </c>
      <c r="C996" s="2" t="s">
        <v>227</v>
      </c>
    </row>
    <row r="997" spans="1:3" x14ac:dyDescent="0.2">
      <c r="A997" s="2">
        <v>995</v>
      </c>
      <c r="B997" s="2">
        <f t="shared" ca="1" si="15"/>
        <v>0.55160738491761607</v>
      </c>
      <c r="C997" s="2" t="s">
        <v>226</v>
      </c>
    </row>
    <row r="998" spans="1:3" x14ac:dyDescent="0.2">
      <c r="A998" s="2">
        <v>996</v>
      </c>
      <c r="B998" s="2">
        <f t="shared" ca="1" si="15"/>
        <v>0.65511232520442619</v>
      </c>
      <c r="C998" s="2" t="s">
        <v>227</v>
      </c>
    </row>
    <row r="999" spans="1:3" x14ac:dyDescent="0.2">
      <c r="A999" s="2">
        <v>997</v>
      </c>
      <c r="B999" s="2">
        <f t="shared" ca="1" si="15"/>
        <v>0.79213320560217881</v>
      </c>
      <c r="C999" s="2" t="s">
        <v>226</v>
      </c>
    </row>
    <row r="1000" spans="1:3" x14ac:dyDescent="0.2">
      <c r="A1000" s="2">
        <v>998</v>
      </c>
      <c r="B1000" s="2">
        <f t="shared" ca="1" si="15"/>
        <v>0.52243377077862363</v>
      </c>
      <c r="C1000" s="2" t="s">
        <v>226</v>
      </c>
    </row>
    <row r="1001" spans="1:3" x14ac:dyDescent="0.2">
      <c r="A1001" s="2">
        <v>999</v>
      </c>
      <c r="B1001" s="2">
        <f t="shared" ca="1" si="15"/>
        <v>0.6998967650873601</v>
      </c>
      <c r="C1001" s="2" t="s">
        <v>226</v>
      </c>
    </row>
    <row r="1002" spans="1:3" x14ac:dyDescent="0.2">
      <c r="A1002" s="2">
        <v>1000</v>
      </c>
      <c r="B1002" s="2">
        <f t="shared" ca="1" si="15"/>
        <v>0.5142676797262512</v>
      </c>
      <c r="C1002" s="2" t="s">
        <v>226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11ABE-7E98-B14E-A968-861A5973F123}">
  <sheetPr codeName="Sheet5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231</v>
      </c>
      <c r="C2" s="2" t="s">
        <v>10</v>
      </c>
      <c r="J2" s="4" t="s">
        <v>232</v>
      </c>
      <c r="K2" s="4" t="s">
        <v>229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0.71127374516794395</v>
      </c>
      <c r="C3" s="2" t="str">
        <f ca="1">IF(RAND()&lt;0.5,"Bomb","Bird")</f>
        <v>Bomb</v>
      </c>
      <c r="E3" s="2" t="s">
        <v>230</v>
      </c>
      <c r="I3" s="3"/>
      <c r="J3" s="34">
        <f ca="1">F10</f>
        <v>1</v>
      </c>
      <c r="K3" s="34">
        <f ca="1">E10</f>
        <v>1</v>
      </c>
    </row>
    <row r="4" spans="1:11" x14ac:dyDescent="0.2">
      <c r="A4" s="2">
        <v>2</v>
      </c>
      <c r="B4" s="2">
        <f t="shared" ca="1" si="0"/>
        <v>0.73784006593899676</v>
      </c>
      <c r="C4" s="2" t="s">
        <v>227</v>
      </c>
      <c r="E4" s="31">
        <v>0</v>
      </c>
      <c r="I4" s="34">
        <v>0.03</v>
      </c>
      <c r="J4" s="33">
        <f t="dataTable" ref="J4:K36" dt2D="0" dtr="0" r1="E4" ca="1"/>
        <v>1</v>
      </c>
      <c r="K4" s="33">
        <v>1</v>
      </c>
    </row>
    <row r="5" spans="1:11" x14ac:dyDescent="0.2">
      <c r="A5" s="2">
        <v>3</v>
      </c>
      <c r="B5" s="2">
        <f t="shared" ca="1" si="0"/>
        <v>0.78728282956776141</v>
      </c>
      <c r="C5" s="2" t="s">
        <v>226</v>
      </c>
      <c r="I5" s="34">
        <v>0.06</v>
      </c>
      <c r="J5" s="33">
        <v>1</v>
      </c>
      <c r="K5" s="33">
        <v>1</v>
      </c>
    </row>
    <row r="6" spans="1:11" x14ac:dyDescent="0.2">
      <c r="A6" s="2">
        <v>4</v>
      </c>
      <c r="B6" s="2">
        <f t="shared" ca="1" si="0"/>
        <v>0.7898027641956189</v>
      </c>
      <c r="C6" s="2" t="s">
        <v>227</v>
      </c>
      <c r="E6" s="4" t="s">
        <v>229</v>
      </c>
      <c r="F6" s="4" t="s">
        <v>228</v>
      </c>
      <c r="I6" s="34">
        <v>0.09</v>
      </c>
      <c r="J6" s="33">
        <v>1</v>
      </c>
      <c r="K6" s="33">
        <v>1</v>
      </c>
    </row>
    <row r="7" spans="1:11" x14ac:dyDescent="0.2">
      <c r="A7" s="2">
        <v>5</v>
      </c>
      <c r="B7" s="2">
        <f t="shared" ca="1" si="0"/>
        <v>0.54923425839471829</v>
      </c>
      <c r="C7" s="2" t="s">
        <v>227</v>
      </c>
      <c r="E7" s="32">
        <f ca="1">COUNTIFS(B:B,"&gt;" &amp;E4,C:C,"="&amp;"Bomb")/COUNTIFS(C:C,"="&amp;"Bomb")</f>
        <v>1</v>
      </c>
      <c r="F7" s="32">
        <f ca="1">COUNTIFS(B:B,"&lt;" &amp;E4,C:C,"="&amp;"Bird")/COUNTIFS(C:C,"="&amp;"Bird")</f>
        <v>0</v>
      </c>
      <c r="I7" s="34">
        <v>0.12</v>
      </c>
      <c r="J7" s="33">
        <v>1</v>
      </c>
      <c r="K7" s="33">
        <v>1</v>
      </c>
    </row>
    <row r="8" spans="1:11" x14ac:dyDescent="0.2">
      <c r="A8" s="2">
        <v>6</v>
      </c>
      <c r="B8" s="2">
        <f t="shared" ca="1" si="0"/>
        <v>0.74915908084937177</v>
      </c>
      <c r="C8" s="2" t="s">
        <v>227</v>
      </c>
      <c r="I8" s="34">
        <v>0.15</v>
      </c>
      <c r="J8" s="33">
        <v>0.99805447470817121</v>
      </c>
      <c r="K8" s="33">
        <v>1</v>
      </c>
    </row>
    <row r="9" spans="1:11" x14ac:dyDescent="0.2">
      <c r="A9" s="2">
        <v>7</v>
      </c>
      <c r="B9" s="2">
        <f t="shared" ca="1" si="0"/>
        <v>0.58005988782562501</v>
      </c>
      <c r="C9" s="2" t="s">
        <v>227</v>
      </c>
      <c r="E9" s="4" t="s">
        <v>229</v>
      </c>
      <c r="F9" s="4" t="s">
        <v>232</v>
      </c>
      <c r="I9" s="34">
        <v>0.18</v>
      </c>
      <c r="J9" s="33">
        <v>0.99610136452241715</v>
      </c>
      <c r="K9" s="33">
        <v>1</v>
      </c>
    </row>
    <row r="10" spans="1:11" x14ac:dyDescent="0.2">
      <c r="A10" s="2">
        <v>8</v>
      </c>
      <c r="B10" s="2">
        <f t="shared" ca="1" si="0"/>
        <v>0.34385099549912007</v>
      </c>
      <c r="C10" s="2" t="s">
        <v>226</v>
      </c>
      <c r="E10" s="31">
        <f ca="1">E7</f>
        <v>1</v>
      </c>
      <c r="F10" s="31">
        <f ca="1">1-F7</f>
        <v>1</v>
      </c>
      <c r="I10" s="34">
        <v>0.21</v>
      </c>
      <c r="J10" s="33">
        <v>0.99805447470817121</v>
      </c>
      <c r="K10" s="33">
        <v>1</v>
      </c>
    </row>
    <row r="11" spans="1:11" x14ac:dyDescent="0.2">
      <c r="A11" s="2">
        <v>9</v>
      </c>
      <c r="B11" s="2">
        <f t="shared" ca="1" si="0"/>
        <v>0.44462801538767371</v>
      </c>
      <c r="C11" s="2" t="s">
        <v>226</v>
      </c>
      <c r="I11" s="34">
        <v>0.24</v>
      </c>
      <c r="J11" s="33">
        <v>0.98443579766536971</v>
      </c>
      <c r="K11" s="33">
        <v>1</v>
      </c>
    </row>
    <row r="12" spans="1:11" x14ac:dyDescent="0.2">
      <c r="A12" s="2">
        <v>10</v>
      </c>
      <c r="B12" s="2">
        <f t="shared" ca="1" si="0"/>
        <v>0.52266403466876654</v>
      </c>
      <c r="C12" s="2" t="s">
        <v>226</v>
      </c>
      <c r="I12" s="34">
        <v>0.27</v>
      </c>
      <c r="J12" s="33">
        <v>0.99220272904483431</v>
      </c>
      <c r="K12" s="33">
        <v>1</v>
      </c>
    </row>
    <row r="13" spans="1:11" x14ac:dyDescent="0.2">
      <c r="A13" s="2">
        <v>11</v>
      </c>
      <c r="B13" s="2">
        <f t="shared" ca="1" si="0"/>
        <v>0.79437172043668625</v>
      </c>
      <c r="C13" s="2" t="s">
        <v>226</v>
      </c>
      <c r="I13" s="34">
        <v>0.3</v>
      </c>
      <c r="J13" s="33">
        <v>0.98830409356725146</v>
      </c>
      <c r="K13" s="33">
        <v>1</v>
      </c>
    </row>
    <row r="14" spans="1:11" x14ac:dyDescent="0.2">
      <c r="A14" s="2">
        <v>12</v>
      </c>
      <c r="B14" s="2">
        <f t="shared" ca="1" si="0"/>
        <v>0.44898009432209984</v>
      </c>
      <c r="C14" s="2" t="s">
        <v>226</v>
      </c>
      <c r="I14" s="34">
        <v>0.33</v>
      </c>
      <c r="J14" s="33">
        <v>0.94747081712062253</v>
      </c>
      <c r="K14" s="33">
        <v>1</v>
      </c>
    </row>
    <row r="15" spans="1:11" x14ac:dyDescent="0.2">
      <c r="A15" s="2">
        <v>13</v>
      </c>
      <c r="B15" s="2">
        <f t="shared" ca="1" si="0"/>
        <v>0.72098271564009075</v>
      </c>
      <c r="C15" s="2" t="s">
        <v>227</v>
      </c>
      <c r="I15" s="34">
        <v>0.36</v>
      </c>
      <c r="J15" s="33">
        <v>0.94941634241245132</v>
      </c>
      <c r="K15" s="33">
        <v>1</v>
      </c>
    </row>
    <row r="16" spans="1:11" x14ac:dyDescent="0.2">
      <c r="A16" s="2">
        <v>14</v>
      </c>
      <c r="B16" s="2">
        <f t="shared" ca="1" si="0"/>
        <v>0.71480437503740235</v>
      </c>
      <c r="C16" s="2" t="s">
        <v>227</v>
      </c>
      <c r="I16" s="34">
        <v>0.39</v>
      </c>
      <c r="J16" s="33">
        <v>0.91634241245136183</v>
      </c>
      <c r="K16" s="33">
        <v>1</v>
      </c>
    </row>
    <row r="17" spans="1:11" x14ac:dyDescent="0.2">
      <c r="A17" s="2">
        <v>15</v>
      </c>
      <c r="B17" s="2">
        <f t="shared" ca="1" si="0"/>
        <v>0.69004531894788301</v>
      </c>
      <c r="C17" s="2" t="s">
        <v>227</v>
      </c>
      <c r="I17" s="34">
        <v>0.42</v>
      </c>
      <c r="J17" s="33">
        <v>0.8754863813229572</v>
      </c>
      <c r="K17" s="33">
        <v>0.99588477366255146</v>
      </c>
    </row>
    <row r="18" spans="1:11" x14ac:dyDescent="0.2">
      <c r="A18" s="2">
        <v>16</v>
      </c>
      <c r="B18" s="2">
        <f t="shared" ca="1" si="0"/>
        <v>0.51569905376405145</v>
      </c>
      <c r="C18" s="2" t="s">
        <v>226</v>
      </c>
      <c r="I18" s="34">
        <v>0.45</v>
      </c>
      <c r="J18" s="33">
        <v>0.84630350194552528</v>
      </c>
      <c r="K18" s="33">
        <v>0.99176954732510292</v>
      </c>
    </row>
    <row r="19" spans="1:11" x14ac:dyDescent="0.2">
      <c r="A19" s="2">
        <v>17</v>
      </c>
      <c r="B19" s="2">
        <f t="shared" ca="1" si="0"/>
        <v>0.62500941095585594</v>
      </c>
      <c r="C19" s="2" t="s">
        <v>227</v>
      </c>
      <c r="I19" s="34">
        <v>0.48</v>
      </c>
      <c r="J19" s="33">
        <v>0.76070038910505833</v>
      </c>
      <c r="K19" s="33">
        <v>0.99588477366255146</v>
      </c>
    </row>
    <row r="20" spans="1:11" x14ac:dyDescent="0.2">
      <c r="A20" s="2">
        <v>18</v>
      </c>
      <c r="B20" s="2">
        <f t="shared" ca="1" si="0"/>
        <v>0.40115519435769953</v>
      </c>
      <c r="C20" s="2" t="s">
        <v>226</v>
      </c>
      <c r="I20" s="34">
        <v>0.51</v>
      </c>
      <c r="J20" s="33">
        <v>0.74708171206225682</v>
      </c>
      <c r="K20" s="33">
        <v>0.97736625514403297</v>
      </c>
    </row>
    <row r="21" spans="1:11" x14ac:dyDescent="0.2">
      <c r="A21" s="2">
        <v>19</v>
      </c>
      <c r="B21" s="2">
        <f t="shared" ca="1" si="0"/>
        <v>0.73358874657471629</v>
      </c>
      <c r="C21" s="2" t="s">
        <v>227</v>
      </c>
      <c r="I21" s="34">
        <v>0.54</v>
      </c>
      <c r="J21" s="33">
        <v>0.66147859922178986</v>
      </c>
      <c r="K21" s="33">
        <v>0.94855967078189296</v>
      </c>
    </row>
    <row r="22" spans="1:11" x14ac:dyDescent="0.2">
      <c r="A22" s="2">
        <v>20</v>
      </c>
      <c r="B22" s="2">
        <f t="shared" ca="1" si="0"/>
        <v>0.68602529373731114</v>
      </c>
      <c r="C22" s="2" t="s">
        <v>227</v>
      </c>
      <c r="I22" s="34">
        <v>0.56999999999999995</v>
      </c>
      <c r="J22" s="33">
        <v>0.5622568093385214</v>
      </c>
      <c r="K22" s="33">
        <v>0.91152263374485598</v>
      </c>
    </row>
    <row r="23" spans="1:11" x14ac:dyDescent="0.2">
      <c r="A23" s="2">
        <v>21</v>
      </c>
      <c r="B23" s="2">
        <f t="shared" ca="1" si="0"/>
        <v>0.72467564195504852</v>
      </c>
      <c r="C23" s="2" t="s">
        <v>227</v>
      </c>
      <c r="I23" s="34">
        <v>0.6</v>
      </c>
      <c r="J23" s="33">
        <v>0.53216374269005851</v>
      </c>
      <c r="K23" s="33">
        <v>0.84188911704312119</v>
      </c>
    </row>
    <row r="24" spans="1:11" x14ac:dyDescent="0.2">
      <c r="A24" s="2">
        <v>22</v>
      </c>
      <c r="B24" s="2">
        <f t="shared" ca="1" si="0"/>
        <v>0.68781335627758866</v>
      </c>
      <c r="C24" s="2" t="s">
        <v>226</v>
      </c>
      <c r="I24" s="34">
        <v>0.63</v>
      </c>
      <c r="J24" s="33">
        <v>0.43579766536964981</v>
      </c>
      <c r="K24" s="33">
        <v>0.75720164609053497</v>
      </c>
    </row>
    <row r="25" spans="1:11" x14ac:dyDescent="0.2">
      <c r="A25" s="2">
        <v>23</v>
      </c>
      <c r="B25" s="2">
        <f t="shared" ca="1" si="0"/>
        <v>0.70283797158894046</v>
      </c>
      <c r="C25" s="2" t="s">
        <v>227</v>
      </c>
      <c r="I25" s="34">
        <v>0.66</v>
      </c>
      <c r="J25" s="33">
        <v>0.3268482490272373</v>
      </c>
      <c r="K25" s="33">
        <v>0.64814814814814814</v>
      </c>
    </row>
    <row r="26" spans="1:11" x14ac:dyDescent="0.2">
      <c r="A26" s="2">
        <v>24</v>
      </c>
      <c r="B26" s="2">
        <f t="shared" ca="1" si="0"/>
        <v>0.56818531963659769</v>
      </c>
      <c r="C26" s="2" t="s">
        <v>227</v>
      </c>
      <c r="I26" s="34">
        <v>0.69</v>
      </c>
      <c r="J26" s="33">
        <v>0.27680311890838205</v>
      </c>
      <c r="K26" s="33">
        <v>0.5154004106776181</v>
      </c>
    </row>
    <row r="27" spans="1:11" x14ac:dyDescent="0.2">
      <c r="A27" s="2">
        <v>25</v>
      </c>
      <c r="B27" s="2">
        <f t="shared" ca="1" si="0"/>
        <v>0.67618617151136251</v>
      </c>
      <c r="C27" s="2" t="s">
        <v>227</v>
      </c>
      <c r="I27" s="34">
        <v>0.72</v>
      </c>
      <c r="J27" s="33">
        <v>0.21052631578947367</v>
      </c>
      <c r="K27" s="33">
        <v>0.38603696098562629</v>
      </c>
    </row>
    <row r="28" spans="1:11" x14ac:dyDescent="0.2">
      <c r="A28" s="2">
        <v>26</v>
      </c>
      <c r="B28" s="2">
        <f t="shared" ca="1" si="0"/>
        <v>0.88838841311067851</v>
      </c>
      <c r="C28" s="2" t="s">
        <v>227</v>
      </c>
      <c r="I28" s="34">
        <v>0.75</v>
      </c>
      <c r="J28" s="33">
        <v>0.16374269005847952</v>
      </c>
      <c r="K28" s="33">
        <v>0.30800821355236141</v>
      </c>
    </row>
    <row r="29" spans="1:11" x14ac:dyDescent="0.2">
      <c r="A29" s="2">
        <v>27</v>
      </c>
      <c r="B29" s="2">
        <f t="shared" ca="1" si="0"/>
        <v>0.66657582526006431</v>
      </c>
      <c r="C29" s="2" t="s">
        <v>226</v>
      </c>
      <c r="I29" s="34">
        <v>0.78</v>
      </c>
      <c r="J29" s="33">
        <v>0.12062256809338523</v>
      </c>
      <c r="K29" s="33">
        <v>0.22222222222222221</v>
      </c>
    </row>
    <row r="30" spans="1:11" x14ac:dyDescent="0.2">
      <c r="A30" s="2">
        <v>28</v>
      </c>
      <c r="B30" s="2">
        <f t="shared" ca="1" si="0"/>
        <v>0.60972895853478115</v>
      </c>
      <c r="C30" s="2" t="s">
        <v>227</v>
      </c>
      <c r="I30" s="34">
        <v>0.81</v>
      </c>
      <c r="J30" s="33">
        <v>7.1984435797665336E-2</v>
      </c>
      <c r="K30" s="33">
        <v>0.14609053497942387</v>
      </c>
    </row>
    <row r="31" spans="1:11" x14ac:dyDescent="0.2">
      <c r="A31" s="2">
        <v>29</v>
      </c>
      <c r="B31" s="2">
        <f t="shared" ca="1" si="0"/>
        <v>0.55500932944403136</v>
      </c>
      <c r="C31" s="2" t="s">
        <v>226</v>
      </c>
      <c r="I31" s="34">
        <v>0.84</v>
      </c>
      <c r="J31" s="33">
        <v>7.1984435797665336E-2</v>
      </c>
      <c r="K31" s="33">
        <v>6.1728395061728392E-2</v>
      </c>
    </row>
    <row r="32" spans="1:11" x14ac:dyDescent="0.2">
      <c r="A32" s="2">
        <v>30</v>
      </c>
      <c r="B32" s="2">
        <f t="shared" ca="1" si="0"/>
        <v>0.80436284153337589</v>
      </c>
      <c r="C32" s="2" t="s">
        <v>227</v>
      </c>
      <c r="I32" s="34">
        <v>0.87</v>
      </c>
      <c r="J32" s="33">
        <v>3.1128404669260701E-2</v>
      </c>
      <c r="K32" s="33">
        <v>3.4979423868312758E-2</v>
      </c>
    </row>
    <row r="33" spans="1:11" x14ac:dyDescent="0.2">
      <c r="A33" s="2">
        <v>31</v>
      </c>
      <c r="B33" s="2">
        <f t="shared" ca="1" si="0"/>
        <v>0.88723504117187946</v>
      </c>
      <c r="C33" s="2" t="s">
        <v>227</v>
      </c>
      <c r="I33" s="34">
        <v>0.9</v>
      </c>
      <c r="J33" s="33">
        <v>1.9493177387914229E-2</v>
      </c>
      <c r="K33" s="33">
        <v>2.0533880903490759E-2</v>
      </c>
    </row>
    <row r="34" spans="1:11" x14ac:dyDescent="0.2">
      <c r="A34" s="2">
        <v>32</v>
      </c>
      <c r="B34" s="2">
        <f t="shared" ca="1" si="0"/>
        <v>0.93723450605610825</v>
      </c>
      <c r="C34" s="2" t="s">
        <v>226</v>
      </c>
      <c r="I34" s="34">
        <v>0.93</v>
      </c>
      <c r="J34" s="33">
        <v>1.5594541910331383E-2</v>
      </c>
      <c r="K34" s="33">
        <v>1.4373716632443531E-2</v>
      </c>
    </row>
    <row r="35" spans="1:11" x14ac:dyDescent="0.2">
      <c r="A35" s="2">
        <v>33</v>
      </c>
      <c r="B35" s="2">
        <f t="shared" ca="1" si="0"/>
        <v>0.29639145393689198</v>
      </c>
      <c r="C35" s="2" t="s">
        <v>226</v>
      </c>
      <c r="I35" s="34">
        <v>0.96</v>
      </c>
      <c r="J35" s="33">
        <v>3.8910505836575737E-3</v>
      </c>
      <c r="K35" s="33">
        <v>4.11522633744856E-3</v>
      </c>
    </row>
    <row r="36" spans="1:11" x14ac:dyDescent="0.2">
      <c r="A36" s="2">
        <v>34</v>
      </c>
      <c r="B36" s="2">
        <f t="shared" ca="1" si="0"/>
        <v>0.38730752714650463</v>
      </c>
      <c r="C36" s="2" t="s">
        <v>226</v>
      </c>
      <c r="I36" s="34">
        <v>0.99</v>
      </c>
      <c r="J36" s="33">
        <v>1.9493177387914784E-3</v>
      </c>
      <c r="K36" s="33">
        <v>6.1601642710472282E-3</v>
      </c>
    </row>
    <row r="37" spans="1:11" x14ac:dyDescent="0.2">
      <c r="A37" s="2">
        <v>35</v>
      </c>
      <c r="B37" s="2">
        <f t="shared" ca="1" si="0"/>
        <v>0.66434146164895436</v>
      </c>
      <c r="C37" s="2" t="s">
        <v>227</v>
      </c>
      <c r="I37" s="31"/>
    </row>
    <row r="38" spans="1:11" x14ac:dyDescent="0.2">
      <c r="A38" s="2">
        <v>36</v>
      </c>
      <c r="B38" s="2">
        <f t="shared" ca="1" si="0"/>
        <v>0.6295429238118998</v>
      </c>
      <c r="C38" s="2" t="s">
        <v>226</v>
      </c>
    </row>
    <row r="39" spans="1:11" x14ac:dyDescent="0.2">
      <c r="A39" s="2">
        <v>37</v>
      </c>
      <c r="B39" s="2">
        <f t="shared" ca="1" si="0"/>
        <v>0.45444266396069988</v>
      </c>
      <c r="C39" s="2" t="s">
        <v>226</v>
      </c>
    </row>
    <row r="40" spans="1:11" x14ac:dyDescent="0.2">
      <c r="A40" s="2">
        <v>38</v>
      </c>
      <c r="B40" s="2">
        <f t="shared" ca="1" si="0"/>
        <v>0.70427482871681912</v>
      </c>
      <c r="C40" s="2" t="s">
        <v>227</v>
      </c>
    </row>
    <row r="41" spans="1:11" x14ac:dyDescent="0.2">
      <c r="A41" s="2">
        <v>39</v>
      </c>
      <c r="B41" s="2">
        <f t="shared" ca="1" si="0"/>
        <v>0.66902497443254705</v>
      </c>
      <c r="C41" s="2" t="s">
        <v>226</v>
      </c>
    </row>
    <row r="42" spans="1:11" x14ac:dyDescent="0.2">
      <c r="A42" s="2">
        <v>40</v>
      </c>
      <c r="B42" s="2">
        <f t="shared" ca="1" si="0"/>
        <v>0.6357641727397525</v>
      </c>
      <c r="C42" s="2" t="s">
        <v>227</v>
      </c>
    </row>
    <row r="43" spans="1:11" x14ac:dyDescent="0.2">
      <c r="A43" s="2">
        <v>41</v>
      </c>
      <c r="B43" s="2">
        <f t="shared" ca="1" si="0"/>
        <v>0.77322043382787864</v>
      </c>
      <c r="C43" s="2" t="s">
        <v>226</v>
      </c>
    </row>
    <row r="44" spans="1:11" x14ac:dyDescent="0.2">
      <c r="A44" s="2">
        <v>42</v>
      </c>
      <c r="B44" s="2">
        <f t="shared" ca="1" si="0"/>
        <v>0.54763094524187106</v>
      </c>
      <c r="C44" s="2" t="s">
        <v>226</v>
      </c>
    </row>
    <row r="45" spans="1:11" x14ac:dyDescent="0.2">
      <c r="A45" s="2">
        <v>43</v>
      </c>
      <c r="B45" s="2">
        <f t="shared" ca="1" si="0"/>
        <v>0.63239421153578768</v>
      </c>
      <c r="C45" s="2" t="s">
        <v>226</v>
      </c>
    </row>
    <row r="46" spans="1:11" x14ac:dyDescent="0.2">
      <c r="A46" s="2">
        <v>44</v>
      </c>
      <c r="B46" s="2">
        <f t="shared" ca="1" si="0"/>
        <v>0.51121638351246368</v>
      </c>
      <c r="C46" s="2" t="s">
        <v>226</v>
      </c>
    </row>
    <row r="47" spans="1:11" x14ac:dyDescent="0.2">
      <c r="A47" s="2">
        <v>45</v>
      </c>
      <c r="B47" s="2">
        <f t="shared" ca="1" si="0"/>
        <v>0.7285671694640723</v>
      </c>
      <c r="C47" s="2" t="s">
        <v>226</v>
      </c>
    </row>
    <row r="48" spans="1:11" x14ac:dyDescent="0.2">
      <c r="A48" s="2">
        <v>46</v>
      </c>
      <c r="B48" s="2">
        <f t="shared" ca="1" si="0"/>
        <v>0.50775869987602129</v>
      </c>
      <c r="C48" s="2" t="s">
        <v>227</v>
      </c>
    </row>
    <row r="49" spans="1:3" x14ac:dyDescent="0.2">
      <c r="A49" s="2">
        <v>47</v>
      </c>
      <c r="B49" s="2">
        <f t="shared" ca="1" si="0"/>
        <v>0.74070231204391546</v>
      </c>
      <c r="C49" s="2" t="s">
        <v>227</v>
      </c>
    </row>
    <row r="50" spans="1:3" x14ac:dyDescent="0.2">
      <c r="A50" s="2">
        <v>48</v>
      </c>
      <c r="B50" s="2">
        <f t="shared" ca="1" si="0"/>
        <v>0.6484035598107184</v>
      </c>
      <c r="C50" s="2" t="s">
        <v>226</v>
      </c>
    </row>
    <row r="51" spans="1:3" x14ac:dyDescent="0.2">
      <c r="A51" s="2">
        <v>49</v>
      </c>
      <c r="B51" s="2">
        <f t="shared" ca="1" si="0"/>
        <v>0.60533274421181227</v>
      </c>
      <c r="C51" s="2" t="s">
        <v>227</v>
      </c>
    </row>
    <row r="52" spans="1:3" x14ac:dyDescent="0.2">
      <c r="A52" s="2">
        <v>50</v>
      </c>
      <c r="B52" s="2">
        <f t="shared" ca="1" si="0"/>
        <v>0.73497453357320519</v>
      </c>
      <c r="C52" s="2" t="s">
        <v>227</v>
      </c>
    </row>
    <row r="53" spans="1:3" x14ac:dyDescent="0.2">
      <c r="A53" s="2">
        <v>51</v>
      </c>
      <c r="B53" s="2">
        <f t="shared" ca="1" si="0"/>
        <v>0.63739442144083314</v>
      </c>
      <c r="C53" s="2" t="s">
        <v>227</v>
      </c>
    </row>
    <row r="54" spans="1:3" x14ac:dyDescent="0.2">
      <c r="A54" s="2">
        <v>52</v>
      </c>
      <c r="B54" s="2">
        <f t="shared" ca="1" si="0"/>
        <v>0.63741355207830597</v>
      </c>
      <c r="C54" s="2" t="s">
        <v>226</v>
      </c>
    </row>
    <row r="55" spans="1:3" x14ac:dyDescent="0.2">
      <c r="A55" s="2">
        <v>53</v>
      </c>
      <c r="B55" s="2">
        <f t="shared" ca="1" si="0"/>
        <v>0.35024917601603578</v>
      </c>
      <c r="C55" s="2" t="s">
        <v>226</v>
      </c>
    </row>
    <row r="56" spans="1:3" x14ac:dyDescent="0.2">
      <c r="A56" s="2">
        <v>54</v>
      </c>
      <c r="B56" s="2">
        <f t="shared" ca="1" si="0"/>
        <v>0.66198731520526177</v>
      </c>
      <c r="C56" s="2" t="s">
        <v>227</v>
      </c>
    </row>
    <row r="57" spans="1:3" x14ac:dyDescent="0.2">
      <c r="A57" s="2">
        <v>55</v>
      </c>
      <c r="B57" s="2">
        <f t="shared" ca="1" si="0"/>
        <v>0.59365712275825344</v>
      </c>
      <c r="C57" s="2" t="s">
        <v>227</v>
      </c>
    </row>
    <row r="58" spans="1:3" x14ac:dyDescent="0.2">
      <c r="A58" s="2">
        <v>56</v>
      </c>
      <c r="B58" s="2">
        <f t="shared" ca="1" si="0"/>
        <v>0.89362987575059127</v>
      </c>
      <c r="C58" s="2" t="s">
        <v>227</v>
      </c>
    </row>
    <row r="59" spans="1:3" x14ac:dyDescent="0.2">
      <c r="A59" s="2">
        <v>57</v>
      </c>
      <c r="B59" s="2">
        <f t="shared" ca="1" si="0"/>
        <v>0.53003943774510964</v>
      </c>
      <c r="C59" s="2" t="s">
        <v>226</v>
      </c>
    </row>
    <row r="60" spans="1:3" x14ac:dyDescent="0.2">
      <c r="A60" s="2">
        <v>58</v>
      </c>
      <c r="B60" s="2">
        <f t="shared" ca="1" si="0"/>
        <v>0.60164308367273567</v>
      </c>
      <c r="C60" s="2" t="s">
        <v>227</v>
      </c>
    </row>
    <row r="61" spans="1:3" x14ac:dyDescent="0.2">
      <c r="A61" s="2">
        <v>59</v>
      </c>
      <c r="B61" s="2">
        <f t="shared" ca="1" si="0"/>
        <v>0.56999577005306645</v>
      </c>
      <c r="C61" s="2" t="s">
        <v>227</v>
      </c>
    </row>
    <row r="62" spans="1:3" x14ac:dyDescent="0.2">
      <c r="A62" s="2">
        <v>60</v>
      </c>
      <c r="B62" s="2">
        <f t="shared" ca="1" si="0"/>
        <v>0.60612195444170114</v>
      </c>
      <c r="C62" s="2" t="s">
        <v>226</v>
      </c>
    </row>
    <row r="63" spans="1:3" x14ac:dyDescent="0.2">
      <c r="A63" s="2">
        <v>61</v>
      </c>
      <c r="B63" s="2">
        <f t="shared" ca="1" si="0"/>
        <v>0.68190300493597156</v>
      </c>
      <c r="C63" s="2" t="s">
        <v>226</v>
      </c>
    </row>
    <row r="64" spans="1:3" x14ac:dyDescent="0.2">
      <c r="A64" s="2">
        <v>62</v>
      </c>
      <c r="B64" s="2">
        <f t="shared" ca="1" si="0"/>
        <v>0.35225949206706536</v>
      </c>
      <c r="C64" s="2" t="s">
        <v>226</v>
      </c>
    </row>
    <row r="65" spans="1:3" x14ac:dyDescent="0.2">
      <c r="A65" s="2">
        <v>63</v>
      </c>
      <c r="B65" s="2">
        <f t="shared" ca="1" si="0"/>
        <v>0.72462179717173514</v>
      </c>
      <c r="C65" s="2" t="s">
        <v>227</v>
      </c>
    </row>
    <row r="66" spans="1:3" x14ac:dyDescent="0.2">
      <c r="A66" s="2">
        <v>64</v>
      </c>
      <c r="B66" s="2">
        <f t="shared" ca="1" si="0"/>
        <v>0.76205153796654812</v>
      </c>
      <c r="C66" s="2" t="s">
        <v>227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0.67434687768671675</v>
      </c>
      <c r="C67" s="2" t="s">
        <v>227</v>
      </c>
    </row>
    <row r="68" spans="1:3" x14ac:dyDescent="0.2">
      <c r="A68" s="2">
        <v>66</v>
      </c>
      <c r="B68" s="2">
        <f t="shared" ca="1" si="1"/>
        <v>0.70289117505652909</v>
      </c>
      <c r="C68" s="2" t="s">
        <v>227</v>
      </c>
    </row>
    <row r="69" spans="1:3" x14ac:dyDescent="0.2">
      <c r="A69" s="2">
        <v>67</v>
      </c>
      <c r="B69" s="2">
        <f t="shared" ca="1" si="1"/>
        <v>0.51307840543233274</v>
      </c>
      <c r="C69" s="2" t="s">
        <v>227</v>
      </c>
    </row>
    <row r="70" spans="1:3" x14ac:dyDescent="0.2">
      <c r="A70" s="2">
        <v>68</v>
      </c>
      <c r="B70" s="2">
        <f t="shared" ca="1" si="1"/>
        <v>0.59646174462998991</v>
      </c>
      <c r="C70" s="2" t="s">
        <v>226</v>
      </c>
    </row>
    <row r="71" spans="1:3" x14ac:dyDescent="0.2">
      <c r="A71" s="2">
        <v>69</v>
      </c>
      <c r="B71" s="2">
        <f t="shared" ca="1" si="1"/>
        <v>0.53128969743172705</v>
      </c>
      <c r="C71" s="2" t="s">
        <v>226</v>
      </c>
    </row>
    <row r="72" spans="1:3" x14ac:dyDescent="0.2">
      <c r="A72" s="2">
        <v>70</v>
      </c>
      <c r="B72" s="2">
        <f t="shared" ca="1" si="1"/>
        <v>0.5970779170413244</v>
      </c>
      <c r="C72" s="2" t="s">
        <v>226</v>
      </c>
    </row>
    <row r="73" spans="1:3" x14ac:dyDescent="0.2">
      <c r="A73" s="2">
        <v>71</v>
      </c>
      <c r="B73" s="2">
        <f t="shared" ca="1" si="1"/>
        <v>0.49746781428197523</v>
      </c>
      <c r="C73" s="2" t="s">
        <v>226</v>
      </c>
    </row>
    <row r="74" spans="1:3" x14ac:dyDescent="0.2">
      <c r="A74" s="2">
        <v>72</v>
      </c>
      <c r="B74" s="2">
        <f t="shared" ca="1" si="1"/>
        <v>0.5715226666028651</v>
      </c>
      <c r="C74" s="2" t="s">
        <v>226</v>
      </c>
    </row>
    <row r="75" spans="1:3" x14ac:dyDescent="0.2">
      <c r="A75" s="2">
        <v>73</v>
      </c>
      <c r="B75" s="2">
        <f t="shared" ca="1" si="1"/>
        <v>0.65235744816822072</v>
      </c>
      <c r="C75" s="2" t="s">
        <v>227</v>
      </c>
    </row>
    <row r="76" spans="1:3" x14ac:dyDescent="0.2">
      <c r="A76" s="2">
        <v>74</v>
      </c>
      <c r="B76" s="2">
        <f t="shared" ca="1" si="1"/>
        <v>0.58667552905545928</v>
      </c>
      <c r="C76" s="2" t="s">
        <v>227</v>
      </c>
    </row>
    <row r="77" spans="1:3" x14ac:dyDescent="0.2">
      <c r="A77" s="2">
        <v>75</v>
      </c>
      <c r="B77" s="2">
        <f t="shared" ca="1" si="1"/>
        <v>0.63956059190381154</v>
      </c>
      <c r="C77" s="2" t="s">
        <v>227</v>
      </c>
    </row>
    <row r="78" spans="1:3" x14ac:dyDescent="0.2">
      <c r="A78" s="2">
        <v>76</v>
      </c>
      <c r="B78" s="2">
        <f t="shared" ca="1" si="1"/>
        <v>0.7285806451327429</v>
      </c>
      <c r="C78" s="2" t="s">
        <v>227</v>
      </c>
    </row>
    <row r="79" spans="1:3" x14ac:dyDescent="0.2">
      <c r="A79" s="2">
        <v>77</v>
      </c>
      <c r="B79" s="2">
        <f t="shared" ca="1" si="1"/>
        <v>0.73713454472872109</v>
      </c>
      <c r="C79" s="2" t="s">
        <v>226</v>
      </c>
    </row>
    <row r="80" spans="1:3" x14ac:dyDescent="0.2">
      <c r="A80" s="2">
        <v>78</v>
      </c>
      <c r="B80" s="2">
        <f t="shared" ca="1" si="1"/>
        <v>0.71281109009649002</v>
      </c>
      <c r="C80" s="2" t="s">
        <v>227</v>
      </c>
    </row>
    <row r="81" spans="1:3" x14ac:dyDescent="0.2">
      <c r="A81" s="2">
        <v>79</v>
      </c>
      <c r="B81" s="2">
        <f t="shared" ca="1" si="1"/>
        <v>0.46596934182743677</v>
      </c>
      <c r="C81" s="2" t="s">
        <v>226</v>
      </c>
    </row>
    <row r="82" spans="1:3" x14ac:dyDescent="0.2">
      <c r="A82" s="2">
        <v>80</v>
      </c>
      <c r="B82" s="2">
        <f t="shared" ca="1" si="1"/>
        <v>0.83151059870976296</v>
      </c>
      <c r="C82" s="2" t="s">
        <v>227</v>
      </c>
    </row>
    <row r="83" spans="1:3" x14ac:dyDescent="0.2">
      <c r="A83" s="2">
        <v>81</v>
      </c>
      <c r="B83" s="2">
        <f t="shared" ca="1" si="1"/>
        <v>0.76184374634037222</v>
      </c>
      <c r="C83" s="2" t="s">
        <v>227</v>
      </c>
    </row>
    <row r="84" spans="1:3" x14ac:dyDescent="0.2">
      <c r="A84" s="2">
        <v>82</v>
      </c>
      <c r="B84" s="2">
        <f t="shared" ca="1" si="1"/>
        <v>0.66216406820218765</v>
      </c>
      <c r="C84" s="2" t="s">
        <v>226</v>
      </c>
    </row>
    <row r="85" spans="1:3" x14ac:dyDescent="0.2">
      <c r="A85" s="2">
        <v>83</v>
      </c>
      <c r="B85" s="2">
        <f t="shared" ca="1" si="1"/>
        <v>0.66828104411339817</v>
      </c>
      <c r="C85" s="2" t="s">
        <v>227</v>
      </c>
    </row>
    <row r="86" spans="1:3" x14ac:dyDescent="0.2">
      <c r="A86" s="2">
        <v>84</v>
      </c>
      <c r="B86" s="2">
        <f t="shared" ca="1" si="1"/>
        <v>0.6861636901288648</v>
      </c>
      <c r="C86" s="2" t="s">
        <v>227</v>
      </c>
    </row>
    <row r="87" spans="1:3" x14ac:dyDescent="0.2">
      <c r="A87" s="2">
        <v>85</v>
      </c>
      <c r="B87" s="2">
        <f t="shared" ca="1" si="1"/>
        <v>0.60689126535412008</v>
      </c>
      <c r="C87" s="2" t="s">
        <v>226</v>
      </c>
    </row>
    <row r="88" spans="1:3" x14ac:dyDescent="0.2">
      <c r="A88" s="2">
        <v>86</v>
      </c>
      <c r="B88" s="2">
        <f t="shared" ca="1" si="1"/>
        <v>0.88145977317818858</v>
      </c>
      <c r="C88" s="2" t="s">
        <v>226</v>
      </c>
    </row>
    <row r="89" spans="1:3" x14ac:dyDescent="0.2">
      <c r="A89" s="2">
        <v>87</v>
      </c>
      <c r="B89" s="2">
        <f t="shared" ca="1" si="1"/>
        <v>0.52356162825808328</v>
      </c>
      <c r="C89" s="2" t="s">
        <v>226</v>
      </c>
    </row>
    <row r="90" spans="1:3" x14ac:dyDescent="0.2">
      <c r="A90" s="2">
        <v>88</v>
      </c>
      <c r="B90" s="2">
        <f t="shared" ca="1" si="1"/>
        <v>0.48094449445452164</v>
      </c>
      <c r="C90" s="2" t="s">
        <v>226</v>
      </c>
    </row>
    <row r="91" spans="1:3" x14ac:dyDescent="0.2">
      <c r="A91" s="2">
        <v>89</v>
      </c>
      <c r="B91" s="2">
        <f t="shared" ca="1" si="1"/>
        <v>0.5942170818915784</v>
      </c>
      <c r="C91" s="2" t="s">
        <v>226</v>
      </c>
    </row>
    <row r="92" spans="1:3" x14ac:dyDescent="0.2">
      <c r="A92" s="2">
        <v>90</v>
      </c>
      <c r="B92" s="2">
        <f t="shared" ca="1" si="1"/>
        <v>0.72505935785323306</v>
      </c>
      <c r="C92" s="2" t="s">
        <v>227</v>
      </c>
    </row>
    <row r="93" spans="1:3" x14ac:dyDescent="0.2">
      <c r="A93" s="2">
        <v>91</v>
      </c>
      <c r="B93" s="2">
        <f t="shared" ca="1" si="1"/>
        <v>0.78845318415565091</v>
      </c>
      <c r="C93" s="2" t="s">
        <v>227</v>
      </c>
    </row>
    <row r="94" spans="1:3" x14ac:dyDescent="0.2">
      <c r="A94" s="2">
        <v>92</v>
      </c>
      <c r="B94" s="2">
        <f t="shared" ca="1" si="1"/>
        <v>0.53322991861000302</v>
      </c>
      <c r="C94" s="2" t="s">
        <v>226</v>
      </c>
    </row>
    <row r="95" spans="1:3" x14ac:dyDescent="0.2">
      <c r="A95" s="2">
        <v>93</v>
      </c>
      <c r="B95" s="2">
        <f t="shared" ca="1" si="1"/>
        <v>0.57520437718309303</v>
      </c>
      <c r="C95" s="2" t="s">
        <v>227</v>
      </c>
    </row>
    <row r="96" spans="1:3" x14ac:dyDescent="0.2">
      <c r="A96" s="2">
        <v>94</v>
      </c>
      <c r="B96" s="2">
        <f t="shared" ca="1" si="1"/>
        <v>0.61565509912566085</v>
      </c>
      <c r="C96" s="2" t="s">
        <v>227</v>
      </c>
    </row>
    <row r="97" spans="1:3" x14ac:dyDescent="0.2">
      <c r="A97" s="2">
        <v>95</v>
      </c>
      <c r="B97" s="2">
        <f t="shared" ca="1" si="1"/>
        <v>0.55757312228047995</v>
      </c>
      <c r="C97" s="2" t="s">
        <v>226</v>
      </c>
    </row>
    <row r="98" spans="1:3" x14ac:dyDescent="0.2">
      <c r="A98" s="2">
        <v>96</v>
      </c>
      <c r="B98" s="2">
        <f t="shared" ca="1" si="1"/>
        <v>0.74957230495082094</v>
      </c>
      <c r="C98" s="2" t="s">
        <v>226</v>
      </c>
    </row>
    <row r="99" spans="1:3" x14ac:dyDescent="0.2">
      <c r="A99" s="2">
        <v>97</v>
      </c>
      <c r="B99" s="2">
        <f t="shared" ca="1" si="1"/>
        <v>0.72185953537491132</v>
      </c>
      <c r="C99" s="2" t="s">
        <v>227</v>
      </c>
    </row>
    <row r="100" spans="1:3" x14ac:dyDescent="0.2">
      <c r="A100" s="2">
        <v>98</v>
      </c>
      <c r="B100" s="2">
        <f t="shared" ca="1" si="1"/>
        <v>0.67206023592685249</v>
      </c>
      <c r="C100" s="2" t="s">
        <v>227</v>
      </c>
    </row>
    <row r="101" spans="1:3" x14ac:dyDescent="0.2">
      <c r="A101" s="2">
        <v>99</v>
      </c>
      <c r="B101" s="2">
        <f t="shared" ca="1" si="1"/>
        <v>0.66010941239758936</v>
      </c>
      <c r="C101" s="2" t="s">
        <v>227</v>
      </c>
    </row>
    <row r="102" spans="1:3" x14ac:dyDescent="0.2">
      <c r="A102" s="2">
        <v>100</v>
      </c>
      <c r="B102" s="2">
        <f t="shared" ca="1" si="1"/>
        <v>0.69553812749372879</v>
      </c>
      <c r="C102" s="2" t="s">
        <v>226</v>
      </c>
    </row>
    <row r="103" spans="1:3" x14ac:dyDescent="0.2">
      <c r="A103" s="2">
        <v>101</v>
      </c>
      <c r="B103" s="2">
        <f t="shared" ca="1" si="1"/>
        <v>0.63926769592374033</v>
      </c>
      <c r="C103" s="2" t="s">
        <v>227</v>
      </c>
    </row>
    <row r="104" spans="1:3" x14ac:dyDescent="0.2">
      <c r="A104" s="2">
        <v>102</v>
      </c>
      <c r="B104" s="2">
        <f t="shared" ca="1" si="1"/>
        <v>0.53394671664506344</v>
      </c>
      <c r="C104" s="2" t="s">
        <v>226</v>
      </c>
    </row>
    <row r="105" spans="1:3" x14ac:dyDescent="0.2">
      <c r="A105" s="2">
        <v>103</v>
      </c>
      <c r="B105" s="2">
        <f t="shared" ca="1" si="1"/>
        <v>0.68368622888156294</v>
      </c>
      <c r="C105" s="2" t="s">
        <v>226</v>
      </c>
    </row>
    <row r="106" spans="1:3" x14ac:dyDescent="0.2">
      <c r="A106" s="2">
        <v>104</v>
      </c>
      <c r="B106" s="2">
        <f t="shared" ca="1" si="1"/>
        <v>0.53430392191379883</v>
      </c>
      <c r="C106" s="2" t="s">
        <v>226</v>
      </c>
    </row>
    <row r="107" spans="1:3" x14ac:dyDescent="0.2">
      <c r="A107" s="2">
        <v>105</v>
      </c>
      <c r="B107" s="2">
        <f t="shared" ca="1" si="1"/>
        <v>0.70751043040155148</v>
      </c>
      <c r="C107" s="2" t="s">
        <v>227</v>
      </c>
    </row>
    <row r="108" spans="1:3" x14ac:dyDescent="0.2">
      <c r="A108" s="2">
        <v>106</v>
      </c>
      <c r="B108" s="2">
        <f t="shared" ca="1" si="1"/>
        <v>0.66725906725738271</v>
      </c>
      <c r="C108" s="2" t="s">
        <v>226</v>
      </c>
    </row>
    <row r="109" spans="1:3" x14ac:dyDescent="0.2">
      <c r="A109" s="2">
        <v>107</v>
      </c>
      <c r="B109" s="2">
        <f t="shared" ca="1" si="1"/>
        <v>0.55626726327196263</v>
      </c>
      <c r="C109" s="2" t="s">
        <v>226</v>
      </c>
    </row>
    <row r="110" spans="1:3" x14ac:dyDescent="0.2">
      <c r="A110" s="2">
        <v>108</v>
      </c>
      <c r="B110" s="2">
        <f t="shared" ca="1" si="1"/>
        <v>0.71330690455775192</v>
      </c>
      <c r="C110" s="2" t="s">
        <v>226</v>
      </c>
    </row>
    <row r="111" spans="1:3" x14ac:dyDescent="0.2">
      <c r="A111" s="2">
        <v>109</v>
      </c>
      <c r="B111" s="2">
        <f t="shared" ca="1" si="1"/>
        <v>0.5336862644742798</v>
      </c>
      <c r="C111" s="2" t="s">
        <v>226</v>
      </c>
    </row>
    <row r="112" spans="1:3" x14ac:dyDescent="0.2">
      <c r="A112" s="2">
        <v>110</v>
      </c>
      <c r="B112" s="2">
        <f t="shared" ca="1" si="1"/>
        <v>0.79836922620907536</v>
      </c>
      <c r="C112" s="2" t="s">
        <v>226</v>
      </c>
    </row>
    <row r="113" spans="1:3" x14ac:dyDescent="0.2">
      <c r="A113" s="2">
        <v>111</v>
      </c>
      <c r="B113" s="2">
        <f t="shared" ca="1" si="1"/>
        <v>0.75041689882671037</v>
      </c>
      <c r="C113" s="2" t="s">
        <v>227</v>
      </c>
    </row>
    <row r="114" spans="1:3" x14ac:dyDescent="0.2">
      <c r="A114" s="2">
        <v>112</v>
      </c>
      <c r="B114" s="2">
        <f t="shared" ca="1" si="1"/>
        <v>0.40941974922295332</v>
      </c>
      <c r="C114" s="2" t="s">
        <v>226</v>
      </c>
    </row>
    <row r="115" spans="1:3" x14ac:dyDescent="0.2">
      <c r="A115" s="2">
        <v>113</v>
      </c>
      <c r="B115" s="2">
        <f t="shared" ca="1" si="1"/>
        <v>0.82029934615858691</v>
      </c>
      <c r="C115" s="2" t="s">
        <v>226</v>
      </c>
    </row>
    <row r="116" spans="1:3" x14ac:dyDescent="0.2">
      <c r="A116" s="2">
        <v>114</v>
      </c>
      <c r="B116" s="2">
        <f t="shared" ca="1" si="1"/>
        <v>0.68036408943734417</v>
      </c>
      <c r="C116" s="2" t="s">
        <v>226</v>
      </c>
    </row>
    <row r="117" spans="1:3" x14ac:dyDescent="0.2">
      <c r="A117" s="2">
        <v>115</v>
      </c>
      <c r="B117" s="2">
        <f t="shared" ca="1" si="1"/>
        <v>0.72397604381890646</v>
      </c>
      <c r="C117" s="2" t="s">
        <v>226</v>
      </c>
    </row>
    <row r="118" spans="1:3" x14ac:dyDescent="0.2">
      <c r="A118" s="2">
        <v>116</v>
      </c>
      <c r="B118" s="2">
        <f t="shared" ca="1" si="1"/>
        <v>0.67430052334342538</v>
      </c>
      <c r="C118" s="2" t="s">
        <v>226</v>
      </c>
    </row>
    <row r="119" spans="1:3" x14ac:dyDescent="0.2">
      <c r="A119" s="2">
        <v>117</v>
      </c>
      <c r="B119" s="2">
        <f t="shared" ca="1" si="1"/>
        <v>0.60467789328522303</v>
      </c>
      <c r="C119" s="2" t="s">
        <v>226</v>
      </c>
    </row>
    <row r="120" spans="1:3" x14ac:dyDescent="0.2">
      <c r="A120" s="2">
        <v>118</v>
      </c>
      <c r="B120" s="2">
        <f t="shared" ca="1" si="1"/>
        <v>0.61872989731284833</v>
      </c>
      <c r="C120" s="2" t="s">
        <v>226</v>
      </c>
    </row>
    <row r="121" spans="1:3" x14ac:dyDescent="0.2">
      <c r="A121" s="2">
        <v>119</v>
      </c>
      <c r="B121" s="2">
        <f t="shared" ca="1" si="1"/>
        <v>0.44248018114020254</v>
      </c>
      <c r="C121" s="2" t="s">
        <v>226</v>
      </c>
    </row>
    <row r="122" spans="1:3" x14ac:dyDescent="0.2">
      <c r="A122" s="2">
        <v>120</v>
      </c>
      <c r="B122" s="2">
        <f t="shared" ca="1" si="1"/>
        <v>0.49651839287696398</v>
      </c>
      <c r="C122" s="2" t="s">
        <v>227</v>
      </c>
    </row>
    <row r="123" spans="1:3" x14ac:dyDescent="0.2">
      <c r="A123" s="2">
        <v>121</v>
      </c>
      <c r="B123" s="2">
        <f t="shared" ca="1" si="1"/>
        <v>0.6042137659252822</v>
      </c>
      <c r="C123" s="2" t="s">
        <v>227</v>
      </c>
    </row>
    <row r="124" spans="1:3" x14ac:dyDescent="0.2">
      <c r="A124" s="2">
        <v>122</v>
      </c>
      <c r="B124" s="2">
        <f t="shared" ca="1" si="1"/>
        <v>0.63336538383686747</v>
      </c>
      <c r="C124" s="2" t="s">
        <v>226</v>
      </c>
    </row>
    <row r="125" spans="1:3" x14ac:dyDescent="0.2">
      <c r="A125" s="2">
        <v>123</v>
      </c>
      <c r="B125" s="2">
        <f t="shared" ca="1" si="1"/>
        <v>0.73828852705698589</v>
      </c>
      <c r="C125" s="2" t="s">
        <v>227</v>
      </c>
    </row>
    <row r="126" spans="1:3" x14ac:dyDescent="0.2">
      <c r="A126" s="2">
        <v>124</v>
      </c>
      <c r="B126" s="2">
        <f t="shared" ca="1" si="1"/>
        <v>0.67362892189280787</v>
      </c>
      <c r="C126" s="2" t="s">
        <v>227</v>
      </c>
    </row>
    <row r="127" spans="1:3" x14ac:dyDescent="0.2">
      <c r="A127" s="2">
        <v>125</v>
      </c>
      <c r="B127" s="2">
        <f t="shared" ca="1" si="1"/>
        <v>0.55022204593267998</v>
      </c>
      <c r="C127" s="2" t="s">
        <v>226</v>
      </c>
    </row>
    <row r="128" spans="1:3" x14ac:dyDescent="0.2">
      <c r="A128" s="2">
        <v>126</v>
      </c>
      <c r="B128" s="2">
        <f t="shared" ca="1" si="1"/>
        <v>0.79650040198235883</v>
      </c>
      <c r="C128" s="2" t="s">
        <v>226</v>
      </c>
    </row>
    <row r="129" spans="1:3" x14ac:dyDescent="0.2">
      <c r="A129" s="2">
        <v>127</v>
      </c>
      <c r="B129" s="2">
        <f t="shared" ca="1" si="1"/>
        <v>0.62786592740699509</v>
      </c>
      <c r="C129" s="2" t="s">
        <v>226</v>
      </c>
    </row>
    <row r="130" spans="1:3" x14ac:dyDescent="0.2">
      <c r="A130" s="2">
        <v>128</v>
      </c>
      <c r="B130" s="2">
        <f t="shared" ca="1" si="1"/>
        <v>0.42007675501518232</v>
      </c>
      <c r="C130" s="2" t="s">
        <v>226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0.46809048024086503</v>
      </c>
      <c r="C131" s="2" t="s">
        <v>226</v>
      </c>
    </row>
    <row r="132" spans="1:3" x14ac:dyDescent="0.2">
      <c r="A132" s="2">
        <v>130</v>
      </c>
      <c r="B132" s="2">
        <f t="shared" ca="1" si="2"/>
        <v>0.55539063850149883</v>
      </c>
      <c r="C132" s="2" t="s">
        <v>227</v>
      </c>
    </row>
    <row r="133" spans="1:3" x14ac:dyDescent="0.2">
      <c r="A133" s="2">
        <v>131</v>
      </c>
      <c r="B133" s="2">
        <f t="shared" ca="1" si="2"/>
        <v>0.59936731925332398</v>
      </c>
      <c r="C133" s="2" t="s">
        <v>227</v>
      </c>
    </row>
    <row r="134" spans="1:3" x14ac:dyDescent="0.2">
      <c r="A134" s="2">
        <v>132</v>
      </c>
      <c r="B134" s="2">
        <f t="shared" ca="1" si="2"/>
        <v>0.64252145399987626</v>
      </c>
      <c r="C134" s="2" t="s">
        <v>227</v>
      </c>
    </row>
    <row r="135" spans="1:3" x14ac:dyDescent="0.2">
      <c r="A135" s="2">
        <v>133</v>
      </c>
      <c r="B135" s="2">
        <f t="shared" ca="1" si="2"/>
        <v>0.58452750544157128</v>
      </c>
      <c r="C135" s="2" t="s">
        <v>227</v>
      </c>
    </row>
    <row r="136" spans="1:3" x14ac:dyDescent="0.2">
      <c r="A136" s="2">
        <v>134</v>
      </c>
      <c r="B136" s="2">
        <f t="shared" ca="1" si="2"/>
        <v>0.46078270965679879</v>
      </c>
      <c r="C136" s="2" t="s">
        <v>226</v>
      </c>
    </row>
    <row r="137" spans="1:3" x14ac:dyDescent="0.2">
      <c r="A137" s="2">
        <v>135</v>
      </c>
      <c r="B137" s="2">
        <f t="shared" ca="1" si="2"/>
        <v>0.6215189454588167</v>
      </c>
      <c r="C137" s="2" t="s">
        <v>227</v>
      </c>
    </row>
    <row r="138" spans="1:3" x14ac:dyDescent="0.2">
      <c r="A138" s="2">
        <v>136</v>
      </c>
      <c r="B138" s="2">
        <f t="shared" ca="1" si="2"/>
        <v>0.6431371471570132</v>
      </c>
      <c r="C138" s="2" t="s">
        <v>227</v>
      </c>
    </row>
    <row r="139" spans="1:3" x14ac:dyDescent="0.2">
      <c r="A139" s="2">
        <v>137</v>
      </c>
      <c r="B139" s="2">
        <f t="shared" ca="1" si="2"/>
        <v>0.51358104312332142</v>
      </c>
      <c r="C139" s="2" t="s">
        <v>226</v>
      </c>
    </row>
    <row r="140" spans="1:3" x14ac:dyDescent="0.2">
      <c r="A140" s="2">
        <v>138</v>
      </c>
      <c r="B140" s="2">
        <f t="shared" ca="1" si="2"/>
        <v>0.78784113809262646</v>
      </c>
      <c r="C140" s="2" t="s">
        <v>227</v>
      </c>
    </row>
    <row r="141" spans="1:3" x14ac:dyDescent="0.2">
      <c r="A141" s="2">
        <v>139</v>
      </c>
      <c r="B141" s="2">
        <f t="shared" ca="1" si="2"/>
        <v>0.63258289008249258</v>
      </c>
      <c r="C141" s="2" t="s">
        <v>226</v>
      </c>
    </row>
    <row r="142" spans="1:3" x14ac:dyDescent="0.2">
      <c r="A142" s="2">
        <v>140</v>
      </c>
      <c r="B142" s="2">
        <f t="shared" ca="1" si="2"/>
        <v>0.59842622162830217</v>
      </c>
      <c r="C142" s="2" t="s">
        <v>226</v>
      </c>
    </row>
    <row r="143" spans="1:3" x14ac:dyDescent="0.2">
      <c r="A143" s="2">
        <v>141</v>
      </c>
      <c r="B143" s="2">
        <f t="shared" ca="1" si="2"/>
        <v>0.4362894240800278</v>
      </c>
      <c r="C143" s="2" t="s">
        <v>226</v>
      </c>
    </row>
    <row r="144" spans="1:3" x14ac:dyDescent="0.2">
      <c r="A144" s="2">
        <v>142</v>
      </c>
      <c r="B144" s="2">
        <f t="shared" ca="1" si="2"/>
        <v>0.77507664541930354</v>
      </c>
      <c r="C144" s="2" t="s">
        <v>227</v>
      </c>
    </row>
    <row r="145" spans="1:3" x14ac:dyDescent="0.2">
      <c r="A145" s="2">
        <v>143</v>
      </c>
      <c r="B145" s="2">
        <f t="shared" ca="1" si="2"/>
        <v>0.72163879824855481</v>
      </c>
      <c r="C145" s="2" t="s">
        <v>226</v>
      </c>
    </row>
    <row r="146" spans="1:3" x14ac:dyDescent="0.2">
      <c r="A146" s="2">
        <v>144</v>
      </c>
      <c r="B146" s="2">
        <f t="shared" ca="1" si="2"/>
        <v>0.51661977339020115</v>
      </c>
      <c r="C146" s="2" t="s">
        <v>227</v>
      </c>
    </row>
    <row r="147" spans="1:3" x14ac:dyDescent="0.2">
      <c r="A147" s="2">
        <v>145</v>
      </c>
      <c r="B147" s="2">
        <f t="shared" ca="1" si="2"/>
        <v>0.70613413854615248</v>
      </c>
      <c r="C147" s="2" t="s">
        <v>226</v>
      </c>
    </row>
    <row r="148" spans="1:3" x14ac:dyDescent="0.2">
      <c r="A148" s="2">
        <v>146</v>
      </c>
      <c r="B148" s="2">
        <f t="shared" ca="1" si="2"/>
        <v>0.58753161539884458</v>
      </c>
      <c r="C148" s="2" t="s">
        <v>226</v>
      </c>
    </row>
    <row r="149" spans="1:3" x14ac:dyDescent="0.2">
      <c r="A149" s="2">
        <v>147</v>
      </c>
      <c r="B149" s="2">
        <f t="shared" ca="1" si="2"/>
        <v>0.72755293771420049</v>
      </c>
      <c r="C149" s="2" t="s">
        <v>227</v>
      </c>
    </row>
    <row r="150" spans="1:3" x14ac:dyDescent="0.2">
      <c r="A150" s="2">
        <v>148</v>
      </c>
      <c r="B150" s="2">
        <f t="shared" ca="1" si="2"/>
        <v>0.18659393142407865</v>
      </c>
      <c r="C150" s="2" t="s">
        <v>226</v>
      </c>
    </row>
    <row r="151" spans="1:3" x14ac:dyDescent="0.2">
      <c r="A151" s="2">
        <v>149</v>
      </c>
      <c r="B151" s="2">
        <f t="shared" ca="1" si="2"/>
        <v>0.47044370575511785</v>
      </c>
      <c r="C151" s="2" t="s">
        <v>226</v>
      </c>
    </row>
    <row r="152" spans="1:3" x14ac:dyDescent="0.2">
      <c r="A152" s="2">
        <v>150</v>
      </c>
      <c r="B152" s="2">
        <f t="shared" ca="1" si="2"/>
        <v>0.31582807903276616</v>
      </c>
      <c r="C152" s="2" t="s">
        <v>226</v>
      </c>
    </row>
    <row r="153" spans="1:3" x14ac:dyDescent="0.2">
      <c r="A153" s="2">
        <v>151</v>
      </c>
      <c r="B153" s="2">
        <f t="shared" ca="1" si="2"/>
        <v>0.88014612499559908</v>
      </c>
      <c r="C153" s="2" t="s">
        <v>227</v>
      </c>
    </row>
    <row r="154" spans="1:3" x14ac:dyDescent="0.2">
      <c r="A154" s="2">
        <v>152</v>
      </c>
      <c r="B154" s="2">
        <f t="shared" ca="1" si="2"/>
        <v>0.72051730516834323</v>
      </c>
      <c r="C154" s="2" t="s">
        <v>227</v>
      </c>
    </row>
    <row r="155" spans="1:3" x14ac:dyDescent="0.2">
      <c r="A155" s="2">
        <v>153</v>
      </c>
      <c r="B155" s="2">
        <f t="shared" ca="1" si="2"/>
        <v>0.63427761550022299</v>
      </c>
      <c r="C155" s="2" t="s">
        <v>227</v>
      </c>
    </row>
    <row r="156" spans="1:3" x14ac:dyDescent="0.2">
      <c r="A156" s="2">
        <v>154</v>
      </c>
      <c r="B156" s="2">
        <f t="shared" ca="1" si="2"/>
        <v>0.78043659295466172</v>
      </c>
      <c r="C156" s="2" t="s">
        <v>226</v>
      </c>
    </row>
    <row r="157" spans="1:3" x14ac:dyDescent="0.2">
      <c r="A157" s="2">
        <v>155</v>
      </c>
      <c r="B157" s="2">
        <f t="shared" ca="1" si="2"/>
        <v>0.75576321213474096</v>
      </c>
      <c r="C157" s="2" t="s">
        <v>227</v>
      </c>
    </row>
    <row r="158" spans="1:3" x14ac:dyDescent="0.2">
      <c r="A158" s="2">
        <v>156</v>
      </c>
      <c r="B158" s="2">
        <f t="shared" ca="1" si="2"/>
        <v>0.66601780049077708</v>
      </c>
      <c r="C158" s="2" t="s">
        <v>227</v>
      </c>
    </row>
    <row r="159" spans="1:3" x14ac:dyDescent="0.2">
      <c r="A159" s="2">
        <v>157</v>
      </c>
      <c r="B159" s="2">
        <f t="shared" ca="1" si="2"/>
        <v>0.40471431456479134</v>
      </c>
      <c r="C159" s="2" t="s">
        <v>226</v>
      </c>
    </row>
    <row r="160" spans="1:3" x14ac:dyDescent="0.2">
      <c r="A160" s="2">
        <v>158</v>
      </c>
      <c r="B160" s="2">
        <f t="shared" ca="1" si="2"/>
        <v>0.54418095690211854</v>
      </c>
      <c r="C160" s="2" t="s">
        <v>226</v>
      </c>
    </row>
    <row r="161" spans="1:3" x14ac:dyDescent="0.2">
      <c r="A161" s="2">
        <v>159</v>
      </c>
      <c r="B161" s="2">
        <f t="shared" ca="1" si="2"/>
        <v>0.51992193859817804</v>
      </c>
      <c r="C161" s="2" t="s">
        <v>227</v>
      </c>
    </row>
    <row r="162" spans="1:3" x14ac:dyDescent="0.2">
      <c r="A162" s="2">
        <v>160</v>
      </c>
      <c r="B162" s="2">
        <f t="shared" ca="1" si="2"/>
        <v>0.74914878413896357</v>
      </c>
      <c r="C162" s="2" t="s">
        <v>227</v>
      </c>
    </row>
    <row r="163" spans="1:3" x14ac:dyDescent="0.2">
      <c r="A163" s="2">
        <v>161</v>
      </c>
      <c r="B163" s="2">
        <f t="shared" ca="1" si="2"/>
        <v>0.66619602417679613</v>
      </c>
      <c r="C163" s="2" t="s">
        <v>227</v>
      </c>
    </row>
    <row r="164" spans="1:3" x14ac:dyDescent="0.2">
      <c r="A164" s="2">
        <v>162</v>
      </c>
      <c r="B164" s="2">
        <f t="shared" ca="1" si="2"/>
        <v>0.46155976519079167</v>
      </c>
      <c r="C164" s="2" t="s">
        <v>226</v>
      </c>
    </row>
    <row r="165" spans="1:3" x14ac:dyDescent="0.2">
      <c r="A165" s="2">
        <v>163</v>
      </c>
      <c r="B165" s="2">
        <f t="shared" ca="1" si="2"/>
        <v>0.4666304813436275</v>
      </c>
      <c r="C165" s="2" t="s">
        <v>226</v>
      </c>
    </row>
    <row r="166" spans="1:3" x14ac:dyDescent="0.2">
      <c r="A166" s="2">
        <v>164</v>
      </c>
      <c r="B166" s="2">
        <f t="shared" ca="1" si="2"/>
        <v>0.6853164525437474</v>
      </c>
      <c r="C166" s="2" t="s">
        <v>226</v>
      </c>
    </row>
    <row r="167" spans="1:3" x14ac:dyDescent="0.2">
      <c r="A167" s="2">
        <v>165</v>
      </c>
      <c r="B167" s="2">
        <f t="shared" ca="1" si="2"/>
        <v>0.46841936962513453</v>
      </c>
      <c r="C167" s="2" t="s">
        <v>226</v>
      </c>
    </row>
    <row r="168" spans="1:3" x14ac:dyDescent="0.2">
      <c r="A168" s="2">
        <v>166</v>
      </c>
      <c r="B168" s="2">
        <f t="shared" ca="1" si="2"/>
        <v>0.74582514216437279</v>
      </c>
      <c r="C168" s="2" t="s">
        <v>227</v>
      </c>
    </row>
    <row r="169" spans="1:3" x14ac:dyDescent="0.2">
      <c r="A169" s="2">
        <v>167</v>
      </c>
      <c r="B169" s="2">
        <f t="shared" ca="1" si="2"/>
        <v>0.77791717550735684</v>
      </c>
      <c r="C169" s="2" t="s">
        <v>227</v>
      </c>
    </row>
    <row r="170" spans="1:3" x14ac:dyDescent="0.2">
      <c r="A170" s="2">
        <v>168</v>
      </c>
      <c r="B170" s="2">
        <f t="shared" ca="1" si="2"/>
        <v>0.62108306308937433</v>
      </c>
      <c r="C170" s="2" t="s">
        <v>227</v>
      </c>
    </row>
    <row r="171" spans="1:3" x14ac:dyDescent="0.2">
      <c r="A171" s="2">
        <v>169</v>
      </c>
      <c r="B171" s="2">
        <f t="shared" ca="1" si="2"/>
        <v>0.50031737131771603</v>
      </c>
      <c r="C171" s="2" t="s">
        <v>226</v>
      </c>
    </row>
    <row r="172" spans="1:3" x14ac:dyDescent="0.2">
      <c r="A172" s="2">
        <v>170</v>
      </c>
      <c r="B172" s="2">
        <f t="shared" ca="1" si="2"/>
        <v>0.48090290523295659</v>
      </c>
      <c r="C172" s="2" t="s">
        <v>226</v>
      </c>
    </row>
    <row r="173" spans="1:3" x14ac:dyDescent="0.2">
      <c r="A173" s="2">
        <v>171</v>
      </c>
      <c r="B173" s="2">
        <f t="shared" ca="1" si="2"/>
        <v>0.69490231546782244</v>
      </c>
      <c r="C173" s="2" t="s">
        <v>227</v>
      </c>
    </row>
    <row r="174" spans="1:3" x14ac:dyDescent="0.2">
      <c r="A174" s="2">
        <v>172</v>
      </c>
      <c r="B174" s="2">
        <f t="shared" ca="1" si="2"/>
        <v>0.54760178086645961</v>
      </c>
      <c r="C174" s="2" t="s">
        <v>227</v>
      </c>
    </row>
    <row r="175" spans="1:3" x14ac:dyDescent="0.2">
      <c r="A175" s="2">
        <v>173</v>
      </c>
      <c r="B175" s="2">
        <f t="shared" ca="1" si="2"/>
        <v>0.51811973100876352</v>
      </c>
      <c r="C175" s="2" t="s">
        <v>227</v>
      </c>
    </row>
    <row r="176" spans="1:3" x14ac:dyDescent="0.2">
      <c r="A176" s="2">
        <v>174</v>
      </c>
      <c r="B176" s="2">
        <f t="shared" ca="1" si="2"/>
        <v>0.52667833460262203</v>
      </c>
      <c r="C176" s="2" t="s">
        <v>226</v>
      </c>
    </row>
    <row r="177" spans="1:3" x14ac:dyDescent="0.2">
      <c r="A177" s="2">
        <v>175</v>
      </c>
      <c r="B177" s="2">
        <f t="shared" ca="1" si="2"/>
        <v>0.68674096121538597</v>
      </c>
      <c r="C177" s="2" t="s">
        <v>227</v>
      </c>
    </row>
    <row r="178" spans="1:3" x14ac:dyDescent="0.2">
      <c r="A178" s="2">
        <v>176</v>
      </c>
      <c r="B178" s="2">
        <f t="shared" ca="1" si="2"/>
        <v>0.59079735905243858</v>
      </c>
      <c r="C178" s="2" t="s">
        <v>227</v>
      </c>
    </row>
    <row r="179" spans="1:3" x14ac:dyDescent="0.2">
      <c r="A179" s="2">
        <v>177</v>
      </c>
      <c r="B179" s="2">
        <f t="shared" ca="1" si="2"/>
        <v>0.50103082629794482</v>
      </c>
      <c r="C179" s="2" t="s">
        <v>226</v>
      </c>
    </row>
    <row r="180" spans="1:3" x14ac:dyDescent="0.2">
      <c r="A180" s="2">
        <v>178</v>
      </c>
      <c r="B180" s="2">
        <f t="shared" ca="1" si="2"/>
        <v>0.67434567178201799</v>
      </c>
      <c r="C180" s="2" t="s">
        <v>226</v>
      </c>
    </row>
    <row r="181" spans="1:3" x14ac:dyDescent="0.2">
      <c r="A181" s="2">
        <v>179</v>
      </c>
      <c r="B181" s="2">
        <f t="shared" ca="1" si="2"/>
        <v>0.69124161969188824</v>
      </c>
      <c r="C181" s="2" t="s">
        <v>227</v>
      </c>
    </row>
    <row r="182" spans="1:3" x14ac:dyDescent="0.2">
      <c r="A182" s="2">
        <v>180</v>
      </c>
      <c r="B182" s="2">
        <f t="shared" ca="1" si="2"/>
        <v>0.64684564485053841</v>
      </c>
      <c r="C182" s="2" t="s">
        <v>227</v>
      </c>
    </row>
    <row r="183" spans="1:3" x14ac:dyDescent="0.2">
      <c r="A183" s="2">
        <v>181</v>
      </c>
      <c r="B183" s="2">
        <f t="shared" ca="1" si="2"/>
        <v>0.62875488351744802</v>
      </c>
      <c r="C183" s="2" t="s">
        <v>227</v>
      </c>
    </row>
    <row r="184" spans="1:3" x14ac:dyDescent="0.2">
      <c r="A184" s="2">
        <v>182</v>
      </c>
      <c r="B184" s="2">
        <f t="shared" ca="1" si="2"/>
        <v>0.77429049897815061</v>
      </c>
      <c r="C184" s="2" t="s">
        <v>227</v>
      </c>
    </row>
    <row r="185" spans="1:3" x14ac:dyDescent="0.2">
      <c r="A185" s="2">
        <v>183</v>
      </c>
      <c r="B185" s="2">
        <f t="shared" ca="1" si="2"/>
        <v>0.65755566730649517</v>
      </c>
      <c r="C185" s="2" t="s">
        <v>226</v>
      </c>
    </row>
    <row r="186" spans="1:3" x14ac:dyDescent="0.2">
      <c r="A186" s="2">
        <v>184</v>
      </c>
      <c r="B186" s="2">
        <f t="shared" ca="1" si="2"/>
        <v>0.64415649634236771</v>
      </c>
      <c r="C186" s="2" t="s">
        <v>227</v>
      </c>
    </row>
    <row r="187" spans="1:3" x14ac:dyDescent="0.2">
      <c r="A187" s="2">
        <v>185</v>
      </c>
      <c r="B187" s="2">
        <f t="shared" ca="1" si="2"/>
        <v>0.68015479643558874</v>
      </c>
      <c r="C187" s="2" t="s">
        <v>226</v>
      </c>
    </row>
    <row r="188" spans="1:3" x14ac:dyDescent="0.2">
      <c r="A188" s="2">
        <v>186</v>
      </c>
      <c r="B188" s="2">
        <f t="shared" ca="1" si="2"/>
        <v>0.70771182809579869</v>
      </c>
      <c r="C188" s="2" t="s">
        <v>227</v>
      </c>
    </row>
    <row r="189" spans="1:3" x14ac:dyDescent="0.2">
      <c r="A189" s="2">
        <v>187</v>
      </c>
      <c r="B189" s="2">
        <f t="shared" ca="1" si="2"/>
        <v>0.84441964154875171</v>
      </c>
      <c r="C189" s="2" t="s">
        <v>226</v>
      </c>
    </row>
    <row r="190" spans="1:3" x14ac:dyDescent="0.2">
      <c r="A190" s="2">
        <v>188</v>
      </c>
      <c r="B190" s="2">
        <f t="shared" ca="1" si="2"/>
        <v>0.71296698387849899</v>
      </c>
      <c r="C190" s="2" t="s">
        <v>227</v>
      </c>
    </row>
    <row r="191" spans="1:3" x14ac:dyDescent="0.2">
      <c r="A191" s="2">
        <v>189</v>
      </c>
      <c r="B191" s="2">
        <f t="shared" ca="1" si="2"/>
        <v>0.49459798444012992</v>
      </c>
      <c r="C191" s="2" t="s">
        <v>227</v>
      </c>
    </row>
    <row r="192" spans="1:3" x14ac:dyDescent="0.2">
      <c r="A192" s="2">
        <v>190</v>
      </c>
      <c r="B192" s="2">
        <f t="shared" ca="1" si="2"/>
        <v>0.48929452705807702</v>
      </c>
      <c r="C192" s="2" t="s">
        <v>226</v>
      </c>
    </row>
    <row r="193" spans="1:3" x14ac:dyDescent="0.2">
      <c r="A193" s="2">
        <v>191</v>
      </c>
      <c r="B193" s="2">
        <f t="shared" ca="1" si="2"/>
        <v>0.72778372164279337</v>
      </c>
      <c r="C193" s="2" t="s">
        <v>227</v>
      </c>
    </row>
    <row r="194" spans="1:3" x14ac:dyDescent="0.2">
      <c r="A194" s="2">
        <v>192</v>
      </c>
      <c r="B194" s="2">
        <f t="shared" ca="1" si="2"/>
        <v>0.82504273629207492</v>
      </c>
      <c r="C194" s="2" t="s">
        <v>226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0.643778322961995</v>
      </c>
      <c r="C195" s="2" t="s">
        <v>227</v>
      </c>
    </row>
    <row r="196" spans="1:3" x14ac:dyDescent="0.2">
      <c r="A196" s="2">
        <v>194</v>
      </c>
      <c r="B196" s="2">
        <f t="shared" ca="1" si="3"/>
        <v>0.82717852416389004</v>
      </c>
      <c r="C196" s="2" t="s">
        <v>226</v>
      </c>
    </row>
    <row r="197" spans="1:3" x14ac:dyDescent="0.2">
      <c r="A197" s="2">
        <v>195</v>
      </c>
      <c r="B197" s="2">
        <f t="shared" ca="1" si="3"/>
        <v>0.55251557775095361</v>
      </c>
      <c r="C197" s="2" t="s">
        <v>226</v>
      </c>
    </row>
    <row r="198" spans="1:3" x14ac:dyDescent="0.2">
      <c r="A198" s="2">
        <v>196</v>
      </c>
      <c r="B198" s="2">
        <f t="shared" ca="1" si="3"/>
        <v>0.511042660119573</v>
      </c>
      <c r="C198" s="2" t="s">
        <v>227</v>
      </c>
    </row>
    <row r="199" spans="1:3" x14ac:dyDescent="0.2">
      <c r="A199" s="2">
        <v>197</v>
      </c>
      <c r="B199" s="2">
        <f t="shared" ca="1" si="3"/>
        <v>0.59919417656595031</v>
      </c>
      <c r="C199" s="2" t="s">
        <v>226</v>
      </c>
    </row>
    <row r="200" spans="1:3" x14ac:dyDescent="0.2">
      <c r="A200" s="2">
        <v>198</v>
      </c>
      <c r="B200" s="2">
        <f t="shared" ca="1" si="3"/>
        <v>0.47540133074485014</v>
      </c>
      <c r="C200" s="2" t="s">
        <v>227</v>
      </c>
    </row>
    <row r="201" spans="1:3" x14ac:dyDescent="0.2">
      <c r="A201" s="2">
        <v>199</v>
      </c>
      <c r="B201" s="2">
        <f t="shared" ca="1" si="3"/>
        <v>0.55794034632361589</v>
      </c>
      <c r="C201" s="2" t="s">
        <v>226</v>
      </c>
    </row>
    <row r="202" spans="1:3" x14ac:dyDescent="0.2">
      <c r="A202" s="2">
        <v>200</v>
      </c>
      <c r="B202" s="2">
        <f t="shared" ca="1" si="3"/>
        <v>0.82163483435424678</v>
      </c>
      <c r="C202" s="2" t="s">
        <v>227</v>
      </c>
    </row>
    <row r="203" spans="1:3" x14ac:dyDescent="0.2">
      <c r="A203" s="2">
        <v>201</v>
      </c>
      <c r="B203" s="2">
        <f t="shared" ca="1" si="3"/>
        <v>0.75851847113311355</v>
      </c>
      <c r="C203" s="2" t="s">
        <v>226</v>
      </c>
    </row>
    <row r="204" spans="1:3" x14ac:dyDescent="0.2">
      <c r="A204" s="2">
        <v>202</v>
      </c>
      <c r="B204" s="2">
        <f t="shared" ca="1" si="3"/>
        <v>0.93221944315320104</v>
      </c>
      <c r="C204" s="2" t="s">
        <v>227</v>
      </c>
    </row>
    <row r="205" spans="1:3" x14ac:dyDescent="0.2">
      <c r="A205" s="2">
        <v>203</v>
      </c>
      <c r="B205" s="2">
        <f t="shared" ca="1" si="3"/>
        <v>0.44716167179537214</v>
      </c>
      <c r="C205" s="2" t="s">
        <v>226</v>
      </c>
    </row>
    <row r="206" spans="1:3" x14ac:dyDescent="0.2">
      <c r="A206" s="2">
        <v>204</v>
      </c>
      <c r="B206" s="2">
        <f t="shared" ca="1" si="3"/>
        <v>0.48146148488057511</v>
      </c>
      <c r="C206" s="2" t="s">
        <v>226</v>
      </c>
    </row>
    <row r="207" spans="1:3" x14ac:dyDescent="0.2">
      <c r="A207" s="2">
        <v>205</v>
      </c>
      <c r="B207" s="2">
        <f t="shared" ca="1" si="3"/>
        <v>0.69142393527467139</v>
      </c>
      <c r="C207" s="2" t="s">
        <v>226</v>
      </c>
    </row>
    <row r="208" spans="1:3" x14ac:dyDescent="0.2">
      <c r="A208" s="2">
        <v>206</v>
      </c>
      <c r="B208" s="2">
        <f t="shared" ca="1" si="3"/>
        <v>0.66142248669972248</v>
      </c>
      <c r="C208" s="2" t="s">
        <v>227</v>
      </c>
    </row>
    <row r="209" spans="1:3" x14ac:dyDescent="0.2">
      <c r="A209" s="2">
        <v>207</v>
      </c>
      <c r="B209" s="2">
        <f t="shared" ca="1" si="3"/>
        <v>0.73136460384773883</v>
      </c>
      <c r="C209" s="2" t="s">
        <v>227</v>
      </c>
    </row>
    <row r="210" spans="1:3" x14ac:dyDescent="0.2">
      <c r="A210" s="2">
        <v>208</v>
      </c>
      <c r="B210" s="2">
        <f t="shared" ca="1" si="3"/>
        <v>0.63098621720034764</v>
      </c>
      <c r="C210" s="2" t="s">
        <v>227</v>
      </c>
    </row>
    <row r="211" spans="1:3" x14ac:dyDescent="0.2">
      <c r="A211" s="2">
        <v>209</v>
      </c>
      <c r="B211" s="2">
        <f t="shared" ca="1" si="3"/>
        <v>0.9028692340804686</v>
      </c>
      <c r="C211" s="2" t="s">
        <v>226</v>
      </c>
    </row>
    <row r="212" spans="1:3" x14ac:dyDescent="0.2">
      <c r="A212" s="2">
        <v>210</v>
      </c>
      <c r="B212" s="2">
        <f t="shared" ca="1" si="3"/>
        <v>0.80144902591623124</v>
      </c>
      <c r="C212" s="2" t="s">
        <v>226</v>
      </c>
    </row>
    <row r="213" spans="1:3" x14ac:dyDescent="0.2">
      <c r="A213" s="2">
        <v>211</v>
      </c>
      <c r="B213" s="2">
        <f t="shared" ca="1" si="3"/>
        <v>0.45720300646353529</v>
      </c>
      <c r="C213" s="2" t="s">
        <v>226</v>
      </c>
    </row>
    <row r="214" spans="1:3" x14ac:dyDescent="0.2">
      <c r="A214" s="2">
        <v>212</v>
      </c>
      <c r="B214" s="2">
        <f t="shared" ca="1" si="3"/>
        <v>0.73639249488603453</v>
      </c>
      <c r="C214" s="2" t="s">
        <v>226</v>
      </c>
    </row>
    <row r="215" spans="1:3" x14ac:dyDescent="0.2">
      <c r="A215" s="2">
        <v>213</v>
      </c>
      <c r="B215" s="2">
        <f t="shared" ca="1" si="3"/>
        <v>0.46333378844678363</v>
      </c>
      <c r="C215" s="2" t="s">
        <v>226</v>
      </c>
    </row>
    <row r="216" spans="1:3" x14ac:dyDescent="0.2">
      <c r="A216" s="2">
        <v>214</v>
      </c>
      <c r="B216" s="2">
        <f t="shared" ca="1" si="3"/>
        <v>0.64841226904152061</v>
      </c>
      <c r="C216" s="2" t="s">
        <v>226</v>
      </c>
    </row>
    <row r="217" spans="1:3" x14ac:dyDescent="0.2">
      <c r="A217" s="2">
        <v>215</v>
      </c>
      <c r="B217" s="2">
        <f t="shared" ca="1" si="3"/>
        <v>0.62540263946035501</v>
      </c>
      <c r="C217" s="2" t="s">
        <v>227</v>
      </c>
    </row>
    <row r="218" spans="1:3" x14ac:dyDescent="0.2">
      <c r="A218" s="2">
        <v>216</v>
      </c>
      <c r="B218" s="2">
        <f t="shared" ca="1" si="3"/>
        <v>0.68424234101367176</v>
      </c>
      <c r="C218" s="2" t="s">
        <v>227</v>
      </c>
    </row>
    <row r="219" spans="1:3" x14ac:dyDescent="0.2">
      <c r="A219" s="2">
        <v>217</v>
      </c>
      <c r="B219" s="2">
        <f t="shared" ca="1" si="3"/>
        <v>0.58251763421560232</v>
      </c>
      <c r="C219" s="2" t="s">
        <v>227</v>
      </c>
    </row>
    <row r="220" spans="1:3" x14ac:dyDescent="0.2">
      <c r="A220" s="2">
        <v>218</v>
      </c>
      <c r="B220" s="2">
        <f t="shared" ca="1" si="3"/>
        <v>0.42133992596367686</v>
      </c>
      <c r="C220" s="2" t="s">
        <v>226</v>
      </c>
    </row>
    <row r="221" spans="1:3" x14ac:dyDescent="0.2">
      <c r="A221" s="2">
        <v>219</v>
      </c>
      <c r="B221" s="2">
        <f t="shared" ca="1" si="3"/>
        <v>0.85030465110515452</v>
      </c>
      <c r="C221" s="2" t="s">
        <v>227</v>
      </c>
    </row>
    <row r="222" spans="1:3" x14ac:dyDescent="0.2">
      <c r="A222" s="2">
        <v>220</v>
      </c>
      <c r="B222" s="2">
        <f t="shared" ca="1" si="3"/>
        <v>0.71902897412746125</v>
      </c>
      <c r="C222" s="2" t="s">
        <v>226</v>
      </c>
    </row>
    <row r="223" spans="1:3" x14ac:dyDescent="0.2">
      <c r="A223" s="2">
        <v>221</v>
      </c>
      <c r="B223" s="2">
        <f t="shared" ca="1" si="3"/>
        <v>0.69203811762718059</v>
      </c>
      <c r="C223" s="2" t="s">
        <v>227</v>
      </c>
    </row>
    <row r="224" spans="1:3" x14ac:dyDescent="0.2">
      <c r="A224" s="2">
        <v>222</v>
      </c>
      <c r="B224" s="2">
        <f t="shared" ca="1" si="3"/>
        <v>0.64637401678021089</v>
      </c>
      <c r="C224" s="2" t="s">
        <v>227</v>
      </c>
    </row>
    <row r="225" spans="1:3" x14ac:dyDescent="0.2">
      <c r="A225" s="2">
        <v>223</v>
      </c>
      <c r="B225" s="2">
        <f t="shared" ca="1" si="3"/>
        <v>0.44578888620443829</v>
      </c>
      <c r="C225" s="2" t="s">
        <v>226</v>
      </c>
    </row>
    <row r="226" spans="1:3" x14ac:dyDescent="0.2">
      <c r="A226" s="2">
        <v>224</v>
      </c>
      <c r="B226" s="2">
        <f t="shared" ca="1" si="3"/>
        <v>0.48183886887199157</v>
      </c>
      <c r="C226" s="2" t="s">
        <v>226</v>
      </c>
    </row>
    <row r="227" spans="1:3" x14ac:dyDescent="0.2">
      <c r="A227" s="2">
        <v>225</v>
      </c>
      <c r="B227" s="2">
        <f t="shared" ca="1" si="3"/>
        <v>0.93209346713816299</v>
      </c>
      <c r="C227" s="2" t="s">
        <v>227</v>
      </c>
    </row>
    <row r="228" spans="1:3" x14ac:dyDescent="0.2">
      <c r="A228" s="2">
        <v>226</v>
      </c>
      <c r="B228" s="2">
        <f t="shared" ca="1" si="3"/>
        <v>0.70476269214285125</v>
      </c>
      <c r="C228" s="2" t="s">
        <v>226</v>
      </c>
    </row>
    <row r="229" spans="1:3" x14ac:dyDescent="0.2">
      <c r="A229" s="2">
        <v>227</v>
      </c>
      <c r="B229" s="2">
        <f t="shared" ca="1" si="3"/>
        <v>0.51571653953563856</v>
      </c>
      <c r="C229" s="2" t="s">
        <v>226</v>
      </c>
    </row>
    <row r="230" spans="1:3" x14ac:dyDescent="0.2">
      <c r="A230" s="2">
        <v>228</v>
      </c>
      <c r="B230" s="2">
        <f t="shared" ca="1" si="3"/>
        <v>0.391466782898377</v>
      </c>
      <c r="C230" s="2" t="s">
        <v>226</v>
      </c>
    </row>
    <row r="231" spans="1:3" x14ac:dyDescent="0.2">
      <c r="A231" s="2">
        <v>229</v>
      </c>
      <c r="B231" s="2">
        <f t="shared" ca="1" si="3"/>
        <v>0.63414137868644582</v>
      </c>
      <c r="C231" s="2" t="s">
        <v>226</v>
      </c>
    </row>
    <row r="232" spans="1:3" x14ac:dyDescent="0.2">
      <c r="A232" s="2">
        <v>230</v>
      </c>
      <c r="B232" s="2">
        <f t="shared" ca="1" si="3"/>
        <v>0.79941909259592769</v>
      </c>
      <c r="C232" s="2" t="s">
        <v>227</v>
      </c>
    </row>
    <row r="233" spans="1:3" x14ac:dyDescent="0.2">
      <c r="A233" s="2">
        <v>231</v>
      </c>
      <c r="B233" s="2">
        <f t="shared" ca="1" si="3"/>
        <v>0.67837309466935547</v>
      </c>
      <c r="C233" s="2" t="s">
        <v>227</v>
      </c>
    </row>
    <row r="234" spans="1:3" x14ac:dyDescent="0.2">
      <c r="A234" s="2">
        <v>232</v>
      </c>
      <c r="B234" s="2">
        <f t="shared" ca="1" si="3"/>
        <v>0.65488136461804536</v>
      </c>
      <c r="C234" s="2" t="s">
        <v>226</v>
      </c>
    </row>
    <row r="235" spans="1:3" x14ac:dyDescent="0.2">
      <c r="A235" s="2">
        <v>233</v>
      </c>
      <c r="B235" s="2">
        <f t="shared" ca="1" si="3"/>
        <v>0.47622288327339668</v>
      </c>
      <c r="C235" s="2" t="s">
        <v>226</v>
      </c>
    </row>
    <row r="236" spans="1:3" x14ac:dyDescent="0.2">
      <c r="A236" s="2">
        <v>234</v>
      </c>
      <c r="B236" s="2">
        <f t="shared" ca="1" si="3"/>
        <v>0.66450653510251745</v>
      </c>
      <c r="C236" s="2" t="s">
        <v>227</v>
      </c>
    </row>
    <row r="237" spans="1:3" x14ac:dyDescent="0.2">
      <c r="A237" s="2">
        <v>235</v>
      </c>
      <c r="B237" s="2">
        <f t="shared" ca="1" si="3"/>
        <v>0.62956990745997354</v>
      </c>
      <c r="C237" s="2" t="s">
        <v>226</v>
      </c>
    </row>
    <row r="238" spans="1:3" x14ac:dyDescent="0.2">
      <c r="A238" s="2">
        <v>236</v>
      </c>
      <c r="B238" s="2">
        <f t="shared" ca="1" si="3"/>
        <v>0.75230275447919315</v>
      </c>
      <c r="C238" s="2" t="s">
        <v>227</v>
      </c>
    </row>
    <row r="239" spans="1:3" x14ac:dyDescent="0.2">
      <c r="A239" s="2">
        <v>237</v>
      </c>
      <c r="B239" s="2">
        <f t="shared" ca="1" si="3"/>
        <v>0.6382585871277765</v>
      </c>
      <c r="C239" s="2" t="s">
        <v>226</v>
      </c>
    </row>
    <row r="240" spans="1:3" x14ac:dyDescent="0.2">
      <c r="A240" s="2">
        <v>238</v>
      </c>
      <c r="B240" s="2">
        <f t="shared" ca="1" si="3"/>
        <v>0.9297272047181373</v>
      </c>
      <c r="C240" s="2" t="s">
        <v>227</v>
      </c>
    </row>
    <row r="241" spans="1:3" x14ac:dyDescent="0.2">
      <c r="A241" s="2">
        <v>239</v>
      </c>
      <c r="B241" s="2">
        <f t="shared" ca="1" si="3"/>
        <v>0.57909933356892418</v>
      </c>
      <c r="C241" s="2" t="s">
        <v>226</v>
      </c>
    </row>
    <row r="242" spans="1:3" x14ac:dyDescent="0.2">
      <c r="A242" s="2">
        <v>240</v>
      </c>
      <c r="B242" s="2">
        <f t="shared" ca="1" si="3"/>
        <v>0.76969250889818042</v>
      </c>
      <c r="C242" s="2" t="s">
        <v>226</v>
      </c>
    </row>
    <row r="243" spans="1:3" x14ac:dyDescent="0.2">
      <c r="A243" s="2">
        <v>241</v>
      </c>
      <c r="B243" s="2">
        <f t="shared" ca="1" si="3"/>
        <v>0.55623737551715668</v>
      </c>
      <c r="C243" s="2" t="s">
        <v>227</v>
      </c>
    </row>
    <row r="244" spans="1:3" x14ac:dyDescent="0.2">
      <c r="A244" s="2">
        <v>242</v>
      </c>
      <c r="B244" s="2">
        <f t="shared" ca="1" si="3"/>
        <v>0.80109365697405488</v>
      </c>
      <c r="C244" s="2" t="s">
        <v>227</v>
      </c>
    </row>
    <row r="245" spans="1:3" x14ac:dyDescent="0.2">
      <c r="A245" s="2">
        <v>243</v>
      </c>
      <c r="B245" s="2">
        <f t="shared" ca="1" si="3"/>
        <v>0.5855127973604769</v>
      </c>
      <c r="C245" s="2" t="s">
        <v>227</v>
      </c>
    </row>
    <row r="246" spans="1:3" x14ac:dyDescent="0.2">
      <c r="A246" s="2">
        <v>244</v>
      </c>
      <c r="B246" s="2">
        <f t="shared" ca="1" si="3"/>
        <v>0.52521935550137921</v>
      </c>
      <c r="C246" s="2" t="s">
        <v>226</v>
      </c>
    </row>
    <row r="247" spans="1:3" x14ac:dyDescent="0.2">
      <c r="A247" s="2">
        <v>245</v>
      </c>
      <c r="B247" s="2">
        <f t="shared" ca="1" si="3"/>
        <v>0.65383692970696672</v>
      </c>
      <c r="C247" s="2" t="s">
        <v>227</v>
      </c>
    </row>
    <row r="248" spans="1:3" x14ac:dyDescent="0.2">
      <c r="A248" s="2">
        <v>246</v>
      </c>
      <c r="B248" s="2">
        <f t="shared" ca="1" si="3"/>
        <v>0.88923594841252107</v>
      </c>
      <c r="C248" s="2" t="s">
        <v>227</v>
      </c>
    </row>
    <row r="249" spans="1:3" x14ac:dyDescent="0.2">
      <c r="A249" s="2">
        <v>247</v>
      </c>
      <c r="B249" s="2">
        <f t="shared" ca="1" si="3"/>
        <v>0.58059791900979241</v>
      </c>
      <c r="C249" s="2" t="s">
        <v>226</v>
      </c>
    </row>
    <row r="250" spans="1:3" x14ac:dyDescent="0.2">
      <c r="A250" s="2">
        <v>248</v>
      </c>
      <c r="B250" s="2">
        <f t="shared" ca="1" si="3"/>
        <v>0.92138488543507624</v>
      </c>
      <c r="C250" s="2" t="s">
        <v>227</v>
      </c>
    </row>
    <row r="251" spans="1:3" x14ac:dyDescent="0.2">
      <c r="A251" s="2">
        <v>249</v>
      </c>
      <c r="B251" s="2">
        <f t="shared" ca="1" si="3"/>
        <v>0.25776410036414105</v>
      </c>
      <c r="C251" s="2" t="s">
        <v>226</v>
      </c>
    </row>
    <row r="252" spans="1:3" x14ac:dyDescent="0.2">
      <c r="A252" s="2">
        <v>250</v>
      </c>
      <c r="B252" s="2">
        <f t="shared" ca="1" si="3"/>
        <v>0.89198363432881322</v>
      </c>
      <c r="C252" s="2" t="s">
        <v>227</v>
      </c>
    </row>
    <row r="253" spans="1:3" x14ac:dyDescent="0.2">
      <c r="A253" s="2">
        <v>251</v>
      </c>
      <c r="B253" s="2">
        <f t="shared" ca="1" si="3"/>
        <v>0.39433192778654225</v>
      </c>
      <c r="C253" s="2" t="s">
        <v>226</v>
      </c>
    </row>
    <row r="254" spans="1:3" x14ac:dyDescent="0.2">
      <c r="A254" s="2">
        <v>252</v>
      </c>
      <c r="B254" s="2">
        <f t="shared" ca="1" si="3"/>
        <v>0.6777421963840724</v>
      </c>
      <c r="C254" s="2" t="s">
        <v>227</v>
      </c>
    </row>
    <row r="255" spans="1:3" x14ac:dyDescent="0.2">
      <c r="A255" s="2">
        <v>253</v>
      </c>
      <c r="B255" s="2">
        <f t="shared" ca="1" si="3"/>
        <v>0.78633065516715717</v>
      </c>
      <c r="C255" s="2" t="s">
        <v>227</v>
      </c>
    </row>
    <row r="256" spans="1:3" x14ac:dyDescent="0.2">
      <c r="A256" s="2">
        <v>254</v>
      </c>
      <c r="B256" s="2">
        <f t="shared" ca="1" si="3"/>
        <v>0.8030628869967098</v>
      </c>
      <c r="C256" s="2" t="s">
        <v>227</v>
      </c>
    </row>
    <row r="257" spans="1:3" x14ac:dyDescent="0.2">
      <c r="A257" s="2">
        <v>255</v>
      </c>
      <c r="B257" s="2">
        <f t="shared" ca="1" si="3"/>
        <v>0.72435790831693869</v>
      </c>
      <c r="C257" s="2" t="s">
        <v>226</v>
      </c>
    </row>
    <row r="258" spans="1:3" x14ac:dyDescent="0.2">
      <c r="A258" s="2">
        <v>256</v>
      </c>
      <c r="B258" s="2">
        <f t="shared" ca="1" si="3"/>
        <v>0.67848907184678375</v>
      </c>
      <c r="C258" s="2" t="s">
        <v>226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0.76133182379735276</v>
      </c>
      <c r="C259" s="2" t="s">
        <v>226</v>
      </c>
    </row>
    <row r="260" spans="1:3" x14ac:dyDescent="0.2">
      <c r="A260" s="2">
        <v>258</v>
      </c>
      <c r="B260" s="2">
        <f t="shared" ca="1" si="4"/>
        <v>0.57609708265663295</v>
      </c>
      <c r="C260" s="2" t="s">
        <v>226</v>
      </c>
    </row>
    <row r="261" spans="1:3" x14ac:dyDescent="0.2">
      <c r="A261" s="2">
        <v>259</v>
      </c>
      <c r="B261" s="2">
        <f t="shared" ca="1" si="4"/>
        <v>0.32145267220855317</v>
      </c>
      <c r="C261" s="2" t="s">
        <v>226</v>
      </c>
    </row>
    <row r="262" spans="1:3" x14ac:dyDescent="0.2">
      <c r="A262" s="2">
        <v>260</v>
      </c>
      <c r="B262" s="2">
        <f t="shared" ca="1" si="4"/>
        <v>0.67346738097546122</v>
      </c>
      <c r="C262" s="2" t="s">
        <v>227</v>
      </c>
    </row>
    <row r="263" spans="1:3" x14ac:dyDescent="0.2">
      <c r="A263" s="2">
        <v>261</v>
      </c>
      <c r="B263" s="2">
        <f t="shared" ca="1" si="4"/>
        <v>0.72794309757093967</v>
      </c>
      <c r="C263" s="2" t="s">
        <v>227</v>
      </c>
    </row>
    <row r="264" spans="1:3" x14ac:dyDescent="0.2">
      <c r="A264" s="2">
        <v>262</v>
      </c>
      <c r="B264" s="2">
        <f t="shared" ca="1" si="4"/>
        <v>0.62954472817765483</v>
      </c>
      <c r="C264" s="2" t="s">
        <v>227</v>
      </c>
    </row>
    <row r="265" spans="1:3" x14ac:dyDescent="0.2">
      <c r="A265" s="2">
        <v>263</v>
      </c>
      <c r="B265" s="2">
        <f t="shared" ca="1" si="4"/>
        <v>0.54191244573659647</v>
      </c>
      <c r="C265" s="2" t="s">
        <v>227</v>
      </c>
    </row>
    <row r="266" spans="1:3" x14ac:dyDescent="0.2">
      <c r="A266" s="2">
        <v>264</v>
      </c>
      <c r="B266" s="2">
        <f t="shared" ca="1" si="4"/>
        <v>0.65404398374539019</v>
      </c>
      <c r="C266" s="2" t="s">
        <v>226</v>
      </c>
    </row>
    <row r="267" spans="1:3" x14ac:dyDescent="0.2">
      <c r="A267" s="2">
        <v>265</v>
      </c>
      <c r="B267" s="2">
        <f t="shared" ca="1" si="4"/>
        <v>0.83109051160302316</v>
      </c>
      <c r="C267" s="2" t="s">
        <v>227</v>
      </c>
    </row>
    <row r="268" spans="1:3" x14ac:dyDescent="0.2">
      <c r="A268" s="2">
        <v>266</v>
      </c>
      <c r="B268" s="2">
        <f t="shared" ca="1" si="4"/>
        <v>0.58244045342484863</v>
      </c>
      <c r="C268" s="2" t="s">
        <v>227</v>
      </c>
    </row>
    <row r="269" spans="1:3" x14ac:dyDescent="0.2">
      <c r="A269" s="2">
        <v>267</v>
      </c>
      <c r="B269" s="2">
        <f t="shared" ca="1" si="4"/>
        <v>0.57668232458723834</v>
      </c>
      <c r="C269" s="2" t="s">
        <v>226</v>
      </c>
    </row>
    <row r="270" spans="1:3" x14ac:dyDescent="0.2">
      <c r="A270" s="2">
        <v>268</v>
      </c>
      <c r="B270" s="2">
        <f t="shared" ca="1" si="4"/>
        <v>0.53299145708627249</v>
      </c>
      <c r="C270" s="2" t="s">
        <v>226</v>
      </c>
    </row>
    <row r="271" spans="1:3" x14ac:dyDescent="0.2">
      <c r="A271" s="2">
        <v>269</v>
      </c>
      <c r="B271" s="2">
        <f t="shared" ca="1" si="4"/>
        <v>0.53142776990514617</v>
      </c>
      <c r="C271" s="2" t="s">
        <v>227</v>
      </c>
    </row>
    <row r="272" spans="1:3" x14ac:dyDescent="0.2">
      <c r="A272" s="2">
        <v>270</v>
      </c>
      <c r="B272" s="2">
        <f t="shared" ca="1" si="4"/>
        <v>0.55917612376968506</v>
      </c>
      <c r="C272" s="2" t="s">
        <v>227</v>
      </c>
    </row>
    <row r="273" spans="1:3" x14ac:dyDescent="0.2">
      <c r="A273" s="2">
        <v>271</v>
      </c>
      <c r="B273" s="2">
        <f t="shared" ca="1" si="4"/>
        <v>0.5261165496771788</v>
      </c>
      <c r="C273" s="2" t="s">
        <v>226</v>
      </c>
    </row>
    <row r="274" spans="1:3" x14ac:dyDescent="0.2">
      <c r="A274" s="2">
        <v>272</v>
      </c>
      <c r="B274" s="2">
        <f t="shared" ca="1" si="4"/>
        <v>0.49994098516216723</v>
      </c>
      <c r="C274" s="2" t="s">
        <v>226</v>
      </c>
    </row>
    <row r="275" spans="1:3" x14ac:dyDescent="0.2">
      <c r="A275" s="2">
        <v>273</v>
      </c>
      <c r="B275" s="2">
        <f t="shared" ca="1" si="4"/>
        <v>0.67641656167177877</v>
      </c>
      <c r="C275" s="2" t="s">
        <v>227</v>
      </c>
    </row>
    <row r="276" spans="1:3" x14ac:dyDescent="0.2">
      <c r="A276" s="2">
        <v>274</v>
      </c>
      <c r="B276" s="2">
        <f t="shared" ca="1" si="4"/>
        <v>0.72276981105810445</v>
      </c>
      <c r="C276" s="2" t="s">
        <v>226</v>
      </c>
    </row>
    <row r="277" spans="1:3" x14ac:dyDescent="0.2">
      <c r="A277" s="2">
        <v>275</v>
      </c>
      <c r="B277" s="2">
        <f t="shared" ca="1" si="4"/>
        <v>0.47523213154455735</v>
      </c>
      <c r="C277" s="2" t="s">
        <v>226</v>
      </c>
    </row>
    <row r="278" spans="1:3" x14ac:dyDescent="0.2">
      <c r="A278" s="2">
        <v>276</v>
      </c>
      <c r="B278" s="2">
        <f t="shared" ca="1" si="4"/>
        <v>0.58914006077423209</v>
      </c>
      <c r="C278" s="2" t="s">
        <v>227</v>
      </c>
    </row>
    <row r="279" spans="1:3" x14ac:dyDescent="0.2">
      <c r="A279" s="2">
        <v>277</v>
      </c>
      <c r="B279" s="2">
        <f t="shared" ca="1" si="4"/>
        <v>0.71911355486766571</v>
      </c>
      <c r="C279" s="2" t="s">
        <v>227</v>
      </c>
    </row>
    <row r="280" spans="1:3" x14ac:dyDescent="0.2">
      <c r="A280" s="2">
        <v>278</v>
      </c>
      <c r="B280" s="2">
        <f t="shared" ca="1" si="4"/>
        <v>0.3267511966189422</v>
      </c>
      <c r="C280" s="2" t="s">
        <v>226</v>
      </c>
    </row>
    <row r="281" spans="1:3" x14ac:dyDescent="0.2">
      <c r="A281" s="2">
        <v>279</v>
      </c>
      <c r="B281" s="2">
        <f t="shared" ca="1" si="4"/>
        <v>0.5188410654970439</v>
      </c>
      <c r="C281" s="2" t="s">
        <v>226</v>
      </c>
    </row>
    <row r="282" spans="1:3" x14ac:dyDescent="0.2">
      <c r="A282" s="2">
        <v>280</v>
      </c>
      <c r="B282" s="2">
        <f t="shared" ca="1" si="4"/>
        <v>0.60651536471350176</v>
      </c>
      <c r="C282" s="2" t="s">
        <v>226</v>
      </c>
    </row>
    <row r="283" spans="1:3" x14ac:dyDescent="0.2">
      <c r="A283" s="2">
        <v>281</v>
      </c>
      <c r="B283" s="2">
        <f t="shared" ca="1" si="4"/>
        <v>0.52751486151895599</v>
      </c>
      <c r="C283" s="2" t="s">
        <v>226</v>
      </c>
    </row>
    <row r="284" spans="1:3" x14ac:dyDescent="0.2">
      <c r="A284" s="2">
        <v>282</v>
      </c>
      <c r="B284" s="2">
        <f t="shared" ca="1" si="4"/>
        <v>0.81366112819608194</v>
      </c>
      <c r="C284" s="2" t="s">
        <v>227</v>
      </c>
    </row>
    <row r="285" spans="1:3" x14ac:dyDescent="0.2">
      <c r="A285" s="2">
        <v>283</v>
      </c>
      <c r="B285" s="2">
        <f t="shared" ca="1" si="4"/>
        <v>0.58823246675779894</v>
      </c>
      <c r="C285" s="2" t="s">
        <v>227</v>
      </c>
    </row>
    <row r="286" spans="1:3" x14ac:dyDescent="0.2">
      <c r="A286" s="2">
        <v>284</v>
      </c>
      <c r="B286" s="2">
        <f t="shared" ca="1" si="4"/>
        <v>0.77760715705286232</v>
      </c>
      <c r="C286" s="2" t="s">
        <v>227</v>
      </c>
    </row>
    <row r="287" spans="1:3" x14ac:dyDescent="0.2">
      <c r="A287" s="2">
        <v>285</v>
      </c>
      <c r="B287" s="2">
        <f t="shared" ca="1" si="4"/>
        <v>0.55859676417037352</v>
      </c>
      <c r="C287" s="2" t="s">
        <v>226</v>
      </c>
    </row>
    <row r="288" spans="1:3" x14ac:dyDescent="0.2">
      <c r="A288" s="2">
        <v>286</v>
      </c>
      <c r="B288" s="2">
        <f t="shared" ca="1" si="4"/>
        <v>0.59713537182864274</v>
      </c>
      <c r="C288" s="2" t="s">
        <v>227</v>
      </c>
    </row>
    <row r="289" spans="1:3" x14ac:dyDescent="0.2">
      <c r="A289" s="2">
        <v>287</v>
      </c>
      <c r="B289" s="2">
        <f t="shared" ca="1" si="4"/>
        <v>0.73231389475350495</v>
      </c>
      <c r="C289" s="2" t="s">
        <v>227</v>
      </c>
    </row>
    <row r="290" spans="1:3" x14ac:dyDescent="0.2">
      <c r="A290" s="2">
        <v>288</v>
      </c>
      <c r="B290" s="2">
        <f t="shared" ca="1" si="4"/>
        <v>0.6852597349074333</v>
      </c>
      <c r="C290" s="2" t="s">
        <v>227</v>
      </c>
    </row>
    <row r="291" spans="1:3" x14ac:dyDescent="0.2">
      <c r="A291" s="2">
        <v>289</v>
      </c>
      <c r="B291" s="2">
        <f t="shared" ca="1" si="4"/>
        <v>0.67223570773348951</v>
      </c>
      <c r="C291" s="2" t="s">
        <v>227</v>
      </c>
    </row>
    <row r="292" spans="1:3" x14ac:dyDescent="0.2">
      <c r="A292" s="2">
        <v>290</v>
      </c>
      <c r="B292" s="2">
        <f t="shared" ca="1" si="4"/>
        <v>0.38655972470853417</v>
      </c>
      <c r="C292" s="2" t="s">
        <v>226</v>
      </c>
    </row>
    <row r="293" spans="1:3" x14ac:dyDescent="0.2">
      <c r="A293" s="2">
        <v>291</v>
      </c>
      <c r="B293" s="2">
        <f t="shared" ca="1" si="4"/>
        <v>0.68479057372718399</v>
      </c>
      <c r="C293" s="2" t="s">
        <v>227</v>
      </c>
    </row>
    <row r="294" spans="1:3" x14ac:dyDescent="0.2">
      <c r="A294" s="2">
        <v>292</v>
      </c>
      <c r="B294" s="2">
        <f t="shared" ca="1" si="4"/>
        <v>0.63313357302075457</v>
      </c>
      <c r="C294" s="2" t="s">
        <v>226</v>
      </c>
    </row>
    <row r="295" spans="1:3" x14ac:dyDescent="0.2">
      <c r="A295" s="2">
        <v>293</v>
      </c>
      <c r="B295" s="2">
        <f t="shared" ca="1" si="4"/>
        <v>0.61072934445503113</v>
      </c>
      <c r="C295" s="2" t="s">
        <v>227</v>
      </c>
    </row>
    <row r="296" spans="1:3" x14ac:dyDescent="0.2">
      <c r="A296" s="2">
        <v>294</v>
      </c>
      <c r="B296" s="2">
        <f t="shared" ca="1" si="4"/>
        <v>0.78069167030603615</v>
      </c>
      <c r="C296" s="2" t="s">
        <v>226</v>
      </c>
    </row>
    <row r="297" spans="1:3" x14ac:dyDescent="0.2">
      <c r="A297" s="2">
        <v>295</v>
      </c>
      <c r="B297" s="2">
        <f t="shared" ca="1" si="4"/>
        <v>0.56324898708415905</v>
      </c>
      <c r="C297" s="2" t="s">
        <v>226</v>
      </c>
    </row>
    <row r="298" spans="1:3" x14ac:dyDescent="0.2">
      <c r="A298" s="2">
        <v>296</v>
      </c>
      <c r="B298" s="2">
        <f t="shared" ca="1" si="4"/>
        <v>0.71595630019259504</v>
      </c>
      <c r="C298" s="2" t="s">
        <v>227</v>
      </c>
    </row>
    <row r="299" spans="1:3" x14ac:dyDescent="0.2">
      <c r="A299" s="2">
        <v>297</v>
      </c>
      <c r="B299" s="2">
        <f t="shared" ca="1" si="4"/>
        <v>0.62397531752612412</v>
      </c>
      <c r="C299" s="2" t="s">
        <v>227</v>
      </c>
    </row>
    <row r="300" spans="1:3" x14ac:dyDescent="0.2">
      <c r="A300" s="2">
        <v>298</v>
      </c>
      <c r="B300" s="2">
        <f t="shared" ca="1" si="4"/>
        <v>0.69771833031109587</v>
      </c>
      <c r="C300" s="2" t="s">
        <v>226</v>
      </c>
    </row>
    <row r="301" spans="1:3" x14ac:dyDescent="0.2">
      <c r="A301" s="2">
        <v>299</v>
      </c>
      <c r="B301" s="2">
        <f t="shared" ca="1" si="4"/>
        <v>0.72835257381141394</v>
      </c>
      <c r="C301" s="2" t="s">
        <v>227</v>
      </c>
    </row>
    <row r="302" spans="1:3" x14ac:dyDescent="0.2">
      <c r="A302" s="2">
        <v>300</v>
      </c>
      <c r="B302" s="2">
        <f t="shared" ca="1" si="4"/>
        <v>0.64541913651381921</v>
      </c>
      <c r="C302" s="2" t="s">
        <v>227</v>
      </c>
    </row>
    <row r="303" spans="1:3" x14ac:dyDescent="0.2">
      <c r="A303" s="2">
        <v>301</v>
      </c>
      <c r="B303" s="2">
        <f t="shared" ca="1" si="4"/>
        <v>0.61241419134912722</v>
      </c>
      <c r="C303" s="2" t="s">
        <v>227</v>
      </c>
    </row>
    <row r="304" spans="1:3" x14ac:dyDescent="0.2">
      <c r="A304" s="2">
        <v>302</v>
      </c>
      <c r="B304" s="2">
        <f t="shared" ca="1" si="4"/>
        <v>0.62468191173817933</v>
      </c>
      <c r="C304" s="2" t="s">
        <v>227</v>
      </c>
    </row>
    <row r="305" spans="1:3" x14ac:dyDescent="0.2">
      <c r="A305" s="2">
        <v>303</v>
      </c>
      <c r="B305" s="2">
        <f t="shared" ca="1" si="4"/>
        <v>0.79583467949743192</v>
      </c>
      <c r="C305" s="2" t="s">
        <v>227</v>
      </c>
    </row>
    <row r="306" spans="1:3" x14ac:dyDescent="0.2">
      <c r="A306" s="2">
        <v>304</v>
      </c>
      <c r="B306" s="2">
        <f t="shared" ca="1" si="4"/>
        <v>0.72268046031166566</v>
      </c>
      <c r="C306" s="2" t="s">
        <v>227</v>
      </c>
    </row>
    <row r="307" spans="1:3" x14ac:dyDescent="0.2">
      <c r="A307" s="2">
        <v>305</v>
      </c>
      <c r="B307" s="2">
        <f t="shared" ca="1" si="4"/>
        <v>0.5662432657887766</v>
      </c>
      <c r="C307" s="2" t="s">
        <v>226</v>
      </c>
    </row>
    <row r="308" spans="1:3" x14ac:dyDescent="0.2">
      <c r="A308" s="2">
        <v>306</v>
      </c>
      <c r="B308" s="2">
        <f t="shared" ca="1" si="4"/>
        <v>0.80727157738984245</v>
      </c>
      <c r="C308" s="2" t="s">
        <v>227</v>
      </c>
    </row>
    <row r="309" spans="1:3" x14ac:dyDescent="0.2">
      <c r="A309" s="2">
        <v>307</v>
      </c>
      <c r="B309" s="2">
        <f t="shared" ca="1" si="4"/>
        <v>0.62646063298943389</v>
      </c>
      <c r="C309" s="2" t="s">
        <v>226</v>
      </c>
    </row>
    <row r="310" spans="1:3" x14ac:dyDescent="0.2">
      <c r="A310" s="2">
        <v>308</v>
      </c>
      <c r="B310" s="2">
        <f t="shared" ca="1" si="4"/>
        <v>0.48155068960236908</v>
      </c>
      <c r="C310" s="2" t="s">
        <v>227</v>
      </c>
    </row>
    <row r="311" spans="1:3" x14ac:dyDescent="0.2">
      <c r="A311" s="2">
        <v>309</v>
      </c>
      <c r="B311" s="2">
        <f t="shared" ca="1" si="4"/>
        <v>0.58078325019015775</v>
      </c>
      <c r="C311" s="2" t="s">
        <v>227</v>
      </c>
    </row>
    <row r="312" spans="1:3" x14ac:dyDescent="0.2">
      <c r="A312" s="2">
        <v>310</v>
      </c>
      <c r="B312" s="2">
        <f t="shared" ca="1" si="4"/>
        <v>0.57728923438979873</v>
      </c>
      <c r="C312" s="2" t="s">
        <v>226</v>
      </c>
    </row>
    <row r="313" spans="1:3" x14ac:dyDescent="0.2">
      <c r="A313" s="2">
        <v>311</v>
      </c>
      <c r="B313" s="2">
        <f t="shared" ca="1" si="4"/>
        <v>0.80394098881140341</v>
      </c>
      <c r="C313" s="2" t="s">
        <v>227</v>
      </c>
    </row>
    <row r="314" spans="1:3" x14ac:dyDescent="0.2">
      <c r="A314" s="2">
        <v>312</v>
      </c>
      <c r="B314" s="2">
        <f t="shared" ca="1" si="4"/>
        <v>0.79615044252962008</v>
      </c>
      <c r="C314" s="2" t="s">
        <v>227</v>
      </c>
    </row>
    <row r="315" spans="1:3" x14ac:dyDescent="0.2">
      <c r="A315" s="2">
        <v>313</v>
      </c>
      <c r="B315" s="2">
        <f t="shared" ca="1" si="4"/>
        <v>0.78675995114508646</v>
      </c>
      <c r="C315" s="2" t="s">
        <v>226</v>
      </c>
    </row>
    <row r="316" spans="1:3" x14ac:dyDescent="0.2">
      <c r="A316" s="2">
        <v>314</v>
      </c>
      <c r="B316" s="2">
        <f t="shared" ca="1" si="4"/>
        <v>0.39722337550082143</v>
      </c>
      <c r="C316" s="2" t="s">
        <v>226</v>
      </c>
    </row>
    <row r="317" spans="1:3" x14ac:dyDescent="0.2">
      <c r="A317" s="2">
        <v>315</v>
      </c>
      <c r="B317" s="2">
        <f t="shared" ca="1" si="4"/>
        <v>0.76417061493377958</v>
      </c>
      <c r="C317" s="2" t="s">
        <v>227</v>
      </c>
    </row>
    <row r="318" spans="1:3" x14ac:dyDescent="0.2">
      <c r="A318" s="2">
        <v>316</v>
      </c>
      <c r="B318" s="2">
        <f t="shared" ca="1" si="4"/>
        <v>0.51446700282779467</v>
      </c>
      <c r="C318" s="2" t="s">
        <v>227</v>
      </c>
    </row>
    <row r="319" spans="1:3" x14ac:dyDescent="0.2">
      <c r="A319" s="2">
        <v>317</v>
      </c>
      <c r="B319" s="2">
        <f t="shared" ca="1" si="4"/>
        <v>0.45967688446445809</v>
      </c>
      <c r="C319" s="2" t="s">
        <v>226</v>
      </c>
    </row>
    <row r="320" spans="1:3" x14ac:dyDescent="0.2">
      <c r="A320" s="2">
        <v>318</v>
      </c>
      <c r="B320" s="2">
        <f t="shared" ca="1" si="4"/>
        <v>0.60808516617340536</v>
      </c>
      <c r="C320" s="2" t="s">
        <v>227</v>
      </c>
    </row>
    <row r="321" spans="1:3" x14ac:dyDescent="0.2">
      <c r="A321" s="2">
        <v>319</v>
      </c>
      <c r="B321" s="2">
        <f t="shared" ca="1" si="4"/>
        <v>0.62656258162659983</v>
      </c>
      <c r="C321" s="2" t="s">
        <v>226</v>
      </c>
    </row>
    <row r="322" spans="1:3" x14ac:dyDescent="0.2">
      <c r="A322" s="2">
        <v>320</v>
      </c>
      <c r="B322" s="2">
        <f t="shared" ca="1" si="4"/>
        <v>0.57071694458482558</v>
      </c>
      <c r="C322" s="2" t="s">
        <v>226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0.56493899473117748</v>
      </c>
      <c r="C323" s="2" t="s">
        <v>227</v>
      </c>
    </row>
    <row r="324" spans="1:3" x14ac:dyDescent="0.2">
      <c r="A324" s="2">
        <v>322</v>
      </c>
      <c r="B324" s="2">
        <f t="shared" ca="1" si="5"/>
        <v>0.74496698056239041</v>
      </c>
      <c r="C324" s="2" t="s">
        <v>227</v>
      </c>
    </row>
    <row r="325" spans="1:3" x14ac:dyDescent="0.2">
      <c r="A325" s="2">
        <v>323</v>
      </c>
      <c r="B325" s="2">
        <f t="shared" ca="1" si="5"/>
        <v>0.58190022695127075</v>
      </c>
      <c r="C325" s="2" t="s">
        <v>227</v>
      </c>
    </row>
    <row r="326" spans="1:3" x14ac:dyDescent="0.2">
      <c r="A326" s="2">
        <v>324</v>
      </c>
      <c r="B326" s="2">
        <f t="shared" ca="1" si="5"/>
        <v>0.41983952827527704</v>
      </c>
      <c r="C326" s="2" t="s">
        <v>226</v>
      </c>
    </row>
    <row r="327" spans="1:3" x14ac:dyDescent="0.2">
      <c r="A327" s="2">
        <v>325</v>
      </c>
      <c r="B327" s="2">
        <f t="shared" ca="1" si="5"/>
        <v>0.36570853814163207</v>
      </c>
      <c r="C327" s="2" t="s">
        <v>226</v>
      </c>
    </row>
    <row r="328" spans="1:3" x14ac:dyDescent="0.2">
      <c r="A328" s="2">
        <v>326</v>
      </c>
      <c r="B328" s="2">
        <f t="shared" ca="1" si="5"/>
        <v>0.58861529330307538</v>
      </c>
      <c r="C328" s="2" t="s">
        <v>227</v>
      </c>
    </row>
    <row r="329" spans="1:3" x14ac:dyDescent="0.2">
      <c r="A329" s="2">
        <v>327</v>
      </c>
      <c r="B329" s="2">
        <f t="shared" ca="1" si="5"/>
        <v>0.40784101581698629</v>
      </c>
      <c r="C329" s="2" t="s">
        <v>226</v>
      </c>
    </row>
    <row r="330" spans="1:3" x14ac:dyDescent="0.2">
      <c r="A330" s="2">
        <v>328</v>
      </c>
      <c r="B330" s="2">
        <f t="shared" ca="1" si="5"/>
        <v>0.61023245201836229</v>
      </c>
      <c r="C330" s="2" t="s">
        <v>226</v>
      </c>
    </row>
    <row r="331" spans="1:3" x14ac:dyDescent="0.2">
      <c r="A331" s="2">
        <v>329</v>
      </c>
      <c r="B331" s="2">
        <f t="shared" ca="1" si="5"/>
        <v>0.86669330945134193</v>
      </c>
      <c r="C331" s="2" t="s">
        <v>227</v>
      </c>
    </row>
    <row r="332" spans="1:3" x14ac:dyDescent="0.2">
      <c r="A332" s="2">
        <v>330</v>
      </c>
      <c r="B332" s="2">
        <f t="shared" ca="1" si="5"/>
        <v>0.74157893008932818</v>
      </c>
      <c r="C332" s="2" t="s">
        <v>226</v>
      </c>
    </row>
    <row r="333" spans="1:3" x14ac:dyDescent="0.2">
      <c r="A333" s="2">
        <v>331</v>
      </c>
      <c r="B333" s="2">
        <f t="shared" ca="1" si="5"/>
        <v>0.96388735234956424</v>
      </c>
      <c r="C333" s="2" t="s">
        <v>226</v>
      </c>
    </row>
    <row r="334" spans="1:3" x14ac:dyDescent="0.2">
      <c r="A334" s="2">
        <v>332</v>
      </c>
      <c r="B334" s="2">
        <f t="shared" ca="1" si="5"/>
        <v>0.73826166825351913</v>
      </c>
      <c r="C334" s="2" t="s">
        <v>227</v>
      </c>
    </row>
    <row r="335" spans="1:3" x14ac:dyDescent="0.2">
      <c r="A335" s="2">
        <v>333</v>
      </c>
      <c r="B335" s="2">
        <f t="shared" ca="1" si="5"/>
        <v>0.57763535138547517</v>
      </c>
      <c r="C335" s="2" t="s">
        <v>226</v>
      </c>
    </row>
    <row r="336" spans="1:3" x14ac:dyDescent="0.2">
      <c r="A336" s="2">
        <v>334</v>
      </c>
      <c r="B336" s="2">
        <f t="shared" ca="1" si="5"/>
        <v>0.65029829713901155</v>
      </c>
      <c r="C336" s="2" t="s">
        <v>226</v>
      </c>
    </row>
    <row r="337" spans="1:3" x14ac:dyDescent="0.2">
      <c r="A337" s="2">
        <v>335</v>
      </c>
      <c r="B337" s="2">
        <f t="shared" ca="1" si="5"/>
        <v>0.41070883435496985</v>
      </c>
      <c r="C337" s="2" t="s">
        <v>226</v>
      </c>
    </row>
    <row r="338" spans="1:3" x14ac:dyDescent="0.2">
      <c r="A338" s="2">
        <v>336</v>
      </c>
      <c r="B338" s="2">
        <f t="shared" ca="1" si="5"/>
        <v>0.84749751700705633</v>
      </c>
      <c r="C338" s="2" t="s">
        <v>227</v>
      </c>
    </row>
    <row r="339" spans="1:3" x14ac:dyDescent="0.2">
      <c r="A339" s="2">
        <v>337</v>
      </c>
      <c r="B339" s="2">
        <f t="shared" ca="1" si="5"/>
        <v>0.8233361203195575</v>
      </c>
      <c r="C339" s="2" t="s">
        <v>227</v>
      </c>
    </row>
    <row r="340" spans="1:3" x14ac:dyDescent="0.2">
      <c r="A340" s="2">
        <v>338</v>
      </c>
      <c r="B340" s="2">
        <f t="shared" ca="1" si="5"/>
        <v>0.67374786287187471</v>
      </c>
      <c r="C340" s="2" t="s">
        <v>227</v>
      </c>
    </row>
    <row r="341" spans="1:3" x14ac:dyDescent="0.2">
      <c r="A341" s="2">
        <v>339</v>
      </c>
      <c r="B341" s="2">
        <f t="shared" ca="1" si="5"/>
        <v>0.54176725571197637</v>
      </c>
      <c r="C341" s="2" t="s">
        <v>226</v>
      </c>
    </row>
    <row r="342" spans="1:3" x14ac:dyDescent="0.2">
      <c r="A342" s="2">
        <v>340</v>
      </c>
      <c r="B342" s="2">
        <f t="shared" ca="1" si="5"/>
        <v>0.69075487390656731</v>
      </c>
      <c r="C342" s="2" t="s">
        <v>226</v>
      </c>
    </row>
    <row r="343" spans="1:3" x14ac:dyDescent="0.2">
      <c r="A343" s="2">
        <v>341</v>
      </c>
      <c r="B343" s="2">
        <f t="shared" ca="1" si="5"/>
        <v>0.42771979282276962</v>
      </c>
      <c r="C343" s="2" t="s">
        <v>226</v>
      </c>
    </row>
    <row r="344" spans="1:3" x14ac:dyDescent="0.2">
      <c r="A344" s="2">
        <v>342</v>
      </c>
      <c r="B344" s="2">
        <f t="shared" ca="1" si="5"/>
        <v>0.49283778233797121</v>
      </c>
      <c r="C344" s="2" t="s">
        <v>226</v>
      </c>
    </row>
    <row r="345" spans="1:3" x14ac:dyDescent="0.2">
      <c r="A345" s="2">
        <v>343</v>
      </c>
      <c r="B345" s="2">
        <f t="shared" ca="1" si="5"/>
        <v>0.77957165402460404</v>
      </c>
      <c r="C345" s="2" t="s">
        <v>227</v>
      </c>
    </row>
    <row r="346" spans="1:3" x14ac:dyDescent="0.2">
      <c r="A346" s="2">
        <v>344</v>
      </c>
      <c r="B346" s="2">
        <f t="shared" ca="1" si="5"/>
        <v>0.71345669444361837</v>
      </c>
      <c r="C346" s="2" t="s">
        <v>227</v>
      </c>
    </row>
    <row r="347" spans="1:3" x14ac:dyDescent="0.2">
      <c r="A347" s="2">
        <v>345</v>
      </c>
      <c r="B347" s="2">
        <f t="shared" ca="1" si="5"/>
        <v>0.51090015356798857</v>
      </c>
      <c r="C347" s="2" t="s">
        <v>226</v>
      </c>
    </row>
    <row r="348" spans="1:3" x14ac:dyDescent="0.2">
      <c r="A348" s="2">
        <v>346</v>
      </c>
      <c r="B348" s="2">
        <f t="shared" ca="1" si="5"/>
        <v>0.7043672468685358</v>
      </c>
      <c r="C348" s="2" t="s">
        <v>227</v>
      </c>
    </row>
    <row r="349" spans="1:3" x14ac:dyDescent="0.2">
      <c r="A349" s="2">
        <v>347</v>
      </c>
      <c r="B349" s="2">
        <f t="shared" ca="1" si="5"/>
        <v>0.71699131955412698</v>
      </c>
      <c r="C349" s="2" t="s">
        <v>226</v>
      </c>
    </row>
    <row r="350" spans="1:3" x14ac:dyDescent="0.2">
      <c r="A350" s="2">
        <v>348</v>
      </c>
      <c r="B350" s="2">
        <f t="shared" ca="1" si="5"/>
        <v>0.63261546052953144</v>
      </c>
      <c r="C350" s="2" t="s">
        <v>227</v>
      </c>
    </row>
    <row r="351" spans="1:3" x14ac:dyDescent="0.2">
      <c r="A351" s="2">
        <v>349</v>
      </c>
      <c r="B351" s="2">
        <f t="shared" ca="1" si="5"/>
        <v>0.53145198451514131</v>
      </c>
      <c r="C351" s="2" t="s">
        <v>227</v>
      </c>
    </row>
    <row r="352" spans="1:3" x14ac:dyDescent="0.2">
      <c r="A352" s="2">
        <v>350</v>
      </c>
      <c r="B352" s="2">
        <f t="shared" ca="1" si="5"/>
        <v>0.75894853017953434</v>
      </c>
      <c r="C352" s="2" t="s">
        <v>226</v>
      </c>
    </row>
    <row r="353" spans="1:3" x14ac:dyDescent="0.2">
      <c r="A353" s="2">
        <v>351</v>
      </c>
      <c r="B353" s="2">
        <f t="shared" ca="1" si="5"/>
        <v>0.6219628389657712</v>
      </c>
      <c r="C353" s="2" t="s">
        <v>226</v>
      </c>
    </row>
    <row r="354" spans="1:3" x14ac:dyDescent="0.2">
      <c r="A354" s="2">
        <v>352</v>
      </c>
      <c r="B354" s="2">
        <f t="shared" ca="1" si="5"/>
        <v>0.81683242798337419</v>
      </c>
      <c r="C354" s="2" t="s">
        <v>226</v>
      </c>
    </row>
    <row r="355" spans="1:3" x14ac:dyDescent="0.2">
      <c r="A355" s="2">
        <v>353</v>
      </c>
      <c r="B355" s="2">
        <f t="shared" ca="1" si="5"/>
        <v>0.74630537650575646</v>
      </c>
      <c r="C355" s="2" t="s">
        <v>227</v>
      </c>
    </row>
    <row r="356" spans="1:3" x14ac:dyDescent="0.2">
      <c r="A356" s="2">
        <v>354</v>
      </c>
      <c r="B356" s="2">
        <f t="shared" ca="1" si="5"/>
        <v>0.64560476438160486</v>
      </c>
      <c r="C356" s="2" t="s">
        <v>227</v>
      </c>
    </row>
    <row r="357" spans="1:3" x14ac:dyDescent="0.2">
      <c r="A357" s="2">
        <v>355</v>
      </c>
      <c r="B357" s="2">
        <f t="shared" ca="1" si="5"/>
        <v>0.591842905545367</v>
      </c>
      <c r="C357" s="2" t="s">
        <v>227</v>
      </c>
    </row>
    <row r="358" spans="1:3" x14ac:dyDescent="0.2">
      <c r="A358" s="2">
        <v>356</v>
      </c>
      <c r="B358" s="2">
        <f t="shared" ca="1" si="5"/>
        <v>0.59451382563276156</v>
      </c>
      <c r="C358" s="2" t="s">
        <v>227</v>
      </c>
    </row>
    <row r="359" spans="1:3" x14ac:dyDescent="0.2">
      <c r="A359" s="2">
        <v>357</v>
      </c>
      <c r="B359" s="2">
        <f t="shared" ca="1" si="5"/>
        <v>0.49890423862742861</v>
      </c>
      <c r="C359" s="2" t="s">
        <v>226</v>
      </c>
    </row>
    <row r="360" spans="1:3" x14ac:dyDescent="0.2">
      <c r="A360" s="2">
        <v>358</v>
      </c>
      <c r="B360" s="2">
        <f t="shared" ca="1" si="5"/>
        <v>0.61499108787278778</v>
      </c>
      <c r="C360" s="2" t="s">
        <v>227</v>
      </c>
    </row>
    <row r="361" spans="1:3" x14ac:dyDescent="0.2">
      <c r="A361" s="2">
        <v>359</v>
      </c>
      <c r="B361" s="2">
        <f t="shared" ca="1" si="5"/>
        <v>0.54950344489283232</v>
      </c>
      <c r="C361" s="2" t="s">
        <v>226</v>
      </c>
    </row>
    <row r="362" spans="1:3" x14ac:dyDescent="0.2">
      <c r="A362" s="2">
        <v>360</v>
      </c>
      <c r="B362" s="2">
        <f t="shared" ca="1" si="5"/>
        <v>0.55731501672024886</v>
      </c>
      <c r="C362" s="2" t="s">
        <v>226</v>
      </c>
    </row>
    <row r="363" spans="1:3" x14ac:dyDescent="0.2">
      <c r="A363" s="2">
        <v>361</v>
      </c>
      <c r="B363" s="2">
        <f t="shared" ca="1" si="5"/>
        <v>0.72521602594593915</v>
      </c>
      <c r="C363" s="2" t="s">
        <v>227</v>
      </c>
    </row>
    <row r="364" spans="1:3" x14ac:dyDescent="0.2">
      <c r="A364" s="2">
        <v>362</v>
      </c>
      <c r="B364" s="2">
        <f t="shared" ca="1" si="5"/>
        <v>0.81792044476911285</v>
      </c>
      <c r="C364" s="2" t="s">
        <v>227</v>
      </c>
    </row>
    <row r="365" spans="1:3" x14ac:dyDescent="0.2">
      <c r="A365" s="2">
        <v>363</v>
      </c>
      <c r="B365" s="2">
        <f t="shared" ca="1" si="5"/>
        <v>0.51979719915020284</v>
      </c>
      <c r="C365" s="2" t="s">
        <v>226</v>
      </c>
    </row>
    <row r="366" spans="1:3" x14ac:dyDescent="0.2">
      <c r="A366" s="2">
        <v>364</v>
      </c>
      <c r="B366" s="2">
        <f t="shared" ca="1" si="5"/>
        <v>0.72208829965367538</v>
      </c>
      <c r="C366" s="2" t="s">
        <v>227</v>
      </c>
    </row>
    <row r="367" spans="1:3" x14ac:dyDescent="0.2">
      <c r="A367" s="2">
        <v>365</v>
      </c>
      <c r="B367" s="2">
        <f t="shared" ca="1" si="5"/>
        <v>0.55604013200408886</v>
      </c>
      <c r="C367" s="2" t="s">
        <v>226</v>
      </c>
    </row>
    <row r="368" spans="1:3" x14ac:dyDescent="0.2">
      <c r="A368" s="2">
        <v>366</v>
      </c>
      <c r="B368" s="2">
        <f t="shared" ca="1" si="5"/>
        <v>0.38943441004510093</v>
      </c>
      <c r="C368" s="2" t="s">
        <v>226</v>
      </c>
    </row>
    <row r="369" spans="1:3" x14ac:dyDescent="0.2">
      <c r="A369" s="2">
        <v>367</v>
      </c>
      <c r="B369" s="2">
        <f t="shared" ca="1" si="5"/>
        <v>0.60877602437561151</v>
      </c>
      <c r="C369" s="2" t="s">
        <v>227</v>
      </c>
    </row>
    <row r="370" spans="1:3" x14ac:dyDescent="0.2">
      <c r="A370" s="2">
        <v>368</v>
      </c>
      <c r="B370" s="2">
        <f t="shared" ca="1" si="5"/>
        <v>0.75750857046505538</v>
      </c>
      <c r="C370" s="2" t="s">
        <v>227</v>
      </c>
    </row>
    <row r="371" spans="1:3" x14ac:dyDescent="0.2">
      <c r="A371" s="2">
        <v>369</v>
      </c>
      <c r="B371" s="2">
        <f t="shared" ca="1" si="5"/>
        <v>0.7354054065855995</v>
      </c>
      <c r="C371" s="2" t="s">
        <v>226</v>
      </c>
    </row>
    <row r="372" spans="1:3" x14ac:dyDescent="0.2">
      <c r="A372" s="2">
        <v>370</v>
      </c>
      <c r="B372" s="2">
        <f t="shared" ca="1" si="5"/>
        <v>0.7814621727080685</v>
      </c>
      <c r="C372" s="2" t="s">
        <v>227</v>
      </c>
    </row>
    <row r="373" spans="1:3" x14ac:dyDescent="0.2">
      <c r="A373" s="2">
        <v>371</v>
      </c>
      <c r="B373" s="2">
        <f t="shared" ca="1" si="5"/>
        <v>0.65547947842743515</v>
      </c>
      <c r="C373" s="2" t="s">
        <v>227</v>
      </c>
    </row>
    <row r="374" spans="1:3" x14ac:dyDescent="0.2">
      <c r="A374" s="2">
        <v>372</v>
      </c>
      <c r="B374" s="2">
        <f t="shared" ca="1" si="5"/>
        <v>0.40157725886961498</v>
      </c>
      <c r="C374" s="2" t="s">
        <v>226</v>
      </c>
    </row>
    <row r="375" spans="1:3" x14ac:dyDescent="0.2">
      <c r="A375" s="2">
        <v>373</v>
      </c>
      <c r="B375" s="2">
        <f t="shared" ca="1" si="5"/>
        <v>0.56324345161686806</v>
      </c>
      <c r="C375" s="2" t="s">
        <v>227</v>
      </c>
    </row>
    <row r="376" spans="1:3" x14ac:dyDescent="0.2">
      <c r="A376" s="2">
        <v>374</v>
      </c>
      <c r="B376" s="2">
        <f t="shared" ca="1" si="5"/>
        <v>0.85550904278322815</v>
      </c>
      <c r="C376" s="2" t="s">
        <v>227</v>
      </c>
    </row>
    <row r="377" spans="1:3" x14ac:dyDescent="0.2">
      <c r="A377" s="2">
        <v>375</v>
      </c>
      <c r="B377" s="2">
        <f t="shared" ca="1" si="5"/>
        <v>0.57439030889774889</v>
      </c>
      <c r="C377" s="2" t="s">
        <v>226</v>
      </c>
    </row>
    <row r="378" spans="1:3" x14ac:dyDescent="0.2">
      <c r="A378" s="2">
        <v>376</v>
      </c>
      <c r="B378" s="2">
        <f t="shared" ca="1" si="5"/>
        <v>0.71036168036890623</v>
      </c>
      <c r="C378" s="2" t="s">
        <v>227</v>
      </c>
    </row>
    <row r="379" spans="1:3" x14ac:dyDescent="0.2">
      <c r="A379" s="2">
        <v>377</v>
      </c>
      <c r="B379" s="2">
        <f t="shared" ca="1" si="5"/>
        <v>0.75043728174235091</v>
      </c>
      <c r="C379" s="2" t="s">
        <v>227</v>
      </c>
    </row>
    <row r="380" spans="1:3" x14ac:dyDescent="0.2">
      <c r="A380" s="2">
        <v>378</v>
      </c>
      <c r="B380" s="2">
        <f t="shared" ca="1" si="5"/>
        <v>0.66113414333137599</v>
      </c>
      <c r="C380" s="2" t="s">
        <v>227</v>
      </c>
    </row>
    <row r="381" spans="1:3" x14ac:dyDescent="0.2">
      <c r="A381" s="2">
        <v>379</v>
      </c>
      <c r="B381" s="2">
        <f t="shared" ca="1" si="5"/>
        <v>0.72586317407093914</v>
      </c>
      <c r="C381" s="2" t="s">
        <v>227</v>
      </c>
    </row>
    <row r="382" spans="1:3" x14ac:dyDescent="0.2">
      <c r="A382" s="2">
        <v>380</v>
      </c>
      <c r="B382" s="2">
        <f t="shared" ca="1" si="5"/>
        <v>0.72537256247087523</v>
      </c>
      <c r="C382" s="2" t="s">
        <v>227</v>
      </c>
    </row>
    <row r="383" spans="1:3" x14ac:dyDescent="0.2">
      <c r="A383" s="2">
        <v>381</v>
      </c>
      <c r="B383" s="2">
        <f t="shared" ca="1" si="5"/>
        <v>0.82274262823160071</v>
      </c>
      <c r="C383" s="2" t="s">
        <v>227</v>
      </c>
    </row>
    <row r="384" spans="1:3" x14ac:dyDescent="0.2">
      <c r="A384" s="2">
        <v>382</v>
      </c>
      <c r="B384" s="2">
        <f t="shared" ca="1" si="5"/>
        <v>0.77304133200829772</v>
      </c>
      <c r="C384" s="2" t="s">
        <v>227</v>
      </c>
    </row>
    <row r="385" spans="1:3" x14ac:dyDescent="0.2">
      <c r="A385" s="2">
        <v>383</v>
      </c>
      <c r="B385" s="2">
        <f t="shared" ca="1" si="5"/>
        <v>0.4372436038517688</v>
      </c>
      <c r="C385" s="2" t="s">
        <v>226</v>
      </c>
    </row>
    <row r="386" spans="1:3" x14ac:dyDescent="0.2">
      <c r="A386" s="2">
        <v>384</v>
      </c>
      <c r="B386" s="2">
        <f t="shared" ca="1" si="5"/>
        <v>0.66053830515312506</v>
      </c>
      <c r="C386" s="2" t="s">
        <v>227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0.57944045611674544</v>
      </c>
      <c r="C387" s="2" t="s">
        <v>226</v>
      </c>
    </row>
    <row r="388" spans="1:3" x14ac:dyDescent="0.2">
      <c r="A388" s="2">
        <v>386</v>
      </c>
      <c r="B388" s="2">
        <f t="shared" ca="1" si="6"/>
        <v>0.68139079753952025</v>
      </c>
      <c r="C388" s="2" t="s">
        <v>226</v>
      </c>
    </row>
    <row r="389" spans="1:3" x14ac:dyDescent="0.2">
      <c r="A389" s="2">
        <v>387</v>
      </c>
      <c r="B389" s="2">
        <f t="shared" ca="1" si="6"/>
        <v>0.65708018944520252</v>
      </c>
      <c r="C389" s="2" t="s">
        <v>226</v>
      </c>
    </row>
    <row r="390" spans="1:3" x14ac:dyDescent="0.2">
      <c r="A390" s="2">
        <v>388</v>
      </c>
      <c r="B390" s="2">
        <f t="shared" ca="1" si="6"/>
        <v>0.37937679250716483</v>
      </c>
      <c r="C390" s="2" t="s">
        <v>226</v>
      </c>
    </row>
    <row r="391" spans="1:3" x14ac:dyDescent="0.2">
      <c r="A391" s="2">
        <v>389</v>
      </c>
      <c r="B391" s="2">
        <f t="shared" ca="1" si="6"/>
        <v>0.79607312812878761</v>
      </c>
      <c r="C391" s="2" t="s">
        <v>226</v>
      </c>
    </row>
    <row r="392" spans="1:3" x14ac:dyDescent="0.2">
      <c r="A392" s="2">
        <v>390</v>
      </c>
      <c r="B392" s="2">
        <f t="shared" ca="1" si="6"/>
        <v>0.71735370003221888</v>
      </c>
      <c r="C392" s="2" t="s">
        <v>227</v>
      </c>
    </row>
    <row r="393" spans="1:3" x14ac:dyDescent="0.2">
      <c r="A393" s="2">
        <v>391</v>
      </c>
      <c r="B393" s="2">
        <f t="shared" ca="1" si="6"/>
        <v>0.6173031922853629</v>
      </c>
      <c r="C393" s="2" t="s">
        <v>227</v>
      </c>
    </row>
    <row r="394" spans="1:3" x14ac:dyDescent="0.2">
      <c r="A394" s="2">
        <v>392</v>
      </c>
      <c r="B394" s="2">
        <f t="shared" ca="1" si="6"/>
        <v>0.53394158494595378</v>
      </c>
      <c r="C394" s="2" t="s">
        <v>226</v>
      </c>
    </row>
    <row r="395" spans="1:3" x14ac:dyDescent="0.2">
      <c r="A395" s="2">
        <v>393</v>
      </c>
      <c r="B395" s="2">
        <f t="shared" ca="1" si="6"/>
        <v>0.54995239216990988</v>
      </c>
      <c r="C395" s="2" t="s">
        <v>226</v>
      </c>
    </row>
    <row r="396" spans="1:3" x14ac:dyDescent="0.2">
      <c r="A396" s="2">
        <v>394</v>
      </c>
      <c r="B396" s="2">
        <f t="shared" ca="1" si="6"/>
        <v>0.57779912572527148</v>
      </c>
      <c r="C396" s="2" t="s">
        <v>226</v>
      </c>
    </row>
    <row r="397" spans="1:3" x14ac:dyDescent="0.2">
      <c r="A397" s="2">
        <v>395</v>
      </c>
      <c r="B397" s="2">
        <f t="shared" ca="1" si="6"/>
        <v>0.71766580563286986</v>
      </c>
      <c r="C397" s="2" t="s">
        <v>227</v>
      </c>
    </row>
    <row r="398" spans="1:3" x14ac:dyDescent="0.2">
      <c r="A398" s="2">
        <v>396</v>
      </c>
      <c r="B398" s="2">
        <f t="shared" ca="1" si="6"/>
        <v>0.91242377259211449</v>
      </c>
      <c r="C398" s="2" t="s">
        <v>227</v>
      </c>
    </row>
    <row r="399" spans="1:3" x14ac:dyDescent="0.2">
      <c r="A399" s="2">
        <v>397</v>
      </c>
      <c r="B399" s="2">
        <f t="shared" ca="1" si="6"/>
        <v>0.49984453266336459</v>
      </c>
      <c r="C399" s="2" t="s">
        <v>226</v>
      </c>
    </row>
    <row r="400" spans="1:3" x14ac:dyDescent="0.2">
      <c r="A400" s="2">
        <v>398</v>
      </c>
      <c r="B400" s="2">
        <f t="shared" ca="1" si="6"/>
        <v>0.55501316142426149</v>
      </c>
      <c r="C400" s="2" t="s">
        <v>227</v>
      </c>
    </row>
    <row r="401" spans="1:3" x14ac:dyDescent="0.2">
      <c r="A401" s="2">
        <v>399</v>
      </c>
      <c r="B401" s="2">
        <f t="shared" ca="1" si="6"/>
        <v>0.6565045684682328</v>
      </c>
      <c r="C401" s="2" t="s">
        <v>226</v>
      </c>
    </row>
    <row r="402" spans="1:3" x14ac:dyDescent="0.2">
      <c r="A402" s="2">
        <v>400</v>
      </c>
      <c r="B402" s="2">
        <f t="shared" ca="1" si="6"/>
        <v>0.73522210835484159</v>
      </c>
      <c r="C402" s="2" t="s">
        <v>227</v>
      </c>
    </row>
    <row r="403" spans="1:3" x14ac:dyDescent="0.2">
      <c r="A403" s="2">
        <v>401</v>
      </c>
      <c r="B403" s="2">
        <f t="shared" ca="1" si="6"/>
        <v>0.68048993855727424</v>
      </c>
      <c r="C403" s="2" t="s">
        <v>226</v>
      </c>
    </row>
    <row r="404" spans="1:3" x14ac:dyDescent="0.2">
      <c r="A404" s="2">
        <v>402</v>
      </c>
      <c r="B404" s="2">
        <f t="shared" ca="1" si="6"/>
        <v>0.51864353117257422</v>
      </c>
      <c r="C404" s="2" t="s">
        <v>226</v>
      </c>
    </row>
    <row r="405" spans="1:3" x14ac:dyDescent="0.2">
      <c r="A405" s="2">
        <v>403</v>
      </c>
      <c r="B405" s="2">
        <f t="shared" ca="1" si="6"/>
        <v>0.37943498575317242</v>
      </c>
      <c r="C405" s="2" t="s">
        <v>226</v>
      </c>
    </row>
    <row r="406" spans="1:3" x14ac:dyDescent="0.2">
      <c r="A406" s="2">
        <v>404</v>
      </c>
      <c r="B406" s="2">
        <f t="shared" ca="1" si="6"/>
        <v>0.77537489710952068</v>
      </c>
      <c r="C406" s="2" t="s">
        <v>227</v>
      </c>
    </row>
    <row r="407" spans="1:3" x14ac:dyDescent="0.2">
      <c r="A407" s="2">
        <v>405</v>
      </c>
      <c r="B407" s="2">
        <f t="shared" ca="1" si="6"/>
        <v>0.53656627455894523</v>
      </c>
      <c r="C407" s="2" t="s">
        <v>227</v>
      </c>
    </row>
    <row r="408" spans="1:3" x14ac:dyDescent="0.2">
      <c r="A408" s="2">
        <v>406</v>
      </c>
      <c r="B408" s="2">
        <f t="shared" ca="1" si="6"/>
        <v>0.76023858850471826</v>
      </c>
      <c r="C408" s="2" t="s">
        <v>226</v>
      </c>
    </row>
    <row r="409" spans="1:3" x14ac:dyDescent="0.2">
      <c r="A409" s="2">
        <v>407</v>
      </c>
      <c r="B409" s="2">
        <f t="shared" ca="1" si="6"/>
        <v>0.64851983186815187</v>
      </c>
      <c r="C409" s="2" t="s">
        <v>226</v>
      </c>
    </row>
    <row r="410" spans="1:3" x14ac:dyDescent="0.2">
      <c r="A410" s="2">
        <v>408</v>
      </c>
      <c r="B410" s="2">
        <f t="shared" ca="1" si="6"/>
        <v>0.60412302896522863</v>
      </c>
      <c r="C410" s="2" t="s">
        <v>227</v>
      </c>
    </row>
    <row r="411" spans="1:3" x14ac:dyDescent="0.2">
      <c r="A411" s="2">
        <v>409</v>
      </c>
      <c r="B411" s="2">
        <f t="shared" ca="1" si="6"/>
        <v>0.75646814237472138</v>
      </c>
      <c r="C411" s="2" t="s">
        <v>227</v>
      </c>
    </row>
    <row r="412" spans="1:3" x14ac:dyDescent="0.2">
      <c r="A412" s="2">
        <v>410</v>
      </c>
      <c r="B412" s="2">
        <f t="shared" ca="1" si="6"/>
        <v>0.72825912184323549</v>
      </c>
      <c r="C412" s="2" t="s">
        <v>227</v>
      </c>
    </row>
    <row r="413" spans="1:3" x14ac:dyDescent="0.2">
      <c r="A413" s="2">
        <v>411</v>
      </c>
      <c r="B413" s="2">
        <f t="shared" ca="1" si="6"/>
        <v>0.576078095966711</v>
      </c>
      <c r="C413" s="2" t="s">
        <v>226</v>
      </c>
    </row>
    <row r="414" spans="1:3" x14ac:dyDescent="0.2">
      <c r="A414" s="2">
        <v>412</v>
      </c>
      <c r="B414" s="2">
        <f t="shared" ca="1" si="6"/>
        <v>0.71034972487031012</v>
      </c>
      <c r="C414" s="2" t="s">
        <v>226</v>
      </c>
    </row>
    <row r="415" spans="1:3" x14ac:dyDescent="0.2">
      <c r="A415" s="2">
        <v>413</v>
      </c>
      <c r="B415" s="2">
        <f t="shared" ca="1" si="6"/>
        <v>0.63940166614026173</v>
      </c>
      <c r="C415" s="2" t="s">
        <v>227</v>
      </c>
    </row>
    <row r="416" spans="1:3" x14ac:dyDescent="0.2">
      <c r="A416" s="2">
        <v>414</v>
      </c>
      <c r="B416" s="2">
        <f t="shared" ca="1" si="6"/>
        <v>0.68961808489626009</v>
      </c>
      <c r="C416" s="2" t="s">
        <v>227</v>
      </c>
    </row>
    <row r="417" spans="1:3" x14ac:dyDescent="0.2">
      <c r="A417" s="2">
        <v>415</v>
      </c>
      <c r="B417" s="2">
        <f t="shared" ca="1" si="6"/>
        <v>0.53609771547054308</v>
      </c>
      <c r="C417" s="2" t="s">
        <v>226</v>
      </c>
    </row>
    <row r="418" spans="1:3" x14ac:dyDescent="0.2">
      <c r="A418" s="2">
        <v>416</v>
      </c>
      <c r="B418" s="2">
        <f t="shared" ca="1" si="6"/>
        <v>0.4457399415736597</v>
      </c>
      <c r="C418" s="2" t="s">
        <v>227</v>
      </c>
    </row>
    <row r="419" spans="1:3" x14ac:dyDescent="0.2">
      <c r="A419" s="2">
        <v>417</v>
      </c>
      <c r="B419" s="2">
        <f t="shared" ca="1" si="6"/>
        <v>0.77373023476120539</v>
      </c>
      <c r="C419" s="2" t="s">
        <v>227</v>
      </c>
    </row>
    <row r="420" spans="1:3" x14ac:dyDescent="0.2">
      <c r="A420" s="2">
        <v>418</v>
      </c>
      <c r="B420" s="2">
        <f t="shared" ca="1" si="6"/>
        <v>0.68194246309989859</v>
      </c>
      <c r="C420" s="2" t="s">
        <v>226</v>
      </c>
    </row>
    <row r="421" spans="1:3" x14ac:dyDescent="0.2">
      <c r="A421" s="2">
        <v>419</v>
      </c>
      <c r="B421" s="2">
        <f t="shared" ca="1" si="6"/>
        <v>0.4660243236544086</v>
      </c>
      <c r="C421" s="2" t="s">
        <v>226</v>
      </c>
    </row>
    <row r="422" spans="1:3" x14ac:dyDescent="0.2">
      <c r="A422" s="2">
        <v>420</v>
      </c>
      <c r="B422" s="2">
        <f t="shared" ca="1" si="6"/>
        <v>0.63880312724409438</v>
      </c>
      <c r="C422" s="2" t="s">
        <v>227</v>
      </c>
    </row>
    <row r="423" spans="1:3" x14ac:dyDescent="0.2">
      <c r="A423" s="2">
        <v>421</v>
      </c>
      <c r="B423" s="2">
        <f t="shared" ca="1" si="6"/>
        <v>0.65128799691732253</v>
      </c>
      <c r="C423" s="2" t="s">
        <v>227</v>
      </c>
    </row>
    <row r="424" spans="1:3" x14ac:dyDescent="0.2">
      <c r="A424" s="2">
        <v>422</v>
      </c>
      <c r="B424" s="2">
        <f t="shared" ca="1" si="6"/>
        <v>0.57333923821217536</v>
      </c>
      <c r="C424" s="2" t="s">
        <v>226</v>
      </c>
    </row>
    <row r="425" spans="1:3" x14ac:dyDescent="0.2">
      <c r="A425" s="2">
        <v>423</v>
      </c>
      <c r="B425" s="2">
        <f t="shared" ca="1" si="6"/>
        <v>0.44155462281005131</v>
      </c>
      <c r="C425" s="2" t="s">
        <v>226</v>
      </c>
    </row>
    <row r="426" spans="1:3" x14ac:dyDescent="0.2">
      <c r="A426" s="2">
        <v>424</v>
      </c>
      <c r="B426" s="2">
        <f t="shared" ca="1" si="6"/>
        <v>0.4926255183673261</v>
      </c>
      <c r="C426" s="2" t="s">
        <v>226</v>
      </c>
    </row>
    <row r="427" spans="1:3" x14ac:dyDescent="0.2">
      <c r="A427" s="2">
        <v>425</v>
      </c>
      <c r="B427" s="2">
        <f t="shared" ca="1" si="6"/>
        <v>0.72045963352794151</v>
      </c>
      <c r="C427" s="2" t="s">
        <v>227</v>
      </c>
    </row>
    <row r="428" spans="1:3" x14ac:dyDescent="0.2">
      <c r="A428" s="2">
        <v>426</v>
      </c>
      <c r="B428" s="2">
        <f t="shared" ca="1" si="6"/>
        <v>0.46432018311651813</v>
      </c>
      <c r="C428" s="2" t="s">
        <v>226</v>
      </c>
    </row>
    <row r="429" spans="1:3" x14ac:dyDescent="0.2">
      <c r="A429" s="2">
        <v>427</v>
      </c>
      <c r="B429" s="2">
        <f t="shared" ca="1" si="6"/>
        <v>0.59400307688635934</v>
      </c>
      <c r="C429" s="2" t="s">
        <v>227</v>
      </c>
    </row>
    <row r="430" spans="1:3" x14ac:dyDescent="0.2">
      <c r="A430" s="2">
        <v>428</v>
      </c>
      <c r="B430" s="2">
        <f t="shared" ca="1" si="6"/>
        <v>0.66876699031351683</v>
      </c>
      <c r="C430" s="2" t="s">
        <v>226</v>
      </c>
    </row>
    <row r="431" spans="1:3" x14ac:dyDescent="0.2">
      <c r="A431" s="2">
        <v>429</v>
      </c>
      <c r="B431" s="2">
        <f t="shared" ca="1" si="6"/>
        <v>0.56420635998598312</v>
      </c>
      <c r="C431" s="2" t="s">
        <v>226</v>
      </c>
    </row>
    <row r="432" spans="1:3" x14ac:dyDescent="0.2">
      <c r="A432" s="2">
        <v>430</v>
      </c>
      <c r="B432" s="2">
        <f t="shared" ca="1" si="6"/>
        <v>0.67284579145739221</v>
      </c>
      <c r="C432" s="2" t="s">
        <v>227</v>
      </c>
    </row>
    <row r="433" spans="1:3" x14ac:dyDescent="0.2">
      <c r="A433" s="2">
        <v>431</v>
      </c>
      <c r="B433" s="2">
        <f t="shared" ca="1" si="6"/>
        <v>0.78074990150101675</v>
      </c>
      <c r="C433" s="2" t="s">
        <v>227</v>
      </c>
    </row>
    <row r="434" spans="1:3" x14ac:dyDescent="0.2">
      <c r="A434" s="2">
        <v>432</v>
      </c>
      <c r="B434" s="2">
        <f t="shared" ca="1" si="6"/>
        <v>0.64290455202132402</v>
      </c>
      <c r="C434" s="2" t="s">
        <v>226</v>
      </c>
    </row>
    <row r="435" spans="1:3" x14ac:dyDescent="0.2">
      <c r="A435" s="2">
        <v>433</v>
      </c>
      <c r="B435" s="2">
        <f t="shared" ca="1" si="6"/>
        <v>0.62031178500689066</v>
      </c>
      <c r="C435" s="2" t="s">
        <v>227</v>
      </c>
    </row>
    <row r="436" spans="1:3" x14ac:dyDescent="0.2">
      <c r="A436" s="2">
        <v>434</v>
      </c>
      <c r="B436" s="2">
        <f t="shared" ca="1" si="6"/>
        <v>0.49818570125983463</v>
      </c>
      <c r="C436" s="2" t="s">
        <v>226</v>
      </c>
    </row>
    <row r="437" spans="1:3" x14ac:dyDescent="0.2">
      <c r="A437" s="2">
        <v>435</v>
      </c>
      <c r="B437" s="2">
        <f t="shared" ca="1" si="6"/>
        <v>0.6942331489134963</v>
      </c>
      <c r="C437" s="2" t="s">
        <v>227</v>
      </c>
    </row>
    <row r="438" spans="1:3" x14ac:dyDescent="0.2">
      <c r="A438" s="2">
        <v>436</v>
      </c>
      <c r="B438" s="2">
        <f t="shared" ca="1" si="6"/>
        <v>0.66618806693523591</v>
      </c>
      <c r="C438" s="2" t="s">
        <v>227</v>
      </c>
    </row>
    <row r="439" spans="1:3" x14ac:dyDescent="0.2">
      <c r="A439" s="2">
        <v>437</v>
      </c>
      <c r="B439" s="2">
        <f t="shared" ca="1" si="6"/>
        <v>0.66248582066856521</v>
      </c>
      <c r="C439" s="2" t="s">
        <v>226</v>
      </c>
    </row>
    <row r="440" spans="1:3" x14ac:dyDescent="0.2">
      <c r="A440" s="2">
        <v>438</v>
      </c>
      <c r="B440" s="2">
        <f t="shared" ca="1" si="6"/>
        <v>0.85678971601022702</v>
      </c>
      <c r="C440" s="2" t="s">
        <v>227</v>
      </c>
    </row>
    <row r="441" spans="1:3" x14ac:dyDescent="0.2">
      <c r="A441" s="2">
        <v>439</v>
      </c>
      <c r="B441" s="2">
        <f t="shared" ca="1" si="6"/>
        <v>0.64355062597524815</v>
      </c>
      <c r="C441" s="2" t="s">
        <v>227</v>
      </c>
    </row>
    <row r="442" spans="1:3" x14ac:dyDescent="0.2">
      <c r="A442" s="2">
        <v>440</v>
      </c>
      <c r="B442" s="2">
        <f t="shared" ca="1" si="6"/>
        <v>0.72749664586592877</v>
      </c>
      <c r="C442" s="2" t="s">
        <v>227</v>
      </c>
    </row>
    <row r="443" spans="1:3" x14ac:dyDescent="0.2">
      <c r="A443" s="2">
        <v>441</v>
      </c>
      <c r="B443" s="2">
        <f t="shared" ca="1" si="6"/>
        <v>0.86828125972382197</v>
      </c>
      <c r="C443" s="2" t="s">
        <v>227</v>
      </c>
    </row>
    <row r="444" spans="1:3" x14ac:dyDescent="0.2">
      <c r="A444" s="2">
        <v>442</v>
      </c>
      <c r="B444" s="2">
        <f t="shared" ca="1" si="6"/>
        <v>0.62335718635185278</v>
      </c>
      <c r="C444" s="2" t="s">
        <v>227</v>
      </c>
    </row>
    <row r="445" spans="1:3" x14ac:dyDescent="0.2">
      <c r="A445" s="2">
        <v>443</v>
      </c>
      <c r="B445" s="2">
        <f t="shared" ca="1" si="6"/>
        <v>0.8614227160799286</v>
      </c>
      <c r="C445" s="2" t="s">
        <v>227</v>
      </c>
    </row>
    <row r="446" spans="1:3" x14ac:dyDescent="0.2">
      <c r="A446" s="2">
        <v>444</v>
      </c>
      <c r="B446" s="2">
        <f t="shared" ca="1" si="6"/>
        <v>0.66059468155428114</v>
      </c>
      <c r="C446" s="2" t="s">
        <v>226</v>
      </c>
    </row>
    <row r="447" spans="1:3" x14ac:dyDescent="0.2">
      <c r="A447" s="2">
        <v>445</v>
      </c>
      <c r="B447" s="2">
        <f t="shared" ca="1" si="6"/>
        <v>0.56649151168676093</v>
      </c>
      <c r="C447" s="2" t="s">
        <v>226</v>
      </c>
    </row>
    <row r="448" spans="1:3" x14ac:dyDescent="0.2">
      <c r="A448" s="2">
        <v>446</v>
      </c>
      <c r="B448" s="2">
        <f t="shared" ca="1" si="6"/>
        <v>0.66215874261141494</v>
      </c>
      <c r="C448" s="2" t="s">
        <v>227</v>
      </c>
    </row>
    <row r="449" spans="1:3" x14ac:dyDescent="0.2">
      <c r="A449" s="2">
        <v>447</v>
      </c>
      <c r="B449" s="2">
        <f t="shared" ca="1" si="6"/>
        <v>0.76105037033091616</v>
      </c>
      <c r="C449" s="2" t="s">
        <v>226</v>
      </c>
    </row>
    <row r="450" spans="1:3" x14ac:dyDescent="0.2">
      <c r="A450" s="2">
        <v>448</v>
      </c>
      <c r="B450" s="2">
        <f t="shared" ca="1" si="6"/>
        <v>0.82953112739914259</v>
      </c>
      <c r="C450" s="2" t="s">
        <v>227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0.78271224249418136</v>
      </c>
      <c r="C451" s="2" t="s">
        <v>227</v>
      </c>
    </row>
    <row r="452" spans="1:3" x14ac:dyDescent="0.2">
      <c r="A452" s="2">
        <v>450</v>
      </c>
      <c r="B452" s="2">
        <f t="shared" ca="1" si="7"/>
        <v>0.54843690807977041</v>
      </c>
      <c r="C452" s="2" t="s">
        <v>226</v>
      </c>
    </row>
    <row r="453" spans="1:3" x14ac:dyDescent="0.2">
      <c r="A453" s="2">
        <v>451</v>
      </c>
      <c r="B453" s="2">
        <f t="shared" ca="1" si="7"/>
        <v>0.77936277958655886</v>
      </c>
      <c r="C453" s="2" t="s">
        <v>227</v>
      </c>
    </row>
    <row r="454" spans="1:3" x14ac:dyDescent="0.2">
      <c r="A454" s="2">
        <v>452</v>
      </c>
      <c r="B454" s="2">
        <f t="shared" ca="1" si="7"/>
        <v>0.58588587891610788</v>
      </c>
      <c r="C454" s="2" t="s">
        <v>227</v>
      </c>
    </row>
    <row r="455" spans="1:3" x14ac:dyDescent="0.2">
      <c r="A455" s="2">
        <v>453</v>
      </c>
      <c r="B455" s="2">
        <f t="shared" ca="1" si="7"/>
        <v>0.54104885739214215</v>
      </c>
      <c r="C455" s="2" t="s">
        <v>226</v>
      </c>
    </row>
    <row r="456" spans="1:3" x14ac:dyDescent="0.2">
      <c r="A456" s="2">
        <v>454</v>
      </c>
      <c r="B456" s="2">
        <f t="shared" ca="1" si="7"/>
        <v>0.8044624752485251</v>
      </c>
      <c r="C456" s="2" t="s">
        <v>227</v>
      </c>
    </row>
    <row r="457" spans="1:3" x14ac:dyDescent="0.2">
      <c r="A457" s="2">
        <v>455</v>
      </c>
      <c r="B457" s="2">
        <f t="shared" ca="1" si="7"/>
        <v>0.47925617877183707</v>
      </c>
      <c r="C457" s="2" t="s">
        <v>226</v>
      </c>
    </row>
    <row r="458" spans="1:3" x14ac:dyDescent="0.2">
      <c r="A458" s="2">
        <v>456</v>
      </c>
      <c r="B458" s="2">
        <f t="shared" ca="1" si="7"/>
        <v>0.53114533769069094</v>
      </c>
      <c r="C458" s="2" t="s">
        <v>226</v>
      </c>
    </row>
    <row r="459" spans="1:3" x14ac:dyDescent="0.2">
      <c r="A459" s="2">
        <v>457</v>
      </c>
      <c r="B459" s="2">
        <f t="shared" ca="1" si="7"/>
        <v>0.54130223258102361</v>
      </c>
      <c r="C459" s="2" t="s">
        <v>226</v>
      </c>
    </row>
    <row r="460" spans="1:3" x14ac:dyDescent="0.2">
      <c r="A460" s="2">
        <v>458</v>
      </c>
      <c r="B460" s="2">
        <f t="shared" ca="1" si="7"/>
        <v>0.82949497527567173</v>
      </c>
      <c r="C460" s="2" t="s">
        <v>226</v>
      </c>
    </row>
    <row r="461" spans="1:3" x14ac:dyDescent="0.2">
      <c r="A461" s="2">
        <v>459</v>
      </c>
      <c r="B461" s="2">
        <f t="shared" ca="1" si="7"/>
        <v>0.68926218014680118</v>
      </c>
      <c r="C461" s="2" t="s">
        <v>227</v>
      </c>
    </row>
    <row r="462" spans="1:3" x14ac:dyDescent="0.2">
      <c r="A462" s="2">
        <v>460</v>
      </c>
      <c r="B462" s="2">
        <f t="shared" ca="1" si="7"/>
        <v>0.73770283012764026</v>
      </c>
      <c r="C462" s="2" t="s">
        <v>227</v>
      </c>
    </row>
    <row r="463" spans="1:3" x14ac:dyDescent="0.2">
      <c r="A463" s="2">
        <v>461</v>
      </c>
      <c r="B463" s="2">
        <f t="shared" ca="1" si="7"/>
        <v>0.30602769624623916</v>
      </c>
      <c r="C463" s="2" t="s">
        <v>226</v>
      </c>
    </row>
    <row r="464" spans="1:3" x14ac:dyDescent="0.2">
      <c r="A464" s="2">
        <v>462</v>
      </c>
      <c r="B464" s="2">
        <f t="shared" ca="1" si="7"/>
        <v>0.75775134695691237</v>
      </c>
      <c r="C464" s="2" t="s">
        <v>227</v>
      </c>
    </row>
    <row r="465" spans="1:3" x14ac:dyDescent="0.2">
      <c r="A465" s="2">
        <v>463</v>
      </c>
      <c r="B465" s="2">
        <f t="shared" ca="1" si="7"/>
        <v>0.65847035643035512</v>
      </c>
      <c r="C465" s="2" t="s">
        <v>227</v>
      </c>
    </row>
    <row r="466" spans="1:3" x14ac:dyDescent="0.2">
      <c r="A466" s="2">
        <v>464</v>
      </c>
      <c r="B466" s="2">
        <f t="shared" ca="1" si="7"/>
        <v>0.74201687755177215</v>
      </c>
      <c r="C466" s="2" t="s">
        <v>227</v>
      </c>
    </row>
    <row r="467" spans="1:3" x14ac:dyDescent="0.2">
      <c r="A467" s="2">
        <v>465</v>
      </c>
      <c r="B467" s="2">
        <f t="shared" ca="1" si="7"/>
        <v>0.95874353432748505</v>
      </c>
      <c r="C467" s="2" t="s">
        <v>227</v>
      </c>
    </row>
    <row r="468" spans="1:3" x14ac:dyDescent="0.2">
      <c r="A468" s="2">
        <v>466</v>
      </c>
      <c r="B468" s="2">
        <f t="shared" ca="1" si="7"/>
        <v>0.61423313143594283</v>
      </c>
      <c r="C468" s="2" t="s">
        <v>226</v>
      </c>
    </row>
    <row r="469" spans="1:3" x14ac:dyDescent="0.2">
      <c r="A469" s="2">
        <v>467</v>
      </c>
      <c r="B469" s="2">
        <f t="shared" ca="1" si="7"/>
        <v>0.36479145352903264</v>
      </c>
      <c r="C469" s="2" t="s">
        <v>226</v>
      </c>
    </row>
    <row r="470" spans="1:3" x14ac:dyDescent="0.2">
      <c r="A470" s="2">
        <v>468</v>
      </c>
      <c r="B470" s="2">
        <f t="shared" ca="1" si="7"/>
        <v>0.5484481488790417</v>
      </c>
      <c r="C470" s="2" t="s">
        <v>226</v>
      </c>
    </row>
    <row r="471" spans="1:3" x14ac:dyDescent="0.2">
      <c r="A471" s="2">
        <v>469</v>
      </c>
      <c r="B471" s="2">
        <f t="shared" ca="1" si="7"/>
        <v>0.73076342071410916</v>
      </c>
      <c r="C471" s="2" t="s">
        <v>227</v>
      </c>
    </row>
    <row r="472" spans="1:3" x14ac:dyDescent="0.2">
      <c r="A472" s="2">
        <v>470</v>
      </c>
      <c r="B472" s="2">
        <f t="shared" ca="1" si="7"/>
        <v>0.89929255180654921</v>
      </c>
      <c r="C472" s="2" t="s">
        <v>226</v>
      </c>
    </row>
    <row r="473" spans="1:3" x14ac:dyDescent="0.2">
      <c r="A473" s="2">
        <v>471</v>
      </c>
      <c r="B473" s="2">
        <f t="shared" ca="1" si="7"/>
        <v>0.72206948175651386</v>
      </c>
      <c r="C473" s="2" t="s">
        <v>227</v>
      </c>
    </row>
    <row r="474" spans="1:3" x14ac:dyDescent="0.2">
      <c r="A474" s="2">
        <v>472</v>
      </c>
      <c r="B474" s="2">
        <f t="shared" ca="1" si="7"/>
        <v>0.58318305929101555</v>
      </c>
      <c r="C474" s="2" t="s">
        <v>227</v>
      </c>
    </row>
    <row r="475" spans="1:3" x14ac:dyDescent="0.2">
      <c r="A475" s="2">
        <v>473</v>
      </c>
      <c r="B475" s="2">
        <f t="shared" ca="1" si="7"/>
        <v>0.71133025533958538</v>
      </c>
      <c r="C475" s="2" t="s">
        <v>227</v>
      </c>
    </row>
    <row r="476" spans="1:3" x14ac:dyDescent="0.2">
      <c r="A476" s="2">
        <v>474</v>
      </c>
      <c r="B476" s="2">
        <f t="shared" ca="1" si="7"/>
        <v>0.59526148098827969</v>
      </c>
      <c r="C476" s="2" t="s">
        <v>226</v>
      </c>
    </row>
    <row r="477" spans="1:3" x14ac:dyDescent="0.2">
      <c r="A477" s="2">
        <v>475</v>
      </c>
      <c r="B477" s="2">
        <f t="shared" ca="1" si="7"/>
        <v>0.68154167396503085</v>
      </c>
      <c r="C477" s="2" t="s">
        <v>227</v>
      </c>
    </row>
    <row r="478" spans="1:3" x14ac:dyDescent="0.2">
      <c r="A478" s="2">
        <v>476</v>
      </c>
      <c r="B478" s="2">
        <f t="shared" ca="1" si="7"/>
        <v>0.85747957247186479</v>
      </c>
      <c r="C478" s="2" t="s">
        <v>227</v>
      </c>
    </row>
    <row r="479" spans="1:3" x14ac:dyDescent="0.2">
      <c r="A479" s="2">
        <v>477</v>
      </c>
      <c r="B479" s="2">
        <f t="shared" ca="1" si="7"/>
        <v>0.7287326392901482</v>
      </c>
      <c r="C479" s="2" t="s">
        <v>226</v>
      </c>
    </row>
    <row r="480" spans="1:3" x14ac:dyDescent="0.2">
      <c r="A480" s="2">
        <v>478</v>
      </c>
      <c r="B480" s="2">
        <f t="shared" ca="1" si="7"/>
        <v>0.39779819879687262</v>
      </c>
      <c r="C480" s="2" t="s">
        <v>226</v>
      </c>
    </row>
    <row r="481" spans="1:3" x14ac:dyDescent="0.2">
      <c r="A481" s="2">
        <v>479</v>
      </c>
      <c r="B481" s="2">
        <f t="shared" ca="1" si="7"/>
        <v>0.87722189989231769</v>
      </c>
      <c r="C481" s="2" t="s">
        <v>227</v>
      </c>
    </row>
    <row r="482" spans="1:3" x14ac:dyDescent="0.2">
      <c r="A482" s="2">
        <v>480</v>
      </c>
      <c r="B482" s="2">
        <f t="shared" ca="1" si="7"/>
        <v>0.69934141349325718</v>
      </c>
      <c r="C482" s="2" t="s">
        <v>227</v>
      </c>
    </row>
    <row r="483" spans="1:3" x14ac:dyDescent="0.2">
      <c r="A483" s="2">
        <v>481</v>
      </c>
      <c r="B483" s="2">
        <f t="shared" ca="1" si="7"/>
        <v>0.43934695558099135</v>
      </c>
      <c r="C483" s="2" t="s">
        <v>226</v>
      </c>
    </row>
    <row r="484" spans="1:3" x14ac:dyDescent="0.2">
      <c r="A484" s="2">
        <v>482</v>
      </c>
      <c r="B484" s="2">
        <f t="shared" ca="1" si="7"/>
        <v>0.84413816904403827</v>
      </c>
      <c r="C484" s="2" t="s">
        <v>226</v>
      </c>
    </row>
    <row r="485" spans="1:3" x14ac:dyDescent="0.2">
      <c r="A485" s="2">
        <v>483</v>
      </c>
      <c r="B485" s="2">
        <f t="shared" ca="1" si="7"/>
        <v>0.42037939751176956</v>
      </c>
      <c r="C485" s="2" t="s">
        <v>227</v>
      </c>
    </row>
    <row r="486" spans="1:3" x14ac:dyDescent="0.2">
      <c r="A486" s="2">
        <v>484</v>
      </c>
      <c r="B486" s="2">
        <f t="shared" ca="1" si="7"/>
        <v>0.77003324554398345</v>
      </c>
      <c r="C486" s="2" t="s">
        <v>227</v>
      </c>
    </row>
    <row r="487" spans="1:3" x14ac:dyDescent="0.2">
      <c r="A487" s="2">
        <v>485</v>
      </c>
      <c r="B487" s="2">
        <f t="shared" ca="1" si="7"/>
        <v>0.78882770425622328</v>
      </c>
      <c r="C487" s="2" t="s">
        <v>227</v>
      </c>
    </row>
    <row r="488" spans="1:3" x14ac:dyDescent="0.2">
      <c r="A488" s="2">
        <v>486</v>
      </c>
      <c r="B488" s="2">
        <f t="shared" ca="1" si="7"/>
        <v>0.64402369873469978</v>
      </c>
      <c r="C488" s="2" t="s">
        <v>226</v>
      </c>
    </row>
    <row r="489" spans="1:3" x14ac:dyDescent="0.2">
      <c r="A489" s="2">
        <v>487</v>
      </c>
      <c r="B489" s="2">
        <f t="shared" ca="1" si="7"/>
        <v>0.63931389979651021</v>
      </c>
      <c r="C489" s="2" t="s">
        <v>227</v>
      </c>
    </row>
    <row r="490" spans="1:3" x14ac:dyDescent="0.2">
      <c r="A490" s="2">
        <v>488</v>
      </c>
      <c r="B490" s="2">
        <f t="shared" ca="1" si="7"/>
        <v>0.63094745889142057</v>
      </c>
      <c r="C490" s="2" t="s">
        <v>226</v>
      </c>
    </row>
    <row r="491" spans="1:3" x14ac:dyDescent="0.2">
      <c r="A491" s="2">
        <v>489</v>
      </c>
      <c r="B491" s="2">
        <f t="shared" ca="1" si="7"/>
        <v>0.49373096459801413</v>
      </c>
      <c r="C491" s="2" t="s">
        <v>226</v>
      </c>
    </row>
    <row r="492" spans="1:3" x14ac:dyDescent="0.2">
      <c r="A492" s="2">
        <v>490</v>
      </c>
      <c r="B492" s="2">
        <f t="shared" ca="1" si="7"/>
        <v>0.91316575551506696</v>
      </c>
      <c r="C492" s="2" t="s">
        <v>227</v>
      </c>
    </row>
    <row r="493" spans="1:3" x14ac:dyDescent="0.2">
      <c r="A493" s="2">
        <v>491</v>
      </c>
      <c r="B493" s="2">
        <f t="shared" ca="1" si="7"/>
        <v>0.76248005710019118</v>
      </c>
      <c r="C493" s="2" t="s">
        <v>226</v>
      </c>
    </row>
    <row r="494" spans="1:3" x14ac:dyDescent="0.2">
      <c r="A494" s="2">
        <v>492</v>
      </c>
      <c r="B494" s="2">
        <f t="shared" ca="1" si="7"/>
        <v>0.81822830241906952</v>
      </c>
      <c r="C494" s="2" t="s">
        <v>227</v>
      </c>
    </row>
    <row r="495" spans="1:3" x14ac:dyDescent="0.2">
      <c r="A495" s="2">
        <v>493</v>
      </c>
      <c r="B495" s="2">
        <f t="shared" ca="1" si="7"/>
        <v>0.55423101894639959</v>
      </c>
      <c r="C495" s="2" t="s">
        <v>226</v>
      </c>
    </row>
    <row r="496" spans="1:3" x14ac:dyDescent="0.2">
      <c r="A496" s="2">
        <v>494</v>
      </c>
      <c r="B496" s="2">
        <f t="shared" ca="1" si="7"/>
        <v>0.58794096839850907</v>
      </c>
      <c r="C496" s="2" t="s">
        <v>226</v>
      </c>
    </row>
    <row r="497" spans="1:3" x14ac:dyDescent="0.2">
      <c r="A497" s="2">
        <v>495</v>
      </c>
      <c r="B497" s="2">
        <f t="shared" ca="1" si="7"/>
        <v>0.62408511544106238</v>
      </c>
      <c r="C497" s="2" t="s">
        <v>227</v>
      </c>
    </row>
    <row r="498" spans="1:3" x14ac:dyDescent="0.2">
      <c r="A498" s="2">
        <v>496</v>
      </c>
      <c r="B498" s="2">
        <f t="shared" ca="1" si="7"/>
        <v>0.46338122737687992</v>
      </c>
      <c r="C498" s="2" t="s">
        <v>227</v>
      </c>
    </row>
    <row r="499" spans="1:3" x14ac:dyDescent="0.2">
      <c r="A499" s="2">
        <v>497</v>
      </c>
      <c r="B499" s="2">
        <f t="shared" ca="1" si="7"/>
        <v>0.80167524701418402</v>
      </c>
      <c r="C499" s="2" t="s">
        <v>227</v>
      </c>
    </row>
    <row r="500" spans="1:3" x14ac:dyDescent="0.2">
      <c r="A500" s="2">
        <v>498</v>
      </c>
      <c r="B500" s="2">
        <f t="shared" ca="1" si="7"/>
        <v>0.8517026545002373</v>
      </c>
      <c r="C500" s="2" t="s">
        <v>226</v>
      </c>
    </row>
    <row r="501" spans="1:3" x14ac:dyDescent="0.2">
      <c r="A501" s="2">
        <v>499</v>
      </c>
      <c r="B501" s="2">
        <f t="shared" ca="1" si="7"/>
        <v>0.6003038122189237</v>
      </c>
      <c r="C501" s="2" t="s">
        <v>227</v>
      </c>
    </row>
    <row r="502" spans="1:3" x14ac:dyDescent="0.2">
      <c r="A502" s="2">
        <v>500</v>
      </c>
      <c r="B502" s="2">
        <f t="shared" ca="1" si="7"/>
        <v>0.75786277330717067</v>
      </c>
      <c r="C502" s="2" t="s">
        <v>227</v>
      </c>
    </row>
    <row r="503" spans="1:3" x14ac:dyDescent="0.2">
      <c r="A503" s="2">
        <v>501</v>
      </c>
      <c r="B503" s="2">
        <f t="shared" ca="1" si="7"/>
        <v>0.81249284658930554</v>
      </c>
      <c r="C503" s="2" t="s">
        <v>226</v>
      </c>
    </row>
    <row r="504" spans="1:3" x14ac:dyDescent="0.2">
      <c r="A504" s="2">
        <v>502</v>
      </c>
      <c r="B504" s="2">
        <f t="shared" ca="1" si="7"/>
        <v>0.80843372996762553</v>
      </c>
      <c r="C504" s="2" t="s">
        <v>226</v>
      </c>
    </row>
    <row r="505" spans="1:3" x14ac:dyDescent="0.2">
      <c r="A505" s="2">
        <v>503</v>
      </c>
      <c r="B505" s="2">
        <f t="shared" ca="1" si="7"/>
        <v>0.65703824543492151</v>
      </c>
      <c r="C505" s="2" t="s">
        <v>226</v>
      </c>
    </row>
    <row r="506" spans="1:3" x14ac:dyDescent="0.2">
      <c r="A506" s="2">
        <v>504</v>
      </c>
      <c r="B506" s="2">
        <f t="shared" ca="1" si="7"/>
        <v>0.62181968931634124</v>
      </c>
      <c r="C506" s="2" t="s">
        <v>226</v>
      </c>
    </row>
    <row r="507" spans="1:3" x14ac:dyDescent="0.2">
      <c r="A507" s="2">
        <v>505</v>
      </c>
      <c r="B507" s="2">
        <f t="shared" ca="1" si="7"/>
        <v>0.72782626777992276</v>
      </c>
      <c r="C507" s="2" t="s">
        <v>227</v>
      </c>
    </row>
    <row r="508" spans="1:3" x14ac:dyDescent="0.2">
      <c r="A508" s="2">
        <v>506</v>
      </c>
      <c r="B508" s="2">
        <f t="shared" ca="1" si="7"/>
        <v>0.91247084460761507</v>
      </c>
      <c r="C508" s="2" t="s">
        <v>227</v>
      </c>
    </row>
    <row r="509" spans="1:3" x14ac:dyDescent="0.2">
      <c r="A509" s="2">
        <v>507</v>
      </c>
      <c r="B509" s="2">
        <f t="shared" ca="1" si="7"/>
        <v>0.92484225859505087</v>
      </c>
      <c r="C509" s="2" t="s">
        <v>227</v>
      </c>
    </row>
    <row r="510" spans="1:3" x14ac:dyDescent="0.2">
      <c r="A510" s="2">
        <v>508</v>
      </c>
      <c r="B510" s="2">
        <f t="shared" ca="1" si="7"/>
        <v>0.80437972489337728</v>
      </c>
      <c r="C510" s="2" t="s">
        <v>226</v>
      </c>
    </row>
    <row r="511" spans="1:3" x14ac:dyDescent="0.2">
      <c r="A511" s="2">
        <v>509</v>
      </c>
      <c r="B511" s="2">
        <f t="shared" ca="1" si="7"/>
        <v>0.65544630938251691</v>
      </c>
      <c r="C511" s="2" t="s">
        <v>227</v>
      </c>
    </row>
    <row r="512" spans="1:3" x14ac:dyDescent="0.2">
      <c r="A512" s="2">
        <v>510</v>
      </c>
      <c r="B512" s="2">
        <f t="shared" ca="1" si="7"/>
        <v>0.75196711917656389</v>
      </c>
      <c r="C512" s="2" t="s">
        <v>227</v>
      </c>
    </row>
    <row r="513" spans="1:3" x14ac:dyDescent="0.2">
      <c r="A513" s="2">
        <v>511</v>
      </c>
      <c r="B513" s="2">
        <f t="shared" ca="1" si="7"/>
        <v>0.63873379463918778</v>
      </c>
      <c r="C513" s="2" t="s">
        <v>227</v>
      </c>
    </row>
    <row r="514" spans="1:3" x14ac:dyDescent="0.2">
      <c r="A514" s="2">
        <v>512</v>
      </c>
      <c r="B514" s="2">
        <f t="shared" ca="1" si="7"/>
        <v>0.83777553650714143</v>
      </c>
      <c r="C514" s="2" t="s">
        <v>227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0.68065781747213383</v>
      </c>
      <c r="C515" s="2" t="s">
        <v>227</v>
      </c>
    </row>
    <row r="516" spans="1:3" x14ac:dyDescent="0.2">
      <c r="A516" s="2">
        <v>514</v>
      </c>
      <c r="B516" s="2">
        <f t="shared" ca="1" si="8"/>
        <v>0.6789762158848418</v>
      </c>
      <c r="C516" s="2" t="s">
        <v>226</v>
      </c>
    </row>
    <row r="517" spans="1:3" x14ac:dyDescent="0.2">
      <c r="A517" s="2">
        <v>515</v>
      </c>
      <c r="B517" s="2">
        <f t="shared" ca="1" si="8"/>
        <v>0.60234789812479295</v>
      </c>
      <c r="C517" s="2" t="s">
        <v>227</v>
      </c>
    </row>
    <row r="518" spans="1:3" x14ac:dyDescent="0.2">
      <c r="A518" s="2">
        <v>516</v>
      </c>
      <c r="B518" s="2">
        <f t="shared" ca="1" si="8"/>
        <v>0.72200558941637005</v>
      </c>
      <c r="C518" s="2" t="s">
        <v>227</v>
      </c>
    </row>
    <row r="519" spans="1:3" x14ac:dyDescent="0.2">
      <c r="A519" s="2">
        <v>517</v>
      </c>
      <c r="B519" s="2">
        <f t="shared" ca="1" si="8"/>
        <v>0.97896218077154118</v>
      </c>
      <c r="C519" s="2" t="s">
        <v>227</v>
      </c>
    </row>
    <row r="520" spans="1:3" x14ac:dyDescent="0.2">
      <c r="A520" s="2">
        <v>518</v>
      </c>
      <c r="B520" s="2">
        <f t="shared" ca="1" si="8"/>
        <v>0.54789842190873517</v>
      </c>
      <c r="C520" s="2" t="s">
        <v>226</v>
      </c>
    </row>
    <row r="521" spans="1:3" x14ac:dyDescent="0.2">
      <c r="A521" s="2">
        <v>519</v>
      </c>
      <c r="B521" s="2">
        <f t="shared" ca="1" si="8"/>
        <v>0.65022715247929064</v>
      </c>
      <c r="C521" s="2" t="s">
        <v>227</v>
      </c>
    </row>
    <row r="522" spans="1:3" x14ac:dyDescent="0.2">
      <c r="A522" s="2">
        <v>520</v>
      </c>
      <c r="B522" s="2">
        <f t="shared" ca="1" si="8"/>
        <v>0.67087153999581783</v>
      </c>
      <c r="C522" s="2" t="s">
        <v>226</v>
      </c>
    </row>
    <row r="523" spans="1:3" x14ac:dyDescent="0.2">
      <c r="A523" s="2">
        <v>521</v>
      </c>
      <c r="B523" s="2">
        <f t="shared" ca="1" si="8"/>
        <v>0.48661624141065235</v>
      </c>
      <c r="C523" s="2" t="s">
        <v>226</v>
      </c>
    </row>
    <row r="524" spans="1:3" x14ac:dyDescent="0.2">
      <c r="A524" s="2">
        <v>522</v>
      </c>
      <c r="B524" s="2">
        <f t="shared" ca="1" si="8"/>
        <v>0.87739391049140991</v>
      </c>
      <c r="C524" s="2" t="s">
        <v>227</v>
      </c>
    </row>
    <row r="525" spans="1:3" x14ac:dyDescent="0.2">
      <c r="A525" s="2">
        <v>523</v>
      </c>
      <c r="B525" s="2">
        <f t="shared" ca="1" si="8"/>
        <v>0.68809593129724766</v>
      </c>
      <c r="C525" s="2" t="s">
        <v>227</v>
      </c>
    </row>
    <row r="526" spans="1:3" x14ac:dyDescent="0.2">
      <c r="A526" s="2">
        <v>524</v>
      </c>
      <c r="B526" s="2">
        <f t="shared" ca="1" si="8"/>
        <v>0.27357049047179149</v>
      </c>
      <c r="C526" s="2" t="s">
        <v>226</v>
      </c>
    </row>
    <row r="527" spans="1:3" x14ac:dyDescent="0.2">
      <c r="A527" s="2">
        <v>525</v>
      </c>
      <c r="B527" s="2">
        <f t="shared" ca="1" si="8"/>
        <v>0.77584428590012688</v>
      </c>
      <c r="C527" s="2" t="s">
        <v>227</v>
      </c>
    </row>
    <row r="528" spans="1:3" x14ac:dyDescent="0.2">
      <c r="A528" s="2">
        <v>526</v>
      </c>
      <c r="B528" s="2">
        <f t="shared" ca="1" si="8"/>
        <v>0.82245521585106518</v>
      </c>
      <c r="C528" s="2" t="s">
        <v>226</v>
      </c>
    </row>
    <row r="529" spans="1:3" x14ac:dyDescent="0.2">
      <c r="A529" s="2">
        <v>527</v>
      </c>
      <c r="B529" s="2">
        <f t="shared" ca="1" si="8"/>
        <v>0.57829568354646044</v>
      </c>
      <c r="C529" s="2" t="s">
        <v>226</v>
      </c>
    </row>
    <row r="530" spans="1:3" x14ac:dyDescent="0.2">
      <c r="A530" s="2">
        <v>528</v>
      </c>
      <c r="B530" s="2">
        <f t="shared" ca="1" si="8"/>
        <v>0.83809477737849236</v>
      </c>
      <c r="C530" s="2" t="s">
        <v>227</v>
      </c>
    </row>
    <row r="531" spans="1:3" x14ac:dyDescent="0.2">
      <c r="A531" s="2">
        <v>529</v>
      </c>
      <c r="B531" s="2">
        <f t="shared" ca="1" si="8"/>
        <v>0.84882201003991986</v>
      </c>
      <c r="C531" s="2" t="s">
        <v>227</v>
      </c>
    </row>
    <row r="532" spans="1:3" x14ac:dyDescent="0.2">
      <c r="A532" s="2">
        <v>530</v>
      </c>
      <c r="B532" s="2">
        <f t="shared" ca="1" si="8"/>
        <v>0.65611562146894253</v>
      </c>
      <c r="C532" s="2" t="s">
        <v>226</v>
      </c>
    </row>
    <row r="533" spans="1:3" x14ac:dyDescent="0.2">
      <c r="A533" s="2">
        <v>531</v>
      </c>
      <c r="B533" s="2">
        <f t="shared" ca="1" si="8"/>
        <v>0.79058609079683384</v>
      </c>
      <c r="C533" s="2" t="s">
        <v>227</v>
      </c>
    </row>
    <row r="534" spans="1:3" x14ac:dyDescent="0.2">
      <c r="A534" s="2">
        <v>532</v>
      </c>
      <c r="B534" s="2">
        <f t="shared" ca="1" si="8"/>
        <v>0.21800245869807588</v>
      </c>
      <c r="C534" s="2" t="s">
        <v>226</v>
      </c>
    </row>
    <row r="535" spans="1:3" x14ac:dyDescent="0.2">
      <c r="A535" s="2">
        <v>533</v>
      </c>
      <c r="B535" s="2">
        <f t="shared" ca="1" si="8"/>
        <v>0.94661431299692356</v>
      </c>
      <c r="C535" s="2" t="s">
        <v>226</v>
      </c>
    </row>
    <row r="536" spans="1:3" x14ac:dyDescent="0.2">
      <c r="A536" s="2">
        <v>534</v>
      </c>
      <c r="B536" s="2">
        <f t="shared" ca="1" si="8"/>
        <v>0.69640435660490752</v>
      </c>
      <c r="C536" s="2" t="s">
        <v>227</v>
      </c>
    </row>
    <row r="537" spans="1:3" x14ac:dyDescent="0.2">
      <c r="A537" s="2">
        <v>535</v>
      </c>
      <c r="B537" s="2">
        <f t="shared" ca="1" si="8"/>
        <v>0.90527168661687818</v>
      </c>
      <c r="C537" s="2" t="s">
        <v>226</v>
      </c>
    </row>
    <row r="538" spans="1:3" x14ac:dyDescent="0.2">
      <c r="A538" s="2">
        <v>536</v>
      </c>
      <c r="B538" s="2">
        <f t="shared" ca="1" si="8"/>
        <v>0.39337068322693336</v>
      </c>
      <c r="C538" s="2" t="s">
        <v>226</v>
      </c>
    </row>
    <row r="539" spans="1:3" x14ac:dyDescent="0.2">
      <c r="A539" s="2">
        <v>537</v>
      </c>
      <c r="B539" s="2">
        <f t="shared" ca="1" si="8"/>
        <v>0.4371406677322765</v>
      </c>
      <c r="C539" s="2" t="s">
        <v>226</v>
      </c>
    </row>
    <row r="540" spans="1:3" x14ac:dyDescent="0.2">
      <c r="A540" s="2">
        <v>538</v>
      </c>
      <c r="B540" s="2">
        <f t="shared" ca="1" si="8"/>
        <v>0.65816191144461678</v>
      </c>
      <c r="C540" s="2" t="s">
        <v>227</v>
      </c>
    </row>
    <row r="541" spans="1:3" x14ac:dyDescent="0.2">
      <c r="A541" s="2">
        <v>539</v>
      </c>
      <c r="B541" s="2">
        <f t="shared" ca="1" si="8"/>
        <v>0.69930524937480942</v>
      </c>
      <c r="C541" s="2" t="s">
        <v>226</v>
      </c>
    </row>
    <row r="542" spans="1:3" x14ac:dyDescent="0.2">
      <c r="A542" s="2">
        <v>540</v>
      </c>
      <c r="B542" s="2">
        <f t="shared" ca="1" si="8"/>
        <v>0.51136022519815738</v>
      </c>
      <c r="C542" s="2" t="s">
        <v>226</v>
      </c>
    </row>
    <row r="543" spans="1:3" x14ac:dyDescent="0.2">
      <c r="A543" s="2">
        <v>541</v>
      </c>
      <c r="B543" s="2">
        <f t="shared" ca="1" si="8"/>
        <v>0.74891556190524455</v>
      </c>
      <c r="C543" s="2" t="s">
        <v>226</v>
      </c>
    </row>
    <row r="544" spans="1:3" x14ac:dyDescent="0.2">
      <c r="A544" s="2">
        <v>542</v>
      </c>
      <c r="B544" s="2">
        <f t="shared" ca="1" si="8"/>
        <v>0.66593572439477744</v>
      </c>
      <c r="C544" s="2" t="s">
        <v>227</v>
      </c>
    </row>
    <row r="545" spans="1:3" x14ac:dyDescent="0.2">
      <c r="A545" s="2">
        <v>543</v>
      </c>
      <c r="B545" s="2">
        <f t="shared" ca="1" si="8"/>
        <v>0.60169850457466756</v>
      </c>
      <c r="C545" s="2" t="s">
        <v>227</v>
      </c>
    </row>
    <row r="546" spans="1:3" x14ac:dyDescent="0.2">
      <c r="A546" s="2">
        <v>544</v>
      </c>
      <c r="B546" s="2">
        <f t="shared" ca="1" si="8"/>
        <v>0.73451860933127189</v>
      </c>
      <c r="C546" s="2" t="s">
        <v>227</v>
      </c>
    </row>
    <row r="547" spans="1:3" x14ac:dyDescent="0.2">
      <c r="A547" s="2">
        <v>545</v>
      </c>
      <c r="B547" s="2">
        <f t="shared" ca="1" si="8"/>
        <v>0.95568278236152771</v>
      </c>
      <c r="C547" s="2" t="s">
        <v>226</v>
      </c>
    </row>
    <row r="548" spans="1:3" x14ac:dyDescent="0.2">
      <c r="A548" s="2">
        <v>546</v>
      </c>
      <c r="B548" s="2">
        <f t="shared" ca="1" si="8"/>
        <v>0.62727452017483953</v>
      </c>
      <c r="C548" s="2" t="s">
        <v>226</v>
      </c>
    </row>
    <row r="549" spans="1:3" x14ac:dyDescent="0.2">
      <c r="A549" s="2">
        <v>547</v>
      </c>
      <c r="B549" s="2">
        <f t="shared" ca="1" si="8"/>
        <v>0.92453049205912641</v>
      </c>
      <c r="C549" s="2" t="s">
        <v>227</v>
      </c>
    </row>
    <row r="550" spans="1:3" x14ac:dyDescent="0.2">
      <c r="A550" s="2">
        <v>548</v>
      </c>
      <c r="B550" s="2">
        <f t="shared" ca="1" si="8"/>
        <v>0.66836191328892458</v>
      </c>
      <c r="C550" s="2" t="s">
        <v>227</v>
      </c>
    </row>
    <row r="551" spans="1:3" x14ac:dyDescent="0.2">
      <c r="A551" s="2">
        <v>549</v>
      </c>
      <c r="B551" s="2">
        <f t="shared" ca="1" si="8"/>
        <v>0.7128470426505007</v>
      </c>
      <c r="C551" s="2" t="s">
        <v>226</v>
      </c>
    </row>
    <row r="552" spans="1:3" x14ac:dyDescent="0.2">
      <c r="A552" s="2">
        <v>550</v>
      </c>
      <c r="B552" s="2">
        <f t="shared" ca="1" si="8"/>
        <v>0.57524623979498635</v>
      </c>
      <c r="C552" s="2" t="s">
        <v>227</v>
      </c>
    </row>
    <row r="553" spans="1:3" x14ac:dyDescent="0.2">
      <c r="A553" s="2">
        <v>551</v>
      </c>
      <c r="B553" s="2">
        <f t="shared" ca="1" si="8"/>
        <v>0.61105351943027886</v>
      </c>
      <c r="C553" s="2" t="s">
        <v>226</v>
      </c>
    </row>
    <row r="554" spans="1:3" x14ac:dyDescent="0.2">
      <c r="A554" s="2">
        <v>552</v>
      </c>
      <c r="B554" s="2">
        <f t="shared" ca="1" si="8"/>
        <v>0.53343801911395661</v>
      </c>
      <c r="C554" s="2" t="s">
        <v>226</v>
      </c>
    </row>
    <row r="555" spans="1:3" x14ac:dyDescent="0.2">
      <c r="A555" s="2">
        <v>553</v>
      </c>
      <c r="B555" s="2">
        <f t="shared" ca="1" si="8"/>
        <v>0.68414908631697424</v>
      </c>
      <c r="C555" s="2" t="s">
        <v>226</v>
      </c>
    </row>
    <row r="556" spans="1:3" x14ac:dyDescent="0.2">
      <c r="A556" s="2">
        <v>554</v>
      </c>
      <c r="B556" s="2">
        <f t="shared" ca="1" si="8"/>
        <v>0.62392875606605569</v>
      </c>
      <c r="C556" s="2" t="s">
        <v>227</v>
      </c>
    </row>
    <row r="557" spans="1:3" x14ac:dyDescent="0.2">
      <c r="A557" s="2">
        <v>555</v>
      </c>
      <c r="B557" s="2">
        <f t="shared" ca="1" si="8"/>
        <v>0.42564078501821867</v>
      </c>
      <c r="C557" s="2" t="s">
        <v>226</v>
      </c>
    </row>
    <row r="558" spans="1:3" x14ac:dyDescent="0.2">
      <c r="A558" s="2">
        <v>556</v>
      </c>
      <c r="B558" s="2">
        <f t="shared" ca="1" si="8"/>
        <v>0.80855306808761063</v>
      </c>
      <c r="C558" s="2" t="s">
        <v>227</v>
      </c>
    </row>
    <row r="559" spans="1:3" x14ac:dyDescent="0.2">
      <c r="A559" s="2">
        <v>557</v>
      </c>
      <c r="B559" s="2">
        <f t="shared" ca="1" si="8"/>
        <v>0.76179335356342071</v>
      </c>
      <c r="C559" s="2" t="s">
        <v>227</v>
      </c>
    </row>
    <row r="560" spans="1:3" x14ac:dyDescent="0.2">
      <c r="A560" s="2">
        <v>558</v>
      </c>
      <c r="B560" s="2">
        <f t="shared" ca="1" si="8"/>
        <v>0.67012025885213322</v>
      </c>
      <c r="C560" s="2" t="s">
        <v>226</v>
      </c>
    </row>
    <row r="561" spans="1:3" x14ac:dyDescent="0.2">
      <c r="A561" s="2">
        <v>559</v>
      </c>
      <c r="B561" s="2">
        <f t="shared" ca="1" si="8"/>
        <v>0.48450757102633657</v>
      </c>
      <c r="C561" s="2" t="s">
        <v>227</v>
      </c>
    </row>
    <row r="562" spans="1:3" x14ac:dyDescent="0.2">
      <c r="A562" s="2">
        <v>560</v>
      </c>
      <c r="B562" s="2">
        <f t="shared" ca="1" si="8"/>
        <v>0.41070970358090525</v>
      </c>
      <c r="C562" s="2" t="s">
        <v>226</v>
      </c>
    </row>
    <row r="563" spans="1:3" x14ac:dyDescent="0.2">
      <c r="A563" s="2">
        <v>561</v>
      </c>
      <c r="B563" s="2">
        <f t="shared" ca="1" si="8"/>
        <v>0.42594638427083142</v>
      </c>
      <c r="C563" s="2" t="s">
        <v>226</v>
      </c>
    </row>
    <row r="564" spans="1:3" x14ac:dyDescent="0.2">
      <c r="A564" s="2">
        <v>562</v>
      </c>
      <c r="B564" s="2">
        <f t="shared" ca="1" si="8"/>
        <v>0.40844605458146577</v>
      </c>
      <c r="C564" s="2" t="s">
        <v>226</v>
      </c>
    </row>
    <row r="565" spans="1:3" x14ac:dyDescent="0.2">
      <c r="A565" s="2">
        <v>563</v>
      </c>
      <c r="B565" s="2">
        <f t="shared" ca="1" si="8"/>
        <v>0.39624057180998551</v>
      </c>
      <c r="C565" s="2" t="s">
        <v>226</v>
      </c>
    </row>
    <row r="566" spans="1:3" x14ac:dyDescent="0.2">
      <c r="A566" s="2">
        <v>564</v>
      </c>
      <c r="B566" s="2">
        <f t="shared" ca="1" si="8"/>
        <v>0.42534458632200678</v>
      </c>
      <c r="C566" s="2" t="s">
        <v>226</v>
      </c>
    </row>
    <row r="567" spans="1:3" x14ac:dyDescent="0.2">
      <c r="A567" s="2">
        <v>565</v>
      </c>
      <c r="B567" s="2">
        <f t="shared" ca="1" si="8"/>
        <v>0.63360605372390144</v>
      </c>
      <c r="C567" s="2" t="s">
        <v>226</v>
      </c>
    </row>
    <row r="568" spans="1:3" x14ac:dyDescent="0.2">
      <c r="A568" s="2">
        <v>566</v>
      </c>
      <c r="B568" s="2">
        <f t="shared" ca="1" si="8"/>
        <v>0.55023420336344198</v>
      </c>
      <c r="C568" s="2" t="s">
        <v>227</v>
      </c>
    </row>
    <row r="569" spans="1:3" x14ac:dyDescent="0.2">
      <c r="A569" s="2">
        <v>567</v>
      </c>
      <c r="B569" s="2">
        <f t="shared" ca="1" si="8"/>
        <v>0.78356367660342152</v>
      </c>
      <c r="C569" s="2" t="s">
        <v>227</v>
      </c>
    </row>
    <row r="570" spans="1:3" x14ac:dyDescent="0.2">
      <c r="A570" s="2">
        <v>568</v>
      </c>
      <c r="B570" s="2">
        <f t="shared" ca="1" si="8"/>
        <v>0.68543233632459422</v>
      </c>
      <c r="C570" s="2" t="s">
        <v>227</v>
      </c>
    </row>
    <row r="571" spans="1:3" x14ac:dyDescent="0.2">
      <c r="A571" s="2">
        <v>569</v>
      </c>
      <c r="B571" s="2">
        <f t="shared" ca="1" si="8"/>
        <v>0.42939071345796043</v>
      </c>
      <c r="C571" s="2" t="s">
        <v>226</v>
      </c>
    </row>
    <row r="572" spans="1:3" x14ac:dyDescent="0.2">
      <c r="A572" s="2">
        <v>570</v>
      </c>
      <c r="B572" s="2">
        <f t="shared" ca="1" si="8"/>
        <v>0.58888016059991499</v>
      </c>
      <c r="C572" s="2" t="s">
        <v>227</v>
      </c>
    </row>
    <row r="573" spans="1:3" x14ac:dyDescent="0.2">
      <c r="A573" s="2">
        <v>571</v>
      </c>
      <c r="B573" s="2">
        <f t="shared" ca="1" si="8"/>
        <v>0.72755170515745127</v>
      </c>
      <c r="C573" s="2" t="s">
        <v>226</v>
      </c>
    </row>
    <row r="574" spans="1:3" x14ac:dyDescent="0.2">
      <c r="A574" s="2">
        <v>572</v>
      </c>
      <c r="B574" s="2">
        <f t="shared" ca="1" si="8"/>
        <v>0.67679250962402926</v>
      </c>
      <c r="C574" s="2" t="s">
        <v>227</v>
      </c>
    </row>
    <row r="575" spans="1:3" x14ac:dyDescent="0.2">
      <c r="A575" s="2">
        <v>573</v>
      </c>
      <c r="B575" s="2">
        <f t="shared" ca="1" si="8"/>
        <v>0.70716114412126774</v>
      </c>
      <c r="C575" s="2" t="s">
        <v>227</v>
      </c>
    </row>
    <row r="576" spans="1:3" x14ac:dyDescent="0.2">
      <c r="A576" s="2">
        <v>574</v>
      </c>
      <c r="B576" s="2">
        <f t="shared" ca="1" si="8"/>
        <v>0.60412551187503405</v>
      </c>
      <c r="C576" s="2" t="s">
        <v>227</v>
      </c>
    </row>
    <row r="577" spans="1:3" x14ac:dyDescent="0.2">
      <c r="A577" s="2">
        <v>575</v>
      </c>
      <c r="B577" s="2">
        <f t="shared" ca="1" si="8"/>
        <v>0.43235450437847589</v>
      </c>
      <c r="C577" s="2" t="s">
        <v>226</v>
      </c>
    </row>
    <row r="578" spans="1:3" x14ac:dyDescent="0.2">
      <c r="A578" s="2">
        <v>576</v>
      </c>
      <c r="B578" s="2">
        <f t="shared" ca="1" si="8"/>
        <v>0.78761584881230284</v>
      </c>
      <c r="C578" s="2" t="s">
        <v>226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0.48071719645905608</v>
      </c>
      <c r="C579" s="2" t="s">
        <v>226</v>
      </c>
    </row>
    <row r="580" spans="1:3" x14ac:dyDescent="0.2">
      <c r="A580" s="2">
        <v>578</v>
      </c>
      <c r="B580" s="2">
        <f t="shared" ca="1" si="9"/>
        <v>0.72056620978579888</v>
      </c>
      <c r="C580" s="2" t="s">
        <v>227</v>
      </c>
    </row>
    <row r="581" spans="1:3" x14ac:dyDescent="0.2">
      <c r="A581" s="2">
        <v>579</v>
      </c>
      <c r="B581" s="2">
        <f t="shared" ca="1" si="9"/>
        <v>0.84239062007119536</v>
      </c>
      <c r="C581" s="2" t="s">
        <v>227</v>
      </c>
    </row>
    <row r="582" spans="1:3" x14ac:dyDescent="0.2">
      <c r="A582" s="2">
        <v>580</v>
      </c>
      <c r="B582" s="2">
        <f t="shared" ca="1" si="9"/>
        <v>0.85928343549184127</v>
      </c>
      <c r="C582" s="2" t="s">
        <v>227</v>
      </c>
    </row>
    <row r="583" spans="1:3" x14ac:dyDescent="0.2">
      <c r="A583" s="2">
        <v>581</v>
      </c>
      <c r="B583" s="2">
        <f t="shared" ca="1" si="9"/>
        <v>0.43751934462098163</v>
      </c>
      <c r="C583" s="2" t="s">
        <v>226</v>
      </c>
    </row>
    <row r="584" spans="1:3" x14ac:dyDescent="0.2">
      <c r="A584" s="2">
        <v>582</v>
      </c>
      <c r="B584" s="2">
        <f t="shared" ca="1" si="9"/>
        <v>0.76349328909282543</v>
      </c>
      <c r="C584" s="2" t="s">
        <v>227</v>
      </c>
    </row>
    <row r="585" spans="1:3" x14ac:dyDescent="0.2">
      <c r="A585" s="2">
        <v>583</v>
      </c>
      <c r="B585" s="2">
        <f t="shared" ca="1" si="9"/>
        <v>0.59050038615713729</v>
      </c>
      <c r="C585" s="2" t="s">
        <v>226</v>
      </c>
    </row>
    <row r="586" spans="1:3" x14ac:dyDescent="0.2">
      <c r="A586" s="2">
        <v>584</v>
      </c>
      <c r="B586" s="2">
        <f t="shared" ca="1" si="9"/>
        <v>0.70407354743679573</v>
      </c>
      <c r="C586" s="2" t="s">
        <v>227</v>
      </c>
    </row>
    <row r="587" spans="1:3" x14ac:dyDescent="0.2">
      <c r="A587" s="2">
        <v>585</v>
      </c>
      <c r="B587" s="2">
        <f t="shared" ca="1" si="9"/>
        <v>0.69451114472753517</v>
      </c>
      <c r="C587" s="2" t="s">
        <v>226</v>
      </c>
    </row>
    <row r="588" spans="1:3" x14ac:dyDescent="0.2">
      <c r="A588" s="2">
        <v>586</v>
      </c>
      <c r="B588" s="2">
        <f t="shared" ca="1" si="9"/>
        <v>0.59983480093080499</v>
      </c>
      <c r="C588" s="2" t="s">
        <v>226</v>
      </c>
    </row>
    <row r="589" spans="1:3" x14ac:dyDescent="0.2">
      <c r="A589" s="2">
        <v>587</v>
      </c>
      <c r="B589" s="2">
        <f t="shared" ca="1" si="9"/>
        <v>0.71247564470303393</v>
      </c>
      <c r="C589" s="2" t="s">
        <v>227</v>
      </c>
    </row>
    <row r="590" spans="1:3" x14ac:dyDescent="0.2">
      <c r="A590" s="2">
        <v>588</v>
      </c>
      <c r="B590" s="2">
        <f t="shared" ca="1" si="9"/>
        <v>0.81842167887359107</v>
      </c>
      <c r="C590" s="2" t="s">
        <v>226</v>
      </c>
    </row>
    <row r="591" spans="1:3" x14ac:dyDescent="0.2">
      <c r="A591" s="2">
        <v>589</v>
      </c>
      <c r="B591" s="2">
        <f t="shared" ca="1" si="9"/>
        <v>0.7145312075879019</v>
      </c>
      <c r="C591" s="2" t="s">
        <v>226</v>
      </c>
    </row>
    <row r="592" spans="1:3" x14ac:dyDescent="0.2">
      <c r="A592" s="2">
        <v>590</v>
      </c>
      <c r="B592" s="2">
        <f t="shared" ca="1" si="9"/>
        <v>0.67838420704900593</v>
      </c>
      <c r="C592" s="2" t="s">
        <v>227</v>
      </c>
    </row>
    <row r="593" spans="1:3" x14ac:dyDescent="0.2">
      <c r="A593" s="2">
        <v>591</v>
      </c>
      <c r="B593" s="2">
        <f t="shared" ca="1" si="9"/>
        <v>0.58592314243915911</v>
      </c>
      <c r="C593" s="2" t="s">
        <v>226</v>
      </c>
    </row>
    <row r="594" spans="1:3" x14ac:dyDescent="0.2">
      <c r="A594" s="2">
        <v>592</v>
      </c>
      <c r="B594" s="2">
        <f t="shared" ca="1" si="9"/>
        <v>0.76450483207449715</v>
      </c>
      <c r="C594" s="2" t="s">
        <v>227</v>
      </c>
    </row>
    <row r="595" spans="1:3" x14ac:dyDescent="0.2">
      <c r="A595" s="2">
        <v>593</v>
      </c>
      <c r="B595" s="2">
        <f t="shared" ca="1" si="9"/>
        <v>0.88347624190755325</v>
      </c>
      <c r="C595" s="2" t="s">
        <v>226</v>
      </c>
    </row>
    <row r="596" spans="1:3" x14ac:dyDescent="0.2">
      <c r="A596" s="2">
        <v>594</v>
      </c>
      <c r="B596" s="2">
        <f t="shared" ca="1" si="9"/>
        <v>0.64102798947055584</v>
      </c>
      <c r="C596" s="2" t="s">
        <v>227</v>
      </c>
    </row>
    <row r="597" spans="1:3" x14ac:dyDescent="0.2">
      <c r="A597" s="2">
        <v>595</v>
      </c>
      <c r="B597" s="2">
        <f t="shared" ca="1" si="9"/>
        <v>0.61347656329049549</v>
      </c>
      <c r="C597" s="2" t="s">
        <v>227</v>
      </c>
    </row>
    <row r="598" spans="1:3" x14ac:dyDescent="0.2">
      <c r="A598" s="2">
        <v>596</v>
      </c>
      <c r="B598" s="2">
        <f t="shared" ca="1" si="9"/>
        <v>0.57570679810749847</v>
      </c>
      <c r="C598" s="2" t="s">
        <v>227</v>
      </c>
    </row>
    <row r="599" spans="1:3" x14ac:dyDescent="0.2">
      <c r="A599" s="2">
        <v>597</v>
      </c>
      <c r="B599" s="2">
        <f t="shared" ca="1" si="9"/>
        <v>0.69055559790362953</v>
      </c>
      <c r="C599" s="2" t="s">
        <v>227</v>
      </c>
    </row>
    <row r="600" spans="1:3" x14ac:dyDescent="0.2">
      <c r="A600" s="2">
        <v>598</v>
      </c>
      <c r="B600" s="2">
        <f t="shared" ca="1" si="9"/>
        <v>0.46351200940042908</v>
      </c>
      <c r="C600" s="2" t="s">
        <v>226</v>
      </c>
    </row>
    <row r="601" spans="1:3" x14ac:dyDescent="0.2">
      <c r="A601" s="2">
        <v>599</v>
      </c>
      <c r="B601" s="2">
        <f t="shared" ca="1" si="9"/>
        <v>0.65952400233803932</v>
      </c>
      <c r="C601" s="2" t="s">
        <v>227</v>
      </c>
    </row>
    <row r="602" spans="1:3" x14ac:dyDescent="0.2">
      <c r="A602" s="2">
        <v>600</v>
      </c>
      <c r="B602" s="2">
        <f t="shared" ca="1" si="9"/>
        <v>0.71166933551992539</v>
      </c>
      <c r="C602" s="2" t="s">
        <v>227</v>
      </c>
    </row>
    <row r="603" spans="1:3" x14ac:dyDescent="0.2">
      <c r="A603" s="2">
        <v>601</v>
      </c>
      <c r="B603" s="2">
        <f t="shared" ca="1" si="9"/>
        <v>0.44785823240326317</v>
      </c>
      <c r="C603" s="2" t="s">
        <v>226</v>
      </c>
    </row>
    <row r="604" spans="1:3" x14ac:dyDescent="0.2">
      <c r="A604" s="2">
        <v>602</v>
      </c>
      <c r="B604" s="2">
        <f t="shared" ca="1" si="9"/>
        <v>0.52445370280601533</v>
      </c>
      <c r="C604" s="2" t="s">
        <v>226</v>
      </c>
    </row>
    <row r="605" spans="1:3" x14ac:dyDescent="0.2">
      <c r="A605" s="2">
        <v>603</v>
      </c>
      <c r="B605" s="2">
        <f t="shared" ca="1" si="9"/>
        <v>0.68579110997609405</v>
      </c>
      <c r="C605" s="2" t="s">
        <v>226</v>
      </c>
    </row>
    <row r="606" spans="1:3" x14ac:dyDescent="0.2">
      <c r="A606" s="2">
        <v>604</v>
      </c>
      <c r="B606" s="2">
        <f t="shared" ca="1" si="9"/>
        <v>0.76375917775440039</v>
      </c>
      <c r="C606" s="2" t="s">
        <v>227</v>
      </c>
    </row>
    <row r="607" spans="1:3" x14ac:dyDescent="0.2">
      <c r="A607" s="2">
        <v>605</v>
      </c>
      <c r="B607" s="2">
        <f t="shared" ca="1" si="9"/>
        <v>0.84826421891295101</v>
      </c>
      <c r="C607" s="2" t="s">
        <v>226</v>
      </c>
    </row>
    <row r="608" spans="1:3" x14ac:dyDescent="0.2">
      <c r="A608" s="2">
        <v>606</v>
      </c>
      <c r="B608" s="2">
        <f t="shared" ca="1" si="9"/>
        <v>0.63441992053112273</v>
      </c>
      <c r="C608" s="2" t="s">
        <v>227</v>
      </c>
    </row>
    <row r="609" spans="1:3" x14ac:dyDescent="0.2">
      <c r="A609" s="2">
        <v>607</v>
      </c>
      <c r="B609" s="2">
        <f t="shared" ca="1" si="9"/>
        <v>0.41367137759313843</v>
      </c>
      <c r="C609" s="2" t="s">
        <v>226</v>
      </c>
    </row>
    <row r="610" spans="1:3" x14ac:dyDescent="0.2">
      <c r="A610" s="2">
        <v>608</v>
      </c>
      <c r="B610" s="2">
        <f t="shared" ca="1" si="9"/>
        <v>0.78456421755426065</v>
      </c>
      <c r="C610" s="2" t="s">
        <v>227</v>
      </c>
    </row>
    <row r="611" spans="1:3" x14ac:dyDescent="0.2">
      <c r="A611" s="2">
        <v>609</v>
      </c>
      <c r="B611" s="2">
        <f t="shared" ca="1" si="9"/>
        <v>0.54977723257753752</v>
      </c>
      <c r="C611" s="2" t="s">
        <v>226</v>
      </c>
    </row>
    <row r="612" spans="1:3" x14ac:dyDescent="0.2">
      <c r="A612" s="2">
        <v>610</v>
      </c>
      <c r="B612" s="2">
        <f t="shared" ca="1" si="9"/>
        <v>0.64028091169850299</v>
      </c>
      <c r="C612" s="2" t="s">
        <v>226</v>
      </c>
    </row>
    <row r="613" spans="1:3" x14ac:dyDescent="0.2">
      <c r="A613" s="2">
        <v>611</v>
      </c>
      <c r="B613" s="2">
        <f t="shared" ca="1" si="9"/>
        <v>0.7041646863308596</v>
      </c>
      <c r="C613" s="2" t="s">
        <v>227</v>
      </c>
    </row>
    <row r="614" spans="1:3" x14ac:dyDescent="0.2">
      <c r="A614" s="2">
        <v>612</v>
      </c>
      <c r="B614" s="2">
        <f t="shared" ca="1" si="9"/>
        <v>0.70735192710144668</v>
      </c>
      <c r="C614" s="2" t="s">
        <v>227</v>
      </c>
    </row>
    <row r="615" spans="1:3" x14ac:dyDescent="0.2">
      <c r="A615" s="2">
        <v>613</v>
      </c>
      <c r="B615" s="2">
        <f t="shared" ca="1" si="9"/>
        <v>0.4531221491893257</v>
      </c>
      <c r="C615" s="2" t="s">
        <v>226</v>
      </c>
    </row>
    <row r="616" spans="1:3" x14ac:dyDescent="0.2">
      <c r="A616" s="2">
        <v>614</v>
      </c>
      <c r="B616" s="2">
        <f t="shared" ca="1" si="9"/>
        <v>0.61703602499431098</v>
      </c>
      <c r="C616" s="2" t="s">
        <v>226</v>
      </c>
    </row>
    <row r="617" spans="1:3" x14ac:dyDescent="0.2">
      <c r="A617" s="2">
        <v>615</v>
      </c>
      <c r="B617" s="2">
        <f t="shared" ca="1" si="9"/>
        <v>0.58246699216922726</v>
      </c>
      <c r="C617" s="2" t="s">
        <v>226</v>
      </c>
    </row>
    <row r="618" spans="1:3" x14ac:dyDescent="0.2">
      <c r="A618" s="2">
        <v>616</v>
      </c>
      <c r="B618" s="2">
        <f t="shared" ca="1" si="9"/>
        <v>0.80169669080221206</v>
      </c>
      <c r="C618" s="2" t="s">
        <v>227</v>
      </c>
    </row>
    <row r="619" spans="1:3" x14ac:dyDescent="0.2">
      <c r="A619" s="2">
        <v>617</v>
      </c>
      <c r="B619" s="2">
        <f t="shared" ca="1" si="9"/>
        <v>0.72951956770636861</v>
      </c>
      <c r="C619" s="2" t="s">
        <v>227</v>
      </c>
    </row>
    <row r="620" spans="1:3" x14ac:dyDescent="0.2">
      <c r="A620" s="2">
        <v>618</v>
      </c>
      <c r="B620" s="2">
        <f t="shared" ca="1" si="9"/>
        <v>0.69699359123336668</v>
      </c>
      <c r="C620" s="2" t="s">
        <v>227</v>
      </c>
    </row>
    <row r="621" spans="1:3" x14ac:dyDescent="0.2">
      <c r="A621" s="2">
        <v>619</v>
      </c>
      <c r="B621" s="2">
        <f t="shared" ca="1" si="9"/>
        <v>0.64818652263505494</v>
      </c>
      <c r="C621" s="2" t="s">
        <v>226</v>
      </c>
    </row>
    <row r="622" spans="1:3" x14ac:dyDescent="0.2">
      <c r="A622" s="2">
        <v>620</v>
      </c>
      <c r="B622" s="2">
        <f t="shared" ca="1" si="9"/>
        <v>0.38279598746075416</v>
      </c>
      <c r="C622" s="2" t="s">
        <v>226</v>
      </c>
    </row>
    <row r="623" spans="1:3" x14ac:dyDescent="0.2">
      <c r="A623" s="2">
        <v>621</v>
      </c>
      <c r="B623" s="2">
        <f t="shared" ca="1" si="9"/>
        <v>0.66966716149703387</v>
      </c>
      <c r="C623" s="2" t="s">
        <v>227</v>
      </c>
    </row>
    <row r="624" spans="1:3" x14ac:dyDescent="0.2">
      <c r="A624" s="2">
        <v>622</v>
      </c>
      <c r="B624" s="2">
        <f t="shared" ca="1" si="9"/>
        <v>0.68783851764387216</v>
      </c>
      <c r="C624" s="2" t="s">
        <v>227</v>
      </c>
    </row>
    <row r="625" spans="1:3" x14ac:dyDescent="0.2">
      <c r="A625" s="2">
        <v>623</v>
      </c>
      <c r="B625" s="2">
        <f t="shared" ca="1" si="9"/>
        <v>0.76247896525170689</v>
      </c>
      <c r="C625" s="2" t="s">
        <v>227</v>
      </c>
    </row>
    <row r="626" spans="1:3" x14ac:dyDescent="0.2">
      <c r="A626" s="2">
        <v>624</v>
      </c>
      <c r="B626" s="2">
        <f t="shared" ca="1" si="9"/>
        <v>0.36176479122373634</v>
      </c>
      <c r="C626" s="2" t="s">
        <v>226</v>
      </c>
    </row>
    <row r="627" spans="1:3" x14ac:dyDescent="0.2">
      <c r="A627" s="2">
        <v>625</v>
      </c>
      <c r="B627" s="2">
        <f t="shared" ca="1" si="9"/>
        <v>0.72566896700423222</v>
      </c>
      <c r="C627" s="2" t="s">
        <v>227</v>
      </c>
    </row>
    <row r="628" spans="1:3" x14ac:dyDescent="0.2">
      <c r="A628" s="2">
        <v>626</v>
      </c>
      <c r="B628" s="2">
        <f t="shared" ca="1" si="9"/>
        <v>0.54908663607918218</v>
      </c>
      <c r="C628" s="2" t="s">
        <v>226</v>
      </c>
    </row>
    <row r="629" spans="1:3" x14ac:dyDescent="0.2">
      <c r="A629" s="2">
        <v>627</v>
      </c>
      <c r="B629" s="2">
        <f t="shared" ca="1" si="9"/>
        <v>0.69820241878303879</v>
      </c>
      <c r="C629" s="2" t="s">
        <v>226</v>
      </c>
    </row>
    <row r="630" spans="1:3" x14ac:dyDescent="0.2">
      <c r="A630" s="2">
        <v>628</v>
      </c>
      <c r="B630" s="2">
        <f t="shared" ca="1" si="9"/>
        <v>0.54699552477153113</v>
      </c>
      <c r="C630" s="2" t="s">
        <v>226</v>
      </c>
    </row>
    <row r="631" spans="1:3" x14ac:dyDescent="0.2">
      <c r="A631" s="2">
        <v>629</v>
      </c>
      <c r="B631" s="2">
        <f t="shared" ca="1" si="9"/>
        <v>0.68245825104214775</v>
      </c>
      <c r="C631" s="2" t="s">
        <v>226</v>
      </c>
    </row>
    <row r="632" spans="1:3" x14ac:dyDescent="0.2">
      <c r="A632" s="2">
        <v>630</v>
      </c>
      <c r="B632" s="2">
        <f t="shared" ca="1" si="9"/>
        <v>0.88984545735482956</v>
      </c>
      <c r="C632" s="2" t="s">
        <v>227</v>
      </c>
    </row>
    <row r="633" spans="1:3" x14ac:dyDescent="0.2">
      <c r="A633" s="2">
        <v>631</v>
      </c>
      <c r="B633" s="2">
        <f t="shared" ca="1" si="9"/>
        <v>0.66649563420389135</v>
      </c>
      <c r="C633" s="2" t="s">
        <v>227</v>
      </c>
    </row>
    <row r="634" spans="1:3" x14ac:dyDescent="0.2">
      <c r="A634" s="2">
        <v>632</v>
      </c>
      <c r="B634" s="2">
        <f t="shared" ca="1" si="9"/>
        <v>0.5718843020133908</v>
      </c>
      <c r="C634" s="2" t="s">
        <v>226</v>
      </c>
    </row>
    <row r="635" spans="1:3" x14ac:dyDescent="0.2">
      <c r="A635" s="2">
        <v>633</v>
      </c>
      <c r="B635" s="2">
        <f t="shared" ca="1" si="9"/>
        <v>0.82155307628057639</v>
      </c>
      <c r="C635" s="2" t="s">
        <v>227</v>
      </c>
    </row>
    <row r="636" spans="1:3" x14ac:dyDescent="0.2">
      <c r="A636" s="2">
        <v>634</v>
      </c>
      <c r="B636" s="2">
        <f t="shared" ca="1" si="9"/>
        <v>0.58730252914279357</v>
      </c>
      <c r="C636" s="2" t="s">
        <v>227</v>
      </c>
    </row>
    <row r="637" spans="1:3" x14ac:dyDescent="0.2">
      <c r="A637" s="2">
        <v>635</v>
      </c>
      <c r="B637" s="2">
        <f t="shared" ca="1" si="9"/>
        <v>0.70450783090396529</v>
      </c>
      <c r="C637" s="2" t="s">
        <v>227</v>
      </c>
    </row>
    <row r="638" spans="1:3" x14ac:dyDescent="0.2">
      <c r="A638" s="2">
        <v>636</v>
      </c>
      <c r="B638" s="2">
        <f t="shared" ca="1" si="9"/>
        <v>0.54079273900725089</v>
      </c>
      <c r="C638" s="2" t="s">
        <v>226</v>
      </c>
    </row>
    <row r="639" spans="1:3" x14ac:dyDescent="0.2">
      <c r="A639" s="2">
        <v>637</v>
      </c>
      <c r="B639" s="2">
        <f t="shared" ca="1" si="9"/>
        <v>0.57524422853815826</v>
      </c>
      <c r="C639" s="2" t="s">
        <v>226</v>
      </c>
    </row>
    <row r="640" spans="1:3" x14ac:dyDescent="0.2">
      <c r="A640" s="2">
        <v>638</v>
      </c>
      <c r="B640" s="2">
        <f t="shared" ca="1" si="9"/>
        <v>0.64614519447509822</v>
      </c>
      <c r="C640" s="2" t="s">
        <v>227</v>
      </c>
    </row>
    <row r="641" spans="1:3" x14ac:dyDescent="0.2">
      <c r="A641" s="2">
        <v>639</v>
      </c>
      <c r="B641" s="2">
        <f t="shared" ca="1" si="9"/>
        <v>0.57455703460593488</v>
      </c>
      <c r="C641" s="2" t="s">
        <v>226</v>
      </c>
    </row>
    <row r="642" spans="1:3" x14ac:dyDescent="0.2">
      <c r="A642" s="2">
        <v>640</v>
      </c>
      <c r="B642" s="2">
        <f t="shared" ca="1" si="9"/>
        <v>0.60573249005759988</v>
      </c>
      <c r="C642" s="2" t="s">
        <v>227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0.80068639692981669</v>
      </c>
      <c r="C643" s="2" t="s">
        <v>227</v>
      </c>
    </row>
    <row r="644" spans="1:3" x14ac:dyDescent="0.2">
      <c r="A644" s="2">
        <v>642</v>
      </c>
      <c r="B644" s="2">
        <f t="shared" ca="1" si="10"/>
        <v>0.40922941423087578</v>
      </c>
      <c r="C644" s="2" t="s">
        <v>226</v>
      </c>
    </row>
    <row r="645" spans="1:3" x14ac:dyDescent="0.2">
      <c r="A645" s="2">
        <v>643</v>
      </c>
      <c r="B645" s="2">
        <f t="shared" ca="1" si="10"/>
        <v>0.81228747353353659</v>
      </c>
      <c r="C645" s="2" t="s">
        <v>227</v>
      </c>
    </row>
    <row r="646" spans="1:3" x14ac:dyDescent="0.2">
      <c r="A646" s="2">
        <v>644</v>
      </c>
      <c r="B646" s="2">
        <f t="shared" ca="1" si="10"/>
        <v>0.51068962599296774</v>
      </c>
      <c r="C646" s="2" t="s">
        <v>226</v>
      </c>
    </row>
    <row r="647" spans="1:3" x14ac:dyDescent="0.2">
      <c r="A647" s="2">
        <v>645</v>
      </c>
      <c r="B647" s="2">
        <f t="shared" ca="1" si="10"/>
        <v>0.50210219897853814</v>
      </c>
      <c r="C647" s="2" t="s">
        <v>226</v>
      </c>
    </row>
    <row r="648" spans="1:3" x14ac:dyDescent="0.2">
      <c r="A648" s="2">
        <v>646</v>
      </c>
      <c r="B648" s="2">
        <f t="shared" ca="1" si="10"/>
        <v>0.6277813908886406</v>
      </c>
      <c r="C648" s="2" t="s">
        <v>226</v>
      </c>
    </row>
    <row r="649" spans="1:3" x14ac:dyDescent="0.2">
      <c r="A649" s="2">
        <v>647</v>
      </c>
      <c r="B649" s="2">
        <f t="shared" ca="1" si="10"/>
        <v>0.63709665735471244</v>
      </c>
      <c r="C649" s="2" t="s">
        <v>227</v>
      </c>
    </row>
    <row r="650" spans="1:3" x14ac:dyDescent="0.2">
      <c r="A650" s="2">
        <v>648</v>
      </c>
      <c r="B650" s="2">
        <f t="shared" ca="1" si="10"/>
        <v>0.66519165061283725</v>
      </c>
      <c r="C650" s="2" t="s">
        <v>227</v>
      </c>
    </row>
    <row r="651" spans="1:3" x14ac:dyDescent="0.2">
      <c r="A651" s="2">
        <v>649</v>
      </c>
      <c r="B651" s="2">
        <f t="shared" ca="1" si="10"/>
        <v>0.80856634893545831</v>
      </c>
      <c r="C651" s="2" t="s">
        <v>227</v>
      </c>
    </row>
    <row r="652" spans="1:3" x14ac:dyDescent="0.2">
      <c r="A652" s="2">
        <v>650</v>
      </c>
      <c r="B652" s="2">
        <f t="shared" ca="1" si="10"/>
        <v>0.39875309701533568</v>
      </c>
      <c r="C652" s="2" t="s">
        <v>227</v>
      </c>
    </row>
    <row r="653" spans="1:3" x14ac:dyDescent="0.2">
      <c r="A653" s="2">
        <v>651</v>
      </c>
      <c r="B653" s="2">
        <f t="shared" ca="1" si="10"/>
        <v>0.68633080225921705</v>
      </c>
      <c r="C653" s="2" t="s">
        <v>226</v>
      </c>
    </row>
    <row r="654" spans="1:3" x14ac:dyDescent="0.2">
      <c r="A654" s="2">
        <v>652</v>
      </c>
      <c r="B654" s="2">
        <f t="shared" ca="1" si="10"/>
        <v>0.23730439552710958</v>
      </c>
      <c r="C654" s="2" t="s">
        <v>226</v>
      </c>
    </row>
    <row r="655" spans="1:3" x14ac:dyDescent="0.2">
      <c r="A655" s="2">
        <v>653</v>
      </c>
      <c r="B655" s="2">
        <f t="shared" ca="1" si="10"/>
        <v>0.53447513575503125</v>
      </c>
      <c r="C655" s="2" t="s">
        <v>226</v>
      </c>
    </row>
    <row r="656" spans="1:3" x14ac:dyDescent="0.2">
      <c r="A656" s="2">
        <v>654</v>
      </c>
      <c r="B656" s="2">
        <f t="shared" ca="1" si="10"/>
        <v>0.87617117834955094</v>
      </c>
      <c r="C656" s="2" t="s">
        <v>226</v>
      </c>
    </row>
    <row r="657" spans="1:3" x14ac:dyDescent="0.2">
      <c r="A657" s="2">
        <v>655</v>
      </c>
      <c r="B657" s="2">
        <f t="shared" ca="1" si="10"/>
        <v>0.70422407936561815</v>
      </c>
      <c r="C657" s="2" t="s">
        <v>226</v>
      </c>
    </row>
    <row r="658" spans="1:3" x14ac:dyDescent="0.2">
      <c r="A658" s="2">
        <v>656</v>
      </c>
      <c r="B658" s="2">
        <f t="shared" ca="1" si="10"/>
        <v>0.46701705982087538</v>
      </c>
      <c r="C658" s="2" t="s">
        <v>226</v>
      </c>
    </row>
    <row r="659" spans="1:3" x14ac:dyDescent="0.2">
      <c r="A659" s="2">
        <v>657</v>
      </c>
      <c r="B659" s="2">
        <f t="shared" ca="1" si="10"/>
        <v>0.69903488596714847</v>
      </c>
      <c r="C659" s="2" t="s">
        <v>227</v>
      </c>
    </row>
    <row r="660" spans="1:3" x14ac:dyDescent="0.2">
      <c r="A660" s="2">
        <v>658</v>
      </c>
      <c r="B660" s="2">
        <f t="shared" ca="1" si="10"/>
        <v>0.55135261577837702</v>
      </c>
      <c r="C660" s="2" t="s">
        <v>226</v>
      </c>
    </row>
    <row r="661" spans="1:3" x14ac:dyDescent="0.2">
      <c r="A661" s="2">
        <v>659</v>
      </c>
      <c r="B661" s="2">
        <f t="shared" ca="1" si="10"/>
        <v>0.75900207144424092</v>
      </c>
      <c r="C661" s="2" t="s">
        <v>227</v>
      </c>
    </row>
    <row r="662" spans="1:3" x14ac:dyDescent="0.2">
      <c r="A662" s="2">
        <v>660</v>
      </c>
      <c r="B662" s="2">
        <f t="shared" ca="1" si="10"/>
        <v>0.623497355375914</v>
      </c>
      <c r="C662" s="2" t="s">
        <v>226</v>
      </c>
    </row>
    <row r="663" spans="1:3" x14ac:dyDescent="0.2">
      <c r="A663" s="2">
        <v>661</v>
      </c>
      <c r="B663" s="2">
        <f t="shared" ca="1" si="10"/>
        <v>0.65502277105322848</v>
      </c>
      <c r="C663" s="2" t="s">
        <v>227</v>
      </c>
    </row>
    <row r="664" spans="1:3" x14ac:dyDescent="0.2">
      <c r="A664" s="2">
        <v>662</v>
      </c>
      <c r="B664" s="2">
        <f t="shared" ca="1" si="10"/>
        <v>0.37311833966421981</v>
      </c>
      <c r="C664" s="2" t="s">
        <v>226</v>
      </c>
    </row>
    <row r="665" spans="1:3" x14ac:dyDescent="0.2">
      <c r="A665" s="2">
        <v>663</v>
      </c>
      <c r="B665" s="2">
        <f t="shared" ca="1" si="10"/>
        <v>0.49436989113937369</v>
      </c>
      <c r="C665" s="2" t="s">
        <v>226</v>
      </c>
    </row>
    <row r="666" spans="1:3" x14ac:dyDescent="0.2">
      <c r="A666" s="2">
        <v>664</v>
      </c>
      <c r="B666" s="2">
        <f t="shared" ca="1" si="10"/>
        <v>0.70506398260772651</v>
      </c>
      <c r="C666" s="2" t="s">
        <v>227</v>
      </c>
    </row>
    <row r="667" spans="1:3" x14ac:dyDescent="0.2">
      <c r="A667" s="2">
        <v>665</v>
      </c>
      <c r="B667" s="2">
        <f t="shared" ca="1" si="10"/>
        <v>0.62426830962252855</v>
      </c>
      <c r="C667" s="2" t="s">
        <v>226</v>
      </c>
    </row>
    <row r="668" spans="1:3" x14ac:dyDescent="0.2">
      <c r="A668" s="2">
        <v>666</v>
      </c>
      <c r="B668" s="2">
        <f t="shared" ca="1" si="10"/>
        <v>0.58603728669428912</v>
      </c>
      <c r="C668" s="2" t="s">
        <v>226</v>
      </c>
    </row>
    <row r="669" spans="1:3" x14ac:dyDescent="0.2">
      <c r="A669" s="2">
        <v>667</v>
      </c>
      <c r="B669" s="2">
        <f t="shared" ca="1" si="10"/>
        <v>0.58399828446810553</v>
      </c>
      <c r="C669" s="2" t="s">
        <v>227</v>
      </c>
    </row>
    <row r="670" spans="1:3" x14ac:dyDescent="0.2">
      <c r="A670" s="2">
        <v>668</v>
      </c>
      <c r="B670" s="2">
        <f t="shared" ca="1" si="10"/>
        <v>0.49038630200297612</v>
      </c>
      <c r="C670" s="2" t="s">
        <v>226</v>
      </c>
    </row>
    <row r="671" spans="1:3" x14ac:dyDescent="0.2">
      <c r="A671" s="2">
        <v>669</v>
      </c>
      <c r="B671" s="2">
        <f t="shared" ca="1" si="10"/>
        <v>0.80409970110524331</v>
      </c>
      <c r="C671" s="2" t="s">
        <v>226</v>
      </c>
    </row>
    <row r="672" spans="1:3" x14ac:dyDescent="0.2">
      <c r="A672" s="2">
        <v>670</v>
      </c>
      <c r="B672" s="2">
        <f t="shared" ca="1" si="10"/>
        <v>0.70715954316956475</v>
      </c>
      <c r="C672" s="2" t="s">
        <v>226</v>
      </c>
    </row>
    <row r="673" spans="1:3" x14ac:dyDescent="0.2">
      <c r="A673" s="2">
        <v>671</v>
      </c>
      <c r="B673" s="2">
        <f t="shared" ca="1" si="10"/>
        <v>0.67557446545862698</v>
      </c>
      <c r="C673" s="2" t="s">
        <v>226</v>
      </c>
    </row>
    <row r="674" spans="1:3" x14ac:dyDescent="0.2">
      <c r="A674" s="2">
        <v>672</v>
      </c>
      <c r="B674" s="2">
        <f t="shared" ca="1" si="10"/>
        <v>0.55494349722174385</v>
      </c>
      <c r="C674" s="2" t="s">
        <v>226</v>
      </c>
    </row>
    <row r="675" spans="1:3" x14ac:dyDescent="0.2">
      <c r="A675" s="2">
        <v>673</v>
      </c>
      <c r="B675" s="2">
        <f t="shared" ca="1" si="10"/>
        <v>0.49677187265766093</v>
      </c>
      <c r="C675" s="2" t="s">
        <v>226</v>
      </c>
    </row>
    <row r="676" spans="1:3" x14ac:dyDescent="0.2">
      <c r="A676" s="2">
        <v>674</v>
      </c>
      <c r="B676" s="2">
        <f t="shared" ca="1" si="10"/>
        <v>0.79074739167418739</v>
      </c>
      <c r="C676" s="2" t="s">
        <v>227</v>
      </c>
    </row>
    <row r="677" spans="1:3" x14ac:dyDescent="0.2">
      <c r="A677" s="2">
        <v>675</v>
      </c>
      <c r="B677" s="2">
        <f t="shared" ca="1" si="10"/>
        <v>0.39111159665341821</v>
      </c>
      <c r="C677" s="2" t="s">
        <v>226</v>
      </c>
    </row>
    <row r="678" spans="1:3" x14ac:dyDescent="0.2">
      <c r="A678" s="2">
        <v>676</v>
      </c>
      <c r="B678" s="2">
        <f t="shared" ca="1" si="10"/>
        <v>0.68518962269129013</v>
      </c>
      <c r="C678" s="2" t="s">
        <v>227</v>
      </c>
    </row>
    <row r="679" spans="1:3" x14ac:dyDescent="0.2">
      <c r="A679" s="2">
        <v>677</v>
      </c>
      <c r="B679" s="2">
        <f t="shared" ca="1" si="10"/>
        <v>0.95527748927933698</v>
      </c>
      <c r="C679" s="2" t="s">
        <v>226</v>
      </c>
    </row>
    <row r="680" spans="1:3" x14ac:dyDescent="0.2">
      <c r="A680" s="2">
        <v>678</v>
      </c>
      <c r="B680" s="2">
        <f t="shared" ca="1" si="10"/>
        <v>0.69052184391623572</v>
      </c>
      <c r="C680" s="2" t="s">
        <v>227</v>
      </c>
    </row>
    <row r="681" spans="1:3" x14ac:dyDescent="0.2">
      <c r="A681" s="2">
        <v>679</v>
      </c>
      <c r="B681" s="2">
        <f t="shared" ca="1" si="10"/>
        <v>0.6840479282097065</v>
      </c>
      <c r="C681" s="2" t="s">
        <v>226</v>
      </c>
    </row>
    <row r="682" spans="1:3" x14ac:dyDescent="0.2">
      <c r="A682" s="2">
        <v>680</v>
      </c>
      <c r="B682" s="2">
        <f t="shared" ca="1" si="10"/>
        <v>0.56570721466153795</v>
      </c>
      <c r="C682" s="2" t="s">
        <v>226</v>
      </c>
    </row>
    <row r="683" spans="1:3" x14ac:dyDescent="0.2">
      <c r="A683" s="2">
        <v>681</v>
      </c>
      <c r="B683" s="2">
        <f t="shared" ca="1" si="10"/>
        <v>0.7184510077017503</v>
      </c>
      <c r="C683" s="2" t="s">
        <v>226</v>
      </c>
    </row>
    <row r="684" spans="1:3" x14ac:dyDescent="0.2">
      <c r="A684" s="2">
        <v>682</v>
      </c>
      <c r="B684" s="2">
        <f t="shared" ca="1" si="10"/>
        <v>0.4934192451042243</v>
      </c>
      <c r="C684" s="2" t="s">
        <v>226</v>
      </c>
    </row>
    <row r="685" spans="1:3" x14ac:dyDescent="0.2">
      <c r="A685" s="2">
        <v>683</v>
      </c>
      <c r="B685" s="2">
        <f t="shared" ca="1" si="10"/>
        <v>0.60968045060545395</v>
      </c>
      <c r="C685" s="2" t="s">
        <v>226</v>
      </c>
    </row>
    <row r="686" spans="1:3" x14ac:dyDescent="0.2">
      <c r="A686" s="2">
        <v>684</v>
      </c>
      <c r="B686" s="2">
        <f t="shared" ca="1" si="10"/>
        <v>0.62641887560893661</v>
      </c>
      <c r="C686" s="2" t="s">
        <v>226</v>
      </c>
    </row>
    <row r="687" spans="1:3" x14ac:dyDescent="0.2">
      <c r="A687" s="2">
        <v>685</v>
      </c>
      <c r="B687" s="2">
        <f t="shared" ca="1" si="10"/>
        <v>0.57780568690320933</v>
      </c>
      <c r="C687" s="2" t="s">
        <v>227</v>
      </c>
    </row>
    <row r="688" spans="1:3" x14ac:dyDescent="0.2">
      <c r="A688" s="2">
        <v>686</v>
      </c>
      <c r="B688" s="2">
        <f t="shared" ca="1" si="10"/>
        <v>0.90548972092081992</v>
      </c>
      <c r="C688" s="2" t="s">
        <v>226</v>
      </c>
    </row>
    <row r="689" spans="1:3" x14ac:dyDescent="0.2">
      <c r="A689" s="2">
        <v>687</v>
      </c>
      <c r="B689" s="2">
        <f t="shared" ca="1" si="10"/>
        <v>0.76715478619733835</v>
      </c>
      <c r="C689" s="2" t="s">
        <v>226</v>
      </c>
    </row>
    <row r="690" spans="1:3" x14ac:dyDescent="0.2">
      <c r="A690" s="2">
        <v>688</v>
      </c>
      <c r="B690" s="2">
        <f t="shared" ca="1" si="10"/>
        <v>0.53430852216043878</v>
      </c>
      <c r="C690" s="2" t="s">
        <v>226</v>
      </c>
    </row>
    <row r="691" spans="1:3" x14ac:dyDescent="0.2">
      <c r="A691" s="2">
        <v>689</v>
      </c>
      <c r="B691" s="2">
        <f t="shared" ca="1" si="10"/>
        <v>0.77756339690684384</v>
      </c>
      <c r="C691" s="2" t="s">
        <v>226</v>
      </c>
    </row>
    <row r="692" spans="1:3" x14ac:dyDescent="0.2">
      <c r="A692" s="2">
        <v>690</v>
      </c>
      <c r="B692" s="2">
        <f t="shared" ca="1" si="10"/>
        <v>0.78383950772480993</v>
      </c>
      <c r="C692" s="2" t="s">
        <v>227</v>
      </c>
    </row>
    <row r="693" spans="1:3" x14ac:dyDescent="0.2">
      <c r="A693" s="2">
        <v>691</v>
      </c>
      <c r="B693" s="2">
        <f t="shared" ca="1" si="10"/>
        <v>0.78894699092790055</v>
      </c>
      <c r="C693" s="2" t="s">
        <v>227</v>
      </c>
    </row>
    <row r="694" spans="1:3" x14ac:dyDescent="0.2">
      <c r="A694" s="2">
        <v>692</v>
      </c>
      <c r="B694" s="2">
        <f t="shared" ca="1" si="10"/>
        <v>0.72717492374317849</v>
      </c>
      <c r="C694" s="2" t="s">
        <v>227</v>
      </c>
    </row>
    <row r="695" spans="1:3" x14ac:dyDescent="0.2">
      <c r="A695" s="2">
        <v>693</v>
      </c>
      <c r="B695" s="2">
        <f t="shared" ca="1" si="10"/>
        <v>0.61082639352805201</v>
      </c>
      <c r="C695" s="2" t="s">
        <v>227</v>
      </c>
    </row>
    <row r="696" spans="1:3" x14ac:dyDescent="0.2">
      <c r="A696" s="2">
        <v>694</v>
      </c>
      <c r="B696" s="2">
        <f t="shared" ca="1" si="10"/>
        <v>0.33563885113807357</v>
      </c>
      <c r="C696" s="2" t="s">
        <v>226</v>
      </c>
    </row>
    <row r="697" spans="1:3" x14ac:dyDescent="0.2">
      <c r="A697" s="2">
        <v>695</v>
      </c>
      <c r="B697" s="2">
        <f t="shared" ca="1" si="10"/>
        <v>0.73746265516574927</v>
      </c>
      <c r="C697" s="2" t="s">
        <v>226</v>
      </c>
    </row>
    <row r="698" spans="1:3" x14ac:dyDescent="0.2">
      <c r="A698" s="2">
        <v>696</v>
      </c>
      <c r="B698" s="2">
        <f t="shared" ca="1" si="10"/>
        <v>0.58292767738587448</v>
      </c>
      <c r="C698" s="2" t="s">
        <v>226</v>
      </c>
    </row>
    <row r="699" spans="1:3" x14ac:dyDescent="0.2">
      <c r="A699" s="2">
        <v>697</v>
      </c>
      <c r="B699" s="2">
        <f t="shared" ca="1" si="10"/>
        <v>0.63702952623603593</v>
      </c>
      <c r="C699" s="2" t="s">
        <v>226</v>
      </c>
    </row>
    <row r="700" spans="1:3" x14ac:dyDescent="0.2">
      <c r="A700" s="2">
        <v>698</v>
      </c>
      <c r="B700" s="2">
        <f t="shared" ca="1" si="10"/>
        <v>0.55873813026726571</v>
      </c>
      <c r="C700" s="2" t="s">
        <v>227</v>
      </c>
    </row>
    <row r="701" spans="1:3" x14ac:dyDescent="0.2">
      <c r="A701" s="2">
        <v>699</v>
      </c>
      <c r="B701" s="2">
        <f t="shared" ca="1" si="10"/>
        <v>0.73687765644349057</v>
      </c>
      <c r="C701" s="2" t="s">
        <v>226</v>
      </c>
    </row>
    <row r="702" spans="1:3" x14ac:dyDescent="0.2">
      <c r="A702" s="2">
        <v>700</v>
      </c>
      <c r="B702" s="2">
        <f t="shared" ca="1" si="10"/>
        <v>0.50339327867034678</v>
      </c>
      <c r="C702" s="2" t="s">
        <v>226</v>
      </c>
    </row>
    <row r="703" spans="1:3" x14ac:dyDescent="0.2">
      <c r="A703" s="2">
        <v>701</v>
      </c>
      <c r="B703" s="2">
        <f t="shared" ca="1" si="10"/>
        <v>0.9109304024899636</v>
      </c>
      <c r="C703" s="2" t="s">
        <v>226</v>
      </c>
    </row>
    <row r="704" spans="1:3" x14ac:dyDescent="0.2">
      <c r="A704" s="2">
        <v>702</v>
      </c>
      <c r="B704" s="2">
        <f t="shared" ca="1" si="10"/>
        <v>0.71395726154673811</v>
      </c>
      <c r="C704" s="2" t="s">
        <v>226</v>
      </c>
    </row>
    <row r="705" spans="1:3" x14ac:dyDescent="0.2">
      <c r="A705" s="2">
        <v>703</v>
      </c>
      <c r="B705" s="2">
        <f t="shared" ca="1" si="10"/>
        <v>0.75635952423248776</v>
      </c>
      <c r="C705" s="2" t="s">
        <v>227</v>
      </c>
    </row>
    <row r="706" spans="1:3" x14ac:dyDescent="0.2">
      <c r="A706" s="2">
        <v>704</v>
      </c>
      <c r="B706" s="2">
        <f t="shared" ca="1" si="10"/>
        <v>0.70974849947010576</v>
      </c>
      <c r="C706" s="2" t="s">
        <v>227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0.55390553279704069</v>
      </c>
      <c r="C707" s="2" t="s">
        <v>226</v>
      </c>
    </row>
    <row r="708" spans="1:3" x14ac:dyDescent="0.2">
      <c r="A708" s="2">
        <v>706</v>
      </c>
      <c r="B708" s="2">
        <f t="shared" ca="1" si="11"/>
        <v>0.60178221404504695</v>
      </c>
      <c r="C708" s="2" t="s">
        <v>226</v>
      </c>
    </row>
    <row r="709" spans="1:3" x14ac:dyDescent="0.2">
      <c r="A709" s="2">
        <v>707</v>
      </c>
      <c r="B709" s="2">
        <f t="shared" ca="1" si="11"/>
        <v>0.57868205645385518</v>
      </c>
      <c r="C709" s="2" t="s">
        <v>226</v>
      </c>
    </row>
    <row r="710" spans="1:3" x14ac:dyDescent="0.2">
      <c r="A710" s="2">
        <v>708</v>
      </c>
      <c r="B710" s="2">
        <f t="shared" ca="1" si="11"/>
        <v>0.74026973025023113</v>
      </c>
      <c r="C710" s="2" t="s">
        <v>227</v>
      </c>
    </row>
    <row r="711" spans="1:3" x14ac:dyDescent="0.2">
      <c r="A711" s="2">
        <v>709</v>
      </c>
      <c r="B711" s="2">
        <f t="shared" ca="1" si="11"/>
        <v>0.55139789052439248</v>
      </c>
      <c r="C711" s="2" t="s">
        <v>227</v>
      </c>
    </row>
    <row r="712" spans="1:3" x14ac:dyDescent="0.2">
      <c r="A712" s="2">
        <v>710</v>
      </c>
      <c r="B712" s="2">
        <f t="shared" ca="1" si="11"/>
        <v>0.77443121011674398</v>
      </c>
      <c r="C712" s="2" t="s">
        <v>227</v>
      </c>
    </row>
    <row r="713" spans="1:3" x14ac:dyDescent="0.2">
      <c r="A713" s="2">
        <v>711</v>
      </c>
      <c r="B713" s="2">
        <f t="shared" ca="1" si="11"/>
        <v>0.78040061567660646</v>
      </c>
      <c r="C713" s="2" t="s">
        <v>226</v>
      </c>
    </row>
    <row r="714" spans="1:3" x14ac:dyDescent="0.2">
      <c r="A714" s="2">
        <v>712</v>
      </c>
      <c r="B714" s="2">
        <f t="shared" ca="1" si="11"/>
        <v>0.71825519899782297</v>
      </c>
      <c r="C714" s="2" t="s">
        <v>227</v>
      </c>
    </row>
    <row r="715" spans="1:3" x14ac:dyDescent="0.2">
      <c r="A715" s="2">
        <v>713</v>
      </c>
      <c r="B715" s="2">
        <f t="shared" ca="1" si="11"/>
        <v>0.60326632486023746</v>
      </c>
      <c r="C715" s="2" t="s">
        <v>226</v>
      </c>
    </row>
    <row r="716" spans="1:3" x14ac:dyDescent="0.2">
      <c r="A716" s="2">
        <v>714</v>
      </c>
      <c r="B716" s="2">
        <f t="shared" ca="1" si="11"/>
        <v>0.49842370026263316</v>
      </c>
      <c r="C716" s="2" t="s">
        <v>226</v>
      </c>
    </row>
    <row r="717" spans="1:3" x14ac:dyDescent="0.2">
      <c r="A717" s="2">
        <v>715</v>
      </c>
      <c r="B717" s="2">
        <f t="shared" ca="1" si="11"/>
        <v>0.74426797149832458</v>
      </c>
      <c r="C717" s="2" t="s">
        <v>226</v>
      </c>
    </row>
    <row r="718" spans="1:3" x14ac:dyDescent="0.2">
      <c r="A718" s="2">
        <v>716</v>
      </c>
      <c r="B718" s="2">
        <f t="shared" ca="1" si="11"/>
        <v>0.56075009805148923</v>
      </c>
      <c r="C718" s="2" t="s">
        <v>227</v>
      </c>
    </row>
    <row r="719" spans="1:3" x14ac:dyDescent="0.2">
      <c r="A719" s="2">
        <v>717</v>
      </c>
      <c r="B719" s="2">
        <f t="shared" ca="1" si="11"/>
        <v>0.65170216944930071</v>
      </c>
      <c r="C719" s="2" t="s">
        <v>226</v>
      </c>
    </row>
    <row r="720" spans="1:3" x14ac:dyDescent="0.2">
      <c r="A720" s="2">
        <v>718</v>
      </c>
      <c r="B720" s="2">
        <f t="shared" ca="1" si="11"/>
        <v>0.68314456734880424</v>
      </c>
      <c r="C720" s="2" t="s">
        <v>226</v>
      </c>
    </row>
    <row r="721" spans="1:3" x14ac:dyDescent="0.2">
      <c r="A721" s="2">
        <v>719</v>
      </c>
      <c r="B721" s="2">
        <f t="shared" ca="1" si="11"/>
        <v>0.54428072624772073</v>
      </c>
      <c r="C721" s="2" t="s">
        <v>226</v>
      </c>
    </row>
    <row r="722" spans="1:3" x14ac:dyDescent="0.2">
      <c r="A722" s="2">
        <v>720</v>
      </c>
      <c r="B722" s="2">
        <f t="shared" ca="1" si="11"/>
        <v>0.34009950405192785</v>
      </c>
      <c r="C722" s="2" t="s">
        <v>226</v>
      </c>
    </row>
    <row r="723" spans="1:3" x14ac:dyDescent="0.2">
      <c r="A723" s="2">
        <v>721</v>
      </c>
      <c r="B723" s="2">
        <f t="shared" ca="1" si="11"/>
        <v>0.86809089912322024</v>
      </c>
      <c r="C723" s="2" t="s">
        <v>227</v>
      </c>
    </row>
    <row r="724" spans="1:3" x14ac:dyDescent="0.2">
      <c r="A724" s="2">
        <v>722</v>
      </c>
      <c r="B724" s="2">
        <f t="shared" ca="1" si="11"/>
        <v>0.53087094430593895</v>
      </c>
      <c r="C724" s="2" t="s">
        <v>226</v>
      </c>
    </row>
    <row r="725" spans="1:3" x14ac:dyDescent="0.2">
      <c r="A725" s="2">
        <v>723</v>
      </c>
      <c r="B725" s="2">
        <f t="shared" ca="1" si="11"/>
        <v>0.51807348357216709</v>
      </c>
      <c r="C725" s="2" t="s">
        <v>227</v>
      </c>
    </row>
    <row r="726" spans="1:3" x14ac:dyDescent="0.2">
      <c r="A726" s="2">
        <v>724</v>
      </c>
      <c r="B726" s="2">
        <f t="shared" ca="1" si="11"/>
        <v>0.60866491466266426</v>
      </c>
      <c r="C726" s="2" t="s">
        <v>227</v>
      </c>
    </row>
    <row r="727" spans="1:3" x14ac:dyDescent="0.2">
      <c r="A727" s="2">
        <v>725</v>
      </c>
      <c r="B727" s="2">
        <f t="shared" ca="1" si="11"/>
        <v>0.33101330608527191</v>
      </c>
      <c r="C727" s="2" t="s">
        <v>226</v>
      </c>
    </row>
    <row r="728" spans="1:3" x14ac:dyDescent="0.2">
      <c r="A728" s="2">
        <v>726</v>
      </c>
      <c r="B728" s="2">
        <f t="shared" ca="1" si="11"/>
        <v>0.46071453614544111</v>
      </c>
      <c r="C728" s="2" t="s">
        <v>226</v>
      </c>
    </row>
    <row r="729" spans="1:3" x14ac:dyDescent="0.2">
      <c r="A729" s="2">
        <v>727</v>
      </c>
      <c r="B729" s="2">
        <f t="shared" ca="1" si="11"/>
        <v>0.90415307398039679</v>
      </c>
      <c r="C729" s="2" t="s">
        <v>227</v>
      </c>
    </row>
    <row r="730" spans="1:3" x14ac:dyDescent="0.2">
      <c r="A730" s="2">
        <v>728</v>
      </c>
      <c r="B730" s="2">
        <f t="shared" ca="1" si="11"/>
        <v>0.45453010427201745</v>
      </c>
      <c r="C730" s="2" t="s">
        <v>226</v>
      </c>
    </row>
    <row r="731" spans="1:3" x14ac:dyDescent="0.2">
      <c r="A731" s="2">
        <v>729</v>
      </c>
      <c r="B731" s="2">
        <f t="shared" ca="1" si="11"/>
        <v>0.7935598071826141</v>
      </c>
      <c r="C731" s="2" t="s">
        <v>227</v>
      </c>
    </row>
    <row r="732" spans="1:3" x14ac:dyDescent="0.2">
      <c r="A732" s="2">
        <v>730</v>
      </c>
      <c r="B732" s="2">
        <f t="shared" ca="1" si="11"/>
        <v>0.83265119919011299</v>
      </c>
      <c r="C732" s="2" t="s">
        <v>227</v>
      </c>
    </row>
    <row r="733" spans="1:3" x14ac:dyDescent="0.2">
      <c r="A733" s="2">
        <v>731</v>
      </c>
      <c r="B733" s="2">
        <f t="shared" ca="1" si="11"/>
        <v>0.8499373128486083</v>
      </c>
      <c r="C733" s="2" t="s">
        <v>227</v>
      </c>
    </row>
    <row r="734" spans="1:3" x14ac:dyDescent="0.2">
      <c r="A734" s="2">
        <v>732</v>
      </c>
      <c r="B734" s="2">
        <f t="shared" ca="1" si="11"/>
        <v>0.86236726099761241</v>
      </c>
      <c r="C734" s="2" t="s">
        <v>226</v>
      </c>
    </row>
    <row r="735" spans="1:3" x14ac:dyDescent="0.2">
      <c r="A735" s="2">
        <v>733</v>
      </c>
      <c r="B735" s="2">
        <f t="shared" ca="1" si="11"/>
        <v>0.8083869056745201</v>
      </c>
      <c r="C735" s="2" t="s">
        <v>226</v>
      </c>
    </row>
    <row r="736" spans="1:3" x14ac:dyDescent="0.2">
      <c r="A736" s="2">
        <v>734</v>
      </c>
      <c r="B736" s="2">
        <f t="shared" ca="1" si="11"/>
        <v>0.41577018107468411</v>
      </c>
      <c r="C736" s="2" t="s">
        <v>226</v>
      </c>
    </row>
    <row r="737" spans="1:3" x14ac:dyDescent="0.2">
      <c r="A737" s="2">
        <v>735</v>
      </c>
      <c r="B737" s="2">
        <f t="shared" ca="1" si="11"/>
        <v>0.84455955208587175</v>
      </c>
      <c r="C737" s="2" t="s">
        <v>227</v>
      </c>
    </row>
    <row r="738" spans="1:3" x14ac:dyDescent="0.2">
      <c r="A738" s="2">
        <v>736</v>
      </c>
      <c r="B738" s="2">
        <f t="shared" ca="1" si="11"/>
        <v>0.75218862092070538</v>
      </c>
      <c r="C738" s="2" t="s">
        <v>227</v>
      </c>
    </row>
    <row r="739" spans="1:3" x14ac:dyDescent="0.2">
      <c r="A739" s="2">
        <v>737</v>
      </c>
      <c r="B739" s="2">
        <f t="shared" ca="1" si="11"/>
        <v>0.67076999700771178</v>
      </c>
      <c r="C739" s="2" t="s">
        <v>226</v>
      </c>
    </row>
    <row r="740" spans="1:3" x14ac:dyDescent="0.2">
      <c r="A740" s="2">
        <v>738</v>
      </c>
      <c r="B740" s="2">
        <f t="shared" ca="1" si="11"/>
        <v>0.55781958051886127</v>
      </c>
      <c r="C740" s="2" t="s">
        <v>226</v>
      </c>
    </row>
    <row r="741" spans="1:3" x14ac:dyDescent="0.2">
      <c r="A741" s="2">
        <v>739</v>
      </c>
      <c r="B741" s="2">
        <f t="shared" ca="1" si="11"/>
        <v>0.62894332385852758</v>
      </c>
      <c r="C741" s="2" t="s">
        <v>227</v>
      </c>
    </row>
    <row r="742" spans="1:3" x14ac:dyDescent="0.2">
      <c r="A742" s="2">
        <v>740</v>
      </c>
      <c r="B742" s="2">
        <f t="shared" ca="1" si="11"/>
        <v>0.90944534641956398</v>
      </c>
      <c r="C742" s="2" t="s">
        <v>226</v>
      </c>
    </row>
    <row r="743" spans="1:3" x14ac:dyDescent="0.2">
      <c r="A743" s="2">
        <v>741</v>
      </c>
      <c r="B743" s="2">
        <f t="shared" ca="1" si="11"/>
        <v>0.61130870395007053</v>
      </c>
      <c r="C743" s="2" t="s">
        <v>226</v>
      </c>
    </row>
    <row r="744" spans="1:3" x14ac:dyDescent="0.2">
      <c r="A744" s="2">
        <v>742</v>
      </c>
      <c r="B744" s="2">
        <f t="shared" ca="1" si="11"/>
        <v>0.50312266317762588</v>
      </c>
      <c r="C744" s="2" t="s">
        <v>226</v>
      </c>
    </row>
    <row r="745" spans="1:3" x14ac:dyDescent="0.2">
      <c r="A745" s="2">
        <v>743</v>
      </c>
      <c r="B745" s="2">
        <f t="shared" ca="1" si="11"/>
        <v>0.58175426000804975</v>
      </c>
      <c r="C745" s="2" t="s">
        <v>226</v>
      </c>
    </row>
    <row r="746" spans="1:3" x14ac:dyDescent="0.2">
      <c r="A746" s="2">
        <v>744</v>
      </c>
      <c r="B746" s="2">
        <f t="shared" ca="1" si="11"/>
        <v>0.6197211246916976</v>
      </c>
      <c r="C746" s="2" t="s">
        <v>226</v>
      </c>
    </row>
    <row r="747" spans="1:3" x14ac:dyDescent="0.2">
      <c r="A747" s="2">
        <v>745</v>
      </c>
      <c r="B747" s="2">
        <f t="shared" ca="1" si="11"/>
        <v>0.41260940047262329</v>
      </c>
      <c r="C747" s="2" t="s">
        <v>226</v>
      </c>
    </row>
    <row r="748" spans="1:3" x14ac:dyDescent="0.2">
      <c r="A748" s="2">
        <v>746</v>
      </c>
      <c r="B748" s="2">
        <f t="shared" ca="1" si="11"/>
        <v>0.63691304039769214</v>
      </c>
      <c r="C748" s="2" t="s">
        <v>227</v>
      </c>
    </row>
    <row r="749" spans="1:3" x14ac:dyDescent="0.2">
      <c r="A749" s="2">
        <v>747</v>
      </c>
      <c r="B749" s="2">
        <f t="shared" ca="1" si="11"/>
        <v>0.61917085227681823</v>
      </c>
      <c r="C749" s="2" t="s">
        <v>227</v>
      </c>
    </row>
    <row r="750" spans="1:3" x14ac:dyDescent="0.2">
      <c r="A750" s="2">
        <v>748</v>
      </c>
      <c r="B750" s="2">
        <f t="shared" ca="1" si="11"/>
        <v>0.70001644749201342</v>
      </c>
      <c r="C750" s="2" t="s">
        <v>226</v>
      </c>
    </row>
    <row r="751" spans="1:3" x14ac:dyDescent="0.2">
      <c r="A751" s="2">
        <v>749</v>
      </c>
      <c r="B751" s="2">
        <f t="shared" ca="1" si="11"/>
        <v>0.63397590256425218</v>
      </c>
      <c r="C751" s="2" t="s">
        <v>227</v>
      </c>
    </row>
    <row r="752" spans="1:3" x14ac:dyDescent="0.2">
      <c r="A752" s="2">
        <v>750</v>
      </c>
      <c r="B752" s="2">
        <f t="shared" ca="1" si="11"/>
        <v>0.70465993384586656</v>
      </c>
      <c r="C752" s="2" t="s">
        <v>226</v>
      </c>
    </row>
    <row r="753" spans="1:3" x14ac:dyDescent="0.2">
      <c r="A753" s="2">
        <v>751</v>
      </c>
      <c r="B753" s="2">
        <f t="shared" ca="1" si="11"/>
        <v>0.78500262965771528</v>
      </c>
      <c r="C753" s="2" t="s">
        <v>227</v>
      </c>
    </row>
    <row r="754" spans="1:3" x14ac:dyDescent="0.2">
      <c r="A754" s="2">
        <v>752</v>
      </c>
      <c r="B754" s="2">
        <f t="shared" ca="1" si="11"/>
        <v>0.67159243298535387</v>
      </c>
      <c r="C754" s="2" t="s">
        <v>227</v>
      </c>
    </row>
    <row r="755" spans="1:3" x14ac:dyDescent="0.2">
      <c r="A755" s="2">
        <v>753</v>
      </c>
      <c r="B755" s="2">
        <f t="shared" ca="1" si="11"/>
        <v>0.82766390794790878</v>
      </c>
      <c r="C755" s="2" t="s">
        <v>227</v>
      </c>
    </row>
    <row r="756" spans="1:3" x14ac:dyDescent="0.2">
      <c r="A756" s="2">
        <v>754</v>
      </c>
      <c r="B756" s="2">
        <f t="shared" ca="1" si="11"/>
        <v>0.56712027476378657</v>
      </c>
      <c r="C756" s="2" t="s">
        <v>227</v>
      </c>
    </row>
    <row r="757" spans="1:3" x14ac:dyDescent="0.2">
      <c r="A757" s="2">
        <v>755</v>
      </c>
      <c r="B757" s="2">
        <f t="shared" ca="1" si="11"/>
        <v>0.69111064346442985</v>
      </c>
      <c r="C757" s="2" t="s">
        <v>226</v>
      </c>
    </row>
    <row r="758" spans="1:3" x14ac:dyDescent="0.2">
      <c r="A758" s="2">
        <v>756</v>
      </c>
      <c r="B758" s="2">
        <f t="shared" ca="1" si="11"/>
        <v>0.71191537424828244</v>
      </c>
      <c r="C758" s="2" t="s">
        <v>227</v>
      </c>
    </row>
    <row r="759" spans="1:3" x14ac:dyDescent="0.2">
      <c r="A759" s="2">
        <v>757</v>
      </c>
      <c r="B759" s="2">
        <f t="shared" ca="1" si="11"/>
        <v>0.84101497107285461</v>
      </c>
      <c r="C759" s="2" t="s">
        <v>227</v>
      </c>
    </row>
    <row r="760" spans="1:3" x14ac:dyDescent="0.2">
      <c r="A760" s="2">
        <v>758</v>
      </c>
      <c r="B760" s="2">
        <f t="shared" ca="1" si="11"/>
        <v>0.83511149768598703</v>
      </c>
      <c r="C760" s="2" t="s">
        <v>227</v>
      </c>
    </row>
    <row r="761" spans="1:3" x14ac:dyDescent="0.2">
      <c r="A761" s="2">
        <v>759</v>
      </c>
      <c r="B761" s="2">
        <f t="shared" ca="1" si="11"/>
        <v>0.65219778596484201</v>
      </c>
      <c r="C761" s="2" t="s">
        <v>226</v>
      </c>
    </row>
    <row r="762" spans="1:3" x14ac:dyDescent="0.2">
      <c r="A762" s="2">
        <v>760</v>
      </c>
      <c r="B762" s="2">
        <f t="shared" ca="1" si="11"/>
        <v>0.70289816743930034</v>
      </c>
      <c r="C762" s="2" t="s">
        <v>227</v>
      </c>
    </row>
    <row r="763" spans="1:3" x14ac:dyDescent="0.2">
      <c r="A763" s="2">
        <v>761</v>
      </c>
      <c r="B763" s="2">
        <f t="shared" ca="1" si="11"/>
        <v>0.60551897432478086</v>
      </c>
      <c r="C763" s="2" t="s">
        <v>226</v>
      </c>
    </row>
    <row r="764" spans="1:3" x14ac:dyDescent="0.2">
      <c r="A764" s="2">
        <v>762</v>
      </c>
      <c r="B764" s="2">
        <f t="shared" ca="1" si="11"/>
        <v>0.54314096641501231</v>
      </c>
      <c r="C764" s="2" t="s">
        <v>226</v>
      </c>
    </row>
    <row r="765" spans="1:3" x14ac:dyDescent="0.2">
      <c r="A765" s="2">
        <v>763</v>
      </c>
      <c r="B765" s="2">
        <f t="shared" ca="1" si="11"/>
        <v>0.45993959575734256</v>
      </c>
      <c r="C765" s="2" t="s">
        <v>226</v>
      </c>
    </row>
    <row r="766" spans="1:3" x14ac:dyDescent="0.2">
      <c r="A766" s="2">
        <v>764</v>
      </c>
      <c r="B766" s="2">
        <f t="shared" ca="1" si="11"/>
        <v>0.72188509266653833</v>
      </c>
      <c r="C766" s="2" t="s">
        <v>226</v>
      </c>
    </row>
    <row r="767" spans="1:3" x14ac:dyDescent="0.2">
      <c r="A767" s="2">
        <v>765</v>
      </c>
      <c r="B767" s="2">
        <f t="shared" ca="1" si="11"/>
        <v>0.52504924340353976</v>
      </c>
      <c r="C767" s="2" t="s">
        <v>226</v>
      </c>
    </row>
    <row r="768" spans="1:3" x14ac:dyDescent="0.2">
      <c r="A768" s="2">
        <v>766</v>
      </c>
      <c r="B768" s="2">
        <f t="shared" ca="1" si="11"/>
        <v>0.89738442363511195</v>
      </c>
      <c r="C768" s="2" t="s">
        <v>226</v>
      </c>
    </row>
    <row r="769" spans="1:3" x14ac:dyDescent="0.2">
      <c r="A769" s="2">
        <v>767</v>
      </c>
      <c r="B769" s="2">
        <f t="shared" ca="1" si="11"/>
        <v>0.73906837018383043</v>
      </c>
      <c r="C769" s="2" t="s">
        <v>227</v>
      </c>
    </row>
    <row r="770" spans="1:3" x14ac:dyDescent="0.2">
      <c r="A770" s="2">
        <v>768</v>
      </c>
      <c r="B770" s="2">
        <f t="shared" ca="1" si="11"/>
        <v>0.56817665138809403</v>
      </c>
      <c r="C770" s="2" t="s">
        <v>227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0.45530639422197872</v>
      </c>
      <c r="C771" s="2" t="s">
        <v>226</v>
      </c>
    </row>
    <row r="772" spans="1:3" x14ac:dyDescent="0.2">
      <c r="A772" s="2">
        <v>770</v>
      </c>
      <c r="B772" s="2">
        <f t="shared" ca="1" si="12"/>
        <v>0.70992146130120448</v>
      </c>
      <c r="C772" s="2" t="s">
        <v>227</v>
      </c>
    </row>
    <row r="773" spans="1:3" x14ac:dyDescent="0.2">
      <c r="A773" s="2">
        <v>771</v>
      </c>
      <c r="B773" s="2">
        <f t="shared" ca="1" si="12"/>
        <v>0.63896047307357295</v>
      </c>
      <c r="C773" s="2" t="s">
        <v>226</v>
      </c>
    </row>
    <row r="774" spans="1:3" x14ac:dyDescent="0.2">
      <c r="A774" s="2">
        <v>772</v>
      </c>
      <c r="B774" s="2">
        <f t="shared" ca="1" si="12"/>
        <v>0.68057217836496087</v>
      </c>
      <c r="C774" s="2" t="s">
        <v>226</v>
      </c>
    </row>
    <row r="775" spans="1:3" x14ac:dyDescent="0.2">
      <c r="A775" s="2">
        <v>773</v>
      </c>
      <c r="B775" s="2">
        <f t="shared" ca="1" si="12"/>
        <v>0.89171918104696457</v>
      </c>
      <c r="C775" s="2" t="s">
        <v>226</v>
      </c>
    </row>
    <row r="776" spans="1:3" x14ac:dyDescent="0.2">
      <c r="A776" s="2">
        <v>774</v>
      </c>
      <c r="B776" s="2">
        <f t="shared" ca="1" si="12"/>
        <v>0.61398089338764383</v>
      </c>
      <c r="C776" s="2" t="s">
        <v>226</v>
      </c>
    </row>
    <row r="777" spans="1:3" x14ac:dyDescent="0.2">
      <c r="A777" s="2">
        <v>775</v>
      </c>
      <c r="B777" s="2">
        <f t="shared" ca="1" si="12"/>
        <v>0.61146067881346611</v>
      </c>
      <c r="C777" s="2" t="s">
        <v>227</v>
      </c>
    </row>
    <row r="778" spans="1:3" x14ac:dyDescent="0.2">
      <c r="A778" s="2">
        <v>776</v>
      </c>
      <c r="B778" s="2">
        <f t="shared" ca="1" si="12"/>
        <v>0.77649485357756065</v>
      </c>
      <c r="C778" s="2" t="s">
        <v>226</v>
      </c>
    </row>
    <row r="779" spans="1:3" x14ac:dyDescent="0.2">
      <c r="A779" s="2">
        <v>777</v>
      </c>
      <c r="B779" s="2">
        <f t="shared" ca="1" si="12"/>
        <v>0.66472558386277547</v>
      </c>
      <c r="C779" s="2" t="s">
        <v>227</v>
      </c>
    </row>
    <row r="780" spans="1:3" x14ac:dyDescent="0.2">
      <c r="A780" s="2">
        <v>778</v>
      </c>
      <c r="B780" s="2">
        <f t="shared" ca="1" si="12"/>
        <v>0.71341663455536819</v>
      </c>
      <c r="C780" s="2" t="s">
        <v>227</v>
      </c>
    </row>
    <row r="781" spans="1:3" x14ac:dyDescent="0.2">
      <c r="A781" s="2">
        <v>779</v>
      </c>
      <c r="B781" s="2">
        <f t="shared" ca="1" si="12"/>
        <v>0.51911486059950906</v>
      </c>
      <c r="C781" s="2" t="s">
        <v>227</v>
      </c>
    </row>
    <row r="782" spans="1:3" x14ac:dyDescent="0.2">
      <c r="A782" s="2">
        <v>780</v>
      </c>
      <c r="B782" s="2">
        <f t="shared" ca="1" si="12"/>
        <v>0.56284511477016175</v>
      </c>
      <c r="C782" s="2" t="s">
        <v>227</v>
      </c>
    </row>
    <row r="783" spans="1:3" x14ac:dyDescent="0.2">
      <c r="A783" s="2">
        <v>781</v>
      </c>
      <c r="B783" s="2">
        <f t="shared" ca="1" si="12"/>
        <v>0.70200764939732874</v>
      </c>
      <c r="C783" s="2" t="s">
        <v>227</v>
      </c>
    </row>
    <row r="784" spans="1:3" x14ac:dyDescent="0.2">
      <c r="A784" s="2">
        <v>782</v>
      </c>
      <c r="B784" s="2">
        <f t="shared" ca="1" si="12"/>
        <v>0.84621342562585034</v>
      </c>
      <c r="C784" s="2" t="s">
        <v>227</v>
      </c>
    </row>
    <row r="785" spans="1:3" x14ac:dyDescent="0.2">
      <c r="A785" s="2">
        <v>783</v>
      </c>
      <c r="B785" s="2">
        <f t="shared" ca="1" si="12"/>
        <v>0.64387199198822564</v>
      </c>
      <c r="C785" s="2" t="s">
        <v>227</v>
      </c>
    </row>
    <row r="786" spans="1:3" x14ac:dyDescent="0.2">
      <c r="A786" s="2">
        <v>784</v>
      </c>
      <c r="B786" s="2">
        <f t="shared" ca="1" si="12"/>
        <v>0.9923049090790983</v>
      </c>
      <c r="C786" s="2" t="s">
        <v>226</v>
      </c>
    </row>
    <row r="787" spans="1:3" x14ac:dyDescent="0.2">
      <c r="A787" s="2">
        <v>785</v>
      </c>
      <c r="B787" s="2">
        <f t="shared" ca="1" si="12"/>
        <v>0.9457755691497991</v>
      </c>
      <c r="C787" s="2" t="s">
        <v>226</v>
      </c>
    </row>
    <row r="788" spans="1:3" x14ac:dyDescent="0.2">
      <c r="A788" s="2">
        <v>786</v>
      </c>
      <c r="B788" s="2">
        <f t="shared" ca="1" si="12"/>
        <v>0.72289529051382362</v>
      </c>
      <c r="C788" s="2" t="s">
        <v>226</v>
      </c>
    </row>
    <row r="789" spans="1:3" x14ac:dyDescent="0.2">
      <c r="A789" s="2">
        <v>787</v>
      </c>
      <c r="B789" s="2">
        <f t="shared" ca="1" si="12"/>
        <v>0.70742828976880423</v>
      </c>
      <c r="C789" s="2" t="s">
        <v>227</v>
      </c>
    </row>
    <row r="790" spans="1:3" x14ac:dyDescent="0.2">
      <c r="A790" s="2">
        <v>788</v>
      </c>
      <c r="B790" s="2">
        <f t="shared" ca="1" si="12"/>
        <v>0.66739553025288822</v>
      </c>
      <c r="C790" s="2" t="s">
        <v>226</v>
      </c>
    </row>
    <row r="791" spans="1:3" x14ac:dyDescent="0.2">
      <c r="A791" s="2">
        <v>789</v>
      </c>
      <c r="B791" s="2">
        <f t="shared" ca="1" si="12"/>
        <v>0.82307370815837344</v>
      </c>
      <c r="C791" s="2" t="s">
        <v>227</v>
      </c>
    </row>
    <row r="792" spans="1:3" x14ac:dyDescent="0.2">
      <c r="A792" s="2">
        <v>790</v>
      </c>
      <c r="B792" s="2">
        <f t="shared" ca="1" si="12"/>
        <v>0.99122247455862666</v>
      </c>
      <c r="C792" s="2" t="s">
        <v>227</v>
      </c>
    </row>
    <row r="793" spans="1:3" x14ac:dyDescent="0.2">
      <c r="A793" s="2">
        <v>791</v>
      </c>
      <c r="B793" s="2">
        <f t="shared" ca="1" si="12"/>
        <v>0.27474320680980768</v>
      </c>
      <c r="C793" s="2" t="s">
        <v>226</v>
      </c>
    </row>
    <row r="794" spans="1:3" x14ac:dyDescent="0.2">
      <c r="A794" s="2">
        <v>792</v>
      </c>
      <c r="B794" s="2">
        <f t="shared" ca="1" si="12"/>
        <v>0.59167067432177811</v>
      </c>
      <c r="C794" s="2" t="s">
        <v>226</v>
      </c>
    </row>
    <row r="795" spans="1:3" x14ac:dyDescent="0.2">
      <c r="A795" s="2">
        <v>793</v>
      </c>
      <c r="B795" s="2">
        <f t="shared" ca="1" si="12"/>
        <v>0.71462743211630508</v>
      </c>
      <c r="C795" s="2" t="s">
        <v>227</v>
      </c>
    </row>
    <row r="796" spans="1:3" x14ac:dyDescent="0.2">
      <c r="A796" s="2">
        <v>794</v>
      </c>
      <c r="B796" s="2">
        <f t="shared" ca="1" si="12"/>
        <v>0.37978514698036869</v>
      </c>
      <c r="C796" s="2" t="s">
        <v>226</v>
      </c>
    </row>
    <row r="797" spans="1:3" x14ac:dyDescent="0.2">
      <c r="A797" s="2">
        <v>795</v>
      </c>
      <c r="B797" s="2">
        <f t="shared" ca="1" si="12"/>
        <v>0.72383246415491942</v>
      </c>
      <c r="C797" s="2" t="s">
        <v>226</v>
      </c>
    </row>
    <row r="798" spans="1:3" x14ac:dyDescent="0.2">
      <c r="A798" s="2">
        <v>796</v>
      </c>
      <c r="B798" s="2">
        <f t="shared" ca="1" si="12"/>
        <v>0.69134661541450848</v>
      </c>
      <c r="C798" s="2" t="s">
        <v>226</v>
      </c>
    </row>
    <row r="799" spans="1:3" x14ac:dyDescent="0.2">
      <c r="A799" s="2">
        <v>797</v>
      </c>
      <c r="B799" s="2">
        <f t="shared" ca="1" si="12"/>
        <v>0.49107538807929851</v>
      </c>
      <c r="C799" s="2" t="s">
        <v>226</v>
      </c>
    </row>
    <row r="800" spans="1:3" x14ac:dyDescent="0.2">
      <c r="A800" s="2">
        <v>798</v>
      </c>
      <c r="B800" s="2">
        <f t="shared" ca="1" si="12"/>
        <v>0.70367530362657782</v>
      </c>
      <c r="C800" s="2" t="s">
        <v>227</v>
      </c>
    </row>
    <row r="801" spans="1:3" x14ac:dyDescent="0.2">
      <c r="A801" s="2">
        <v>799</v>
      </c>
      <c r="B801" s="2">
        <f t="shared" ca="1" si="12"/>
        <v>0.54651382999817255</v>
      </c>
      <c r="C801" s="2" t="s">
        <v>226</v>
      </c>
    </row>
    <row r="802" spans="1:3" x14ac:dyDescent="0.2">
      <c r="A802" s="2">
        <v>800</v>
      </c>
      <c r="B802" s="2">
        <f t="shared" ca="1" si="12"/>
        <v>0.78940097978469892</v>
      </c>
      <c r="C802" s="2" t="s">
        <v>226</v>
      </c>
    </row>
    <row r="803" spans="1:3" x14ac:dyDescent="0.2">
      <c r="A803" s="2">
        <v>801</v>
      </c>
      <c r="B803" s="2">
        <f t="shared" ca="1" si="12"/>
        <v>0.55991483575633205</v>
      </c>
      <c r="C803" s="2" t="s">
        <v>226</v>
      </c>
    </row>
    <row r="804" spans="1:3" x14ac:dyDescent="0.2">
      <c r="A804" s="2">
        <v>802</v>
      </c>
      <c r="B804" s="2">
        <f t="shared" ca="1" si="12"/>
        <v>0.47877588363849133</v>
      </c>
      <c r="C804" s="2" t="s">
        <v>226</v>
      </c>
    </row>
    <row r="805" spans="1:3" x14ac:dyDescent="0.2">
      <c r="A805" s="2">
        <v>803</v>
      </c>
      <c r="B805" s="2">
        <f t="shared" ca="1" si="12"/>
        <v>0.88554752808938031</v>
      </c>
      <c r="C805" s="2" t="s">
        <v>227</v>
      </c>
    </row>
    <row r="806" spans="1:3" x14ac:dyDescent="0.2">
      <c r="A806" s="2">
        <v>804</v>
      </c>
      <c r="B806" s="2">
        <f t="shared" ca="1" si="12"/>
        <v>0.70334786256935156</v>
      </c>
      <c r="C806" s="2" t="s">
        <v>226</v>
      </c>
    </row>
    <row r="807" spans="1:3" x14ac:dyDescent="0.2">
      <c r="A807" s="2">
        <v>805</v>
      </c>
      <c r="B807" s="2">
        <f t="shared" ca="1" si="12"/>
        <v>0.94174927462008173</v>
      </c>
      <c r="C807" s="2" t="s">
        <v>227</v>
      </c>
    </row>
    <row r="808" spans="1:3" x14ac:dyDescent="0.2">
      <c r="A808" s="2">
        <v>806</v>
      </c>
      <c r="B808" s="2">
        <f t="shared" ca="1" si="12"/>
        <v>0.42808808891521644</v>
      </c>
      <c r="C808" s="2" t="s">
        <v>226</v>
      </c>
    </row>
    <row r="809" spans="1:3" x14ac:dyDescent="0.2">
      <c r="A809" s="2">
        <v>807</v>
      </c>
      <c r="B809" s="2">
        <f t="shared" ca="1" si="12"/>
        <v>0.68483984858798186</v>
      </c>
      <c r="C809" s="2" t="s">
        <v>227</v>
      </c>
    </row>
    <row r="810" spans="1:3" x14ac:dyDescent="0.2">
      <c r="A810" s="2">
        <v>808</v>
      </c>
      <c r="B810" s="2">
        <f t="shared" ca="1" si="12"/>
        <v>0.64552157103847285</v>
      </c>
      <c r="C810" s="2" t="s">
        <v>227</v>
      </c>
    </row>
    <row r="811" spans="1:3" x14ac:dyDescent="0.2">
      <c r="A811" s="2">
        <v>809</v>
      </c>
      <c r="B811" s="2">
        <f t="shared" ca="1" si="12"/>
        <v>0.68431000534504294</v>
      </c>
      <c r="C811" s="2" t="s">
        <v>227</v>
      </c>
    </row>
    <row r="812" spans="1:3" x14ac:dyDescent="0.2">
      <c r="A812" s="2">
        <v>810</v>
      </c>
      <c r="B812" s="2">
        <f t="shared" ca="1" si="12"/>
        <v>0.73153385196920262</v>
      </c>
      <c r="C812" s="2" t="s">
        <v>227</v>
      </c>
    </row>
    <row r="813" spans="1:3" x14ac:dyDescent="0.2">
      <c r="A813" s="2">
        <v>811</v>
      </c>
      <c r="B813" s="2">
        <f t="shared" ca="1" si="12"/>
        <v>0.76502072739532789</v>
      </c>
      <c r="C813" s="2" t="s">
        <v>226</v>
      </c>
    </row>
    <row r="814" spans="1:3" x14ac:dyDescent="0.2">
      <c r="A814" s="2">
        <v>812</v>
      </c>
      <c r="B814" s="2">
        <f t="shared" ca="1" si="12"/>
        <v>0.70887651605863911</v>
      </c>
      <c r="C814" s="2" t="s">
        <v>227</v>
      </c>
    </row>
    <row r="815" spans="1:3" x14ac:dyDescent="0.2">
      <c r="A815" s="2">
        <v>813</v>
      </c>
      <c r="B815" s="2">
        <f t="shared" ca="1" si="12"/>
        <v>0.84109331482514338</v>
      </c>
      <c r="C815" s="2" t="s">
        <v>227</v>
      </c>
    </row>
    <row r="816" spans="1:3" x14ac:dyDescent="0.2">
      <c r="A816" s="2">
        <v>814</v>
      </c>
      <c r="B816" s="2">
        <f t="shared" ca="1" si="12"/>
        <v>0.53839122788739791</v>
      </c>
      <c r="C816" s="2" t="s">
        <v>226</v>
      </c>
    </row>
    <row r="817" spans="1:3" x14ac:dyDescent="0.2">
      <c r="A817" s="2">
        <v>815</v>
      </c>
      <c r="B817" s="2">
        <f t="shared" ca="1" si="12"/>
        <v>0.53644980873482095</v>
      </c>
      <c r="C817" s="2" t="s">
        <v>226</v>
      </c>
    </row>
    <row r="818" spans="1:3" x14ac:dyDescent="0.2">
      <c r="A818" s="2">
        <v>816</v>
      </c>
      <c r="B818" s="2">
        <f t="shared" ca="1" si="12"/>
        <v>0.59770814226318281</v>
      </c>
      <c r="C818" s="2" t="s">
        <v>226</v>
      </c>
    </row>
    <row r="819" spans="1:3" x14ac:dyDescent="0.2">
      <c r="A819" s="2">
        <v>817</v>
      </c>
      <c r="B819" s="2">
        <f t="shared" ca="1" si="12"/>
        <v>0.78231164629486205</v>
      </c>
      <c r="C819" s="2" t="s">
        <v>226</v>
      </c>
    </row>
    <row r="820" spans="1:3" x14ac:dyDescent="0.2">
      <c r="A820" s="2">
        <v>818</v>
      </c>
      <c r="B820" s="2">
        <f t="shared" ca="1" si="12"/>
        <v>0.63341165942165034</v>
      </c>
      <c r="C820" s="2" t="s">
        <v>226</v>
      </c>
    </row>
    <row r="821" spans="1:3" x14ac:dyDescent="0.2">
      <c r="A821" s="2">
        <v>819</v>
      </c>
      <c r="B821" s="2">
        <f t="shared" ca="1" si="12"/>
        <v>0.45749805009833094</v>
      </c>
      <c r="C821" s="2" t="s">
        <v>226</v>
      </c>
    </row>
    <row r="822" spans="1:3" x14ac:dyDescent="0.2">
      <c r="A822" s="2">
        <v>820</v>
      </c>
      <c r="B822" s="2">
        <f t="shared" ca="1" si="12"/>
        <v>0.73094400675286253</v>
      </c>
      <c r="C822" s="2" t="s">
        <v>226</v>
      </c>
    </row>
    <row r="823" spans="1:3" x14ac:dyDescent="0.2">
      <c r="A823" s="2">
        <v>821</v>
      </c>
      <c r="B823" s="2">
        <f t="shared" ca="1" si="12"/>
        <v>0.52785085783909869</v>
      </c>
      <c r="C823" s="2" t="s">
        <v>227</v>
      </c>
    </row>
    <row r="824" spans="1:3" x14ac:dyDescent="0.2">
      <c r="A824" s="2">
        <v>822</v>
      </c>
      <c r="B824" s="2">
        <f t="shared" ca="1" si="12"/>
        <v>0.5766112184749278</v>
      </c>
      <c r="C824" s="2" t="s">
        <v>226</v>
      </c>
    </row>
    <row r="825" spans="1:3" x14ac:dyDescent="0.2">
      <c r="A825" s="2">
        <v>823</v>
      </c>
      <c r="B825" s="2">
        <f t="shared" ca="1" si="12"/>
        <v>0.94366215049283053</v>
      </c>
      <c r="C825" s="2" t="s">
        <v>227</v>
      </c>
    </row>
    <row r="826" spans="1:3" x14ac:dyDescent="0.2">
      <c r="A826" s="2">
        <v>824</v>
      </c>
      <c r="B826" s="2">
        <f t="shared" ca="1" si="12"/>
        <v>0.78305980314826573</v>
      </c>
      <c r="C826" s="2" t="s">
        <v>227</v>
      </c>
    </row>
    <row r="827" spans="1:3" x14ac:dyDescent="0.2">
      <c r="A827" s="2">
        <v>825</v>
      </c>
      <c r="B827" s="2">
        <f t="shared" ca="1" si="12"/>
        <v>0.61366605084108494</v>
      </c>
      <c r="C827" s="2" t="s">
        <v>227</v>
      </c>
    </row>
    <row r="828" spans="1:3" x14ac:dyDescent="0.2">
      <c r="A828" s="2">
        <v>826</v>
      </c>
      <c r="B828" s="2">
        <f t="shared" ca="1" si="12"/>
        <v>0.89619576959742675</v>
      </c>
      <c r="C828" s="2" t="s">
        <v>226</v>
      </c>
    </row>
    <row r="829" spans="1:3" x14ac:dyDescent="0.2">
      <c r="A829" s="2">
        <v>827</v>
      </c>
      <c r="B829" s="2">
        <f t="shared" ca="1" si="12"/>
        <v>0.74811074556223112</v>
      </c>
      <c r="C829" s="2" t="s">
        <v>226</v>
      </c>
    </row>
    <row r="830" spans="1:3" x14ac:dyDescent="0.2">
      <c r="A830" s="2">
        <v>828</v>
      </c>
      <c r="B830" s="2">
        <f t="shared" ca="1" si="12"/>
        <v>0.67722327512732072</v>
      </c>
      <c r="C830" s="2" t="s">
        <v>226</v>
      </c>
    </row>
    <row r="831" spans="1:3" x14ac:dyDescent="0.2">
      <c r="A831" s="2">
        <v>829</v>
      </c>
      <c r="B831" s="2">
        <f t="shared" ca="1" si="12"/>
        <v>0.65190939711113627</v>
      </c>
      <c r="C831" s="2" t="s">
        <v>227</v>
      </c>
    </row>
    <row r="832" spans="1:3" x14ac:dyDescent="0.2">
      <c r="A832" s="2">
        <v>830</v>
      </c>
      <c r="B832" s="2">
        <f t="shared" ca="1" si="12"/>
        <v>0.57499856741320043</v>
      </c>
      <c r="C832" s="2" t="s">
        <v>226</v>
      </c>
    </row>
    <row r="833" spans="1:3" x14ac:dyDescent="0.2">
      <c r="A833" s="2">
        <v>831</v>
      </c>
      <c r="B833" s="2">
        <f t="shared" ca="1" si="12"/>
        <v>0.82462150776872301</v>
      </c>
      <c r="C833" s="2" t="s">
        <v>226</v>
      </c>
    </row>
    <row r="834" spans="1:3" x14ac:dyDescent="0.2">
      <c r="A834" s="2">
        <v>832</v>
      </c>
      <c r="B834" s="2">
        <f t="shared" ca="1" si="12"/>
        <v>0.6599681056202269</v>
      </c>
      <c r="C834" s="2" t="s">
        <v>226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0.6469900112675514</v>
      </c>
      <c r="C835" s="2" t="s">
        <v>227</v>
      </c>
    </row>
    <row r="836" spans="1:3" x14ac:dyDescent="0.2">
      <c r="A836" s="2">
        <v>834</v>
      </c>
      <c r="B836" s="2">
        <f t="shared" ca="1" si="13"/>
        <v>0.49960091763002923</v>
      </c>
      <c r="C836" s="2" t="s">
        <v>226</v>
      </c>
    </row>
    <row r="837" spans="1:3" x14ac:dyDescent="0.2">
      <c r="A837" s="2">
        <v>835</v>
      </c>
      <c r="B837" s="2">
        <f t="shared" ca="1" si="13"/>
        <v>0.60475189408535468</v>
      </c>
      <c r="C837" s="2" t="s">
        <v>227</v>
      </c>
    </row>
    <row r="838" spans="1:3" x14ac:dyDescent="0.2">
      <c r="A838" s="2">
        <v>836</v>
      </c>
      <c r="B838" s="2">
        <f t="shared" ca="1" si="13"/>
        <v>0.32609942661296809</v>
      </c>
      <c r="C838" s="2" t="s">
        <v>226</v>
      </c>
    </row>
    <row r="839" spans="1:3" x14ac:dyDescent="0.2">
      <c r="A839" s="2">
        <v>837</v>
      </c>
      <c r="B839" s="2">
        <f t="shared" ca="1" si="13"/>
        <v>0.53626764537104821</v>
      </c>
      <c r="C839" s="2" t="s">
        <v>227</v>
      </c>
    </row>
    <row r="840" spans="1:3" x14ac:dyDescent="0.2">
      <c r="A840" s="2">
        <v>838</v>
      </c>
      <c r="B840" s="2">
        <f t="shared" ca="1" si="13"/>
        <v>0.47311835178666806</v>
      </c>
      <c r="C840" s="2" t="s">
        <v>226</v>
      </c>
    </row>
    <row r="841" spans="1:3" x14ac:dyDescent="0.2">
      <c r="A841" s="2">
        <v>839</v>
      </c>
      <c r="B841" s="2">
        <f t="shared" ca="1" si="13"/>
        <v>0.59954402722128353</v>
      </c>
      <c r="C841" s="2" t="s">
        <v>227</v>
      </c>
    </row>
    <row r="842" spans="1:3" x14ac:dyDescent="0.2">
      <c r="A842" s="2">
        <v>840</v>
      </c>
      <c r="B842" s="2">
        <f t="shared" ca="1" si="13"/>
        <v>0.8529933568651088</v>
      </c>
      <c r="C842" s="2" t="s">
        <v>227</v>
      </c>
    </row>
    <row r="843" spans="1:3" x14ac:dyDescent="0.2">
      <c r="A843" s="2">
        <v>841</v>
      </c>
      <c r="B843" s="2">
        <f t="shared" ca="1" si="13"/>
        <v>0.52549741050688614</v>
      </c>
      <c r="C843" s="2" t="s">
        <v>227</v>
      </c>
    </row>
    <row r="844" spans="1:3" x14ac:dyDescent="0.2">
      <c r="A844" s="2">
        <v>842</v>
      </c>
      <c r="B844" s="2">
        <f t="shared" ca="1" si="13"/>
        <v>0.64234956076742167</v>
      </c>
      <c r="C844" s="2" t="s">
        <v>226</v>
      </c>
    </row>
    <row r="845" spans="1:3" x14ac:dyDescent="0.2">
      <c r="A845" s="2">
        <v>843</v>
      </c>
      <c r="B845" s="2">
        <f t="shared" ca="1" si="13"/>
        <v>0.40679352294673143</v>
      </c>
      <c r="C845" s="2" t="s">
        <v>226</v>
      </c>
    </row>
    <row r="846" spans="1:3" x14ac:dyDescent="0.2">
      <c r="A846" s="2">
        <v>844</v>
      </c>
      <c r="B846" s="2">
        <f t="shared" ca="1" si="13"/>
        <v>0.70125612013317928</v>
      </c>
      <c r="C846" s="2" t="s">
        <v>226</v>
      </c>
    </row>
    <row r="847" spans="1:3" x14ac:dyDescent="0.2">
      <c r="A847" s="2">
        <v>845</v>
      </c>
      <c r="B847" s="2">
        <f t="shared" ca="1" si="13"/>
        <v>0.50922415175211411</v>
      </c>
      <c r="C847" s="2" t="s">
        <v>226</v>
      </c>
    </row>
    <row r="848" spans="1:3" x14ac:dyDescent="0.2">
      <c r="A848" s="2">
        <v>846</v>
      </c>
      <c r="B848" s="2">
        <f t="shared" ca="1" si="13"/>
        <v>0.50151793348607265</v>
      </c>
      <c r="C848" s="2" t="s">
        <v>226</v>
      </c>
    </row>
    <row r="849" spans="1:3" x14ac:dyDescent="0.2">
      <c r="A849" s="2">
        <v>847</v>
      </c>
      <c r="B849" s="2">
        <f t="shared" ca="1" si="13"/>
        <v>0.55952922974158137</v>
      </c>
      <c r="C849" s="2" t="s">
        <v>227</v>
      </c>
    </row>
    <row r="850" spans="1:3" x14ac:dyDescent="0.2">
      <c r="A850" s="2">
        <v>848</v>
      </c>
      <c r="B850" s="2">
        <f t="shared" ca="1" si="13"/>
        <v>0.69484283424853421</v>
      </c>
      <c r="C850" s="2" t="s">
        <v>226</v>
      </c>
    </row>
    <row r="851" spans="1:3" x14ac:dyDescent="0.2">
      <c r="A851" s="2">
        <v>849</v>
      </c>
      <c r="B851" s="2">
        <f t="shared" ca="1" si="13"/>
        <v>0.8421153113548534</v>
      </c>
      <c r="C851" s="2" t="s">
        <v>227</v>
      </c>
    </row>
    <row r="852" spans="1:3" x14ac:dyDescent="0.2">
      <c r="A852" s="2">
        <v>850</v>
      </c>
      <c r="B852" s="2">
        <f t="shared" ca="1" si="13"/>
        <v>0.64161376583194452</v>
      </c>
      <c r="C852" s="2" t="s">
        <v>226</v>
      </c>
    </row>
    <row r="853" spans="1:3" x14ac:dyDescent="0.2">
      <c r="A853" s="2">
        <v>851</v>
      </c>
      <c r="B853" s="2">
        <f t="shared" ca="1" si="13"/>
        <v>0.29595977150157959</v>
      </c>
      <c r="C853" s="2" t="s">
        <v>226</v>
      </c>
    </row>
    <row r="854" spans="1:3" x14ac:dyDescent="0.2">
      <c r="A854" s="2">
        <v>852</v>
      </c>
      <c r="B854" s="2">
        <f t="shared" ca="1" si="13"/>
        <v>0.35499855809276759</v>
      </c>
      <c r="C854" s="2" t="s">
        <v>226</v>
      </c>
    </row>
    <row r="855" spans="1:3" x14ac:dyDescent="0.2">
      <c r="A855" s="2">
        <v>853</v>
      </c>
      <c r="B855" s="2">
        <f t="shared" ca="1" si="13"/>
        <v>0.74366912275679375</v>
      </c>
      <c r="C855" s="2" t="s">
        <v>226</v>
      </c>
    </row>
    <row r="856" spans="1:3" x14ac:dyDescent="0.2">
      <c r="A856" s="2">
        <v>854</v>
      </c>
      <c r="B856" s="2">
        <f t="shared" ca="1" si="13"/>
        <v>0.61183220496050628</v>
      </c>
      <c r="C856" s="2" t="s">
        <v>226</v>
      </c>
    </row>
    <row r="857" spans="1:3" x14ac:dyDescent="0.2">
      <c r="A857" s="2">
        <v>855</v>
      </c>
      <c r="B857" s="2">
        <f t="shared" ca="1" si="13"/>
        <v>0.75561701056580932</v>
      </c>
      <c r="C857" s="2" t="s">
        <v>227</v>
      </c>
    </row>
    <row r="858" spans="1:3" x14ac:dyDescent="0.2">
      <c r="A858" s="2">
        <v>856</v>
      </c>
      <c r="B858" s="2">
        <f t="shared" ca="1" si="13"/>
        <v>0.67499299231187926</v>
      </c>
      <c r="C858" s="2" t="s">
        <v>227</v>
      </c>
    </row>
    <row r="859" spans="1:3" x14ac:dyDescent="0.2">
      <c r="A859" s="2">
        <v>857</v>
      </c>
      <c r="B859" s="2">
        <f t="shared" ca="1" si="13"/>
        <v>0.55712458921559393</v>
      </c>
      <c r="C859" s="2" t="s">
        <v>226</v>
      </c>
    </row>
    <row r="860" spans="1:3" x14ac:dyDescent="0.2">
      <c r="A860" s="2">
        <v>858</v>
      </c>
      <c r="B860" s="2">
        <f t="shared" ca="1" si="13"/>
        <v>0.82334571630810549</v>
      </c>
      <c r="C860" s="2" t="s">
        <v>226</v>
      </c>
    </row>
    <row r="861" spans="1:3" x14ac:dyDescent="0.2">
      <c r="A861" s="2">
        <v>859</v>
      </c>
      <c r="B861" s="2">
        <f t="shared" ca="1" si="13"/>
        <v>0.47166162751601376</v>
      </c>
      <c r="C861" s="2" t="s">
        <v>226</v>
      </c>
    </row>
    <row r="862" spans="1:3" x14ac:dyDescent="0.2">
      <c r="A862" s="2">
        <v>860</v>
      </c>
      <c r="B862" s="2">
        <f t="shared" ca="1" si="13"/>
        <v>0.4396065371734672</v>
      </c>
      <c r="C862" s="2" t="s">
        <v>226</v>
      </c>
    </row>
    <row r="863" spans="1:3" x14ac:dyDescent="0.2">
      <c r="A863" s="2">
        <v>861</v>
      </c>
      <c r="B863" s="2">
        <f t="shared" ca="1" si="13"/>
        <v>0.61927396175594562</v>
      </c>
      <c r="C863" s="2" t="s">
        <v>227</v>
      </c>
    </row>
    <row r="864" spans="1:3" x14ac:dyDescent="0.2">
      <c r="A864" s="2">
        <v>862</v>
      </c>
      <c r="B864" s="2">
        <f t="shared" ca="1" si="13"/>
        <v>0.28453825389720955</v>
      </c>
      <c r="C864" s="2" t="s">
        <v>226</v>
      </c>
    </row>
    <row r="865" spans="1:3" x14ac:dyDescent="0.2">
      <c r="A865" s="2">
        <v>863</v>
      </c>
      <c r="B865" s="2">
        <f t="shared" ca="1" si="13"/>
        <v>0.60479164657769624</v>
      </c>
      <c r="C865" s="2" t="s">
        <v>226</v>
      </c>
    </row>
    <row r="866" spans="1:3" x14ac:dyDescent="0.2">
      <c r="A866" s="2">
        <v>864</v>
      </c>
      <c r="B866" s="2">
        <f t="shared" ca="1" si="13"/>
        <v>0.72310371313050514</v>
      </c>
      <c r="C866" s="2" t="s">
        <v>226</v>
      </c>
    </row>
    <row r="867" spans="1:3" x14ac:dyDescent="0.2">
      <c r="A867" s="2">
        <v>865</v>
      </c>
      <c r="B867" s="2">
        <f t="shared" ca="1" si="13"/>
        <v>0.61558457920695941</v>
      </c>
      <c r="C867" s="2" t="s">
        <v>226</v>
      </c>
    </row>
    <row r="868" spans="1:3" x14ac:dyDescent="0.2">
      <c r="A868" s="2">
        <v>866</v>
      </c>
      <c r="B868" s="2">
        <f t="shared" ca="1" si="13"/>
        <v>0.57212593998535133</v>
      </c>
      <c r="C868" s="2" t="s">
        <v>226</v>
      </c>
    </row>
    <row r="869" spans="1:3" x14ac:dyDescent="0.2">
      <c r="A869" s="2">
        <v>867</v>
      </c>
      <c r="B869" s="2">
        <f t="shared" ca="1" si="13"/>
        <v>0.58733539691938641</v>
      </c>
      <c r="C869" s="2" t="s">
        <v>226</v>
      </c>
    </row>
    <row r="870" spans="1:3" x14ac:dyDescent="0.2">
      <c r="A870" s="2">
        <v>868</v>
      </c>
      <c r="B870" s="2">
        <f t="shared" ca="1" si="13"/>
        <v>0.52458699054728941</v>
      </c>
      <c r="C870" s="2" t="s">
        <v>226</v>
      </c>
    </row>
    <row r="871" spans="1:3" x14ac:dyDescent="0.2">
      <c r="A871" s="2">
        <v>869</v>
      </c>
      <c r="B871" s="2">
        <f t="shared" ca="1" si="13"/>
        <v>0.4495365765360263</v>
      </c>
      <c r="C871" s="2" t="s">
        <v>226</v>
      </c>
    </row>
    <row r="872" spans="1:3" x14ac:dyDescent="0.2">
      <c r="A872" s="2">
        <v>870</v>
      </c>
      <c r="B872" s="2">
        <f t="shared" ca="1" si="13"/>
        <v>0.64941061741475314</v>
      </c>
      <c r="C872" s="2" t="s">
        <v>226</v>
      </c>
    </row>
    <row r="873" spans="1:3" x14ac:dyDescent="0.2">
      <c r="A873" s="2">
        <v>871</v>
      </c>
      <c r="B873" s="2">
        <f t="shared" ca="1" si="13"/>
        <v>0.8115373645013535</v>
      </c>
      <c r="C873" s="2" t="s">
        <v>227</v>
      </c>
    </row>
    <row r="874" spans="1:3" x14ac:dyDescent="0.2">
      <c r="A874" s="2">
        <v>872</v>
      </c>
      <c r="B874" s="2">
        <f t="shared" ca="1" si="13"/>
        <v>0.72360663837152805</v>
      </c>
      <c r="C874" s="2" t="s">
        <v>227</v>
      </c>
    </row>
    <row r="875" spans="1:3" x14ac:dyDescent="0.2">
      <c r="A875" s="2">
        <v>873</v>
      </c>
      <c r="B875" s="2">
        <f t="shared" ca="1" si="13"/>
        <v>0.57293722006136694</v>
      </c>
      <c r="C875" s="2" t="s">
        <v>227</v>
      </c>
    </row>
    <row r="876" spans="1:3" x14ac:dyDescent="0.2">
      <c r="A876" s="2">
        <v>874</v>
      </c>
      <c r="B876" s="2">
        <f t="shared" ca="1" si="13"/>
        <v>0.62039996457996893</v>
      </c>
      <c r="C876" s="2" t="s">
        <v>226</v>
      </c>
    </row>
    <row r="877" spans="1:3" x14ac:dyDescent="0.2">
      <c r="A877" s="2">
        <v>875</v>
      </c>
      <c r="B877" s="2">
        <f t="shared" ca="1" si="13"/>
        <v>0.76743468789100866</v>
      </c>
      <c r="C877" s="2" t="s">
        <v>226</v>
      </c>
    </row>
    <row r="878" spans="1:3" x14ac:dyDescent="0.2">
      <c r="A878" s="2">
        <v>876</v>
      </c>
      <c r="B878" s="2">
        <f t="shared" ca="1" si="13"/>
        <v>0.70894355406999066</v>
      </c>
      <c r="C878" s="2" t="s">
        <v>227</v>
      </c>
    </row>
    <row r="879" spans="1:3" x14ac:dyDescent="0.2">
      <c r="A879" s="2">
        <v>877</v>
      </c>
      <c r="B879" s="2">
        <f t="shared" ca="1" si="13"/>
        <v>0.57508570830417161</v>
      </c>
      <c r="C879" s="2" t="s">
        <v>226</v>
      </c>
    </row>
    <row r="880" spans="1:3" x14ac:dyDescent="0.2">
      <c r="A880" s="2">
        <v>878</v>
      </c>
      <c r="B880" s="2">
        <f t="shared" ca="1" si="13"/>
        <v>0.70430417881764229</v>
      </c>
      <c r="C880" s="2" t="s">
        <v>226</v>
      </c>
    </row>
    <row r="881" spans="1:3" x14ac:dyDescent="0.2">
      <c r="A881" s="2">
        <v>879</v>
      </c>
      <c r="B881" s="2">
        <f t="shared" ca="1" si="13"/>
        <v>0.64423711557395635</v>
      </c>
      <c r="C881" s="2" t="s">
        <v>227</v>
      </c>
    </row>
    <row r="882" spans="1:3" x14ac:dyDescent="0.2">
      <c r="A882" s="2">
        <v>880</v>
      </c>
      <c r="B882" s="2">
        <f t="shared" ca="1" si="13"/>
        <v>0.79859510067219153</v>
      </c>
      <c r="C882" s="2" t="s">
        <v>227</v>
      </c>
    </row>
    <row r="883" spans="1:3" x14ac:dyDescent="0.2">
      <c r="A883" s="2">
        <v>881</v>
      </c>
      <c r="B883" s="2">
        <f t="shared" ca="1" si="13"/>
        <v>0.86873127005844653</v>
      </c>
      <c r="C883" s="2" t="s">
        <v>227</v>
      </c>
    </row>
    <row r="884" spans="1:3" x14ac:dyDescent="0.2">
      <c r="A884" s="2">
        <v>882</v>
      </c>
      <c r="B884" s="2">
        <f t="shared" ca="1" si="13"/>
        <v>0.66927992719992324</v>
      </c>
      <c r="C884" s="2" t="s">
        <v>227</v>
      </c>
    </row>
    <row r="885" spans="1:3" x14ac:dyDescent="0.2">
      <c r="A885" s="2">
        <v>883</v>
      </c>
      <c r="B885" s="2">
        <f t="shared" ca="1" si="13"/>
        <v>0.35175349883040719</v>
      </c>
      <c r="C885" s="2" t="s">
        <v>226</v>
      </c>
    </row>
    <row r="886" spans="1:3" x14ac:dyDescent="0.2">
      <c r="A886" s="2">
        <v>884</v>
      </c>
      <c r="B886" s="2">
        <f t="shared" ca="1" si="13"/>
        <v>0.71010095709943888</v>
      </c>
      <c r="C886" s="2" t="s">
        <v>226</v>
      </c>
    </row>
    <row r="887" spans="1:3" x14ac:dyDescent="0.2">
      <c r="A887" s="2">
        <v>885</v>
      </c>
      <c r="B887" s="2">
        <f t="shared" ca="1" si="13"/>
        <v>0.30554115653613184</v>
      </c>
      <c r="C887" s="2" t="s">
        <v>226</v>
      </c>
    </row>
    <row r="888" spans="1:3" x14ac:dyDescent="0.2">
      <c r="A888" s="2">
        <v>886</v>
      </c>
      <c r="B888" s="2">
        <f t="shared" ca="1" si="13"/>
        <v>0.76910322700778888</v>
      </c>
      <c r="C888" s="2" t="s">
        <v>227</v>
      </c>
    </row>
    <row r="889" spans="1:3" x14ac:dyDescent="0.2">
      <c r="A889" s="2">
        <v>887</v>
      </c>
      <c r="B889" s="2">
        <f t="shared" ca="1" si="13"/>
        <v>0.68764277243699723</v>
      </c>
      <c r="C889" s="2" t="s">
        <v>227</v>
      </c>
    </row>
    <row r="890" spans="1:3" x14ac:dyDescent="0.2">
      <c r="A890" s="2">
        <v>888</v>
      </c>
      <c r="B890" s="2">
        <f t="shared" ca="1" si="13"/>
        <v>0.67850056597037922</v>
      </c>
      <c r="C890" s="2" t="s">
        <v>227</v>
      </c>
    </row>
    <row r="891" spans="1:3" x14ac:dyDescent="0.2">
      <c r="A891" s="2">
        <v>889</v>
      </c>
      <c r="B891" s="2">
        <f t="shared" ca="1" si="13"/>
        <v>0.41302050593669437</v>
      </c>
      <c r="C891" s="2" t="s">
        <v>226</v>
      </c>
    </row>
    <row r="892" spans="1:3" x14ac:dyDescent="0.2">
      <c r="A892" s="2">
        <v>890</v>
      </c>
      <c r="B892" s="2">
        <f t="shared" ca="1" si="13"/>
        <v>0.56832499855495267</v>
      </c>
      <c r="C892" s="2" t="s">
        <v>226</v>
      </c>
    </row>
    <row r="893" spans="1:3" x14ac:dyDescent="0.2">
      <c r="A893" s="2">
        <v>891</v>
      </c>
      <c r="B893" s="2">
        <f t="shared" ca="1" si="13"/>
        <v>0.58937702685352755</v>
      </c>
      <c r="C893" s="2" t="s">
        <v>226</v>
      </c>
    </row>
    <row r="894" spans="1:3" x14ac:dyDescent="0.2">
      <c r="A894" s="2">
        <v>892</v>
      </c>
      <c r="B894" s="2">
        <f t="shared" ca="1" si="13"/>
        <v>0.86963745060381126</v>
      </c>
      <c r="C894" s="2" t="s">
        <v>227</v>
      </c>
    </row>
    <row r="895" spans="1:3" x14ac:dyDescent="0.2">
      <c r="A895" s="2">
        <v>893</v>
      </c>
      <c r="B895" s="2">
        <f t="shared" ca="1" si="13"/>
        <v>0.68408596408337297</v>
      </c>
      <c r="C895" s="2" t="s">
        <v>226</v>
      </c>
    </row>
    <row r="896" spans="1:3" x14ac:dyDescent="0.2">
      <c r="A896" s="2">
        <v>894</v>
      </c>
      <c r="B896" s="2">
        <f t="shared" ca="1" si="13"/>
        <v>0.7198528352989636</v>
      </c>
      <c r="C896" s="2" t="s">
        <v>227</v>
      </c>
    </row>
    <row r="897" spans="1:3" x14ac:dyDescent="0.2">
      <c r="A897" s="2">
        <v>895</v>
      </c>
      <c r="B897" s="2">
        <f t="shared" ca="1" si="13"/>
        <v>0.55426766136390082</v>
      </c>
      <c r="C897" s="2" t="s">
        <v>226</v>
      </c>
    </row>
    <row r="898" spans="1:3" x14ac:dyDescent="0.2">
      <c r="A898" s="2">
        <v>896</v>
      </c>
      <c r="B898" s="2">
        <f t="shared" ca="1" si="13"/>
        <v>0.71666966214725125</v>
      </c>
      <c r="C898" s="2" t="s">
        <v>227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0.60738070297949331</v>
      </c>
      <c r="C899" s="2" t="s">
        <v>227</v>
      </c>
    </row>
    <row r="900" spans="1:3" x14ac:dyDescent="0.2">
      <c r="A900" s="2">
        <v>898</v>
      </c>
      <c r="B900" s="2">
        <f t="shared" ca="1" si="14"/>
        <v>0.65178917095449229</v>
      </c>
      <c r="C900" s="2" t="s">
        <v>227</v>
      </c>
    </row>
    <row r="901" spans="1:3" x14ac:dyDescent="0.2">
      <c r="A901" s="2">
        <v>899</v>
      </c>
      <c r="B901" s="2">
        <f t="shared" ca="1" si="14"/>
        <v>0.61217154081532743</v>
      </c>
      <c r="C901" s="2" t="s">
        <v>226</v>
      </c>
    </row>
    <row r="902" spans="1:3" x14ac:dyDescent="0.2">
      <c r="A902" s="2">
        <v>900</v>
      </c>
      <c r="B902" s="2">
        <f t="shared" ca="1" si="14"/>
        <v>0.68066412779388352</v>
      </c>
      <c r="C902" s="2" t="s">
        <v>227</v>
      </c>
    </row>
    <row r="903" spans="1:3" x14ac:dyDescent="0.2">
      <c r="A903" s="2">
        <v>901</v>
      </c>
      <c r="B903" s="2">
        <f t="shared" ca="1" si="14"/>
        <v>0.67423608194702278</v>
      </c>
      <c r="C903" s="2" t="s">
        <v>227</v>
      </c>
    </row>
    <row r="904" spans="1:3" x14ac:dyDescent="0.2">
      <c r="A904" s="2">
        <v>902</v>
      </c>
      <c r="B904" s="2">
        <f t="shared" ca="1" si="14"/>
        <v>0.77386310576888262</v>
      </c>
      <c r="C904" s="2" t="s">
        <v>227</v>
      </c>
    </row>
    <row r="905" spans="1:3" x14ac:dyDescent="0.2">
      <c r="A905" s="2">
        <v>903</v>
      </c>
      <c r="B905" s="2">
        <f t="shared" ca="1" si="14"/>
        <v>0.6674216163371296</v>
      </c>
      <c r="C905" s="2" t="s">
        <v>227</v>
      </c>
    </row>
    <row r="906" spans="1:3" x14ac:dyDescent="0.2">
      <c r="A906" s="2">
        <v>904</v>
      </c>
      <c r="B906" s="2">
        <f t="shared" ca="1" si="14"/>
        <v>0.59710239116308783</v>
      </c>
      <c r="C906" s="2" t="s">
        <v>227</v>
      </c>
    </row>
    <row r="907" spans="1:3" x14ac:dyDescent="0.2">
      <c r="A907" s="2">
        <v>905</v>
      </c>
      <c r="B907" s="2">
        <f t="shared" ca="1" si="14"/>
        <v>0.45593489752392213</v>
      </c>
      <c r="C907" s="2" t="s">
        <v>226</v>
      </c>
    </row>
    <row r="908" spans="1:3" x14ac:dyDescent="0.2">
      <c r="A908" s="2">
        <v>906</v>
      </c>
      <c r="B908" s="2">
        <f t="shared" ca="1" si="14"/>
        <v>0.71439212326712265</v>
      </c>
      <c r="C908" s="2" t="s">
        <v>226</v>
      </c>
    </row>
    <row r="909" spans="1:3" x14ac:dyDescent="0.2">
      <c r="A909" s="2">
        <v>907</v>
      </c>
      <c r="B909" s="2">
        <f t="shared" ca="1" si="14"/>
        <v>0.23953617587445936</v>
      </c>
      <c r="C909" s="2" t="s">
        <v>226</v>
      </c>
    </row>
    <row r="910" spans="1:3" x14ac:dyDescent="0.2">
      <c r="A910" s="2">
        <v>908</v>
      </c>
      <c r="B910" s="2">
        <f t="shared" ca="1" si="14"/>
        <v>0.62767424318366716</v>
      </c>
      <c r="C910" s="2" t="s">
        <v>226</v>
      </c>
    </row>
    <row r="911" spans="1:3" x14ac:dyDescent="0.2">
      <c r="A911" s="2">
        <v>909</v>
      </c>
      <c r="B911" s="2">
        <f t="shared" ca="1" si="14"/>
        <v>0.42216514921780429</v>
      </c>
      <c r="C911" s="2" t="s">
        <v>226</v>
      </c>
    </row>
    <row r="912" spans="1:3" x14ac:dyDescent="0.2">
      <c r="A912" s="2">
        <v>910</v>
      </c>
      <c r="B912" s="2">
        <f t="shared" ca="1" si="14"/>
        <v>0.77770021809728329</v>
      </c>
      <c r="C912" s="2" t="s">
        <v>227</v>
      </c>
    </row>
    <row r="913" spans="1:3" x14ac:dyDescent="0.2">
      <c r="A913" s="2">
        <v>911</v>
      </c>
      <c r="B913" s="2">
        <f t="shared" ca="1" si="14"/>
        <v>0.50148744348602636</v>
      </c>
      <c r="C913" s="2" t="s">
        <v>226</v>
      </c>
    </row>
    <row r="914" spans="1:3" x14ac:dyDescent="0.2">
      <c r="A914" s="2">
        <v>912</v>
      </c>
      <c r="B914" s="2">
        <f t="shared" ca="1" si="14"/>
        <v>0.78629128169981821</v>
      </c>
      <c r="C914" s="2" t="s">
        <v>226</v>
      </c>
    </row>
    <row r="915" spans="1:3" x14ac:dyDescent="0.2">
      <c r="A915" s="2">
        <v>913</v>
      </c>
      <c r="B915" s="2">
        <f t="shared" ca="1" si="14"/>
        <v>0.78663120967847355</v>
      </c>
      <c r="C915" s="2" t="s">
        <v>226</v>
      </c>
    </row>
    <row r="916" spans="1:3" x14ac:dyDescent="0.2">
      <c r="A916" s="2">
        <v>914</v>
      </c>
      <c r="B916" s="2">
        <f t="shared" ca="1" si="14"/>
        <v>0.65423657486545816</v>
      </c>
      <c r="C916" s="2" t="s">
        <v>227</v>
      </c>
    </row>
    <row r="917" spans="1:3" x14ac:dyDescent="0.2">
      <c r="A917" s="2">
        <v>915</v>
      </c>
      <c r="B917" s="2">
        <f t="shared" ca="1" si="14"/>
        <v>0.57040327807880842</v>
      </c>
      <c r="C917" s="2" t="s">
        <v>226</v>
      </c>
    </row>
    <row r="918" spans="1:3" x14ac:dyDescent="0.2">
      <c r="A918" s="2">
        <v>916</v>
      </c>
      <c r="B918" s="2">
        <f t="shared" ca="1" si="14"/>
        <v>0.67905540814704646</v>
      </c>
      <c r="C918" s="2" t="s">
        <v>227</v>
      </c>
    </row>
    <row r="919" spans="1:3" x14ac:dyDescent="0.2">
      <c r="A919" s="2">
        <v>917</v>
      </c>
      <c r="B919" s="2">
        <f t="shared" ca="1" si="14"/>
        <v>0.41026176211698573</v>
      </c>
      <c r="C919" s="2" t="s">
        <v>226</v>
      </c>
    </row>
    <row r="920" spans="1:3" x14ac:dyDescent="0.2">
      <c r="A920" s="2">
        <v>918</v>
      </c>
      <c r="B920" s="2">
        <f t="shared" ca="1" si="14"/>
        <v>0.69910723345194536</v>
      </c>
      <c r="C920" s="2" t="s">
        <v>227</v>
      </c>
    </row>
    <row r="921" spans="1:3" x14ac:dyDescent="0.2">
      <c r="A921" s="2">
        <v>919</v>
      </c>
      <c r="B921" s="2">
        <f t="shared" ca="1" si="14"/>
        <v>0.74353138748728043</v>
      </c>
      <c r="C921" s="2" t="s">
        <v>226</v>
      </c>
    </row>
    <row r="922" spans="1:3" x14ac:dyDescent="0.2">
      <c r="A922" s="2">
        <v>920</v>
      </c>
      <c r="B922" s="2">
        <f t="shared" ca="1" si="14"/>
        <v>0.78282472659758351</v>
      </c>
      <c r="C922" s="2" t="s">
        <v>227</v>
      </c>
    </row>
    <row r="923" spans="1:3" x14ac:dyDescent="0.2">
      <c r="A923" s="2">
        <v>921</v>
      </c>
      <c r="B923" s="2">
        <f t="shared" ca="1" si="14"/>
        <v>0.81145930455581572</v>
      </c>
      <c r="C923" s="2" t="s">
        <v>227</v>
      </c>
    </row>
    <row r="924" spans="1:3" x14ac:dyDescent="0.2">
      <c r="A924" s="2">
        <v>922</v>
      </c>
      <c r="B924" s="2">
        <f t="shared" ca="1" si="14"/>
        <v>0.59100577129491061</v>
      </c>
      <c r="C924" s="2" t="s">
        <v>226</v>
      </c>
    </row>
    <row r="925" spans="1:3" x14ac:dyDescent="0.2">
      <c r="A925" s="2">
        <v>923</v>
      </c>
      <c r="B925" s="2">
        <f t="shared" ca="1" si="14"/>
        <v>0.52235771276729692</v>
      </c>
      <c r="C925" s="2" t="s">
        <v>226</v>
      </c>
    </row>
    <row r="926" spans="1:3" x14ac:dyDescent="0.2">
      <c r="A926" s="2">
        <v>924</v>
      </c>
      <c r="B926" s="2">
        <f t="shared" ca="1" si="14"/>
        <v>0.33240105628344235</v>
      </c>
      <c r="C926" s="2" t="s">
        <v>226</v>
      </c>
    </row>
    <row r="927" spans="1:3" x14ac:dyDescent="0.2">
      <c r="A927" s="2">
        <v>925</v>
      </c>
      <c r="B927" s="2">
        <f t="shared" ca="1" si="14"/>
        <v>0.81466255591323178</v>
      </c>
      <c r="C927" s="2" t="s">
        <v>227</v>
      </c>
    </row>
    <row r="928" spans="1:3" x14ac:dyDescent="0.2">
      <c r="A928" s="2">
        <v>926</v>
      </c>
      <c r="B928" s="2">
        <f t="shared" ca="1" si="14"/>
        <v>0.53692927226470311</v>
      </c>
      <c r="C928" s="2" t="s">
        <v>227</v>
      </c>
    </row>
    <row r="929" spans="1:3" x14ac:dyDescent="0.2">
      <c r="A929" s="2">
        <v>927</v>
      </c>
      <c r="B929" s="2">
        <f t="shared" ca="1" si="14"/>
        <v>0.9652234348190103</v>
      </c>
      <c r="C929" s="2" t="s">
        <v>227</v>
      </c>
    </row>
    <row r="930" spans="1:3" x14ac:dyDescent="0.2">
      <c r="A930" s="2">
        <v>928</v>
      </c>
      <c r="B930" s="2">
        <f t="shared" ca="1" si="14"/>
        <v>0.61222321509230804</v>
      </c>
      <c r="C930" s="2" t="s">
        <v>227</v>
      </c>
    </row>
    <row r="931" spans="1:3" x14ac:dyDescent="0.2">
      <c r="A931" s="2">
        <v>929</v>
      </c>
      <c r="B931" s="2">
        <f t="shared" ca="1" si="14"/>
        <v>0.82688856107429853</v>
      </c>
      <c r="C931" s="2" t="s">
        <v>227</v>
      </c>
    </row>
    <row r="932" spans="1:3" x14ac:dyDescent="0.2">
      <c r="A932" s="2">
        <v>930</v>
      </c>
      <c r="B932" s="2">
        <f t="shared" ca="1" si="14"/>
        <v>0.63092457273797065</v>
      </c>
      <c r="C932" s="2" t="s">
        <v>227</v>
      </c>
    </row>
    <row r="933" spans="1:3" x14ac:dyDescent="0.2">
      <c r="A933" s="2">
        <v>931</v>
      </c>
      <c r="B933" s="2">
        <f t="shared" ca="1" si="14"/>
        <v>0.96618916701789503</v>
      </c>
      <c r="C933" s="2" t="s">
        <v>226</v>
      </c>
    </row>
    <row r="934" spans="1:3" x14ac:dyDescent="0.2">
      <c r="A934" s="2">
        <v>932</v>
      </c>
      <c r="B934" s="2">
        <f t="shared" ca="1" si="14"/>
        <v>0.74138711909013599</v>
      </c>
      <c r="C934" s="2" t="s">
        <v>227</v>
      </c>
    </row>
    <row r="935" spans="1:3" x14ac:dyDescent="0.2">
      <c r="A935" s="2">
        <v>933</v>
      </c>
      <c r="B935" s="2">
        <f t="shared" ca="1" si="14"/>
        <v>0.54629395839467865</v>
      </c>
      <c r="C935" s="2" t="s">
        <v>226</v>
      </c>
    </row>
    <row r="936" spans="1:3" x14ac:dyDescent="0.2">
      <c r="A936" s="2">
        <v>934</v>
      </c>
      <c r="B936" s="2">
        <f t="shared" ca="1" si="14"/>
        <v>0.74626866113005641</v>
      </c>
      <c r="C936" s="2" t="s">
        <v>227</v>
      </c>
    </row>
    <row r="937" spans="1:3" x14ac:dyDescent="0.2">
      <c r="A937" s="2">
        <v>935</v>
      </c>
      <c r="B937" s="2">
        <f t="shared" ca="1" si="14"/>
        <v>0.83841163345084502</v>
      </c>
      <c r="C937" s="2" t="s">
        <v>227</v>
      </c>
    </row>
    <row r="938" spans="1:3" x14ac:dyDescent="0.2">
      <c r="A938" s="2">
        <v>936</v>
      </c>
      <c r="B938" s="2">
        <f t="shared" ca="1" si="14"/>
        <v>0.73758401455740319</v>
      </c>
      <c r="C938" s="2" t="s">
        <v>226</v>
      </c>
    </row>
    <row r="939" spans="1:3" x14ac:dyDescent="0.2">
      <c r="A939" s="2">
        <v>937</v>
      </c>
      <c r="B939" s="2">
        <f t="shared" ca="1" si="14"/>
        <v>0.43177296560028688</v>
      </c>
      <c r="C939" s="2" t="s">
        <v>226</v>
      </c>
    </row>
    <row r="940" spans="1:3" x14ac:dyDescent="0.2">
      <c r="A940" s="2">
        <v>938</v>
      </c>
      <c r="B940" s="2">
        <f t="shared" ca="1" si="14"/>
        <v>0.76033528875039025</v>
      </c>
      <c r="C940" s="2" t="s">
        <v>227</v>
      </c>
    </row>
    <row r="941" spans="1:3" x14ac:dyDescent="0.2">
      <c r="A941" s="2">
        <v>939</v>
      </c>
      <c r="B941" s="2">
        <f t="shared" ca="1" si="14"/>
        <v>0.62765905853203174</v>
      </c>
      <c r="C941" s="2" t="s">
        <v>227</v>
      </c>
    </row>
    <row r="942" spans="1:3" x14ac:dyDescent="0.2">
      <c r="A942" s="2">
        <v>940</v>
      </c>
      <c r="B942" s="2">
        <f t="shared" ca="1" si="14"/>
        <v>0.51399424680187145</v>
      </c>
      <c r="C942" s="2" t="s">
        <v>226</v>
      </c>
    </row>
    <row r="943" spans="1:3" x14ac:dyDescent="0.2">
      <c r="A943" s="2">
        <v>941</v>
      </c>
      <c r="B943" s="2">
        <f t="shared" ca="1" si="14"/>
        <v>0.5095817243352837</v>
      </c>
      <c r="C943" s="2" t="s">
        <v>226</v>
      </c>
    </row>
    <row r="944" spans="1:3" x14ac:dyDescent="0.2">
      <c r="A944" s="2">
        <v>942</v>
      </c>
      <c r="B944" s="2">
        <f t="shared" ca="1" si="14"/>
        <v>0.71798070784306489</v>
      </c>
      <c r="C944" s="2" t="s">
        <v>226</v>
      </c>
    </row>
    <row r="945" spans="1:3" x14ac:dyDescent="0.2">
      <c r="A945" s="2">
        <v>943</v>
      </c>
      <c r="B945" s="2">
        <f t="shared" ca="1" si="14"/>
        <v>0.57992137781751041</v>
      </c>
      <c r="C945" s="2" t="s">
        <v>226</v>
      </c>
    </row>
    <row r="946" spans="1:3" x14ac:dyDescent="0.2">
      <c r="A946" s="2">
        <v>944</v>
      </c>
      <c r="B946" s="2">
        <f t="shared" ca="1" si="14"/>
        <v>0.67175441260622604</v>
      </c>
      <c r="C946" s="2" t="s">
        <v>226</v>
      </c>
    </row>
    <row r="947" spans="1:3" x14ac:dyDescent="0.2">
      <c r="A947" s="2">
        <v>945</v>
      </c>
      <c r="B947" s="2">
        <f t="shared" ca="1" si="14"/>
        <v>0.63965705072894818</v>
      </c>
      <c r="C947" s="2" t="s">
        <v>227</v>
      </c>
    </row>
    <row r="948" spans="1:3" x14ac:dyDescent="0.2">
      <c r="A948" s="2">
        <v>946</v>
      </c>
      <c r="B948" s="2">
        <f t="shared" ca="1" si="14"/>
        <v>0.66513092456432177</v>
      </c>
      <c r="C948" s="2" t="s">
        <v>226</v>
      </c>
    </row>
    <row r="949" spans="1:3" x14ac:dyDescent="0.2">
      <c r="A949" s="2">
        <v>947</v>
      </c>
      <c r="B949" s="2">
        <f t="shared" ca="1" si="14"/>
        <v>0.85834718057542314</v>
      </c>
      <c r="C949" s="2" t="s">
        <v>227</v>
      </c>
    </row>
    <row r="950" spans="1:3" x14ac:dyDescent="0.2">
      <c r="A950" s="2">
        <v>948</v>
      </c>
      <c r="B950" s="2">
        <f t="shared" ca="1" si="14"/>
        <v>0.40040969721013897</v>
      </c>
      <c r="C950" s="2" t="s">
        <v>226</v>
      </c>
    </row>
    <row r="951" spans="1:3" x14ac:dyDescent="0.2">
      <c r="A951" s="2">
        <v>949</v>
      </c>
      <c r="B951" s="2">
        <f t="shared" ca="1" si="14"/>
        <v>0.60943586835737973</v>
      </c>
      <c r="C951" s="2" t="s">
        <v>227</v>
      </c>
    </row>
    <row r="952" spans="1:3" x14ac:dyDescent="0.2">
      <c r="A952" s="2">
        <v>950</v>
      </c>
      <c r="B952" s="2">
        <f t="shared" ca="1" si="14"/>
        <v>0.85481052935717239</v>
      </c>
      <c r="C952" s="2" t="s">
        <v>227</v>
      </c>
    </row>
    <row r="953" spans="1:3" x14ac:dyDescent="0.2">
      <c r="A953" s="2">
        <v>951</v>
      </c>
      <c r="B953" s="2">
        <f t="shared" ca="1" si="14"/>
        <v>0.45974779063099303</v>
      </c>
      <c r="C953" s="2" t="s">
        <v>226</v>
      </c>
    </row>
    <row r="954" spans="1:3" x14ac:dyDescent="0.2">
      <c r="A954" s="2">
        <v>952</v>
      </c>
      <c r="B954" s="2">
        <f t="shared" ca="1" si="14"/>
        <v>0.59519420431666781</v>
      </c>
      <c r="C954" s="2" t="s">
        <v>226</v>
      </c>
    </row>
    <row r="955" spans="1:3" x14ac:dyDescent="0.2">
      <c r="A955" s="2">
        <v>953</v>
      </c>
      <c r="B955" s="2">
        <f t="shared" ca="1" si="14"/>
        <v>0.80388551008870124</v>
      </c>
      <c r="C955" s="2" t="s">
        <v>227</v>
      </c>
    </row>
    <row r="956" spans="1:3" x14ac:dyDescent="0.2">
      <c r="A956" s="2">
        <v>954</v>
      </c>
      <c r="B956" s="2">
        <f t="shared" ca="1" si="14"/>
        <v>0.44573577191045644</v>
      </c>
      <c r="C956" s="2" t="s">
        <v>226</v>
      </c>
    </row>
    <row r="957" spans="1:3" x14ac:dyDescent="0.2">
      <c r="A957" s="2">
        <v>955</v>
      </c>
      <c r="B957" s="2">
        <f t="shared" ca="1" si="14"/>
        <v>0.87395765273056869</v>
      </c>
      <c r="C957" s="2" t="s">
        <v>227</v>
      </c>
    </row>
    <row r="958" spans="1:3" x14ac:dyDescent="0.2">
      <c r="A958" s="2">
        <v>956</v>
      </c>
      <c r="B958" s="2">
        <f t="shared" ca="1" si="14"/>
        <v>0.64322669035430513</v>
      </c>
      <c r="C958" s="2" t="s">
        <v>227</v>
      </c>
    </row>
    <row r="959" spans="1:3" x14ac:dyDescent="0.2">
      <c r="A959" s="2">
        <v>957</v>
      </c>
      <c r="B959" s="2">
        <f t="shared" ca="1" si="14"/>
        <v>0.67897577430197331</v>
      </c>
      <c r="C959" s="2" t="s">
        <v>226</v>
      </c>
    </row>
    <row r="960" spans="1:3" x14ac:dyDescent="0.2">
      <c r="A960" s="2">
        <v>958</v>
      </c>
      <c r="B960" s="2">
        <f t="shared" ca="1" si="14"/>
        <v>0.68131494229218659</v>
      </c>
      <c r="C960" s="2" t="s">
        <v>227</v>
      </c>
    </row>
    <row r="961" spans="1:3" x14ac:dyDescent="0.2">
      <c r="A961" s="2">
        <v>959</v>
      </c>
      <c r="B961" s="2">
        <f t="shared" ca="1" si="14"/>
        <v>0.75780575448901777</v>
      </c>
      <c r="C961" s="2" t="s">
        <v>226</v>
      </c>
    </row>
    <row r="962" spans="1:3" x14ac:dyDescent="0.2">
      <c r="A962" s="2">
        <v>960</v>
      </c>
      <c r="B962" s="2">
        <f t="shared" ca="1" si="14"/>
        <v>0.5106327409328506</v>
      </c>
      <c r="C962" s="2" t="s">
        <v>226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0.79216277034191984</v>
      </c>
      <c r="C963" s="2" t="s">
        <v>227</v>
      </c>
    </row>
    <row r="964" spans="1:3" x14ac:dyDescent="0.2">
      <c r="A964" s="2">
        <v>962</v>
      </c>
      <c r="B964" s="2">
        <f t="shared" ca="1" si="15"/>
        <v>0.86555921648635448</v>
      </c>
      <c r="C964" s="2" t="s">
        <v>227</v>
      </c>
    </row>
    <row r="965" spans="1:3" x14ac:dyDescent="0.2">
      <c r="A965" s="2">
        <v>963</v>
      </c>
      <c r="B965" s="2">
        <f t="shared" ca="1" si="15"/>
        <v>0.73566819870582145</v>
      </c>
      <c r="C965" s="2" t="s">
        <v>227</v>
      </c>
    </row>
    <row r="966" spans="1:3" x14ac:dyDescent="0.2">
      <c r="A966" s="2">
        <v>964</v>
      </c>
      <c r="B966" s="2">
        <f t="shared" ca="1" si="15"/>
        <v>0.71691749471005983</v>
      </c>
      <c r="C966" s="2" t="s">
        <v>227</v>
      </c>
    </row>
    <row r="967" spans="1:3" x14ac:dyDescent="0.2">
      <c r="A967" s="2">
        <v>965</v>
      </c>
      <c r="B967" s="2">
        <f t="shared" ca="1" si="15"/>
        <v>0.67180606407530374</v>
      </c>
      <c r="C967" s="2" t="s">
        <v>227</v>
      </c>
    </row>
    <row r="968" spans="1:3" x14ac:dyDescent="0.2">
      <c r="A968" s="2">
        <v>966</v>
      </c>
      <c r="B968" s="2">
        <f t="shared" ca="1" si="15"/>
        <v>0.66603777950411636</v>
      </c>
      <c r="C968" s="2" t="s">
        <v>227</v>
      </c>
    </row>
    <row r="969" spans="1:3" x14ac:dyDescent="0.2">
      <c r="A969" s="2">
        <v>967</v>
      </c>
      <c r="B969" s="2">
        <f t="shared" ca="1" si="15"/>
        <v>0.56828064234068765</v>
      </c>
      <c r="C969" s="2" t="s">
        <v>227</v>
      </c>
    </row>
    <row r="970" spans="1:3" x14ac:dyDescent="0.2">
      <c r="A970" s="2">
        <v>968</v>
      </c>
      <c r="B970" s="2">
        <f t="shared" ca="1" si="15"/>
        <v>0.89351477234102605</v>
      </c>
      <c r="C970" s="2" t="s">
        <v>227</v>
      </c>
    </row>
    <row r="971" spans="1:3" x14ac:dyDescent="0.2">
      <c r="A971" s="2">
        <v>969</v>
      </c>
      <c r="B971" s="2">
        <f t="shared" ca="1" si="15"/>
        <v>0.45479628042638182</v>
      </c>
      <c r="C971" s="2" t="s">
        <v>226</v>
      </c>
    </row>
    <row r="972" spans="1:3" x14ac:dyDescent="0.2">
      <c r="A972" s="2">
        <v>970</v>
      </c>
      <c r="B972" s="2">
        <f t="shared" ca="1" si="15"/>
        <v>0.41438205944538387</v>
      </c>
      <c r="C972" s="2" t="s">
        <v>226</v>
      </c>
    </row>
    <row r="973" spans="1:3" x14ac:dyDescent="0.2">
      <c r="A973" s="2">
        <v>971</v>
      </c>
      <c r="B973" s="2">
        <f t="shared" ca="1" si="15"/>
        <v>0.7879424814778937</v>
      </c>
      <c r="C973" s="2" t="s">
        <v>227</v>
      </c>
    </row>
    <row r="974" spans="1:3" x14ac:dyDescent="0.2">
      <c r="A974" s="2">
        <v>972</v>
      </c>
      <c r="B974" s="2">
        <f t="shared" ca="1" si="15"/>
        <v>0.49829916579751532</v>
      </c>
      <c r="C974" s="2" t="s">
        <v>226</v>
      </c>
    </row>
    <row r="975" spans="1:3" x14ac:dyDescent="0.2">
      <c r="A975" s="2">
        <v>973</v>
      </c>
      <c r="B975" s="2">
        <f t="shared" ca="1" si="15"/>
        <v>0.65755646292107628</v>
      </c>
      <c r="C975" s="2" t="s">
        <v>227</v>
      </c>
    </row>
    <row r="976" spans="1:3" x14ac:dyDescent="0.2">
      <c r="A976" s="2">
        <v>974</v>
      </c>
      <c r="B976" s="2">
        <f t="shared" ca="1" si="15"/>
        <v>0.6335041171787047</v>
      </c>
      <c r="C976" s="2" t="s">
        <v>227</v>
      </c>
    </row>
    <row r="977" spans="1:3" x14ac:dyDescent="0.2">
      <c r="A977" s="2">
        <v>975</v>
      </c>
      <c r="B977" s="2">
        <f t="shared" ca="1" si="15"/>
        <v>0.67038956151702334</v>
      </c>
      <c r="C977" s="2" t="s">
        <v>227</v>
      </c>
    </row>
    <row r="978" spans="1:3" x14ac:dyDescent="0.2">
      <c r="A978" s="2">
        <v>976</v>
      </c>
      <c r="B978" s="2">
        <f t="shared" ca="1" si="15"/>
        <v>0.57299763740963572</v>
      </c>
      <c r="C978" s="2" t="s">
        <v>227</v>
      </c>
    </row>
    <row r="979" spans="1:3" x14ac:dyDescent="0.2">
      <c r="A979" s="2">
        <v>977</v>
      </c>
      <c r="B979" s="2">
        <f t="shared" ca="1" si="15"/>
        <v>0.76312209156282129</v>
      </c>
      <c r="C979" s="2" t="s">
        <v>227</v>
      </c>
    </row>
    <row r="980" spans="1:3" x14ac:dyDescent="0.2">
      <c r="A980" s="2">
        <v>978</v>
      </c>
      <c r="B980" s="2">
        <f t="shared" ca="1" si="15"/>
        <v>0.50336816784783045</v>
      </c>
      <c r="C980" s="2" t="s">
        <v>227</v>
      </c>
    </row>
    <row r="981" spans="1:3" x14ac:dyDescent="0.2">
      <c r="A981" s="2">
        <v>979</v>
      </c>
      <c r="B981" s="2">
        <f t="shared" ca="1" si="15"/>
        <v>0.69764427162380016</v>
      </c>
      <c r="C981" s="2" t="s">
        <v>227</v>
      </c>
    </row>
    <row r="982" spans="1:3" x14ac:dyDescent="0.2">
      <c r="A982" s="2">
        <v>980</v>
      </c>
      <c r="B982" s="2">
        <f t="shared" ca="1" si="15"/>
        <v>0.37780069585951048</v>
      </c>
      <c r="C982" s="2" t="s">
        <v>226</v>
      </c>
    </row>
    <row r="983" spans="1:3" x14ac:dyDescent="0.2">
      <c r="A983" s="2">
        <v>981</v>
      </c>
      <c r="B983" s="2">
        <f t="shared" ca="1" si="15"/>
        <v>0.64754294294432013</v>
      </c>
      <c r="C983" s="2" t="s">
        <v>226</v>
      </c>
    </row>
    <row r="984" spans="1:3" x14ac:dyDescent="0.2">
      <c r="A984" s="2">
        <v>982</v>
      </c>
      <c r="B984" s="2">
        <f t="shared" ca="1" si="15"/>
        <v>0.95270198853275434</v>
      </c>
      <c r="C984" s="2" t="s">
        <v>227</v>
      </c>
    </row>
    <row r="985" spans="1:3" x14ac:dyDescent="0.2">
      <c r="A985" s="2">
        <v>983</v>
      </c>
      <c r="B985" s="2">
        <f t="shared" ca="1" si="15"/>
        <v>0.95025653029733936</v>
      </c>
      <c r="C985" s="2" t="s">
        <v>227</v>
      </c>
    </row>
    <row r="986" spans="1:3" x14ac:dyDescent="0.2">
      <c r="A986" s="2">
        <v>984</v>
      </c>
      <c r="B986" s="2">
        <f t="shared" ca="1" si="15"/>
        <v>0.77439191312712818</v>
      </c>
      <c r="C986" s="2" t="s">
        <v>226</v>
      </c>
    </row>
    <row r="987" spans="1:3" x14ac:dyDescent="0.2">
      <c r="A987" s="2">
        <v>985</v>
      </c>
      <c r="B987" s="2">
        <f t="shared" ca="1" si="15"/>
        <v>0.4401605767846149</v>
      </c>
      <c r="C987" s="2" t="s">
        <v>226</v>
      </c>
    </row>
    <row r="988" spans="1:3" x14ac:dyDescent="0.2">
      <c r="A988" s="2">
        <v>986</v>
      </c>
      <c r="B988" s="2">
        <f t="shared" ca="1" si="15"/>
        <v>0.86761627557091137</v>
      </c>
      <c r="C988" s="2" t="s">
        <v>227</v>
      </c>
    </row>
    <row r="989" spans="1:3" x14ac:dyDescent="0.2">
      <c r="A989" s="2">
        <v>987</v>
      </c>
      <c r="B989" s="2">
        <f t="shared" ca="1" si="15"/>
        <v>0.516288392809235</v>
      </c>
      <c r="C989" s="2" t="s">
        <v>226</v>
      </c>
    </row>
    <row r="990" spans="1:3" x14ac:dyDescent="0.2">
      <c r="A990" s="2">
        <v>988</v>
      </c>
      <c r="B990" s="2">
        <f t="shared" ca="1" si="15"/>
        <v>0.80477447732645335</v>
      </c>
      <c r="C990" s="2" t="s">
        <v>226</v>
      </c>
    </row>
    <row r="991" spans="1:3" x14ac:dyDescent="0.2">
      <c r="A991" s="2">
        <v>989</v>
      </c>
      <c r="B991" s="2">
        <f t="shared" ca="1" si="15"/>
        <v>0.83375561310171686</v>
      </c>
      <c r="C991" s="2" t="s">
        <v>227</v>
      </c>
    </row>
    <row r="992" spans="1:3" x14ac:dyDescent="0.2">
      <c r="A992" s="2">
        <v>990</v>
      </c>
      <c r="B992" s="2">
        <f t="shared" ca="1" si="15"/>
        <v>0.58128746931074005</v>
      </c>
      <c r="C992" s="2" t="s">
        <v>226</v>
      </c>
    </row>
    <row r="993" spans="1:3" x14ac:dyDescent="0.2">
      <c r="A993" s="2">
        <v>991</v>
      </c>
      <c r="B993" s="2">
        <f t="shared" ca="1" si="15"/>
        <v>0.59936930164263647</v>
      </c>
      <c r="C993" s="2" t="s">
        <v>227</v>
      </c>
    </row>
    <row r="994" spans="1:3" x14ac:dyDescent="0.2">
      <c r="A994" s="2">
        <v>992</v>
      </c>
      <c r="B994" s="2">
        <f t="shared" ca="1" si="15"/>
        <v>0.60716082244306169</v>
      </c>
      <c r="C994" s="2" t="s">
        <v>226</v>
      </c>
    </row>
    <row r="995" spans="1:3" x14ac:dyDescent="0.2">
      <c r="A995" s="2">
        <v>993</v>
      </c>
      <c r="B995" s="2">
        <f t="shared" ca="1" si="15"/>
        <v>0.59069385183642198</v>
      </c>
      <c r="C995" s="2" t="s">
        <v>227</v>
      </c>
    </row>
    <row r="996" spans="1:3" x14ac:dyDescent="0.2">
      <c r="A996" s="2">
        <v>994</v>
      </c>
      <c r="B996" s="2">
        <f t="shared" ca="1" si="15"/>
        <v>0.70551625677275509</v>
      </c>
      <c r="C996" s="2" t="s">
        <v>227</v>
      </c>
    </row>
    <row r="997" spans="1:3" x14ac:dyDescent="0.2">
      <c r="A997" s="2">
        <v>995</v>
      </c>
      <c r="B997" s="2">
        <f t="shared" ca="1" si="15"/>
        <v>0.27130537195636151</v>
      </c>
      <c r="C997" s="2" t="s">
        <v>226</v>
      </c>
    </row>
    <row r="998" spans="1:3" x14ac:dyDescent="0.2">
      <c r="A998" s="2">
        <v>996</v>
      </c>
      <c r="B998" s="2">
        <f t="shared" ca="1" si="15"/>
        <v>0.65001308928690227</v>
      </c>
      <c r="C998" s="2" t="s">
        <v>227</v>
      </c>
    </row>
    <row r="999" spans="1:3" x14ac:dyDescent="0.2">
      <c r="A999" s="2">
        <v>997</v>
      </c>
      <c r="B999" s="2">
        <f t="shared" ca="1" si="15"/>
        <v>0.64852233028503914</v>
      </c>
      <c r="C999" s="2" t="s">
        <v>226</v>
      </c>
    </row>
    <row r="1000" spans="1:3" x14ac:dyDescent="0.2">
      <c r="A1000" s="2">
        <v>998</v>
      </c>
      <c r="B1000" s="2">
        <f t="shared" ca="1" si="15"/>
        <v>0.33750390450524448</v>
      </c>
      <c r="C1000" s="2" t="s">
        <v>226</v>
      </c>
    </row>
    <row r="1001" spans="1:3" x14ac:dyDescent="0.2">
      <c r="A1001" s="2">
        <v>999</v>
      </c>
      <c r="B1001" s="2">
        <f t="shared" ca="1" si="15"/>
        <v>0.41120542506073787</v>
      </c>
      <c r="C1001" s="2" t="s">
        <v>226</v>
      </c>
    </row>
    <row r="1002" spans="1:3" x14ac:dyDescent="0.2">
      <c r="A1002" s="2">
        <v>1000</v>
      </c>
      <c r="B1002" s="2">
        <f t="shared" ca="1" si="15"/>
        <v>0.4460165030012242</v>
      </c>
      <c r="C1002" s="2" t="s">
        <v>226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70F27-EAF3-B243-A807-9364641E7A3C}">
  <sheetPr codeName="Sheet6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231</v>
      </c>
      <c r="C2" s="2" t="s">
        <v>10</v>
      </c>
    </row>
    <row r="3" spans="1:3" x14ac:dyDescent="0.2">
      <c r="A3" s="2">
        <v>1</v>
      </c>
      <c r="B3" s="2">
        <f ca="1">IF(C3="Bomb",_xlfn.NORM.INV(RAND(),0.7,0.07),1-_xlfn.NORM.INV(RAND(),0.7,0.07))</f>
        <v>0.75411249334875019</v>
      </c>
      <c r="C3" s="2" t="str">
        <f ca="1">IF(RAND()&lt;0.5,"Bomb","Bird")</f>
        <v>Bomb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129</v>
      </c>
    </row>
    <row r="4" spans="2:4" x14ac:dyDescent="0.3">
      <c r="B4" s="1" t="s">
        <v>130</v>
      </c>
    </row>
    <row r="5" spans="2:4" x14ac:dyDescent="0.3">
      <c r="B5" s="6" t="s">
        <v>137</v>
      </c>
    </row>
    <row r="6" spans="2:4" x14ac:dyDescent="0.3">
      <c r="B6" s="6"/>
    </row>
    <row r="7" spans="2:4" x14ac:dyDescent="0.3">
      <c r="C7" s="1" t="s">
        <v>135</v>
      </c>
    </row>
    <row r="8" spans="2:4" x14ac:dyDescent="0.3">
      <c r="C8" s="1">
        <v>2.2999999999999998</v>
      </c>
      <c r="D8" s="1" t="s">
        <v>131</v>
      </c>
    </row>
    <row r="9" spans="2:4" x14ac:dyDescent="0.3">
      <c r="C9" s="1">
        <v>3.1</v>
      </c>
      <c r="D9" s="1" t="s">
        <v>132</v>
      </c>
    </row>
    <row r="10" spans="2:4" x14ac:dyDescent="0.3">
      <c r="C10" s="1">
        <v>3.2</v>
      </c>
      <c r="D10" s="1" t="s">
        <v>133</v>
      </c>
    </row>
    <row r="12" spans="2:4" x14ac:dyDescent="0.3">
      <c r="C12" s="1" t="s">
        <v>136</v>
      </c>
    </row>
    <row r="13" spans="2:4" x14ac:dyDescent="0.3">
      <c r="C13" s="1">
        <v>3.5</v>
      </c>
      <c r="D13" s="1" t="s">
        <v>3</v>
      </c>
    </row>
    <row r="14" spans="2:4" x14ac:dyDescent="0.3">
      <c r="C14" s="1">
        <v>2.2000000000000002</v>
      </c>
      <c r="D14" s="1" t="s">
        <v>134</v>
      </c>
    </row>
    <row r="16" spans="2:4" x14ac:dyDescent="0.3">
      <c r="B16" s="1" t="s">
        <v>138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5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4" x14ac:dyDescent="0.3">
      <c r="C2" s="1" t="s">
        <v>139</v>
      </c>
      <c r="D2" s="1" t="s">
        <v>140</v>
      </c>
    </row>
    <row r="3" spans="2:4" x14ac:dyDescent="0.3">
      <c r="B3" s="1">
        <v>1</v>
      </c>
      <c r="C3" s="1" t="s">
        <v>238</v>
      </c>
      <c r="D3" s="1">
        <v>15</v>
      </c>
    </row>
    <row r="4" spans="2:4" x14ac:dyDescent="0.3">
      <c r="B4" s="1">
        <v>2</v>
      </c>
      <c r="C4" s="1" t="s">
        <v>113</v>
      </c>
      <c r="D4" s="1">
        <v>15</v>
      </c>
    </row>
    <row r="5" spans="2:4" x14ac:dyDescent="0.3">
      <c r="B5" s="1">
        <v>3</v>
      </c>
      <c r="C5" s="1" t="s">
        <v>13</v>
      </c>
      <c r="D5" s="1">
        <v>20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</v>
      </c>
    </row>
    <row r="3" spans="1:3" x14ac:dyDescent="0.3">
      <c r="C3" s="1" t="s">
        <v>192</v>
      </c>
    </row>
    <row r="4" spans="1:3" x14ac:dyDescent="0.3">
      <c r="C4" s="1" t="s">
        <v>178</v>
      </c>
    </row>
    <row r="5" spans="1:3" x14ac:dyDescent="0.3">
      <c r="B5" s="1" t="s">
        <v>14</v>
      </c>
    </row>
    <row r="6" spans="1:3" x14ac:dyDescent="0.3">
      <c r="B6" s="1" t="s">
        <v>179</v>
      </c>
    </row>
    <row r="7" spans="1:3" x14ac:dyDescent="0.3">
      <c r="A7" s="1">
        <v>1</v>
      </c>
      <c r="B7" s="1" t="s">
        <v>2</v>
      </c>
    </row>
    <row r="8" spans="1:3" x14ac:dyDescent="0.3">
      <c r="A8" s="1">
        <v>2</v>
      </c>
      <c r="B8" s="1" t="s">
        <v>191</v>
      </c>
    </row>
    <row r="9" spans="1:3" x14ac:dyDescent="0.3">
      <c r="B9" s="1" t="s">
        <v>141</v>
      </c>
    </row>
    <row r="10" spans="1:3" x14ac:dyDescent="0.3">
      <c r="B10" s="1" t="s">
        <v>190</v>
      </c>
    </row>
    <row r="11" spans="1:3" x14ac:dyDescent="0.3">
      <c r="B11" s="1" t="s">
        <v>180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126</v>
      </c>
    </row>
    <row r="4" spans="1:2" x14ac:dyDescent="0.3">
      <c r="B4" s="1" t="s">
        <v>127</v>
      </c>
    </row>
    <row r="5" spans="1:2" x14ac:dyDescent="0.3">
      <c r="B5" s="1" t="s">
        <v>179</v>
      </c>
    </row>
    <row r="6" spans="1:2" x14ac:dyDescent="0.3">
      <c r="A6" s="13">
        <v>1</v>
      </c>
      <c r="B6" s="13" t="s">
        <v>2</v>
      </c>
    </row>
    <row r="7" spans="1:2" x14ac:dyDescent="0.3">
      <c r="A7" s="13">
        <v>2</v>
      </c>
      <c r="B7" s="13" t="s">
        <v>128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4256C-AA59-B84A-8A87-ECEEC85729E0}">
  <sheetPr codeName="Sheet45">
    <tabColor rgb="FFFFFF00"/>
  </sheetPr>
  <dimension ref="A2:B21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233</v>
      </c>
    </row>
    <row r="3" spans="1:2" s="35" customFormat="1" x14ac:dyDescent="0.3">
      <c r="A3" s="1"/>
    </row>
    <row r="4" spans="1:2" s="35" customFormat="1" x14ac:dyDescent="0.3">
      <c r="A4" s="1"/>
    </row>
    <row r="5" spans="1:2" s="35" customFormat="1" x14ac:dyDescent="0.3">
      <c r="A5" s="1"/>
    </row>
    <row r="6" spans="1:2" x14ac:dyDescent="0.3">
      <c r="A6" s="1">
        <v>2</v>
      </c>
      <c r="B6" s="1" t="s">
        <v>234</v>
      </c>
    </row>
    <row r="7" spans="1:2" s="35" customFormat="1" x14ac:dyDescent="0.3">
      <c r="A7" s="1"/>
    </row>
    <row r="8" spans="1:2" s="35" customFormat="1" x14ac:dyDescent="0.3">
      <c r="A8" s="1"/>
    </row>
    <row r="9" spans="1:2" s="35" customFormat="1" x14ac:dyDescent="0.3">
      <c r="A9" s="1"/>
    </row>
    <row r="10" spans="1:2" x14ac:dyDescent="0.3">
      <c r="A10" s="1">
        <v>3</v>
      </c>
      <c r="B10" s="1" t="s">
        <v>235</v>
      </c>
    </row>
    <row r="11" spans="1:2" s="35" customFormat="1" x14ac:dyDescent="0.3">
      <c r="A11" s="1"/>
    </row>
    <row r="12" spans="1:2" s="35" customFormat="1" x14ac:dyDescent="0.3">
      <c r="A12" s="1"/>
    </row>
    <row r="13" spans="1:2" s="35" customFormat="1" x14ac:dyDescent="0.3">
      <c r="A13" s="1"/>
    </row>
    <row r="14" spans="1:2" x14ac:dyDescent="0.3">
      <c r="A14" s="1">
        <v>4</v>
      </c>
      <c r="B14" s="1" t="s">
        <v>236</v>
      </c>
    </row>
    <row r="15" spans="1:2" s="35" customFormat="1" x14ac:dyDescent="0.3">
      <c r="A15" s="1"/>
    </row>
    <row r="16" spans="1:2" s="35" customFormat="1" x14ac:dyDescent="0.3">
      <c r="A16" s="1"/>
    </row>
    <row r="17" spans="1:2" s="35" customFormat="1" x14ac:dyDescent="0.3">
      <c r="A17" s="1"/>
    </row>
    <row r="18" spans="1:2" x14ac:dyDescent="0.3">
      <c r="A18" s="1">
        <v>5</v>
      </c>
      <c r="B18" s="1" t="s">
        <v>237</v>
      </c>
    </row>
    <row r="19" spans="1:2" s="35" customFormat="1" x14ac:dyDescent="0.3">
      <c r="A19" s="1"/>
    </row>
    <row r="20" spans="1:2" s="35" customFormat="1" x14ac:dyDescent="0.3">
      <c r="A20" s="1"/>
    </row>
    <row r="21" spans="1:2" s="35" customFormat="1" x14ac:dyDescent="0.3">
      <c r="A21" s="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152</v>
      </c>
      <c r="B1" t="s">
        <v>151</v>
      </c>
      <c r="C1" t="s">
        <v>150</v>
      </c>
      <c r="D1" t="s">
        <v>149</v>
      </c>
      <c r="E1" t="s">
        <v>148</v>
      </c>
      <c r="F1" t="s">
        <v>147</v>
      </c>
      <c r="G1" t="s">
        <v>146</v>
      </c>
    </row>
    <row r="2" spans="1:7" x14ac:dyDescent="0.2">
      <c r="A2">
        <v>12500</v>
      </c>
      <c r="B2">
        <v>0.17269999999999999</v>
      </c>
      <c r="C2" t="s">
        <v>142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142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144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142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142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144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144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142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142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142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142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144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142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144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142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142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142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144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142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142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142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142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144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144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143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143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142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142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142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142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142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144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142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142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142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142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142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144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142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142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143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142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142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143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142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142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144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143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142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142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143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142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144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143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142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144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144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144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144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144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142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143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144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142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142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142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144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144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142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144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144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142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142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142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142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144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142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144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143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142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143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144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142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142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142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142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142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144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144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142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142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142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142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144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142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142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143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144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142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142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142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142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143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144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142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142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142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142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142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142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142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142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142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142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142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142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142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142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144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143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142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144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142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142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142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144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143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142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142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142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144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144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142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144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142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144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144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144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144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142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142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142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144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144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144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144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144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142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142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143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144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144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144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144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142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144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144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142</v>
      </c>
      <c r="D159" s="14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144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144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144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144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143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144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144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142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142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144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144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144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144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142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144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144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144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142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142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142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144</v>
      </c>
      <c r="D180" s="14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144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142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142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144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144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142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144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144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142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142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144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143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144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143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142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143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144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144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144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142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142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143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143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142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144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144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142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142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142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142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144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144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144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143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144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142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144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144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144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142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144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142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144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144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144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144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144</v>
      </c>
      <c r="D227" s="14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144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144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143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142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144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144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143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144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143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144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142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144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142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144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142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144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144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142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144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142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142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142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144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144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142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144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144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144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144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144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144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144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144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142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142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142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144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144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142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144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142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144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142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144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143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142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144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144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144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144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144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144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143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142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144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144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142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142</v>
      </c>
      <c r="D285" s="14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142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143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142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144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144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142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142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144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144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142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144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144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142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142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143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142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142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144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144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142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144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144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142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144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142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142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144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144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142</v>
      </c>
      <c r="D314" s="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143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144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142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144</v>
      </c>
      <c r="D318" s="14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142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144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142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144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144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144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142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142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144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144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144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144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142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142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142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142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144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144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144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144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142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144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144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144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144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144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142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144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142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144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142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144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144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142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144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144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144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144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142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144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144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142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142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144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144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144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144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142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142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144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144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144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142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144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144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142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142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144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144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144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144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142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142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144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144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144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142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143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142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144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144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142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144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144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144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142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144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142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143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142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144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144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143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144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142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144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144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143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144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142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142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142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144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143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142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144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142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144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142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144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144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144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144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144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142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144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144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144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142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142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144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142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144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142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144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144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142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142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142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142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144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142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144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144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144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142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142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144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142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142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142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142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144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142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142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144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144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142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144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144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144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142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144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142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144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142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144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142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144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144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142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144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142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144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144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144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144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144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143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144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143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144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142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144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144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142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143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144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144</v>
      </c>
      <c r="D487" s="14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142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143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142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144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142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142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144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144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144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144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144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144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142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144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144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144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142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142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144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144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144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144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142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142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144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142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142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142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144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142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142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144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144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142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144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143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144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144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142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142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144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142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142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144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142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142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142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144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144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144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144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144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142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144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144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144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142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143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144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144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142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142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144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142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144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144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142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142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144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144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144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143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142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144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142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142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144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142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142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142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142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144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144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142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142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142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143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142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144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142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144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144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144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142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142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143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144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142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143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142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142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142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144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142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144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144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143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142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144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142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142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144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144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142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144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142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142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142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142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144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142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142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144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142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144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142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142</v>
      </c>
      <c r="D614" s="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144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144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142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142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144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142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142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142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143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144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142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142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144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144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142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142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144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144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142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144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142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143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143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142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143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142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144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142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142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144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142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142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142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142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143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144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144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142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142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144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142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144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144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144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142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144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144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144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142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144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144</v>
      </c>
      <c r="D665" s="14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144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143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144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144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142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142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144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144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144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144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142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142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144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144</v>
      </c>
      <c r="D679" s="14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143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142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144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144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142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143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143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142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142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144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144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143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142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143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144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142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144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143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142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143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143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144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144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142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144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144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142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144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144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142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144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144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142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143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142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142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142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144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142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144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144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143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144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142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144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142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144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144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144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144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142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142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142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144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142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142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143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142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144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144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144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143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142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144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144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142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142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142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142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142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144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144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142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142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142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143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143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144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144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142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142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143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142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143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142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143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144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142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142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142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142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142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142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144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144</v>
      </c>
      <c r="D774" s="1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144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142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142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144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144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142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142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142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142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142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144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142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144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142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142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144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143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142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142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142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144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142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144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144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142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144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144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142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142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144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142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142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142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144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142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144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142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144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143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142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144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142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143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144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142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144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143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143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144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144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142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142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144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142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142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142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142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142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142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144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144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144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142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143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144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142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144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142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142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143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144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144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144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142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144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142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142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144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144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142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144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142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144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144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142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142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142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142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144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142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144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144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144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144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142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143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142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144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142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142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142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144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142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142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142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142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144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144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144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144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142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142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144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144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144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142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144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144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142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142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142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142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144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144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142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144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144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144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143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144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142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144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143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144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142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142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144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144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144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144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144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143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142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144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142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142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143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142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142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143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142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144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142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142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144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142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143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142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143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142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142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144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144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142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142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144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144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142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144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144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144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144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144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142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142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142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144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142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142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142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142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142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143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144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144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144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144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144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142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142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142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144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144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142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142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142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144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144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142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142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144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142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144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143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144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142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144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144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142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144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142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142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142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144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144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143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142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142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142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142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144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142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144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142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144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144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142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144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144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144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142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144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142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142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142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144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143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144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144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142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142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144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142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142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144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144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142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144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142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144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144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144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142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142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144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144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142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144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142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144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144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144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142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142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144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144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144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143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144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142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142</v>
      </c>
      <c r="D1045" s="14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142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144</v>
      </c>
      <c r="D1047" s="14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144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143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142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142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142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142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144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144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144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142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144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143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142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142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142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144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142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143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144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142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144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142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144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142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144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142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144</v>
      </c>
      <c r="D1074" s="1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142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144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144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144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144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144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144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142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142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143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144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142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144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144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142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144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142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144</v>
      </c>
      <c r="D1092" s="14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142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142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142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144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144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143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144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142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142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142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144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144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144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142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142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144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144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142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144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144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144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142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142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144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143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144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144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142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144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144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144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142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143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142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142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142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144</v>
      </c>
      <c r="D1129" s="14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142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144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143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142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144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142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144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144</v>
      </c>
      <c r="D1137" s="14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142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142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143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143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144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142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142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144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144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144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144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144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142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144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144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144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142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142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142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144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142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142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144</v>
      </c>
      <c r="D1160" s="14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144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144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144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144</v>
      </c>
      <c r="D1164" s="1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142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142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144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142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144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142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144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142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142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142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142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142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144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144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142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144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144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144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144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144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144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144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142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142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142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144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142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144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142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142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144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144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144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144</v>
      </c>
      <c r="D1198" s="14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142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144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142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142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142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142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144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142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142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144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144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143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144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144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144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143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144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144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142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142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144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142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144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144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144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142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144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144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142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143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144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142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144</v>
      </c>
      <c r="D1231" s="14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144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142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144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142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144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142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144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144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142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144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144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144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142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144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144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144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142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142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142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144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142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142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142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142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144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144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142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142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142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142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142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142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142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144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144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143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144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142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142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142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142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144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142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142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144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142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143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142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142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142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144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144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144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144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142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142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143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144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142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144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144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144</v>
      </c>
      <c r="D1293" s="14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142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142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144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144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144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142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143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142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142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144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142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142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142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142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144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142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144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144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142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144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144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142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144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142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142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144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142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142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144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144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144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144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142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144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144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142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142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144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144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144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142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144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142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142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144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142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143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144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144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144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144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142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142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142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144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144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142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143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144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144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142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144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144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144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143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142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144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144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144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143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142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144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142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142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142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144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142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143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144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142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144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144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142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142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142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144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142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142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144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144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144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144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142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142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142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142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144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142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142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142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142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142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144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142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144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142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142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142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144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144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144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144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144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144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142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142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143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142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142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142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144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142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144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142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144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142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144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142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144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144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142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144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142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142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144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144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142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144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144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144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142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142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142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142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144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144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142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144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142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144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144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142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144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142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144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142</v>
      </c>
      <c r="D1449" s="14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142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143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142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142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144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142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143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144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142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144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144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144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144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142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144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142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144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142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142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142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144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144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143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144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142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142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144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142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142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144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142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144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144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143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142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144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142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142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144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144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143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144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142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142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142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144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144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142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142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142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144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142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142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144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142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142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142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142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143</v>
      </c>
      <c r="D1508" s="14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142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142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142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143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142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142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142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142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144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143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144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142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144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144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142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142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142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144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144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142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142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143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144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144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144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142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142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144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144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142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144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143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144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144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142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142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142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144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143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144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144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144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143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144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144</v>
      </c>
      <c r="D1553" s="14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142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142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142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142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144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142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142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144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142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143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142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142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142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142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142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142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144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144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144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144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142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142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142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142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143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143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142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143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142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142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142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142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142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143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144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142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142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144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142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143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142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142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144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142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144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144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142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142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142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142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144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142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142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142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144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144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142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142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144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142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144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142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142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143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144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142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144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144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143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144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144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142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142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142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144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142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144</v>
      </c>
      <c r="D1630" s="14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144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142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142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144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142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142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144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145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142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142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142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142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142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142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144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144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142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144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142</v>
      </c>
      <c r="D1649" s="14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142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142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142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144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142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144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142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144</v>
      </c>
      <c r="D1657" s="14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142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142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144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142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142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142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142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142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142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144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143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142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144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142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144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144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142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142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142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144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144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144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144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142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142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142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142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142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143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142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142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142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144</v>
      </c>
      <c r="D1690" s="14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142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144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144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142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142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142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142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142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142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144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144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142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142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144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142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142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144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142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144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142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144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142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142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144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142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144</v>
      </c>
      <c r="D1716" s="14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144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144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142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144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144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142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144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142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144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144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143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144</v>
      </c>
      <c r="D1728" s="14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142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145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142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142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142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144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143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142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144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144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144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144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143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142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144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144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144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142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142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144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142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142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144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144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142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143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142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144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142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144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142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142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144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142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144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144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142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142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144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142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142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142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142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144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142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142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142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144</v>
      </c>
      <c r="D1776" s="14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144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142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142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142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142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143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144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142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144</v>
      </c>
      <c r="D1785" s="14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142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144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145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142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144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145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143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142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144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142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142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142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144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142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142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142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142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142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144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142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143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142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142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144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144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144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142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142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142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144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142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144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143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143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144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144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142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142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142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144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142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142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142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142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144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142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142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144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142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142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142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142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142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144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144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144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142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142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144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143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142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142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142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142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142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142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143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142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142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142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142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142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142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144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142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144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142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142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144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142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142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144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145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144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142</v>
      </c>
      <c r="D1870" s="14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144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144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143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142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143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142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142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142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142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142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142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144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144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142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143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143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142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142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142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142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142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142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142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142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142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144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144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142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142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144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144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143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142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144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143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144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144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142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142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144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142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144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144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144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143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144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143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143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144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144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144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144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142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142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144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142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144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144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144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144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144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142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142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142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142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144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142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144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142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142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144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142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142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144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144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142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142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142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144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142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142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142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144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142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142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144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144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144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144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144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144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142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142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143</v>
      </c>
      <c r="D1964" s="1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142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144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144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144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144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144</v>
      </c>
      <c r="D1970" s="14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144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144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142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144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142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144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144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142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143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142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144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142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142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144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144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142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142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142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142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143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144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144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142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144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144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142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144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144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144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142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142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144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143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144</v>
      </c>
      <c r="D2004" s="1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142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143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144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144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143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142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144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144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143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143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142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144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144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144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144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144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144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144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142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144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142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142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144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142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144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142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143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143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143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142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144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142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142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143</v>
      </c>
      <c r="D2038" s="14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142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144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142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142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144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144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144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142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144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144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142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144</v>
      </c>
      <c r="D2050" s="14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144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144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142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144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144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142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144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144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142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144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142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144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142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142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144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142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142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142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142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144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144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142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142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144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144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144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142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144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142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144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142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142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142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142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142</v>
      </c>
      <c r="D2085" s="14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142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142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144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144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144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142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144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144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142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144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142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144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144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144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142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142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144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142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144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144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144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143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142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144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144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142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144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144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144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144</v>
      </c>
      <c r="D2115" s="14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142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144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142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144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144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142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142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144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144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142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144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144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143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144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144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142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144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144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142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144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142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142</v>
      </c>
      <c r="D2137" s="14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144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144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144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144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143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142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144</v>
      </c>
      <c r="D2144" s="1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142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142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144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144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144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142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142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143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142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144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144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144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142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142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142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142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144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142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142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144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143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144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144</v>
      </c>
      <c r="D2167" s="14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142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144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144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143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144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142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142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142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144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142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144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144</v>
      </c>
      <c r="D2179" s="14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142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142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142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142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142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142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142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143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144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143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144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144</v>
      </c>
      <c r="D2191" s="14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144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142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144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144</v>
      </c>
      <c r="D2195" s="14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144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142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142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144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143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142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142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144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144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143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144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143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142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142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144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144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144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144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144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143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143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144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144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144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144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142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144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142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144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144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144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144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142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143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144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144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144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142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143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144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144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144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144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144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142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144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142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144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142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144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144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144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142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144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144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144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144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142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142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142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144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142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143</v>
      </c>
      <c r="D2258" s="14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144</v>
      </c>
      <c r="D2259" s="14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144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144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142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142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143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142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144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144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144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144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142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143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142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142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142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144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144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142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144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143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144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142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142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143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143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144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143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142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144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144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144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144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144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144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144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144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142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143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142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144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142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143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144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144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144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142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144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142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144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144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144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144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142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144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143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144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144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143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144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143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142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142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142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144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144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144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142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142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144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144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142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142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144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142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143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143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142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144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142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142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143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143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142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144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143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142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142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142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142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143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144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144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142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144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142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144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144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144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142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144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142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142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143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144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144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144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144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144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142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143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142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142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144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142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142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144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142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142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144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144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144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142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144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142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142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142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144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144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144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142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144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144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144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144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144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144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144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144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144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142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144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142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144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143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142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144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144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144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144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142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144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143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142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144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142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142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144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144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144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142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144</v>
      </c>
      <c r="D2420" s="14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142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142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144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144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142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144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142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144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144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144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142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142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144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142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144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142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144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142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144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142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142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142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144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142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144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142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144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142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142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144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144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142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144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144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144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144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142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144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144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142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142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142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142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143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142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142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144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142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144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144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144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144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144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144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142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144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144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142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144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144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144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142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144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144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142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144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144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144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144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142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143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142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142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142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144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142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144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142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144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144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144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144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142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144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143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144</v>
      </c>
      <c r="D2506" s="14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144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144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144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144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142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142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144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142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144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143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144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142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143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142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144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142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142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144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144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142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144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144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142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143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144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142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142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144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144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142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144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144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144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144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144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144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142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144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142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144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144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143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144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144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144</v>
      </c>
      <c r="D2551" s="14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144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142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144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144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142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142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144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143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142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142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143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144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144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144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142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144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142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144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142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144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142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142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142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144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144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144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144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142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143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142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142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143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143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142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144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142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142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144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144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144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143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142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142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144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144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142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142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142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144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144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144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144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142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144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144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144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144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144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144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142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142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144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142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144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144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144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142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142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144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142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144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144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144</v>
      </c>
      <c r="D2624" s="1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144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142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142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142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142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142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144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142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142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142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144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142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143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142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143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142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142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144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144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142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143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142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142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142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144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144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144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142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144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144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143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143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144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144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142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142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144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144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144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144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144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144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143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144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144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144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142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144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144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142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143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142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142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143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143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143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142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144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144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144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144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144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144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143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144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144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144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144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142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142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144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142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142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142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142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143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142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142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142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143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144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144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142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142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142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143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142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142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144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142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142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142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144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142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144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144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142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144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142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144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144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144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144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144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144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142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142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142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142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142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142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142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144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144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144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142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143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142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144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142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144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142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144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144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143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142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144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143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142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142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144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143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144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142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142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144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144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143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142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142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144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142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144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144</v>
      </c>
      <c r="D2768" s="14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142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144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144</v>
      </c>
      <c r="D2771" s="14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142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144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144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142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144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142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142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144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142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142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144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143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142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142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144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144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142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144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144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144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142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142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144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144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144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144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144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143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144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144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144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144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142</v>
      </c>
      <c r="D2804" s="1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142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144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143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142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144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144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144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144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142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144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144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144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144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144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144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142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144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144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142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144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144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144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144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144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144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144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142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144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144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142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142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142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144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144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142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144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142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144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143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143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144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142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144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144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142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144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142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142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144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144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142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142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142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142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142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144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144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144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144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142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144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142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142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144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143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144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142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142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144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144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144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144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142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142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142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143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144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144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144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144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142</v>
      </c>
      <c r="D2885" s="14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144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144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144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144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143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144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144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144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142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144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142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142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144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142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142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144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142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142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144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144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142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144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144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142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144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144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144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143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144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144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144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144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142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144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144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144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142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142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144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144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144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144</v>
      </c>
      <c r="D2927" s="14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142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144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144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142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144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143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143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142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144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144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144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144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142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144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142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142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144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144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142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144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144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144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143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142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144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142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142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143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144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142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144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142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142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142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142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144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142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144</v>
      </c>
      <c r="D2965" s="14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142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144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143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143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144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142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144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142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142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144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143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142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144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142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144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144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142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142</v>
      </c>
      <c r="D2983" s="14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144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144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142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142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144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144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142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144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144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142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142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144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142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143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142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144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143</v>
      </c>
      <c r="D3000" s="14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144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144</v>
      </c>
      <c r="D3002" s="14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142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144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144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144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144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142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142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144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143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142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142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142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144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142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142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142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142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144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144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144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144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144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144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142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143</v>
      </c>
      <c r="D3027" s="14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142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142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142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142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142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142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144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144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144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144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142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144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144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142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144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144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142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144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144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144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143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144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144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143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142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144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142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144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142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142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143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142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144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142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143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144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144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142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144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144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142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142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144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143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142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142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144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144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143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144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143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144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144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144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142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144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143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144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144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142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144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144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144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144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142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144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142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142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142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144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142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143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142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144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144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144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142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143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144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144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144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144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142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144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144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142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144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144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142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142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144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144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144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144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144</v>
      </c>
      <c r="D3122" s="14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142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144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144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144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144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144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144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142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144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144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142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144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142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144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144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144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142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144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144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143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144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144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144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142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144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142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144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144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142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144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142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144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144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144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144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144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144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142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144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143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142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142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142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144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144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144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142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142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144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144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144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144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142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142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144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144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143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142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142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144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142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144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143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142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144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142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144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142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142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142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144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144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142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142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142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144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142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142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142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143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144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144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144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144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142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142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144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142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143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144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142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143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142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142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144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144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142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144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144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142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142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142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144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142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144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143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144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143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144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144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144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144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142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144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142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142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144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144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144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144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144</v>
      </c>
      <c r="D3243" s="14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142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144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142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144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142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142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144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144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144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142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144</v>
      </c>
      <c r="D3254" s="1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144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144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142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142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144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142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144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144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144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144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142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142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144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142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143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144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144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144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142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144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142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142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142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144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142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144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142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142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144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142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144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144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144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144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144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144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144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144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144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142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142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142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142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142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142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144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144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142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144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142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142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144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142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144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144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144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144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144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144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144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142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144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144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144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142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144</v>
      </c>
      <c r="D3320" s="14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144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144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142</v>
      </c>
      <c r="D3323" s="14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142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144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142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142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143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142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142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144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144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142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144</v>
      </c>
      <c r="D3334" s="1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142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144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144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142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142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144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144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142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142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143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144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144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144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144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144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144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144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144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144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142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142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142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142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142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142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144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142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142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143</v>
      </c>
      <c r="D3363" s="14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143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144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144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142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142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142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143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144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144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142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142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144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142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144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142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144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142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144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142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142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144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144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142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144</v>
      </c>
      <c r="D3387" s="14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142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144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144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142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144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144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144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144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144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144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144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142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142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144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144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144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144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144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144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142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144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144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142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144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142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144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144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144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144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144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142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143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142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144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143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144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144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144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142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142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144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142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142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144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142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143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142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143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144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144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144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142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144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142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144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144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142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144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142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144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144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144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142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142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142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142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144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142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144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144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144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142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142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144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142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144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142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142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144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144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142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142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144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142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143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142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144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142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144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142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144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144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144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144</v>
      </c>
      <c r="D3481" s="14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144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144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144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142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142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144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142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142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143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142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144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144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142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144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144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144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144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142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144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142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142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143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144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144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144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142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144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142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144</v>
      </c>
      <c r="D3510" s="14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144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144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142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144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142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142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144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144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144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144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144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144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143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144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142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143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144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144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144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144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142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142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142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142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144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142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144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143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144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144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142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142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144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142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142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142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144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144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142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142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142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144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142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142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144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144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142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142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144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144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144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144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144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144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144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144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142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142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142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142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144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142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144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144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144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144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144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142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142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144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142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142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142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144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142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144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144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144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144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142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142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142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142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144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144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144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142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142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144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144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144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144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144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144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144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143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143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144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143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144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142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144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144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143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143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142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144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142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144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144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144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142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142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144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142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144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142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143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142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142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144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144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142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144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142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144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142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142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144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144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142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142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143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144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142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143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144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142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144</v>
      </c>
      <c r="D3649" s="14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142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142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143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144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144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144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142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142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144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142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144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143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144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144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142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144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144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142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142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142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142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144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144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142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144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144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142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144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144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142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144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142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142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142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142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142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144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144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144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142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142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143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144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144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143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142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142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143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142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142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142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144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142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144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142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144</v>
      </c>
      <c r="D3705" s="14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143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144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144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143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143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144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142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142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144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142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144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143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143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142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144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144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142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142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142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144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144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144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144</v>
      </c>
      <c r="D3728" s="14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142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142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144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142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142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144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144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142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142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144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142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144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144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143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144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144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144</v>
      </c>
      <c r="D3745" s="14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144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144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144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142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142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144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144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142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142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144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143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142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144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144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144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142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144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142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142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142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144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144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144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144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144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144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144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144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142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144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143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144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142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144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142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142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144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144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144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142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142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144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144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144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144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144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142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144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142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142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144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142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144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142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144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144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142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144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144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142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144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144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142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142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144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142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144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144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142</v>
      </c>
      <c r="D3814" s="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143</v>
      </c>
      <c r="D3815" s="14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142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142</v>
      </c>
      <c r="D3817" s="14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142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143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144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142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142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144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142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144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142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142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144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143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142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142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144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142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144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142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144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144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142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144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142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143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142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144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142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144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142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144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144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142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142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143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144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144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144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144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144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144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144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144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142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144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144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142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144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142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142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144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144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142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144</v>
      </c>
      <c r="D3870" s="14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142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144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144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144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143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144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144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144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142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142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142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144</v>
      </c>
      <c r="D3882" s="14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144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144</v>
      </c>
      <c r="D3884" s="1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144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144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142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143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144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144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144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142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142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142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142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142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142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142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144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142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142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143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142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144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142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142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142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144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144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142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142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143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144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142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142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144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142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144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142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143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142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144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144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142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142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142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144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144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144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143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143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144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142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142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142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142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144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144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144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144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142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142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144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144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144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142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144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144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142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144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144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144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144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144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142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142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144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142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143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142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144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144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142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142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142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142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144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144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142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143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142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142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142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144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144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144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142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144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142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144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142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142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142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144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142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144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144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142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142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144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142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143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144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142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144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142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144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142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144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142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144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144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142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143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142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144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142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143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144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142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144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142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144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142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144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142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142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144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142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144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142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142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143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144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144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144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143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144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143</v>
      </c>
      <c r="D4029" s="14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142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142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144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142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144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144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144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142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144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142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144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142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142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144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144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144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142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144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144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144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144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142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144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144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142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144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142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144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144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142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142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144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142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142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144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142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143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144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144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144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144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142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144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142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142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144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142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144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144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142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144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142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142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144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142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144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142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142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144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144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142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144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142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144</v>
      </c>
      <c r="D4093" s="14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142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144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142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142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142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142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142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142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142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144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144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144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142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144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142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144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142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143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142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144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142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144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144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143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142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144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144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144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144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142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143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144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142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143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142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144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144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144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144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143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142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142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142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142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144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142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144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142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144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142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142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142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142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144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144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144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142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144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144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144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144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144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142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144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144</v>
      </c>
      <c r="D4158" s="14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142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144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142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142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142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142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144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143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144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144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144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142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142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142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144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142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142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144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142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143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144</v>
      </c>
      <c r="D4179" s="14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144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144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144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142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144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142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142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142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142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142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142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142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143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142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144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142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142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142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142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144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142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142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144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142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144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144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142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142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142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144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142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142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142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144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144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144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144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142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144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142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142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144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144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144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142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142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144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144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142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143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142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144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143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144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142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144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142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142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144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142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144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144</v>
      </c>
      <c r="D4241" s="14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144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142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144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142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142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142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144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143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144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142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142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142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142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144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142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144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142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142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142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144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144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144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142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142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142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144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144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143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144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144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144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142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144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144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144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142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144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142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142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142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144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142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142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142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142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144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142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144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144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142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142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144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144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142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144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142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144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142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144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142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144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142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144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144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144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142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142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144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144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142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144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144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144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143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144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144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144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144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144</v>
      </c>
      <c r="D4320" s="14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144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142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144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142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144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142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144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144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144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143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144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144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144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144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144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142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142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144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142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143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144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142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144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144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142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143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142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142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144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144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144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144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142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143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144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142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142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144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142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144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144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142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143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142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144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142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142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144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144</v>
      </c>
      <c r="D4369" s="14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144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142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142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142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144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143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143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144</v>
      </c>
      <c r="D4377" s="14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144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142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144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142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142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142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144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144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144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142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144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144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142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143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144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144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142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142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142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144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142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144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142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144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142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144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143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144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142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143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144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144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144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144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144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142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142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144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142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142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142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142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144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144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144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142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144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142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143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142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142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143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142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144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142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142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142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142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144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144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142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144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144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144</v>
      </c>
      <c r="D4441" s="14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144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143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142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144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144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144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142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144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142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144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142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144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144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142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144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142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144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144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144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144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142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142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143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144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144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144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144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142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142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142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142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144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144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143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142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144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144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142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142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144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144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142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144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142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142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142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143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144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142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142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143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142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144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144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144</v>
      </c>
      <c r="D4496" s="14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144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142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142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143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142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142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144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144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144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144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144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142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142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142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142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142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142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144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142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142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144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142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144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142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142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142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142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144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144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143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144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144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144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144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144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142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144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144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142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142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142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144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143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142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143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144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143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144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144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144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144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144</v>
      </c>
      <c r="D4548" s="14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142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144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143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144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142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142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142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144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142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142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144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143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144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144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143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144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144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142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142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144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144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144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142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142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142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143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144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144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143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142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144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144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142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144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142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142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144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143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143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143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144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142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144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144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144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142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142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144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144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142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144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144</v>
      </c>
      <c r="D4600" s="14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143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144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144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142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144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143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142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144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144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144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142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142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144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142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144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142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143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142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144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144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142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142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144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142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144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144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144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144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143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142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144</v>
      </c>
      <c r="D4631" s="14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144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142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144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143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142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143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144</v>
      </c>
      <c r="D4638" s="14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144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142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142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142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144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143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144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143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144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142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142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142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142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143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144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144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142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142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144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142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142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144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142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144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144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142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142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142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142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142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142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143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142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142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144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144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144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142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144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144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144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142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142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144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144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142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144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142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144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144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142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142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144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142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142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143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142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144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144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144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142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142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142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144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144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144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144</v>
      </c>
      <c r="D4705" s="14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142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142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142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144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144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144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142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142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144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144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144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144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144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144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144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144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144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144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142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144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144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144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143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144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142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144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144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142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142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144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144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142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142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144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142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144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142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144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144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142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144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144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144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144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144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143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142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144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142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144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144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143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142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144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142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144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142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142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144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144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142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142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142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144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144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144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142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144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144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144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143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142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144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142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144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142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144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144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144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143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144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144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144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144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142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144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142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144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144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142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142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144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142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142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144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144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144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144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142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142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142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144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144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142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142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144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144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142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142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142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142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144</v>
      </c>
      <c r="D4817" s="14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142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142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144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143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144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142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144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142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144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142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144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144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142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144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144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144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144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144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144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144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144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144</v>
      </c>
      <c r="D4839" s="14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142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142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144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142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144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143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142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144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144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142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144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144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142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142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143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142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144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142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142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144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144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142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142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144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142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144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142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142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144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142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144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144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144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142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144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144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142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142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142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142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142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142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144</v>
      </c>
      <c r="D4882" s="14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142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144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144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144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144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144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144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143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142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144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144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142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142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142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142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144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142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144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144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142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142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142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144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142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144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142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144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142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144</v>
      </c>
      <c r="D4911" s="14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142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144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144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142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144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144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142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144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144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144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144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142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142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144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142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144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144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142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142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144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142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144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142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143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144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144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142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142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142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144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144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144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144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143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144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144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142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143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144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142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142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142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144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144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142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144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144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144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142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144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144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144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144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144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144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144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142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144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142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142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144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142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144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144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144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144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144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143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144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144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142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144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142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142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144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144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142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142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142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144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142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143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144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144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144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144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144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144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144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144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142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144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142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144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142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142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143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144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144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144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142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142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142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144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144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144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144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142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142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142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144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144</v>
      </c>
      <c r="D5023" s="14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144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144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142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144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142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144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144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144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142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144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144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142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144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142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143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144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143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144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142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142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142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144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144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144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142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144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144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142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144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142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144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142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144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144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142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142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142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144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144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143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144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142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144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144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144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143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142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144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144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144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142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142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144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142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144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144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142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144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142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144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144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144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142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144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144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144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144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144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144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142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142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144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144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144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144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142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142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142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142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142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142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143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142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144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144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142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142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144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142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144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143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144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142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143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143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143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144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142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144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144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144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142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144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142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144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144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142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144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144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142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144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144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144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144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144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144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144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143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144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143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144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143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142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142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142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142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144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144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144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144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144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142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142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142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142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144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142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144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144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144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144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144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142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142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142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142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144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142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144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142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144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143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142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142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144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142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142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142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142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144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144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144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142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142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144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142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144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144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144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142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142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142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144</v>
      </c>
      <c r="D5196" s="14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144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144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144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144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144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142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143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144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142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144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144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142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144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142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144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144</v>
      </c>
      <c r="D5212" s="14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144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142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144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142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144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144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144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142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142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144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142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143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142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142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142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142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144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144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142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142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144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142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144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144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144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142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142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144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144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144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144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142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144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144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142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144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142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142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142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144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142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142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144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144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144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144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142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142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142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142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144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142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144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144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144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144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142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144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142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144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144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142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144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142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144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144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144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144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142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144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144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144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143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143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144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144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144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142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144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143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142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144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144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144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142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144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144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142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142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142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142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142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144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144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142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144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142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142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144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142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144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142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142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142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144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142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144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144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142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142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142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142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144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144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144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144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144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142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142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144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143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142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144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144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144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142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144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144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144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142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144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142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144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144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144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144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144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144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142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144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142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144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144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144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142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144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142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144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144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144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142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142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144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142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144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142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144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144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144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144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142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144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144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144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142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144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144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144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142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144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144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144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142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142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142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144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142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144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142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144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143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142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142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142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144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142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144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144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144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144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142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142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144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142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144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144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142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144</v>
      </c>
      <c r="D5410" s="14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144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144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142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144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143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144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142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142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142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142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144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144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144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144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144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144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144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142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144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144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144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144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142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144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144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144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142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142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144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144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144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143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142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144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142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142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144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142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142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142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142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144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144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144</v>
      </c>
      <c r="D5454" s="1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142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144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142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144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144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142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143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144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144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144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144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142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142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142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144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142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144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142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143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144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143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142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143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142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144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142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142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142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142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144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144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142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142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142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142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144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144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144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144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144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144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144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142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144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142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144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144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143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142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144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142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142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144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142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144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144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144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144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144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142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142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142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144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144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142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144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144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144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144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144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144</v>
      </c>
      <c r="D5525" s="14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144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144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144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144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142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144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142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142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144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144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143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144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142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144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144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144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143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144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144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144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142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144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142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144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143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142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144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142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142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142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144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144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144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144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142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144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142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144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142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144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144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144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143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144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142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142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144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144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142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144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142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142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142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144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142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142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144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144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142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144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144</v>
      </c>
      <c r="D5586" s="14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143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142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144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142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142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142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142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142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143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143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142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142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144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144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142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144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144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144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142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144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144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142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144</v>
      </c>
      <c r="D5609" s="14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144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142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142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144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142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142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144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144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142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144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144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142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144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142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144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144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142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144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142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144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142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144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144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142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142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142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142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144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144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142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142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142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144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142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142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144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144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144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144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143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144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142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144</v>
      </c>
      <c r="D5652" s="14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142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144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144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142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144</v>
      </c>
      <c r="D5657" s="14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144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142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142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142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143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144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142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144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144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142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144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142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144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144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144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144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144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144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142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142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144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142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144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144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144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142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142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144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142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142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142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144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142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142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144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144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142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144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142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144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145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142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144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144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142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142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142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144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144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144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142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144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142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142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144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142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142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145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144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144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143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142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144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144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142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142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142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142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144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143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144</v>
      </c>
      <c r="D5728" s="14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142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144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142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144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142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144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144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144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144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142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144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144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144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142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142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142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143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142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142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142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144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142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144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144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143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144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144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142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144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142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144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142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142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144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144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144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144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142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142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142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145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145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142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142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142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144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142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142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144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144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142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144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144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144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144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142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142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142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144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144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142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144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144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142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144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142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142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144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144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142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143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142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142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142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144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144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144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142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142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144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142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143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144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144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143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144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144</v>
      </c>
      <c r="D5815" s="14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142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144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142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144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142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142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142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142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144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144</v>
      </c>
      <c r="D5825" s="14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142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144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143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142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142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144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144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143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142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144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144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143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142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144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144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143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144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143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142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142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144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144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144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142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144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142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144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144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142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142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143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142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143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142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142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142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142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142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142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142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144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144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143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144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142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144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144</v>
      </c>
      <c r="D5872" s="14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142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144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144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144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142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142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144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144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144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142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144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143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144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142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144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142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144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144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142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144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142</v>
      </c>
      <c r="D5893" s="14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142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142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144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144</v>
      </c>
      <c r="D5897" s="14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142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142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143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142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144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144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142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142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143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144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142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142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142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142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144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144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142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142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144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144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144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143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142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144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142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144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142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142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144</v>
      </c>
      <c r="D5926" s="14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142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144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142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144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142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143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144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142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142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142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142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142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144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142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144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144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142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142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142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144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144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144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144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143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144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144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144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144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144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144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144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142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144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143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144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144</v>
      </c>
      <c r="D5962" s="14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144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142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144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142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144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142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144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143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143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144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142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142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142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142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144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143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144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144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144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142</v>
      </c>
      <c r="D5982" s="14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144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144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144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142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144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142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142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142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144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142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144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142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143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142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144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142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142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144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144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142</v>
      </c>
      <c r="D6002" s="14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142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144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144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143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144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144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142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142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142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144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144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144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143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142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144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142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142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142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144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142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142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142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142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142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142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142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142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144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144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144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142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144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142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142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144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142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144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142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142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144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144</v>
      </c>
      <c r="D6043" s="14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144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142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142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142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142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143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143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142</v>
      </c>
      <c r="D6051" s="14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144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144</v>
      </c>
      <c r="D6053" s="14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144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144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144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144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142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142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142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142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142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142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142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144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142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144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144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142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142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144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144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144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143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144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144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142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142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144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142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143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144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142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144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142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144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144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142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143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144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142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144</v>
      </c>
      <c r="D6092" s="14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142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144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142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142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144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144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144</v>
      </c>
      <c r="D6099" s="14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142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144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142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144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142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142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142</v>
      </c>
      <c r="D6106" s="14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142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144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142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142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144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142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142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144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142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142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144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144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144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142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144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144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142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142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144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144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144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142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142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144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142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143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142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143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142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142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144</v>
      </c>
      <c r="D6137" s="14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144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144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142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142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142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144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144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142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142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142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142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144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142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143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142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144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142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142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144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144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144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142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144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144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142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143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142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142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144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142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142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144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144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142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144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142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144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142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144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144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144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143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142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144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144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143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142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143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144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142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144</v>
      </c>
      <c r="D6188" s="14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142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144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142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144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144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144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144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142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143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144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144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144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142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144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144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142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144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142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144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143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142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142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142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144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144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144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144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142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142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144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142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142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144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142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144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142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144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142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142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144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144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142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142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142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144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144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144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142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144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142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142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142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144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144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143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144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144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144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143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144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143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144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142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142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142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142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144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142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143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144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143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144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142</v>
      </c>
      <c r="D6261" s="14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142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142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144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144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142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144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144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142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144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142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142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142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142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144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144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144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144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142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142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144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142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144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142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142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144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144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144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142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142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144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144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142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144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142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144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144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144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142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142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142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142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143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143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142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142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142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142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144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144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144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143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142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142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142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144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142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142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143</v>
      </c>
      <c r="D6319" s="14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142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144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144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142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144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144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144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142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142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142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144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142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144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144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142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142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144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143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142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144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144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144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144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142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142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144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144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142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142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144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144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144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144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144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144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143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144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144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142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142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144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142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144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144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144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144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142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144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142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142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142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142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142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142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143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142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144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142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142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142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144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144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143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142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142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142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143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144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142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144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142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142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142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143</v>
      </c>
      <c r="D6393" s="14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142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142</v>
      </c>
      <c r="D6395" s="14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142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142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144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143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144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144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144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142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144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142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144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142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144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142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142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144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142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144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144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144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142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144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142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144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143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142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142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142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144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144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143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142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144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144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142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144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142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144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144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144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144</v>
      </c>
      <c r="D6436" s="14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142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144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142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142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144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142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144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142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144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143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144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142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143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144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144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144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142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144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144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144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142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144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143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142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144</v>
      </c>
      <c r="D6461" s="14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142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142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142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142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144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144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142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144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142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144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142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144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142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144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144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144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142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144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144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142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144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143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144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142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142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144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142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144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142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142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144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144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142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144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143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142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144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144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142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144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144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142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142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143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142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142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142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142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143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143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144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142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143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142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144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144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142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142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144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142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144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142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143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142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143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144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144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144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144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143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142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144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142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142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142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144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142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142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144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144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142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144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143</v>
      </c>
      <c r="D6544" s="1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143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142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142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143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142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144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142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144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142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142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142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142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144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144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143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142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144</v>
      </c>
      <c r="D6561" s="14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142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144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144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144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144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144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142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144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144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142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142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144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144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142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142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144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143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144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142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144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142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142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142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142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144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144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144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142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144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143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142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142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144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144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142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142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144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142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144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144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144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144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142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142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144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144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144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142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144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144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143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142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142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142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144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142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142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142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144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142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143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142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144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144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144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144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143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144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142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142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142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142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144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144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144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144</v>
      </c>
      <c r="D6637" s="14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142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142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142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143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144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144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142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144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142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144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142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144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142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144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144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144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142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142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142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142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144</v>
      </c>
      <c r="D6658" s="14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143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144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144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144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142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143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142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142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144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142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142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144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142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144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144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142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144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143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144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142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144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144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142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142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142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142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142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144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144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144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142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142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143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142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142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142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143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142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142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142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143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143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142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142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144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144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144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143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144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144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144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144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142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142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144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142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144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144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144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144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143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144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142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142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142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144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142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144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143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142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142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142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142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142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142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144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142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144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144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142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143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144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144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144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142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144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142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142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144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142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142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143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142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142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142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142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142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143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144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142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142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142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142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144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142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144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142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142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142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144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142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142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144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144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142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144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144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144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142</v>
      </c>
      <c r="D6777" s="14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144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144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144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142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142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144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142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142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144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144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144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142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144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142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144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142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144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142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144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144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144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144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142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144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142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143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142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142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142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142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144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144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144</v>
      </c>
      <c r="D6810" s="14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144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144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142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142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144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142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142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142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142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144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144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144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142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142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144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143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142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142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144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143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144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142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144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142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143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142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144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143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144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142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142</v>
      </c>
      <c r="D6841" s="14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144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144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144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144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142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142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142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144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142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142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144</v>
      </c>
      <c r="D6852" s="14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142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142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144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144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144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144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142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142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144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142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144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144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142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142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143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144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142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142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142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144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144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142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142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142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142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142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142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143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144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142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142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142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144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144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142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142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143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143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144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142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144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144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142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142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142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144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144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142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142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142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142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142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142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142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144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144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142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143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142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144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143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142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142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142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143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144</v>
      </c>
      <c r="D6918" s="14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142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144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144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144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142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144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144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142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144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142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142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142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144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144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142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142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144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142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144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143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142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144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142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144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144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144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144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142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144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144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143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142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144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144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142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142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144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144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142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142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144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144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142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144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144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144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144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144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142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142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142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142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143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144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144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142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143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144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143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142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144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142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144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143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143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142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142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144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144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143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142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144</v>
      </c>
      <c r="D6990" s="14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142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144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144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142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143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144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144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144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142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144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144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144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144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143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144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144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144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142</v>
      </c>
      <c r="D7008" s="14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144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144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142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142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142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144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144</v>
      </c>
      <c r="D7015" s="14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142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144</v>
      </c>
      <c r="D7017" s="14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144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144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143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144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142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144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143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144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144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142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144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142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144</v>
      </c>
      <c r="D7030" s="14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142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144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144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142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144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142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142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144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142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144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142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144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142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142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142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144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144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144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144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144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144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142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144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144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142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144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142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144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143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142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144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144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144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142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144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144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144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142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142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144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144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142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142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142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144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143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142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142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142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142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142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144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144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144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142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142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142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144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142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142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144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144</v>
      </c>
      <c r="D7092" s="14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142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144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144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144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144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142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144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142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142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142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144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142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144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142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144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144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142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144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144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144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142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144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142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142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143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144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144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142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144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144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144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142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144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142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144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144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144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142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144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142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142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142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144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144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142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143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144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144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142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144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142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144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143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143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142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144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144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144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142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144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142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142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142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144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144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142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142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144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142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144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144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144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144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142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143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142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143</v>
      </c>
      <c r="D7169" s="14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142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144</v>
      </c>
      <c r="D7171" s="14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142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142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144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142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144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142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142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144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142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142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142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142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143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142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144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144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143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142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142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144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144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144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144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142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142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144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144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144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142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142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142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143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144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144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142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142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144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142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142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142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144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143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144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142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143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142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142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144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144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142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144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142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142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144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142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142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144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142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144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142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142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142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144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144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143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144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142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144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142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142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142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142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142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142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142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142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142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144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142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144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144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142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144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144</v>
      </c>
      <c r="D7255" s="14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142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142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142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142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144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142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144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144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142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142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142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144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144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142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142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144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142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144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144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142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142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142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142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142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144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144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142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142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144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144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142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142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144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144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144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144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144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144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144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142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142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144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144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142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144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144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144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142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144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144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144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144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142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142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144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142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144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144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144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144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144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142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144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144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142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144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144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144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142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144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144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143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142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144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144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142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144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143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142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142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143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144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142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144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143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143</v>
      </c>
      <c r="D7341" s="14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144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142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142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144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142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144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142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142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144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142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142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142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144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142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144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144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142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142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142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144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144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144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142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144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142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144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142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144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143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142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144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142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142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144</v>
      </c>
      <c r="D7375" s="14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143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142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142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142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144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144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143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144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144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142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142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142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142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144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142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144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144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142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142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144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142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142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142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142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142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143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142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144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144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142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142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142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144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142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142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142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144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142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144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144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142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142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143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142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142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142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144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142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142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142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144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142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144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144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142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144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143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142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142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143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144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144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142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142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142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144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144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144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142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142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142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144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144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142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144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144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142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144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142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142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142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142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142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143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143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144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142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144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142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144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142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142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144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142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144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143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142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143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142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142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142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144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142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144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142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144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142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142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142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144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142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144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142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144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144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144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142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144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144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142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144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144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142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144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142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142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142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142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142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142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142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142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144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142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144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142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142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142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143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144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142</v>
      </c>
      <c r="D7516" s="14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144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144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144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142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142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142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142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142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142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144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142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142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144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144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144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142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144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142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144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142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144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143</v>
      </c>
      <c r="D7538" s="14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143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144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144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142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144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142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142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144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142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142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142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144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144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144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144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144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142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142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142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144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142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144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144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142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142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142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143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142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144</v>
      </c>
      <c r="D7567" s="14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142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142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144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144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143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143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144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142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142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142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142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143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144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144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142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144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142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144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142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144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142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144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142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142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142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142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142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142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144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143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144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142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142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142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144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142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142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142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144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142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143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142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143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142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144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144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142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142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142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144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144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142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144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144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142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144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142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142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144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143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142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142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142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142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144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142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142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142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144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143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142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142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142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142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142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142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142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144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144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142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142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142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142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144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142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142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142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143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142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142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142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142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142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144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142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144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144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142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142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144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144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144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142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144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142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144</v>
      </c>
      <c r="D7673" s="14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144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144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142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144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142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142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144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143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144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142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142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142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144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142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144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144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142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144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144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143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144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142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144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144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142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142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142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142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142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142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142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144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144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144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143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143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144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143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144</v>
      </c>
      <c r="D7712" s="14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142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144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144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142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142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142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144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144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142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142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144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144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142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142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144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144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144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142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144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144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142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142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142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142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144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142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144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144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143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142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142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144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144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142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144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143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144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144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144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144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144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143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143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144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142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144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143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142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144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143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142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144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142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143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142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144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144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143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143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143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142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144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142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144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144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144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142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142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142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142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142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144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144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142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144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144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144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144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142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144</v>
      </c>
      <c r="D7792" s="14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142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142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144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144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142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142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144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142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142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142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144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142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142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144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144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142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144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144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142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142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144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144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144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144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142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144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143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144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144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144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144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142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144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144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142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144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144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143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142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143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144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143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142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144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143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142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142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144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142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144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144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144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144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144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144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142</v>
      </c>
      <c r="D7848" s="14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142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144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144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143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143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142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144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142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142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142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144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142</v>
      </c>
      <c r="D7860" s="14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142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144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144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144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144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142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144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144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144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144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144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144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142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142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143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144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142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142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144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143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144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142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142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144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143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144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144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143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142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144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142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142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144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144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144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142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144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144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144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142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144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142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142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144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142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144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144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144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142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142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144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144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144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144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142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144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143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144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142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142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144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144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144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144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142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142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144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142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144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142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142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144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144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144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144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142</v>
      </c>
      <c r="D7936" s="14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142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144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142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142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144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144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144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142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143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142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144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143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144</v>
      </c>
      <c r="D7949" s="14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142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144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142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144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144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142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144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144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142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144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143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144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142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144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144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142</v>
      </c>
      <c r="D7965" s="14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144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144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142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143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144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144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144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144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144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144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144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142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142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144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144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142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144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142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144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142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144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142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142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144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143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144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144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144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144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144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144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144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144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143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144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143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144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143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144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142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142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142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142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144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144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144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142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144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144</v>
      </c>
      <c r="D8014" s="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142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142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144</v>
      </c>
      <c r="D8017" s="14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143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144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144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144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142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142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144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144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142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143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143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144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144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144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142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143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144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142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144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142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144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144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143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144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142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144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144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142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144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144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144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142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144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142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144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144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144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144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142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142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144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142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144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144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144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144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144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143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144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142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144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144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144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143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144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142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143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144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144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142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142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144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142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144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143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142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144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142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144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142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144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144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144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144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144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144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144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142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142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144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142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142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144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142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144</v>
      </c>
      <c r="D8102" s="14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142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142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144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144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143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144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142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144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144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142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143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142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142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142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144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142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144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143</v>
      </c>
      <c r="D8120" s="14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142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144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142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144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144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144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144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144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142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142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144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144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142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142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144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144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144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144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144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142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144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144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142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144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142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143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143</v>
      </c>
      <c r="D8147" s="14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142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143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142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144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144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144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144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144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144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144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144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142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144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144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144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144</v>
      </c>
      <c r="D8163" s="14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144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144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142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144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144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144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144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144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142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143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144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143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144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142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143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142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144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144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144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144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142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144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142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144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144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143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144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142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144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142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144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144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144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143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142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142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142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142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142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144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143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142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142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142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144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144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142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144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144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144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144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144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142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142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142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144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144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142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142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142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142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144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142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144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144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142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142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142</v>
      </c>
      <c r="D8231" s="14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142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142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143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142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144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142</v>
      </c>
      <c r="D8237" s="14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144</v>
      </c>
      <c r="D8238" s="14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144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144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142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144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144</v>
      </c>
      <c r="D8243" s="14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144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142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144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143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143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144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144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142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142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144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144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144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142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142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144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144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142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142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143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142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142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144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143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143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142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144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143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144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143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143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142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144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142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144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142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143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144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142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142</v>
      </c>
      <c r="D8282" s="14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142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144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142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143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142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142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143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144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142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142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144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144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144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142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144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142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142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142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144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142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142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143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144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144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144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144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143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144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143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144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144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143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144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144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143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144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144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144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144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143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142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144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144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144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144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144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144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144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142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144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144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142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142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144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144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142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144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142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142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142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143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144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144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144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143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143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144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142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142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142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144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142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144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144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144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142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142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144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144</v>
      </c>
      <c r="D8361" s="14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144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142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143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144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144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144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144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142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144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142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144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142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144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142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143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144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144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144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144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142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143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142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144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144</v>
      </c>
      <c r="D8385" s="14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144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143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142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142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144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142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142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142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144</v>
      </c>
      <c r="D8394" s="1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144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144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142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144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142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142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143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142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142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144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144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142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144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142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144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144</v>
      </c>
      <c r="D8410" s="14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144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142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144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144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142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144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144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144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144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142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142</v>
      </c>
      <c r="D8421" s="14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144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142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142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142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144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142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144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144</v>
      </c>
      <c r="D8429" s="14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144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144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142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144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144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143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144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142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142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142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142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142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144</v>
      </c>
      <c r="D8442" s="14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142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142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144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144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144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143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143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144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144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142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142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142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144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142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142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142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144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144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142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142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144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142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142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143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142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142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144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144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143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144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142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142</v>
      </c>
      <c r="D8474" s="1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144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144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142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144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142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144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144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142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144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142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144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144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142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144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144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142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144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143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144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143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143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143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144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143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142</v>
      </c>
      <c r="D8499" s="14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142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144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142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144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144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144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142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142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142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142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144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142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144</v>
      </c>
      <c r="D8512" s="14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142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143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144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142</v>
      </c>
      <c r="D8516" s="14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144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143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144</v>
      </c>
      <c r="D8519" s="14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142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144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144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144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144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142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142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144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142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142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144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143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144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142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142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142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144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144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142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142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144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144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144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142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142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143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144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144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142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142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144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142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142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144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142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142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142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144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143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144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144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144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144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144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144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142</v>
      </c>
      <c r="D8565" s="14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144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142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144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142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142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142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144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144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142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144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142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144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144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142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144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142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142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144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142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142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142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144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143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144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142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142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143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144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144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142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144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144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144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142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143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144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142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144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142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144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144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144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142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144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142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144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144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142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144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142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142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142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144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144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144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144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142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142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144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144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144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142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142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142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143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142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142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142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142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142</v>
      </c>
      <c r="D8635" s="14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142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144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144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144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144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143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143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144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144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144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142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144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144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144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142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142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143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144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144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142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142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144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142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144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142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144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142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143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142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144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144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142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142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144</v>
      </c>
      <c r="D8669" s="14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144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142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143</v>
      </c>
      <c r="D8672" s="14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144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142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144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144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142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144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142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142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144</v>
      </c>
      <c r="D8681" s="14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142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144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142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142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142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143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144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142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142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144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142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144</v>
      </c>
      <c r="D8693" s="14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142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142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142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143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144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144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144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144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142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144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142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142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143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143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144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142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143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144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142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144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144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144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143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142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144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144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142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142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142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143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144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144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144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144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144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142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143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143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142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142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143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142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142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144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142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144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142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142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142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142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142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144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144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142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142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144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142</v>
      </c>
      <c r="D8750" s="14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142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142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144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143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144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144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144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142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144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144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142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144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144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144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142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142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144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144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142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142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144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144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142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144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142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142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142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143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144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144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142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142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144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142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144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144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142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142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144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144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142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144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144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144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142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142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142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142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144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142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144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143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144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144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144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144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142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144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142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144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144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144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144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142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144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142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144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143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142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142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142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142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144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142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144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144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144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144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142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142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142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144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144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144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144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142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142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144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144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142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144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144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142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144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144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144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144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144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144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142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144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144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142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142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144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143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144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142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143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142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142</v>
      </c>
      <c r="D8861" s="14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144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144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142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144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142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142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143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144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144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144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143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144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144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142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144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144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142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142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142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142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142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144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144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142</v>
      </c>
      <c r="D8885" s="14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142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142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142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142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144</v>
      </c>
      <c r="D8890" s="14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142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144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142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142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142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144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142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142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144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144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144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144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142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144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144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144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142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143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142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144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143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142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142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144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144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144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143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144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144</v>
      </c>
      <c r="D8919" s="14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142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144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142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144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144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144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144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144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144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142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144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142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142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142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142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144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144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142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142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142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142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142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144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142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142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144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144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144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142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144</v>
      </c>
      <c r="D8949" s="14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142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144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142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144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142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144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144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144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144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142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144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144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142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144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142</v>
      </c>
      <c r="D8964" s="1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144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144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144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144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144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144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144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144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142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144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142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144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144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144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143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142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142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142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143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142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142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142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144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143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144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142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144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144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142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142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144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144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144</v>
      </c>
      <c r="D8997" s="14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142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144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142</v>
      </c>
      <c r="D9000" s="14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142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142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143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142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142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143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143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144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142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144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144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144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142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144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144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142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144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144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142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143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144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142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144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142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142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142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144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142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144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142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142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144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144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144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143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142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144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144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144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144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142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142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144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144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142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143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143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142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144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142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142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142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142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142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142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144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144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144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142</v>
      </c>
      <c r="D9059" s="14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143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144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142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144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143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142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142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144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144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144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142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142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142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142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142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144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142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144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144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142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144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144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144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142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142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144</v>
      </c>
      <c r="D9085" s="14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144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142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144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144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143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144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144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142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144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144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144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144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144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142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143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144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144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144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144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144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142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142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142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142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142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142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142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142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143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142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142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142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144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142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144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144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142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142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142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143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144</v>
      </c>
      <c r="D9126" s="14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142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144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142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144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142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142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144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144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144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144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142</v>
      </c>
      <c r="D9137" s="14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144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144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144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142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144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144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144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143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142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144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144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143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144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144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144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144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142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142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144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142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144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144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142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144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143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144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144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144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144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144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142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142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142</v>
      </c>
      <c r="D9170" s="14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142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142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144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142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144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144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142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144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144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142</v>
      </c>
      <c r="D9180" s="14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142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142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144</v>
      </c>
      <c r="D9183" s="14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144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144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142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144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144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142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142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142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142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144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142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144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142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144</v>
      </c>
      <c r="D9197" s="14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142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142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144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144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144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144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142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144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144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144</v>
      </c>
      <c r="D9207" s="14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144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144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144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142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144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144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142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144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142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144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144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142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144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143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142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144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142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142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144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143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144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142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144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142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143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144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144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144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142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144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144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143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144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144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144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143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144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144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142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144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142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142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142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142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142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144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144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142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142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144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142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144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142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143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144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144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144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143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142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144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142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143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142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142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142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143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144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142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142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142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144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142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144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142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142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142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144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144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142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144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144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142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144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142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144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144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144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144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144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143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144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144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142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142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142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144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142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142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142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142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142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142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144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144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142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144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144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142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144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142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144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142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143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142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144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142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142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143</v>
      </c>
      <c r="D9325" s="14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142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144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143</v>
      </c>
      <c r="D9328" s="14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142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144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142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142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144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144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144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144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144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143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142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144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142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142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142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142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144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142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142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142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142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142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144</v>
      </c>
      <c r="D9351" s="14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144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144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142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142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142</v>
      </c>
      <c r="D9356" s="14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143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144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144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144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144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144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143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142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144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142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142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144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143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144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142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144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142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144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142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144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142</v>
      </c>
      <c r="D9377" s="14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144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144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142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144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142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144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144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144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142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142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142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144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144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144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142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144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142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144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144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144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144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144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142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142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143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144</v>
      </c>
      <c r="D9403" s="14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142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143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144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144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142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142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143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142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144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142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144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142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144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142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142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142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142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142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142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142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142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144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144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142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144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144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142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142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144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142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142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144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144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144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142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142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144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142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142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143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142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144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143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142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143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143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144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142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142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144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142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142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142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142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144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144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144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142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143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144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144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142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144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142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142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144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142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144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144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142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142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144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142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144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144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142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144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144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144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143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144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144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142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142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142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144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144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144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144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144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144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144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142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144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142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144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142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143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144</v>
      </c>
      <c r="D9502" s="14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144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142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144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144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142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142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144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144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144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144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143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142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144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144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142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144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142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142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144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144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142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144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143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144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142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144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144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144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144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143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142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144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144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142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142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144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144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142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142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143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142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144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144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142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142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144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144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144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142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144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144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144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142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142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142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142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143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142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144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144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142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142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144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142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144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144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144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142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144</v>
      </c>
      <c r="D9571" s="14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142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142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144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143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144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144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144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144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144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144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142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142</v>
      </c>
      <c r="D9583" s="14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143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142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144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142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144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144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144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142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143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142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142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142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144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142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144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144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144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144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144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142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142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142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144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142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142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144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144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144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142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144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144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144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142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143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144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142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144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144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142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142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142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144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144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142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142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144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144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144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142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144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144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144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144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144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142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143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144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142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144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142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142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144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142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144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144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144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142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142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142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142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142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144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144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142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142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144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142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143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143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142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144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142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144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142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144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144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142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144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143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142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144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142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143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144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144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144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142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142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144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144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142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144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142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142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144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144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144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144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142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144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143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142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144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144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143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144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143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143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144</v>
      </c>
      <c r="D9702" s="14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143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142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143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144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144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143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142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144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142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142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144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144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142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142</v>
      </c>
      <c r="D9716" s="14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144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144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144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144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142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144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144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142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144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142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144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144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144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144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142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144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144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142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142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144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144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144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144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144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142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142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142</v>
      </c>
      <c r="D9743" s="14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144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144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142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144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144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142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144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142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144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144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144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144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144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144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142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142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144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143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144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142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142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144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144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142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142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142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144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144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144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142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142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144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142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142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142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142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142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142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142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144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144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142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142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144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142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144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144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144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142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143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142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144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144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142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144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144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142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144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144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144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142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144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142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144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142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144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144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144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142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144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144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142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144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144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142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144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142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143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144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143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143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144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144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142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142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142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144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142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144</v>
      </c>
      <c r="D9832" s="14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142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144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144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142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143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144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142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142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144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142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144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144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142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144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144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142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142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144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144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143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144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142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143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142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142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144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144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142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142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144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142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144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144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144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142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144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144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144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143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144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142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144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142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142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144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144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142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144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142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144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144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144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144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144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142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144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143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144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144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144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142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144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144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144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144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144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142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142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143</v>
      </c>
      <c r="D9901" s="14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142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144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144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142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143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142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142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144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144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144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142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142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144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144</v>
      </c>
      <c r="D9915" s="14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143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142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142</v>
      </c>
      <c r="D9918" s="14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144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143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144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144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143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143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144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143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144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144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144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142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142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144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142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143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143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144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144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144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142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143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144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142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144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144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144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142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142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144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144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142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142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144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142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144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144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144</v>
      </c>
      <c r="D9956" s="14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144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142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144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144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142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142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144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144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144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144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142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144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142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142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144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144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142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142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144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144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144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144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143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144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142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144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144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142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142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144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144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143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142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142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144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144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144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144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144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142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144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142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144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143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142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144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142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142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144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142</v>
      </c>
      <c r="D10006" s="14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144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142</v>
      </c>
      <c r="D10008" s="14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143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144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144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144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142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144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142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143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144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144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142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144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144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144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142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142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144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142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144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144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142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144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144</v>
      </c>
      <c r="D10031" s="14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142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142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144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142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144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144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143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144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142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142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143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144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142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144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144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142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142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142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144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143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142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144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142</v>
      </c>
      <c r="D10054" s="1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143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143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142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144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144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144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144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142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144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142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143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144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144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144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144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142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144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142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142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143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142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142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144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142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144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144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144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144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142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144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142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142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142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144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144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144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142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143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144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144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144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142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144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144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144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144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144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143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142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142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142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142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142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142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144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144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142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144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144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142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144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142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144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142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142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144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144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142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144</v>
      </c>
      <c r="D10123" s="14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142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144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142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144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144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144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142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143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142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143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142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144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142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144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142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144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143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144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144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142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143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143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144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142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144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143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144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144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144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144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144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142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144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142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144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142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144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144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144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144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144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144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144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144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144</v>
      </c>
      <c r="D10168" s="14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142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144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142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144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142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142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144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143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144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144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143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144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144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142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142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144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142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144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142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142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142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143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144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144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144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142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143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144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144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144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144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142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144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142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144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142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142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144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144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142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144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144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142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144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144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142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142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142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144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144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143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144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143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144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142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142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143</v>
      </c>
      <c r="D10225" s="14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144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142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144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144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144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144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142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144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142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144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142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142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144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144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142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142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143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142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144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143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142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144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144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144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144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144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143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143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144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144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142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142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142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144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144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142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144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142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142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144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144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142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142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142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143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144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142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144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142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143</v>
      </c>
      <c r="D10275" s="14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142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143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143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142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144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144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144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144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144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142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144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144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144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142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144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144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142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142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144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142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144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144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144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142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144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144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142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144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142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143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144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144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142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142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142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142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142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144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144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142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142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144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144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142</v>
      </c>
      <c r="D10319" s="14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143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142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144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144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142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142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144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142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144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144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142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144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142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144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142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142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142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144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142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142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142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142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144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142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144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144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144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144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142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143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144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142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143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144</v>
      </c>
      <c r="D10353" s="14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144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142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142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144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144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142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144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142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144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144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142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144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142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144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144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144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144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142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142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144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142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142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144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142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142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144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142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144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142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144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142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142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142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142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142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142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144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144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144</v>
      </c>
      <c r="D10392" s="14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142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144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144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144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142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143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142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142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144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142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142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142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142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144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144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144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144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143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144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142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144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142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144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142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142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144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144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144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144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143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142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144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142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142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142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142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142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142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142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142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144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144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144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143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142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142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144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142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142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142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142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142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144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143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144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142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142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144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142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144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144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142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142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144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144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144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142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144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143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144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142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143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144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142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144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142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142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142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143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144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144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144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144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144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142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142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142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144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143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142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144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142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144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144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144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142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144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142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144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144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142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144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144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144</v>
      </c>
      <c r="D10496" s="14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143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144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143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142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144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142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144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144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144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142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144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144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144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142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144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144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143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142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144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144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142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142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143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144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142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142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144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143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142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142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144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144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144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144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144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142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142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144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142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143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142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144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144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144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144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142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142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142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142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144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144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144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142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142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144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143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144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144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144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144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142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144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144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144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144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142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144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144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144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144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143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142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144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144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144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144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144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144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144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143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144</v>
      </c>
      <c r="D10577" s="14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144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144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143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142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144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144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142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144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142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144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142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142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144</v>
      </c>
      <c r="D10590" s="14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144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144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144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144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144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144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144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144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144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144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144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142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143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144</v>
      </c>
      <c r="D10604" s="1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142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144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142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144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142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144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143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142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143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142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144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144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144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143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142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142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144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144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144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144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144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142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142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142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144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144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144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144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142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144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142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142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144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144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142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142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142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142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142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144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144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144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144</v>
      </c>
      <c r="D10647" s="14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142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142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144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142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142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142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144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142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144</v>
      </c>
      <c r="D10656" s="14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142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142</v>
      </c>
      <c r="D10658" s="14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144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144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142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142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144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144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142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144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144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144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143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144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144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144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142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144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144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144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144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144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142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144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144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144</v>
      </c>
      <c r="D10682" s="14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142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142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143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144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142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144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142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142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144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144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142</v>
      </c>
      <c r="D10693" s="14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144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144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144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144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144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144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142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144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144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142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142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142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144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144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144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144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143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144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142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144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144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143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144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142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142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144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144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142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144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144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144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142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142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144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144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143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144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142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142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142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144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144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144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142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144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144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144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142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144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142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144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143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142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142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144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144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144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144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144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144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143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144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142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143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142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144</v>
      </c>
      <c r="D10759" s="14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144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142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144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142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144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142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144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144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142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144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142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144</v>
      </c>
      <c r="D10771" s="14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143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142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142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142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144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144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144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144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144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142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144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144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144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142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143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144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142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142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142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142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142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142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142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144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144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144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144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144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142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143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144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144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144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142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142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142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142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142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144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144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142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144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144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144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142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144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144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144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144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144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144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144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142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144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142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142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142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144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144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143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142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142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144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144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144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144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144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142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142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144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144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144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144</v>
      </c>
      <c r="D10844" s="1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144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143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142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142</v>
      </c>
      <c r="D10848" s="14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142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144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144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144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142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142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144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144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142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142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142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144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142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143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142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144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142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143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142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144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144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144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143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143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143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142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142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142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144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142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142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144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142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144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144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144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144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144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142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142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144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142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142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142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144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144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144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142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144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144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142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142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144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144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144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144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144</v>
      </c>
      <c r="D10905" s="14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142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142</v>
      </c>
      <c r="D10907" s="14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144</v>
      </c>
      <c r="D10908" s="14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144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144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144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142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144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144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144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144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144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144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144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144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142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144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142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142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144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144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142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143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142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144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144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142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142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142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144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144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144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144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144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144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143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142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144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144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142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144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142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142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144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143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144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142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142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144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144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144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142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142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142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144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142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144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142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142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143</v>
      </c>
      <c r="D10965" s="14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143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142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143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144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144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144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142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144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143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144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142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142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142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144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142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144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144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143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142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144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144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143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144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144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144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142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142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144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144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143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144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142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142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142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144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142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144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144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144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144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144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144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144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142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144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142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142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144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143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144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143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142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144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142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143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143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142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144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143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142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144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143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142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143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142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144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144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142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142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144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142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142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144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144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144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142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144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143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142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144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144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144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142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144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144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144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142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144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142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142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144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144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144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144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144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144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144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144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144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142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143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144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143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143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142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142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144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144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144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144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144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142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142</v>
      </c>
      <c r="D11078" s="14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142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144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144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144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144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142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142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144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142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144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144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142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144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144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144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144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144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142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144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142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142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142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144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142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142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144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144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142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142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142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142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144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142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142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143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142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142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144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144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144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142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142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144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142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144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144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144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142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142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143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142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143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142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142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144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142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143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142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144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144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144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144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143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144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142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143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142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142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142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144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144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144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144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144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142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142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144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144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144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142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142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144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144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144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144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142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144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144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144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142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142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142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144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144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144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144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144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142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144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143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143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144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144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144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142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142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143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142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142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144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144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144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144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143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144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144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142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144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144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142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144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144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142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142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144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144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144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144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142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144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142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143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142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142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142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142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142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142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142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142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142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142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142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144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144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144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144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142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142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142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143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144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142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144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144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142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143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142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142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142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142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144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144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144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144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142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142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144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142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144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142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142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142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144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142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142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144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143</v>
      </c>
      <c r="D11256" s="14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143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142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144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144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143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144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142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144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144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144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142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142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144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144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142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144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143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142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144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143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144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142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142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142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142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144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144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144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142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142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143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144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143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142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142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142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144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143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142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142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144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144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144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142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143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144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142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144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144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144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144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144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144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144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142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144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144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142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142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144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143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144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144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142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142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143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142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142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142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142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144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144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144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142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142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144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143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144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142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142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144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144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144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144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144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144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143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142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144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144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144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143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142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142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142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142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144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142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144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142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142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142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143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144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144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144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142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142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142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144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144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144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144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142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142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144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142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142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142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142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142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142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144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144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142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142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144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142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144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144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143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144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144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144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144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144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144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144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144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144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144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144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144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142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144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142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144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142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144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142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142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144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144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144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142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143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142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143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142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142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142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142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142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142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144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142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144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144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144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144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142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144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142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144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144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142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144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144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144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142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142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144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142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144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142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144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144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144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144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142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144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144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142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144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142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144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142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143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144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142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142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142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144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142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144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144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144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144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142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142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144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144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144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144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143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142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142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142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142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144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142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144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142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144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144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144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142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142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142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142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142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144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144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144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143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144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142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144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142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144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142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142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143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144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144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144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144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144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142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144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144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142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142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144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143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142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144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142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144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144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144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142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144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142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144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143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142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144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144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144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142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142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143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142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143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144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144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142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144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142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144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144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144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142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142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144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142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142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142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142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144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144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142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142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143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142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144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142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143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143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144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142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144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142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144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142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144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144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144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144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144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144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144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144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143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144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144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144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144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144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142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144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144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142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142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142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142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144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142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144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144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142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142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142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144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143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142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142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144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144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142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144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142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144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144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142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142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144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144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144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143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142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144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144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142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144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142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144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144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142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142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144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142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144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142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144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143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142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144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143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144</v>
      </c>
      <c r="D11627" s="14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144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143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142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144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142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142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144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142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144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143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144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144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142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144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142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142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142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144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142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142</v>
      </c>
      <c r="D11647" s="14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143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142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142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144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142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144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142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144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142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142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142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144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144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144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142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144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144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144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144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143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144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144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144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144</v>
      </c>
      <c r="D11671" s="14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142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142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144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143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143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142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142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144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144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144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142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144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143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144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144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144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142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142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144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142</v>
      </c>
      <c r="D11691" s="14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142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142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144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144</v>
      </c>
      <c r="D11695" s="14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143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143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144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144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144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142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143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143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144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142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144</v>
      </c>
      <c r="D11706" s="14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142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143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142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142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144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144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142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142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144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144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144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144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144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144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144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142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142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144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144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142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144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144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144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142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144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142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142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142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143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142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142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144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144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142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144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144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142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144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144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144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144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142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143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142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143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144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144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142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144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144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142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142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142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144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144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144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144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143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142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142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144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142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142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144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142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144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142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142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144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144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142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142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142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142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142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144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142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144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142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144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142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144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142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144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144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144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144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144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143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142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144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143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144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144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144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144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142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143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142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144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143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144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142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142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142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142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144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142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142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144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142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142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142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142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144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142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144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142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142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144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144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144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142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143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144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142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142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144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144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144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144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144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142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144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143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144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144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144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142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144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144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144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142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142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144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144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144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144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143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144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143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142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144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142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142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144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143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143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142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142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142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144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144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142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144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142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143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144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144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142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142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143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144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142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144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144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144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144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142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142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144</v>
      </c>
      <c r="D11887" s="14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144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142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144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142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142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143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142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144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142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144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144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142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144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143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142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144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143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142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142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144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142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142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144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144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144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142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142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142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143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144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144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144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142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142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144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143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144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144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142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144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142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144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144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144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142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144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142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142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142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142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144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143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144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142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143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144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142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144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142</v>
      </c>
      <c r="D11946" s="14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144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144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142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144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144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144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142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143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144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144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142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142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144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142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144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142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142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142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144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142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144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142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142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144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144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142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144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144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144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144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144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143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142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144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142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142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142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144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144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142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144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142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144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144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142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142</v>
      </c>
      <c r="D11992" s="14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144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142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142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144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142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142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144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144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142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142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142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144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144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144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142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144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143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142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142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142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144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144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144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142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142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144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142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142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142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142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144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144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144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142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144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142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142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142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142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144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144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142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144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144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144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142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142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144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142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142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144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144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142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144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144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144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142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142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144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144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142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144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144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142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142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142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144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142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144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144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143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142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144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142</v>
      </c>
      <c r="D12066" s="14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144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142</v>
      </c>
      <c r="D12068" s="14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142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142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144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144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144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143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142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144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144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142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144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143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142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144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144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142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142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142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142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144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144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144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144</v>
      </c>
      <c r="D12091" s="14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142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144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144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144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142</v>
      </c>
      <c r="D12096" s="14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143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144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142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144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144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143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142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142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143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144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144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144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143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144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144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143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144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144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144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142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142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144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144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142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142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142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144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143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142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144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143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144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143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144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144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143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142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142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144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144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142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144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142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142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142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144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142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144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144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142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142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142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144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144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144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144</v>
      </c>
      <c r="D12152" s="14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144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144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144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144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142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144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144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144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142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142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142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142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143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144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144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143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142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142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144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144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142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142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144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143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142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144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142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142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143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142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144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142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142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144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144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142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144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144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144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142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142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144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144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142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142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144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144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144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142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144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143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144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142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144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144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143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144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144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142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142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144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144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142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142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144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144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144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142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142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144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142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142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142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142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143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142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144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144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142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142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144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142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144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142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142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144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143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144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142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142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144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144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144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144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142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144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142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142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142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143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144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144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143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142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142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144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144</v>
      </c>
      <c r="D12259" s="14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143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143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142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 codeName="Sheet14"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177</v>
      </c>
      <c r="B1" t="s">
        <v>176</v>
      </c>
      <c r="C1" t="s">
        <v>175</v>
      </c>
      <c r="D1" t="s">
        <v>174</v>
      </c>
      <c r="E1" t="s">
        <v>173</v>
      </c>
      <c r="F1" t="s">
        <v>172</v>
      </c>
      <c r="G1" t="s">
        <v>171</v>
      </c>
      <c r="H1" t="s">
        <v>170</v>
      </c>
      <c r="I1" t="s">
        <v>169</v>
      </c>
      <c r="J1" t="s">
        <v>168</v>
      </c>
      <c r="K1" t="s">
        <v>167</v>
      </c>
      <c r="L1" t="s">
        <v>166</v>
      </c>
      <c r="M1" t="s">
        <v>165</v>
      </c>
      <c r="N1" t="s">
        <v>164</v>
      </c>
      <c r="O1" t="s">
        <v>163</v>
      </c>
      <c r="P1" t="s">
        <v>162</v>
      </c>
      <c r="Q1" t="s">
        <v>161</v>
      </c>
      <c r="R1" t="s">
        <v>160</v>
      </c>
      <c r="S1" t="s">
        <v>159</v>
      </c>
      <c r="T1" t="s">
        <v>158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153</v>
      </c>
      <c r="O2" t="s">
        <v>155</v>
      </c>
      <c r="P2">
        <v>446</v>
      </c>
      <c r="Q2">
        <v>33</v>
      </c>
      <c r="R2">
        <v>20</v>
      </c>
      <c r="S2" t="s">
        <v>157</v>
      </c>
      <c r="T2" t="s">
        <v>153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156</v>
      </c>
      <c r="O3" t="s">
        <v>154</v>
      </c>
      <c r="P3">
        <v>632</v>
      </c>
      <c r="Q3">
        <v>43</v>
      </c>
      <c r="R3">
        <v>10</v>
      </c>
      <c r="S3">
        <v>475</v>
      </c>
      <c r="T3" t="s">
        <v>156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153</v>
      </c>
      <c r="O4" t="s">
        <v>154</v>
      </c>
      <c r="P4">
        <v>880</v>
      </c>
      <c r="Q4">
        <v>82</v>
      </c>
      <c r="R4">
        <v>14</v>
      </c>
      <c r="S4">
        <v>480</v>
      </c>
      <c r="T4" t="s">
        <v>153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156</v>
      </c>
      <c r="O5" t="s">
        <v>155</v>
      </c>
      <c r="P5">
        <v>200</v>
      </c>
      <c r="Q5">
        <v>11</v>
      </c>
      <c r="R5">
        <v>3</v>
      </c>
      <c r="S5">
        <v>500</v>
      </c>
      <c r="T5" t="s">
        <v>156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156</v>
      </c>
      <c r="O6" t="s">
        <v>155</v>
      </c>
      <c r="P6">
        <v>805</v>
      </c>
      <c r="Q6">
        <v>40</v>
      </c>
      <c r="R6">
        <v>4</v>
      </c>
      <c r="S6">
        <v>91.5</v>
      </c>
      <c r="T6" t="s">
        <v>156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153</v>
      </c>
      <c r="O7" t="s">
        <v>154</v>
      </c>
      <c r="P7">
        <v>282</v>
      </c>
      <c r="Q7">
        <v>421</v>
      </c>
      <c r="R7">
        <v>25</v>
      </c>
      <c r="S7">
        <v>750</v>
      </c>
      <c r="T7" t="s">
        <v>153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156</v>
      </c>
      <c r="O8" t="s">
        <v>155</v>
      </c>
      <c r="P8">
        <v>76</v>
      </c>
      <c r="Q8">
        <v>127</v>
      </c>
      <c r="R8">
        <v>7</v>
      </c>
      <c r="S8">
        <v>70</v>
      </c>
      <c r="T8" t="s">
        <v>153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153</v>
      </c>
      <c r="O9" t="s">
        <v>154</v>
      </c>
      <c r="P9">
        <v>121</v>
      </c>
      <c r="Q9">
        <v>283</v>
      </c>
      <c r="R9">
        <v>9</v>
      </c>
      <c r="S9">
        <v>100</v>
      </c>
      <c r="T9" t="s">
        <v>153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156</v>
      </c>
      <c r="O10" t="s">
        <v>154</v>
      </c>
      <c r="P10">
        <v>143</v>
      </c>
      <c r="Q10">
        <v>290</v>
      </c>
      <c r="R10">
        <v>19</v>
      </c>
      <c r="S10">
        <v>75</v>
      </c>
      <c r="T10" t="s">
        <v>156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153</v>
      </c>
      <c r="O11" t="s">
        <v>155</v>
      </c>
      <c r="P11">
        <v>0</v>
      </c>
      <c r="Q11">
        <v>0</v>
      </c>
      <c r="R11">
        <v>0</v>
      </c>
      <c r="S11">
        <v>1100</v>
      </c>
      <c r="T11" t="s">
        <v>153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153</v>
      </c>
      <c r="O12" t="s">
        <v>155</v>
      </c>
      <c r="P12">
        <v>238</v>
      </c>
      <c r="Q12">
        <v>445</v>
      </c>
      <c r="R12">
        <v>22</v>
      </c>
      <c r="S12">
        <v>517.14300000000003</v>
      </c>
      <c r="T12" t="s">
        <v>153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156</v>
      </c>
      <c r="O13" t="s">
        <v>154</v>
      </c>
      <c r="P13">
        <v>304</v>
      </c>
      <c r="Q13">
        <v>45</v>
      </c>
      <c r="R13">
        <v>11</v>
      </c>
      <c r="S13">
        <v>512.5</v>
      </c>
      <c r="T13" t="s">
        <v>156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156</v>
      </c>
      <c r="O14" t="s">
        <v>155</v>
      </c>
      <c r="P14">
        <v>211</v>
      </c>
      <c r="Q14">
        <v>11</v>
      </c>
      <c r="R14">
        <v>7</v>
      </c>
      <c r="S14">
        <v>550</v>
      </c>
      <c r="T14" t="s">
        <v>156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153</v>
      </c>
      <c r="O15" t="s">
        <v>155</v>
      </c>
      <c r="P15">
        <v>121</v>
      </c>
      <c r="Q15">
        <v>151</v>
      </c>
      <c r="R15">
        <v>6</v>
      </c>
      <c r="S15">
        <v>700</v>
      </c>
      <c r="T15" t="s">
        <v>153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156</v>
      </c>
      <c r="O16" t="s">
        <v>155</v>
      </c>
      <c r="P16">
        <v>80</v>
      </c>
      <c r="Q16">
        <v>45</v>
      </c>
      <c r="R16">
        <v>8</v>
      </c>
      <c r="S16">
        <v>240</v>
      </c>
      <c r="T16" t="s">
        <v>156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153</v>
      </c>
      <c r="O17" t="s">
        <v>154</v>
      </c>
      <c r="P17">
        <v>118</v>
      </c>
      <c r="Q17">
        <v>0</v>
      </c>
      <c r="R17">
        <v>0</v>
      </c>
      <c r="S17" t="s">
        <v>157</v>
      </c>
      <c r="T17" t="s">
        <v>153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156</v>
      </c>
      <c r="O18" t="s">
        <v>154</v>
      </c>
      <c r="P18">
        <v>105</v>
      </c>
      <c r="Q18">
        <v>290</v>
      </c>
      <c r="R18">
        <v>10</v>
      </c>
      <c r="S18">
        <v>775</v>
      </c>
      <c r="T18" t="s">
        <v>156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153</v>
      </c>
      <c r="O19" t="s">
        <v>154</v>
      </c>
      <c r="P19">
        <v>102</v>
      </c>
      <c r="Q19">
        <v>177</v>
      </c>
      <c r="R19">
        <v>16</v>
      </c>
      <c r="S19">
        <v>175</v>
      </c>
      <c r="T19" t="s">
        <v>153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153</v>
      </c>
      <c r="O20" t="s">
        <v>154</v>
      </c>
      <c r="P20">
        <v>912</v>
      </c>
      <c r="Q20">
        <v>88</v>
      </c>
      <c r="R20">
        <v>9</v>
      </c>
      <c r="S20" t="s">
        <v>157</v>
      </c>
      <c r="T20" t="s">
        <v>153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156</v>
      </c>
      <c r="O21" t="s">
        <v>154</v>
      </c>
      <c r="P21">
        <v>202</v>
      </c>
      <c r="Q21">
        <v>22</v>
      </c>
      <c r="R21">
        <v>2</v>
      </c>
      <c r="S21">
        <v>135</v>
      </c>
      <c r="T21" t="s">
        <v>156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156</v>
      </c>
      <c r="O22" t="s">
        <v>155</v>
      </c>
      <c r="P22">
        <v>280</v>
      </c>
      <c r="Q22">
        <v>9</v>
      </c>
      <c r="R22">
        <v>5</v>
      </c>
      <c r="S22">
        <v>100</v>
      </c>
      <c r="T22" t="s">
        <v>156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153</v>
      </c>
      <c r="O23" t="s">
        <v>154</v>
      </c>
      <c r="P23">
        <v>361</v>
      </c>
      <c r="Q23">
        <v>22</v>
      </c>
      <c r="R23">
        <v>2</v>
      </c>
      <c r="S23">
        <v>115</v>
      </c>
      <c r="T23" t="s">
        <v>156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153</v>
      </c>
      <c r="O24" t="s">
        <v>154</v>
      </c>
      <c r="P24">
        <v>812</v>
      </c>
      <c r="Q24">
        <v>84</v>
      </c>
      <c r="R24">
        <v>11</v>
      </c>
      <c r="S24" t="s">
        <v>157</v>
      </c>
      <c r="T24" t="s">
        <v>153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156</v>
      </c>
      <c r="O25" t="s">
        <v>154</v>
      </c>
      <c r="P25">
        <v>518</v>
      </c>
      <c r="Q25">
        <v>55</v>
      </c>
      <c r="R25">
        <v>3</v>
      </c>
      <c r="S25">
        <v>600</v>
      </c>
      <c r="T25" t="s">
        <v>156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153</v>
      </c>
      <c r="O26" t="s">
        <v>155</v>
      </c>
      <c r="P26">
        <v>1067</v>
      </c>
      <c r="Q26">
        <v>157</v>
      </c>
      <c r="R26">
        <v>14</v>
      </c>
      <c r="S26">
        <v>776.66700000000003</v>
      </c>
      <c r="T26" t="s">
        <v>153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153</v>
      </c>
      <c r="O27" t="s">
        <v>155</v>
      </c>
      <c r="P27">
        <v>434</v>
      </c>
      <c r="Q27">
        <v>9</v>
      </c>
      <c r="R27">
        <v>3</v>
      </c>
      <c r="S27">
        <v>765</v>
      </c>
      <c r="T27" t="s">
        <v>153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156</v>
      </c>
      <c r="O28" t="s">
        <v>155</v>
      </c>
      <c r="P28">
        <v>222</v>
      </c>
      <c r="Q28">
        <v>3</v>
      </c>
      <c r="R28">
        <v>3</v>
      </c>
      <c r="S28">
        <v>708.33299999999997</v>
      </c>
      <c r="T28" t="s">
        <v>156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156</v>
      </c>
      <c r="O29" t="s">
        <v>154</v>
      </c>
      <c r="P29">
        <v>732</v>
      </c>
      <c r="Q29">
        <v>83</v>
      </c>
      <c r="R29">
        <v>13</v>
      </c>
      <c r="S29">
        <v>750</v>
      </c>
      <c r="T29" t="s">
        <v>156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156</v>
      </c>
      <c r="O30" t="s">
        <v>154</v>
      </c>
      <c r="P30">
        <v>262</v>
      </c>
      <c r="Q30">
        <v>329</v>
      </c>
      <c r="R30">
        <v>16</v>
      </c>
      <c r="S30">
        <v>625</v>
      </c>
      <c r="T30" t="s">
        <v>156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153</v>
      </c>
      <c r="O31" t="s">
        <v>154</v>
      </c>
      <c r="P31">
        <v>267</v>
      </c>
      <c r="Q31">
        <v>5</v>
      </c>
      <c r="R31">
        <v>3</v>
      </c>
      <c r="S31">
        <v>900</v>
      </c>
      <c r="T31" t="s">
        <v>153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153</v>
      </c>
      <c r="O32" t="s">
        <v>154</v>
      </c>
      <c r="P32">
        <v>127</v>
      </c>
      <c r="Q32">
        <v>221</v>
      </c>
      <c r="R32">
        <v>7</v>
      </c>
      <c r="S32" t="s">
        <v>157</v>
      </c>
      <c r="T32" t="s">
        <v>153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156</v>
      </c>
      <c r="O33" t="s">
        <v>154</v>
      </c>
      <c r="P33">
        <v>226</v>
      </c>
      <c r="Q33">
        <v>7</v>
      </c>
      <c r="R33">
        <v>4</v>
      </c>
      <c r="S33">
        <v>110</v>
      </c>
      <c r="T33" t="s">
        <v>156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156</v>
      </c>
      <c r="O34" t="s">
        <v>154</v>
      </c>
      <c r="P34">
        <v>1378</v>
      </c>
      <c r="Q34">
        <v>102</v>
      </c>
      <c r="R34">
        <v>8</v>
      </c>
      <c r="S34" t="s">
        <v>157</v>
      </c>
      <c r="T34" t="s">
        <v>156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153</v>
      </c>
      <c r="O35" t="s">
        <v>155</v>
      </c>
      <c r="P35">
        <v>109</v>
      </c>
      <c r="Q35">
        <v>292</v>
      </c>
      <c r="R35">
        <v>25</v>
      </c>
      <c r="S35">
        <v>612.5</v>
      </c>
      <c r="T35" t="s">
        <v>153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153</v>
      </c>
      <c r="O36" t="s">
        <v>154</v>
      </c>
      <c r="P36">
        <v>419</v>
      </c>
      <c r="Q36">
        <v>46</v>
      </c>
      <c r="R36">
        <v>5</v>
      </c>
      <c r="S36">
        <v>300</v>
      </c>
      <c r="T36" t="s">
        <v>153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156</v>
      </c>
      <c r="O37" t="s">
        <v>154</v>
      </c>
      <c r="P37">
        <v>72</v>
      </c>
      <c r="Q37">
        <v>170</v>
      </c>
      <c r="R37">
        <v>24</v>
      </c>
      <c r="S37">
        <v>850</v>
      </c>
      <c r="T37" t="s">
        <v>156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153</v>
      </c>
      <c r="O38" t="s">
        <v>155</v>
      </c>
      <c r="P38">
        <v>70</v>
      </c>
      <c r="Q38">
        <v>149</v>
      </c>
      <c r="R38">
        <v>12</v>
      </c>
      <c r="S38" t="s">
        <v>157</v>
      </c>
      <c r="T38" t="s">
        <v>153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156</v>
      </c>
      <c r="O39" t="s">
        <v>154</v>
      </c>
      <c r="P39">
        <v>442</v>
      </c>
      <c r="Q39">
        <v>59</v>
      </c>
      <c r="R39">
        <v>6</v>
      </c>
      <c r="S39">
        <v>90</v>
      </c>
      <c r="T39" t="s">
        <v>156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153</v>
      </c>
      <c r="O40" t="s">
        <v>155</v>
      </c>
      <c r="P40">
        <v>0</v>
      </c>
      <c r="Q40">
        <v>0</v>
      </c>
      <c r="R40">
        <v>0</v>
      </c>
      <c r="S40" t="s">
        <v>157</v>
      </c>
      <c r="T40" t="s">
        <v>153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156</v>
      </c>
      <c r="O41" t="s">
        <v>154</v>
      </c>
      <c r="P41">
        <v>166</v>
      </c>
      <c r="Q41">
        <v>172</v>
      </c>
      <c r="R41">
        <v>10</v>
      </c>
      <c r="S41" t="s">
        <v>157</v>
      </c>
      <c r="T41" t="s">
        <v>156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153</v>
      </c>
      <c r="O42" t="s">
        <v>155</v>
      </c>
      <c r="P42">
        <v>326</v>
      </c>
      <c r="Q42">
        <v>29</v>
      </c>
      <c r="R42">
        <v>5</v>
      </c>
      <c r="S42">
        <v>67.5</v>
      </c>
      <c r="T42" t="s">
        <v>153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156</v>
      </c>
      <c r="O43" t="s">
        <v>154</v>
      </c>
      <c r="P43">
        <v>103</v>
      </c>
      <c r="Q43">
        <v>84</v>
      </c>
      <c r="R43">
        <v>5</v>
      </c>
      <c r="S43" t="s">
        <v>157</v>
      </c>
      <c r="T43" t="s">
        <v>156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156</v>
      </c>
      <c r="O44" t="s">
        <v>154</v>
      </c>
      <c r="P44">
        <v>69</v>
      </c>
      <c r="Q44">
        <v>1</v>
      </c>
      <c r="R44">
        <v>1</v>
      </c>
      <c r="S44" t="s">
        <v>157</v>
      </c>
      <c r="T44" t="s">
        <v>156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153</v>
      </c>
      <c r="O45" t="s">
        <v>155</v>
      </c>
      <c r="P45">
        <v>307</v>
      </c>
      <c r="Q45">
        <v>25</v>
      </c>
      <c r="R45">
        <v>1</v>
      </c>
      <c r="S45">
        <v>180</v>
      </c>
      <c r="T45" t="s">
        <v>153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153</v>
      </c>
      <c r="O46" t="s">
        <v>155</v>
      </c>
      <c r="P46">
        <v>325</v>
      </c>
      <c r="Q46">
        <v>22</v>
      </c>
      <c r="R46">
        <v>2</v>
      </c>
      <c r="S46" t="s">
        <v>157</v>
      </c>
      <c r="T46" t="s">
        <v>153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153</v>
      </c>
      <c r="O47" t="s">
        <v>155</v>
      </c>
      <c r="P47">
        <v>359</v>
      </c>
      <c r="Q47">
        <v>30</v>
      </c>
      <c r="R47">
        <v>4</v>
      </c>
      <c r="S47">
        <v>305</v>
      </c>
      <c r="T47" t="s">
        <v>153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156</v>
      </c>
      <c r="O48" t="s">
        <v>154</v>
      </c>
      <c r="P48">
        <v>73</v>
      </c>
      <c r="Q48">
        <v>177</v>
      </c>
      <c r="R48">
        <v>18</v>
      </c>
      <c r="S48">
        <v>215</v>
      </c>
      <c r="T48" t="s">
        <v>156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153</v>
      </c>
      <c r="O49" t="s">
        <v>155</v>
      </c>
      <c r="P49">
        <v>58</v>
      </c>
      <c r="Q49">
        <v>4</v>
      </c>
      <c r="R49">
        <v>4</v>
      </c>
      <c r="S49">
        <v>247.5</v>
      </c>
      <c r="T49" t="s">
        <v>153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153</v>
      </c>
      <c r="O50" t="s">
        <v>155</v>
      </c>
      <c r="P50">
        <v>697</v>
      </c>
      <c r="Q50">
        <v>61</v>
      </c>
      <c r="R50">
        <v>9</v>
      </c>
      <c r="S50" t="s">
        <v>157</v>
      </c>
      <c r="T50" t="s">
        <v>153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156</v>
      </c>
      <c r="O51" t="s">
        <v>154</v>
      </c>
      <c r="P51">
        <v>303</v>
      </c>
      <c r="Q51">
        <v>9</v>
      </c>
      <c r="R51">
        <v>9</v>
      </c>
      <c r="S51">
        <v>815</v>
      </c>
      <c r="T51" t="s">
        <v>156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153</v>
      </c>
      <c r="O52" t="s">
        <v>154</v>
      </c>
      <c r="P52">
        <v>389</v>
      </c>
      <c r="Q52">
        <v>39</v>
      </c>
      <c r="R52">
        <v>4</v>
      </c>
      <c r="S52">
        <v>875</v>
      </c>
      <c r="T52" t="s">
        <v>153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156</v>
      </c>
      <c r="O53" t="s">
        <v>155</v>
      </c>
      <c r="P53">
        <v>109</v>
      </c>
      <c r="Q53">
        <v>7</v>
      </c>
      <c r="R53">
        <v>3</v>
      </c>
      <c r="S53">
        <v>70</v>
      </c>
      <c r="T53" t="s">
        <v>156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153</v>
      </c>
      <c r="O54" t="s">
        <v>155</v>
      </c>
      <c r="P54">
        <v>0</v>
      </c>
      <c r="Q54">
        <v>0</v>
      </c>
      <c r="R54">
        <v>0</v>
      </c>
      <c r="S54" t="s">
        <v>157</v>
      </c>
      <c r="T54" t="s">
        <v>153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153</v>
      </c>
      <c r="O55" t="s">
        <v>154</v>
      </c>
      <c r="P55">
        <v>67</v>
      </c>
      <c r="Q55">
        <v>147</v>
      </c>
      <c r="R55">
        <v>4</v>
      </c>
      <c r="S55">
        <v>1200</v>
      </c>
      <c r="T55" t="s">
        <v>153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153</v>
      </c>
      <c r="O56" t="s">
        <v>155</v>
      </c>
      <c r="P56">
        <v>316</v>
      </c>
      <c r="Q56">
        <v>6</v>
      </c>
      <c r="R56">
        <v>5</v>
      </c>
      <c r="S56">
        <v>675</v>
      </c>
      <c r="T56" t="s">
        <v>153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156</v>
      </c>
      <c r="O57" t="s">
        <v>154</v>
      </c>
      <c r="P57">
        <v>161</v>
      </c>
      <c r="Q57">
        <v>10</v>
      </c>
      <c r="R57">
        <v>3</v>
      </c>
      <c r="S57">
        <v>415</v>
      </c>
      <c r="T57" t="s">
        <v>156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156</v>
      </c>
      <c r="O58" t="s">
        <v>154</v>
      </c>
      <c r="P58">
        <v>142</v>
      </c>
      <c r="Q58">
        <v>14</v>
      </c>
      <c r="R58">
        <v>2</v>
      </c>
      <c r="S58">
        <v>340</v>
      </c>
      <c r="T58" t="s">
        <v>156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153</v>
      </c>
      <c r="O59" t="s">
        <v>155</v>
      </c>
      <c r="P59">
        <v>425</v>
      </c>
      <c r="Q59">
        <v>43</v>
      </c>
      <c r="R59">
        <v>4</v>
      </c>
      <c r="S59" t="s">
        <v>157</v>
      </c>
      <c r="T59" t="s">
        <v>153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156</v>
      </c>
      <c r="O60" t="s">
        <v>154</v>
      </c>
      <c r="P60">
        <v>106</v>
      </c>
      <c r="Q60">
        <v>206</v>
      </c>
      <c r="R60">
        <v>7</v>
      </c>
      <c r="S60">
        <v>416.66699999999997</v>
      </c>
      <c r="T60" t="s">
        <v>156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153</v>
      </c>
      <c r="O61" t="s">
        <v>155</v>
      </c>
      <c r="P61">
        <v>240</v>
      </c>
      <c r="Q61">
        <v>482</v>
      </c>
      <c r="R61">
        <v>13</v>
      </c>
      <c r="S61">
        <v>1350</v>
      </c>
      <c r="T61" t="s">
        <v>153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153</v>
      </c>
      <c r="O62" t="s">
        <v>155</v>
      </c>
      <c r="P62">
        <v>203</v>
      </c>
      <c r="Q62">
        <v>70</v>
      </c>
      <c r="R62">
        <v>10</v>
      </c>
      <c r="S62">
        <v>90</v>
      </c>
      <c r="T62" t="s">
        <v>153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156</v>
      </c>
      <c r="O63" t="s">
        <v>155</v>
      </c>
      <c r="P63">
        <v>53</v>
      </c>
      <c r="Q63">
        <v>88</v>
      </c>
      <c r="R63">
        <v>3</v>
      </c>
      <c r="S63">
        <v>275</v>
      </c>
      <c r="T63" t="s">
        <v>156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153</v>
      </c>
      <c r="O64" t="s">
        <v>154</v>
      </c>
      <c r="P64">
        <v>125</v>
      </c>
      <c r="Q64">
        <v>199</v>
      </c>
      <c r="R64">
        <v>13</v>
      </c>
      <c r="S64">
        <v>230</v>
      </c>
      <c r="T64" t="s">
        <v>153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156</v>
      </c>
      <c r="O65" t="s">
        <v>154</v>
      </c>
      <c r="P65">
        <v>73</v>
      </c>
      <c r="Q65">
        <v>152</v>
      </c>
      <c r="R65">
        <v>11</v>
      </c>
      <c r="S65">
        <v>225</v>
      </c>
      <c r="T65" t="s">
        <v>156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153</v>
      </c>
      <c r="O66" t="s">
        <v>154</v>
      </c>
      <c r="P66">
        <v>80</v>
      </c>
      <c r="Q66">
        <v>4</v>
      </c>
      <c r="R66">
        <v>0</v>
      </c>
      <c r="S66" t="s">
        <v>157</v>
      </c>
      <c r="T66" t="s">
        <v>153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153</v>
      </c>
      <c r="O67" t="s">
        <v>155</v>
      </c>
      <c r="P67">
        <v>0</v>
      </c>
      <c r="Q67">
        <v>0</v>
      </c>
      <c r="R67">
        <v>0</v>
      </c>
      <c r="S67">
        <v>950</v>
      </c>
      <c r="T67" t="s">
        <v>153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156</v>
      </c>
      <c r="O68" t="s">
        <v>155</v>
      </c>
      <c r="P68">
        <v>391</v>
      </c>
      <c r="Q68">
        <v>38</v>
      </c>
      <c r="R68">
        <v>8</v>
      </c>
      <c r="S68" t="s">
        <v>157</v>
      </c>
      <c r="T68" t="s">
        <v>156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153</v>
      </c>
      <c r="O69" t="s">
        <v>154</v>
      </c>
      <c r="P69">
        <v>152</v>
      </c>
      <c r="Q69">
        <v>3</v>
      </c>
      <c r="R69">
        <v>5</v>
      </c>
      <c r="S69">
        <v>75</v>
      </c>
      <c r="T69" t="s">
        <v>153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153</v>
      </c>
      <c r="O70" t="s">
        <v>155</v>
      </c>
      <c r="P70">
        <v>107</v>
      </c>
      <c r="Q70">
        <v>242</v>
      </c>
      <c r="R70">
        <v>23</v>
      </c>
      <c r="S70">
        <v>105</v>
      </c>
      <c r="T70" t="s">
        <v>153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153</v>
      </c>
      <c r="O71" t="s">
        <v>155</v>
      </c>
      <c r="P71">
        <v>211</v>
      </c>
      <c r="Q71">
        <v>2</v>
      </c>
      <c r="R71">
        <v>1</v>
      </c>
      <c r="S71" t="s">
        <v>157</v>
      </c>
      <c r="T71" t="s">
        <v>153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156</v>
      </c>
      <c r="O72" t="s">
        <v>154</v>
      </c>
      <c r="P72">
        <v>153</v>
      </c>
      <c r="Q72">
        <v>223</v>
      </c>
      <c r="R72">
        <v>10</v>
      </c>
      <c r="S72">
        <v>320</v>
      </c>
      <c r="T72" t="s">
        <v>156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156</v>
      </c>
      <c r="O73" t="s">
        <v>155</v>
      </c>
      <c r="P73">
        <v>244</v>
      </c>
      <c r="Q73">
        <v>21</v>
      </c>
      <c r="R73">
        <v>4</v>
      </c>
      <c r="S73" t="s">
        <v>157</v>
      </c>
      <c r="T73" t="s">
        <v>156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153</v>
      </c>
      <c r="O74" t="s">
        <v>154</v>
      </c>
      <c r="P74">
        <v>119</v>
      </c>
      <c r="Q74">
        <v>216</v>
      </c>
      <c r="R74">
        <v>12</v>
      </c>
      <c r="S74">
        <v>850</v>
      </c>
      <c r="T74" t="s">
        <v>153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153</v>
      </c>
      <c r="O75" t="s">
        <v>155</v>
      </c>
      <c r="P75">
        <v>808</v>
      </c>
      <c r="Q75">
        <v>108</v>
      </c>
      <c r="R75">
        <v>2</v>
      </c>
      <c r="S75">
        <v>535</v>
      </c>
      <c r="T75" t="s">
        <v>153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153</v>
      </c>
      <c r="O76" t="s">
        <v>155</v>
      </c>
      <c r="P76">
        <v>280</v>
      </c>
      <c r="Q76">
        <v>10</v>
      </c>
      <c r="R76">
        <v>5</v>
      </c>
      <c r="S76">
        <v>933.33299999999997</v>
      </c>
      <c r="T76" t="s">
        <v>153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153</v>
      </c>
      <c r="O77" t="s">
        <v>155</v>
      </c>
      <c r="P77">
        <v>224</v>
      </c>
      <c r="Q77">
        <v>286</v>
      </c>
      <c r="R77">
        <v>8</v>
      </c>
      <c r="S77">
        <v>850</v>
      </c>
      <c r="T77" t="s">
        <v>156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156</v>
      </c>
      <c r="O78" t="s">
        <v>154</v>
      </c>
      <c r="P78">
        <v>226</v>
      </c>
      <c r="Q78">
        <v>7</v>
      </c>
      <c r="R78">
        <v>3</v>
      </c>
      <c r="S78">
        <v>210</v>
      </c>
      <c r="T78" t="s">
        <v>153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156</v>
      </c>
      <c r="O79" t="s">
        <v>155</v>
      </c>
      <c r="P79">
        <v>83</v>
      </c>
      <c r="Q79">
        <v>2</v>
      </c>
      <c r="R79">
        <v>1</v>
      </c>
      <c r="S79" t="s">
        <v>157</v>
      </c>
      <c r="T79" t="s">
        <v>156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153</v>
      </c>
      <c r="O80" t="s">
        <v>154</v>
      </c>
      <c r="P80">
        <v>182</v>
      </c>
      <c r="Q80">
        <v>9</v>
      </c>
      <c r="R80">
        <v>4</v>
      </c>
      <c r="S80">
        <v>325</v>
      </c>
      <c r="T80" t="s">
        <v>153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153</v>
      </c>
      <c r="O81" t="s">
        <v>154</v>
      </c>
      <c r="P81">
        <v>104</v>
      </c>
      <c r="Q81">
        <v>213</v>
      </c>
      <c r="R81">
        <v>9</v>
      </c>
      <c r="S81">
        <v>275</v>
      </c>
      <c r="T81" t="s">
        <v>153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153</v>
      </c>
      <c r="O82" t="s">
        <v>154</v>
      </c>
      <c r="P82">
        <v>463</v>
      </c>
      <c r="Q82">
        <v>32</v>
      </c>
      <c r="R82">
        <v>8</v>
      </c>
      <c r="S82" t="s">
        <v>157</v>
      </c>
      <c r="T82" t="s">
        <v>153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156</v>
      </c>
      <c r="O83" t="s">
        <v>155</v>
      </c>
      <c r="P83">
        <v>51</v>
      </c>
      <c r="Q83">
        <v>54</v>
      </c>
      <c r="R83">
        <v>8</v>
      </c>
      <c r="S83">
        <v>450</v>
      </c>
      <c r="T83" t="s">
        <v>156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153</v>
      </c>
      <c r="O84" t="s">
        <v>155</v>
      </c>
      <c r="P84">
        <v>1377</v>
      </c>
      <c r="Q84">
        <v>100</v>
      </c>
      <c r="R84">
        <v>6</v>
      </c>
      <c r="S84">
        <v>1975</v>
      </c>
      <c r="T84" t="s">
        <v>153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153</v>
      </c>
      <c r="O85" t="s">
        <v>154</v>
      </c>
      <c r="P85">
        <v>92</v>
      </c>
      <c r="Q85">
        <v>2</v>
      </c>
      <c r="R85">
        <v>2</v>
      </c>
      <c r="S85" t="s">
        <v>157</v>
      </c>
      <c r="T85" t="s">
        <v>153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156</v>
      </c>
      <c r="O86" t="s">
        <v>154</v>
      </c>
      <c r="P86">
        <v>303</v>
      </c>
      <c r="Q86">
        <v>6</v>
      </c>
      <c r="R86">
        <v>6</v>
      </c>
      <c r="S86">
        <v>1900</v>
      </c>
      <c r="T86" t="s">
        <v>156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153</v>
      </c>
      <c r="O87" t="s">
        <v>154</v>
      </c>
      <c r="P87">
        <v>276</v>
      </c>
      <c r="Q87">
        <v>6</v>
      </c>
      <c r="R87">
        <v>2</v>
      </c>
      <c r="S87">
        <v>600</v>
      </c>
      <c r="T87" t="s">
        <v>153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156</v>
      </c>
      <c r="O88" t="s">
        <v>154</v>
      </c>
      <c r="P88">
        <v>278</v>
      </c>
      <c r="Q88">
        <v>9</v>
      </c>
      <c r="R88">
        <v>9</v>
      </c>
      <c r="S88">
        <v>1041.6669999999999</v>
      </c>
      <c r="T88" t="s">
        <v>156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153</v>
      </c>
      <c r="O89" t="s">
        <v>155</v>
      </c>
      <c r="P89">
        <v>148</v>
      </c>
      <c r="Q89">
        <v>4</v>
      </c>
      <c r="R89">
        <v>2</v>
      </c>
      <c r="S89">
        <v>110</v>
      </c>
      <c r="T89" t="s">
        <v>153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153</v>
      </c>
      <c r="O90" t="s">
        <v>154</v>
      </c>
      <c r="P90">
        <v>165</v>
      </c>
      <c r="Q90">
        <v>9</v>
      </c>
      <c r="R90">
        <v>1</v>
      </c>
      <c r="S90">
        <v>260</v>
      </c>
      <c r="T90" t="s">
        <v>153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153</v>
      </c>
      <c r="O91" t="s">
        <v>154</v>
      </c>
      <c r="P91">
        <v>246</v>
      </c>
      <c r="Q91">
        <v>389</v>
      </c>
      <c r="R91">
        <v>18</v>
      </c>
      <c r="S91">
        <v>475</v>
      </c>
      <c r="T91" t="s">
        <v>153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153</v>
      </c>
      <c r="O92" t="s">
        <v>154</v>
      </c>
      <c r="P92">
        <v>533</v>
      </c>
      <c r="Q92">
        <v>40</v>
      </c>
      <c r="R92">
        <v>4</v>
      </c>
      <c r="S92">
        <v>431.5</v>
      </c>
      <c r="T92" t="s">
        <v>153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156</v>
      </c>
      <c r="O93" t="s">
        <v>155</v>
      </c>
      <c r="P93">
        <v>226</v>
      </c>
      <c r="Q93">
        <v>10</v>
      </c>
      <c r="R93">
        <v>6</v>
      </c>
      <c r="S93">
        <v>1220</v>
      </c>
      <c r="T93" t="s">
        <v>156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153</v>
      </c>
      <c r="O94" t="s">
        <v>155</v>
      </c>
      <c r="P94">
        <v>45</v>
      </c>
      <c r="Q94">
        <v>122</v>
      </c>
      <c r="R94">
        <v>26</v>
      </c>
      <c r="S94">
        <v>70</v>
      </c>
      <c r="T94" t="s">
        <v>153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153</v>
      </c>
      <c r="O95" t="s">
        <v>154</v>
      </c>
      <c r="P95">
        <v>157</v>
      </c>
      <c r="Q95">
        <v>7</v>
      </c>
      <c r="R95">
        <v>8</v>
      </c>
      <c r="S95">
        <v>145</v>
      </c>
      <c r="T95" t="s">
        <v>153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156</v>
      </c>
      <c r="O96" t="s">
        <v>154</v>
      </c>
      <c r="P96">
        <v>142</v>
      </c>
      <c r="Q96">
        <v>210</v>
      </c>
      <c r="R96">
        <v>10</v>
      </c>
      <c r="S96" t="s">
        <v>157</v>
      </c>
      <c r="T96" t="s">
        <v>156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156</v>
      </c>
      <c r="O97" t="s">
        <v>154</v>
      </c>
      <c r="P97">
        <v>59</v>
      </c>
      <c r="Q97">
        <v>156</v>
      </c>
      <c r="R97">
        <v>9</v>
      </c>
      <c r="S97">
        <v>595</v>
      </c>
      <c r="T97" t="s">
        <v>156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153</v>
      </c>
      <c r="O98" t="s">
        <v>155</v>
      </c>
      <c r="P98">
        <v>292</v>
      </c>
      <c r="Q98">
        <v>9</v>
      </c>
      <c r="R98">
        <v>5</v>
      </c>
      <c r="S98">
        <v>1861.46</v>
      </c>
      <c r="T98" t="s">
        <v>153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156</v>
      </c>
      <c r="O99" t="s">
        <v>154</v>
      </c>
      <c r="P99">
        <v>360</v>
      </c>
      <c r="Q99">
        <v>32</v>
      </c>
      <c r="R99">
        <v>5</v>
      </c>
      <c r="S99" t="s">
        <v>157</v>
      </c>
      <c r="T99" t="s">
        <v>156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156</v>
      </c>
      <c r="O100" t="s">
        <v>154</v>
      </c>
      <c r="P100">
        <v>274</v>
      </c>
      <c r="Q100">
        <v>2</v>
      </c>
      <c r="R100">
        <v>7</v>
      </c>
      <c r="S100">
        <v>300</v>
      </c>
      <c r="T100" t="s">
        <v>156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156</v>
      </c>
      <c r="O101" t="s">
        <v>154</v>
      </c>
      <c r="P101">
        <v>292</v>
      </c>
      <c r="Q101">
        <v>6</v>
      </c>
      <c r="R101">
        <v>3</v>
      </c>
      <c r="S101">
        <v>490</v>
      </c>
      <c r="T101" t="s">
        <v>156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153</v>
      </c>
      <c r="O102" t="s">
        <v>155</v>
      </c>
      <c r="P102">
        <v>1045</v>
      </c>
      <c r="Q102">
        <v>88</v>
      </c>
      <c r="R102">
        <v>13</v>
      </c>
      <c r="S102">
        <v>2460</v>
      </c>
      <c r="T102" t="s">
        <v>153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153</v>
      </c>
      <c r="O103" t="s">
        <v>155</v>
      </c>
      <c r="P103">
        <v>212</v>
      </c>
      <c r="Q103">
        <v>327</v>
      </c>
      <c r="R103">
        <v>20</v>
      </c>
      <c r="S103" t="s">
        <v>157</v>
      </c>
      <c r="T103" t="s">
        <v>153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153</v>
      </c>
      <c r="O104" t="s">
        <v>155</v>
      </c>
      <c r="P104">
        <v>102</v>
      </c>
      <c r="Q104">
        <v>132</v>
      </c>
      <c r="R104">
        <v>10</v>
      </c>
      <c r="S104">
        <v>375</v>
      </c>
      <c r="T104" t="s">
        <v>153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153</v>
      </c>
      <c r="O105" t="s">
        <v>155</v>
      </c>
      <c r="P105">
        <v>709</v>
      </c>
      <c r="Q105">
        <v>41</v>
      </c>
      <c r="R105">
        <v>7</v>
      </c>
      <c r="S105" t="s">
        <v>157</v>
      </c>
      <c r="T105" t="s">
        <v>153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153</v>
      </c>
      <c r="O106" t="s">
        <v>155</v>
      </c>
      <c r="P106">
        <v>244</v>
      </c>
      <c r="Q106">
        <v>2</v>
      </c>
      <c r="R106">
        <v>4</v>
      </c>
      <c r="S106" t="s">
        <v>157</v>
      </c>
      <c r="T106" t="s">
        <v>153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153</v>
      </c>
      <c r="O107" t="s">
        <v>155</v>
      </c>
      <c r="P107">
        <v>40</v>
      </c>
      <c r="Q107">
        <v>115</v>
      </c>
      <c r="R107">
        <v>15</v>
      </c>
      <c r="S107" t="s">
        <v>157</v>
      </c>
      <c r="T107" t="s">
        <v>153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156</v>
      </c>
      <c r="O108" t="s">
        <v>154</v>
      </c>
      <c r="P108">
        <v>206</v>
      </c>
      <c r="Q108">
        <v>10</v>
      </c>
      <c r="R108">
        <v>7</v>
      </c>
      <c r="S108" t="s">
        <v>157</v>
      </c>
      <c r="T108" t="s">
        <v>156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153</v>
      </c>
      <c r="O109" t="s">
        <v>154</v>
      </c>
      <c r="P109">
        <v>316</v>
      </c>
      <c r="Q109">
        <v>439</v>
      </c>
      <c r="R109">
        <v>10</v>
      </c>
      <c r="S109">
        <v>750</v>
      </c>
      <c r="T109" t="s">
        <v>153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153</v>
      </c>
      <c r="O110" t="s">
        <v>155</v>
      </c>
      <c r="P110">
        <v>269</v>
      </c>
      <c r="Q110">
        <v>17</v>
      </c>
      <c r="R110">
        <v>10</v>
      </c>
      <c r="S110">
        <v>1175</v>
      </c>
      <c r="T110" t="s">
        <v>153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153</v>
      </c>
      <c r="O111" t="s">
        <v>155</v>
      </c>
      <c r="P111">
        <v>116</v>
      </c>
      <c r="Q111">
        <v>5</v>
      </c>
      <c r="R111">
        <v>12</v>
      </c>
      <c r="S111">
        <v>70</v>
      </c>
      <c r="T111" t="s">
        <v>153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153</v>
      </c>
      <c r="O112" t="s">
        <v>154</v>
      </c>
      <c r="P112">
        <v>97</v>
      </c>
      <c r="Q112">
        <v>218</v>
      </c>
      <c r="R112">
        <v>16</v>
      </c>
      <c r="S112">
        <v>1500</v>
      </c>
      <c r="T112" t="s">
        <v>153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156</v>
      </c>
      <c r="O113" t="s">
        <v>154</v>
      </c>
      <c r="P113">
        <v>726</v>
      </c>
      <c r="Q113">
        <v>87</v>
      </c>
      <c r="R113">
        <v>3</v>
      </c>
      <c r="S113">
        <v>385</v>
      </c>
      <c r="T113" t="s">
        <v>153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156</v>
      </c>
      <c r="O114" t="s">
        <v>155</v>
      </c>
      <c r="P114">
        <v>869</v>
      </c>
      <c r="Q114">
        <v>62</v>
      </c>
      <c r="R114">
        <v>8</v>
      </c>
      <c r="S114">
        <v>1925.5709999999999</v>
      </c>
      <c r="T114" t="s">
        <v>156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156</v>
      </c>
      <c r="O115" t="s">
        <v>154</v>
      </c>
      <c r="P115">
        <v>1253</v>
      </c>
      <c r="Q115">
        <v>111</v>
      </c>
      <c r="R115">
        <v>11</v>
      </c>
      <c r="S115">
        <v>215</v>
      </c>
      <c r="T115" t="s">
        <v>156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156</v>
      </c>
      <c r="O116" t="s">
        <v>155</v>
      </c>
      <c r="P116">
        <v>96</v>
      </c>
      <c r="Q116">
        <v>4</v>
      </c>
      <c r="R116">
        <v>4</v>
      </c>
      <c r="S116" t="s">
        <v>157</v>
      </c>
      <c r="T116" t="s">
        <v>156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153</v>
      </c>
      <c r="O117" t="s">
        <v>154</v>
      </c>
      <c r="P117">
        <v>118</v>
      </c>
      <c r="Q117">
        <v>334</v>
      </c>
      <c r="R117">
        <v>21</v>
      </c>
      <c r="S117">
        <v>900</v>
      </c>
      <c r="T117" t="s">
        <v>153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153</v>
      </c>
      <c r="O118" t="s">
        <v>154</v>
      </c>
      <c r="P118">
        <v>228</v>
      </c>
      <c r="Q118">
        <v>377</v>
      </c>
      <c r="R118">
        <v>26</v>
      </c>
      <c r="S118">
        <v>155</v>
      </c>
      <c r="T118" t="s">
        <v>153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153</v>
      </c>
      <c r="O119" t="s">
        <v>154</v>
      </c>
      <c r="P119">
        <v>144</v>
      </c>
      <c r="Q119">
        <v>6</v>
      </c>
      <c r="R119">
        <v>5</v>
      </c>
      <c r="S119">
        <v>700</v>
      </c>
      <c r="T119" t="s">
        <v>153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156</v>
      </c>
      <c r="O120" t="s">
        <v>154</v>
      </c>
      <c r="P120">
        <v>282</v>
      </c>
      <c r="Q120">
        <v>487</v>
      </c>
      <c r="R120">
        <v>19</v>
      </c>
      <c r="S120">
        <v>535</v>
      </c>
      <c r="T120" t="s">
        <v>156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153</v>
      </c>
      <c r="O121" t="s">
        <v>155</v>
      </c>
      <c r="P121">
        <v>91</v>
      </c>
      <c r="Q121">
        <v>185</v>
      </c>
      <c r="R121">
        <v>12</v>
      </c>
      <c r="S121">
        <v>362.5</v>
      </c>
      <c r="T121" t="s">
        <v>153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156</v>
      </c>
      <c r="O122" t="s">
        <v>155</v>
      </c>
      <c r="P122">
        <v>137</v>
      </c>
      <c r="Q122">
        <v>5</v>
      </c>
      <c r="R122">
        <v>9</v>
      </c>
      <c r="S122">
        <v>733.33299999999997</v>
      </c>
      <c r="T122" t="s">
        <v>156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156</v>
      </c>
      <c r="O123" t="s">
        <v>154</v>
      </c>
      <c r="P123">
        <v>83</v>
      </c>
      <c r="Q123">
        <v>174</v>
      </c>
      <c r="R123">
        <v>16</v>
      </c>
      <c r="S123">
        <v>200</v>
      </c>
      <c r="T123" t="s">
        <v>156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153</v>
      </c>
      <c r="O124" t="s">
        <v>154</v>
      </c>
      <c r="P124">
        <v>462</v>
      </c>
      <c r="Q124">
        <v>9</v>
      </c>
      <c r="R124">
        <v>7</v>
      </c>
      <c r="S124">
        <v>400</v>
      </c>
      <c r="T124" t="s">
        <v>153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156</v>
      </c>
      <c r="O125" t="s">
        <v>155</v>
      </c>
      <c r="P125">
        <v>185</v>
      </c>
      <c r="Q125">
        <v>8</v>
      </c>
      <c r="R125">
        <v>4</v>
      </c>
      <c r="S125">
        <v>400</v>
      </c>
      <c r="T125" t="s">
        <v>153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156</v>
      </c>
      <c r="O126" t="s">
        <v>154</v>
      </c>
      <c r="P126">
        <v>207</v>
      </c>
      <c r="Q126">
        <v>358</v>
      </c>
      <c r="R126">
        <v>20</v>
      </c>
      <c r="S126">
        <v>737.5</v>
      </c>
      <c r="T126" t="s">
        <v>156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153</v>
      </c>
      <c r="O127" t="s">
        <v>154</v>
      </c>
      <c r="P127">
        <v>0</v>
      </c>
      <c r="Q127">
        <v>0</v>
      </c>
      <c r="R127">
        <v>0</v>
      </c>
      <c r="S127" t="s">
        <v>157</v>
      </c>
      <c r="T127" t="s">
        <v>153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153</v>
      </c>
      <c r="O128" t="s">
        <v>154</v>
      </c>
      <c r="P128">
        <v>670</v>
      </c>
      <c r="Q128">
        <v>57</v>
      </c>
      <c r="R128">
        <v>5</v>
      </c>
      <c r="S128">
        <v>500</v>
      </c>
      <c r="T128" t="s">
        <v>153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153</v>
      </c>
      <c r="O129" t="s">
        <v>154</v>
      </c>
      <c r="P129">
        <v>237</v>
      </c>
      <c r="Q129">
        <v>8</v>
      </c>
      <c r="R129">
        <v>1</v>
      </c>
      <c r="S129">
        <v>600</v>
      </c>
      <c r="T129" t="s">
        <v>153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156</v>
      </c>
      <c r="O130" t="s">
        <v>155</v>
      </c>
      <c r="P130">
        <v>331</v>
      </c>
      <c r="Q130">
        <v>20</v>
      </c>
      <c r="R130">
        <v>4</v>
      </c>
      <c r="S130">
        <v>662.5</v>
      </c>
      <c r="T130" t="s">
        <v>156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153</v>
      </c>
      <c r="O131" t="s">
        <v>154</v>
      </c>
      <c r="P131">
        <v>295</v>
      </c>
      <c r="Q131">
        <v>15</v>
      </c>
      <c r="R131">
        <v>5</v>
      </c>
      <c r="S131">
        <v>950</v>
      </c>
      <c r="T131" t="s">
        <v>153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156</v>
      </c>
      <c r="O132" t="s">
        <v>155</v>
      </c>
      <c r="P132">
        <v>116</v>
      </c>
      <c r="Q132">
        <v>222</v>
      </c>
      <c r="R132">
        <v>15</v>
      </c>
      <c r="S132">
        <v>750</v>
      </c>
      <c r="T132" t="s">
        <v>156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156</v>
      </c>
      <c r="O133" t="s">
        <v>155</v>
      </c>
      <c r="P133">
        <v>50</v>
      </c>
      <c r="Q133">
        <v>136</v>
      </c>
      <c r="R133">
        <v>20</v>
      </c>
      <c r="S133">
        <v>297.5</v>
      </c>
      <c r="T133" t="s">
        <v>156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153</v>
      </c>
      <c r="O134" t="s">
        <v>154</v>
      </c>
      <c r="P134">
        <v>0</v>
      </c>
      <c r="Q134">
        <v>0</v>
      </c>
      <c r="R134">
        <v>0</v>
      </c>
      <c r="S134">
        <v>325</v>
      </c>
      <c r="T134" t="s">
        <v>153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153</v>
      </c>
      <c r="O135" t="s">
        <v>154</v>
      </c>
      <c r="P135">
        <v>278</v>
      </c>
      <c r="Q135">
        <v>415</v>
      </c>
      <c r="R135">
        <v>16</v>
      </c>
      <c r="S135">
        <v>87.5</v>
      </c>
      <c r="T135" t="s">
        <v>153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156</v>
      </c>
      <c r="O136" t="s">
        <v>154</v>
      </c>
      <c r="P136">
        <v>138</v>
      </c>
      <c r="Q136">
        <v>15</v>
      </c>
      <c r="R136">
        <v>1</v>
      </c>
      <c r="S136">
        <v>175</v>
      </c>
      <c r="T136" t="s">
        <v>156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156</v>
      </c>
      <c r="O137" t="s">
        <v>155</v>
      </c>
      <c r="P137">
        <v>97</v>
      </c>
      <c r="Q137">
        <v>2</v>
      </c>
      <c r="R137">
        <v>2</v>
      </c>
      <c r="S137">
        <v>90</v>
      </c>
      <c r="T137" t="s">
        <v>156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153</v>
      </c>
      <c r="O138" t="s">
        <v>155</v>
      </c>
      <c r="P138">
        <v>368</v>
      </c>
      <c r="Q138">
        <v>20</v>
      </c>
      <c r="R138">
        <v>3</v>
      </c>
      <c r="S138">
        <v>1237.5</v>
      </c>
      <c r="T138" t="s">
        <v>153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153</v>
      </c>
      <c r="O139" t="s">
        <v>155</v>
      </c>
      <c r="P139">
        <v>211</v>
      </c>
      <c r="Q139">
        <v>56</v>
      </c>
      <c r="R139">
        <v>13</v>
      </c>
      <c r="S139">
        <v>430</v>
      </c>
      <c r="T139" t="s">
        <v>153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153</v>
      </c>
      <c r="O140" t="s">
        <v>155</v>
      </c>
      <c r="P140">
        <v>122</v>
      </c>
      <c r="Q140">
        <v>140</v>
      </c>
      <c r="R140">
        <v>5</v>
      </c>
      <c r="S140" t="s">
        <v>157</v>
      </c>
      <c r="T140" t="s">
        <v>156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153</v>
      </c>
      <c r="O141" t="s">
        <v>154</v>
      </c>
      <c r="P141">
        <v>276</v>
      </c>
      <c r="Q141">
        <v>7</v>
      </c>
      <c r="R141">
        <v>9</v>
      </c>
      <c r="S141">
        <v>100</v>
      </c>
      <c r="T141" t="s">
        <v>156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153</v>
      </c>
      <c r="O142" t="s">
        <v>154</v>
      </c>
      <c r="P142">
        <v>319</v>
      </c>
      <c r="Q142">
        <v>4</v>
      </c>
      <c r="R142">
        <v>14</v>
      </c>
      <c r="S142">
        <v>165</v>
      </c>
      <c r="T142" t="s">
        <v>153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153</v>
      </c>
      <c r="O143" t="s">
        <v>155</v>
      </c>
      <c r="P143">
        <v>241</v>
      </c>
      <c r="Q143">
        <v>8</v>
      </c>
      <c r="R143">
        <v>6</v>
      </c>
      <c r="S143">
        <v>250</v>
      </c>
      <c r="T143" t="s">
        <v>153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156</v>
      </c>
      <c r="O144" t="s">
        <v>155</v>
      </c>
      <c r="P144">
        <v>623</v>
      </c>
      <c r="Q144">
        <v>35</v>
      </c>
      <c r="R144">
        <v>3</v>
      </c>
      <c r="S144">
        <v>1300</v>
      </c>
      <c r="T144" t="s">
        <v>156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156</v>
      </c>
      <c r="O145" t="s">
        <v>154</v>
      </c>
      <c r="P145">
        <v>237</v>
      </c>
      <c r="Q145">
        <v>5</v>
      </c>
      <c r="R145">
        <v>4</v>
      </c>
      <c r="S145">
        <v>773.33299999999997</v>
      </c>
      <c r="T145" t="s">
        <v>156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153</v>
      </c>
      <c r="O146" t="s">
        <v>154</v>
      </c>
      <c r="P146">
        <v>132</v>
      </c>
      <c r="Q146">
        <v>205</v>
      </c>
      <c r="R146">
        <v>5</v>
      </c>
      <c r="S146" t="s">
        <v>157</v>
      </c>
      <c r="T146" t="s">
        <v>153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156</v>
      </c>
      <c r="O147" t="s">
        <v>155</v>
      </c>
      <c r="P147">
        <v>885</v>
      </c>
      <c r="Q147">
        <v>105</v>
      </c>
      <c r="R147">
        <v>8</v>
      </c>
      <c r="S147">
        <v>1008.333</v>
      </c>
      <c r="T147" t="s">
        <v>156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153</v>
      </c>
      <c r="O148" t="s">
        <v>155</v>
      </c>
      <c r="P148">
        <v>33</v>
      </c>
      <c r="Q148">
        <v>3</v>
      </c>
      <c r="R148">
        <v>0</v>
      </c>
      <c r="S148">
        <v>275</v>
      </c>
      <c r="T148" t="s">
        <v>153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153</v>
      </c>
      <c r="O149" t="s">
        <v>155</v>
      </c>
      <c r="P149">
        <v>231</v>
      </c>
      <c r="Q149">
        <v>374</v>
      </c>
      <c r="R149">
        <v>18</v>
      </c>
      <c r="S149">
        <v>775</v>
      </c>
      <c r="T149" t="s">
        <v>153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153</v>
      </c>
      <c r="O150" t="s">
        <v>155</v>
      </c>
      <c r="P150">
        <v>304</v>
      </c>
      <c r="Q150">
        <v>347</v>
      </c>
      <c r="R150">
        <v>10</v>
      </c>
      <c r="S150">
        <v>850</v>
      </c>
      <c r="T150" t="s">
        <v>153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153</v>
      </c>
      <c r="O151" t="s">
        <v>155</v>
      </c>
      <c r="P151">
        <v>0</v>
      </c>
      <c r="Q151">
        <v>0</v>
      </c>
      <c r="R151">
        <v>0</v>
      </c>
      <c r="S151">
        <v>365</v>
      </c>
      <c r="T151" t="s">
        <v>153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153</v>
      </c>
      <c r="O152" t="s">
        <v>154</v>
      </c>
      <c r="P152">
        <v>132</v>
      </c>
      <c r="Q152">
        <v>9</v>
      </c>
      <c r="R152">
        <v>0</v>
      </c>
      <c r="S152" t="s">
        <v>157</v>
      </c>
      <c r="T152" t="s">
        <v>153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153</v>
      </c>
      <c r="O153" t="s">
        <v>154</v>
      </c>
      <c r="P153">
        <v>28</v>
      </c>
      <c r="Q153">
        <v>56</v>
      </c>
      <c r="R153">
        <v>2</v>
      </c>
      <c r="S153">
        <v>95</v>
      </c>
      <c r="T153" t="s">
        <v>153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156</v>
      </c>
      <c r="O154" t="s">
        <v>154</v>
      </c>
      <c r="P154">
        <v>102</v>
      </c>
      <c r="Q154">
        <v>4</v>
      </c>
      <c r="R154">
        <v>2</v>
      </c>
      <c r="S154">
        <v>110</v>
      </c>
      <c r="T154" t="s">
        <v>156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156</v>
      </c>
      <c r="O155" t="s">
        <v>154</v>
      </c>
      <c r="P155">
        <v>158</v>
      </c>
      <c r="Q155">
        <v>4</v>
      </c>
      <c r="R155">
        <v>5</v>
      </c>
      <c r="S155">
        <v>100</v>
      </c>
      <c r="T155" t="s">
        <v>156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156</v>
      </c>
      <c r="O156" t="s">
        <v>155</v>
      </c>
      <c r="P156">
        <v>92</v>
      </c>
      <c r="Q156">
        <v>257</v>
      </c>
      <c r="R156">
        <v>20</v>
      </c>
      <c r="S156">
        <v>277.5</v>
      </c>
      <c r="T156" t="s">
        <v>156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153</v>
      </c>
      <c r="O157" t="s">
        <v>154</v>
      </c>
      <c r="P157">
        <v>211</v>
      </c>
      <c r="Q157">
        <v>9</v>
      </c>
      <c r="R157">
        <v>3</v>
      </c>
      <c r="S157">
        <v>80</v>
      </c>
      <c r="T157" t="s">
        <v>153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156</v>
      </c>
      <c r="O158" t="s">
        <v>155</v>
      </c>
      <c r="P158">
        <v>161</v>
      </c>
      <c r="Q158">
        <v>3</v>
      </c>
      <c r="R158">
        <v>3</v>
      </c>
      <c r="S158">
        <v>600</v>
      </c>
      <c r="T158" t="s">
        <v>156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156</v>
      </c>
      <c r="O159" t="s">
        <v>155</v>
      </c>
      <c r="P159">
        <v>193</v>
      </c>
      <c r="Q159">
        <v>11</v>
      </c>
      <c r="R159">
        <v>4</v>
      </c>
      <c r="S159" t="s">
        <v>157</v>
      </c>
      <c r="T159" t="s">
        <v>156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153</v>
      </c>
      <c r="O160" t="s">
        <v>154</v>
      </c>
      <c r="P160">
        <v>0</v>
      </c>
      <c r="Q160">
        <v>0</v>
      </c>
      <c r="R160">
        <v>0</v>
      </c>
      <c r="S160" t="s">
        <v>157</v>
      </c>
      <c r="T160" t="s">
        <v>153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153</v>
      </c>
      <c r="O161" t="s">
        <v>154</v>
      </c>
      <c r="P161">
        <v>110</v>
      </c>
      <c r="Q161">
        <v>308</v>
      </c>
      <c r="R161">
        <v>15</v>
      </c>
      <c r="S161">
        <v>200</v>
      </c>
      <c r="T161" t="s">
        <v>153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153</v>
      </c>
      <c r="O162" t="s">
        <v>154</v>
      </c>
      <c r="P162">
        <v>260</v>
      </c>
      <c r="Q162">
        <v>58</v>
      </c>
      <c r="R162">
        <v>4</v>
      </c>
      <c r="S162" t="s">
        <v>157</v>
      </c>
      <c r="T162" t="s">
        <v>153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156</v>
      </c>
      <c r="O163" t="s">
        <v>155</v>
      </c>
      <c r="P163">
        <v>280</v>
      </c>
      <c r="Q163">
        <v>479</v>
      </c>
      <c r="R163">
        <v>5</v>
      </c>
      <c r="S163">
        <v>657</v>
      </c>
      <c r="T163" t="s">
        <v>156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153</v>
      </c>
      <c r="O164" t="s">
        <v>154</v>
      </c>
      <c r="P164">
        <v>332</v>
      </c>
      <c r="Q164">
        <v>19</v>
      </c>
      <c r="R164">
        <v>2</v>
      </c>
      <c r="S164">
        <v>75</v>
      </c>
      <c r="T164" t="s">
        <v>156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153</v>
      </c>
      <c r="O165" t="s">
        <v>155</v>
      </c>
      <c r="P165">
        <v>330</v>
      </c>
      <c r="Q165">
        <v>16</v>
      </c>
      <c r="R165">
        <v>8</v>
      </c>
      <c r="S165">
        <v>2412.5</v>
      </c>
      <c r="T165" t="s">
        <v>153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156</v>
      </c>
      <c r="O166" t="s">
        <v>154</v>
      </c>
      <c r="P166">
        <v>87</v>
      </c>
      <c r="Q166">
        <v>166</v>
      </c>
      <c r="R166">
        <v>14</v>
      </c>
      <c r="S166">
        <v>250</v>
      </c>
      <c r="T166" t="s">
        <v>153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156</v>
      </c>
      <c r="O167" t="s">
        <v>155</v>
      </c>
      <c r="P167">
        <v>498</v>
      </c>
      <c r="Q167">
        <v>39</v>
      </c>
      <c r="R167">
        <v>13</v>
      </c>
      <c r="S167">
        <v>155</v>
      </c>
      <c r="T167" t="s">
        <v>156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156</v>
      </c>
      <c r="O168" t="s">
        <v>155</v>
      </c>
      <c r="P168">
        <v>290</v>
      </c>
      <c r="Q168">
        <v>440</v>
      </c>
      <c r="R168">
        <v>25</v>
      </c>
      <c r="S168">
        <v>640</v>
      </c>
      <c r="T168" t="s">
        <v>156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153</v>
      </c>
      <c r="O169" t="s">
        <v>155</v>
      </c>
      <c r="P169">
        <v>222</v>
      </c>
      <c r="Q169">
        <v>5</v>
      </c>
      <c r="R169">
        <v>5</v>
      </c>
      <c r="S169">
        <v>300</v>
      </c>
      <c r="T169" t="s">
        <v>153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153</v>
      </c>
      <c r="O170" t="s">
        <v>154</v>
      </c>
      <c r="P170">
        <v>227</v>
      </c>
      <c r="Q170">
        <v>15</v>
      </c>
      <c r="R170">
        <v>3</v>
      </c>
      <c r="S170">
        <v>110</v>
      </c>
      <c r="T170" t="s">
        <v>153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156</v>
      </c>
      <c r="O171" t="s">
        <v>155</v>
      </c>
      <c r="P171">
        <v>103</v>
      </c>
      <c r="Q171">
        <v>8</v>
      </c>
      <c r="R171">
        <v>2</v>
      </c>
      <c r="S171" t="s">
        <v>157</v>
      </c>
      <c r="T171" t="s">
        <v>156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153</v>
      </c>
      <c r="O172" t="s">
        <v>154</v>
      </c>
      <c r="P172">
        <v>686</v>
      </c>
      <c r="Q172">
        <v>46</v>
      </c>
      <c r="R172">
        <v>4</v>
      </c>
      <c r="S172">
        <v>825</v>
      </c>
      <c r="T172" t="s">
        <v>156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153</v>
      </c>
      <c r="O173" t="s">
        <v>155</v>
      </c>
      <c r="P173">
        <v>243</v>
      </c>
      <c r="Q173">
        <v>23</v>
      </c>
      <c r="R173">
        <v>5</v>
      </c>
      <c r="S173" t="s">
        <v>157</v>
      </c>
      <c r="T173" t="s">
        <v>153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156</v>
      </c>
      <c r="O174" t="s">
        <v>154</v>
      </c>
      <c r="P174">
        <v>249</v>
      </c>
      <c r="Q174">
        <v>444</v>
      </c>
      <c r="R174">
        <v>16</v>
      </c>
      <c r="S174">
        <v>195</v>
      </c>
      <c r="T174" t="s">
        <v>156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153</v>
      </c>
      <c r="O175" t="s">
        <v>154</v>
      </c>
      <c r="P175">
        <v>300</v>
      </c>
      <c r="Q175">
        <v>12</v>
      </c>
      <c r="R175">
        <v>2</v>
      </c>
      <c r="S175" t="s">
        <v>157</v>
      </c>
      <c r="T175" t="s">
        <v>153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156</v>
      </c>
      <c r="O176" t="s">
        <v>154</v>
      </c>
      <c r="P176">
        <v>49</v>
      </c>
      <c r="Q176">
        <v>2</v>
      </c>
      <c r="R176">
        <v>0</v>
      </c>
      <c r="S176">
        <v>450</v>
      </c>
      <c r="T176" t="s">
        <v>156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156</v>
      </c>
      <c r="O177" t="s">
        <v>154</v>
      </c>
      <c r="P177">
        <v>303</v>
      </c>
      <c r="Q177">
        <v>12</v>
      </c>
      <c r="R177">
        <v>5</v>
      </c>
      <c r="S177">
        <v>630</v>
      </c>
      <c r="T177" t="s">
        <v>156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156</v>
      </c>
      <c r="O178" t="s">
        <v>154</v>
      </c>
      <c r="P178">
        <v>88</v>
      </c>
      <c r="Q178">
        <v>0</v>
      </c>
      <c r="R178">
        <v>3</v>
      </c>
      <c r="S178">
        <v>86.5</v>
      </c>
      <c r="T178" t="s">
        <v>156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153</v>
      </c>
      <c r="O179" t="s">
        <v>155</v>
      </c>
      <c r="P179">
        <v>190</v>
      </c>
      <c r="Q179">
        <v>2</v>
      </c>
      <c r="R179">
        <v>2</v>
      </c>
      <c r="S179">
        <v>1300</v>
      </c>
      <c r="T179" t="s">
        <v>153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153</v>
      </c>
      <c r="O180" t="s">
        <v>155</v>
      </c>
      <c r="P180">
        <v>96</v>
      </c>
      <c r="Q180">
        <v>5</v>
      </c>
      <c r="R180">
        <v>3</v>
      </c>
      <c r="S180">
        <v>1000</v>
      </c>
      <c r="T180" t="s">
        <v>156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156</v>
      </c>
      <c r="O181" t="s">
        <v>155</v>
      </c>
      <c r="P181">
        <v>1199</v>
      </c>
      <c r="Q181">
        <v>149</v>
      </c>
      <c r="R181">
        <v>5</v>
      </c>
      <c r="S181">
        <v>1800</v>
      </c>
      <c r="T181" t="s">
        <v>156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153</v>
      </c>
      <c r="O182" t="s">
        <v>154</v>
      </c>
      <c r="P182">
        <v>1218</v>
      </c>
      <c r="Q182">
        <v>104</v>
      </c>
      <c r="R182">
        <v>10</v>
      </c>
      <c r="S182">
        <v>1310</v>
      </c>
      <c r="T182" t="s">
        <v>153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156</v>
      </c>
      <c r="O183" t="s">
        <v>154</v>
      </c>
      <c r="P183">
        <v>145</v>
      </c>
      <c r="Q183">
        <v>5</v>
      </c>
      <c r="R183">
        <v>7</v>
      </c>
      <c r="S183">
        <v>737.5</v>
      </c>
      <c r="T183" t="s">
        <v>156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156</v>
      </c>
      <c r="O184" t="s">
        <v>154</v>
      </c>
      <c r="P184">
        <v>332</v>
      </c>
      <c r="Q184">
        <v>9</v>
      </c>
      <c r="R184">
        <v>8</v>
      </c>
      <c r="S184">
        <v>625</v>
      </c>
      <c r="T184" t="s">
        <v>156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156</v>
      </c>
      <c r="O185" t="s">
        <v>155</v>
      </c>
      <c r="P185">
        <v>145</v>
      </c>
      <c r="Q185">
        <v>59</v>
      </c>
      <c r="R185">
        <v>8</v>
      </c>
      <c r="S185">
        <v>125</v>
      </c>
      <c r="T185" t="s">
        <v>156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156</v>
      </c>
      <c r="O186" t="s">
        <v>155</v>
      </c>
      <c r="P186">
        <v>181</v>
      </c>
      <c r="Q186">
        <v>13</v>
      </c>
      <c r="R186">
        <v>4</v>
      </c>
      <c r="S186">
        <v>1043.3330000000001</v>
      </c>
      <c r="T186" t="s">
        <v>156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156</v>
      </c>
      <c r="O187" t="s">
        <v>154</v>
      </c>
      <c r="P187">
        <v>65</v>
      </c>
      <c r="Q187">
        <v>258</v>
      </c>
      <c r="R187">
        <v>8</v>
      </c>
      <c r="S187">
        <v>725</v>
      </c>
      <c r="T187" t="s">
        <v>156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153</v>
      </c>
      <c r="O188" t="s">
        <v>154</v>
      </c>
      <c r="P188">
        <v>0</v>
      </c>
      <c r="Q188">
        <v>0</v>
      </c>
      <c r="R188">
        <v>0</v>
      </c>
      <c r="S188">
        <v>300</v>
      </c>
      <c r="T188" t="s">
        <v>153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153</v>
      </c>
      <c r="O189" t="s">
        <v>154</v>
      </c>
      <c r="P189">
        <v>429</v>
      </c>
      <c r="Q189">
        <v>8</v>
      </c>
      <c r="R189">
        <v>6</v>
      </c>
      <c r="S189">
        <v>365</v>
      </c>
      <c r="T189" t="s">
        <v>153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156</v>
      </c>
      <c r="O190" t="s">
        <v>154</v>
      </c>
      <c r="P190">
        <v>107</v>
      </c>
      <c r="Q190">
        <v>205</v>
      </c>
      <c r="R190">
        <v>16</v>
      </c>
      <c r="S190">
        <v>75</v>
      </c>
      <c r="T190" t="s">
        <v>156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156</v>
      </c>
      <c r="O191" t="s">
        <v>155</v>
      </c>
      <c r="P191">
        <v>1231</v>
      </c>
      <c r="Q191">
        <v>80</v>
      </c>
      <c r="R191">
        <v>7</v>
      </c>
      <c r="S191">
        <v>1183.3330000000001</v>
      </c>
      <c r="T191" t="s">
        <v>156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156</v>
      </c>
      <c r="O192" t="s">
        <v>155</v>
      </c>
      <c r="P192">
        <v>283</v>
      </c>
      <c r="Q192">
        <v>8</v>
      </c>
      <c r="R192">
        <v>3</v>
      </c>
      <c r="S192">
        <v>202.5</v>
      </c>
      <c r="T192" t="s">
        <v>156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153</v>
      </c>
      <c r="O193" t="s">
        <v>155</v>
      </c>
      <c r="P193">
        <v>156</v>
      </c>
      <c r="Q193">
        <v>2</v>
      </c>
      <c r="R193">
        <v>2</v>
      </c>
      <c r="S193">
        <v>225</v>
      </c>
      <c r="T193" t="s">
        <v>153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153</v>
      </c>
      <c r="O194" t="s">
        <v>155</v>
      </c>
      <c r="P194">
        <v>239</v>
      </c>
      <c r="Q194">
        <v>8</v>
      </c>
      <c r="R194">
        <v>2</v>
      </c>
      <c r="S194">
        <v>525</v>
      </c>
      <c r="T194" t="s">
        <v>153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156</v>
      </c>
      <c r="O195" t="s">
        <v>154</v>
      </c>
      <c r="P195">
        <v>235</v>
      </c>
      <c r="Q195">
        <v>22</v>
      </c>
      <c r="R195">
        <v>5</v>
      </c>
      <c r="S195">
        <v>265</v>
      </c>
      <c r="T195" t="s">
        <v>156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153</v>
      </c>
      <c r="O196" t="s">
        <v>155</v>
      </c>
      <c r="P196">
        <v>371</v>
      </c>
      <c r="Q196">
        <v>6</v>
      </c>
      <c r="R196">
        <v>6</v>
      </c>
      <c r="S196">
        <v>787.5</v>
      </c>
      <c r="T196" t="s">
        <v>153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153</v>
      </c>
      <c r="O197" t="s">
        <v>155</v>
      </c>
      <c r="P197">
        <v>483</v>
      </c>
      <c r="Q197">
        <v>48</v>
      </c>
      <c r="R197">
        <v>6</v>
      </c>
      <c r="S197">
        <v>800</v>
      </c>
      <c r="T197" t="s">
        <v>156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153</v>
      </c>
      <c r="O198" t="s">
        <v>154</v>
      </c>
      <c r="P198">
        <v>0</v>
      </c>
      <c r="Q198">
        <v>0</v>
      </c>
      <c r="R198">
        <v>0</v>
      </c>
      <c r="S198">
        <v>587.5</v>
      </c>
      <c r="T198" t="s">
        <v>153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156</v>
      </c>
      <c r="O199" t="s">
        <v>155</v>
      </c>
      <c r="P199">
        <v>64</v>
      </c>
      <c r="Q199">
        <v>119</v>
      </c>
      <c r="R199">
        <v>9</v>
      </c>
      <c r="S199" t="s">
        <v>157</v>
      </c>
      <c r="T199" t="s">
        <v>156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153</v>
      </c>
      <c r="O200" t="s">
        <v>155</v>
      </c>
      <c r="P200">
        <v>0</v>
      </c>
      <c r="Q200">
        <v>0</v>
      </c>
      <c r="R200">
        <v>0</v>
      </c>
      <c r="S200">
        <v>145</v>
      </c>
      <c r="T200" t="s">
        <v>153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153</v>
      </c>
      <c r="O201" t="s">
        <v>154</v>
      </c>
      <c r="P201">
        <v>245</v>
      </c>
      <c r="Q201">
        <v>5</v>
      </c>
      <c r="R201">
        <v>9</v>
      </c>
      <c r="S201" t="s">
        <v>157</v>
      </c>
      <c r="T201" t="s">
        <v>153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153</v>
      </c>
      <c r="O202" t="s">
        <v>155</v>
      </c>
      <c r="P202">
        <v>276</v>
      </c>
      <c r="Q202">
        <v>421</v>
      </c>
      <c r="R202">
        <v>11</v>
      </c>
      <c r="S202">
        <v>420</v>
      </c>
      <c r="T202" t="s">
        <v>153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156</v>
      </c>
      <c r="O203" t="s">
        <v>154</v>
      </c>
      <c r="P203">
        <v>317</v>
      </c>
      <c r="Q203">
        <v>36</v>
      </c>
      <c r="R203">
        <v>1</v>
      </c>
      <c r="S203">
        <v>75</v>
      </c>
      <c r="T203" t="s">
        <v>156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153</v>
      </c>
      <c r="O204" t="s">
        <v>155</v>
      </c>
      <c r="P204">
        <v>303</v>
      </c>
      <c r="Q204">
        <v>450</v>
      </c>
      <c r="R204">
        <v>14</v>
      </c>
      <c r="S204">
        <v>575</v>
      </c>
      <c r="T204" t="s">
        <v>153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156</v>
      </c>
      <c r="O205" t="s">
        <v>155</v>
      </c>
      <c r="P205">
        <v>107</v>
      </c>
      <c r="Q205">
        <v>3</v>
      </c>
      <c r="R205">
        <v>3</v>
      </c>
      <c r="S205" t="s">
        <v>157</v>
      </c>
      <c r="T205" t="s">
        <v>156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153</v>
      </c>
      <c r="O206" t="s">
        <v>154</v>
      </c>
      <c r="P206">
        <v>310</v>
      </c>
      <c r="Q206">
        <v>9</v>
      </c>
      <c r="R206">
        <v>9</v>
      </c>
      <c r="S206">
        <v>780</v>
      </c>
      <c r="T206" t="s">
        <v>153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156</v>
      </c>
      <c r="O207" t="s">
        <v>155</v>
      </c>
      <c r="P207">
        <v>201</v>
      </c>
      <c r="Q207">
        <v>6</v>
      </c>
      <c r="R207">
        <v>3</v>
      </c>
      <c r="S207">
        <v>90</v>
      </c>
      <c r="T207" t="s">
        <v>156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156</v>
      </c>
      <c r="O208" t="s">
        <v>154</v>
      </c>
      <c r="P208">
        <v>172</v>
      </c>
      <c r="Q208">
        <v>317</v>
      </c>
      <c r="R208">
        <v>25</v>
      </c>
      <c r="S208">
        <v>150</v>
      </c>
      <c r="T208" t="s">
        <v>156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153</v>
      </c>
      <c r="O209" t="s">
        <v>155</v>
      </c>
      <c r="P209">
        <v>0</v>
      </c>
      <c r="Q209">
        <v>0</v>
      </c>
      <c r="R209">
        <v>0</v>
      </c>
      <c r="S209">
        <v>700</v>
      </c>
      <c r="T209" t="s">
        <v>156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156</v>
      </c>
      <c r="O210" t="s">
        <v>155</v>
      </c>
      <c r="P210">
        <v>415</v>
      </c>
      <c r="Q210">
        <v>35</v>
      </c>
      <c r="R210">
        <v>3</v>
      </c>
      <c r="S210" t="s">
        <v>157</v>
      </c>
      <c r="T210" t="s">
        <v>156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153</v>
      </c>
      <c r="O211" t="s">
        <v>155</v>
      </c>
      <c r="P211">
        <v>233</v>
      </c>
      <c r="Q211">
        <v>7</v>
      </c>
      <c r="R211">
        <v>7</v>
      </c>
      <c r="S211">
        <v>550</v>
      </c>
      <c r="T211" t="s">
        <v>153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153</v>
      </c>
      <c r="O212" t="s">
        <v>154</v>
      </c>
      <c r="P212">
        <v>220</v>
      </c>
      <c r="Q212">
        <v>16</v>
      </c>
      <c r="R212">
        <v>4</v>
      </c>
      <c r="S212" t="s">
        <v>157</v>
      </c>
      <c r="T212" t="s">
        <v>153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156</v>
      </c>
      <c r="O213" t="s">
        <v>155</v>
      </c>
      <c r="P213">
        <v>259</v>
      </c>
      <c r="Q213">
        <v>30</v>
      </c>
      <c r="R213">
        <v>10</v>
      </c>
      <c r="S213">
        <v>650</v>
      </c>
      <c r="T213" t="s">
        <v>153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153</v>
      </c>
      <c r="O214" t="s">
        <v>154</v>
      </c>
      <c r="P214">
        <v>102</v>
      </c>
      <c r="Q214">
        <v>6</v>
      </c>
      <c r="R214">
        <v>3</v>
      </c>
      <c r="S214">
        <v>68</v>
      </c>
      <c r="T214" t="s">
        <v>153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156</v>
      </c>
      <c r="O215" t="s">
        <v>155</v>
      </c>
      <c r="P215">
        <v>468</v>
      </c>
      <c r="Q215">
        <v>47</v>
      </c>
      <c r="R215">
        <v>6</v>
      </c>
      <c r="S215">
        <v>100</v>
      </c>
      <c r="T215" t="s">
        <v>156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156</v>
      </c>
      <c r="O216" t="s">
        <v>154</v>
      </c>
      <c r="P216">
        <v>149</v>
      </c>
      <c r="Q216">
        <v>8</v>
      </c>
      <c r="R216">
        <v>6</v>
      </c>
      <c r="S216">
        <v>670</v>
      </c>
      <c r="T216" t="s">
        <v>156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153</v>
      </c>
      <c r="O217" t="s">
        <v>155</v>
      </c>
      <c r="P217">
        <v>103</v>
      </c>
      <c r="Q217">
        <v>283</v>
      </c>
      <c r="R217">
        <v>19</v>
      </c>
      <c r="S217">
        <v>175</v>
      </c>
      <c r="T217" t="s">
        <v>153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153</v>
      </c>
      <c r="O218" t="s">
        <v>154</v>
      </c>
      <c r="P218">
        <v>358</v>
      </c>
      <c r="Q218">
        <v>32</v>
      </c>
      <c r="R218">
        <v>8</v>
      </c>
      <c r="S218">
        <v>137</v>
      </c>
      <c r="T218" t="s">
        <v>153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156</v>
      </c>
      <c r="O219" t="s">
        <v>155</v>
      </c>
      <c r="P219">
        <v>78</v>
      </c>
      <c r="Q219">
        <v>220</v>
      </c>
      <c r="R219">
        <v>6</v>
      </c>
      <c r="S219">
        <v>2127.3330000000001</v>
      </c>
      <c r="T219" t="s">
        <v>156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156</v>
      </c>
      <c r="O220" t="s">
        <v>154</v>
      </c>
      <c r="P220">
        <v>756</v>
      </c>
      <c r="Q220">
        <v>64</v>
      </c>
      <c r="R220">
        <v>15</v>
      </c>
      <c r="S220">
        <v>875</v>
      </c>
      <c r="T220" t="s">
        <v>156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153</v>
      </c>
      <c r="O221" t="s">
        <v>154</v>
      </c>
      <c r="P221">
        <v>463</v>
      </c>
      <c r="Q221">
        <v>32</v>
      </c>
      <c r="R221">
        <v>8</v>
      </c>
      <c r="S221">
        <v>120</v>
      </c>
      <c r="T221" t="s">
        <v>153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156</v>
      </c>
      <c r="O222" t="s">
        <v>155</v>
      </c>
      <c r="P222">
        <v>212</v>
      </c>
      <c r="Q222">
        <v>1</v>
      </c>
      <c r="R222">
        <v>2</v>
      </c>
      <c r="S222">
        <v>140</v>
      </c>
      <c r="T222" t="s">
        <v>156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156</v>
      </c>
      <c r="O223" t="s">
        <v>155</v>
      </c>
      <c r="P223">
        <v>325</v>
      </c>
      <c r="Q223">
        <v>12</v>
      </c>
      <c r="R223">
        <v>8</v>
      </c>
      <c r="S223">
        <v>210</v>
      </c>
      <c r="T223" t="s">
        <v>156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156</v>
      </c>
      <c r="O224" t="s">
        <v>155</v>
      </c>
      <c r="P224">
        <v>228</v>
      </c>
      <c r="Q224">
        <v>7</v>
      </c>
      <c r="R224">
        <v>5</v>
      </c>
      <c r="S224">
        <v>800</v>
      </c>
      <c r="T224" t="s">
        <v>156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156</v>
      </c>
      <c r="O225" t="s">
        <v>154</v>
      </c>
      <c r="P225">
        <v>203</v>
      </c>
      <c r="Q225">
        <v>3</v>
      </c>
      <c r="R225">
        <v>3</v>
      </c>
      <c r="S225">
        <v>240</v>
      </c>
      <c r="T225" t="s">
        <v>156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153</v>
      </c>
      <c r="O226" t="s">
        <v>155</v>
      </c>
      <c r="P226">
        <v>149</v>
      </c>
      <c r="Q226">
        <v>1</v>
      </c>
      <c r="R226">
        <v>6</v>
      </c>
      <c r="S226">
        <v>350</v>
      </c>
      <c r="T226" t="s">
        <v>153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156</v>
      </c>
      <c r="O227" t="s">
        <v>154</v>
      </c>
      <c r="P227">
        <v>512</v>
      </c>
      <c r="Q227">
        <v>30</v>
      </c>
      <c r="R227">
        <v>5</v>
      </c>
      <c r="S227" t="s">
        <v>157</v>
      </c>
      <c r="T227" t="s">
        <v>156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153</v>
      </c>
      <c r="O228" t="s">
        <v>154</v>
      </c>
      <c r="P228">
        <v>261</v>
      </c>
      <c r="Q228">
        <v>459</v>
      </c>
      <c r="R228">
        <v>22</v>
      </c>
      <c r="S228">
        <v>175</v>
      </c>
      <c r="T228" t="s">
        <v>153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153</v>
      </c>
      <c r="O229" t="s">
        <v>154</v>
      </c>
      <c r="P229">
        <v>325</v>
      </c>
      <c r="Q229">
        <v>13</v>
      </c>
      <c r="R229">
        <v>3</v>
      </c>
      <c r="S229">
        <v>200</v>
      </c>
      <c r="T229" t="s">
        <v>153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156</v>
      </c>
      <c r="O230" t="s">
        <v>154</v>
      </c>
      <c r="P230">
        <v>151</v>
      </c>
      <c r="Q230">
        <v>8</v>
      </c>
      <c r="R230">
        <v>5</v>
      </c>
      <c r="S230" t="s">
        <v>157</v>
      </c>
      <c r="T230" t="s">
        <v>156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156</v>
      </c>
      <c r="O231" t="s">
        <v>155</v>
      </c>
      <c r="P231">
        <v>229</v>
      </c>
      <c r="Q231">
        <v>453</v>
      </c>
      <c r="R231">
        <v>15</v>
      </c>
      <c r="S231">
        <v>1940</v>
      </c>
      <c r="T231" t="s">
        <v>156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156</v>
      </c>
      <c r="O232" t="s">
        <v>154</v>
      </c>
      <c r="P232">
        <v>682</v>
      </c>
      <c r="Q232">
        <v>93</v>
      </c>
      <c r="R232">
        <v>13</v>
      </c>
      <c r="S232">
        <v>700</v>
      </c>
      <c r="T232" t="s">
        <v>156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153</v>
      </c>
      <c r="O233" t="s">
        <v>154</v>
      </c>
      <c r="P233">
        <v>250</v>
      </c>
      <c r="Q233">
        <v>11</v>
      </c>
      <c r="R233">
        <v>1</v>
      </c>
      <c r="S233">
        <v>750</v>
      </c>
      <c r="T233" t="s">
        <v>153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156</v>
      </c>
      <c r="O234" t="s">
        <v>154</v>
      </c>
      <c r="P234">
        <v>58</v>
      </c>
      <c r="Q234">
        <v>141</v>
      </c>
      <c r="R234">
        <v>23</v>
      </c>
      <c r="S234">
        <v>450</v>
      </c>
      <c r="T234" t="s">
        <v>156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153</v>
      </c>
      <c r="O235" t="s">
        <v>154</v>
      </c>
      <c r="P235">
        <v>157</v>
      </c>
      <c r="Q235">
        <v>6</v>
      </c>
      <c r="R235">
        <v>14</v>
      </c>
      <c r="S235">
        <v>172</v>
      </c>
      <c r="T235" t="s">
        <v>153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153</v>
      </c>
      <c r="O236" t="s">
        <v>155</v>
      </c>
      <c r="P236">
        <v>82</v>
      </c>
      <c r="Q236">
        <v>170</v>
      </c>
      <c r="R236">
        <v>15</v>
      </c>
      <c r="S236">
        <v>1260</v>
      </c>
      <c r="T236" t="s">
        <v>153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153</v>
      </c>
      <c r="O237" t="s">
        <v>154</v>
      </c>
      <c r="P237">
        <v>1224</v>
      </c>
      <c r="Q237">
        <v>115</v>
      </c>
      <c r="R237">
        <v>11</v>
      </c>
      <c r="S237" t="s">
        <v>157</v>
      </c>
      <c r="T237" t="s">
        <v>153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156</v>
      </c>
      <c r="O238" t="s">
        <v>154</v>
      </c>
      <c r="P238">
        <v>523</v>
      </c>
      <c r="Q238">
        <v>43</v>
      </c>
      <c r="R238">
        <v>6</v>
      </c>
      <c r="S238">
        <v>750</v>
      </c>
      <c r="T238" t="s">
        <v>156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153</v>
      </c>
      <c r="O239" t="s">
        <v>155</v>
      </c>
      <c r="P239">
        <v>172</v>
      </c>
      <c r="Q239">
        <v>1</v>
      </c>
      <c r="R239">
        <v>4</v>
      </c>
      <c r="S239">
        <v>190</v>
      </c>
      <c r="T239" t="s">
        <v>153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153</v>
      </c>
      <c r="O240" t="s">
        <v>155</v>
      </c>
      <c r="P240">
        <v>846</v>
      </c>
      <c r="Q240">
        <v>84</v>
      </c>
      <c r="R240">
        <v>9</v>
      </c>
      <c r="S240">
        <v>580</v>
      </c>
      <c r="T240" t="s">
        <v>153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156</v>
      </c>
      <c r="O241" t="s">
        <v>155</v>
      </c>
      <c r="P241">
        <v>117</v>
      </c>
      <c r="Q241">
        <v>269</v>
      </c>
      <c r="R241">
        <v>12</v>
      </c>
      <c r="S241">
        <v>130</v>
      </c>
      <c r="T241" t="s">
        <v>156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153</v>
      </c>
      <c r="O242" t="s">
        <v>154</v>
      </c>
      <c r="P242">
        <v>62</v>
      </c>
      <c r="Q242">
        <v>90</v>
      </c>
      <c r="R242">
        <v>3</v>
      </c>
      <c r="S242">
        <v>450</v>
      </c>
      <c r="T242" t="s">
        <v>153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153</v>
      </c>
      <c r="O243" t="s">
        <v>154</v>
      </c>
      <c r="P243">
        <v>167</v>
      </c>
      <c r="Q243">
        <v>2</v>
      </c>
      <c r="R243">
        <v>4</v>
      </c>
      <c r="S243">
        <v>300</v>
      </c>
      <c r="T243" t="s">
        <v>153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153</v>
      </c>
      <c r="O244" t="s">
        <v>155</v>
      </c>
      <c r="P244">
        <v>391</v>
      </c>
      <c r="Q244">
        <v>44</v>
      </c>
      <c r="R244">
        <v>4</v>
      </c>
      <c r="S244">
        <v>250</v>
      </c>
      <c r="T244" t="s">
        <v>153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156</v>
      </c>
      <c r="O245" t="s">
        <v>155</v>
      </c>
      <c r="P245">
        <v>41</v>
      </c>
      <c r="Q245">
        <v>118</v>
      </c>
      <c r="R245">
        <v>8</v>
      </c>
      <c r="S245">
        <v>1050</v>
      </c>
      <c r="T245" t="s">
        <v>153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153</v>
      </c>
      <c r="O246" t="s">
        <v>155</v>
      </c>
      <c r="P246">
        <v>286</v>
      </c>
      <c r="Q246">
        <v>8</v>
      </c>
      <c r="R246">
        <v>8</v>
      </c>
      <c r="S246">
        <v>215</v>
      </c>
      <c r="T246" t="s">
        <v>153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153</v>
      </c>
      <c r="O247" t="s">
        <v>155</v>
      </c>
      <c r="P247">
        <v>659</v>
      </c>
      <c r="Q247">
        <v>53</v>
      </c>
      <c r="R247">
        <v>7</v>
      </c>
      <c r="S247">
        <v>400</v>
      </c>
      <c r="T247" t="s">
        <v>153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153</v>
      </c>
      <c r="O248" t="s">
        <v>155</v>
      </c>
      <c r="P248">
        <v>866</v>
      </c>
      <c r="Q248">
        <v>65</v>
      </c>
      <c r="R248">
        <v>6</v>
      </c>
      <c r="S248" t="s">
        <v>157</v>
      </c>
      <c r="T248" t="s">
        <v>153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153</v>
      </c>
      <c r="O249" t="s">
        <v>155</v>
      </c>
      <c r="P249">
        <v>251</v>
      </c>
      <c r="Q249">
        <v>9</v>
      </c>
      <c r="R249">
        <v>4</v>
      </c>
      <c r="S249">
        <v>560</v>
      </c>
      <c r="T249" t="s">
        <v>153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153</v>
      </c>
      <c r="O250" t="s">
        <v>155</v>
      </c>
      <c r="P250">
        <v>426</v>
      </c>
      <c r="Q250">
        <v>4</v>
      </c>
      <c r="R250">
        <v>6</v>
      </c>
      <c r="S250">
        <v>1670</v>
      </c>
      <c r="T250" t="s">
        <v>153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153</v>
      </c>
      <c r="O251" t="s">
        <v>154</v>
      </c>
      <c r="P251">
        <v>0</v>
      </c>
      <c r="Q251">
        <v>0</v>
      </c>
      <c r="R251">
        <v>0</v>
      </c>
      <c r="S251">
        <v>487.5</v>
      </c>
      <c r="T251" t="s">
        <v>153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153</v>
      </c>
      <c r="O252" t="s">
        <v>154</v>
      </c>
      <c r="P252">
        <v>205</v>
      </c>
      <c r="Q252">
        <v>5</v>
      </c>
      <c r="R252">
        <v>4</v>
      </c>
      <c r="S252" t="s">
        <v>157</v>
      </c>
      <c r="T252" t="s">
        <v>153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153</v>
      </c>
      <c r="O253" t="s">
        <v>154</v>
      </c>
      <c r="P253">
        <v>0</v>
      </c>
      <c r="Q253">
        <v>0</v>
      </c>
      <c r="R253">
        <v>0</v>
      </c>
      <c r="S253">
        <v>425</v>
      </c>
      <c r="T253" t="s">
        <v>153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156</v>
      </c>
      <c r="O254" t="s">
        <v>155</v>
      </c>
      <c r="P254">
        <v>88</v>
      </c>
      <c r="Q254">
        <v>204</v>
      </c>
      <c r="R254">
        <v>16</v>
      </c>
      <c r="S254">
        <v>500</v>
      </c>
      <c r="T254" t="s">
        <v>153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156</v>
      </c>
      <c r="O255" t="s">
        <v>154</v>
      </c>
      <c r="P255">
        <v>99</v>
      </c>
      <c r="Q255">
        <v>3</v>
      </c>
      <c r="R255">
        <v>1</v>
      </c>
      <c r="S255" t="s">
        <v>157</v>
      </c>
      <c r="T255" t="s">
        <v>156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153</v>
      </c>
      <c r="O256" t="s">
        <v>154</v>
      </c>
      <c r="P256">
        <v>145</v>
      </c>
      <c r="Q256">
        <v>2</v>
      </c>
      <c r="R256">
        <v>2</v>
      </c>
      <c r="S256" t="s">
        <v>157</v>
      </c>
      <c r="T256" t="s">
        <v>153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153</v>
      </c>
      <c r="O257" t="s">
        <v>155</v>
      </c>
      <c r="P257">
        <v>44</v>
      </c>
      <c r="Q257">
        <v>0</v>
      </c>
      <c r="R257">
        <v>1</v>
      </c>
      <c r="S257">
        <v>250</v>
      </c>
      <c r="T257" t="s">
        <v>153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153</v>
      </c>
      <c r="O258" t="s">
        <v>155</v>
      </c>
      <c r="P258">
        <v>155</v>
      </c>
      <c r="Q258">
        <v>3</v>
      </c>
      <c r="R258">
        <v>2</v>
      </c>
      <c r="S258">
        <v>400</v>
      </c>
      <c r="T258" t="s">
        <v>153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153</v>
      </c>
      <c r="O259" t="s">
        <v>155</v>
      </c>
      <c r="P259">
        <v>60</v>
      </c>
      <c r="Q259">
        <v>176</v>
      </c>
      <c r="R259">
        <v>6</v>
      </c>
      <c r="S259">
        <v>450</v>
      </c>
      <c r="T259" t="s">
        <v>153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156</v>
      </c>
      <c r="O260" t="s">
        <v>154</v>
      </c>
      <c r="P260">
        <v>367</v>
      </c>
      <c r="Q260">
        <v>475</v>
      </c>
      <c r="R260">
        <v>19</v>
      </c>
      <c r="S260">
        <v>750</v>
      </c>
      <c r="T260" t="s">
        <v>156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153</v>
      </c>
      <c r="O261" t="s">
        <v>155</v>
      </c>
      <c r="P261">
        <v>86</v>
      </c>
      <c r="Q261">
        <v>150</v>
      </c>
      <c r="R261">
        <v>15</v>
      </c>
      <c r="S261">
        <v>70</v>
      </c>
      <c r="T261" t="s">
        <v>153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156</v>
      </c>
      <c r="O262" t="s">
        <v>154</v>
      </c>
      <c r="P262">
        <v>155</v>
      </c>
      <c r="Q262">
        <v>371</v>
      </c>
      <c r="R262">
        <v>29</v>
      </c>
      <c r="S262">
        <v>875</v>
      </c>
      <c r="T262" t="s">
        <v>156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156</v>
      </c>
      <c r="O263" t="s">
        <v>155</v>
      </c>
      <c r="P263">
        <v>190</v>
      </c>
      <c r="Q263">
        <v>2</v>
      </c>
      <c r="R263">
        <v>9</v>
      </c>
      <c r="S263">
        <v>190</v>
      </c>
      <c r="T263" t="s">
        <v>156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156</v>
      </c>
      <c r="O264" t="s">
        <v>155</v>
      </c>
      <c r="P264">
        <v>181</v>
      </c>
      <c r="Q264">
        <v>3</v>
      </c>
      <c r="R264">
        <v>2</v>
      </c>
      <c r="S264">
        <v>191</v>
      </c>
      <c r="T264" t="s">
        <v>156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156</v>
      </c>
      <c r="O265" t="s">
        <v>155</v>
      </c>
      <c r="P265">
        <v>309</v>
      </c>
      <c r="Q265">
        <v>492</v>
      </c>
      <c r="R265">
        <v>5</v>
      </c>
      <c r="S265">
        <v>740</v>
      </c>
      <c r="T265" t="s">
        <v>156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156</v>
      </c>
      <c r="O266" t="s">
        <v>155</v>
      </c>
      <c r="P266">
        <v>203</v>
      </c>
      <c r="Q266">
        <v>369</v>
      </c>
      <c r="R266">
        <v>16</v>
      </c>
      <c r="S266">
        <v>250</v>
      </c>
      <c r="T266" t="s">
        <v>156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156</v>
      </c>
      <c r="O267" t="s">
        <v>155</v>
      </c>
      <c r="P267">
        <v>42</v>
      </c>
      <c r="Q267">
        <v>94</v>
      </c>
      <c r="R267">
        <v>13</v>
      </c>
      <c r="S267">
        <v>140</v>
      </c>
      <c r="T267" t="s">
        <v>156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153</v>
      </c>
      <c r="O268" t="s">
        <v>154</v>
      </c>
      <c r="P268">
        <v>200</v>
      </c>
      <c r="Q268">
        <v>7</v>
      </c>
      <c r="R268">
        <v>6</v>
      </c>
      <c r="S268">
        <v>97.5</v>
      </c>
      <c r="T268" t="s">
        <v>153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153</v>
      </c>
      <c r="O269" t="s">
        <v>154</v>
      </c>
      <c r="P269">
        <v>0</v>
      </c>
      <c r="Q269">
        <v>0</v>
      </c>
      <c r="R269">
        <v>0</v>
      </c>
      <c r="S269">
        <v>740</v>
      </c>
      <c r="T269" t="s">
        <v>153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156</v>
      </c>
      <c r="O270" t="s">
        <v>154</v>
      </c>
      <c r="P270">
        <v>255</v>
      </c>
      <c r="Q270">
        <v>450</v>
      </c>
      <c r="R270">
        <v>17</v>
      </c>
      <c r="S270">
        <v>140</v>
      </c>
      <c r="T270" t="s">
        <v>156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153</v>
      </c>
      <c r="O271" t="s">
        <v>154</v>
      </c>
      <c r="P271">
        <v>135</v>
      </c>
      <c r="Q271">
        <v>257</v>
      </c>
      <c r="R271">
        <v>7</v>
      </c>
      <c r="S271">
        <v>341.66699999999997</v>
      </c>
      <c r="T271" t="s">
        <v>153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156</v>
      </c>
      <c r="O272" t="s">
        <v>154</v>
      </c>
      <c r="P272">
        <v>179</v>
      </c>
      <c r="Q272">
        <v>5</v>
      </c>
      <c r="R272">
        <v>3</v>
      </c>
      <c r="S272" t="s">
        <v>157</v>
      </c>
      <c r="T272" t="s">
        <v>156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153</v>
      </c>
      <c r="O273" t="s">
        <v>155</v>
      </c>
      <c r="P273">
        <v>352</v>
      </c>
      <c r="Q273">
        <v>9</v>
      </c>
      <c r="R273">
        <v>1</v>
      </c>
      <c r="S273">
        <v>1000</v>
      </c>
      <c r="T273" t="s">
        <v>153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153</v>
      </c>
      <c r="O274" t="s">
        <v>154</v>
      </c>
      <c r="P274">
        <v>1236</v>
      </c>
      <c r="Q274">
        <v>98</v>
      </c>
      <c r="R274">
        <v>18</v>
      </c>
      <c r="S274">
        <v>100</v>
      </c>
      <c r="T274" t="s">
        <v>153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153</v>
      </c>
      <c r="O275" t="s">
        <v>154</v>
      </c>
      <c r="P275">
        <v>281</v>
      </c>
      <c r="Q275">
        <v>21</v>
      </c>
      <c r="R275">
        <v>3</v>
      </c>
      <c r="S275">
        <v>90</v>
      </c>
      <c r="T275" t="s">
        <v>153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156</v>
      </c>
      <c r="O276" t="s">
        <v>155</v>
      </c>
      <c r="P276">
        <v>1320</v>
      </c>
      <c r="Q276">
        <v>166</v>
      </c>
      <c r="R276">
        <v>17</v>
      </c>
      <c r="S276">
        <v>200</v>
      </c>
      <c r="T276" t="s">
        <v>156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153</v>
      </c>
      <c r="O277" t="s">
        <v>154</v>
      </c>
      <c r="P277">
        <v>111</v>
      </c>
      <c r="Q277">
        <v>226</v>
      </c>
      <c r="R277">
        <v>11</v>
      </c>
      <c r="S277">
        <v>135</v>
      </c>
      <c r="T277" t="s">
        <v>153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156</v>
      </c>
      <c r="O278" t="s">
        <v>155</v>
      </c>
      <c r="P278">
        <v>320</v>
      </c>
      <c r="Q278">
        <v>465</v>
      </c>
      <c r="R278">
        <v>32</v>
      </c>
      <c r="S278">
        <v>155</v>
      </c>
      <c r="T278" t="s">
        <v>156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153</v>
      </c>
      <c r="O279" t="s">
        <v>154</v>
      </c>
      <c r="P279">
        <v>196</v>
      </c>
      <c r="Q279">
        <v>354</v>
      </c>
      <c r="R279">
        <v>15</v>
      </c>
      <c r="S279">
        <v>475</v>
      </c>
      <c r="T279" t="s">
        <v>153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156</v>
      </c>
      <c r="O280" t="s">
        <v>154</v>
      </c>
      <c r="P280">
        <v>1160</v>
      </c>
      <c r="Q280">
        <v>53</v>
      </c>
      <c r="R280">
        <v>7</v>
      </c>
      <c r="S280">
        <v>1450</v>
      </c>
      <c r="T280" t="s">
        <v>156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156</v>
      </c>
      <c r="O281" t="s">
        <v>155</v>
      </c>
      <c r="P281">
        <v>229</v>
      </c>
      <c r="Q281">
        <v>406</v>
      </c>
      <c r="R281">
        <v>22</v>
      </c>
      <c r="S281">
        <v>150</v>
      </c>
      <c r="T281" t="s">
        <v>156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153</v>
      </c>
      <c r="O282" t="s">
        <v>154</v>
      </c>
      <c r="P282">
        <v>289</v>
      </c>
      <c r="Q282">
        <v>407</v>
      </c>
      <c r="R282">
        <v>6</v>
      </c>
      <c r="S282">
        <v>105</v>
      </c>
      <c r="T282" t="s">
        <v>153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153</v>
      </c>
      <c r="O283" t="s">
        <v>154</v>
      </c>
      <c r="P283">
        <v>209</v>
      </c>
      <c r="Q283">
        <v>372</v>
      </c>
      <c r="R283">
        <v>17</v>
      </c>
      <c r="S283">
        <v>350</v>
      </c>
      <c r="T283" t="s">
        <v>153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156</v>
      </c>
      <c r="O284" t="s">
        <v>154</v>
      </c>
      <c r="P284">
        <v>367</v>
      </c>
      <c r="Q284">
        <v>432</v>
      </c>
      <c r="R284">
        <v>16</v>
      </c>
      <c r="S284">
        <v>90</v>
      </c>
      <c r="T284" t="s">
        <v>156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153</v>
      </c>
      <c r="O285" t="s">
        <v>155</v>
      </c>
      <c r="P285">
        <v>247</v>
      </c>
      <c r="Q285">
        <v>4</v>
      </c>
      <c r="R285">
        <v>8</v>
      </c>
      <c r="S285" t="s">
        <v>157</v>
      </c>
      <c r="T285" t="s">
        <v>153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153</v>
      </c>
      <c r="O286" t="s">
        <v>155</v>
      </c>
      <c r="P286">
        <v>351</v>
      </c>
      <c r="Q286">
        <v>442</v>
      </c>
      <c r="R286">
        <v>17</v>
      </c>
      <c r="S286">
        <v>530</v>
      </c>
      <c r="T286" t="s">
        <v>153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153</v>
      </c>
      <c r="O287" t="s">
        <v>155</v>
      </c>
      <c r="P287">
        <v>106</v>
      </c>
      <c r="Q287">
        <v>144</v>
      </c>
      <c r="R287">
        <v>7</v>
      </c>
      <c r="S287">
        <v>341.66699999999997</v>
      </c>
      <c r="T287" t="s">
        <v>153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153</v>
      </c>
      <c r="O288" t="s">
        <v>154</v>
      </c>
      <c r="P288">
        <v>315</v>
      </c>
      <c r="Q288">
        <v>10</v>
      </c>
      <c r="R288">
        <v>6</v>
      </c>
      <c r="S288">
        <v>940</v>
      </c>
      <c r="T288" t="s">
        <v>153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153</v>
      </c>
      <c r="O289" t="s">
        <v>155</v>
      </c>
      <c r="P289">
        <v>294</v>
      </c>
      <c r="Q289">
        <v>445</v>
      </c>
      <c r="R289">
        <v>13</v>
      </c>
      <c r="S289">
        <v>350</v>
      </c>
      <c r="T289" t="s">
        <v>153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156</v>
      </c>
      <c r="O290" t="s">
        <v>154</v>
      </c>
      <c r="P290">
        <v>209</v>
      </c>
      <c r="Q290">
        <v>246</v>
      </c>
      <c r="R290">
        <v>3</v>
      </c>
      <c r="S290">
        <v>326.66699999999997</v>
      </c>
      <c r="T290" t="s">
        <v>156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156</v>
      </c>
      <c r="O291" t="s">
        <v>155</v>
      </c>
      <c r="P291">
        <v>81</v>
      </c>
      <c r="Q291">
        <v>147</v>
      </c>
      <c r="R291">
        <v>4</v>
      </c>
      <c r="S291">
        <v>250</v>
      </c>
      <c r="T291" t="s">
        <v>156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156</v>
      </c>
      <c r="O292" t="s">
        <v>154</v>
      </c>
      <c r="P292">
        <v>337</v>
      </c>
      <c r="Q292">
        <v>19</v>
      </c>
      <c r="R292">
        <v>4</v>
      </c>
      <c r="S292">
        <v>740</v>
      </c>
      <c r="T292" t="s">
        <v>156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156</v>
      </c>
      <c r="O293" t="s">
        <v>154</v>
      </c>
      <c r="P293">
        <v>92</v>
      </c>
      <c r="Q293">
        <v>5</v>
      </c>
      <c r="R293">
        <v>3</v>
      </c>
      <c r="S293">
        <v>425</v>
      </c>
      <c r="T293" t="s">
        <v>153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153</v>
      </c>
      <c r="O294" t="s">
        <v>154</v>
      </c>
      <c r="P294">
        <v>166</v>
      </c>
      <c r="Q294">
        <v>211</v>
      </c>
      <c r="R294">
        <v>7</v>
      </c>
      <c r="S294" t="s">
        <v>157</v>
      </c>
      <c r="T294" t="s">
        <v>153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156</v>
      </c>
      <c r="O295" t="s">
        <v>155</v>
      </c>
      <c r="P295">
        <v>352</v>
      </c>
      <c r="Q295">
        <v>414</v>
      </c>
      <c r="R295">
        <v>9</v>
      </c>
      <c r="S295">
        <v>925</v>
      </c>
      <c r="T295" t="s">
        <v>156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153</v>
      </c>
      <c r="O296" t="s">
        <v>154</v>
      </c>
      <c r="P296">
        <v>70</v>
      </c>
      <c r="Q296">
        <v>144</v>
      </c>
      <c r="R296">
        <v>11</v>
      </c>
      <c r="S296">
        <v>185</v>
      </c>
      <c r="T296" t="s">
        <v>153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156</v>
      </c>
      <c r="O297" t="s">
        <v>154</v>
      </c>
      <c r="P297">
        <v>692</v>
      </c>
      <c r="Q297">
        <v>70</v>
      </c>
      <c r="R297">
        <v>8</v>
      </c>
      <c r="S297">
        <v>920</v>
      </c>
      <c r="T297" t="s">
        <v>153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156</v>
      </c>
      <c r="O298" t="s">
        <v>155</v>
      </c>
      <c r="P298">
        <v>131</v>
      </c>
      <c r="Q298">
        <v>6</v>
      </c>
      <c r="R298">
        <v>1</v>
      </c>
      <c r="S298">
        <v>286.66699999999997</v>
      </c>
      <c r="T298" t="s">
        <v>156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153</v>
      </c>
      <c r="O299" t="s">
        <v>154</v>
      </c>
      <c r="P299">
        <v>299</v>
      </c>
      <c r="Q299">
        <v>13</v>
      </c>
      <c r="R299">
        <v>5</v>
      </c>
      <c r="S299">
        <v>245</v>
      </c>
      <c r="T299" t="s">
        <v>153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153</v>
      </c>
      <c r="O300" t="s">
        <v>155</v>
      </c>
      <c r="P300">
        <v>37</v>
      </c>
      <c r="Q300">
        <v>98</v>
      </c>
      <c r="R300">
        <v>9</v>
      </c>
      <c r="S300" t="s">
        <v>157</v>
      </c>
      <c r="T300" t="s">
        <v>153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153</v>
      </c>
      <c r="O301" t="s">
        <v>154</v>
      </c>
      <c r="P301">
        <v>178</v>
      </c>
      <c r="Q301">
        <v>45</v>
      </c>
      <c r="R301">
        <v>4</v>
      </c>
      <c r="S301">
        <v>235</v>
      </c>
      <c r="T301" t="s">
        <v>153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156</v>
      </c>
      <c r="O302" t="s">
        <v>155</v>
      </c>
      <c r="P302">
        <v>810</v>
      </c>
      <c r="Q302">
        <v>99</v>
      </c>
      <c r="R302">
        <v>18</v>
      </c>
      <c r="S302">
        <v>1150</v>
      </c>
      <c r="T302" t="s">
        <v>156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156</v>
      </c>
      <c r="O303" t="s">
        <v>155</v>
      </c>
      <c r="P303">
        <v>133</v>
      </c>
      <c r="Q303">
        <v>371</v>
      </c>
      <c r="R303">
        <v>20</v>
      </c>
      <c r="S303">
        <v>160</v>
      </c>
      <c r="T303" t="s">
        <v>156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156</v>
      </c>
      <c r="O304" t="s">
        <v>154</v>
      </c>
      <c r="P304">
        <v>398</v>
      </c>
      <c r="Q304">
        <v>29</v>
      </c>
      <c r="R304">
        <v>7</v>
      </c>
      <c r="S304" t="s">
        <v>157</v>
      </c>
      <c r="T304" t="s">
        <v>156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153</v>
      </c>
      <c r="O305" t="s">
        <v>154</v>
      </c>
      <c r="P305">
        <v>160</v>
      </c>
      <c r="Q305">
        <v>290</v>
      </c>
      <c r="R305">
        <v>11</v>
      </c>
      <c r="S305">
        <v>425</v>
      </c>
      <c r="T305" t="s">
        <v>153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156</v>
      </c>
      <c r="O306" t="s">
        <v>154</v>
      </c>
      <c r="P306">
        <v>65</v>
      </c>
      <c r="Q306">
        <v>0</v>
      </c>
      <c r="R306">
        <v>0</v>
      </c>
      <c r="S306">
        <v>900</v>
      </c>
      <c r="T306" t="s">
        <v>156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156</v>
      </c>
      <c r="O307" t="s">
        <v>155</v>
      </c>
      <c r="P307">
        <v>270</v>
      </c>
      <c r="Q307">
        <v>13</v>
      </c>
      <c r="R307">
        <v>6</v>
      </c>
      <c r="S307" t="s">
        <v>157</v>
      </c>
      <c r="T307" t="s">
        <v>156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156</v>
      </c>
      <c r="O308" t="s">
        <v>154</v>
      </c>
      <c r="P308">
        <v>167</v>
      </c>
      <c r="Q308">
        <v>18</v>
      </c>
      <c r="R308">
        <v>6</v>
      </c>
      <c r="S308">
        <v>500</v>
      </c>
      <c r="T308" t="s">
        <v>156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156</v>
      </c>
      <c r="O309" t="s">
        <v>155</v>
      </c>
      <c r="P309">
        <v>133</v>
      </c>
      <c r="Q309">
        <v>173</v>
      </c>
      <c r="R309">
        <v>9</v>
      </c>
      <c r="S309">
        <v>277.5</v>
      </c>
      <c r="T309" t="s">
        <v>156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156</v>
      </c>
      <c r="O310" t="s">
        <v>155</v>
      </c>
      <c r="P310">
        <v>94</v>
      </c>
      <c r="Q310">
        <v>270</v>
      </c>
      <c r="R310">
        <v>16</v>
      </c>
      <c r="S310">
        <v>750</v>
      </c>
      <c r="T310" t="s">
        <v>156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156</v>
      </c>
      <c r="O311" t="s">
        <v>155</v>
      </c>
      <c r="P311">
        <v>300</v>
      </c>
      <c r="Q311">
        <v>12</v>
      </c>
      <c r="R311">
        <v>9</v>
      </c>
      <c r="S311">
        <v>160</v>
      </c>
      <c r="T311" t="s">
        <v>156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156</v>
      </c>
      <c r="O312" t="s">
        <v>155</v>
      </c>
      <c r="P312">
        <v>1182</v>
      </c>
      <c r="Q312">
        <v>96</v>
      </c>
      <c r="R312">
        <v>13</v>
      </c>
      <c r="S312">
        <v>1300</v>
      </c>
      <c r="T312" t="s">
        <v>156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156</v>
      </c>
      <c r="O313" t="s">
        <v>155</v>
      </c>
      <c r="P313">
        <v>170</v>
      </c>
      <c r="Q313">
        <v>284</v>
      </c>
      <c r="R313">
        <v>3</v>
      </c>
      <c r="S313">
        <v>525</v>
      </c>
      <c r="T313" t="s">
        <v>156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156</v>
      </c>
      <c r="O314" t="s">
        <v>155</v>
      </c>
      <c r="P314">
        <v>186</v>
      </c>
      <c r="Q314">
        <v>290</v>
      </c>
      <c r="R314">
        <v>17</v>
      </c>
      <c r="S314">
        <v>550</v>
      </c>
      <c r="T314" t="s">
        <v>156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153</v>
      </c>
      <c r="O315" t="s">
        <v>155</v>
      </c>
      <c r="P315">
        <v>121</v>
      </c>
      <c r="Q315">
        <v>267</v>
      </c>
      <c r="R315">
        <v>19</v>
      </c>
      <c r="S315">
        <v>1600</v>
      </c>
      <c r="T315" t="s">
        <v>153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156</v>
      </c>
      <c r="O316" t="s">
        <v>154</v>
      </c>
      <c r="P316">
        <v>942</v>
      </c>
      <c r="Q316">
        <v>72</v>
      </c>
      <c r="R316">
        <v>11</v>
      </c>
      <c r="S316">
        <v>120</v>
      </c>
      <c r="T316" t="s">
        <v>156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153</v>
      </c>
      <c r="O317" t="s">
        <v>154</v>
      </c>
      <c r="P317">
        <v>1222</v>
      </c>
      <c r="Q317">
        <v>139</v>
      </c>
      <c r="R317">
        <v>15</v>
      </c>
      <c r="S317">
        <v>165</v>
      </c>
      <c r="T317" t="s">
        <v>153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156</v>
      </c>
      <c r="O318" t="s">
        <v>155</v>
      </c>
      <c r="P318">
        <v>325</v>
      </c>
      <c r="Q318">
        <v>58</v>
      </c>
      <c r="R318">
        <v>6</v>
      </c>
      <c r="S318" t="s">
        <v>157</v>
      </c>
      <c r="T318" t="s">
        <v>156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156</v>
      </c>
      <c r="O319" t="s">
        <v>155</v>
      </c>
      <c r="P319">
        <v>325</v>
      </c>
      <c r="Q319">
        <v>9</v>
      </c>
      <c r="R319">
        <v>3</v>
      </c>
      <c r="S319">
        <v>700</v>
      </c>
      <c r="T319" t="s">
        <v>156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153</v>
      </c>
      <c r="O320" t="s">
        <v>155</v>
      </c>
      <c r="P320">
        <v>313</v>
      </c>
      <c r="Q320">
        <v>381</v>
      </c>
      <c r="R320">
        <v>20</v>
      </c>
      <c r="S320">
        <v>875</v>
      </c>
      <c r="T320" t="s">
        <v>153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153</v>
      </c>
      <c r="O321" t="s">
        <v>154</v>
      </c>
      <c r="P321">
        <v>37</v>
      </c>
      <c r="Q321">
        <v>113</v>
      </c>
      <c r="R321">
        <v>7</v>
      </c>
      <c r="S321">
        <v>385</v>
      </c>
      <c r="T321" t="s">
        <v>153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153</v>
      </c>
      <c r="O322" t="s">
        <v>155</v>
      </c>
      <c r="P322">
        <v>1314</v>
      </c>
      <c r="Q322">
        <v>131</v>
      </c>
      <c r="R322">
        <v>12</v>
      </c>
      <c r="S322">
        <v>960</v>
      </c>
      <c r="T322" t="s">
        <v>153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153</v>
      </c>
      <c r="O323" t="s">
        <v>154</v>
      </c>
      <c r="P323">
        <v>408</v>
      </c>
      <c r="Q323">
        <v>4</v>
      </c>
      <c r="R323">
        <v>3</v>
      </c>
      <c r="S323">
        <v>1000</v>
      </c>
      <c r="T323" t="s">
        <v>153</v>
      </c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 codeName="Sheet15"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176</v>
      </c>
      <c r="B1" t="s">
        <v>175</v>
      </c>
      <c r="C1" t="s">
        <v>174</v>
      </c>
      <c r="D1" t="s">
        <v>173</v>
      </c>
      <c r="E1" t="s">
        <v>171</v>
      </c>
      <c r="F1" t="s">
        <v>159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20</vt:i4>
      </vt:variant>
    </vt:vector>
  </HeadingPairs>
  <TitlesOfParts>
    <vt:vector size="41" baseType="lpstr">
      <vt:lpstr>Today</vt:lpstr>
      <vt:lpstr>Themes</vt:lpstr>
      <vt:lpstr>OutOfSampleTesting</vt:lpstr>
      <vt:lpstr>Setup_</vt:lpstr>
      <vt:lpstr>Explore</vt:lpstr>
      <vt:lpstr>Tools</vt:lpstr>
      <vt:lpstr>LM_InAndOut</vt:lpstr>
      <vt:lpstr>Optim_InAndOut</vt:lpstr>
      <vt:lpstr>Optim_Shrinkage</vt:lpstr>
      <vt:lpstr>Optim_LSearch</vt:lpstr>
      <vt:lpstr>AIC</vt:lpstr>
      <vt:lpstr>IndicatorVariables</vt:lpstr>
      <vt:lpstr>Diagnostics</vt:lpstr>
      <vt:lpstr>PreWork4NextClass</vt:lpstr>
      <vt:lpstr>InClassProjects</vt:lpstr>
      <vt:lpstr>Q_OOS</vt:lpstr>
      <vt:lpstr>Q_AIC</vt:lpstr>
      <vt:lpstr>Q_Diagnostics</vt:lpstr>
      <vt:lpstr>LendingClubData</vt:lpstr>
      <vt:lpstr>Hitters</vt:lpstr>
      <vt:lpstr>Hitters_Simple</vt:lpstr>
      <vt:lpstr>DiffB0_Diff_B1!a</vt:lpstr>
      <vt:lpstr>DiffB0_SameB1!a</vt:lpstr>
      <vt:lpstr>SameB0_DiffB1!a</vt:lpstr>
      <vt:lpstr>DiffB0_Diff_B1!b</vt:lpstr>
      <vt:lpstr>DiffB0_SameB1!b</vt:lpstr>
      <vt:lpstr>SameB0_DiffB1!b</vt:lpstr>
      <vt:lpstr>class</vt:lpstr>
      <vt:lpstr>cty</vt:lpstr>
      <vt:lpstr>cyl</vt:lpstr>
      <vt:lpstr>displ</vt:lpstr>
      <vt:lpstr>drv</vt:lpstr>
      <vt:lpstr>fl</vt:lpstr>
      <vt:lpstr>hwy</vt:lpstr>
      <vt:lpstr>manufacturer</vt:lpstr>
      <vt:lpstr>model</vt:lpstr>
      <vt:lpstr>DiffB0_Diff_B1!t</vt:lpstr>
      <vt:lpstr>DiffB0_SameB1!t</vt:lpstr>
      <vt:lpstr>SameB0_DiffB1!t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2022-06-09T21:00:01Z</dcterms:modified>
</cp:coreProperties>
</file>